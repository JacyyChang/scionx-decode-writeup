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ienware\Downloads\"/>
    </mc:Choice>
  </mc:AlternateContent>
  <xr:revisionPtr revIDLastSave="0" documentId="13_ncr:1_{DD0041D8-3C75-43F5-9EBC-3763931CEE0E}" xr6:coauthVersionLast="47" xr6:coauthVersionMax="47" xr10:uidLastSave="{00000000-0000-0000-0000-000000000000}"/>
  <bookViews>
    <workbookView xWindow="-108" yWindow="-108" windowWidth="23256" windowHeight="12456" xr2:uid="{219DE113-E651-45F2-B9F7-527B1047B8DD}"/>
  </bookViews>
  <sheets>
    <sheet name="工作表3" sheetId="8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3" i="8" l="1"/>
  <c r="E4" i="8" l="1"/>
  <c r="E5" i="8" s="1"/>
  <c r="E6" i="8" s="1"/>
  <c r="E7" i="8" s="1"/>
  <c r="E8" i="8" s="1"/>
  <c r="E9" i="8" s="1"/>
  <c r="E10" i="8" s="1"/>
  <c r="E11" i="8" s="1"/>
  <c r="E12" i="8" s="1"/>
  <c r="E13" i="8" s="1"/>
  <c r="E14" i="8" s="1"/>
  <c r="E15" i="8" s="1"/>
  <c r="E16" i="8" s="1"/>
  <c r="E17" i="8" s="1"/>
  <c r="E18" i="8" s="1"/>
  <c r="E19" i="8" s="1"/>
  <c r="E20" i="8" s="1"/>
  <c r="E21" i="8" s="1"/>
  <c r="E22" i="8" s="1"/>
  <c r="E23" i="8" s="1"/>
  <c r="E24" i="8" s="1"/>
  <c r="E25" i="8" s="1"/>
  <c r="E26" i="8" s="1"/>
  <c r="E27" i="8" s="1"/>
  <c r="E28" i="8" s="1"/>
  <c r="E29" i="8" s="1"/>
  <c r="E30" i="8" s="1"/>
  <c r="E31" i="8" s="1"/>
  <c r="E32" i="8" s="1"/>
  <c r="E33" i="8" s="1"/>
  <c r="E34" i="8" s="1"/>
  <c r="E35" i="8" s="1"/>
  <c r="E36" i="8" s="1"/>
  <c r="E37" i="8" s="1"/>
  <c r="E38" i="8" s="1"/>
  <c r="E39" i="8" s="1"/>
  <c r="E40" i="8" s="1"/>
  <c r="E41" i="8" s="1"/>
  <c r="E42" i="8" s="1"/>
  <c r="E43" i="8" s="1"/>
  <c r="E44" i="8" s="1"/>
  <c r="E45" i="8" s="1"/>
  <c r="E46" i="8" s="1"/>
  <c r="E47" i="8" s="1"/>
  <c r="E48" i="8" s="1"/>
  <c r="E49" i="8" s="1"/>
  <c r="E50" i="8" s="1"/>
  <c r="E51" i="8" s="1"/>
  <c r="E52" i="8" s="1"/>
  <c r="E53" i="8" s="1"/>
  <c r="E54" i="8" s="1"/>
  <c r="E55" i="8" s="1"/>
  <c r="E56" i="8" s="1"/>
  <c r="E57" i="8" s="1"/>
  <c r="E58" i="8" s="1"/>
  <c r="E59" i="8" s="1"/>
  <c r="E60" i="8" s="1"/>
  <c r="E61" i="8" s="1"/>
  <c r="E62" i="8" s="1"/>
  <c r="E63" i="8" s="1"/>
  <c r="E64" i="8" s="1"/>
  <c r="E65" i="8" s="1"/>
  <c r="E66" i="8" s="1"/>
  <c r="E67" i="8" s="1"/>
  <c r="E68" i="8" s="1"/>
  <c r="E69" i="8" s="1"/>
  <c r="E70" i="8" s="1"/>
  <c r="E71" i="8" s="1"/>
  <c r="E72" i="8" s="1"/>
  <c r="E73" i="8" s="1"/>
  <c r="E74" i="8" s="1"/>
  <c r="E75" i="8" s="1"/>
  <c r="E76" i="8" s="1"/>
  <c r="E77" i="8" s="1"/>
  <c r="E78" i="8" s="1"/>
  <c r="E79" i="8" s="1"/>
  <c r="E80" i="8" s="1"/>
  <c r="E81" i="8" s="1"/>
  <c r="E82" i="8" s="1"/>
  <c r="E83" i="8" s="1"/>
  <c r="E84" i="8" s="1"/>
  <c r="E85" i="8" s="1"/>
  <c r="E86" i="8" s="1"/>
  <c r="E87" i="8" s="1"/>
  <c r="E88" i="8" s="1"/>
  <c r="E89" i="8" s="1"/>
  <c r="E90" i="8" s="1"/>
  <c r="E91" i="8" s="1"/>
  <c r="E92" i="8" s="1"/>
  <c r="E93" i="8" s="1"/>
  <c r="E94" i="8" s="1"/>
  <c r="E95" i="8" s="1"/>
  <c r="E96" i="8" s="1"/>
  <c r="E97" i="8" s="1"/>
  <c r="E98" i="8" s="1"/>
  <c r="E99" i="8" s="1"/>
  <c r="E100" i="8" s="1"/>
  <c r="E101" i="8" s="1"/>
  <c r="E102" i="8" s="1"/>
  <c r="E103" i="8" s="1"/>
  <c r="E104" i="8" s="1"/>
  <c r="E105" i="8" s="1"/>
  <c r="E106" i="8" s="1"/>
  <c r="E107" i="8" s="1"/>
  <c r="E108" i="8" s="1"/>
  <c r="E109" i="8" s="1"/>
  <c r="E110" i="8" s="1"/>
  <c r="E111" i="8" s="1"/>
  <c r="E112" i="8" s="1"/>
  <c r="E113" i="8" s="1"/>
  <c r="E114" i="8" s="1"/>
  <c r="E115" i="8" s="1"/>
  <c r="E116" i="8" s="1"/>
  <c r="E117" i="8" s="1"/>
  <c r="E118" i="8" s="1"/>
  <c r="E119" i="8" s="1"/>
  <c r="E120" i="8" s="1"/>
  <c r="E121" i="8" s="1"/>
  <c r="E122" i="8" s="1"/>
  <c r="E123" i="8" s="1"/>
  <c r="E124" i="8" s="1"/>
  <c r="E125" i="8" s="1"/>
  <c r="E126" i="8" s="1"/>
  <c r="E127" i="8" s="1"/>
  <c r="E128" i="8" s="1"/>
  <c r="E129" i="8" s="1"/>
  <c r="E130" i="8" s="1"/>
  <c r="E131" i="8" s="1"/>
  <c r="E132" i="8" s="1"/>
  <c r="E133" i="8" s="1"/>
  <c r="E134" i="8" s="1"/>
  <c r="E135" i="8" s="1"/>
  <c r="E136" i="8" s="1"/>
  <c r="E137" i="8" s="1"/>
  <c r="E138" i="8" s="1"/>
  <c r="E139" i="8" s="1"/>
  <c r="E140" i="8" s="1"/>
  <c r="E141" i="8" s="1"/>
  <c r="E142" i="8" s="1"/>
  <c r="E143" i="8" s="1"/>
  <c r="E144" i="8" s="1"/>
  <c r="E145" i="8" s="1"/>
  <c r="E146" i="8" s="1"/>
  <c r="E147" i="8" s="1"/>
  <c r="E148" i="8" s="1"/>
  <c r="E149" i="8" s="1"/>
  <c r="E150" i="8" s="1"/>
  <c r="E151" i="8" s="1"/>
  <c r="E152" i="8" s="1"/>
  <c r="E153" i="8" s="1"/>
  <c r="E154" i="8" s="1"/>
  <c r="E155" i="8" s="1"/>
  <c r="E156" i="8" s="1"/>
  <c r="E157" i="8" s="1"/>
  <c r="E158" i="8" s="1"/>
  <c r="E159" i="8" s="1"/>
  <c r="E160" i="8" s="1"/>
  <c r="E161" i="8" s="1"/>
  <c r="E162" i="8" s="1"/>
  <c r="E163" i="8" s="1"/>
  <c r="E164" i="8" s="1"/>
  <c r="E165" i="8" s="1"/>
  <c r="E166" i="8" s="1"/>
  <c r="E167" i="8" s="1"/>
  <c r="E168" i="8" s="1"/>
  <c r="E169" i="8" s="1"/>
  <c r="E170" i="8" s="1"/>
  <c r="E171" i="8" s="1"/>
  <c r="E172" i="8" s="1"/>
  <c r="E173" i="8" s="1"/>
  <c r="E174" i="8" s="1"/>
  <c r="E175" i="8" s="1"/>
  <c r="E176" i="8" s="1"/>
  <c r="E177" i="8" s="1"/>
  <c r="E178" i="8" s="1"/>
  <c r="E179" i="8" s="1"/>
  <c r="E180" i="8" s="1"/>
  <c r="E181" i="8" s="1"/>
  <c r="E182" i="8" s="1"/>
  <c r="E183" i="8" s="1"/>
  <c r="E184" i="8" s="1"/>
  <c r="E185" i="8" s="1"/>
  <c r="E186" i="8" s="1"/>
  <c r="E187" i="8" s="1"/>
  <c r="E188" i="8" s="1"/>
  <c r="E189" i="8" s="1"/>
  <c r="E190" i="8" s="1"/>
  <c r="E191" i="8" s="1"/>
  <c r="E192" i="8" s="1"/>
  <c r="E193" i="8" s="1"/>
  <c r="E194" i="8" s="1"/>
  <c r="E195" i="8" s="1"/>
  <c r="E196" i="8" s="1"/>
  <c r="E197" i="8" s="1"/>
  <c r="E198" i="8" s="1"/>
  <c r="E199" i="8" s="1"/>
  <c r="E200" i="8" s="1"/>
  <c r="E201" i="8" s="1"/>
  <c r="E202" i="8" s="1"/>
  <c r="E203" i="8" s="1"/>
  <c r="E204" i="8" s="1"/>
  <c r="E205" i="8" s="1"/>
  <c r="E206" i="8" s="1"/>
  <c r="E207" i="8" s="1"/>
</calcChain>
</file>

<file path=xl/sharedStrings.xml><?xml version="1.0" encoding="utf-8"?>
<sst xmlns="http://schemas.openxmlformats.org/spreadsheetml/2006/main" count="723" uniqueCount="264">
  <si>
    <t>ItemName</t>
  </si>
  <si>
    <t>LongDescription</t>
  </si>
  <si>
    <t>uint8_t</t>
  </si>
  <si>
    <t>uint16_t</t>
  </si>
  <si>
    <t>EPS onoff state</t>
    <phoneticPr fontId="18" type="noConversion"/>
  </si>
  <si>
    <t>ADCS onoff state</t>
    <phoneticPr fontId="18" type="noConversion"/>
  </si>
  <si>
    <t>UHF onoff state</t>
    <phoneticPr fontId="18" type="noConversion"/>
  </si>
  <si>
    <t>Xband onoff state</t>
    <phoneticPr fontId="18" type="noConversion"/>
  </si>
  <si>
    <t>CIP onoff state</t>
    <phoneticPr fontId="18" type="noConversion"/>
  </si>
  <si>
    <t>HyperSCAN onoff state</t>
    <phoneticPr fontId="18" type="noConversion"/>
  </si>
  <si>
    <t>SEUV onoff state</t>
    <phoneticPr fontId="18" type="noConversion"/>
  </si>
  <si>
    <t>APRS onoff state</t>
    <phoneticPr fontId="18" type="noConversion"/>
  </si>
  <si>
    <t>uint8_t</t>
    <phoneticPr fontId="18" type="noConversion"/>
  </si>
  <si>
    <t>APID</t>
    <phoneticPr fontId="18" type="noConversion"/>
  </si>
  <si>
    <t>UHF Temperature</t>
    <phoneticPr fontId="18" type="noConversion"/>
  </si>
  <si>
    <t>SD Write Pointer plCip</t>
  </si>
  <si>
    <t>uint32_t</t>
  </si>
  <si>
    <t>uint32_t</t>
    <phoneticPr fontId="18" type="noConversion"/>
  </si>
  <si>
    <t>int8_t</t>
    <phoneticPr fontId="18" type="noConversion"/>
  </si>
  <si>
    <t>FSW Reboot Count</t>
    <phoneticPr fontId="18" type="noConversion"/>
  </si>
  <si>
    <t>CMD Loss Timer</t>
    <phoneticPr fontId="18" type="noConversion"/>
  </si>
  <si>
    <t>Operation Mode Defined (hex. value):
0 - Phoenix Mode
1 - Safe Mode
2 - Charging Mode
3 - Communication Xband Mode
A - Science HyperSCAN Mode
B - Science CIP Mode
FF - Reentry Mode</t>
    <phoneticPr fontId="18" type="noConversion"/>
  </si>
  <si>
    <t>hex to dec. value (Unit: cnts) 
Command accepted from ground station</t>
    <phoneticPr fontId="18" type="noConversion"/>
  </si>
  <si>
    <t>hex to dec. value (Unit: cnts) 
Command retected from ground station</t>
    <phoneticPr fontId="18" type="noConversion"/>
  </si>
  <si>
    <t>Hexadecimal value present the sd card address</t>
    <phoneticPr fontId="18" type="noConversion"/>
  </si>
  <si>
    <t>DataType</t>
    <phoneticPr fontId="18" type="noConversion"/>
  </si>
  <si>
    <t>BitLen</t>
    <phoneticPr fontId="18" type="noConversion"/>
  </si>
  <si>
    <t>OffsetBit</t>
    <phoneticPr fontId="18" type="noConversion"/>
  </si>
  <si>
    <t>UHF Channel</t>
    <phoneticPr fontId="18" type="noConversion"/>
  </si>
  <si>
    <t>float</t>
  </si>
  <si>
    <t>Endian</t>
    <phoneticPr fontId="18" type="noConversion"/>
  </si>
  <si>
    <t>uint16_t</t>
    <phoneticPr fontId="18" type="noConversion"/>
  </si>
  <si>
    <t>int16_t</t>
    <phoneticPr fontId="18" type="noConversion"/>
  </si>
  <si>
    <t>int8_t</t>
  </si>
  <si>
    <t>Current Mode</t>
    <phoneticPr fontId="18" type="noConversion"/>
  </si>
  <si>
    <t>ADCS CubeSense1 Communications</t>
    <phoneticPr fontId="18" type="noConversion"/>
  </si>
  <si>
    <t>ADCS CubeSense2 Communications</t>
    <phoneticPr fontId="18" type="noConversion"/>
  </si>
  <si>
    <t>ADCS CubeControl Signal Communications</t>
    <phoneticPr fontId="18" type="noConversion"/>
  </si>
  <si>
    <t>ADCS CubeControl Motor Communications</t>
    <phoneticPr fontId="18" type="noConversion"/>
  </si>
  <si>
    <t>ADCS CubeWheel1 Communications</t>
    <phoneticPr fontId="18" type="noConversion"/>
  </si>
  <si>
    <t xml:space="preserve">ADCS CubeWheel2 Communications    </t>
    <phoneticPr fontId="18" type="noConversion"/>
  </si>
  <si>
    <t xml:space="preserve">ADCS CubeWheel3 Communications    </t>
    <phoneticPr fontId="18" type="noConversion"/>
  </si>
  <si>
    <t>ADCS CubeStar Communications</t>
    <phoneticPr fontId="18" type="noConversion"/>
  </si>
  <si>
    <t>ADCS Time</t>
    <phoneticPr fontId="18" type="noConversion"/>
  </si>
  <si>
    <t>ADCS Time Milliseconds</t>
    <phoneticPr fontId="18" type="noConversion"/>
  </si>
  <si>
    <t>ADCS 3V3 Current</t>
    <phoneticPr fontId="18" type="noConversion"/>
  </si>
  <si>
    <t>ADCS 5V Current</t>
    <phoneticPr fontId="18" type="noConversion"/>
  </si>
  <si>
    <t>ADCS Vbat Current</t>
    <phoneticPr fontId="18" type="noConversion"/>
  </si>
  <si>
    <t>ADCS MCU Temperature</t>
    <phoneticPr fontId="18" type="noConversion"/>
  </si>
  <si>
    <t>ADCS MAG Temperature</t>
    <phoneticPr fontId="18" type="noConversion"/>
  </si>
  <si>
    <t>ADCS Attitude Estimation Mode</t>
    <phoneticPr fontId="18" type="noConversion"/>
  </si>
  <si>
    <t>ADCS Control Mode</t>
    <phoneticPr fontId="18" type="noConversion"/>
  </si>
  <si>
    <t>ADCS Run Mode</t>
    <phoneticPr fontId="18" type="noConversion"/>
  </si>
  <si>
    <t>ADCS CubeControl Signal</t>
    <phoneticPr fontId="18" type="noConversion"/>
  </si>
  <si>
    <t>ADCS CubeControl Motor</t>
    <phoneticPr fontId="18" type="noConversion"/>
  </si>
  <si>
    <t>ADCS CubeSense1</t>
    <phoneticPr fontId="18" type="noConversion"/>
  </si>
  <si>
    <t xml:space="preserve">ADCS CubeSense2     </t>
    <phoneticPr fontId="18" type="noConversion"/>
  </si>
  <si>
    <t>ADCS CubeWheel1</t>
    <phoneticPr fontId="18" type="noConversion"/>
  </si>
  <si>
    <t xml:space="preserve">ADCS CubeWheel2     </t>
    <phoneticPr fontId="18" type="noConversion"/>
  </si>
  <si>
    <t xml:space="preserve">ADCS CubeWheel3     </t>
    <phoneticPr fontId="18" type="noConversion"/>
  </si>
  <si>
    <t xml:space="preserve">ADCS CubeStar     </t>
    <phoneticPr fontId="18" type="noConversion"/>
  </si>
  <si>
    <t>ADCS Cam1 SRAM Overcurrent Detected</t>
    <phoneticPr fontId="18" type="noConversion"/>
  </si>
  <si>
    <t>ADCS Cam1 3V3 Overcurrent Detected</t>
    <phoneticPr fontId="18" type="noConversion"/>
  </si>
  <si>
    <t>ADCS Cam1 Sensor Busy</t>
    <phoneticPr fontId="18" type="noConversion"/>
  </si>
  <si>
    <t>ADCS Cam1 Sensor Detection</t>
    <phoneticPr fontId="18" type="noConversion"/>
  </si>
  <si>
    <t>ADCS Cam2 SRAM Overcurrent Detected</t>
    <phoneticPr fontId="18" type="noConversion"/>
  </si>
  <si>
    <t>ADCS Cam2 3V3 Overcurrent Detected</t>
    <phoneticPr fontId="18" type="noConversion"/>
  </si>
  <si>
    <t>ADCS Cam2 Sensor Busy</t>
    <phoneticPr fontId="18" type="noConversion"/>
  </si>
  <si>
    <t>ADCS Cam2 Sensor Detection</t>
    <phoneticPr fontId="18" type="noConversion"/>
  </si>
  <si>
    <t>ADCS Magnetometer Range</t>
    <phoneticPr fontId="18" type="noConversion"/>
  </si>
  <si>
    <t>ADCS Sun Sensor Range</t>
    <phoneticPr fontId="18" type="noConversion"/>
  </si>
  <si>
    <t>ADCS Nadir Sensor Range</t>
    <phoneticPr fontId="18" type="noConversion"/>
  </si>
  <si>
    <t>ADCS Rate Sensor Range</t>
    <phoneticPr fontId="18" type="noConversion"/>
  </si>
  <si>
    <t>ADCS Wheel Speed Range</t>
    <phoneticPr fontId="18" type="noConversion"/>
  </si>
  <si>
    <t>ADCS Coarse Sun Sensor</t>
    <phoneticPr fontId="18" type="noConversion"/>
  </si>
  <si>
    <t>ADCS StarTracker Match</t>
    <phoneticPr fontId="18" type="noConversion"/>
  </si>
  <si>
    <t xml:space="preserve">ADCS Star Tracker Overcurrent Detected </t>
    <phoneticPr fontId="18" type="noConversion"/>
  </si>
  <si>
    <t>ADCS ECI referenced X coordinate</t>
    <phoneticPr fontId="18" type="noConversion"/>
  </si>
  <si>
    <t>ADCS ECI referenced Y coordinate</t>
    <phoneticPr fontId="18" type="noConversion"/>
  </si>
  <si>
    <t>ADCS ECI referenced Z coordinate</t>
    <phoneticPr fontId="18" type="noConversion"/>
  </si>
  <si>
    <t>ADCS X Angular Rate</t>
    <phoneticPr fontId="18" type="noConversion"/>
  </si>
  <si>
    <t>ADCS Y Angular Rate</t>
    <phoneticPr fontId="18" type="noConversion"/>
  </si>
  <si>
    <t>ADCS Z Angular Rate</t>
    <phoneticPr fontId="18" type="noConversion"/>
  </si>
  <si>
    <t>ADCS Current steps</t>
    <phoneticPr fontId="18" type="noConversion"/>
  </si>
  <si>
    <t>ADCS Estimated X angular rate</t>
    <phoneticPr fontId="18" type="noConversion"/>
  </si>
  <si>
    <t>ADCS Estimated Y angular rate</t>
    <phoneticPr fontId="18" type="noConversion"/>
  </si>
  <si>
    <t>ADCS Estimated Z angular rate</t>
    <phoneticPr fontId="18" type="noConversion"/>
  </si>
  <si>
    <t>NaN</t>
    <phoneticPr fontId="18" type="noConversion"/>
  </si>
  <si>
    <t>ADCS Sun Vector X</t>
    <phoneticPr fontId="18" type="noConversion"/>
  </si>
  <si>
    <t>ADCS Sun Vector Y</t>
    <phoneticPr fontId="18" type="noConversion"/>
  </si>
  <si>
    <t>ADCS Sun Vector Z</t>
    <phoneticPr fontId="18" type="noConversion"/>
  </si>
  <si>
    <t>ADCS Telecommand counter</t>
    <phoneticPr fontId="18" type="noConversion"/>
  </si>
  <si>
    <t>ADCS Telemetry request counter</t>
    <phoneticPr fontId="18" type="noConversion"/>
  </si>
  <si>
    <t>ADCS Last TC ID</t>
    <phoneticPr fontId="18" type="noConversion"/>
  </si>
  <si>
    <t xml:space="preserve">ADCS Processed flag </t>
    <phoneticPr fontId="18" type="noConversion"/>
  </si>
  <si>
    <t xml:space="preserve">ADCS TC error status </t>
    <phoneticPr fontId="18" type="noConversion"/>
  </si>
  <si>
    <t>ADCS TC parameter error index</t>
    <phoneticPr fontId="18" type="noConversion"/>
  </si>
  <si>
    <t>ADCS  X Wheel Speed</t>
    <phoneticPr fontId="18" type="noConversion"/>
  </si>
  <si>
    <t>ADCS Y Wheel Speed</t>
    <phoneticPr fontId="18" type="noConversion"/>
  </si>
  <si>
    <t>ADCS  Z Wheel Speed</t>
    <phoneticPr fontId="18" type="noConversion"/>
  </si>
  <si>
    <t>ADCS eclipse Sun is Above Local Horizon</t>
    <phoneticPr fontId="18" type="noConversion"/>
  </si>
  <si>
    <t>UHF Echo Mode</t>
    <phoneticPr fontId="18" type="noConversion"/>
  </si>
  <si>
    <t>UHF AFC</t>
    <phoneticPr fontId="18" type="noConversion"/>
  </si>
  <si>
    <t>UHF SWD Announciate</t>
    <phoneticPr fontId="18" type="noConversion"/>
  </si>
  <si>
    <t>UHF Readback Mode</t>
    <phoneticPr fontId="18" type="noConversion"/>
  </si>
  <si>
    <t>Xband Symbol Rate</t>
    <phoneticPr fontId="18" type="noConversion"/>
  </si>
  <si>
    <t>Xband Central Frequency</t>
    <phoneticPr fontId="18" type="noConversion"/>
  </si>
  <si>
    <t>Xband MODCOD</t>
    <phoneticPr fontId="18" type="noConversion"/>
  </si>
  <si>
    <t>Xband Roll-off</t>
    <phoneticPr fontId="18" type="noConversion"/>
  </si>
  <si>
    <t>Xband Pilot Signal</t>
    <phoneticPr fontId="18" type="noConversion"/>
  </si>
  <si>
    <t>Xband FEC Frame Size</t>
    <phoneticPr fontId="18" type="noConversion"/>
  </si>
  <si>
    <t>Xband System State</t>
    <phoneticPr fontId="18" type="noConversion"/>
  </si>
  <si>
    <t xml:space="preserve">Xband BUC PLL Lock Unlock </t>
    <phoneticPr fontId="18" type="noConversion"/>
  </si>
  <si>
    <t xml:space="preserve">Xband BUC Over Temperature </t>
    <phoneticPr fontId="18" type="noConversion"/>
  </si>
  <si>
    <t xml:space="preserve">Xband SDR Not Initialized </t>
    <phoneticPr fontId="18" type="noConversion"/>
  </si>
  <si>
    <t xml:space="preserve">Xband BUC Communication Error </t>
    <phoneticPr fontId="18" type="noConversion"/>
  </si>
  <si>
    <t xml:space="preserve">Xband System Over Temperature Stop </t>
    <phoneticPr fontId="18" type="noConversion"/>
  </si>
  <si>
    <t xml:space="preserve">Xband Warning Predistortion Not OK </t>
    <phoneticPr fontId="18" type="noConversion"/>
  </si>
  <si>
    <t>Xband PA Temperature</t>
    <phoneticPr fontId="18" type="noConversion"/>
  </si>
  <si>
    <t>Xband Measured Tx Power</t>
    <phoneticPr fontId="18" type="noConversion"/>
  </si>
  <si>
    <t>CIP Mode</t>
    <phoneticPr fontId="18" type="noConversion"/>
  </si>
  <si>
    <t>CIP Temperature 0</t>
    <phoneticPr fontId="18" type="noConversion"/>
  </si>
  <si>
    <t>CIP Temperature 1</t>
    <phoneticPr fontId="18" type="noConversion"/>
  </si>
  <si>
    <t>CIP Temperature 2</t>
    <phoneticPr fontId="18" type="noConversion"/>
  </si>
  <si>
    <t>HyperSCAN Smartfusion2 Current</t>
    <phoneticPr fontId="18" type="noConversion"/>
  </si>
  <si>
    <t>HyperSCAN Smartfusion2 Temperature 1</t>
    <phoneticPr fontId="18" type="noConversion"/>
  </si>
  <si>
    <t>HyperSCAN CMOS Voltage 1</t>
    <phoneticPr fontId="18" type="noConversion"/>
  </si>
  <si>
    <t>HyperSCAN CMOS Voltage 2</t>
    <phoneticPr fontId="18" type="noConversion"/>
  </si>
  <si>
    <t>HyperSCAN CMOS Voltage 3</t>
    <phoneticPr fontId="18" type="noConversion"/>
  </si>
  <si>
    <t>HyperSCAN CMOS Voltage 4</t>
    <phoneticPr fontId="18" type="noConversion"/>
  </si>
  <si>
    <t>HyperSCAN CMOS Current</t>
    <phoneticPr fontId="18" type="noConversion"/>
  </si>
  <si>
    <t>HyperSCAN CMOS Temperature 1</t>
    <phoneticPr fontId="18" type="noConversion"/>
  </si>
  <si>
    <t>APRS Temperature</t>
    <phoneticPr fontId="18" type="noConversion"/>
  </si>
  <si>
    <t>EPS SP0 Voltage</t>
    <phoneticPr fontId="18" type="noConversion"/>
  </si>
  <si>
    <t>EPS SP2 Voltage</t>
  </si>
  <si>
    <t>EPS SP0 Current</t>
    <phoneticPr fontId="18" type="noConversion"/>
  </si>
  <si>
    <t>EPS SP1 Current</t>
  </si>
  <si>
    <t>EPS Battery Current</t>
    <phoneticPr fontId="18" type="noConversion"/>
  </si>
  <si>
    <t>EPS Battery Voltage</t>
    <phoneticPr fontId="18" type="noConversion"/>
  </si>
  <si>
    <t>EPS main Battery Voltage</t>
    <phoneticPr fontId="18" type="noConversion"/>
  </si>
  <si>
    <t>EPS main Battery Current</t>
    <phoneticPr fontId="18" type="noConversion"/>
  </si>
  <si>
    <t>EPS main SOC</t>
    <phoneticPr fontId="18" type="noConversion"/>
  </si>
  <si>
    <t>EPS SP0 Temperature</t>
    <phoneticPr fontId="18" type="noConversion"/>
  </si>
  <si>
    <t>EPS SP4 Temperature</t>
  </si>
  <si>
    <t>EPS APRS5V Current</t>
    <phoneticPr fontId="18" type="noConversion"/>
  </si>
  <si>
    <t>EPS APRS5V Voltage</t>
    <phoneticPr fontId="18" type="noConversion"/>
  </si>
  <si>
    <t>EPS SEUV5V Current</t>
    <phoneticPr fontId="18" type="noConversion"/>
  </si>
  <si>
    <t>EPS SEUV5V Voltage</t>
    <phoneticPr fontId="18" type="noConversion"/>
  </si>
  <si>
    <t>EPS Xband12V Current</t>
    <phoneticPr fontId="18" type="noConversion"/>
  </si>
  <si>
    <t>EPS Xband12V Voltage</t>
    <phoneticPr fontId="18" type="noConversion"/>
  </si>
  <si>
    <t>EPS CIP12V Current</t>
    <phoneticPr fontId="18" type="noConversion"/>
  </si>
  <si>
    <t>EPS CIP12V Voltage</t>
    <phoneticPr fontId="18" type="noConversion"/>
  </si>
  <si>
    <t>EPS ADCS3V3 Current</t>
    <phoneticPr fontId="18" type="noConversion"/>
  </si>
  <si>
    <t>EPS ADCS3V3 Voltage</t>
    <phoneticPr fontId="18" type="noConversion"/>
  </si>
  <si>
    <t>EPS ADCS12V Current</t>
    <phoneticPr fontId="18" type="noConversion"/>
  </si>
  <si>
    <t>EPS ADCS12V Voltage</t>
    <phoneticPr fontId="18" type="noConversion"/>
  </si>
  <si>
    <t>EPS ADCS5V Current</t>
    <phoneticPr fontId="18" type="noConversion"/>
  </si>
  <si>
    <t>EPS ADCS5V Voltage</t>
    <phoneticPr fontId="18" type="noConversion"/>
  </si>
  <si>
    <t>EPS H-SCAN5V Current</t>
    <phoneticPr fontId="18" type="noConversion"/>
  </si>
  <si>
    <t>EPS H-SCAN5V Voltage</t>
    <phoneticPr fontId="18" type="noConversion"/>
  </si>
  <si>
    <t>EPS UHF7V Current</t>
    <phoneticPr fontId="18" type="noConversion"/>
  </si>
  <si>
    <t>EPS UHF7V Voltage</t>
    <phoneticPr fontId="18" type="noConversion"/>
  </si>
  <si>
    <t>EPS CDH3V3 Current</t>
    <phoneticPr fontId="18" type="noConversion"/>
  </si>
  <si>
    <t>EPS CDH3V3 Voltage</t>
    <phoneticPr fontId="18" type="noConversion"/>
  </si>
  <si>
    <t>EPS Battery Temperature 3</t>
    <phoneticPr fontId="18" type="noConversion"/>
  </si>
  <si>
    <t>EPS Battery Temperature 2</t>
    <phoneticPr fontId="18" type="noConversion"/>
  </si>
  <si>
    <t>EPS Battery Temperature 1</t>
    <phoneticPr fontId="18" type="noConversion"/>
  </si>
  <si>
    <t>APRS Radio on/off</t>
    <phoneticPr fontId="18" type="noConversion"/>
  </si>
  <si>
    <t>APRS Digipeater on/off</t>
    <phoneticPr fontId="18" type="noConversion"/>
  </si>
  <si>
    <t xml:space="preserve">hex to dec. value (Unit: cnts) </t>
    <phoneticPr fontId="18" type="noConversion"/>
  </si>
  <si>
    <t xml:space="preserve">hex to dec. value (Unit: second) </t>
    <phoneticPr fontId="18" type="noConversion"/>
  </si>
  <si>
    <t>Milliseconds(ms)[16bits]</t>
    <phoneticPr fontId="18" type="noConversion"/>
  </si>
  <si>
    <t>Xband Transmit Power</t>
    <phoneticPr fontId="18" type="noConversion"/>
  </si>
  <si>
    <t>0000: No attitude estimation
0001: MEMS rate sensing
0010: Magnetometer rate filter
0011: Magnetometer rate filter with pitch estimation
0100: Magnetometer and Fine-sun TRIAD algorithm
0101: Full-state EKF
0110: MEMS gyro EKF
0111: User Coded Estimation Mode</t>
    <phoneticPr fontId="18" type="noConversion"/>
  </si>
  <si>
    <t>0000: No control
0001: Detumbling control
0010: Y-Thomson spin
0011: Y-Wheel momentum stabilized – Initial Pitch Acquisition
0100: Y-Wheel momentum stabilized – Steady State
0101: XYZ-Wheel control
0110: Rwheel sun tracking control
0111: Rwheel target tracking control
1000: Very Fast-spin Detumbling control
1001: Fast-spin Detumbling control
1010: User Specific Control Mode 1
1011: User Specific Control Mode 2
1100: Stop R-wheels
1101: User Coded Control Mode
1110: Yaw-only or roll-only sun tracking mode
1111: Target-tracking yaw-only wheel control Mode</t>
    <phoneticPr fontId="18" type="noConversion"/>
  </si>
  <si>
    <t>00: Off
01: Enabled
10: Triggered
11: Simulation</t>
    <phoneticPr fontId="18" type="noConversion"/>
  </si>
  <si>
    <t>0: no error ; 1: error</t>
    <phoneticPr fontId="18" type="noConversion"/>
  </si>
  <si>
    <t>0: off ; 1: enable</t>
    <phoneticPr fontId="18" type="noConversion"/>
  </si>
  <si>
    <t>BE</t>
    <phoneticPr fontId="18" type="noConversion"/>
  </si>
  <si>
    <t>OBC Time</t>
    <phoneticPr fontId="18" type="noConversion"/>
  </si>
  <si>
    <t>Last Accept CMD Time</t>
    <phoneticPr fontId="18" type="noConversion"/>
  </si>
  <si>
    <t>SD Write Pointer Beacon</t>
    <phoneticPr fontId="18" type="noConversion"/>
  </si>
  <si>
    <t>Last Accept CMD Type OPCODE</t>
    <phoneticPr fontId="18" type="noConversion"/>
  </si>
  <si>
    <t>Last Accept CMD Type APID</t>
    <phoneticPr fontId="18" type="noConversion"/>
  </si>
  <si>
    <t>First boot</t>
    <phoneticPr fontId="18" type="noConversion"/>
  </si>
  <si>
    <t>Going to ADCS commission</t>
    <phoneticPr fontId="18" type="noConversion"/>
  </si>
  <si>
    <t>adcs_commissioned</t>
    <phoneticPr fontId="18" type="noConversion"/>
  </si>
  <si>
    <t>sys_state - factory reset</t>
  </si>
  <si>
    <t>sys_state - reset</t>
    <phoneticPr fontId="18" type="noConversion"/>
  </si>
  <si>
    <t>Main SD select</t>
    <phoneticPr fontId="18" type="noConversion"/>
  </si>
  <si>
    <t>Nominal</t>
    <phoneticPr fontId="18" type="noConversion"/>
  </si>
  <si>
    <t>LE</t>
    <phoneticPr fontId="18" type="noConversion"/>
  </si>
  <si>
    <t>UHF</t>
    <phoneticPr fontId="18" type="noConversion"/>
  </si>
  <si>
    <t>VHF</t>
    <phoneticPr fontId="18" type="noConversion"/>
  </si>
  <si>
    <t>SP2</t>
    <phoneticPr fontId="18" type="noConversion"/>
  </si>
  <si>
    <t>SP1</t>
    <phoneticPr fontId="18" type="noConversion"/>
  </si>
  <si>
    <t>MAG</t>
    <phoneticPr fontId="18" type="noConversion"/>
  </si>
  <si>
    <t>1: nominal state(charging, COMM, SCI), 0: containgency state(safe, phoneix)</t>
    <phoneticPr fontId="18" type="noConversion"/>
  </si>
  <si>
    <t>(formatted value) [km] = RAWVAL*0.25 INT</t>
    <phoneticPr fontId="18" type="noConversion"/>
  </si>
  <si>
    <t>(formatted value) [deg/s] = RAWVAL*0.01 INT</t>
    <phoneticPr fontId="18" type="noConversion"/>
  </si>
  <si>
    <t>(formatted value) [deg/s] = RAWVAL*0.01</t>
    <phoneticPr fontId="18" type="noConversion"/>
  </si>
  <si>
    <t>0000: Initial Angular Rate Estimation
0001: Detumbling
0010: Magnetometer Deployment
0011: Magnetometer Calibration
0100: XYZ reaction wheel control
0101: Sun/Nadir Sensor Commissioning
0110: CubeStar Commissioning
0111: Sun Tracking 3-Axis Control
1000: Ground Target Tracking Controller
1001: None, all finished</t>
    <phoneticPr fontId="18" type="noConversion"/>
  </si>
  <si>
    <t>(formatted value) = RAWVAL/10000.0</t>
    <phoneticPr fontId="18" type="noConversion"/>
  </si>
  <si>
    <t xml:space="preserve">1 :  has been processed  0 :  has NOT been processed </t>
    <phoneticPr fontId="18" type="noConversion"/>
  </si>
  <si>
    <t>0:No Error
1:Invaild telecommand ID
2:Incorrect TC parameter length
3:Incorrect TC parameter value
4:CRC check failed
 (Table 39: Telecommand Acknowledge Telemetry Format)</t>
    <phoneticPr fontId="18" type="noConversion"/>
  </si>
  <si>
    <t>Unit of measure is [rpm]</t>
    <phoneticPr fontId="18" type="noConversion"/>
  </si>
  <si>
    <t>UHF SWD Function</t>
    <phoneticPr fontId="18" type="noConversion"/>
  </si>
  <si>
    <t>(0:off , 1:on)</t>
    <phoneticPr fontId="18" type="noConversion"/>
  </si>
  <si>
    <t>00: Decimal
01: Binary
10: Hex</t>
    <phoneticPr fontId="18" type="noConversion"/>
  </si>
  <si>
    <t>00: 437.5 MHz
01: 437.345 MHz
10: 436.5 MHz
11: 435.5 MHz</t>
    <phoneticPr fontId="18" type="noConversion"/>
  </si>
  <si>
    <t>e.g. 0x1E = 30Msym / main:20M</t>
    <phoneticPr fontId="18" type="noConversion"/>
  </si>
  <si>
    <t>e.g. 0x07 = 3/4QPSK / main:0x04 1/2QPSK</t>
    <phoneticPr fontId="18" type="noConversion"/>
  </si>
  <si>
    <t xml:space="preserve">e.g. 0x46002000 = 8200MHz / main: 8100MHz </t>
    <phoneticPr fontId="18" type="noConversion"/>
  </si>
  <si>
    <t>Value divided by 100.</t>
    <phoneticPr fontId="18" type="noConversion"/>
  </si>
  <si>
    <t>EPS main Board Temperature</t>
    <phoneticPr fontId="18" type="noConversion"/>
  </si>
  <si>
    <t>EPS Distribution Board Temperature</t>
    <phoneticPr fontId="18" type="noConversion"/>
  </si>
  <si>
    <t>EPS CDH3V3 Temperature</t>
    <phoneticPr fontId="18" type="noConversion"/>
  </si>
  <si>
    <t>EPS SEUV3V3 Voltage</t>
    <phoneticPr fontId="18" type="noConversion"/>
  </si>
  <si>
    <t>EPS SEUV3V3 Current</t>
    <phoneticPr fontId="18" type="noConversion"/>
  </si>
  <si>
    <t>Short / Normal (1 / 0)</t>
    <phoneticPr fontId="18" type="noConversion"/>
  </si>
  <si>
    <t xml:space="preserve">On / Off (1 / 0)  </t>
    <phoneticPr fontId="18" type="noConversion"/>
  </si>
  <si>
    <t>0.35 / 0.25 / 0.2  (0 / 1 / 2)</t>
    <phoneticPr fontId="18" type="noConversion"/>
  </si>
  <si>
    <t xml:space="preserve">2000 – 10000 ms  </t>
    <phoneticPr fontId="18" type="noConversion"/>
  </si>
  <si>
    <t>[Voltage] (same as above)</t>
    <phoneticPr fontId="18" type="noConversion"/>
  </si>
  <si>
    <r>
      <t xml:space="preserve">[Current]
</t>
    </r>
    <r>
      <rPr>
        <sz val="10"/>
        <color rgb="FF000000"/>
        <rFont val="MingLiU"/>
        <family val="3"/>
        <charset val="136"/>
      </rPr>
      <t>得到的值會為電壓值，再藉由轉換為電流</t>
    </r>
    <r>
      <rPr>
        <sz val="10"/>
        <color rgb="FF000000"/>
        <rFont val="Consolas"/>
        <family val="3"/>
      </rPr>
      <t xml:space="preserve">
step 1. value shift: </t>
    </r>
    <r>
      <rPr>
        <sz val="10"/>
        <color rgb="FF000000"/>
        <rFont val="MingLiU"/>
        <family val="3"/>
        <charset val="136"/>
      </rPr>
      <t>右移</t>
    </r>
    <r>
      <rPr>
        <sz val="10"/>
        <color rgb="FF000000"/>
        <rFont val="Consolas"/>
        <family val="3"/>
      </rPr>
      <t xml:space="preserve"> 3 </t>
    </r>
    <r>
      <rPr>
        <sz val="10"/>
        <color rgb="FF000000"/>
        <rFont val="MingLiU"/>
        <family val="3"/>
        <charset val="136"/>
      </rPr>
      <t>位元</t>
    </r>
    <r>
      <rPr>
        <sz val="10"/>
        <color rgb="FF000000"/>
        <rFont val="Consolas"/>
        <family val="3"/>
      </rPr>
      <t xml:space="preserve">
step 2. value </t>
    </r>
    <r>
      <rPr>
        <sz val="10"/>
        <color rgb="FF000000"/>
        <rFont val="MingLiU"/>
        <family val="3"/>
        <charset val="136"/>
      </rPr>
      <t>取二補數</t>
    </r>
    <r>
      <rPr>
        <sz val="10"/>
        <color rgb="FF000000"/>
        <rFont val="Consolas"/>
        <family val="3"/>
      </rPr>
      <t xml:space="preserve">
step 3. </t>
    </r>
    <r>
      <rPr>
        <sz val="10"/>
        <color rgb="FF000000"/>
        <rFont val="MingLiU"/>
        <family val="3"/>
        <charset val="136"/>
      </rPr>
      <t>計算</t>
    </r>
    <r>
      <rPr>
        <sz val="10"/>
        <color rgb="FF000000"/>
        <rFont val="Consolas"/>
        <family val="3"/>
      </rPr>
      <t xml:space="preserve"> shunt_voltage</t>
    </r>
    <r>
      <rPr>
        <sz val="10"/>
        <color rgb="FF000000"/>
        <rFont val="MingLiU"/>
        <family val="3"/>
        <charset val="136"/>
      </rPr>
      <t>，每個</t>
    </r>
    <r>
      <rPr>
        <sz val="10"/>
        <color rgb="FF000000"/>
        <rFont val="Consolas"/>
        <family val="3"/>
      </rPr>
      <t xml:space="preserve"> LSB = 40μV → </t>
    </r>
    <r>
      <rPr>
        <sz val="10"/>
        <color rgb="FF000000"/>
        <rFont val="MingLiU"/>
        <family val="3"/>
        <charset val="136"/>
      </rPr>
      <t>換算成</t>
    </r>
    <r>
      <rPr>
        <sz val="10"/>
        <color rgb="FF000000"/>
        <rFont val="Consolas"/>
        <family val="3"/>
      </rPr>
      <t xml:space="preserve"> mV
step 4. get current: </t>
    </r>
    <r>
      <rPr>
        <sz val="10"/>
        <color rgb="FF000000"/>
        <rFont val="MingLiU"/>
        <family val="3"/>
        <charset val="136"/>
      </rPr>
      <t>根據歐姆定律</t>
    </r>
    <r>
      <rPr>
        <sz val="10"/>
        <color rgb="FF000000"/>
        <rFont val="Consolas"/>
        <family val="3"/>
      </rPr>
      <t xml:space="preserve"> I = V / R, R = 0.01 Ω
</t>
    </r>
    <r>
      <rPr>
        <sz val="10"/>
        <color theme="5"/>
        <rFont val="Consolas"/>
        <family val="3"/>
      </rPr>
      <t>eg. [ value = 0xFE80 ], 
step 1. value &gt;&gt; 3 = 0x1FD0 = 8144 (decimal)
step 2.  2’s complement value --&gt; -48 
step 3. Shunt Voltage = -48 × 40μV = -1.92 mV
step 4. I = V / R = -1.92mV / 0.01Ω = -0.192 A</t>
    </r>
    <phoneticPr fontId="18" type="noConversion"/>
  </si>
  <si>
    <r>
      <t xml:space="preserve">[Voltage]
step 1. value shift: </t>
    </r>
    <r>
      <rPr>
        <sz val="10"/>
        <color rgb="FF000000"/>
        <rFont val="MingLiU"/>
        <family val="3"/>
        <charset val="136"/>
      </rPr>
      <t>右移</t>
    </r>
    <r>
      <rPr>
        <sz val="10"/>
        <color rgb="FF000000"/>
        <rFont val="Consolas"/>
        <family val="3"/>
      </rPr>
      <t xml:space="preserve"> 3 </t>
    </r>
    <r>
      <rPr>
        <sz val="10"/>
        <color rgb="FF000000"/>
        <rFont val="MingLiU"/>
        <family val="3"/>
        <charset val="136"/>
      </rPr>
      <t>位元（因為</t>
    </r>
    <r>
      <rPr>
        <sz val="10"/>
        <color rgb="FF000000"/>
        <rFont val="Consolas"/>
        <family val="3"/>
      </rPr>
      <t xml:space="preserve"> INA3221 </t>
    </r>
    <r>
      <rPr>
        <sz val="10"/>
        <color rgb="FF000000"/>
        <rFont val="MingLiU"/>
        <family val="3"/>
        <charset val="136"/>
      </rPr>
      <t>有</t>
    </r>
    <r>
      <rPr>
        <sz val="10"/>
        <color rgb="FF000000"/>
        <rFont val="Consolas"/>
        <family val="3"/>
      </rPr>
      <t xml:space="preserve"> 3-bit padding</t>
    </r>
    <r>
      <rPr>
        <sz val="10"/>
        <color rgb="FF000000"/>
        <rFont val="MingLiU"/>
        <family val="3"/>
        <charset val="136"/>
      </rPr>
      <t>，資料為</t>
    </r>
    <r>
      <rPr>
        <sz val="10"/>
        <color rgb="FF000000"/>
        <rFont val="Consolas"/>
        <family val="3"/>
      </rPr>
      <t xml:space="preserve"> [15:3]</t>
    </r>
    <r>
      <rPr>
        <sz val="10"/>
        <color rgb="FF000000"/>
        <rFont val="MingLiU"/>
        <family val="3"/>
        <charset val="136"/>
      </rPr>
      <t>）</t>
    </r>
    <r>
      <rPr>
        <sz val="10"/>
        <color rgb="FF000000"/>
        <rFont val="Consolas"/>
        <family val="3"/>
      </rPr>
      <t xml:space="preserve">
step 2. get voltage: </t>
    </r>
    <r>
      <rPr>
        <sz val="10"/>
        <color rgb="FF000000"/>
        <rFont val="MingLiU"/>
        <family val="3"/>
        <charset val="136"/>
      </rPr>
      <t>每</t>
    </r>
    <r>
      <rPr>
        <sz val="10"/>
        <color rgb="FF000000"/>
        <rFont val="Consolas"/>
        <family val="3"/>
      </rPr>
      <t xml:space="preserve"> LSB = 8 mV → </t>
    </r>
    <r>
      <rPr>
        <sz val="10"/>
        <color rgb="FF000000"/>
        <rFont val="MingLiU"/>
        <family val="3"/>
        <charset val="136"/>
      </rPr>
      <t>換算成</t>
    </r>
    <r>
      <rPr>
        <sz val="10"/>
        <color rgb="FF000000"/>
        <rFont val="Consolas"/>
        <family val="3"/>
      </rPr>
      <t xml:space="preserve"> V
</t>
    </r>
    <r>
      <rPr>
        <sz val="10"/>
        <color theme="5"/>
        <rFont val="Consolas"/>
        <family val="3"/>
      </rPr>
      <t>eg. [ value = 0x39B0 ], 
step 1. shift value &gt;&gt;3 --&gt; 0x0736 (1846)
step 2. voltage =  1846*8 mV = 14.786 V</t>
    </r>
    <phoneticPr fontId="18" type="noConversion"/>
  </si>
  <si>
    <r>
      <t xml:space="preserve">value = (float) raw_data / 1000.0f ,Unit: Volt
</t>
    </r>
    <r>
      <rPr>
        <sz val="10"/>
        <color theme="5"/>
        <rFont val="Consolas"/>
        <family val="3"/>
      </rPr>
      <t>eg. raw_data = 10560 -&gt; value = 10.56 V</t>
    </r>
    <phoneticPr fontId="18" type="noConversion"/>
  </si>
  <si>
    <r>
      <t xml:space="preserve">value = (float) raw_data / 1000.0f ,Unit: Ampere
</t>
    </r>
    <r>
      <rPr>
        <sz val="10"/>
        <color theme="5"/>
        <rFont val="Consolas"/>
        <family val="3"/>
      </rPr>
      <t>eg. raw_data = 10640 -&gt; value = 1.64 A</t>
    </r>
    <phoneticPr fontId="18" type="noConversion"/>
  </si>
  <si>
    <r>
      <t xml:space="preserve">[Voltage]
step 1. value shift: </t>
    </r>
    <r>
      <rPr>
        <sz val="10"/>
        <color rgb="FF000000"/>
        <rFont val="MingLiU"/>
        <family val="3"/>
        <charset val="136"/>
      </rPr>
      <t>右移</t>
    </r>
    <r>
      <rPr>
        <sz val="10"/>
        <color rgb="FF000000"/>
        <rFont val="Consolas"/>
        <family val="3"/>
      </rPr>
      <t xml:space="preserve"> 3 </t>
    </r>
    <r>
      <rPr>
        <sz val="10"/>
        <color rgb="FF000000"/>
        <rFont val="MingLiU"/>
        <family val="3"/>
        <charset val="136"/>
      </rPr>
      <t>位元（因為</t>
    </r>
    <r>
      <rPr>
        <sz val="10"/>
        <color rgb="FF000000"/>
        <rFont val="Consolas"/>
        <family val="3"/>
      </rPr>
      <t xml:space="preserve"> INA3221 </t>
    </r>
    <r>
      <rPr>
        <sz val="10"/>
        <color rgb="FF000000"/>
        <rFont val="MingLiU"/>
        <family val="3"/>
        <charset val="136"/>
      </rPr>
      <t>有</t>
    </r>
    <r>
      <rPr>
        <sz val="10"/>
        <color rgb="FF000000"/>
        <rFont val="Consolas"/>
        <family val="3"/>
      </rPr>
      <t xml:space="preserve"> 3-bit padding</t>
    </r>
    <r>
      <rPr>
        <sz val="10"/>
        <color rgb="FF000000"/>
        <rFont val="MingLiU"/>
        <family val="3"/>
        <charset val="136"/>
      </rPr>
      <t>，資料為</t>
    </r>
    <r>
      <rPr>
        <sz val="10"/>
        <color rgb="FF000000"/>
        <rFont val="Consolas"/>
        <family val="3"/>
      </rPr>
      <t xml:space="preserve"> [15:3]</t>
    </r>
    <r>
      <rPr>
        <sz val="10"/>
        <color rgb="FF000000"/>
        <rFont val="MingLiU"/>
        <family val="3"/>
        <charset val="136"/>
      </rPr>
      <t>）</t>
    </r>
    <r>
      <rPr>
        <sz val="10"/>
        <color rgb="FF000000"/>
        <rFont val="Consolas"/>
        <family val="3"/>
      </rPr>
      <t xml:space="preserve">
step 2. get voltage: </t>
    </r>
    <r>
      <rPr>
        <sz val="10"/>
        <color rgb="FF000000"/>
        <rFont val="MingLiU"/>
        <family val="3"/>
        <charset val="136"/>
      </rPr>
      <t>每</t>
    </r>
    <r>
      <rPr>
        <sz val="10"/>
        <color rgb="FF000000"/>
        <rFont val="Consolas"/>
        <family val="3"/>
      </rPr>
      <t xml:space="preserve"> LSB = 8 mV → </t>
    </r>
    <r>
      <rPr>
        <sz val="10"/>
        <color rgb="FF000000"/>
        <rFont val="MingLiU"/>
        <family val="3"/>
        <charset val="136"/>
      </rPr>
      <t>換算成</t>
    </r>
    <r>
      <rPr>
        <sz val="10"/>
        <color rgb="FF000000"/>
        <rFont val="Consolas"/>
        <family val="3"/>
      </rPr>
      <t xml:space="preserve"> V
</t>
    </r>
    <r>
      <rPr>
        <sz val="10"/>
        <color theme="5"/>
        <rFont val="Consolas"/>
        <family val="3"/>
      </rPr>
      <t xml:space="preserve">eg. [ value = 0x39B0 ], 
step 1. shift value --&gt; 0x0736 (1846)
step 2. voltage =  1846*8 mV = 14.786"
</t>
    </r>
    <r>
      <rPr>
        <sz val="10"/>
        <color rgb="FF000000"/>
        <rFont val="Consolas"/>
        <family val="3"/>
      </rPr>
      <t xml:space="preserve">
[Current]
</t>
    </r>
    <r>
      <rPr>
        <sz val="10"/>
        <color rgb="FF000000"/>
        <rFont val="MingLiU"/>
        <family val="3"/>
        <charset val="136"/>
      </rPr>
      <t>得到的值會為電壓值，再藉由轉換為電流</t>
    </r>
    <r>
      <rPr>
        <sz val="10"/>
        <color rgb="FF000000"/>
        <rFont val="Consolas"/>
        <family val="3"/>
      </rPr>
      <t xml:space="preserve">
step 1. value </t>
    </r>
    <r>
      <rPr>
        <sz val="10"/>
        <color rgb="FF000000"/>
        <rFont val="MingLiU"/>
        <family val="3"/>
        <charset val="136"/>
      </rPr>
      <t>取二補數</t>
    </r>
    <r>
      <rPr>
        <sz val="10"/>
        <color rgb="FF000000"/>
        <rFont val="Consolas"/>
        <family val="3"/>
      </rPr>
      <t xml:space="preserve">
step 2. </t>
    </r>
    <r>
      <rPr>
        <sz val="10"/>
        <color rgb="FF000000"/>
        <rFont val="MingLiU"/>
        <family val="3"/>
        <charset val="136"/>
      </rPr>
      <t>計算</t>
    </r>
    <r>
      <rPr>
        <sz val="10"/>
        <color rgb="FF000000"/>
        <rFont val="Consolas"/>
        <family val="3"/>
      </rPr>
      <t xml:space="preserve"> shunt_voltage</t>
    </r>
    <r>
      <rPr>
        <sz val="10"/>
        <color rgb="FF000000"/>
        <rFont val="MingLiU"/>
        <family val="3"/>
        <charset val="136"/>
      </rPr>
      <t>，每個</t>
    </r>
    <r>
      <rPr>
        <sz val="10"/>
        <color rgb="FF000000"/>
        <rFont val="Consolas"/>
        <family val="3"/>
      </rPr>
      <t xml:space="preserve"> LSB = 40μV → </t>
    </r>
    <r>
      <rPr>
        <sz val="10"/>
        <color rgb="FF000000"/>
        <rFont val="MingLiU"/>
        <family val="3"/>
        <charset val="136"/>
      </rPr>
      <t>換算成</t>
    </r>
    <r>
      <rPr>
        <sz val="10"/>
        <color rgb="FF000000"/>
        <rFont val="Consolas"/>
        <family val="3"/>
      </rPr>
      <t xml:space="preserve"> mV
step 3. get current: </t>
    </r>
    <r>
      <rPr>
        <sz val="10"/>
        <color rgb="FF000000"/>
        <rFont val="MingLiU"/>
        <family val="3"/>
        <charset val="136"/>
      </rPr>
      <t>根據歐姆定律</t>
    </r>
    <r>
      <rPr>
        <sz val="10"/>
        <color rgb="FF000000"/>
        <rFont val="Consolas"/>
        <family val="3"/>
      </rPr>
      <t xml:space="preserve"> I = V / R, R = 0.01 Ω
</t>
    </r>
    <r>
      <rPr>
        <sz val="10"/>
        <color theme="5"/>
        <rFont val="Consolas"/>
        <family val="3"/>
      </rPr>
      <t>eg. [ value = 0xFE80 ], 
step 1. 2’s value --&gt; -384 
step 2. Shunt Voltage = -384 × 40μV = -15,360μV = -15.36 mV
step 3. I = V / R = -15.36mV / 0.01Ω = -1536 mA = -1.536 A</t>
    </r>
    <phoneticPr fontId="18" type="noConversion"/>
  </si>
  <si>
    <t>APRS RX Voltage</t>
    <phoneticPr fontId="18" type="noConversion"/>
  </si>
  <si>
    <t>APRS TX Voltage</t>
    <phoneticPr fontId="18" type="noConversion"/>
  </si>
  <si>
    <t>0:off/1:on</t>
    <phoneticPr fontId="18" type="noConversion"/>
  </si>
  <si>
    <t>Unit of measure is [s][32bits]yyyy/MM/dd HH:mm:ss</t>
    <phoneticPr fontId="18" type="noConversion"/>
  </si>
  <si>
    <t xml:space="preserve"> value divided by 10</t>
    <phoneticPr fontId="18" type="noConversion"/>
  </si>
  <si>
    <t>00: APRS Radio Module sleep
01: APRS Radio Module active</t>
    <phoneticPr fontId="18" type="noConversion"/>
  </si>
  <si>
    <t>10: Digipeater function Enable 
11: Digipeater function Disable</t>
    <phoneticPr fontId="18" type="noConversion"/>
  </si>
  <si>
    <t>value divided by 10</t>
    <phoneticPr fontId="18" type="noConversion"/>
  </si>
  <si>
    <t>Last packet send</t>
    <phoneticPr fontId="18" type="noConversion"/>
  </si>
  <si>
    <t>Last packet send time</t>
    <phoneticPr fontId="18" type="noConversion"/>
  </si>
  <si>
    <t>FSW static data addr</t>
    <phoneticPr fontId="18" type="noConversion"/>
  </si>
  <si>
    <t>FSW dynamic data addr</t>
    <phoneticPr fontId="18" type="noConversion"/>
  </si>
  <si>
    <t>Subsystem</t>
    <phoneticPr fontId="18" type="noConversion"/>
  </si>
  <si>
    <t>CMD Accept Count</t>
    <phoneticPr fontId="18" type="noConversion"/>
  </si>
  <si>
    <t>CMD Reject Count</t>
    <phoneticPr fontId="18" type="noConversion"/>
  </si>
  <si>
    <t>SD Write Pointer plSeuv</t>
    <phoneticPr fontId="18" type="noConversion"/>
  </si>
  <si>
    <t>SD Write Pointer plHyperscan</t>
    <phoneticPr fontId="18" type="noConversion"/>
  </si>
  <si>
    <t>SD Write Pointer AdcsDetailData</t>
    <phoneticPr fontId="18" type="noConversion"/>
  </si>
  <si>
    <t>HyperScan xband write file number</t>
    <phoneticPr fontId="18" type="noConversion"/>
  </si>
  <si>
    <t>SEUV xband write file number</t>
    <phoneticPr fontId="18" type="noConversion"/>
  </si>
  <si>
    <t>Cip xband write file number</t>
    <phoneticPr fontId="18" type="noConversion"/>
  </si>
  <si>
    <t>EPS SP1 Voltage</t>
    <phoneticPr fontId="18" type="noConversion"/>
  </si>
  <si>
    <t>EPS SP3 Voltage</t>
    <phoneticPr fontId="18" type="noConversion"/>
  </si>
  <si>
    <t>EPS SP4 Voltage</t>
    <phoneticPr fontId="18" type="noConversion"/>
  </si>
  <si>
    <t>EPS SP2 Current</t>
    <phoneticPr fontId="18" type="noConversion"/>
  </si>
  <si>
    <t>EPS SP3 Current</t>
    <phoneticPr fontId="18" type="noConversion"/>
  </si>
  <si>
    <t>EPS SP4 Current</t>
    <phoneticPr fontId="18" type="noConversion"/>
  </si>
  <si>
    <t>EPS SP1 Temperature</t>
    <phoneticPr fontId="18" type="noConversion"/>
  </si>
  <si>
    <t>EPS SP2 Temperature</t>
    <phoneticPr fontId="18" type="noConversion"/>
  </si>
  <si>
    <t>EPS SP3 Temperature</t>
    <phoneticPr fontId="18" type="noConversion"/>
  </si>
  <si>
    <t>FSW</t>
    <phoneticPr fontId="18" type="noConversion"/>
  </si>
  <si>
    <t>ADCS</t>
    <phoneticPr fontId="18" type="noConversion"/>
  </si>
  <si>
    <t>COMM</t>
    <phoneticPr fontId="18" type="noConversion"/>
  </si>
  <si>
    <t>EPS</t>
    <phoneticPr fontId="18" type="noConversion"/>
  </si>
  <si>
    <t>Payloads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</si>
</sst>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7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0"/>
      <color rgb="FF000000"/>
      <name val="Arial"/>
      <family val="2"/>
    </font>
    <font>
      <sz val="10"/>
      <color rgb="FF000000"/>
      <name val="Consolas"/>
      <family val="3"/>
    </font>
    <font>
      <sz val="10"/>
      <color theme="0"/>
      <name val="Consolas"/>
      <family val="3"/>
    </font>
    <font>
      <sz val="10"/>
      <color rgb="FF000000"/>
      <name val="MingLiU"/>
      <family val="3"/>
      <charset val="136"/>
    </font>
    <font>
      <sz val="10"/>
      <color theme="5"/>
      <name val="Consolas"/>
      <family val="3"/>
    </font>
    <font>
      <sz val="12"/>
      <color theme="1"/>
      <name val="Consolas"/>
      <family val="3"/>
    </font>
    <font>
      <sz val="12"/>
      <color rgb="FF000000"/>
      <name val="Consolas"/>
      <family val="3"/>
    </font>
    <font>
      <sz val="11"/>
      <color theme="0"/>
      <name val="Consolas"/>
      <family val="3"/>
    </font>
  </fonts>
  <fills count="40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DBEA70"/>
        <bgColor indexed="64"/>
      </patternFill>
    </fill>
    <fill>
      <patternFill patternType="solid">
        <fgColor rgb="FFE0B4F2"/>
        <bgColor indexed="64"/>
      </patternFill>
    </fill>
    <fill>
      <patternFill patternType="solid">
        <fgColor rgb="FFC6DCF0"/>
        <bgColor indexed="64"/>
      </patternFill>
    </fill>
    <fill>
      <patternFill patternType="solid">
        <fgColor rgb="FFECA55E"/>
        <bgColor indexed="64"/>
      </patternFill>
    </fill>
  </fills>
  <borders count="2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indexed="64"/>
      </bottom>
      <diagonal/>
    </border>
  </borders>
  <cellStyleXfs count="43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9" fillId="0" borderId="0"/>
  </cellStyleXfs>
  <cellXfs count="33">
    <xf numFmtId="0" fontId="0" fillId="0" borderId="0" xfId="0">
      <alignment vertical="center"/>
    </xf>
    <xf numFmtId="0" fontId="20" fillId="0" borderId="10" xfId="0" applyFont="1" applyBorder="1" applyAlignment="1">
      <alignment horizontal="center"/>
    </xf>
    <xf numFmtId="0" fontId="20" fillId="0" borderId="10" xfId="0" applyFont="1" applyBorder="1" applyAlignment="1">
      <alignment horizontal="left"/>
    </xf>
    <xf numFmtId="0" fontId="20" fillId="0" borderId="14" xfId="0" applyFont="1" applyBorder="1" applyAlignment="1">
      <alignment horizontal="center"/>
    </xf>
    <xf numFmtId="0" fontId="20" fillId="0" borderId="12" xfId="0" applyFont="1" applyBorder="1" applyAlignment="1">
      <alignment horizontal="center"/>
    </xf>
    <xf numFmtId="0" fontId="0" fillId="0" borderId="0" xfId="0" applyAlignment="1">
      <alignment horizontal="left" vertical="center"/>
    </xf>
    <xf numFmtId="0" fontId="20" fillId="0" borderId="10" xfId="0" applyFont="1" applyBorder="1" applyAlignment="1">
      <alignment horizontal="left" vertical="top"/>
    </xf>
    <xf numFmtId="0" fontId="20" fillId="0" borderId="10" xfId="0" applyFont="1" applyBorder="1" applyAlignment="1">
      <alignment horizontal="left" vertical="top" wrapText="1"/>
    </xf>
    <xf numFmtId="0" fontId="0" fillId="0" borderId="0" xfId="0" applyAlignment="1">
      <alignment horizontal="left" vertical="top"/>
    </xf>
    <xf numFmtId="0" fontId="21" fillId="33" borderId="10" xfId="0" applyFont="1" applyFill="1" applyBorder="1" applyAlignment="1">
      <alignment horizontal="center" vertical="top"/>
    </xf>
    <xf numFmtId="0" fontId="20" fillId="34" borderId="10" xfId="0" applyFont="1" applyFill="1" applyBorder="1" applyAlignment="1">
      <alignment horizontal="left" vertical="top" wrapText="1"/>
    </xf>
    <xf numFmtId="0" fontId="20" fillId="0" borderId="12" xfId="0" applyFont="1" applyBorder="1" applyAlignment="1">
      <alignment horizontal="left" vertical="top" wrapText="1"/>
    </xf>
    <xf numFmtId="0" fontId="20" fillId="0" borderId="13" xfId="0" applyFont="1" applyBorder="1" applyAlignment="1">
      <alignment horizontal="left" vertical="top" wrapText="1"/>
    </xf>
    <xf numFmtId="0" fontId="20" fillId="0" borderId="11" xfId="0" applyFont="1" applyBorder="1" applyAlignment="1">
      <alignment horizontal="left" vertical="top" wrapText="1"/>
    </xf>
    <xf numFmtId="0" fontId="20" fillId="0" borderId="14" xfId="0" applyFont="1" applyBorder="1" applyAlignment="1">
      <alignment horizontal="left"/>
    </xf>
    <xf numFmtId="0" fontId="26" fillId="33" borderId="10" xfId="0" applyFont="1" applyFill="1" applyBorder="1" applyAlignment="1">
      <alignment horizontal="left"/>
    </xf>
    <xf numFmtId="0" fontId="26" fillId="33" borderId="10" xfId="0" applyFont="1" applyFill="1" applyBorder="1" applyAlignment="1">
      <alignment horizontal="center"/>
    </xf>
    <xf numFmtId="0" fontId="26" fillId="33" borderId="13" xfId="0" applyFont="1" applyFill="1" applyBorder="1" applyAlignment="1">
      <alignment horizontal="center"/>
    </xf>
    <xf numFmtId="0" fontId="24" fillId="37" borderId="15" xfId="0" applyFont="1" applyFill="1" applyBorder="1" applyAlignment="1">
      <alignment horizontal="center" vertical="center"/>
    </xf>
    <xf numFmtId="0" fontId="24" fillId="37" borderId="16" xfId="0" applyFont="1" applyFill="1" applyBorder="1" applyAlignment="1">
      <alignment horizontal="center" vertical="center"/>
    </xf>
    <xf numFmtId="0" fontId="24" fillId="37" borderId="17" xfId="0" applyFont="1" applyFill="1" applyBorder="1" applyAlignment="1">
      <alignment horizontal="center" vertical="center"/>
    </xf>
    <xf numFmtId="0" fontId="24" fillId="36" borderId="15" xfId="0" applyFont="1" applyFill="1" applyBorder="1" applyAlignment="1">
      <alignment horizontal="center" vertical="center"/>
    </xf>
    <xf numFmtId="0" fontId="24" fillId="36" borderId="16" xfId="0" applyFont="1" applyFill="1" applyBorder="1" applyAlignment="1">
      <alignment horizontal="center" vertical="center"/>
    </xf>
    <xf numFmtId="0" fontId="24" fillId="36" borderId="17" xfId="0" applyFont="1" applyFill="1" applyBorder="1" applyAlignment="1">
      <alignment horizontal="center" vertical="center"/>
    </xf>
    <xf numFmtId="0" fontId="24" fillId="39" borderId="15" xfId="0" applyFont="1" applyFill="1" applyBorder="1" applyAlignment="1">
      <alignment horizontal="center" vertical="center"/>
    </xf>
    <xf numFmtId="0" fontId="24" fillId="39" borderId="16" xfId="0" applyFont="1" applyFill="1" applyBorder="1" applyAlignment="1">
      <alignment horizontal="center" vertical="center"/>
    </xf>
    <xf numFmtId="0" fontId="24" fillId="39" borderId="17" xfId="0" applyFont="1" applyFill="1" applyBorder="1" applyAlignment="1">
      <alignment horizontal="center" vertical="center"/>
    </xf>
    <xf numFmtId="0" fontId="25" fillId="38" borderId="15" xfId="0" applyFont="1" applyFill="1" applyBorder="1" applyAlignment="1">
      <alignment horizontal="center" vertical="center"/>
    </xf>
    <xf numFmtId="0" fontId="25" fillId="38" borderId="16" xfId="0" applyFont="1" applyFill="1" applyBorder="1" applyAlignment="1">
      <alignment horizontal="center" vertical="center"/>
    </xf>
    <xf numFmtId="0" fontId="25" fillId="38" borderId="17" xfId="0" applyFont="1" applyFill="1" applyBorder="1" applyAlignment="1">
      <alignment horizontal="center" vertical="center"/>
    </xf>
    <xf numFmtId="0" fontId="25" fillId="35" borderId="18" xfId="0" applyFont="1" applyFill="1" applyBorder="1" applyAlignment="1">
      <alignment horizontal="center" vertical="center"/>
    </xf>
    <xf numFmtId="0" fontId="25" fillId="35" borderId="0" xfId="0" applyFont="1" applyFill="1" applyAlignment="1">
      <alignment horizontal="center" vertical="center"/>
    </xf>
    <xf numFmtId="0" fontId="25" fillId="35" borderId="19" xfId="0" applyFont="1" applyFill="1" applyBorder="1" applyAlignment="1">
      <alignment horizontal="center" vertical="center"/>
    </xf>
  </cellXfs>
  <cellStyles count="43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一般 2" xfId="42" xr:uid="{A26421BB-4FF0-4F18-B38C-30B16A552579}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colors>
    <mruColors>
      <color rgb="FFECA55E"/>
      <color rgb="FFC6DCF0"/>
      <color rgb="FFE0B4F2"/>
      <color rgb="FFDBEA70"/>
      <color rgb="FFF08C5A"/>
      <color rgb="FFFF9966"/>
      <color rgb="FFCCCCFF"/>
      <color rgb="FFC9FFED"/>
      <color rgb="FFD9FFEA"/>
      <color rgb="FFFFFFE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02A157-E038-49F9-A00E-D39AC8EDF525}">
  <dimension ref="A1:J248"/>
  <sheetViews>
    <sheetView tabSelected="1" zoomScaleNormal="100" workbookViewId="0">
      <selection activeCell="C6" sqref="C6"/>
    </sheetView>
  </sheetViews>
  <sheetFormatPr defaultRowHeight="16.2"/>
  <cols>
    <col min="1" max="1" width="10.5546875" bestFit="1" customWidth="1"/>
    <col min="2" max="2" width="38.88671875" style="5" customWidth="1"/>
    <col min="3" max="3" width="9.88671875" bestFit="1" customWidth="1"/>
    <col min="4" max="4" width="7.77734375" style="8" bestFit="1" customWidth="1"/>
    <col min="5" max="5" width="10.5546875" style="8" bestFit="1" customWidth="1"/>
    <col min="7" max="7" width="115.5546875" bestFit="1" customWidth="1"/>
  </cols>
  <sheetData>
    <row r="1" spans="1:10">
      <c r="A1" s="15" t="s">
        <v>241</v>
      </c>
      <c r="B1" s="15" t="s">
        <v>0</v>
      </c>
      <c r="C1" s="16" t="s">
        <v>25</v>
      </c>
      <c r="D1" s="16" t="s">
        <v>26</v>
      </c>
      <c r="E1" s="16" t="s">
        <v>27</v>
      </c>
      <c r="F1" s="17" t="s">
        <v>30</v>
      </c>
      <c r="G1" s="9" t="s">
        <v>1</v>
      </c>
    </row>
    <row r="2" spans="1:10">
      <c r="A2" s="30" t="s">
        <v>259</v>
      </c>
      <c r="B2" s="2" t="s">
        <v>13</v>
      </c>
      <c r="C2" s="1" t="s">
        <v>2</v>
      </c>
      <c r="D2" s="1">
        <v>8</v>
      </c>
      <c r="E2" s="1">
        <v>0</v>
      </c>
      <c r="F2" s="1" t="s">
        <v>178</v>
      </c>
    </row>
    <row r="3" spans="1:10">
      <c r="A3" s="31"/>
      <c r="B3" s="2" t="s">
        <v>184</v>
      </c>
      <c r="C3" s="1" t="s">
        <v>2</v>
      </c>
      <c r="D3" s="1">
        <v>1</v>
      </c>
      <c r="E3" s="1">
        <f>E2+D2</f>
        <v>8</v>
      </c>
      <c r="F3" s="1" t="s">
        <v>178</v>
      </c>
      <c r="G3" s="7"/>
    </row>
    <row r="4" spans="1:10">
      <c r="A4" s="31"/>
      <c r="B4" s="2" t="s">
        <v>185</v>
      </c>
      <c r="C4" s="1" t="s">
        <v>2</v>
      </c>
      <c r="D4" s="1">
        <v>1</v>
      </c>
      <c r="E4" s="1">
        <f>E3+D3</f>
        <v>9</v>
      </c>
      <c r="F4" s="1" t="s">
        <v>178</v>
      </c>
      <c r="G4" s="7"/>
    </row>
    <row r="5" spans="1:10">
      <c r="A5" s="31"/>
      <c r="B5" s="2" t="s">
        <v>186</v>
      </c>
      <c r="C5" s="1" t="s">
        <v>2</v>
      </c>
      <c r="D5" s="1">
        <v>1</v>
      </c>
      <c r="E5" s="1">
        <f t="shared" ref="E5:E68" si="0">E4+D4</f>
        <v>10</v>
      </c>
      <c r="F5" s="1" t="s">
        <v>178</v>
      </c>
      <c r="G5" s="7"/>
    </row>
    <row r="6" spans="1:10">
      <c r="A6" s="31"/>
      <c r="B6" s="2" t="s">
        <v>196</v>
      </c>
      <c r="C6" s="1" t="s">
        <v>2</v>
      </c>
      <c r="D6" s="1">
        <v>1</v>
      </c>
      <c r="E6" s="1">
        <f t="shared" si="0"/>
        <v>11</v>
      </c>
      <c r="F6" s="1" t="s">
        <v>178</v>
      </c>
      <c r="G6" s="7"/>
      <c r="J6" s="8"/>
    </row>
    <row r="7" spans="1:10">
      <c r="A7" s="31"/>
      <c r="B7" s="2" t="s">
        <v>195</v>
      </c>
      <c r="C7" s="1" t="s">
        <v>2</v>
      </c>
      <c r="D7" s="1">
        <v>1</v>
      </c>
      <c r="E7" s="1">
        <f t="shared" si="0"/>
        <v>12</v>
      </c>
      <c r="F7" s="1" t="s">
        <v>178</v>
      </c>
      <c r="G7" s="7"/>
    </row>
    <row r="8" spans="1:10">
      <c r="A8" s="31"/>
      <c r="B8" s="2" t="s">
        <v>194</v>
      </c>
      <c r="C8" s="1" t="s">
        <v>2</v>
      </c>
      <c r="D8" s="1">
        <v>1</v>
      </c>
      <c r="E8" s="1">
        <f t="shared" si="0"/>
        <v>13</v>
      </c>
      <c r="F8" s="1" t="s">
        <v>178</v>
      </c>
      <c r="G8" s="7"/>
    </row>
    <row r="9" spans="1:10">
      <c r="A9" s="31"/>
      <c r="B9" s="2" t="s">
        <v>193</v>
      </c>
      <c r="C9" s="1" t="s">
        <v>2</v>
      </c>
      <c r="D9" s="1">
        <v>1</v>
      </c>
      <c r="E9" s="1">
        <f t="shared" si="0"/>
        <v>14</v>
      </c>
      <c r="F9" s="1" t="s">
        <v>178</v>
      </c>
      <c r="G9" s="7"/>
    </row>
    <row r="10" spans="1:10">
      <c r="A10" s="31"/>
      <c r="B10" s="2" t="s">
        <v>192</v>
      </c>
      <c r="C10" s="1" t="s">
        <v>2</v>
      </c>
      <c r="D10" s="1">
        <v>1</v>
      </c>
      <c r="E10" s="1">
        <f t="shared" si="0"/>
        <v>15</v>
      </c>
      <c r="F10" s="1" t="s">
        <v>178</v>
      </c>
      <c r="G10" s="7"/>
    </row>
    <row r="11" spans="1:10">
      <c r="A11" s="31"/>
      <c r="B11" s="2" t="s">
        <v>187</v>
      </c>
      <c r="C11" s="1" t="s">
        <v>2</v>
      </c>
      <c r="D11" s="1">
        <v>1</v>
      </c>
      <c r="E11" s="1">
        <f t="shared" si="0"/>
        <v>16</v>
      </c>
      <c r="F11" s="1" t="s">
        <v>178</v>
      </c>
      <c r="G11" s="7"/>
    </row>
    <row r="12" spans="1:10">
      <c r="A12" s="31"/>
      <c r="B12" s="2" t="s">
        <v>188</v>
      </c>
      <c r="C12" s="1" t="s">
        <v>2</v>
      </c>
      <c r="D12" s="1">
        <v>1</v>
      </c>
      <c r="E12" s="1">
        <f t="shared" si="0"/>
        <v>17</v>
      </c>
      <c r="F12" s="1" t="s">
        <v>178</v>
      </c>
      <c r="G12" s="7"/>
    </row>
    <row r="13" spans="1:10">
      <c r="A13" s="31"/>
      <c r="B13" s="2" t="s">
        <v>189</v>
      </c>
      <c r="C13" s="1" t="s">
        <v>2</v>
      </c>
      <c r="D13" s="1">
        <v>1</v>
      </c>
      <c r="E13" s="1">
        <f t="shared" si="0"/>
        <v>18</v>
      </c>
      <c r="F13" s="1" t="s">
        <v>178</v>
      </c>
      <c r="G13" s="7"/>
    </row>
    <row r="14" spans="1:10">
      <c r="A14" s="31"/>
      <c r="B14" s="2" t="s">
        <v>190</v>
      </c>
      <c r="C14" s="1" t="s">
        <v>2</v>
      </c>
      <c r="D14" s="1">
        <v>1</v>
      </c>
      <c r="E14" s="1">
        <f t="shared" si="0"/>
        <v>19</v>
      </c>
      <c r="F14" s="1" t="s">
        <v>178</v>
      </c>
      <c r="G14" s="7" t="s">
        <v>197</v>
      </c>
    </row>
    <row r="15" spans="1:10">
      <c r="A15" s="31"/>
      <c r="B15" s="2" t="s">
        <v>87</v>
      </c>
      <c r="C15" s="1" t="s">
        <v>2</v>
      </c>
      <c r="D15" s="1">
        <v>4</v>
      </c>
      <c r="E15" s="1">
        <f t="shared" si="0"/>
        <v>20</v>
      </c>
      <c r="F15" s="1" t="s">
        <v>178</v>
      </c>
      <c r="G15" s="7"/>
    </row>
    <row r="16" spans="1:10">
      <c r="A16" s="31"/>
      <c r="B16" s="2" t="s">
        <v>179</v>
      </c>
      <c r="C16" s="1" t="s">
        <v>17</v>
      </c>
      <c r="D16" s="1">
        <v>32</v>
      </c>
      <c r="E16" s="1">
        <f t="shared" si="0"/>
        <v>24</v>
      </c>
      <c r="F16" s="1" t="s">
        <v>191</v>
      </c>
      <c r="G16" s="7"/>
    </row>
    <row r="17" spans="1:7" ht="105.6">
      <c r="A17" s="31"/>
      <c r="B17" s="2" t="s">
        <v>34</v>
      </c>
      <c r="C17" s="1" t="s">
        <v>12</v>
      </c>
      <c r="D17" s="1">
        <v>8</v>
      </c>
      <c r="E17" s="1">
        <f t="shared" si="0"/>
        <v>56</v>
      </c>
      <c r="F17" s="1" t="s">
        <v>178</v>
      </c>
      <c r="G17" s="7" t="s">
        <v>21</v>
      </c>
    </row>
    <row r="18" spans="1:7">
      <c r="A18" s="31"/>
      <c r="B18" s="2" t="s">
        <v>4</v>
      </c>
      <c r="C18" s="1" t="s">
        <v>12</v>
      </c>
      <c r="D18" s="1">
        <v>1</v>
      </c>
      <c r="E18" s="1">
        <f t="shared" si="0"/>
        <v>64</v>
      </c>
      <c r="F18" s="1" t="s">
        <v>178</v>
      </c>
      <c r="G18" s="7" t="s">
        <v>231</v>
      </c>
    </row>
    <row r="19" spans="1:7">
      <c r="A19" s="31"/>
      <c r="B19" s="2" t="s">
        <v>5</v>
      </c>
      <c r="C19" s="1" t="s">
        <v>2</v>
      </c>
      <c r="D19" s="1">
        <v>1</v>
      </c>
      <c r="E19" s="1">
        <f t="shared" si="0"/>
        <v>65</v>
      </c>
      <c r="F19" s="1" t="s">
        <v>178</v>
      </c>
      <c r="G19" s="7" t="s">
        <v>231</v>
      </c>
    </row>
    <row r="20" spans="1:7">
      <c r="A20" s="31"/>
      <c r="B20" s="2" t="s">
        <v>6</v>
      </c>
      <c r="C20" s="1" t="s">
        <v>2</v>
      </c>
      <c r="D20" s="1">
        <v>1</v>
      </c>
      <c r="E20" s="1">
        <f t="shared" si="0"/>
        <v>66</v>
      </c>
      <c r="F20" s="1" t="s">
        <v>178</v>
      </c>
      <c r="G20" s="7" t="s">
        <v>231</v>
      </c>
    </row>
    <row r="21" spans="1:7">
      <c r="A21" s="31"/>
      <c r="B21" s="2" t="s">
        <v>7</v>
      </c>
      <c r="C21" s="1" t="s">
        <v>2</v>
      </c>
      <c r="D21" s="1">
        <v>1</v>
      </c>
      <c r="E21" s="1">
        <f t="shared" si="0"/>
        <v>67</v>
      </c>
      <c r="F21" s="1" t="s">
        <v>178</v>
      </c>
      <c r="G21" s="7" t="s">
        <v>231</v>
      </c>
    </row>
    <row r="22" spans="1:7">
      <c r="A22" s="31"/>
      <c r="B22" s="2" t="s">
        <v>8</v>
      </c>
      <c r="C22" s="1" t="s">
        <v>2</v>
      </c>
      <c r="D22" s="1">
        <v>1</v>
      </c>
      <c r="E22" s="1">
        <f t="shared" si="0"/>
        <v>68</v>
      </c>
      <c r="F22" s="1" t="s">
        <v>178</v>
      </c>
      <c r="G22" s="7" t="s">
        <v>231</v>
      </c>
    </row>
    <row r="23" spans="1:7">
      <c r="A23" s="31"/>
      <c r="B23" s="2" t="s">
        <v>9</v>
      </c>
      <c r="C23" s="1" t="s">
        <v>2</v>
      </c>
      <c r="D23" s="1">
        <v>1</v>
      </c>
      <c r="E23" s="1">
        <f t="shared" si="0"/>
        <v>69</v>
      </c>
      <c r="F23" s="1" t="s">
        <v>178</v>
      </c>
      <c r="G23" s="7" t="s">
        <v>231</v>
      </c>
    </row>
    <row r="24" spans="1:7">
      <c r="A24" s="31"/>
      <c r="B24" s="2" t="s">
        <v>10</v>
      </c>
      <c r="C24" s="1" t="s">
        <v>2</v>
      </c>
      <c r="D24" s="1">
        <v>1</v>
      </c>
      <c r="E24" s="1">
        <f t="shared" si="0"/>
        <v>70</v>
      </c>
      <c r="F24" s="1" t="s">
        <v>178</v>
      </c>
      <c r="G24" s="7" t="s">
        <v>231</v>
      </c>
    </row>
    <row r="25" spans="1:7">
      <c r="A25" s="31"/>
      <c r="B25" s="2" t="s">
        <v>11</v>
      </c>
      <c r="C25" s="1" t="s">
        <v>2</v>
      </c>
      <c r="D25" s="1">
        <v>1</v>
      </c>
      <c r="E25" s="1">
        <f t="shared" si="0"/>
        <v>71</v>
      </c>
      <c r="F25" s="1" t="s">
        <v>178</v>
      </c>
      <c r="G25" s="7" t="s">
        <v>231</v>
      </c>
    </row>
    <row r="26" spans="1:7">
      <c r="A26" s="31"/>
      <c r="B26" s="2" t="s">
        <v>19</v>
      </c>
      <c r="C26" s="1" t="s">
        <v>3</v>
      </c>
      <c r="D26" s="1">
        <v>16</v>
      </c>
      <c r="E26" s="1">
        <f t="shared" si="0"/>
        <v>72</v>
      </c>
      <c r="F26" s="1" t="s">
        <v>191</v>
      </c>
      <c r="G26" s="7" t="s">
        <v>169</v>
      </c>
    </row>
    <row r="27" spans="1:7" ht="26.4">
      <c r="A27" s="31"/>
      <c r="B27" s="2" t="s">
        <v>242</v>
      </c>
      <c r="C27" s="1" t="s">
        <v>3</v>
      </c>
      <c r="D27" s="1">
        <v>16</v>
      </c>
      <c r="E27" s="1">
        <f t="shared" si="0"/>
        <v>88</v>
      </c>
      <c r="F27" s="1" t="s">
        <v>191</v>
      </c>
      <c r="G27" s="7" t="s">
        <v>22</v>
      </c>
    </row>
    <row r="28" spans="1:7" ht="26.4">
      <c r="A28" s="31"/>
      <c r="B28" s="2" t="s">
        <v>243</v>
      </c>
      <c r="C28" s="1" t="s">
        <v>3</v>
      </c>
      <c r="D28" s="1">
        <v>16</v>
      </c>
      <c r="E28" s="1">
        <f t="shared" si="0"/>
        <v>104</v>
      </c>
      <c r="F28" s="1" t="s">
        <v>191</v>
      </c>
      <c r="G28" s="7" t="s">
        <v>23</v>
      </c>
    </row>
    <row r="29" spans="1:7">
      <c r="A29" s="31"/>
      <c r="B29" s="2" t="s">
        <v>237</v>
      </c>
      <c r="C29" s="1" t="s">
        <v>17</v>
      </c>
      <c r="D29" s="1">
        <v>32</v>
      </c>
      <c r="E29" s="1">
        <f t="shared" si="0"/>
        <v>120</v>
      </c>
      <c r="F29" s="1" t="s">
        <v>191</v>
      </c>
      <c r="G29" s="7"/>
    </row>
    <row r="30" spans="1:7">
      <c r="A30" s="31"/>
      <c r="B30" s="2" t="s">
        <v>238</v>
      </c>
      <c r="C30" s="1" t="s">
        <v>17</v>
      </c>
      <c r="D30" s="1">
        <v>32</v>
      </c>
      <c r="E30" s="1">
        <f t="shared" si="0"/>
        <v>152</v>
      </c>
      <c r="F30" s="1" t="s">
        <v>191</v>
      </c>
      <c r="G30" s="7"/>
    </row>
    <row r="31" spans="1:7">
      <c r="A31" s="31"/>
      <c r="B31" s="2" t="s">
        <v>180</v>
      </c>
      <c r="C31" s="1" t="s">
        <v>17</v>
      </c>
      <c r="D31" s="1">
        <v>32</v>
      </c>
      <c r="E31" s="1">
        <f t="shared" si="0"/>
        <v>184</v>
      </c>
      <c r="F31" s="1" t="s">
        <v>191</v>
      </c>
      <c r="G31" s="7"/>
    </row>
    <row r="32" spans="1:7">
      <c r="A32" s="31"/>
      <c r="B32" s="2" t="s">
        <v>182</v>
      </c>
      <c r="C32" s="1" t="s">
        <v>12</v>
      </c>
      <c r="D32" s="1">
        <v>4</v>
      </c>
      <c r="E32" s="1">
        <f t="shared" si="0"/>
        <v>216</v>
      </c>
      <c r="F32" s="1" t="s">
        <v>191</v>
      </c>
      <c r="G32" s="7"/>
    </row>
    <row r="33" spans="1:7">
      <c r="A33" s="31"/>
      <c r="B33" s="2" t="s">
        <v>183</v>
      </c>
      <c r="C33" s="1" t="s">
        <v>12</v>
      </c>
      <c r="D33" s="1">
        <v>4</v>
      </c>
      <c r="E33" s="1">
        <f t="shared" si="0"/>
        <v>220</v>
      </c>
      <c r="F33" s="1" t="s">
        <v>191</v>
      </c>
      <c r="G33" s="7"/>
    </row>
    <row r="34" spans="1:7">
      <c r="A34" s="31"/>
      <c r="B34" s="2" t="s">
        <v>239</v>
      </c>
      <c r="C34" s="1" t="s">
        <v>17</v>
      </c>
      <c r="D34" s="1">
        <v>32</v>
      </c>
      <c r="E34" s="1">
        <f t="shared" si="0"/>
        <v>224</v>
      </c>
      <c r="F34" s="1" t="s">
        <v>191</v>
      </c>
    </row>
    <row r="35" spans="1:7">
      <c r="A35" s="31"/>
      <c r="B35" s="2" t="s">
        <v>240</v>
      </c>
      <c r="C35" s="1" t="s">
        <v>17</v>
      </c>
      <c r="D35" s="1">
        <v>32</v>
      </c>
      <c r="E35" s="1">
        <f t="shared" si="0"/>
        <v>256</v>
      </c>
      <c r="F35" s="1" t="s">
        <v>191</v>
      </c>
    </row>
    <row r="36" spans="1:7">
      <c r="A36" s="31"/>
      <c r="B36" s="2" t="s">
        <v>181</v>
      </c>
      <c r="C36" s="1" t="s">
        <v>17</v>
      </c>
      <c r="D36" s="1">
        <v>32</v>
      </c>
      <c r="E36" s="1">
        <f t="shared" si="0"/>
        <v>288</v>
      </c>
      <c r="F36" s="1" t="s">
        <v>191</v>
      </c>
      <c r="G36" s="7" t="s">
        <v>24</v>
      </c>
    </row>
    <row r="37" spans="1:7">
      <c r="A37" s="31"/>
      <c r="B37" s="2" t="s">
        <v>15</v>
      </c>
      <c r="C37" s="1" t="s">
        <v>16</v>
      </c>
      <c r="D37" s="1">
        <v>32</v>
      </c>
      <c r="E37" s="1">
        <f t="shared" si="0"/>
        <v>320</v>
      </c>
      <c r="F37" s="1" t="s">
        <v>191</v>
      </c>
      <c r="G37" s="7"/>
    </row>
    <row r="38" spans="1:7">
      <c r="A38" s="31"/>
      <c r="B38" s="2" t="s">
        <v>244</v>
      </c>
      <c r="C38" s="1" t="s">
        <v>16</v>
      </c>
      <c r="D38" s="1">
        <v>32</v>
      </c>
      <c r="E38" s="1">
        <f t="shared" si="0"/>
        <v>352</v>
      </c>
      <c r="F38" s="1" t="s">
        <v>191</v>
      </c>
      <c r="G38" s="7"/>
    </row>
    <row r="39" spans="1:7">
      <c r="A39" s="31"/>
      <c r="B39" s="2" t="s">
        <v>245</v>
      </c>
      <c r="C39" s="1" t="s">
        <v>17</v>
      </c>
      <c r="D39" s="1">
        <v>32</v>
      </c>
      <c r="E39" s="1">
        <f t="shared" si="0"/>
        <v>384</v>
      </c>
      <c r="F39" s="1" t="s">
        <v>191</v>
      </c>
      <c r="G39" s="7"/>
    </row>
    <row r="40" spans="1:7">
      <c r="A40" s="31"/>
      <c r="B40" s="2" t="s">
        <v>246</v>
      </c>
      <c r="C40" s="1" t="s">
        <v>16</v>
      </c>
      <c r="D40" s="1">
        <v>32</v>
      </c>
      <c r="E40" s="1">
        <f t="shared" si="0"/>
        <v>416</v>
      </c>
      <c r="F40" s="1" t="s">
        <v>191</v>
      </c>
      <c r="G40" s="7"/>
    </row>
    <row r="41" spans="1:7">
      <c r="A41" s="31"/>
      <c r="B41" s="2" t="s">
        <v>20</v>
      </c>
      <c r="C41" s="1" t="s">
        <v>16</v>
      </c>
      <c r="D41" s="1">
        <v>32</v>
      </c>
      <c r="E41" s="1">
        <f t="shared" si="0"/>
        <v>448</v>
      </c>
      <c r="F41" s="1" t="s">
        <v>191</v>
      </c>
      <c r="G41" s="7" t="s">
        <v>170</v>
      </c>
    </row>
    <row r="42" spans="1:7">
      <c r="A42" s="31"/>
      <c r="B42" s="2" t="s">
        <v>247</v>
      </c>
      <c r="C42" s="1" t="s">
        <v>3</v>
      </c>
      <c r="D42" s="1">
        <v>16</v>
      </c>
      <c r="E42" s="1">
        <f t="shared" si="0"/>
        <v>480</v>
      </c>
      <c r="F42" s="1" t="s">
        <v>191</v>
      </c>
      <c r="G42" s="7"/>
    </row>
    <row r="43" spans="1:7">
      <c r="A43" s="31"/>
      <c r="B43" s="2" t="s">
        <v>248</v>
      </c>
      <c r="C43" s="1" t="s">
        <v>3</v>
      </c>
      <c r="D43" s="1">
        <v>16</v>
      </c>
      <c r="E43" s="1">
        <f t="shared" si="0"/>
        <v>496</v>
      </c>
      <c r="F43" s="1" t="s">
        <v>191</v>
      </c>
      <c r="G43" s="7"/>
    </row>
    <row r="44" spans="1:7">
      <c r="A44" s="32"/>
      <c r="B44" s="2" t="s">
        <v>249</v>
      </c>
      <c r="C44" s="1" t="s">
        <v>3</v>
      </c>
      <c r="D44" s="1">
        <v>16</v>
      </c>
      <c r="E44" s="1">
        <f t="shared" si="0"/>
        <v>512</v>
      </c>
      <c r="F44" s="1" t="s">
        <v>191</v>
      </c>
      <c r="G44" s="7"/>
    </row>
    <row r="45" spans="1:7">
      <c r="A45" s="27" t="s">
        <v>260</v>
      </c>
      <c r="B45" s="14" t="s">
        <v>43</v>
      </c>
      <c r="C45" s="1" t="s">
        <v>17</v>
      </c>
      <c r="D45" s="1">
        <v>32</v>
      </c>
      <c r="E45" s="1">
        <f t="shared" si="0"/>
        <v>528</v>
      </c>
      <c r="F45" s="1" t="s">
        <v>191</v>
      </c>
      <c r="G45" s="6" t="s">
        <v>232</v>
      </c>
    </row>
    <row r="46" spans="1:7">
      <c r="A46" s="28"/>
      <c r="B46" s="14" t="s">
        <v>44</v>
      </c>
      <c r="C46" s="1" t="s">
        <v>31</v>
      </c>
      <c r="D46" s="1">
        <v>16</v>
      </c>
      <c r="E46" s="1">
        <f t="shared" si="0"/>
        <v>560</v>
      </c>
      <c r="F46" s="1" t="s">
        <v>191</v>
      </c>
      <c r="G46" s="6" t="s">
        <v>171</v>
      </c>
    </row>
    <row r="47" spans="1:7">
      <c r="A47" s="28"/>
      <c r="B47" s="14" t="s">
        <v>45</v>
      </c>
      <c r="C47" s="1" t="s">
        <v>31</v>
      </c>
      <c r="D47" s="1">
        <v>16</v>
      </c>
      <c r="E47" s="1">
        <f t="shared" si="0"/>
        <v>576</v>
      </c>
      <c r="F47" s="1" t="s">
        <v>191</v>
      </c>
      <c r="G47" s="6"/>
    </row>
    <row r="48" spans="1:7">
      <c r="A48" s="28"/>
      <c r="B48" s="14" t="s">
        <v>46</v>
      </c>
      <c r="C48" s="1" t="s">
        <v>31</v>
      </c>
      <c r="D48" s="1">
        <v>16</v>
      </c>
      <c r="E48" s="1">
        <f t="shared" si="0"/>
        <v>592</v>
      </c>
      <c r="F48" s="1" t="s">
        <v>191</v>
      </c>
      <c r="G48" s="6"/>
    </row>
    <row r="49" spans="1:7">
      <c r="A49" s="28"/>
      <c r="B49" s="14" t="s">
        <v>47</v>
      </c>
      <c r="C49" s="1" t="s">
        <v>31</v>
      </c>
      <c r="D49" s="1">
        <v>16</v>
      </c>
      <c r="E49" s="1">
        <f t="shared" si="0"/>
        <v>608</v>
      </c>
      <c r="F49" s="1" t="s">
        <v>191</v>
      </c>
      <c r="G49" s="6"/>
    </row>
    <row r="50" spans="1:7">
      <c r="A50" s="28"/>
      <c r="B50" s="14" t="s">
        <v>48</v>
      </c>
      <c r="C50" s="1" t="s">
        <v>31</v>
      </c>
      <c r="D50" s="1">
        <v>16</v>
      </c>
      <c r="E50" s="1">
        <f t="shared" si="0"/>
        <v>624</v>
      </c>
      <c r="F50" s="1" t="s">
        <v>191</v>
      </c>
      <c r="G50" s="6"/>
    </row>
    <row r="51" spans="1:7">
      <c r="A51" s="28"/>
      <c r="B51" s="14" t="s">
        <v>49</v>
      </c>
      <c r="C51" s="1" t="s">
        <v>31</v>
      </c>
      <c r="D51" s="1">
        <v>16</v>
      </c>
      <c r="E51" s="1">
        <f t="shared" si="0"/>
        <v>640</v>
      </c>
      <c r="F51" s="1" t="s">
        <v>191</v>
      </c>
      <c r="G51" s="6"/>
    </row>
    <row r="52" spans="1:7" ht="105.6">
      <c r="A52" s="28"/>
      <c r="B52" s="14" t="s">
        <v>50</v>
      </c>
      <c r="C52" s="1" t="s">
        <v>2</v>
      </c>
      <c r="D52" s="1">
        <v>4</v>
      </c>
      <c r="E52" s="1">
        <f t="shared" si="0"/>
        <v>656</v>
      </c>
      <c r="F52" s="1" t="s">
        <v>191</v>
      </c>
      <c r="G52" s="7" t="s">
        <v>173</v>
      </c>
    </row>
    <row r="53" spans="1:7" ht="211.2">
      <c r="A53" s="28"/>
      <c r="B53" s="14" t="s">
        <v>51</v>
      </c>
      <c r="C53" s="1" t="s">
        <v>2</v>
      </c>
      <c r="D53" s="1">
        <v>4</v>
      </c>
      <c r="E53" s="1">
        <f t="shared" si="0"/>
        <v>660</v>
      </c>
      <c r="F53" s="1" t="s">
        <v>191</v>
      </c>
      <c r="G53" s="10" t="s">
        <v>174</v>
      </c>
    </row>
    <row r="54" spans="1:7" ht="52.8">
      <c r="A54" s="28"/>
      <c r="B54" s="14" t="s">
        <v>52</v>
      </c>
      <c r="C54" s="1" t="s">
        <v>2</v>
      </c>
      <c r="D54" s="1">
        <v>2</v>
      </c>
      <c r="E54" s="1">
        <f t="shared" si="0"/>
        <v>664</v>
      </c>
      <c r="F54" s="1" t="s">
        <v>191</v>
      </c>
      <c r="G54" s="7" t="s">
        <v>175</v>
      </c>
    </row>
    <row r="55" spans="1:7">
      <c r="A55" s="28"/>
      <c r="B55" s="14" t="s">
        <v>87</v>
      </c>
      <c r="C55" s="1" t="s">
        <v>2</v>
      </c>
      <c r="D55" s="1">
        <v>6</v>
      </c>
      <c r="E55" s="1">
        <f t="shared" si="0"/>
        <v>666</v>
      </c>
      <c r="F55" s="1" t="s">
        <v>191</v>
      </c>
      <c r="G55" s="6"/>
    </row>
    <row r="56" spans="1:7">
      <c r="A56" s="28"/>
      <c r="B56" s="14" t="s">
        <v>53</v>
      </c>
      <c r="C56" s="1" t="s">
        <v>2</v>
      </c>
      <c r="D56" s="1">
        <v>1</v>
      </c>
      <c r="E56" s="1">
        <f t="shared" si="0"/>
        <v>672</v>
      </c>
      <c r="F56" s="1" t="s">
        <v>191</v>
      </c>
      <c r="G56" s="6" t="s">
        <v>177</v>
      </c>
    </row>
    <row r="57" spans="1:7">
      <c r="A57" s="28"/>
      <c r="B57" s="14" t="s">
        <v>54</v>
      </c>
      <c r="C57" s="1" t="s">
        <v>2</v>
      </c>
      <c r="D57" s="1">
        <v>1</v>
      </c>
      <c r="E57" s="1">
        <f t="shared" si="0"/>
        <v>673</v>
      </c>
      <c r="F57" s="1" t="s">
        <v>191</v>
      </c>
      <c r="G57" s="6" t="s">
        <v>177</v>
      </c>
    </row>
    <row r="58" spans="1:7">
      <c r="A58" s="28"/>
      <c r="B58" s="14" t="s">
        <v>55</v>
      </c>
      <c r="C58" s="1" t="s">
        <v>2</v>
      </c>
      <c r="D58" s="1">
        <v>1</v>
      </c>
      <c r="E58" s="1">
        <f t="shared" si="0"/>
        <v>674</v>
      </c>
      <c r="F58" s="1" t="s">
        <v>191</v>
      </c>
      <c r="G58" s="6" t="s">
        <v>177</v>
      </c>
    </row>
    <row r="59" spans="1:7">
      <c r="A59" s="28"/>
      <c r="B59" s="14" t="s">
        <v>56</v>
      </c>
      <c r="C59" s="1" t="s">
        <v>2</v>
      </c>
      <c r="D59" s="1">
        <v>1</v>
      </c>
      <c r="E59" s="1">
        <f t="shared" si="0"/>
        <v>675</v>
      </c>
      <c r="F59" s="1" t="s">
        <v>191</v>
      </c>
      <c r="G59" s="6" t="s">
        <v>177</v>
      </c>
    </row>
    <row r="60" spans="1:7">
      <c r="A60" s="28"/>
      <c r="B60" s="14" t="s">
        <v>57</v>
      </c>
      <c r="C60" s="1" t="s">
        <v>2</v>
      </c>
      <c r="D60" s="1">
        <v>1</v>
      </c>
      <c r="E60" s="1">
        <f t="shared" si="0"/>
        <v>676</v>
      </c>
      <c r="F60" s="1" t="s">
        <v>191</v>
      </c>
      <c r="G60" s="6" t="s">
        <v>177</v>
      </c>
    </row>
    <row r="61" spans="1:7">
      <c r="A61" s="28"/>
      <c r="B61" s="14" t="s">
        <v>58</v>
      </c>
      <c r="C61" s="1" t="s">
        <v>2</v>
      </c>
      <c r="D61" s="1">
        <v>1</v>
      </c>
      <c r="E61" s="1">
        <f t="shared" si="0"/>
        <v>677</v>
      </c>
      <c r="F61" s="1" t="s">
        <v>191</v>
      </c>
      <c r="G61" s="6" t="s">
        <v>177</v>
      </c>
    </row>
    <row r="62" spans="1:7">
      <c r="A62" s="28"/>
      <c r="B62" s="14" t="s">
        <v>59</v>
      </c>
      <c r="C62" s="1" t="s">
        <v>2</v>
      </c>
      <c r="D62" s="1">
        <v>1</v>
      </c>
      <c r="E62" s="1">
        <f t="shared" si="0"/>
        <v>678</v>
      </c>
      <c r="F62" s="1" t="s">
        <v>191</v>
      </c>
      <c r="G62" s="6" t="s">
        <v>177</v>
      </c>
    </row>
    <row r="63" spans="1:7">
      <c r="A63" s="28"/>
      <c r="B63" s="14" t="s">
        <v>60</v>
      </c>
      <c r="C63" s="1" t="s">
        <v>2</v>
      </c>
      <c r="D63" s="1">
        <v>1</v>
      </c>
      <c r="E63" s="1">
        <f t="shared" si="0"/>
        <v>679</v>
      </c>
      <c r="F63" s="1" t="s">
        <v>191</v>
      </c>
      <c r="G63" s="6" t="s">
        <v>177</v>
      </c>
    </row>
    <row r="64" spans="1:7">
      <c r="A64" s="28"/>
      <c r="B64" s="14" t="s">
        <v>35</v>
      </c>
      <c r="C64" s="1" t="s">
        <v>2</v>
      </c>
      <c r="D64" s="1">
        <v>1</v>
      </c>
      <c r="E64" s="1">
        <f t="shared" si="0"/>
        <v>680</v>
      </c>
      <c r="F64" s="1" t="s">
        <v>191</v>
      </c>
      <c r="G64" s="6" t="s">
        <v>176</v>
      </c>
    </row>
    <row r="65" spans="1:7">
      <c r="A65" s="28"/>
      <c r="B65" s="14" t="s">
        <v>36</v>
      </c>
      <c r="C65" s="1" t="s">
        <v>2</v>
      </c>
      <c r="D65" s="1">
        <v>1</v>
      </c>
      <c r="E65" s="1">
        <f t="shared" si="0"/>
        <v>681</v>
      </c>
      <c r="F65" s="1" t="s">
        <v>191</v>
      </c>
      <c r="G65" s="6" t="s">
        <v>176</v>
      </c>
    </row>
    <row r="66" spans="1:7">
      <c r="A66" s="28"/>
      <c r="B66" s="14" t="s">
        <v>37</v>
      </c>
      <c r="C66" s="1" t="s">
        <v>2</v>
      </c>
      <c r="D66" s="1">
        <v>1</v>
      </c>
      <c r="E66" s="1">
        <f t="shared" si="0"/>
        <v>682</v>
      </c>
      <c r="F66" s="1" t="s">
        <v>191</v>
      </c>
      <c r="G66" s="6" t="s">
        <v>176</v>
      </c>
    </row>
    <row r="67" spans="1:7">
      <c r="A67" s="28"/>
      <c r="B67" s="14" t="s">
        <v>38</v>
      </c>
      <c r="C67" s="1" t="s">
        <v>2</v>
      </c>
      <c r="D67" s="1">
        <v>1</v>
      </c>
      <c r="E67" s="1">
        <f t="shared" si="0"/>
        <v>683</v>
      </c>
      <c r="F67" s="1" t="s">
        <v>191</v>
      </c>
      <c r="G67" s="6" t="s">
        <v>176</v>
      </c>
    </row>
    <row r="68" spans="1:7">
      <c r="A68" s="28"/>
      <c r="B68" s="14" t="s">
        <v>39</v>
      </c>
      <c r="C68" s="1" t="s">
        <v>2</v>
      </c>
      <c r="D68" s="1">
        <v>1</v>
      </c>
      <c r="E68" s="1">
        <f t="shared" si="0"/>
        <v>684</v>
      </c>
      <c r="F68" s="1" t="s">
        <v>191</v>
      </c>
      <c r="G68" s="6" t="s">
        <v>176</v>
      </c>
    </row>
    <row r="69" spans="1:7">
      <c r="A69" s="28"/>
      <c r="B69" s="14" t="s">
        <v>40</v>
      </c>
      <c r="C69" s="1" t="s">
        <v>2</v>
      </c>
      <c r="D69" s="1">
        <v>1</v>
      </c>
      <c r="E69" s="1">
        <f t="shared" ref="E69:E132" si="1">E68+D68</f>
        <v>685</v>
      </c>
      <c r="F69" s="1" t="s">
        <v>191</v>
      </c>
      <c r="G69" s="6" t="s">
        <v>176</v>
      </c>
    </row>
    <row r="70" spans="1:7">
      <c r="A70" s="28"/>
      <c r="B70" s="14" t="s">
        <v>41</v>
      </c>
      <c r="C70" s="1" t="s">
        <v>2</v>
      </c>
      <c r="D70" s="1">
        <v>1</v>
      </c>
      <c r="E70" s="1">
        <f t="shared" si="1"/>
        <v>686</v>
      </c>
      <c r="F70" s="1" t="s">
        <v>191</v>
      </c>
      <c r="G70" s="6" t="s">
        <v>176</v>
      </c>
    </row>
    <row r="71" spans="1:7">
      <c r="A71" s="28"/>
      <c r="B71" s="14" t="s">
        <v>42</v>
      </c>
      <c r="C71" s="1" t="s">
        <v>2</v>
      </c>
      <c r="D71" s="1">
        <v>1</v>
      </c>
      <c r="E71" s="1">
        <f t="shared" si="1"/>
        <v>687</v>
      </c>
      <c r="F71" s="1" t="s">
        <v>191</v>
      </c>
      <c r="G71" s="6" t="s">
        <v>176</v>
      </c>
    </row>
    <row r="72" spans="1:7">
      <c r="A72" s="28"/>
      <c r="B72" s="14" t="s">
        <v>61</v>
      </c>
      <c r="C72" s="1" t="s">
        <v>2</v>
      </c>
      <c r="D72" s="1">
        <v>1</v>
      </c>
      <c r="E72" s="1">
        <f t="shared" si="1"/>
        <v>688</v>
      </c>
      <c r="F72" s="1" t="s">
        <v>191</v>
      </c>
      <c r="G72" s="6" t="s">
        <v>176</v>
      </c>
    </row>
    <row r="73" spans="1:7">
      <c r="A73" s="28"/>
      <c r="B73" s="14" t="s">
        <v>62</v>
      </c>
      <c r="C73" s="1" t="s">
        <v>2</v>
      </c>
      <c r="D73" s="1">
        <v>1</v>
      </c>
      <c r="E73" s="1">
        <f t="shared" si="1"/>
        <v>689</v>
      </c>
      <c r="F73" s="1" t="s">
        <v>191</v>
      </c>
      <c r="G73" s="6" t="s">
        <v>176</v>
      </c>
    </row>
    <row r="74" spans="1:7">
      <c r="A74" s="28"/>
      <c r="B74" s="14" t="s">
        <v>63</v>
      </c>
      <c r="C74" s="1" t="s">
        <v>2</v>
      </c>
      <c r="D74" s="1">
        <v>1</v>
      </c>
      <c r="E74" s="1">
        <f t="shared" si="1"/>
        <v>690</v>
      </c>
      <c r="F74" s="1" t="s">
        <v>191</v>
      </c>
      <c r="G74" s="6" t="s">
        <v>176</v>
      </c>
    </row>
    <row r="75" spans="1:7">
      <c r="A75" s="28"/>
      <c r="B75" s="14" t="s">
        <v>64</v>
      </c>
      <c r="C75" s="1" t="s">
        <v>2</v>
      </c>
      <c r="D75" s="1">
        <v>1</v>
      </c>
      <c r="E75" s="1">
        <f t="shared" si="1"/>
        <v>691</v>
      </c>
      <c r="F75" s="1" t="s">
        <v>191</v>
      </c>
      <c r="G75" s="6" t="s">
        <v>176</v>
      </c>
    </row>
    <row r="76" spans="1:7">
      <c r="A76" s="28"/>
      <c r="B76" s="14" t="s">
        <v>65</v>
      </c>
      <c r="C76" s="1" t="s">
        <v>2</v>
      </c>
      <c r="D76" s="1">
        <v>1</v>
      </c>
      <c r="E76" s="1">
        <f t="shared" si="1"/>
        <v>692</v>
      </c>
      <c r="F76" s="1" t="s">
        <v>191</v>
      </c>
      <c r="G76" s="6" t="s">
        <v>176</v>
      </c>
    </row>
    <row r="77" spans="1:7">
      <c r="A77" s="28"/>
      <c r="B77" s="14" t="s">
        <v>66</v>
      </c>
      <c r="C77" s="1" t="s">
        <v>2</v>
      </c>
      <c r="D77" s="1">
        <v>1</v>
      </c>
      <c r="E77" s="1">
        <f t="shared" si="1"/>
        <v>693</v>
      </c>
      <c r="F77" s="1" t="s">
        <v>191</v>
      </c>
      <c r="G77" s="6" t="s">
        <v>176</v>
      </c>
    </row>
    <row r="78" spans="1:7">
      <c r="A78" s="28"/>
      <c r="B78" s="14" t="s">
        <v>67</v>
      </c>
      <c r="C78" s="1" t="s">
        <v>2</v>
      </c>
      <c r="D78" s="1">
        <v>1</v>
      </c>
      <c r="E78" s="1">
        <f t="shared" si="1"/>
        <v>694</v>
      </c>
      <c r="F78" s="1" t="s">
        <v>191</v>
      </c>
      <c r="G78" s="6" t="s">
        <v>176</v>
      </c>
    </row>
    <row r="79" spans="1:7">
      <c r="A79" s="28"/>
      <c r="B79" s="14" t="s">
        <v>68</v>
      </c>
      <c r="C79" s="1" t="s">
        <v>2</v>
      </c>
      <c r="D79" s="1">
        <v>1</v>
      </c>
      <c r="E79" s="1">
        <f t="shared" si="1"/>
        <v>695</v>
      </c>
      <c r="F79" s="1" t="s">
        <v>191</v>
      </c>
      <c r="G79" s="6" t="s">
        <v>176</v>
      </c>
    </row>
    <row r="80" spans="1:7">
      <c r="A80" s="28"/>
      <c r="B80" s="14" t="s">
        <v>69</v>
      </c>
      <c r="C80" s="1" t="s">
        <v>2</v>
      </c>
      <c r="D80" s="1">
        <v>1</v>
      </c>
      <c r="E80" s="1">
        <f t="shared" si="1"/>
        <v>696</v>
      </c>
      <c r="F80" s="1" t="s">
        <v>191</v>
      </c>
      <c r="G80" s="6" t="s">
        <v>176</v>
      </c>
    </row>
    <row r="81" spans="1:7">
      <c r="A81" s="28"/>
      <c r="B81" s="14" t="s">
        <v>70</v>
      </c>
      <c r="C81" s="1" t="s">
        <v>2</v>
      </c>
      <c r="D81" s="1">
        <v>1</v>
      </c>
      <c r="E81" s="1">
        <f t="shared" si="1"/>
        <v>697</v>
      </c>
      <c r="F81" s="1" t="s">
        <v>191</v>
      </c>
      <c r="G81" s="6" t="s">
        <v>176</v>
      </c>
    </row>
    <row r="82" spans="1:7">
      <c r="A82" s="28"/>
      <c r="B82" s="14" t="s">
        <v>71</v>
      </c>
      <c r="C82" s="1" t="s">
        <v>2</v>
      </c>
      <c r="D82" s="1">
        <v>1</v>
      </c>
      <c r="E82" s="1">
        <f t="shared" si="1"/>
        <v>698</v>
      </c>
      <c r="F82" s="1" t="s">
        <v>191</v>
      </c>
      <c r="G82" s="6" t="s">
        <v>176</v>
      </c>
    </row>
    <row r="83" spans="1:7">
      <c r="A83" s="28"/>
      <c r="B83" s="14" t="s">
        <v>72</v>
      </c>
      <c r="C83" s="1" t="s">
        <v>2</v>
      </c>
      <c r="D83" s="1">
        <v>1</v>
      </c>
      <c r="E83" s="1">
        <f t="shared" si="1"/>
        <v>699</v>
      </c>
      <c r="F83" s="1" t="s">
        <v>191</v>
      </c>
      <c r="G83" s="6" t="s">
        <v>176</v>
      </c>
    </row>
    <row r="84" spans="1:7">
      <c r="A84" s="28"/>
      <c r="B84" s="14" t="s">
        <v>73</v>
      </c>
      <c r="C84" s="1" t="s">
        <v>2</v>
      </c>
      <c r="D84" s="1">
        <v>1</v>
      </c>
      <c r="E84" s="1">
        <f t="shared" si="1"/>
        <v>700</v>
      </c>
      <c r="F84" s="1" t="s">
        <v>191</v>
      </c>
      <c r="G84" s="6" t="s">
        <v>176</v>
      </c>
    </row>
    <row r="85" spans="1:7">
      <c r="A85" s="28"/>
      <c r="B85" s="14" t="s">
        <v>74</v>
      </c>
      <c r="C85" s="1" t="s">
        <v>2</v>
      </c>
      <c r="D85" s="1">
        <v>1</v>
      </c>
      <c r="E85" s="1">
        <f t="shared" si="1"/>
        <v>701</v>
      </c>
      <c r="F85" s="1" t="s">
        <v>191</v>
      </c>
      <c r="G85" s="6" t="s">
        <v>176</v>
      </c>
    </row>
    <row r="86" spans="1:7">
      <c r="A86" s="28"/>
      <c r="B86" s="14" t="s">
        <v>75</v>
      </c>
      <c r="C86" s="1" t="s">
        <v>2</v>
      </c>
      <c r="D86" s="1">
        <v>1</v>
      </c>
      <c r="E86" s="1">
        <f t="shared" si="1"/>
        <v>702</v>
      </c>
      <c r="F86" s="1" t="s">
        <v>191</v>
      </c>
      <c r="G86" s="6" t="s">
        <v>176</v>
      </c>
    </row>
    <row r="87" spans="1:7">
      <c r="A87" s="28"/>
      <c r="B87" s="14" t="s">
        <v>76</v>
      </c>
      <c r="C87" s="1" t="s">
        <v>2</v>
      </c>
      <c r="D87" s="1">
        <v>1</v>
      </c>
      <c r="E87" s="1">
        <f t="shared" si="1"/>
        <v>703</v>
      </c>
      <c r="F87" s="1" t="s">
        <v>191</v>
      </c>
      <c r="G87" s="6" t="s">
        <v>176</v>
      </c>
    </row>
    <row r="88" spans="1:7">
      <c r="A88" s="28"/>
      <c r="B88" s="14" t="s">
        <v>77</v>
      </c>
      <c r="C88" s="1" t="s">
        <v>32</v>
      </c>
      <c r="D88" s="1">
        <v>16</v>
      </c>
      <c r="E88" s="1">
        <f t="shared" si="1"/>
        <v>704</v>
      </c>
      <c r="F88" s="1" t="s">
        <v>191</v>
      </c>
      <c r="G88" s="6" t="s">
        <v>198</v>
      </c>
    </row>
    <row r="89" spans="1:7">
      <c r="A89" s="28"/>
      <c r="B89" s="14" t="s">
        <v>78</v>
      </c>
      <c r="C89" s="1" t="s">
        <v>32</v>
      </c>
      <c r="D89" s="1">
        <v>16</v>
      </c>
      <c r="E89" s="1">
        <f t="shared" si="1"/>
        <v>720</v>
      </c>
      <c r="F89" s="1" t="s">
        <v>191</v>
      </c>
      <c r="G89" s="6" t="s">
        <v>198</v>
      </c>
    </row>
    <row r="90" spans="1:7">
      <c r="A90" s="28"/>
      <c r="B90" s="14" t="s">
        <v>79</v>
      </c>
      <c r="C90" s="1" t="s">
        <v>32</v>
      </c>
      <c r="D90" s="1">
        <v>16</v>
      </c>
      <c r="E90" s="1">
        <f t="shared" si="1"/>
        <v>736</v>
      </c>
      <c r="F90" s="1" t="s">
        <v>191</v>
      </c>
      <c r="G90" s="6" t="s">
        <v>198</v>
      </c>
    </row>
    <row r="91" spans="1:7">
      <c r="A91" s="28"/>
      <c r="B91" s="14" t="s">
        <v>80</v>
      </c>
      <c r="C91" s="1" t="s">
        <v>32</v>
      </c>
      <c r="D91" s="1">
        <v>16</v>
      </c>
      <c r="E91" s="1">
        <f t="shared" si="1"/>
        <v>752</v>
      </c>
      <c r="F91" s="1" t="s">
        <v>191</v>
      </c>
      <c r="G91" s="6" t="s">
        <v>199</v>
      </c>
    </row>
    <row r="92" spans="1:7">
      <c r="A92" s="28"/>
      <c r="B92" s="14" t="s">
        <v>81</v>
      </c>
      <c r="C92" s="1" t="s">
        <v>32</v>
      </c>
      <c r="D92" s="1">
        <v>16</v>
      </c>
      <c r="E92" s="1">
        <f t="shared" si="1"/>
        <v>768</v>
      </c>
      <c r="F92" s="1" t="s">
        <v>191</v>
      </c>
      <c r="G92" s="6" t="s">
        <v>199</v>
      </c>
    </row>
    <row r="93" spans="1:7">
      <c r="A93" s="28"/>
      <c r="B93" s="14" t="s">
        <v>82</v>
      </c>
      <c r="C93" s="1" t="s">
        <v>32</v>
      </c>
      <c r="D93" s="1">
        <v>16</v>
      </c>
      <c r="E93" s="1">
        <f t="shared" si="1"/>
        <v>784</v>
      </c>
      <c r="F93" s="1" t="s">
        <v>191</v>
      </c>
      <c r="G93" s="6" t="s">
        <v>199</v>
      </c>
    </row>
    <row r="94" spans="1:7">
      <c r="A94" s="28"/>
      <c r="B94" s="14" t="s">
        <v>84</v>
      </c>
      <c r="C94" s="1" t="s">
        <v>32</v>
      </c>
      <c r="D94" s="1">
        <v>16</v>
      </c>
      <c r="E94" s="1">
        <f t="shared" si="1"/>
        <v>800</v>
      </c>
      <c r="F94" s="1" t="s">
        <v>191</v>
      </c>
      <c r="G94" s="6" t="s">
        <v>200</v>
      </c>
    </row>
    <row r="95" spans="1:7">
      <c r="A95" s="28"/>
      <c r="B95" s="14" t="s">
        <v>85</v>
      </c>
      <c r="C95" s="1" t="s">
        <v>32</v>
      </c>
      <c r="D95" s="1">
        <v>16</v>
      </c>
      <c r="E95" s="1">
        <f t="shared" si="1"/>
        <v>816</v>
      </c>
      <c r="F95" s="1" t="s">
        <v>191</v>
      </c>
      <c r="G95" s="6" t="s">
        <v>200</v>
      </c>
    </row>
    <row r="96" spans="1:7">
      <c r="A96" s="28"/>
      <c r="B96" s="14" t="s">
        <v>86</v>
      </c>
      <c r="C96" s="1" t="s">
        <v>32</v>
      </c>
      <c r="D96" s="1">
        <v>16</v>
      </c>
      <c r="E96" s="1">
        <f t="shared" si="1"/>
        <v>832</v>
      </c>
      <c r="F96" s="1" t="s">
        <v>191</v>
      </c>
      <c r="G96" s="6" t="s">
        <v>200</v>
      </c>
    </row>
    <row r="97" spans="1:7" ht="132">
      <c r="A97" s="28"/>
      <c r="B97" s="14" t="s">
        <v>83</v>
      </c>
      <c r="C97" s="1" t="s">
        <v>2</v>
      </c>
      <c r="D97" s="1">
        <v>4</v>
      </c>
      <c r="E97" s="1">
        <f t="shared" si="1"/>
        <v>848</v>
      </c>
      <c r="F97" s="1" t="s">
        <v>191</v>
      </c>
      <c r="G97" s="7" t="s">
        <v>201</v>
      </c>
    </row>
    <row r="98" spans="1:7">
      <c r="A98" s="28"/>
      <c r="B98" s="14" t="s">
        <v>87</v>
      </c>
      <c r="C98" s="1" t="s">
        <v>2</v>
      </c>
      <c r="D98" s="1">
        <v>4</v>
      </c>
      <c r="E98" s="1">
        <f t="shared" si="1"/>
        <v>852</v>
      </c>
      <c r="F98" s="1" t="s">
        <v>191</v>
      </c>
      <c r="G98" s="6"/>
    </row>
    <row r="99" spans="1:7">
      <c r="A99" s="28"/>
      <c r="B99" s="14" t="s">
        <v>88</v>
      </c>
      <c r="C99" s="1" t="s">
        <v>32</v>
      </c>
      <c r="D99" s="1">
        <v>16</v>
      </c>
      <c r="E99" s="1">
        <f t="shared" si="1"/>
        <v>856</v>
      </c>
      <c r="F99" s="1" t="s">
        <v>191</v>
      </c>
      <c r="G99" s="7" t="s">
        <v>202</v>
      </c>
    </row>
    <row r="100" spans="1:7">
      <c r="A100" s="28"/>
      <c r="B100" s="14" t="s">
        <v>89</v>
      </c>
      <c r="C100" s="1" t="s">
        <v>32</v>
      </c>
      <c r="D100" s="1">
        <v>16</v>
      </c>
      <c r="E100" s="1">
        <f t="shared" si="1"/>
        <v>872</v>
      </c>
      <c r="F100" s="1" t="s">
        <v>191</v>
      </c>
      <c r="G100" s="7" t="s">
        <v>202</v>
      </c>
    </row>
    <row r="101" spans="1:7">
      <c r="A101" s="28"/>
      <c r="B101" s="14" t="s">
        <v>90</v>
      </c>
      <c r="C101" s="1" t="s">
        <v>32</v>
      </c>
      <c r="D101" s="1">
        <v>16</v>
      </c>
      <c r="E101" s="1">
        <f t="shared" si="1"/>
        <v>888</v>
      </c>
      <c r="F101" s="1" t="s">
        <v>191</v>
      </c>
      <c r="G101" s="7" t="s">
        <v>202</v>
      </c>
    </row>
    <row r="102" spans="1:7">
      <c r="A102" s="28"/>
      <c r="B102" s="14" t="s">
        <v>91</v>
      </c>
      <c r="C102" s="1" t="s">
        <v>31</v>
      </c>
      <c r="D102" s="1">
        <v>16</v>
      </c>
      <c r="E102" s="1">
        <f t="shared" si="1"/>
        <v>904</v>
      </c>
      <c r="F102" s="1" t="s">
        <v>191</v>
      </c>
      <c r="G102" s="7"/>
    </row>
    <row r="103" spans="1:7">
      <c r="A103" s="28"/>
      <c r="B103" s="14" t="s">
        <v>92</v>
      </c>
      <c r="C103" s="1" t="s">
        <v>31</v>
      </c>
      <c r="D103" s="1">
        <v>16</v>
      </c>
      <c r="E103" s="1">
        <f t="shared" si="1"/>
        <v>920</v>
      </c>
      <c r="F103" s="1" t="s">
        <v>191</v>
      </c>
      <c r="G103" s="7"/>
    </row>
    <row r="104" spans="1:7">
      <c r="A104" s="28"/>
      <c r="B104" s="14" t="s">
        <v>93</v>
      </c>
      <c r="C104" s="1" t="s">
        <v>2</v>
      </c>
      <c r="D104" s="1">
        <v>8</v>
      </c>
      <c r="E104" s="1">
        <f t="shared" si="1"/>
        <v>936</v>
      </c>
      <c r="F104" s="1" t="s">
        <v>191</v>
      </c>
      <c r="G104" s="7"/>
    </row>
    <row r="105" spans="1:7">
      <c r="A105" s="28"/>
      <c r="B105" s="14" t="s">
        <v>94</v>
      </c>
      <c r="C105" s="1" t="s">
        <v>2</v>
      </c>
      <c r="D105" s="1">
        <v>1</v>
      </c>
      <c r="E105" s="1">
        <f t="shared" si="1"/>
        <v>944</v>
      </c>
      <c r="F105" s="1" t="s">
        <v>191</v>
      </c>
      <c r="G105" s="7" t="s">
        <v>203</v>
      </c>
    </row>
    <row r="106" spans="1:7" ht="79.2">
      <c r="A106" s="28"/>
      <c r="B106" s="14" t="s">
        <v>95</v>
      </c>
      <c r="C106" s="1" t="s">
        <v>2</v>
      </c>
      <c r="D106" s="1">
        <v>4</v>
      </c>
      <c r="E106" s="1">
        <f t="shared" si="1"/>
        <v>945</v>
      </c>
      <c r="F106" s="1" t="s">
        <v>191</v>
      </c>
      <c r="G106" s="7" t="s">
        <v>204</v>
      </c>
    </row>
    <row r="107" spans="1:7">
      <c r="A107" s="28"/>
      <c r="B107" s="14" t="s">
        <v>87</v>
      </c>
      <c r="C107" s="1" t="s">
        <v>2</v>
      </c>
      <c r="D107" s="1">
        <v>3</v>
      </c>
      <c r="E107" s="1">
        <f t="shared" si="1"/>
        <v>949</v>
      </c>
      <c r="F107" s="1" t="s">
        <v>178</v>
      </c>
      <c r="G107" s="7"/>
    </row>
    <row r="108" spans="1:7">
      <c r="A108" s="28"/>
      <c r="B108" s="14" t="s">
        <v>96</v>
      </c>
      <c r="C108" s="1" t="s">
        <v>2</v>
      </c>
      <c r="D108" s="1">
        <v>8</v>
      </c>
      <c r="E108" s="1">
        <f t="shared" si="1"/>
        <v>952</v>
      </c>
      <c r="F108" s="1" t="s">
        <v>191</v>
      </c>
      <c r="G108" s="7"/>
    </row>
    <row r="109" spans="1:7">
      <c r="A109" s="28"/>
      <c r="B109" s="14" t="s">
        <v>97</v>
      </c>
      <c r="C109" s="1" t="s">
        <v>32</v>
      </c>
      <c r="D109" s="1">
        <v>16</v>
      </c>
      <c r="E109" s="1">
        <f t="shared" si="1"/>
        <v>960</v>
      </c>
      <c r="F109" s="1" t="s">
        <v>191</v>
      </c>
      <c r="G109" s="7" t="s">
        <v>205</v>
      </c>
    </row>
    <row r="110" spans="1:7">
      <c r="A110" s="28"/>
      <c r="B110" s="14" t="s">
        <v>98</v>
      </c>
      <c r="C110" s="1" t="s">
        <v>32</v>
      </c>
      <c r="D110" s="1">
        <v>16</v>
      </c>
      <c r="E110" s="1">
        <f t="shared" si="1"/>
        <v>976</v>
      </c>
      <c r="F110" s="1" t="s">
        <v>191</v>
      </c>
      <c r="G110" s="7" t="s">
        <v>205</v>
      </c>
    </row>
    <row r="111" spans="1:7">
      <c r="A111" s="28"/>
      <c r="B111" s="14" t="s">
        <v>99</v>
      </c>
      <c r="C111" s="1" t="s">
        <v>32</v>
      </c>
      <c r="D111" s="1">
        <v>16</v>
      </c>
      <c r="E111" s="1">
        <f t="shared" si="1"/>
        <v>992</v>
      </c>
      <c r="F111" s="1" t="s">
        <v>191</v>
      </c>
      <c r="G111" s="7" t="s">
        <v>205</v>
      </c>
    </row>
    <row r="112" spans="1:7">
      <c r="A112" s="28"/>
      <c r="B112" s="14" t="s">
        <v>100</v>
      </c>
      <c r="C112" s="1" t="s">
        <v>2</v>
      </c>
      <c r="D112" s="1">
        <v>1</v>
      </c>
      <c r="E112" s="1">
        <f t="shared" si="1"/>
        <v>1008</v>
      </c>
      <c r="F112" s="1" t="s">
        <v>191</v>
      </c>
      <c r="G112" s="7"/>
    </row>
    <row r="113" spans="1:7">
      <c r="A113" s="29"/>
      <c r="B113" s="14" t="s">
        <v>87</v>
      </c>
      <c r="C113" s="1" t="s">
        <v>2</v>
      </c>
      <c r="D113" s="1">
        <v>7</v>
      </c>
      <c r="E113" s="1">
        <f t="shared" si="1"/>
        <v>1009</v>
      </c>
      <c r="F113" s="1" t="s">
        <v>191</v>
      </c>
      <c r="G113" s="6"/>
    </row>
    <row r="114" spans="1:7">
      <c r="A114" s="24" t="s">
        <v>261</v>
      </c>
      <c r="B114" s="14" t="s">
        <v>14</v>
      </c>
      <c r="C114" s="1" t="s">
        <v>18</v>
      </c>
      <c r="D114" s="1">
        <v>8</v>
      </c>
      <c r="E114" s="1">
        <f t="shared" si="1"/>
        <v>1016</v>
      </c>
      <c r="F114" s="1" t="s">
        <v>178</v>
      </c>
      <c r="G114" s="7"/>
    </row>
    <row r="115" spans="1:7">
      <c r="A115" s="25"/>
      <c r="B115" s="14" t="s">
        <v>206</v>
      </c>
      <c r="C115" s="1" t="s">
        <v>2</v>
      </c>
      <c r="D115" s="1">
        <v>1</v>
      </c>
      <c r="E115" s="1">
        <f t="shared" si="1"/>
        <v>1024</v>
      </c>
      <c r="F115" s="1" t="s">
        <v>178</v>
      </c>
      <c r="G115" s="7" t="s">
        <v>207</v>
      </c>
    </row>
    <row r="116" spans="1:7">
      <c r="A116" s="25"/>
      <c r="B116" s="14" t="s">
        <v>101</v>
      </c>
      <c r="C116" s="1" t="s">
        <v>2</v>
      </c>
      <c r="D116" s="1">
        <v>1</v>
      </c>
      <c r="E116" s="1">
        <f t="shared" si="1"/>
        <v>1025</v>
      </c>
      <c r="F116" s="1" t="s">
        <v>178</v>
      </c>
      <c r="G116" s="7" t="s">
        <v>207</v>
      </c>
    </row>
    <row r="117" spans="1:7">
      <c r="A117" s="25"/>
      <c r="B117" s="14" t="s">
        <v>102</v>
      </c>
      <c r="C117" s="1" t="s">
        <v>2</v>
      </c>
      <c r="D117" s="1">
        <v>1</v>
      </c>
      <c r="E117" s="1">
        <f t="shared" si="1"/>
        <v>1026</v>
      </c>
      <c r="F117" s="1" t="s">
        <v>178</v>
      </c>
      <c r="G117" s="7" t="s">
        <v>207</v>
      </c>
    </row>
    <row r="118" spans="1:7">
      <c r="A118" s="25"/>
      <c r="B118" s="14" t="s">
        <v>103</v>
      </c>
      <c r="C118" s="1" t="s">
        <v>2</v>
      </c>
      <c r="D118" s="1">
        <v>1</v>
      </c>
      <c r="E118" s="1">
        <f t="shared" si="1"/>
        <v>1027</v>
      </c>
      <c r="F118" s="1" t="s">
        <v>178</v>
      </c>
      <c r="G118" s="7" t="s">
        <v>207</v>
      </c>
    </row>
    <row r="119" spans="1:7" ht="39.6">
      <c r="A119" s="25"/>
      <c r="B119" s="14" t="s">
        <v>104</v>
      </c>
      <c r="C119" s="1" t="s">
        <v>2</v>
      </c>
      <c r="D119" s="1">
        <v>2</v>
      </c>
      <c r="E119" s="1">
        <f t="shared" si="1"/>
        <v>1028</v>
      </c>
      <c r="F119" s="1" t="s">
        <v>178</v>
      </c>
      <c r="G119" s="7" t="s">
        <v>208</v>
      </c>
    </row>
    <row r="120" spans="1:7" ht="52.8">
      <c r="A120" s="25"/>
      <c r="B120" s="14" t="s">
        <v>28</v>
      </c>
      <c r="C120" s="1" t="s">
        <v>2</v>
      </c>
      <c r="D120" s="1">
        <v>2</v>
      </c>
      <c r="E120" s="1">
        <f t="shared" si="1"/>
        <v>1030</v>
      </c>
      <c r="F120" s="1" t="s">
        <v>178</v>
      </c>
      <c r="G120" s="7" t="s">
        <v>209</v>
      </c>
    </row>
    <row r="121" spans="1:7">
      <c r="A121" s="25"/>
      <c r="B121" s="14" t="s">
        <v>105</v>
      </c>
      <c r="C121" s="1" t="s">
        <v>2</v>
      </c>
      <c r="D121" s="1">
        <v>8</v>
      </c>
      <c r="E121" s="1">
        <f t="shared" si="1"/>
        <v>1032</v>
      </c>
      <c r="F121" s="1" t="s">
        <v>178</v>
      </c>
      <c r="G121" s="7" t="s">
        <v>210</v>
      </c>
    </row>
    <row r="122" spans="1:7">
      <c r="A122" s="25"/>
      <c r="B122" s="14" t="s">
        <v>172</v>
      </c>
      <c r="C122" s="4" t="s">
        <v>2</v>
      </c>
      <c r="D122" s="3">
        <v>8</v>
      </c>
      <c r="E122" s="1">
        <f t="shared" si="1"/>
        <v>1040</v>
      </c>
      <c r="F122" s="1" t="s">
        <v>191</v>
      </c>
      <c r="G122" s="7"/>
    </row>
    <row r="123" spans="1:7">
      <c r="A123" s="25"/>
      <c r="B123" s="14" t="s">
        <v>107</v>
      </c>
      <c r="C123" s="1" t="s">
        <v>2</v>
      </c>
      <c r="D123" s="1">
        <v>8</v>
      </c>
      <c r="E123" s="1">
        <f t="shared" si="1"/>
        <v>1048</v>
      </c>
      <c r="F123" s="1" t="s">
        <v>178</v>
      </c>
      <c r="G123" s="7" t="s">
        <v>211</v>
      </c>
    </row>
    <row r="124" spans="1:7">
      <c r="A124" s="25"/>
      <c r="B124" s="14" t="s">
        <v>108</v>
      </c>
      <c r="C124" s="1" t="s">
        <v>2</v>
      </c>
      <c r="D124" s="1">
        <v>2</v>
      </c>
      <c r="E124" s="1">
        <f t="shared" si="1"/>
        <v>1056</v>
      </c>
      <c r="F124" s="1" t="s">
        <v>178</v>
      </c>
      <c r="G124" s="7" t="s">
        <v>221</v>
      </c>
    </row>
    <row r="125" spans="1:7">
      <c r="A125" s="25"/>
      <c r="B125" s="14" t="s">
        <v>109</v>
      </c>
      <c r="C125" s="1" t="s">
        <v>2</v>
      </c>
      <c r="D125" s="1">
        <v>1</v>
      </c>
      <c r="E125" s="1">
        <f t="shared" si="1"/>
        <v>1058</v>
      </c>
      <c r="F125" s="1" t="s">
        <v>178</v>
      </c>
      <c r="G125" s="7" t="s">
        <v>220</v>
      </c>
    </row>
    <row r="126" spans="1:7">
      <c r="A126" s="25"/>
      <c r="B126" s="14" t="s">
        <v>110</v>
      </c>
      <c r="C126" s="1" t="s">
        <v>2</v>
      </c>
      <c r="D126" s="1">
        <v>1</v>
      </c>
      <c r="E126" s="1">
        <f t="shared" si="1"/>
        <v>1059</v>
      </c>
      <c r="F126" s="1" t="s">
        <v>178</v>
      </c>
      <c r="G126" s="7" t="s">
        <v>219</v>
      </c>
    </row>
    <row r="127" spans="1:7">
      <c r="A127" s="25"/>
      <c r="B127" s="14" t="s">
        <v>111</v>
      </c>
      <c r="C127" s="1" t="s">
        <v>2</v>
      </c>
      <c r="D127" s="1">
        <v>2</v>
      </c>
      <c r="E127" s="1">
        <f t="shared" si="1"/>
        <v>1060</v>
      </c>
      <c r="F127" s="1" t="s">
        <v>178</v>
      </c>
      <c r="G127" s="7" t="s">
        <v>222</v>
      </c>
    </row>
    <row r="128" spans="1:7">
      <c r="A128" s="25"/>
      <c r="B128" s="14" t="s">
        <v>87</v>
      </c>
      <c r="C128" s="1" t="s">
        <v>2</v>
      </c>
      <c r="D128" s="1">
        <v>2</v>
      </c>
      <c r="E128" s="1">
        <f t="shared" si="1"/>
        <v>1062</v>
      </c>
      <c r="F128" s="1" t="s">
        <v>178</v>
      </c>
      <c r="G128" s="7"/>
    </row>
    <row r="129" spans="1:7">
      <c r="A129" s="25"/>
      <c r="B129" s="14" t="s">
        <v>106</v>
      </c>
      <c r="C129" s="1" t="s">
        <v>29</v>
      </c>
      <c r="D129" s="1">
        <v>32</v>
      </c>
      <c r="E129" s="1">
        <f t="shared" si="1"/>
        <v>1064</v>
      </c>
      <c r="F129" s="1" t="s">
        <v>191</v>
      </c>
      <c r="G129" s="7" t="s">
        <v>212</v>
      </c>
    </row>
    <row r="130" spans="1:7">
      <c r="A130" s="25"/>
      <c r="B130" s="14" t="s">
        <v>112</v>
      </c>
      <c r="C130" s="1" t="s">
        <v>2</v>
      </c>
      <c r="D130" s="1">
        <v>1</v>
      </c>
      <c r="E130" s="1">
        <f t="shared" si="1"/>
        <v>1096</v>
      </c>
      <c r="F130" s="1" t="s">
        <v>178</v>
      </c>
      <c r="G130" s="7"/>
    </row>
    <row r="131" spans="1:7">
      <c r="A131" s="25"/>
      <c r="B131" s="14" t="s">
        <v>113</v>
      </c>
      <c r="C131" s="1" t="s">
        <v>2</v>
      </c>
      <c r="D131" s="1">
        <v>1</v>
      </c>
      <c r="E131" s="1">
        <f t="shared" si="1"/>
        <v>1097</v>
      </c>
      <c r="F131" s="1" t="s">
        <v>178</v>
      </c>
      <c r="G131" s="7"/>
    </row>
    <row r="132" spans="1:7">
      <c r="A132" s="25"/>
      <c r="B132" s="14" t="s">
        <v>114</v>
      </c>
      <c r="C132" s="1" t="s">
        <v>2</v>
      </c>
      <c r="D132" s="1">
        <v>1</v>
      </c>
      <c r="E132" s="1">
        <f t="shared" si="1"/>
        <v>1098</v>
      </c>
      <c r="F132" s="1" t="s">
        <v>178</v>
      </c>
      <c r="G132" s="7"/>
    </row>
    <row r="133" spans="1:7">
      <c r="A133" s="25"/>
      <c r="B133" s="14" t="s">
        <v>115</v>
      </c>
      <c r="C133" s="1" t="s">
        <v>2</v>
      </c>
      <c r="D133" s="1">
        <v>1</v>
      </c>
      <c r="E133" s="1">
        <f t="shared" ref="E133:E196" si="2">E132+D132</f>
        <v>1099</v>
      </c>
      <c r="F133" s="1" t="s">
        <v>178</v>
      </c>
      <c r="G133" s="7"/>
    </row>
    <row r="134" spans="1:7">
      <c r="A134" s="25"/>
      <c r="B134" s="14" t="s">
        <v>116</v>
      </c>
      <c r="C134" s="1" t="s">
        <v>2</v>
      </c>
      <c r="D134" s="1">
        <v>1</v>
      </c>
      <c r="E134" s="1">
        <f t="shared" si="2"/>
        <v>1100</v>
      </c>
      <c r="F134" s="1" t="s">
        <v>178</v>
      </c>
      <c r="G134" s="7"/>
    </row>
    <row r="135" spans="1:7">
      <c r="A135" s="25"/>
      <c r="B135" s="14" t="s">
        <v>117</v>
      </c>
      <c r="C135" s="1" t="s">
        <v>2</v>
      </c>
      <c r="D135" s="1">
        <v>1</v>
      </c>
      <c r="E135" s="1">
        <f t="shared" si="2"/>
        <v>1101</v>
      </c>
      <c r="F135" s="1" t="s">
        <v>178</v>
      </c>
      <c r="G135" s="7"/>
    </row>
    <row r="136" spans="1:7">
      <c r="A136" s="25"/>
      <c r="B136" s="14" t="s">
        <v>87</v>
      </c>
      <c r="C136" s="1" t="s">
        <v>2</v>
      </c>
      <c r="D136" s="1">
        <v>2</v>
      </c>
      <c r="E136" s="1">
        <f t="shared" si="2"/>
        <v>1102</v>
      </c>
      <c r="F136" s="1" t="s">
        <v>178</v>
      </c>
      <c r="G136" s="7"/>
    </row>
    <row r="137" spans="1:7">
      <c r="A137" s="25"/>
      <c r="B137" s="14" t="s">
        <v>118</v>
      </c>
      <c r="C137" s="1" t="s">
        <v>32</v>
      </c>
      <c r="D137" s="1">
        <v>16</v>
      </c>
      <c r="E137" s="1">
        <f t="shared" si="2"/>
        <v>1104</v>
      </c>
      <c r="F137" s="1" t="s">
        <v>191</v>
      </c>
      <c r="G137" s="7" t="s">
        <v>213</v>
      </c>
    </row>
    <row r="138" spans="1:7">
      <c r="A138" s="26"/>
      <c r="B138" s="14" t="s">
        <v>119</v>
      </c>
      <c r="C138" s="1" t="s">
        <v>31</v>
      </c>
      <c r="D138" s="1">
        <v>16</v>
      </c>
      <c r="E138" s="1">
        <f t="shared" si="2"/>
        <v>1120</v>
      </c>
      <c r="F138" s="1" t="s">
        <v>191</v>
      </c>
      <c r="G138" s="7" t="s">
        <v>213</v>
      </c>
    </row>
    <row r="139" spans="1:7" ht="80.400000000000006">
      <c r="A139" s="21" t="s">
        <v>262</v>
      </c>
      <c r="B139" s="14" t="s">
        <v>133</v>
      </c>
      <c r="C139" s="1" t="s">
        <v>31</v>
      </c>
      <c r="D139" s="1">
        <v>16</v>
      </c>
      <c r="E139" s="1">
        <f t="shared" si="2"/>
        <v>1136</v>
      </c>
      <c r="F139" s="1" t="s">
        <v>191</v>
      </c>
      <c r="G139" s="11" t="s">
        <v>225</v>
      </c>
    </row>
    <row r="140" spans="1:7">
      <c r="A140" s="22"/>
      <c r="B140" s="14" t="s">
        <v>250</v>
      </c>
      <c r="C140" s="1" t="s">
        <v>3</v>
      </c>
      <c r="D140" s="1">
        <v>16</v>
      </c>
      <c r="E140" s="1">
        <f t="shared" si="2"/>
        <v>1152</v>
      </c>
      <c r="F140" s="1" t="s">
        <v>191</v>
      </c>
      <c r="G140" s="12"/>
    </row>
    <row r="141" spans="1:7">
      <c r="A141" s="22"/>
      <c r="B141" s="14" t="s">
        <v>134</v>
      </c>
      <c r="C141" s="1" t="s">
        <v>3</v>
      </c>
      <c r="D141" s="1">
        <v>16</v>
      </c>
      <c r="E141" s="1">
        <f t="shared" si="2"/>
        <v>1168</v>
      </c>
      <c r="F141" s="1" t="s">
        <v>191</v>
      </c>
      <c r="G141" s="12"/>
    </row>
    <row r="142" spans="1:7">
      <c r="A142" s="22"/>
      <c r="B142" s="14" t="s">
        <v>251</v>
      </c>
      <c r="C142" s="1" t="s">
        <v>3</v>
      </c>
      <c r="D142" s="1">
        <v>16</v>
      </c>
      <c r="E142" s="1">
        <f t="shared" si="2"/>
        <v>1184</v>
      </c>
      <c r="F142" s="1" t="s">
        <v>191</v>
      </c>
      <c r="G142" s="12"/>
    </row>
    <row r="143" spans="1:7">
      <c r="A143" s="22"/>
      <c r="B143" s="14" t="s">
        <v>252</v>
      </c>
      <c r="C143" s="1" t="s">
        <v>3</v>
      </c>
      <c r="D143" s="1">
        <v>16</v>
      </c>
      <c r="E143" s="1">
        <f t="shared" si="2"/>
        <v>1200</v>
      </c>
      <c r="F143" s="1" t="s">
        <v>191</v>
      </c>
      <c r="G143" s="13"/>
    </row>
    <row r="144" spans="1:7" ht="148.19999999999999">
      <c r="A144" s="22"/>
      <c r="B144" s="14" t="s">
        <v>135</v>
      </c>
      <c r="C144" s="1" t="s">
        <v>3</v>
      </c>
      <c r="D144" s="1">
        <v>16</v>
      </c>
      <c r="E144" s="1">
        <f t="shared" si="2"/>
        <v>1216</v>
      </c>
      <c r="F144" s="1" t="s">
        <v>191</v>
      </c>
      <c r="G144" s="11" t="s">
        <v>224</v>
      </c>
    </row>
    <row r="145" spans="1:7">
      <c r="A145" s="22"/>
      <c r="B145" s="14" t="s">
        <v>136</v>
      </c>
      <c r="C145" s="1" t="s">
        <v>3</v>
      </c>
      <c r="D145" s="1">
        <v>16</v>
      </c>
      <c r="E145" s="1">
        <f t="shared" si="2"/>
        <v>1232</v>
      </c>
      <c r="F145" s="1" t="s">
        <v>191</v>
      </c>
      <c r="G145" s="12"/>
    </row>
    <row r="146" spans="1:7">
      <c r="A146" s="22"/>
      <c r="B146" s="14" t="s">
        <v>253</v>
      </c>
      <c r="C146" s="1" t="s">
        <v>3</v>
      </c>
      <c r="D146" s="1">
        <v>16</v>
      </c>
      <c r="E146" s="1">
        <f t="shared" si="2"/>
        <v>1248</v>
      </c>
      <c r="F146" s="1" t="s">
        <v>191</v>
      </c>
      <c r="G146" s="12"/>
    </row>
    <row r="147" spans="1:7">
      <c r="A147" s="22"/>
      <c r="B147" s="14" t="s">
        <v>254</v>
      </c>
      <c r="C147" s="1" t="s">
        <v>3</v>
      </c>
      <c r="D147" s="1">
        <v>16</v>
      </c>
      <c r="E147" s="1">
        <f t="shared" si="2"/>
        <v>1264</v>
      </c>
      <c r="F147" s="1" t="s">
        <v>191</v>
      </c>
      <c r="G147" s="12"/>
    </row>
    <row r="148" spans="1:7">
      <c r="A148" s="22"/>
      <c r="B148" s="14" t="s">
        <v>255</v>
      </c>
      <c r="C148" s="1" t="s">
        <v>3</v>
      </c>
      <c r="D148" s="1">
        <v>16</v>
      </c>
      <c r="E148" s="1">
        <f t="shared" si="2"/>
        <v>1280</v>
      </c>
      <c r="F148" s="1" t="s">
        <v>191</v>
      </c>
      <c r="G148" s="13"/>
    </row>
    <row r="149" spans="1:7">
      <c r="A149" s="22"/>
      <c r="B149" s="14" t="s">
        <v>138</v>
      </c>
      <c r="C149" s="1" t="s">
        <v>3</v>
      </c>
      <c r="D149" s="1">
        <v>16</v>
      </c>
      <c r="E149" s="1">
        <f t="shared" si="2"/>
        <v>1296</v>
      </c>
      <c r="F149" s="1" t="s">
        <v>191</v>
      </c>
      <c r="G149" s="7" t="s">
        <v>223</v>
      </c>
    </row>
    <row r="150" spans="1:7">
      <c r="A150" s="22"/>
      <c r="B150" s="14" t="s">
        <v>137</v>
      </c>
      <c r="C150" s="1" t="s">
        <v>32</v>
      </c>
      <c r="D150" s="1">
        <v>16</v>
      </c>
      <c r="E150" s="1">
        <f t="shared" si="2"/>
        <v>1312</v>
      </c>
      <c r="F150" s="1" t="s">
        <v>191</v>
      </c>
      <c r="G150" s="7"/>
    </row>
    <row r="151" spans="1:7" ht="26.4">
      <c r="A151" s="22"/>
      <c r="B151" s="14" t="s">
        <v>139</v>
      </c>
      <c r="C151" s="1" t="s">
        <v>3</v>
      </c>
      <c r="D151" s="1">
        <v>16</v>
      </c>
      <c r="E151" s="1">
        <f t="shared" si="2"/>
        <v>1328</v>
      </c>
      <c r="F151" s="1" t="s">
        <v>191</v>
      </c>
      <c r="G151" s="7" t="s">
        <v>226</v>
      </c>
    </row>
    <row r="152" spans="1:7" ht="26.4">
      <c r="A152" s="22"/>
      <c r="B152" s="14" t="s">
        <v>140</v>
      </c>
      <c r="C152" s="1" t="s">
        <v>32</v>
      </c>
      <c r="D152" s="1">
        <v>16</v>
      </c>
      <c r="E152" s="1">
        <f t="shared" si="2"/>
        <v>1344</v>
      </c>
      <c r="F152" s="1" t="s">
        <v>191</v>
      </c>
      <c r="G152" s="7" t="s">
        <v>227</v>
      </c>
    </row>
    <row r="153" spans="1:7">
      <c r="A153" s="22"/>
      <c r="B153" s="14" t="s">
        <v>141</v>
      </c>
      <c r="C153" s="1" t="s">
        <v>3</v>
      </c>
      <c r="D153" s="1">
        <v>16</v>
      </c>
      <c r="E153" s="1">
        <f t="shared" si="2"/>
        <v>1360</v>
      </c>
      <c r="F153" s="1" t="s">
        <v>191</v>
      </c>
      <c r="G153" s="7"/>
    </row>
    <row r="154" spans="1:7">
      <c r="A154" s="22"/>
      <c r="B154" s="14" t="s">
        <v>166</v>
      </c>
      <c r="C154" s="1" t="s">
        <v>18</v>
      </c>
      <c r="D154" s="1">
        <v>8</v>
      </c>
      <c r="E154" s="1">
        <f t="shared" si="2"/>
        <v>1376</v>
      </c>
      <c r="F154" s="1" t="s">
        <v>178</v>
      </c>
      <c r="G154" s="7"/>
    </row>
    <row r="155" spans="1:7">
      <c r="A155" s="22"/>
      <c r="B155" s="14" t="s">
        <v>165</v>
      </c>
      <c r="C155" s="1" t="s">
        <v>18</v>
      </c>
      <c r="D155" s="1">
        <v>8</v>
      </c>
      <c r="E155" s="1">
        <f t="shared" si="2"/>
        <v>1384</v>
      </c>
      <c r="F155" s="1" t="s">
        <v>178</v>
      </c>
      <c r="G155" s="7"/>
    </row>
    <row r="156" spans="1:7">
      <c r="A156" s="22"/>
      <c r="B156" s="14" t="s">
        <v>164</v>
      </c>
      <c r="C156" s="1" t="s">
        <v>18</v>
      </c>
      <c r="D156" s="1">
        <v>8</v>
      </c>
      <c r="E156" s="1">
        <f t="shared" si="2"/>
        <v>1392</v>
      </c>
      <c r="F156" s="1" t="s">
        <v>178</v>
      </c>
      <c r="G156" s="7"/>
    </row>
    <row r="157" spans="1:7">
      <c r="A157" s="22"/>
      <c r="B157" s="14" t="s">
        <v>142</v>
      </c>
      <c r="C157" s="1" t="s">
        <v>33</v>
      </c>
      <c r="D157" s="1">
        <v>8</v>
      </c>
      <c r="E157" s="1">
        <f t="shared" si="2"/>
        <v>1400</v>
      </c>
      <c r="F157" s="1" t="s">
        <v>178</v>
      </c>
      <c r="G157" s="7"/>
    </row>
    <row r="158" spans="1:7">
      <c r="A158" s="22"/>
      <c r="B158" s="14" t="s">
        <v>256</v>
      </c>
      <c r="C158" s="1" t="s">
        <v>33</v>
      </c>
      <c r="D158" s="1">
        <v>8</v>
      </c>
      <c r="E158" s="1">
        <f t="shared" si="2"/>
        <v>1408</v>
      </c>
      <c r="F158" s="1" t="s">
        <v>178</v>
      </c>
      <c r="G158" s="7"/>
    </row>
    <row r="159" spans="1:7">
      <c r="A159" s="22"/>
      <c r="B159" s="14" t="s">
        <v>257</v>
      </c>
      <c r="C159" s="1" t="s">
        <v>33</v>
      </c>
      <c r="D159" s="1">
        <v>8</v>
      </c>
      <c r="E159" s="1">
        <f t="shared" si="2"/>
        <v>1416</v>
      </c>
      <c r="F159" s="1" t="s">
        <v>178</v>
      </c>
      <c r="G159" s="7"/>
    </row>
    <row r="160" spans="1:7">
      <c r="A160" s="22"/>
      <c r="B160" s="14" t="s">
        <v>258</v>
      </c>
      <c r="C160" s="1" t="s">
        <v>33</v>
      </c>
      <c r="D160" s="1">
        <v>8</v>
      </c>
      <c r="E160" s="1">
        <f t="shared" si="2"/>
        <v>1424</v>
      </c>
      <c r="F160" s="1" t="s">
        <v>178</v>
      </c>
      <c r="G160" s="7"/>
    </row>
    <row r="161" spans="1:7">
      <c r="A161" s="22"/>
      <c r="B161" s="14" t="s">
        <v>143</v>
      </c>
      <c r="C161" s="1" t="s">
        <v>33</v>
      </c>
      <c r="D161" s="1">
        <v>8</v>
      </c>
      <c r="E161" s="1">
        <f t="shared" si="2"/>
        <v>1432</v>
      </c>
      <c r="F161" s="1" t="s">
        <v>178</v>
      </c>
      <c r="G161" s="7"/>
    </row>
    <row r="162" spans="1:7">
      <c r="A162" s="22"/>
      <c r="B162" s="14" t="s">
        <v>214</v>
      </c>
      <c r="C162" s="1" t="s">
        <v>33</v>
      </c>
      <c r="D162" s="1">
        <v>8</v>
      </c>
      <c r="E162" s="1">
        <f t="shared" si="2"/>
        <v>1440</v>
      </c>
      <c r="F162" s="1" t="s">
        <v>178</v>
      </c>
      <c r="G162" s="7"/>
    </row>
    <row r="163" spans="1:7">
      <c r="A163" s="22"/>
      <c r="B163" s="14" t="s">
        <v>215</v>
      </c>
      <c r="C163" s="1" t="s">
        <v>33</v>
      </c>
      <c r="D163" s="1">
        <v>8</v>
      </c>
      <c r="E163" s="1">
        <f t="shared" si="2"/>
        <v>1448</v>
      </c>
      <c r="F163" s="1" t="s">
        <v>178</v>
      </c>
      <c r="G163" s="7"/>
    </row>
    <row r="164" spans="1:7">
      <c r="A164" s="22"/>
      <c r="B164" s="14" t="s">
        <v>216</v>
      </c>
      <c r="C164" s="1" t="s">
        <v>33</v>
      </c>
      <c r="D164" s="1">
        <v>8</v>
      </c>
      <c r="E164" s="1">
        <f t="shared" si="2"/>
        <v>1456</v>
      </c>
      <c r="F164" s="1" t="s">
        <v>178</v>
      </c>
      <c r="G164" s="7"/>
    </row>
    <row r="165" spans="1:7" ht="241.2">
      <c r="A165" s="22"/>
      <c r="B165" s="14" t="s">
        <v>163</v>
      </c>
      <c r="C165" s="1" t="s">
        <v>3</v>
      </c>
      <c r="D165" s="1">
        <v>16</v>
      </c>
      <c r="E165" s="1">
        <f t="shared" si="2"/>
        <v>1464</v>
      </c>
      <c r="F165" s="1" t="s">
        <v>191</v>
      </c>
      <c r="G165" s="11" t="s">
        <v>228</v>
      </c>
    </row>
    <row r="166" spans="1:7">
      <c r="A166" s="22"/>
      <c r="B166" s="14" t="s">
        <v>162</v>
      </c>
      <c r="C166" s="1" t="s">
        <v>3</v>
      </c>
      <c r="D166" s="1">
        <v>16</v>
      </c>
      <c r="E166" s="1">
        <f t="shared" si="2"/>
        <v>1480</v>
      </c>
      <c r="F166" s="1" t="s">
        <v>191</v>
      </c>
      <c r="G166" s="12"/>
    </row>
    <row r="167" spans="1:7">
      <c r="A167" s="22"/>
      <c r="B167" s="14" t="s">
        <v>161</v>
      </c>
      <c r="C167" s="1" t="s">
        <v>3</v>
      </c>
      <c r="D167" s="1">
        <v>16</v>
      </c>
      <c r="E167" s="1">
        <f t="shared" si="2"/>
        <v>1496</v>
      </c>
      <c r="F167" s="1" t="s">
        <v>191</v>
      </c>
      <c r="G167" s="12"/>
    </row>
    <row r="168" spans="1:7">
      <c r="A168" s="22"/>
      <c r="B168" s="14" t="s">
        <v>160</v>
      </c>
      <c r="C168" s="1" t="s">
        <v>3</v>
      </c>
      <c r="D168" s="1">
        <v>16</v>
      </c>
      <c r="E168" s="1">
        <f t="shared" si="2"/>
        <v>1512</v>
      </c>
      <c r="F168" s="1" t="s">
        <v>191</v>
      </c>
      <c r="G168" s="12"/>
    </row>
    <row r="169" spans="1:7">
      <c r="A169" s="22"/>
      <c r="B169" s="14" t="s">
        <v>159</v>
      </c>
      <c r="C169" s="1" t="s">
        <v>3</v>
      </c>
      <c r="D169" s="1">
        <v>16</v>
      </c>
      <c r="E169" s="1">
        <f t="shared" si="2"/>
        <v>1528</v>
      </c>
      <c r="F169" s="1" t="s">
        <v>191</v>
      </c>
      <c r="G169" s="12"/>
    </row>
    <row r="170" spans="1:7">
      <c r="A170" s="22"/>
      <c r="B170" s="14" t="s">
        <v>158</v>
      </c>
      <c r="C170" s="1" t="s">
        <v>3</v>
      </c>
      <c r="D170" s="1">
        <v>16</v>
      </c>
      <c r="E170" s="1">
        <f t="shared" si="2"/>
        <v>1544</v>
      </c>
      <c r="F170" s="1" t="s">
        <v>191</v>
      </c>
      <c r="G170" s="12"/>
    </row>
    <row r="171" spans="1:7">
      <c r="A171" s="22"/>
      <c r="B171" s="14" t="s">
        <v>157</v>
      </c>
      <c r="C171" s="1" t="s">
        <v>3</v>
      </c>
      <c r="D171" s="1">
        <v>16</v>
      </c>
      <c r="E171" s="1">
        <f t="shared" si="2"/>
        <v>1560</v>
      </c>
      <c r="F171" s="1" t="s">
        <v>191</v>
      </c>
      <c r="G171" s="12"/>
    </row>
    <row r="172" spans="1:7">
      <c r="A172" s="22"/>
      <c r="B172" s="14" t="s">
        <v>156</v>
      </c>
      <c r="C172" s="1" t="s">
        <v>3</v>
      </c>
      <c r="D172" s="1">
        <v>16</v>
      </c>
      <c r="E172" s="1">
        <f t="shared" si="2"/>
        <v>1576</v>
      </c>
      <c r="F172" s="1" t="s">
        <v>191</v>
      </c>
      <c r="G172" s="12"/>
    </row>
    <row r="173" spans="1:7">
      <c r="A173" s="22"/>
      <c r="B173" s="14" t="s">
        <v>155</v>
      </c>
      <c r="C173" s="1" t="s">
        <v>3</v>
      </c>
      <c r="D173" s="1">
        <v>16</v>
      </c>
      <c r="E173" s="1">
        <f t="shared" si="2"/>
        <v>1592</v>
      </c>
      <c r="F173" s="1" t="s">
        <v>191</v>
      </c>
      <c r="G173" s="12"/>
    </row>
    <row r="174" spans="1:7">
      <c r="A174" s="22"/>
      <c r="B174" s="14" t="s">
        <v>154</v>
      </c>
      <c r="C174" s="1" t="s">
        <v>3</v>
      </c>
      <c r="D174" s="1">
        <v>16</v>
      </c>
      <c r="E174" s="1">
        <f t="shared" si="2"/>
        <v>1608</v>
      </c>
      <c r="F174" s="1" t="s">
        <v>191</v>
      </c>
      <c r="G174" s="12"/>
    </row>
    <row r="175" spans="1:7">
      <c r="A175" s="22"/>
      <c r="B175" s="14" t="s">
        <v>153</v>
      </c>
      <c r="C175" s="1" t="s">
        <v>3</v>
      </c>
      <c r="D175" s="1">
        <v>16</v>
      </c>
      <c r="E175" s="1">
        <f t="shared" si="2"/>
        <v>1624</v>
      </c>
      <c r="F175" s="1" t="s">
        <v>191</v>
      </c>
      <c r="G175" s="12"/>
    </row>
    <row r="176" spans="1:7">
      <c r="A176" s="22"/>
      <c r="B176" s="14" t="s">
        <v>152</v>
      </c>
      <c r="C176" s="1" t="s">
        <v>3</v>
      </c>
      <c r="D176" s="1">
        <v>16</v>
      </c>
      <c r="E176" s="1">
        <f t="shared" si="2"/>
        <v>1640</v>
      </c>
      <c r="F176" s="1" t="s">
        <v>191</v>
      </c>
      <c r="G176" s="12"/>
    </row>
    <row r="177" spans="1:7">
      <c r="A177" s="22"/>
      <c r="B177" s="14" t="s">
        <v>151</v>
      </c>
      <c r="C177" s="1" t="s">
        <v>3</v>
      </c>
      <c r="D177" s="1">
        <v>16</v>
      </c>
      <c r="E177" s="1">
        <f t="shared" si="2"/>
        <v>1656</v>
      </c>
      <c r="F177" s="1" t="s">
        <v>191</v>
      </c>
      <c r="G177" s="12"/>
    </row>
    <row r="178" spans="1:7">
      <c r="A178" s="22"/>
      <c r="B178" s="14" t="s">
        <v>150</v>
      </c>
      <c r="C178" s="1" t="s">
        <v>3</v>
      </c>
      <c r="D178" s="1">
        <v>16</v>
      </c>
      <c r="E178" s="1">
        <f t="shared" si="2"/>
        <v>1672</v>
      </c>
      <c r="F178" s="1" t="s">
        <v>191</v>
      </c>
      <c r="G178" s="12"/>
    </row>
    <row r="179" spans="1:7">
      <c r="A179" s="22"/>
      <c r="B179" s="14" t="s">
        <v>149</v>
      </c>
      <c r="C179" s="1" t="s">
        <v>3</v>
      </c>
      <c r="D179" s="1">
        <v>16</v>
      </c>
      <c r="E179" s="1">
        <f t="shared" si="2"/>
        <v>1688</v>
      </c>
      <c r="F179" s="1" t="s">
        <v>191</v>
      </c>
      <c r="G179" s="12"/>
    </row>
    <row r="180" spans="1:7">
      <c r="A180" s="22"/>
      <c r="B180" s="14" t="s">
        <v>148</v>
      </c>
      <c r="C180" s="1" t="s">
        <v>3</v>
      </c>
      <c r="D180" s="1">
        <v>16</v>
      </c>
      <c r="E180" s="1">
        <f t="shared" si="2"/>
        <v>1704</v>
      </c>
      <c r="F180" s="1" t="s">
        <v>191</v>
      </c>
      <c r="G180" s="12"/>
    </row>
    <row r="181" spans="1:7">
      <c r="A181" s="22"/>
      <c r="B181" s="14" t="s">
        <v>147</v>
      </c>
      <c r="C181" s="1" t="s">
        <v>3</v>
      </c>
      <c r="D181" s="1">
        <v>16</v>
      </c>
      <c r="E181" s="1">
        <f t="shared" si="2"/>
        <v>1720</v>
      </c>
      <c r="F181" s="1" t="s">
        <v>191</v>
      </c>
      <c r="G181" s="12"/>
    </row>
    <row r="182" spans="1:7">
      <c r="A182" s="22"/>
      <c r="B182" s="14" t="s">
        <v>146</v>
      </c>
      <c r="C182" s="1" t="s">
        <v>3</v>
      </c>
      <c r="D182" s="1">
        <v>16</v>
      </c>
      <c r="E182" s="1">
        <f t="shared" si="2"/>
        <v>1736</v>
      </c>
      <c r="F182" s="1" t="s">
        <v>191</v>
      </c>
      <c r="G182" s="12"/>
    </row>
    <row r="183" spans="1:7">
      <c r="A183" s="22"/>
      <c r="B183" s="14" t="s">
        <v>217</v>
      </c>
      <c r="C183" s="1" t="s">
        <v>3</v>
      </c>
      <c r="D183" s="1">
        <v>16</v>
      </c>
      <c r="E183" s="1">
        <f t="shared" si="2"/>
        <v>1752</v>
      </c>
      <c r="F183" s="1" t="s">
        <v>191</v>
      </c>
      <c r="G183" s="12"/>
    </row>
    <row r="184" spans="1:7">
      <c r="A184" s="22"/>
      <c r="B184" s="14" t="s">
        <v>218</v>
      </c>
      <c r="C184" s="1" t="s">
        <v>3</v>
      </c>
      <c r="D184" s="1">
        <v>16</v>
      </c>
      <c r="E184" s="1">
        <f t="shared" si="2"/>
        <v>1768</v>
      </c>
      <c r="F184" s="1" t="s">
        <v>191</v>
      </c>
      <c r="G184" s="12"/>
    </row>
    <row r="185" spans="1:7">
      <c r="A185" s="22"/>
      <c r="B185" s="14" t="s">
        <v>145</v>
      </c>
      <c r="C185" s="1" t="s">
        <v>3</v>
      </c>
      <c r="D185" s="1">
        <v>16</v>
      </c>
      <c r="E185" s="1">
        <f t="shared" si="2"/>
        <v>1784</v>
      </c>
      <c r="F185" s="1" t="s">
        <v>191</v>
      </c>
      <c r="G185" s="12"/>
    </row>
    <row r="186" spans="1:7">
      <c r="A186" s="23"/>
      <c r="B186" s="14" t="s">
        <v>144</v>
      </c>
      <c r="C186" s="1" t="s">
        <v>3</v>
      </c>
      <c r="D186" s="1">
        <v>16</v>
      </c>
      <c r="E186" s="1">
        <f t="shared" si="2"/>
        <v>1800</v>
      </c>
      <c r="F186" s="1" t="s">
        <v>191</v>
      </c>
      <c r="G186" s="13"/>
    </row>
    <row r="187" spans="1:7">
      <c r="A187" s="18" t="s">
        <v>263</v>
      </c>
      <c r="B187" s="14" t="s">
        <v>120</v>
      </c>
      <c r="C187" s="1" t="s">
        <v>2</v>
      </c>
      <c r="D187" s="1">
        <v>2</v>
      </c>
      <c r="E187" s="1">
        <f t="shared" si="2"/>
        <v>1816</v>
      </c>
      <c r="F187" s="1" t="s">
        <v>191</v>
      </c>
      <c r="G187" s="7"/>
    </row>
    <row r="188" spans="1:7">
      <c r="A188" s="19"/>
      <c r="B188" s="14" t="s">
        <v>87</v>
      </c>
      <c r="C188" s="1" t="s">
        <v>2</v>
      </c>
      <c r="D188" s="1">
        <v>6</v>
      </c>
      <c r="E188" s="1">
        <f t="shared" si="2"/>
        <v>1818</v>
      </c>
      <c r="F188" s="1" t="s">
        <v>191</v>
      </c>
      <c r="G188" s="7"/>
    </row>
    <row r="189" spans="1:7">
      <c r="A189" s="19"/>
      <c r="B189" s="14" t="s">
        <v>121</v>
      </c>
      <c r="C189" s="1" t="s">
        <v>2</v>
      </c>
      <c r="D189" s="1">
        <v>16</v>
      </c>
      <c r="E189" s="1">
        <f t="shared" si="2"/>
        <v>1824</v>
      </c>
      <c r="F189" s="1" t="s">
        <v>191</v>
      </c>
      <c r="G189" s="7"/>
    </row>
    <row r="190" spans="1:7">
      <c r="A190" s="19"/>
      <c r="B190" s="14" t="s">
        <v>122</v>
      </c>
      <c r="C190" s="1" t="s">
        <v>2</v>
      </c>
      <c r="D190" s="1">
        <v>16</v>
      </c>
      <c r="E190" s="1">
        <f t="shared" si="2"/>
        <v>1840</v>
      </c>
      <c r="F190" s="1" t="s">
        <v>191</v>
      </c>
      <c r="G190" s="7"/>
    </row>
    <row r="191" spans="1:7">
      <c r="A191" s="19"/>
      <c r="B191" s="14" t="s">
        <v>123</v>
      </c>
      <c r="C191" s="1" t="s">
        <v>2</v>
      </c>
      <c r="D191" s="1">
        <v>16</v>
      </c>
      <c r="E191" s="1">
        <f t="shared" si="2"/>
        <v>1856</v>
      </c>
      <c r="F191" s="1" t="s">
        <v>191</v>
      </c>
      <c r="G191" s="7"/>
    </row>
    <row r="192" spans="1:7">
      <c r="A192" s="19"/>
      <c r="B192" s="14" t="s">
        <v>124</v>
      </c>
      <c r="C192" s="1" t="s">
        <v>3</v>
      </c>
      <c r="D192" s="1">
        <v>16</v>
      </c>
      <c r="E192" s="1">
        <f t="shared" si="2"/>
        <v>1872</v>
      </c>
      <c r="F192" s="1" t="s">
        <v>191</v>
      </c>
      <c r="G192" s="7"/>
    </row>
    <row r="193" spans="1:7">
      <c r="A193" s="19"/>
      <c r="B193" s="14" t="s">
        <v>125</v>
      </c>
      <c r="C193" s="1" t="s">
        <v>3</v>
      </c>
      <c r="D193" s="1">
        <v>16</v>
      </c>
      <c r="E193" s="1">
        <f t="shared" si="2"/>
        <v>1888</v>
      </c>
      <c r="F193" s="1" t="s">
        <v>191</v>
      </c>
      <c r="G193" s="7"/>
    </row>
    <row r="194" spans="1:7">
      <c r="A194" s="19"/>
      <c r="B194" s="14" t="s">
        <v>126</v>
      </c>
      <c r="C194" s="1" t="s">
        <v>3</v>
      </c>
      <c r="D194" s="1">
        <v>16</v>
      </c>
      <c r="E194" s="1">
        <f t="shared" si="2"/>
        <v>1904</v>
      </c>
      <c r="F194" s="1" t="s">
        <v>191</v>
      </c>
      <c r="G194" s="7"/>
    </row>
    <row r="195" spans="1:7">
      <c r="A195" s="19"/>
      <c r="B195" s="14" t="s">
        <v>127</v>
      </c>
      <c r="C195" s="1" t="s">
        <v>3</v>
      </c>
      <c r="D195" s="1">
        <v>16</v>
      </c>
      <c r="E195" s="1">
        <f t="shared" si="2"/>
        <v>1920</v>
      </c>
      <c r="F195" s="1" t="s">
        <v>191</v>
      </c>
      <c r="G195" s="7"/>
    </row>
    <row r="196" spans="1:7">
      <c r="A196" s="19"/>
      <c r="B196" s="14" t="s">
        <v>128</v>
      </c>
      <c r="C196" s="1" t="s">
        <v>3</v>
      </c>
      <c r="D196" s="1">
        <v>16</v>
      </c>
      <c r="E196" s="1">
        <f t="shared" si="2"/>
        <v>1936</v>
      </c>
      <c r="F196" s="1" t="s">
        <v>191</v>
      </c>
      <c r="G196" s="7"/>
    </row>
    <row r="197" spans="1:7">
      <c r="A197" s="19"/>
      <c r="B197" s="14" t="s">
        <v>129</v>
      </c>
      <c r="C197" s="1" t="s">
        <v>3</v>
      </c>
      <c r="D197" s="1">
        <v>16</v>
      </c>
      <c r="E197" s="1">
        <f t="shared" ref="E197:E207" si="3">E196+D196</f>
        <v>1952</v>
      </c>
      <c r="F197" s="1" t="s">
        <v>191</v>
      </c>
      <c r="G197" s="7"/>
    </row>
    <row r="198" spans="1:7">
      <c r="A198" s="19"/>
      <c r="B198" s="14" t="s">
        <v>130</v>
      </c>
      <c r="C198" s="1" t="s">
        <v>3</v>
      </c>
      <c r="D198" s="1">
        <v>16</v>
      </c>
      <c r="E198" s="1">
        <f t="shared" si="3"/>
        <v>1968</v>
      </c>
      <c r="F198" s="1" t="s">
        <v>191</v>
      </c>
      <c r="G198" s="7"/>
    </row>
    <row r="199" spans="1:7">
      <c r="A199" s="19"/>
      <c r="B199" s="14" t="s">
        <v>131</v>
      </c>
      <c r="C199" s="1" t="s">
        <v>3</v>
      </c>
      <c r="D199" s="1">
        <v>16</v>
      </c>
      <c r="E199" s="1">
        <f t="shared" si="3"/>
        <v>1984</v>
      </c>
      <c r="F199" s="1" t="s">
        <v>191</v>
      </c>
      <c r="G199" s="7"/>
    </row>
    <row r="200" spans="1:7">
      <c r="A200" s="19"/>
      <c r="B200" s="14" t="s">
        <v>87</v>
      </c>
      <c r="C200" s="1" t="s">
        <v>2</v>
      </c>
      <c r="D200" s="1">
        <v>8</v>
      </c>
      <c r="E200" s="1">
        <f t="shared" si="3"/>
        <v>2000</v>
      </c>
      <c r="F200" s="1" t="s">
        <v>191</v>
      </c>
      <c r="G200" s="7"/>
    </row>
    <row r="201" spans="1:7">
      <c r="A201" s="19"/>
      <c r="B201" s="14" t="s">
        <v>229</v>
      </c>
      <c r="C201" s="1" t="s">
        <v>2</v>
      </c>
      <c r="D201" s="1">
        <v>8</v>
      </c>
      <c r="E201" s="1">
        <f t="shared" si="3"/>
        <v>2008</v>
      </c>
      <c r="F201" s="1" t="s">
        <v>178</v>
      </c>
      <c r="G201" s="7" t="s">
        <v>236</v>
      </c>
    </row>
    <row r="202" spans="1:7">
      <c r="A202" s="19"/>
      <c r="B202" s="14" t="s">
        <v>230</v>
      </c>
      <c r="C202" s="1" t="s">
        <v>2</v>
      </c>
      <c r="D202" s="1">
        <v>8</v>
      </c>
      <c r="E202" s="1">
        <f t="shared" si="3"/>
        <v>2016</v>
      </c>
      <c r="F202" s="1" t="s">
        <v>178</v>
      </c>
      <c r="G202" s="7" t="s">
        <v>236</v>
      </c>
    </row>
    <row r="203" spans="1:7" ht="26.4">
      <c r="A203" s="19"/>
      <c r="B203" s="14" t="s">
        <v>167</v>
      </c>
      <c r="C203" s="1" t="s">
        <v>2</v>
      </c>
      <c r="D203" s="1">
        <v>2</v>
      </c>
      <c r="E203" s="1">
        <f t="shared" si="3"/>
        <v>2024</v>
      </c>
      <c r="F203" s="1" t="s">
        <v>178</v>
      </c>
      <c r="G203" s="7" t="s">
        <v>234</v>
      </c>
    </row>
    <row r="204" spans="1:7" ht="26.4">
      <c r="A204" s="19"/>
      <c r="B204" s="14" t="s">
        <v>168</v>
      </c>
      <c r="C204" s="1" t="s">
        <v>2</v>
      </c>
      <c r="D204" s="1">
        <v>2</v>
      </c>
      <c r="E204" s="1">
        <f t="shared" si="3"/>
        <v>2026</v>
      </c>
      <c r="F204" s="1" t="s">
        <v>178</v>
      </c>
      <c r="G204" s="7" t="s">
        <v>235</v>
      </c>
    </row>
    <row r="205" spans="1:7">
      <c r="A205" s="19"/>
      <c r="B205" s="14" t="s">
        <v>87</v>
      </c>
      <c r="C205" s="1" t="s">
        <v>2</v>
      </c>
      <c r="D205" s="1">
        <v>4</v>
      </c>
      <c r="E205" s="1">
        <f t="shared" si="3"/>
        <v>2028</v>
      </c>
      <c r="F205" s="1" t="s">
        <v>178</v>
      </c>
      <c r="G205" s="7"/>
    </row>
    <row r="206" spans="1:7">
      <c r="A206" s="20"/>
      <c r="B206" s="14" t="s">
        <v>132</v>
      </c>
      <c r="C206" s="1" t="s">
        <v>3</v>
      </c>
      <c r="D206" s="1">
        <v>16</v>
      </c>
      <c r="E206" s="1">
        <f t="shared" si="3"/>
        <v>2032</v>
      </c>
      <c r="F206" s="1" t="s">
        <v>178</v>
      </c>
      <c r="G206" s="7" t="s">
        <v>233</v>
      </c>
    </row>
    <row r="207" spans="1:7">
      <c r="E207" s="1">
        <f t="shared" si="3"/>
        <v>2048</v>
      </c>
    </row>
    <row r="248" spans="5:5">
      <c r="E248" s="1"/>
    </row>
  </sheetData>
  <mergeCells count="5">
    <mergeCell ref="A187:A206"/>
    <mergeCell ref="A139:A186"/>
    <mergeCell ref="A114:A138"/>
    <mergeCell ref="A45:A113"/>
    <mergeCell ref="A2:A44"/>
  </mergeCells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 Chen</dc:creator>
  <cp:lastModifiedBy>I Chen</cp:lastModifiedBy>
  <dcterms:created xsi:type="dcterms:W3CDTF">2025-09-23T06:19:43Z</dcterms:created>
  <dcterms:modified xsi:type="dcterms:W3CDTF">2026-07-17T05:46:13Z</dcterms:modified>
</cp:coreProperties>
</file>