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Research\3_SCIONX GNURadio\1_Share\04_Beacon\"/>
    </mc:Choice>
  </mc:AlternateContent>
  <xr:revisionPtr revIDLastSave="0" documentId="8_{D4380A0D-E1F8-4B02-B3BC-2641CF38ADB8}" xr6:coauthVersionLast="47" xr6:coauthVersionMax="47" xr10:uidLastSave="{00000000-0000-0000-0000-000000000000}"/>
  <bookViews>
    <workbookView xWindow="-110" yWindow="-110" windowWidth="19420" windowHeight="10560" tabRatio="500" activeTab="1" xr2:uid="{00000000-000D-0000-FFFF-FFFF00000000}"/>
  </bookViews>
  <sheets>
    <sheet name="使用說明" sheetId="1" r:id="rId1"/>
    <sheet name="RawBits" sheetId="2" r:id="rId2"/>
    <sheet name="Destuffed" sheetId="3" r:id="rId3"/>
    <sheet name="Telemetr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9" i="2" l="1" a="1"/>
  <c r="I9" i="2" s="1"/>
  <c r="I8" i="2" a="1"/>
  <c r="I8" i="2" s="1"/>
  <c r="I7" i="2" a="1"/>
  <c r="I7" i="2" s="1"/>
  <c r="I6" i="2" a="1"/>
  <c r="I6" i="2" s="1"/>
  <c r="I5" i="2" a="1"/>
  <c r="I5" i="2" s="1"/>
  <c r="I4" i="2" a="1"/>
  <c r="I4" i="2" s="1"/>
  <c r="I3" i="2" a="1"/>
  <c r="I3" i="2" s="1"/>
  <c r="I2" i="2" a="1"/>
  <c r="I2" i="2" s="1"/>
  <c r="B5" i="4"/>
  <c r="B4" i="4"/>
  <c r="B3" i="4"/>
  <c r="B2" i="4"/>
  <c r="H34" i="2"/>
  <c r="L34" i="2" s="1" a="1"/>
  <c r="L34" i="2" s="1"/>
  <c r="G34" i="2"/>
  <c r="D34" i="2"/>
  <c r="H33" i="2"/>
  <c r="I33" i="2" s="1" a="1"/>
  <c r="I33" i="2" s="1"/>
  <c r="G33" i="2"/>
  <c r="D33" i="2"/>
  <c r="H32" i="2"/>
  <c r="G32" i="2"/>
  <c r="D32" i="2"/>
  <c r="H31" i="2"/>
  <c r="I31" i="2" s="1" a="1"/>
  <c r="I31" i="2" s="1"/>
  <c r="G31" i="2"/>
  <c r="D31" i="2"/>
  <c r="H30" i="2"/>
  <c r="G30" i="2"/>
  <c r="D30" i="2"/>
  <c r="H29" i="2"/>
  <c r="I29" i="2" s="1" a="1"/>
  <c r="I29" i="2" s="1"/>
  <c r="G29" i="2"/>
  <c r="D29" i="2"/>
  <c r="H28" i="2"/>
  <c r="G28" i="2"/>
  <c r="D28" i="2"/>
  <c r="H27" i="2"/>
  <c r="I27" i="2" s="1" a="1"/>
  <c r="I27" i="2" s="1"/>
  <c r="G27" i="2"/>
  <c r="D27" i="2"/>
  <c r="H26" i="2"/>
  <c r="G26" i="2"/>
  <c r="D26" i="2"/>
  <c r="H25" i="2"/>
  <c r="I25" i="2" s="1" a="1"/>
  <c r="I25" i="2" s="1"/>
  <c r="G25" i="2"/>
  <c r="D25" i="2"/>
  <c r="H24" i="2"/>
  <c r="G24" i="2"/>
  <c r="D24" i="2"/>
  <c r="H23" i="2"/>
  <c r="I23" i="2" s="1" a="1"/>
  <c r="I23" i="2" s="1"/>
  <c r="G23" i="2"/>
  <c r="D23" i="2"/>
  <c r="H22" i="2"/>
  <c r="G22" i="2"/>
  <c r="D22" i="2"/>
  <c r="H21" i="2"/>
  <c r="I21" i="2" s="1" a="1"/>
  <c r="I21" i="2" s="1"/>
  <c r="G21" i="2"/>
  <c r="D21" i="2"/>
  <c r="H20" i="2"/>
  <c r="G20" i="2"/>
  <c r="D20" i="2"/>
  <c r="H19" i="2"/>
  <c r="I19" i="2" s="1" a="1"/>
  <c r="I19" i="2" s="1"/>
  <c r="G19" i="2"/>
  <c r="D19" i="2"/>
  <c r="H18" i="2"/>
  <c r="G18" i="2"/>
  <c r="D18" i="2"/>
  <c r="H17" i="2"/>
  <c r="I17" i="2" s="1" a="1"/>
  <c r="I17" i="2" s="1"/>
  <c r="G17" i="2"/>
  <c r="D17" i="2"/>
  <c r="H16" i="2"/>
  <c r="G16" i="2"/>
  <c r="D16" i="2"/>
  <c r="H15" i="2"/>
  <c r="I15" i="2" s="1" a="1"/>
  <c r="I15" i="2" s="1"/>
  <c r="G15" i="2"/>
  <c r="D15" i="2"/>
  <c r="H14" i="2"/>
  <c r="G14" i="2"/>
  <c r="D14" i="2"/>
  <c r="H13" i="2"/>
  <c r="I13" i="2" s="1" a="1"/>
  <c r="I13" i="2" s="1"/>
  <c r="G13" i="2"/>
  <c r="D13" i="2"/>
  <c r="H12" i="2"/>
  <c r="G12" i="2"/>
  <c r="D12" i="2"/>
  <c r="H11" i="2"/>
  <c r="I11" i="2" s="1" a="1"/>
  <c r="I11" i="2" s="1"/>
  <c r="G11" i="2"/>
  <c r="D11" i="2"/>
  <c r="H10" i="2"/>
  <c r="G10" i="2"/>
  <c r="D10" i="2"/>
  <c r="H9" i="2"/>
  <c r="G9" i="2"/>
  <c r="D9" i="2"/>
  <c r="H8" i="2"/>
  <c r="G8" i="2"/>
  <c r="D8" i="2"/>
  <c r="H7" i="2"/>
  <c r="G7" i="2"/>
  <c r="D7" i="2"/>
  <c r="H6" i="2"/>
  <c r="G6" i="2"/>
  <c r="D6" i="2"/>
  <c r="H5" i="2"/>
  <c r="G5" i="2"/>
  <c r="D5" i="2"/>
  <c r="H4" i="2"/>
  <c r="G4" i="2"/>
  <c r="D4" i="2"/>
  <c r="H3" i="2"/>
  <c r="G3" i="2"/>
  <c r="D3" i="2"/>
  <c r="H2" i="2"/>
  <c r="G2" i="2"/>
  <c r="D2" i="2"/>
  <c r="I10" i="2" l="1" a="1"/>
  <c r="I10" i="2" s="1"/>
  <c r="I12" i="2" a="1"/>
  <c r="I12" i="2" s="1"/>
  <c r="I14" i="2" a="1"/>
  <c r="I14" i="2" s="1"/>
  <c r="I16" i="2" a="1"/>
  <c r="I16" i="2" s="1"/>
  <c r="I18" i="2" a="1"/>
  <c r="I18" i="2" s="1"/>
  <c r="I20" i="2" a="1"/>
  <c r="I20" i="2" s="1"/>
  <c r="I22" i="2" a="1"/>
  <c r="I22" i="2" s="1"/>
  <c r="I24" i="2" a="1"/>
  <c r="I24" i="2" s="1"/>
  <c r="I26" i="2" a="1"/>
  <c r="I26" i="2" s="1"/>
  <c r="I28" i="2" a="1"/>
  <c r="I28" i="2" s="1"/>
  <c r="I30" i="2" a="1"/>
  <c r="I30" i="2" s="1"/>
  <c r="I32" i="2" a="1"/>
  <c r="I32" i="2" s="1"/>
  <c r="I34" i="2" a="1"/>
  <c r="I34" i="2" s="1"/>
  <c r="J34" i="2" a="1"/>
  <c r="J34" i="2" s="1"/>
  <c r="K34" i="2" a="1"/>
  <c r="K34" i="2" s="1"/>
  <c r="B32" i="3"/>
  <c r="B3" i="3"/>
  <c r="C8" i="3"/>
  <c r="E8" i="3" s="1"/>
  <c r="B11" i="3"/>
  <c r="C16" i="3"/>
  <c r="E16" i="3" s="1"/>
  <c r="B19" i="3"/>
  <c r="C24" i="3"/>
  <c r="E24" i="3" s="1"/>
  <c r="B27" i="3"/>
  <c r="C32" i="3"/>
  <c r="E32" i="3" s="1"/>
  <c r="C3" i="3"/>
  <c r="B6" i="3"/>
  <c r="C11" i="3"/>
  <c r="B14" i="3"/>
  <c r="C19" i="3"/>
  <c r="B22" i="3"/>
  <c r="C27" i="3"/>
  <c r="B30" i="3"/>
  <c r="C6" i="3"/>
  <c r="E6" i="3" s="1"/>
  <c r="B9" i="3"/>
  <c r="C14" i="3"/>
  <c r="E14" i="3" s="1"/>
  <c r="B17" i="3"/>
  <c r="C22" i="3"/>
  <c r="E22" i="3" s="1"/>
  <c r="B25" i="3"/>
  <c r="C30" i="3"/>
  <c r="E30" i="3" s="1"/>
  <c r="B33" i="3"/>
  <c r="B4" i="3"/>
  <c r="C9" i="3"/>
  <c r="E9" i="3" s="1"/>
  <c r="B12" i="3"/>
  <c r="C17" i="3"/>
  <c r="E17" i="3" s="1"/>
  <c r="B20" i="3"/>
  <c r="C25" i="3"/>
  <c r="E25" i="3" s="1"/>
  <c r="B28" i="3"/>
  <c r="C33" i="3"/>
  <c r="E33" i="3" s="1"/>
  <c r="C4" i="3"/>
  <c r="E4" i="3" s="1"/>
  <c r="B7" i="3"/>
  <c r="C12" i="3"/>
  <c r="E12" i="3" s="1"/>
  <c r="B15" i="3"/>
  <c r="C20" i="3"/>
  <c r="E20" i="3" s="1"/>
  <c r="B23" i="3"/>
  <c r="C28" i="3"/>
  <c r="E28" i="3" s="1"/>
  <c r="B31" i="3"/>
  <c r="C7" i="3"/>
  <c r="E7" i="3" s="1"/>
  <c r="B10" i="3"/>
  <c r="C15" i="3"/>
  <c r="E15" i="3" s="1"/>
  <c r="B18" i="3"/>
  <c r="C23" i="3"/>
  <c r="E23" i="3" s="1"/>
  <c r="B26" i="3"/>
  <c r="C31" i="3"/>
  <c r="E31" i="3" s="1"/>
  <c r="B34" i="3"/>
  <c r="B5" i="3"/>
  <c r="C10" i="3"/>
  <c r="E10" i="3" s="1"/>
  <c r="B13" i="3"/>
  <c r="C18" i="3"/>
  <c r="E18" i="3" s="1"/>
  <c r="B21" i="3"/>
  <c r="C26" i="3"/>
  <c r="E26" i="3" s="1"/>
  <c r="B29" i="3"/>
  <c r="C34" i="3"/>
  <c r="E34" i="3" s="1"/>
  <c r="C5" i="3"/>
  <c r="E5" i="3" s="1"/>
  <c r="B8" i="3"/>
  <c r="C13" i="3"/>
  <c r="E13" i="3" s="1"/>
  <c r="B16" i="3"/>
  <c r="C21" i="3"/>
  <c r="E21" i="3" s="1"/>
  <c r="B24" i="3"/>
  <c r="C29" i="3"/>
  <c r="E29" i="3" s="1"/>
  <c r="E11" i="3" l="1"/>
  <c r="D3" i="4"/>
  <c r="I3" i="4" s="1"/>
  <c r="C3" i="4"/>
  <c r="C2" i="4"/>
  <c r="D2" i="4"/>
  <c r="I2" i="4" s="1"/>
  <c r="E27" i="3"/>
  <c r="C5" i="4"/>
  <c r="D5" i="4"/>
  <c r="I5" i="4" s="1"/>
  <c r="E19" i="3"/>
  <c r="D4" i="4"/>
  <c r="I4" i="4" s="1"/>
  <c r="C4" i="4"/>
  <c r="B1" i="3"/>
  <c r="E3" i="3"/>
  <c r="L5" i="4" l="1"/>
  <c r="K30" i="2" a="1"/>
  <c r="K30" i="2" s="1"/>
  <c r="K32" i="2" a="1"/>
  <c r="K32" i="2" s="1"/>
  <c r="K27" i="2" a="1"/>
  <c r="K27" i="2" s="1"/>
  <c r="K29" i="2" a="1"/>
  <c r="K29" i="2" s="1"/>
  <c r="K33" i="2" a="1"/>
  <c r="K33" i="2" s="1"/>
  <c r="K28" i="2" a="1"/>
  <c r="K28" i="2" s="1"/>
  <c r="K31" i="2" a="1"/>
  <c r="K31" i="2" s="1"/>
  <c r="K26" i="2" a="1"/>
  <c r="K26" i="2" s="1"/>
  <c r="K8" i="2" a="1"/>
  <c r="K8" i="2" s="1"/>
  <c r="K6" i="2" a="1"/>
  <c r="K6" i="2" s="1"/>
  <c r="K4" i="2" a="1"/>
  <c r="K4" i="2" s="1"/>
  <c r="K2" i="2" a="1"/>
  <c r="K2" i="2" s="1"/>
  <c r="L2" i="4"/>
  <c r="K9" i="2" a="1"/>
  <c r="K9" i="2" s="1"/>
  <c r="K7" i="2" a="1"/>
  <c r="K7" i="2" s="1"/>
  <c r="K5" i="2" a="1"/>
  <c r="K5" i="2" s="1"/>
  <c r="K3" i="2" a="1"/>
  <c r="K3" i="2" s="1"/>
  <c r="J31" i="2" a="1"/>
  <c r="J31" i="2" s="1"/>
  <c r="J29" i="2" a="1"/>
  <c r="J29" i="2" s="1"/>
  <c r="J27" i="2" a="1"/>
  <c r="J27" i="2" s="1"/>
  <c r="J33" i="2" a="1"/>
  <c r="J33" i="2" s="1"/>
  <c r="J26" i="2" a="1"/>
  <c r="J26" i="2" s="1"/>
  <c r="J28" i="2" a="1"/>
  <c r="J28" i="2" s="1"/>
  <c r="J30" i="2" a="1"/>
  <c r="J30" i="2" s="1"/>
  <c r="J32" i="2" a="1"/>
  <c r="J32" i="2" s="1"/>
  <c r="J13" i="2" a="1"/>
  <c r="J13" i="2" s="1"/>
  <c r="J11" i="2" a="1"/>
  <c r="J11" i="2" s="1"/>
  <c r="J17" i="2" a="1"/>
  <c r="J17" i="2" s="1"/>
  <c r="J15" i="2" a="1"/>
  <c r="J15" i="2" s="1"/>
  <c r="J16" i="2" a="1"/>
  <c r="J16" i="2" s="1"/>
  <c r="J10" i="2" a="1"/>
  <c r="J10" i="2" s="1"/>
  <c r="J12" i="2" a="1"/>
  <c r="J12" i="2" s="1"/>
  <c r="J14" i="2" a="1"/>
  <c r="J14" i="2" s="1"/>
  <c r="J5" i="2" a="1"/>
  <c r="J5" i="2" s="1"/>
  <c r="J8" i="2" a="1"/>
  <c r="J8" i="2" s="1"/>
  <c r="J6" i="2" a="1"/>
  <c r="J6" i="2" s="1"/>
  <c r="J4" i="2" a="1"/>
  <c r="J4" i="2" s="1"/>
  <c r="J2" i="2" a="1"/>
  <c r="J2" i="2" s="1"/>
  <c r="J7" i="2" a="1"/>
  <c r="J7" i="2" s="1"/>
  <c r="J9" i="2" a="1"/>
  <c r="J9" i="2" s="1"/>
  <c r="J3" i="2" a="1"/>
  <c r="J3" i="2" s="1"/>
  <c r="J23" i="2" a="1"/>
  <c r="J23" i="2" s="1"/>
  <c r="J19" i="2" a="1"/>
  <c r="J19" i="2" s="1"/>
  <c r="J25" i="2" a="1"/>
  <c r="J25" i="2" s="1"/>
  <c r="J21" i="2" a="1"/>
  <c r="J21" i="2" s="1"/>
  <c r="J24" i="2" a="1"/>
  <c r="J24" i="2" s="1"/>
  <c r="J18" i="2" a="1"/>
  <c r="J18" i="2" s="1"/>
  <c r="J20" i="2" a="1"/>
  <c r="J20" i="2" s="1"/>
  <c r="J22" i="2" a="1"/>
  <c r="J22" i="2" s="1"/>
  <c r="L4" i="4"/>
  <c r="K19" i="2" a="1"/>
  <c r="K19" i="2" s="1"/>
  <c r="K22" i="2" a="1"/>
  <c r="K22" i="2" s="1"/>
  <c r="K21" i="2" a="1"/>
  <c r="K21" i="2" s="1"/>
  <c r="K23" i="2" a="1"/>
  <c r="K23" i="2" s="1"/>
  <c r="K18" i="2" a="1"/>
  <c r="K18" i="2" s="1"/>
  <c r="K25" i="2" a="1"/>
  <c r="K25" i="2" s="1"/>
  <c r="K20" i="2" a="1"/>
  <c r="K20" i="2" s="1"/>
  <c r="K24" i="2" a="1"/>
  <c r="K24" i="2" s="1"/>
  <c r="L3" i="4"/>
  <c r="K14" i="2" a="1"/>
  <c r="K14" i="2" s="1"/>
  <c r="K16" i="2" a="1"/>
  <c r="K16" i="2" s="1"/>
  <c r="K11" i="2" a="1"/>
  <c r="K11" i="2" s="1"/>
  <c r="K13" i="2" a="1"/>
  <c r="K13" i="2" s="1"/>
  <c r="K12" i="2" a="1"/>
  <c r="K12" i="2" s="1"/>
  <c r="K15" i="2" a="1"/>
  <c r="K15" i="2" s="1"/>
  <c r="K10" i="2" a="1"/>
  <c r="K10" i="2" s="1"/>
  <c r="K17" i="2" a="1"/>
  <c r="K17" i="2" s="1"/>
  <c r="L8" i="2" l="1" a="1"/>
  <c r="L8" i="2" s="1"/>
  <c r="L6" i="2" a="1"/>
  <c r="L6" i="2" s="1"/>
  <c r="L4" i="2" a="1"/>
  <c r="L4" i="2" s="1"/>
  <c r="L2" i="2" a="1"/>
  <c r="L2" i="2" s="1"/>
  <c r="L9" i="2" a="1"/>
  <c r="L9" i="2" s="1"/>
  <c r="L7" i="2" a="1"/>
  <c r="L7" i="2" s="1"/>
  <c r="L5" i="2" a="1"/>
  <c r="L5" i="2" s="1"/>
  <c r="L3" i="2" a="1"/>
  <c r="L3" i="2" s="1"/>
  <c r="L19" i="2" a="1"/>
  <c r="L19" i="2" s="1"/>
  <c r="L18" i="2" a="1"/>
  <c r="L18" i="2" s="1"/>
  <c r="L22" i="2" a="1"/>
  <c r="L22" i="2" s="1"/>
  <c r="L24" i="2" a="1"/>
  <c r="L24" i="2" s="1"/>
  <c r="L21" i="2" a="1"/>
  <c r="L21" i="2" s="1"/>
  <c r="L25" i="2" a="1"/>
  <c r="L25" i="2" s="1"/>
  <c r="L20" i="2" a="1"/>
  <c r="L20" i="2" s="1"/>
  <c r="L23" i="2" a="1"/>
  <c r="L23" i="2" s="1"/>
  <c r="L28" i="2" a="1"/>
  <c r="L28" i="2" s="1"/>
  <c r="L27" i="2" a="1"/>
  <c r="L27" i="2" s="1"/>
  <c r="L26" i="2" a="1"/>
  <c r="L26" i="2" s="1"/>
  <c r="L29" i="2" a="1"/>
  <c r="L29" i="2" s="1"/>
  <c r="L31" i="2" a="1"/>
  <c r="L31" i="2" s="1"/>
  <c r="L30" i="2" a="1"/>
  <c r="L30" i="2" s="1"/>
  <c r="L33" i="2" a="1"/>
  <c r="L33" i="2" s="1"/>
  <c r="L32" i="2" a="1"/>
  <c r="L32" i="2" s="1"/>
  <c r="L10" i="2" a="1"/>
  <c r="L10" i="2" s="1"/>
  <c r="L11" i="2" a="1"/>
  <c r="L11" i="2" s="1"/>
  <c r="L14" i="2" a="1"/>
  <c r="L14" i="2" s="1"/>
  <c r="L13" i="2" a="1"/>
  <c r="L13" i="2" s="1"/>
  <c r="L15" i="2" a="1"/>
  <c r="L15" i="2" s="1"/>
  <c r="L16" i="2" a="1"/>
  <c r="L16" i="2" s="1"/>
  <c r="L17" i="2" a="1"/>
  <c r="L17" i="2" s="1"/>
  <c r="L12" i="2" a="1"/>
  <c r="L1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<sst xmlns="http://schemas.openxmlformats.org/spreadsheetml/2006/main" count="154" uniqueCount="57">
  <si>
    <r>
      <rPr>
        <b/>
        <sz val="14"/>
        <rFont val="Arial"/>
        <family val="2"/>
      </rPr>
      <t xml:space="preserve">SCIONX Destuff </t>
    </r>
    <r>
      <rPr>
        <b/>
        <sz val="14"/>
        <rFont val="Noto Sans CJK SC"/>
        <family val="2"/>
      </rPr>
      <t>互動練習（簡化範例）</t>
    </r>
  </si>
  <si>
    <r>
      <rPr>
        <sz val="11"/>
        <rFont val="Noto Sans CJK SC"/>
        <family val="2"/>
      </rPr>
      <t>這是縮小版示範：</t>
    </r>
    <r>
      <rPr>
        <sz val="11"/>
        <rFont val="Arial"/>
        <family val="2"/>
      </rPr>
      <t xml:space="preserve">33 </t>
    </r>
    <r>
      <rPr>
        <sz val="11"/>
        <rFont val="Noto Sans CJK SC"/>
        <family val="2"/>
      </rPr>
      <t xml:space="preserve">個原始判決 </t>
    </r>
    <r>
      <rPr>
        <sz val="11"/>
        <rFont val="Arial"/>
        <family val="2"/>
      </rPr>
      <t>bit</t>
    </r>
    <r>
      <rPr>
        <sz val="11"/>
        <rFont val="Noto Sans CJK SC"/>
        <family val="2"/>
      </rPr>
      <t>，模擬「</t>
    </r>
    <r>
      <rPr>
        <sz val="11"/>
        <rFont val="Arial"/>
        <family val="2"/>
      </rPr>
      <t xml:space="preserve">1 </t>
    </r>
    <r>
      <rPr>
        <sz val="11"/>
        <rFont val="Noto Sans CJK SC"/>
        <family val="2"/>
      </rPr>
      <t xml:space="preserve">個 </t>
    </r>
    <r>
      <rPr>
        <sz val="11"/>
        <rFont val="Arial"/>
        <family val="2"/>
      </rPr>
      <t xml:space="preserve">HDLC stuff bit + 1 </t>
    </r>
    <r>
      <rPr>
        <sz val="11"/>
        <rFont val="Noto Sans CJK SC"/>
        <family val="2"/>
      </rPr>
      <t xml:space="preserve">個判決錯誤 </t>
    </r>
    <r>
      <rPr>
        <sz val="11"/>
        <rFont val="Arial"/>
        <family val="2"/>
      </rPr>
      <t>bit</t>
    </r>
    <r>
      <rPr>
        <sz val="11"/>
        <rFont val="Noto Sans CJK SC"/>
        <family val="2"/>
      </rPr>
      <t xml:space="preserve">」的訊號。先驗證『下拉選單指定 </t>
    </r>
    <r>
      <rPr>
        <sz val="11"/>
        <rFont val="Arial"/>
        <family val="2"/>
      </rPr>
      <t>destuff/flip</t>
    </r>
    <r>
      <rPr>
        <sz val="11"/>
        <rFont val="Noto Sans CJK SC"/>
        <family val="2"/>
      </rPr>
      <t>，</t>
    </r>
    <r>
      <rPr>
        <sz val="11"/>
        <rFont val="Arial"/>
        <family val="2"/>
      </rPr>
      <t xml:space="preserve">Destuffed </t>
    </r>
    <r>
      <rPr>
        <sz val="11"/>
        <rFont val="Noto Sans CJK SC"/>
        <family val="2"/>
      </rPr>
      <t xml:space="preserve">分頁自動對齊比對』這個機制可不可行，之後再套到你真正的 </t>
    </r>
    <r>
      <rPr>
        <sz val="11"/>
        <rFont val="Arial"/>
        <family val="2"/>
      </rPr>
      <t>3816-bit raw stream</t>
    </r>
    <r>
      <rPr>
        <sz val="11"/>
        <rFont val="Noto Sans CJK SC"/>
        <family val="2"/>
      </rPr>
      <t>。</t>
    </r>
  </si>
  <si>
    <t>分頁說明：</t>
  </si>
  <si>
    <r>
      <rPr>
        <sz val="11"/>
        <rFont val="Arial"/>
        <family val="2"/>
      </rPr>
      <t>1. RawBits</t>
    </r>
    <r>
      <rPr>
        <sz val="11"/>
        <rFont val="Noto Sans CJK SC"/>
        <family val="2"/>
      </rPr>
      <t>：</t>
    </r>
    <r>
      <rPr>
        <sz val="11"/>
        <rFont val="Arial"/>
        <family val="2"/>
      </rPr>
      <t xml:space="preserve">33 </t>
    </r>
    <r>
      <rPr>
        <sz val="11"/>
        <rFont val="Noto Sans CJK SC"/>
        <family val="2"/>
      </rPr>
      <t xml:space="preserve">個原始判決 </t>
    </r>
    <r>
      <rPr>
        <sz val="11"/>
        <rFont val="Arial"/>
        <family val="2"/>
      </rPr>
      <t>bit</t>
    </r>
    <r>
      <rPr>
        <sz val="11"/>
        <rFont val="Noto Sans CJK SC"/>
        <family val="2"/>
      </rPr>
      <t>。</t>
    </r>
    <r>
      <rPr>
        <sz val="11"/>
        <rFont val="Arial"/>
        <family val="2"/>
      </rPr>
      <t xml:space="preserve">E </t>
    </r>
    <r>
      <rPr>
        <sz val="11"/>
        <rFont val="Noto Sans CJK SC"/>
        <family val="2"/>
      </rPr>
      <t>欄「</t>
    </r>
    <r>
      <rPr>
        <sz val="11"/>
        <rFont val="Arial"/>
        <family val="2"/>
      </rPr>
      <t>ExcludeThisBit</t>
    </r>
    <r>
      <rPr>
        <sz val="11"/>
        <rFont val="Noto Sans CJK SC"/>
        <family val="2"/>
      </rPr>
      <t>」下拉選單（</t>
    </r>
    <r>
      <rPr>
        <sz val="11"/>
        <rFont val="Arial"/>
        <family val="2"/>
      </rPr>
      <t>Yes/No</t>
    </r>
    <r>
      <rPr>
        <sz val="11"/>
        <rFont val="Noto Sans CJK SC"/>
        <family val="2"/>
      </rPr>
      <t>）——</t>
    </r>
    <r>
      <rPr>
        <sz val="11"/>
        <rFont val="Arial"/>
        <family val="2"/>
      </rPr>
      <t xml:space="preserve">Yes = </t>
    </r>
    <r>
      <rPr>
        <sz val="11"/>
        <rFont val="Noto Sans CJK SC"/>
        <family val="2"/>
      </rPr>
      <t xml:space="preserve">這個 </t>
    </r>
    <r>
      <rPr>
        <sz val="11"/>
        <rFont val="Arial"/>
        <family val="2"/>
      </rPr>
      <t xml:space="preserve">bit </t>
    </r>
    <r>
      <rPr>
        <sz val="11"/>
        <rFont val="Noto Sans CJK SC"/>
        <family val="2"/>
      </rPr>
      <t xml:space="preserve">是 </t>
    </r>
    <r>
      <rPr>
        <sz val="11"/>
        <rFont val="Arial"/>
        <family val="2"/>
      </rPr>
      <t xml:space="preserve">stuffing </t>
    </r>
    <r>
      <rPr>
        <sz val="11"/>
        <rFont val="Noto Sans CJK SC"/>
        <family val="2"/>
      </rPr>
      <t>插入的，</t>
    </r>
    <r>
      <rPr>
        <sz val="11"/>
        <rFont val="Arial"/>
        <family val="2"/>
      </rPr>
      <t xml:space="preserve">destuff </t>
    </r>
    <r>
      <rPr>
        <sz val="11"/>
        <rFont val="Noto Sans CJK SC"/>
        <family val="2"/>
      </rPr>
      <t>時要移除。</t>
    </r>
    <r>
      <rPr>
        <sz val="11"/>
        <rFont val="Arial"/>
        <family val="2"/>
      </rPr>
      <t xml:space="preserve">F </t>
    </r>
    <r>
      <rPr>
        <sz val="11"/>
        <rFont val="Noto Sans CJK SC"/>
        <family val="2"/>
      </rPr>
      <t>欄「</t>
    </r>
    <r>
      <rPr>
        <sz val="11"/>
        <rFont val="Arial"/>
        <family val="2"/>
      </rPr>
      <t>FlipThisBit</t>
    </r>
    <r>
      <rPr>
        <sz val="11"/>
        <rFont val="Noto Sans CJK SC"/>
        <family val="2"/>
      </rPr>
      <t>」下拉選單——</t>
    </r>
    <r>
      <rPr>
        <sz val="11"/>
        <rFont val="Arial"/>
        <family val="2"/>
      </rPr>
      <t xml:space="preserve">Yes = </t>
    </r>
    <r>
      <rPr>
        <sz val="11"/>
        <rFont val="Noto Sans CJK SC"/>
        <family val="2"/>
      </rPr>
      <t xml:space="preserve">懷疑判決錯誤，反轉 </t>
    </r>
    <r>
      <rPr>
        <sz val="11"/>
        <rFont val="Arial"/>
        <family val="2"/>
      </rPr>
      <t>0/1</t>
    </r>
    <r>
      <rPr>
        <sz val="11"/>
        <rFont val="Noto Sans CJK SC"/>
        <family val="2"/>
      </rPr>
      <t>。</t>
    </r>
    <r>
      <rPr>
        <sz val="11"/>
        <rFont val="Arial"/>
        <family val="2"/>
      </rPr>
      <t xml:space="preserve">C </t>
    </r>
    <r>
      <rPr>
        <sz val="11"/>
        <rFont val="Noto Sans CJK SC"/>
        <family val="2"/>
      </rPr>
      <t>欄「</t>
    </r>
    <r>
      <rPr>
        <sz val="11"/>
        <rFont val="Arial"/>
        <family val="2"/>
      </rPr>
      <t>LowConfidence</t>
    </r>
    <r>
      <rPr>
        <sz val="11"/>
        <rFont val="Noto Sans CJK SC"/>
        <family val="2"/>
      </rPr>
      <t>」標出最可疑的</t>
    </r>
    <r>
      <rPr>
        <sz val="11"/>
        <rFont val="Arial"/>
        <family val="2"/>
      </rPr>
      <t xml:space="preserve">3 </t>
    </r>
    <r>
      <rPr>
        <sz val="11"/>
        <rFont val="Noto Sans CJK SC"/>
        <family val="2"/>
      </rPr>
      <t xml:space="preserve">個候選 </t>
    </r>
    <r>
      <rPr>
        <sz val="11"/>
        <rFont val="Arial"/>
        <family val="2"/>
      </rPr>
      <t>bit</t>
    </r>
    <r>
      <rPr>
        <sz val="11"/>
        <rFont val="Noto Sans CJK SC"/>
        <family val="2"/>
      </rPr>
      <t>（</t>
    </r>
    <r>
      <rPr>
        <sz val="11"/>
        <rFont val="Arial"/>
        <family val="2"/>
      </rPr>
      <t>index 8, 9, 22</t>
    </r>
    <r>
      <rPr>
        <sz val="11"/>
        <rFont val="Noto Sans CJK SC"/>
        <family val="2"/>
      </rPr>
      <t>，紅字）。</t>
    </r>
    <r>
      <rPr>
        <sz val="11"/>
        <rFont val="Arial"/>
        <family val="2"/>
      </rPr>
      <t xml:space="preserve">D </t>
    </r>
    <r>
      <rPr>
        <sz val="11"/>
        <rFont val="Noto Sans CJK SC"/>
        <family val="2"/>
      </rPr>
      <t>欄「</t>
    </r>
    <r>
      <rPr>
        <sz val="11"/>
        <rFont val="Arial"/>
        <family val="2"/>
      </rPr>
      <t>CandidateStuffPoint</t>
    </r>
    <r>
      <rPr>
        <sz val="11"/>
        <rFont val="Noto Sans CJK SC"/>
        <family val="2"/>
      </rPr>
      <t xml:space="preserve">」自動偵測「前面剛好連續 </t>
    </r>
    <r>
      <rPr>
        <sz val="11"/>
        <rFont val="Arial"/>
        <family val="2"/>
      </rPr>
      <t xml:space="preserve">5 </t>
    </r>
    <r>
      <rPr>
        <sz val="11"/>
        <rFont val="Noto Sans CJK SC"/>
        <family val="2"/>
      </rPr>
      <t xml:space="preserve">個 </t>
    </r>
    <r>
      <rPr>
        <sz val="11"/>
        <rFont val="Arial"/>
        <family val="2"/>
      </rPr>
      <t>1</t>
    </r>
    <r>
      <rPr>
        <sz val="11"/>
        <rFont val="Noto Sans CJK SC"/>
        <family val="2"/>
      </rPr>
      <t xml:space="preserve">」的位置——真正的 </t>
    </r>
    <r>
      <rPr>
        <sz val="11"/>
        <rFont val="Arial"/>
        <family val="2"/>
      </rPr>
      <t>stuff bit</t>
    </r>
    <r>
      <rPr>
        <sz val="11"/>
        <rFont val="Noto Sans CJK SC"/>
        <family val="2"/>
      </rPr>
      <t>理論上只會出現在這種位置。</t>
    </r>
  </si>
  <si>
    <r>
      <rPr>
        <sz val="11"/>
        <rFont val="Arial"/>
        <family val="2"/>
      </rPr>
      <t>2. Destuffed</t>
    </r>
    <r>
      <rPr>
        <sz val="11"/>
        <rFont val="Noto Sans CJK SC"/>
        <family val="2"/>
      </rPr>
      <t xml:space="preserve">：套用你在 </t>
    </r>
    <r>
      <rPr>
        <sz val="11"/>
        <rFont val="Arial"/>
        <family val="2"/>
      </rPr>
      <t xml:space="preserve">RawBits </t>
    </r>
    <r>
      <rPr>
        <sz val="11"/>
        <rFont val="Noto Sans CJK SC"/>
        <family val="2"/>
      </rPr>
      <t xml:space="preserve">的選擇後，自動重排、對齊到 </t>
    </r>
    <r>
      <rPr>
        <sz val="11"/>
        <rFont val="Arial"/>
        <family val="2"/>
      </rPr>
      <t>Reference</t>
    </r>
    <r>
      <rPr>
        <sz val="11"/>
        <rFont val="Noto Sans CJK SC"/>
        <family val="2"/>
      </rPr>
      <t xml:space="preserve">（真值）逐 </t>
    </r>
    <r>
      <rPr>
        <sz val="11"/>
        <rFont val="Arial"/>
        <family val="2"/>
      </rPr>
      <t xml:space="preserve">bit </t>
    </r>
    <r>
      <rPr>
        <sz val="11"/>
        <rFont val="Noto Sans CJK SC"/>
        <family val="2"/>
      </rPr>
      <t>比對。</t>
    </r>
    <r>
      <rPr>
        <sz val="11"/>
        <rFont val="Arial"/>
        <family val="2"/>
      </rPr>
      <t xml:space="preserve">C </t>
    </r>
    <r>
      <rPr>
        <sz val="11"/>
        <rFont val="Noto Sans CJK SC"/>
        <family val="2"/>
      </rPr>
      <t xml:space="preserve">欄 </t>
    </r>
    <r>
      <rPr>
        <sz val="11"/>
        <rFont val="Arial"/>
        <family val="2"/>
      </rPr>
      <t xml:space="preserve">= </t>
    </r>
    <r>
      <rPr>
        <sz val="11"/>
        <rFont val="Noto Sans CJK SC"/>
        <family val="2"/>
      </rPr>
      <t xml:space="preserve">目前組出來的 </t>
    </r>
    <r>
      <rPr>
        <sz val="11"/>
        <rFont val="Arial"/>
        <family val="2"/>
      </rPr>
      <t>bit</t>
    </r>
    <r>
      <rPr>
        <sz val="11"/>
        <rFont val="Noto Sans CJK SC"/>
        <family val="2"/>
      </rPr>
      <t>；</t>
    </r>
    <r>
      <rPr>
        <sz val="11"/>
        <rFont val="Arial"/>
        <family val="2"/>
      </rPr>
      <t xml:space="preserve">D </t>
    </r>
    <r>
      <rPr>
        <sz val="11"/>
        <rFont val="Noto Sans CJK SC"/>
        <family val="2"/>
      </rPr>
      <t xml:space="preserve">欄 </t>
    </r>
    <r>
      <rPr>
        <sz val="11"/>
        <rFont val="Arial"/>
        <family val="2"/>
      </rPr>
      <t xml:space="preserve">= </t>
    </r>
    <r>
      <rPr>
        <sz val="11"/>
        <rFont val="Noto Sans CJK SC"/>
        <family val="2"/>
      </rPr>
      <t>真值；</t>
    </r>
    <r>
      <rPr>
        <sz val="11"/>
        <rFont val="Arial"/>
        <family val="2"/>
      </rPr>
      <t xml:space="preserve">E </t>
    </r>
    <r>
      <rPr>
        <sz val="11"/>
        <rFont val="Noto Sans CJK SC"/>
        <family val="2"/>
      </rPr>
      <t xml:space="preserve">欄 </t>
    </r>
    <r>
      <rPr>
        <sz val="11"/>
        <rFont val="Arial"/>
        <family val="2"/>
      </rPr>
      <t>= 1(</t>
    </r>
    <r>
      <rPr>
        <sz val="11"/>
        <rFont val="Noto Sans CJK SC"/>
        <family val="2"/>
      </rPr>
      <t>對</t>
    </r>
    <r>
      <rPr>
        <sz val="11"/>
        <rFont val="Arial"/>
        <family val="2"/>
      </rPr>
      <t>)/0(</t>
    </r>
    <r>
      <rPr>
        <sz val="11"/>
        <rFont val="Noto Sans CJK SC"/>
        <family val="2"/>
      </rPr>
      <t>錯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，錯的整列會標紅。</t>
    </r>
    <r>
      <rPr>
        <sz val="11"/>
        <rFont val="Arial"/>
        <family val="2"/>
      </rPr>
      <t xml:space="preserve">B1 </t>
    </r>
    <r>
      <rPr>
        <sz val="11"/>
        <rFont val="Noto Sans CJK SC"/>
        <family val="2"/>
      </rPr>
      <t xml:space="preserve">顯示「目前錯配數」，這是你要盯著壓到 </t>
    </r>
    <r>
      <rPr>
        <sz val="11"/>
        <rFont val="Arial"/>
        <family val="2"/>
      </rPr>
      <t xml:space="preserve">0 </t>
    </r>
    <r>
      <rPr>
        <sz val="11"/>
        <rFont val="Noto Sans CJK SC"/>
        <family val="2"/>
      </rPr>
      <t>的數字。</t>
    </r>
  </si>
  <si>
    <t>建議操作順序：</t>
  </si>
  <si>
    <r>
      <rPr>
        <sz val="11"/>
        <rFont val="Noto Sans CJK SC"/>
        <family val="2"/>
      </rPr>
      <t xml:space="preserve">步驟 </t>
    </r>
    <r>
      <rPr>
        <sz val="11"/>
        <rFont val="Arial"/>
        <family val="2"/>
      </rPr>
      <t>0</t>
    </r>
    <r>
      <rPr>
        <sz val="11"/>
        <rFont val="Noto Sans CJK SC"/>
        <family val="2"/>
      </rPr>
      <t xml:space="preserve">（現況）：兩個下拉都維持 </t>
    </r>
    <r>
      <rPr>
        <sz val="11"/>
        <rFont val="Arial"/>
        <family val="2"/>
      </rPr>
      <t>No</t>
    </r>
    <r>
      <rPr>
        <sz val="11"/>
        <rFont val="Noto Sans CJK SC"/>
        <family val="2"/>
      </rPr>
      <t>。</t>
    </r>
    <r>
      <rPr>
        <sz val="11"/>
        <rFont val="Arial"/>
        <family val="2"/>
      </rPr>
      <t xml:space="preserve">Destuffed </t>
    </r>
    <r>
      <rPr>
        <sz val="11"/>
        <rFont val="Noto Sans CJK SC"/>
        <family val="2"/>
      </rPr>
      <t xml:space="preserve">從 </t>
    </r>
    <r>
      <rPr>
        <sz val="11"/>
        <rFont val="Arial"/>
        <family val="2"/>
      </rPr>
      <t xml:space="preserve">index 8 </t>
    </r>
    <r>
      <rPr>
        <sz val="11"/>
        <rFont val="Noto Sans CJK SC"/>
        <family val="2"/>
      </rPr>
      <t xml:space="preserve">之後幾乎全紅——多出來的 </t>
    </r>
    <r>
      <rPr>
        <sz val="11"/>
        <rFont val="Arial"/>
        <family val="2"/>
      </rPr>
      <t xml:space="preserve">stuff bit </t>
    </r>
    <r>
      <rPr>
        <sz val="11"/>
        <rFont val="Noto Sans CJK SC"/>
        <family val="2"/>
      </rPr>
      <t xml:space="preserve">沒被移除，後面全部位移。錯配數應為 </t>
    </r>
    <r>
      <rPr>
        <sz val="11"/>
        <rFont val="Arial"/>
        <family val="2"/>
      </rPr>
      <t>18</t>
    </r>
    <r>
      <rPr>
        <sz val="11"/>
        <rFont val="Noto Sans CJK SC"/>
        <family val="2"/>
      </rPr>
      <t>。</t>
    </r>
  </si>
  <si>
    <r>
      <rPr>
        <sz val="11"/>
        <rFont val="Noto Sans CJK SC"/>
        <family val="2"/>
      </rPr>
      <t xml:space="preserve">步驟 </t>
    </r>
    <r>
      <rPr>
        <sz val="11"/>
        <rFont val="Arial"/>
        <family val="2"/>
      </rPr>
      <t>1</t>
    </r>
    <r>
      <rPr>
        <sz val="11"/>
        <rFont val="Noto Sans CJK SC"/>
        <family val="2"/>
      </rPr>
      <t xml:space="preserve">：把 </t>
    </r>
    <r>
      <rPr>
        <sz val="11"/>
        <rFont val="Arial"/>
        <family val="2"/>
      </rPr>
      <t xml:space="preserve">RawBits </t>
    </r>
    <r>
      <rPr>
        <sz val="11"/>
        <rFont val="Noto Sans CJK SC"/>
        <family val="2"/>
      </rPr>
      <t xml:space="preserve">第 </t>
    </r>
    <r>
      <rPr>
        <sz val="11"/>
        <rFont val="Arial"/>
        <family val="2"/>
      </rPr>
      <t xml:space="preserve">8 </t>
    </r>
    <r>
      <rPr>
        <sz val="11"/>
        <rFont val="Noto Sans CJK SC"/>
        <family val="2"/>
      </rPr>
      <t>列（</t>
    </r>
    <r>
      <rPr>
        <sz val="11"/>
        <rFont val="Arial"/>
        <family val="2"/>
      </rPr>
      <t>index=8</t>
    </r>
    <r>
      <rPr>
        <sz val="11"/>
        <rFont val="Noto Sans CJK SC"/>
        <family val="2"/>
      </rPr>
      <t>，</t>
    </r>
    <r>
      <rPr>
        <sz val="11"/>
        <rFont val="Arial"/>
        <family val="2"/>
      </rPr>
      <t>CandidateStuffPoint=Yes</t>
    </r>
    <r>
      <rPr>
        <sz val="11"/>
        <rFont val="Noto Sans CJK SC"/>
        <family val="2"/>
      </rPr>
      <t xml:space="preserve">）的 </t>
    </r>
    <r>
      <rPr>
        <sz val="11"/>
        <rFont val="Arial"/>
        <family val="2"/>
      </rPr>
      <t xml:space="preserve">ExcludeThisBit </t>
    </r>
    <r>
      <rPr>
        <sz val="11"/>
        <rFont val="Noto Sans CJK SC"/>
        <family val="2"/>
      </rPr>
      <t xml:space="preserve">改成 </t>
    </r>
    <r>
      <rPr>
        <sz val="11"/>
        <rFont val="Arial"/>
        <family val="2"/>
      </rPr>
      <t>Yes</t>
    </r>
    <r>
      <rPr>
        <sz val="11"/>
        <rFont val="Noto Sans CJK SC"/>
        <family val="2"/>
      </rPr>
      <t xml:space="preserve">。大部分列會變綠，只剩 </t>
    </r>
    <r>
      <rPr>
        <sz val="11"/>
        <rFont val="Arial"/>
        <family val="2"/>
      </rPr>
      <t xml:space="preserve">1 </t>
    </r>
    <r>
      <rPr>
        <sz val="11"/>
        <rFont val="Noto Sans CJK SC"/>
        <family val="2"/>
      </rPr>
      <t xml:space="preserve">個紅——錯配數應從 </t>
    </r>
    <r>
      <rPr>
        <sz val="11"/>
        <rFont val="Arial"/>
        <family val="2"/>
      </rPr>
      <t xml:space="preserve">18 </t>
    </r>
    <r>
      <rPr>
        <sz val="11"/>
        <rFont val="Noto Sans CJK SC"/>
        <family val="2"/>
      </rPr>
      <t xml:space="preserve">降到 </t>
    </r>
    <r>
      <rPr>
        <sz val="11"/>
        <rFont val="Arial"/>
        <family val="2"/>
      </rPr>
      <t>1</t>
    </r>
    <r>
      <rPr>
        <sz val="11"/>
        <rFont val="Noto Sans CJK SC"/>
        <family val="2"/>
      </rPr>
      <t>，證明『排除』選對了位置。</t>
    </r>
  </si>
  <si>
    <r>
      <rPr>
        <sz val="11"/>
        <rFont val="Noto Sans CJK SC"/>
        <family val="2"/>
      </rPr>
      <t xml:space="preserve">步驟 </t>
    </r>
    <r>
      <rPr>
        <sz val="11"/>
        <rFont val="Arial"/>
        <family val="2"/>
      </rPr>
      <t>2</t>
    </r>
    <r>
      <rPr>
        <sz val="11"/>
        <rFont val="Noto Sans CJK SC"/>
        <family val="2"/>
      </rPr>
      <t xml:space="preserve">（對照組，體驗『選錯』）：如果改成排除第 </t>
    </r>
    <r>
      <rPr>
        <sz val="11"/>
        <rFont val="Arial"/>
        <family val="2"/>
      </rPr>
      <t xml:space="preserve">9 </t>
    </r>
    <r>
      <rPr>
        <sz val="11"/>
        <rFont val="Noto Sans CJK SC"/>
        <family val="2"/>
      </rPr>
      <t>列（</t>
    </r>
    <r>
      <rPr>
        <sz val="11"/>
        <rFont val="Arial"/>
        <family val="2"/>
      </rPr>
      <t>decoy</t>
    </r>
    <r>
      <rPr>
        <sz val="11"/>
        <rFont val="Noto Sans CJK SC"/>
        <family val="2"/>
      </rPr>
      <t xml:space="preserve">，看起來也很像候選點）而不是第 </t>
    </r>
    <r>
      <rPr>
        <sz val="11"/>
        <rFont val="Arial"/>
        <family val="2"/>
      </rPr>
      <t xml:space="preserve">8 </t>
    </r>
    <r>
      <rPr>
        <sz val="11"/>
        <rFont val="Noto Sans CJK SC"/>
        <family val="2"/>
      </rPr>
      <t xml:space="preserve">列，錯配數只會降到 </t>
    </r>
    <r>
      <rPr>
        <sz val="11"/>
        <rFont val="Arial"/>
        <family val="2"/>
      </rPr>
      <t>2</t>
    </r>
    <r>
      <rPr>
        <sz val="11"/>
        <rFont val="Noto Sans CJK SC"/>
        <family val="2"/>
      </rPr>
      <t xml:space="preserve">、不會全對——『長得像』不代表是對的 </t>
    </r>
    <r>
      <rPr>
        <sz val="11"/>
        <rFont val="Arial"/>
        <family val="2"/>
      </rPr>
      <t>stuff bit</t>
    </r>
    <r>
      <rPr>
        <sz val="11"/>
        <rFont val="Noto Sans CJK SC"/>
        <family val="2"/>
      </rPr>
      <t xml:space="preserve">，這正是 </t>
    </r>
    <r>
      <rPr>
        <sz val="11"/>
        <rFont val="Arial"/>
        <family val="2"/>
      </rPr>
      <t xml:space="preserve">destuff </t>
    </r>
    <r>
      <rPr>
        <sz val="11"/>
        <rFont val="Noto Sans CJK SC"/>
        <family val="2"/>
      </rPr>
      <t>有多種可能性的情境。</t>
    </r>
  </si>
  <si>
    <r>
      <rPr>
        <sz val="11"/>
        <rFont val="Noto Sans CJK SC"/>
        <family val="2"/>
      </rPr>
      <t xml:space="preserve">步驟 </t>
    </r>
    <r>
      <rPr>
        <sz val="11"/>
        <rFont val="Arial"/>
        <family val="2"/>
      </rPr>
      <t>3</t>
    </r>
    <r>
      <rPr>
        <sz val="11"/>
        <rFont val="Noto Sans CJK SC"/>
        <family val="2"/>
      </rPr>
      <t xml:space="preserve">：確認第 </t>
    </r>
    <r>
      <rPr>
        <sz val="11"/>
        <rFont val="Arial"/>
        <family val="2"/>
      </rPr>
      <t xml:space="preserve">8 </t>
    </r>
    <r>
      <rPr>
        <sz val="11"/>
        <rFont val="Noto Sans CJK SC"/>
        <family val="2"/>
      </rPr>
      <t xml:space="preserve">列排除正確後，剩下那 </t>
    </r>
    <r>
      <rPr>
        <sz val="11"/>
        <rFont val="Arial"/>
        <family val="2"/>
      </rPr>
      <t xml:space="preserve">1 </t>
    </r>
    <r>
      <rPr>
        <sz val="11"/>
        <rFont val="Noto Sans CJK SC"/>
        <family val="2"/>
      </rPr>
      <t xml:space="preserve">個紅通常不是 </t>
    </r>
    <r>
      <rPr>
        <sz val="11"/>
        <rFont val="Arial"/>
        <family val="2"/>
      </rPr>
      <t xml:space="preserve">destuff </t>
    </r>
    <r>
      <rPr>
        <sz val="11"/>
        <rFont val="Noto Sans CJK SC"/>
        <family val="2"/>
      </rPr>
      <t xml:space="preserve">位置錯，而是判決錯誤——把 </t>
    </r>
    <r>
      <rPr>
        <sz val="11"/>
        <rFont val="Arial"/>
        <family val="2"/>
      </rPr>
      <t>RawBits index=22</t>
    </r>
    <r>
      <rPr>
        <sz val="11"/>
        <rFont val="Noto Sans CJK SC"/>
        <family val="2"/>
      </rPr>
      <t>（</t>
    </r>
    <r>
      <rPr>
        <sz val="11"/>
        <rFont val="Arial"/>
        <family val="2"/>
      </rPr>
      <t>LowConfidence=Yes</t>
    </r>
    <r>
      <rPr>
        <sz val="11"/>
        <rFont val="Noto Sans CJK SC"/>
        <family val="2"/>
      </rPr>
      <t xml:space="preserve">）那列的 </t>
    </r>
    <r>
      <rPr>
        <sz val="11"/>
        <rFont val="Arial"/>
        <family val="2"/>
      </rPr>
      <t xml:space="preserve">FlipThisBit </t>
    </r>
    <r>
      <rPr>
        <sz val="11"/>
        <rFont val="Noto Sans CJK SC"/>
        <family val="2"/>
      </rPr>
      <t xml:space="preserve">改成 </t>
    </r>
    <r>
      <rPr>
        <sz val="11"/>
        <rFont val="Arial"/>
        <family val="2"/>
      </rPr>
      <t>Yes</t>
    </r>
    <r>
      <rPr>
        <sz val="11"/>
        <rFont val="Noto Sans CJK SC"/>
        <family val="2"/>
      </rPr>
      <t>。錯配數應歸零。</t>
    </r>
  </si>
  <si>
    <r>
      <rPr>
        <sz val="11"/>
        <rFont val="Noto Sans CJK SC"/>
        <family val="2"/>
      </rPr>
      <t xml:space="preserve">驗證方式：三個狀態（不處理 </t>
    </r>
    <r>
      <rPr>
        <sz val="11"/>
        <rFont val="Arial"/>
        <family val="2"/>
      </rPr>
      <t xml:space="preserve">/ </t>
    </r>
    <r>
      <rPr>
        <sz val="11"/>
        <rFont val="Noto Sans CJK SC"/>
        <family val="2"/>
      </rPr>
      <t>只排除第</t>
    </r>
    <r>
      <rPr>
        <sz val="11"/>
        <rFont val="Arial"/>
        <family val="2"/>
      </rPr>
      <t>8</t>
    </r>
    <r>
      <rPr>
        <sz val="11"/>
        <rFont val="Noto Sans CJK SC"/>
        <family val="2"/>
      </rPr>
      <t xml:space="preserve">列 </t>
    </r>
    <r>
      <rPr>
        <sz val="11"/>
        <rFont val="Arial"/>
        <family val="2"/>
      </rPr>
      <t xml:space="preserve">/ </t>
    </r>
    <r>
      <rPr>
        <sz val="11"/>
        <rFont val="Noto Sans CJK SC"/>
        <family val="2"/>
      </rPr>
      <t>排除第</t>
    </r>
    <r>
      <rPr>
        <sz val="11"/>
        <rFont val="Arial"/>
        <family val="2"/>
      </rPr>
      <t>8</t>
    </r>
    <r>
      <rPr>
        <sz val="11"/>
        <rFont val="Noto Sans CJK SC"/>
        <family val="2"/>
      </rPr>
      <t>列</t>
    </r>
    <r>
      <rPr>
        <sz val="11"/>
        <rFont val="Arial"/>
        <family val="2"/>
      </rPr>
      <t>+</t>
    </r>
    <r>
      <rPr>
        <sz val="11"/>
        <rFont val="Noto Sans CJK SC"/>
        <family val="2"/>
      </rPr>
      <t>翻轉第</t>
    </r>
    <r>
      <rPr>
        <sz val="11"/>
        <rFont val="Arial"/>
        <family val="2"/>
      </rPr>
      <t>22</t>
    </r>
    <r>
      <rPr>
        <sz val="11"/>
        <rFont val="Noto Sans CJK SC"/>
        <family val="2"/>
      </rPr>
      <t xml:space="preserve">列）已用 </t>
    </r>
    <r>
      <rPr>
        <sz val="11"/>
        <rFont val="Arial"/>
        <family val="2"/>
      </rPr>
      <t xml:space="preserve">Python </t>
    </r>
    <r>
      <rPr>
        <sz val="11"/>
        <rFont val="Noto Sans CJK SC"/>
        <family val="2"/>
      </rPr>
      <t xml:space="preserve">手算驗證，錯配數分別為 </t>
    </r>
    <r>
      <rPr>
        <sz val="11"/>
        <rFont val="Arial"/>
        <family val="2"/>
      </rPr>
      <t>18</t>
    </r>
    <r>
      <rPr>
        <sz val="11"/>
        <rFont val="Noto Sans CJK SC"/>
        <family val="2"/>
      </rPr>
      <t>、</t>
    </r>
    <r>
      <rPr>
        <sz val="11"/>
        <rFont val="Arial"/>
        <family val="2"/>
      </rPr>
      <t>1</t>
    </r>
    <r>
      <rPr>
        <sz val="11"/>
        <rFont val="Noto Sans CJK SC"/>
        <family val="2"/>
      </rPr>
      <t>、</t>
    </r>
    <r>
      <rPr>
        <sz val="11"/>
        <rFont val="Arial"/>
        <family val="2"/>
      </rPr>
      <t>0</t>
    </r>
    <r>
      <rPr>
        <sz val="11"/>
        <rFont val="Noto Sans CJK SC"/>
        <family val="2"/>
      </rPr>
      <t xml:space="preserve">，可直接核對 </t>
    </r>
    <r>
      <rPr>
        <sz val="11"/>
        <rFont val="Arial"/>
        <family val="2"/>
      </rPr>
      <t xml:space="preserve">Destuffed!B1 </t>
    </r>
    <r>
      <rPr>
        <sz val="11"/>
        <rFont val="Noto Sans CJK SC"/>
        <family val="2"/>
      </rPr>
      <t>操作後的數字。</t>
    </r>
  </si>
  <si>
    <r>
      <rPr>
        <sz val="11"/>
        <color rgb="FF1F4E78"/>
        <rFont val="Noto Sans CJK SC"/>
        <family val="2"/>
      </rPr>
      <t>下一步：這個機制若可用，我會把同一套『</t>
    </r>
    <r>
      <rPr>
        <sz val="11"/>
        <color rgb="FF1F4E78"/>
        <rFont val="Arial"/>
        <family val="2"/>
      </rPr>
      <t>RawBits(</t>
    </r>
    <r>
      <rPr>
        <sz val="11"/>
        <color rgb="FF1F4E78"/>
        <rFont val="Noto Sans CJK SC"/>
        <family val="2"/>
      </rPr>
      <t>逐</t>
    </r>
    <r>
      <rPr>
        <sz val="11"/>
        <color rgb="FF1F4E78"/>
        <rFont val="Arial"/>
        <family val="2"/>
      </rPr>
      <t>bit</t>
    </r>
    <r>
      <rPr>
        <sz val="11"/>
        <color rgb="FF1F4E78"/>
        <rFont val="Noto Sans CJK SC"/>
        <family val="2"/>
      </rPr>
      <t>信心欄</t>
    </r>
    <r>
      <rPr>
        <sz val="11"/>
        <color rgb="FF1F4E78"/>
        <rFont val="Arial"/>
        <family val="2"/>
      </rPr>
      <t xml:space="preserve">) → </t>
    </r>
    <r>
      <rPr>
        <sz val="11"/>
        <color rgb="FF1F4E78"/>
        <rFont val="Noto Sans CJK SC"/>
        <family val="2"/>
      </rPr>
      <t xml:space="preserve">下拉選單 </t>
    </r>
    <r>
      <rPr>
        <sz val="11"/>
        <color rgb="FF1F4E78"/>
        <rFont val="Arial"/>
        <family val="2"/>
      </rPr>
      <t>destuff/flip → Destuffed</t>
    </r>
    <r>
      <rPr>
        <sz val="11"/>
        <color rgb="FF1F4E78"/>
        <rFont val="Noto Sans CJK SC"/>
        <family val="2"/>
      </rPr>
      <t xml:space="preserve">自動比對』結構套到真正的 </t>
    </r>
    <r>
      <rPr>
        <sz val="11"/>
        <color rgb="FF1F4E78"/>
        <rFont val="Arial"/>
        <family val="2"/>
      </rPr>
      <t>3816-bit raw stream</t>
    </r>
    <r>
      <rPr>
        <sz val="11"/>
        <color rgb="FF1F4E78"/>
        <rFont val="Noto Sans CJK SC"/>
        <family val="2"/>
      </rPr>
      <t xml:space="preserve">（來自 </t>
    </r>
    <r>
      <rPr>
        <sz val="11"/>
        <color rgb="FF1F4E78"/>
        <rFont val="Arial"/>
        <family val="2"/>
      </rPr>
      <t>cut_first3_frame2_raw_no_destuff.xlsx</t>
    </r>
    <r>
      <rPr>
        <sz val="11"/>
        <color rgb="FF1F4E78"/>
        <rFont val="Noto Sans CJK SC"/>
        <family val="2"/>
      </rPr>
      <t xml:space="preserve">）跟完整 </t>
    </r>
    <r>
      <rPr>
        <sz val="11"/>
        <color rgb="FF1F4E78"/>
        <rFont val="Arial"/>
        <family val="2"/>
      </rPr>
      <t>274-byte reference frame</t>
    </r>
    <r>
      <rPr>
        <sz val="11"/>
        <color rgb="FF1F4E78"/>
        <rFont val="Noto Sans CJK SC"/>
        <family val="2"/>
      </rPr>
      <t xml:space="preserve">，並加上 </t>
    </r>
    <r>
      <rPr>
        <sz val="11"/>
        <color rgb="FF1F4E78"/>
        <rFont val="Arial"/>
        <family val="2"/>
      </rPr>
      <t xml:space="preserve">byte/hex/ASCII </t>
    </r>
    <r>
      <rPr>
        <sz val="11"/>
        <color rgb="FF1F4E78"/>
        <rFont val="Noto Sans CJK SC"/>
        <family val="2"/>
      </rPr>
      <t>分組、</t>
    </r>
    <r>
      <rPr>
        <sz val="11"/>
        <color rgb="FF1F4E78"/>
        <rFont val="Arial"/>
        <family val="2"/>
      </rPr>
      <t xml:space="preserve">CRC-16/X.25 </t>
    </r>
    <r>
      <rPr>
        <sz val="11"/>
        <color rgb="FF1F4E78"/>
        <rFont val="Noto Sans CJK SC"/>
        <family val="2"/>
      </rPr>
      <t>即時檢查。</t>
    </r>
  </si>
  <si>
    <t>BitIndex</t>
  </si>
  <si>
    <t>RawBitValue</t>
  </si>
  <si>
    <t>LowConfidence</t>
  </si>
  <si>
    <t>CandidateStuffPoint</t>
  </si>
  <si>
    <t>ExcludeThisBit</t>
  </si>
  <si>
    <t>FlipThisBit</t>
  </si>
  <si>
    <t>EffectiveBitValue</t>
  </si>
  <si>
    <t>DestuffedSeqNo</t>
  </si>
  <si>
    <t>No</t>
  </si>
  <si>
    <t>Yes</t>
  </si>
  <si>
    <t>Mismatch Count:</t>
  </si>
  <si>
    <t>(target: 0)</t>
  </si>
  <si>
    <t>Position</t>
  </si>
  <si>
    <t>SourceRawBitIndex</t>
  </si>
  <si>
    <t>DestuffedBitValue</t>
  </si>
  <si>
    <t>ReferenceBit(TrueValue)</t>
  </si>
  <si>
    <t>Match(1=OK)</t>
  </si>
  <si>
    <t>Byte#</t>
  </si>
  <si>
    <r>
      <t>Destuffed</t>
    </r>
    <r>
      <rPr>
        <b/>
        <sz val="11"/>
        <color rgb="FFFFFFFF"/>
        <rFont val="Calibri"/>
        <family val="2"/>
        <charset val="1"/>
      </rPr>
      <t>位置</t>
    </r>
  </si>
  <si>
    <r>
      <rPr>
        <b/>
        <sz val="11"/>
        <color rgb="FFFFFFFF"/>
        <rFont val="Calibri"/>
        <family val="2"/>
        <charset val="1"/>
      </rPr>
      <t>目前</t>
    </r>
    <r>
      <rPr>
        <b/>
        <sz val="11"/>
        <color rgb="FFFFFFFF"/>
        <rFont val="Arial"/>
        <family val="2"/>
      </rPr>
      <t>8-bit</t>
    </r>
    <r>
      <rPr>
        <b/>
        <sz val="11"/>
        <color rgb="FFFFFFFF"/>
        <rFont val="Calibri"/>
        <family val="2"/>
        <charset val="1"/>
      </rPr>
      <t>二進位</t>
    </r>
  </si>
  <si>
    <t>Decimal(0-255)</t>
  </si>
  <si>
    <r>
      <t>TM</t>
    </r>
    <r>
      <rPr>
        <b/>
        <sz val="11"/>
        <color rgb="FFFFFFFF"/>
        <rFont val="Calibri"/>
        <family val="2"/>
        <charset val="1"/>
      </rPr>
      <t>欄位名稱</t>
    </r>
  </si>
  <si>
    <r>
      <rPr>
        <b/>
        <sz val="11"/>
        <color rgb="FFFFFFFF"/>
        <rFont val="Calibri"/>
        <family val="2"/>
        <charset val="1"/>
      </rPr>
      <t>轉換倍率</t>
    </r>
    <r>
      <rPr>
        <b/>
        <sz val="11"/>
        <color rgb="FFFFFFFF"/>
        <rFont val="Arial"/>
        <family val="2"/>
      </rPr>
      <t>Scale</t>
    </r>
  </si>
  <si>
    <r>
      <rPr>
        <b/>
        <sz val="11"/>
        <color rgb="FFFFFFFF"/>
        <rFont val="Calibri"/>
        <family val="2"/>
        <charset val="1"/>
      </rPr>
      <t>偏移</t>
    </r>
    <r>
      <rPr>
        <b/>
        <sz val="11"/>
        <color rgb="FFFFFFFF"/>
        <rFont val="Arial"/>
        <family val="2"/>
      </rPr>
      <t>Offset</t>
    </r>
  </si>
  <si>
    <r>
      <rPr>
        <b/>
        <sz val="11"/>
        <color rgb="FFFFFFFF"/>
        <rFont val="Calibri"/>
        <family val="2"/>
        <charset val="1"/>
      </rPr>
      <t>單位</t>
    </r>
  </si>
  <si>
    <r>
      <rPr>
        <b/>
        <sz val="11"/>
        <color rgb="FFFFFFFF"/>
        <rFont val="Calibri"/>
        <family val="2"/>
        <charset val="1"/>
      </rPr>
      <t>目前工程值</t>
    </r>
  </si>
  <si>
    <r>
      <rPr>
        <b/>
        <sz val="11"/>
        <color rgb="FFFFFFFF"/>
        <rFont val="Calibri"/>
        <family val="2"/>
        <charset val="1"/>
      </rPr>
      <t>合理下限</t>
    </r>
  </si>
  <si>
    <r>
      <rPr>
        <b/>
        <sz val="11"/>
        <color rgb="FFFFFFFF"/>
        <rFont val="Calibri"/>
        <family val="2"/>
        <charset val="1"/>
      </rPr>
      <t>合理上限</t>
    </r>
  </si>
  <si>
    <r>
      <rPr>
        <b/>
        <sz val="11"/>
        <color rgb="FFFFFFFF"/>
        <rFont val="Calibri"/>
        <family val="2"/>
        <charset val="1"/>
      </rPr>
      <t>合理性狀態</t>
    </r>
  </si>
  <si>
    <t>V</t>
  </si>
  <si>
    <t>°C</t>
  </si>
  <si>
    <t>mA</t>
  </si>
  <si>
    <t>dBm</t>
  </si>
  <si>
    <t>⚠ 說明：Scale/Offset 與合理上下限皆為示範用模擬值（非真實衛星/beacon ICD 規格），僅用於驗證「更動 RawBits → TM 欄位即時反應」這個機制。</t>
  </si>
  <si>
    <r>
      <rPr>
        <sz val="11"/>
        <color theme="1"/>
        <rFont val="Calibri"/>
        <family val="2"/>
        <charset val="1"/>
      </rPr>
      <t>電池電壓</t>
    </r>
    <r>
      <rPr>
        <sz val="11"/>
        <color theme="1"/>
        <rFont val="Arial"/>
        <family val="2"/>
      </rPr>
      <t xml:space="preserve"> Battery Voltage</t>
    </r>
  </si>
  <si>
    <r>
      <rPr>
        <sz val="11"/>
        <color theme="1"/>
        <rFont val="Calibri"/>
        <family val="2"/>
        <charset val="1"/>
      </rPr>
      <t>電池溫度</t>
    </r>
    <r>
      <rPr>
        <sz val="11"/>
        <color theme="1"/>
        <rFont val="Arial"/>
        <family val="2"/>
      </rPr>
      <t xml:space="preserve"> Battery Temperature</t>
    </r>
  </si>
  <si>
    <r>
      <rPr>
        <sz val="11"/>
        <color theme="1"/>
        <rFont val="Calibri"/>
        <family val="2"/>
        <charset val="1"/>
      </rPr>
      <t>太陽能板電流</t>
    </r>
    <r>
      <rPr>
        <sz val="11"/>
        <color theme="1"/>
        <rFont val="Arial"/>
        <family val="2"/>
      </rPr>
      <t xml:space="preserve"> Solar Panel Current</t>
    </r>
  </si>
  <si>
    <r>
      <rPr>
        <sz val="11"/>
        <color theme="1"/>
        <rFont val="Calibri"/>
        <family val="2"/>
        <charset val="1"/>
      </rPr>
      <t>訊號強度</t>
    </r>
    <r>
      <rPr>
        <sz val="11"/>
        <color theme="1"/>
        <rFont val="Arial"/>
        <family val="2"/>
      </rPr>
      <t xml:space="preserve"> RSSI</t>
    </r>
  </si>
  <si>
    <r>
      <t>TM</t>
    </r>
    <r>
      <rPr>
        <b/>
        <sz val="11"/>
        <color rgb="FFFFFFFF"/>
        <rFont val="Calibri"/>
        <family val="2"/>
        <charset val="1"/>
      </rPr>
      <t>欄位</t>
    </r>
    <r>
      <rPr>
        <b/>
        <sz val="11"/>
        <color rgb="FFFFFFFF"/>
        <rFont val="Arial"/>
        <family val="2"/>
      </rPr>
      <t>(</t>
    </r>
    <r>
      <rPr>
        <b/>
        <sz val="11"/>
        <color rgb="FFFFFFFF"/>
        <rFont val="Calibri"/>
        <family val="2"/>
        <charset val="1"/>
      </rPr>
      <t>受影響遙測項</t>
    </r>
    <r>
      <rPr>
        <b/>
        <sz val="11"/>
        <color rgb="FFFFFFFF"/>
        <rFont val="Arial"/>
        <family val="2"/>
      </rPr>
      <t>)</t>
    </r>
  </si>
  <si>
    <r>
      <t>TM Byte</t>
    </r>
    <r>
      <rPr>
        <b/>
        <sz val="11"/>
        <color rgb="FFFFFFFF"/>
        <rFont val="Calibri"/>
        <family val="2"/>
        <charset val="1"/>
      </rPr>
      <t>目前二進位</t>
    </r>
  </si>
  <si>
    <r>
      <t>TM</t>
    </r>
    <r>
      <rPr>
        <b/>
        <sz val="11"/>
        <color rgb="FFFFFFFF"/>
        <rFont val="Calibri"/>
        <family val="2"/>
        <charset val="1"/>
      </rPr>
      <t>目前工程值</t>
    </r>
  </si>
  <si>
    <r>
      <t>TM</t>
    </r>
    <r>
      <rPr>
        <b/>
        <sz val="11"/>
        <color rgb="FFFFFFFF"/>
        <rFont val="Calibri"/>
        <family val="2"/>
        <charset val="1"/>
      </rPr>
      <t>合理性</t>
    </r>
  </si>
  <si>
    <r>
      <rPr>
        <b/>
        <sz val="11"/>
        <color theme="1"/>
        <rFont val="Calibri"/>
        <family val="2"/>
        <charset val="1"/>
      </rPr>
      <t>新增：</t>
    </r>
    <r>
      <rPr>
        <b/>
        <sz val="11"/>
        <color theme="1"/>
        <rFont val="Noto Sans CJK SC"/>
        <family val="2"/>
      </rPr>
      <t>TM</t>
    </r>
    <r>
      <rPr>
        <b/>
        <sz val="11"/>
        <color theme="1"/>
        <rFont val="Calibri"/>
        <family val="2"/>
        <charset val="1"/>
      </rPr>
      <t>（遙測）對照機制</t>
    </r>
  </si>
  <si>
    <t>新增 Telemetry 分頁：把 Destuffed 32-bit 結果切成 4 個 byte，模擬解成 4 個遙測參數（電池電壓、電池溫度、太陽能板電流、RSSI），並用示範用的 Scale/Offset 換算成工程值，再對照一個模擬的「合理範圍」判斷合理/不合理。這些換算係數與合理範圍都是示範用途，非真實規格。</t>
  </si>
  <si>
    <t>RawBits 新增 I~L 欄：I 欄顯示這個 raw bit 目前屬於哪個 TM 欄位（若已被排除則顯示「已排除，不影響TM」）；J 欄顯示該 TM 欄位目前的完整 8-bit 二進位；K 欄顯示目前解出來的工程值；L 欄顯示合理/不合理（會用綠/紅底色標示）。這樣你在調整某一列的 ExcludeThisBit / FlipThisBit 時，可以同步看到這個更動牽動了哪個 TM 參數、TM 現在長什麼樣子，藉此判斷這個 destuff/flip 的選擇是否合理——就像實際判決時參考 TM 狀態一樣。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</si>
</sst>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4">
    <font>
      <sz val="11"/>
      <color theme="1"/>
      <name val="Calibri"/>
      <family val="2"/>
      <charset val="1"/>
    </font>
    <font>
      <b/>
      <sz val="14"/>
      <name val="Arial"/>
      <family val="2"/>
    </font>
    <font>
      <b/>
      <sz val="14"/>
      <name val="Noto Sans CJK SC"/>
      <family val="2"/>
    </font>
    <font>
      <sz val="11"/>
      <name val="Noto Sans CJK SC"/>
      <family val="2"/>
    </font>
    <font>
      <sz val="11"/>
      <name val="Arial"/>
      <family val="2"/>
    </font>
    <font>
      <b/>
      <sz val="11"/>
      <name val="Noto Sans CJK SC"/>
      <family val="2"/>
    </font>
    <font>
      <sz val="11"/>
      <color rgb="FF1F4E78"/>
      <name val="Noto Sans CJK SC"/>
      <family val="2"/>
    </font>
    <font>
      <sz val="11"/>
      <color rgb="FF1F4E78"/>
      <name val="Arial"/>
      <family val="2"/>
    </font>
    <font>
      <b/>
      <sz val="11"/>
      <color rgb="FFFFFFFF"/>
      <name val="Arial"/>
      <family val="2"/>
    </font>
    <font>
      <b/>
      <sz val="11"/>
      <name val="Arial"/>
      <family val="2"/>
    </font>
    <font>
      <sz val="11"/>
      <color rgb="FF808080"/>
      <name val="Arial"/>
      <family val="2"/>
    </font>
    <font>
      <b/>
      <sz val="11"/>
      <color rgb="FFB45F06"/>
      <name val="Arial"/>
      <family val="2"/>
    </font>
    <font>
      <b/>
      <sz val="11"/>
      <color rgb="FFCC0000"/>
      <name val="Arial"/>
      <family val="2"/>
    </font>
    <font>
      <b/>
      <sz val="12"/>
      <name val="Arial"/>
      <family val="2"/>
    </font>
    <font>
      <b/>
      <sz val="12"/>
      <color rgb="FFCC0000"/>
      <name val="Arial"/>
      <family val="2"/>
    </font>
    <font>
      <i/>
      <sz val="11"/>
      <color rgb="FF808080"/>
      <name val="Arial"/>
      <family val="2"/>
    </font>
    <font>
      <sz val="11"/>
      <color theme="1"/>
      <name val="Calibri"/>
      <family val="2"/>
      <charset val="1"/>
    </font>
    <font>
      <sz val="9"/>
      <name val="細明體"/>
      <family val="3"/>
      <charset val="136"/>
    </font>
    <font>
      <b/>
      <sz val="11"/>
      <color rgb="FFFFFFFF"/>
      <name val="Calibri"/>
      <family val="2"/>
      <charset val="1"/>
    </font>
    <font>
      <i/>
      <sz val="10"/>
      <color rgb="FF808080"/>
      <name val="Calibri"/>
      <family val="2"/>
      <charset val="1"/>
    </font>
    <font>
      <sz val="11"/>
      <color theme="1"/>
      <name val="Arial"/>
      <family val="2"/>
    </font>
    <font>
      <b/>
      <sz val="11"/>
      <color theme="1"/>
      <name val="Noto Sans CJK SC"/>
    </font>
    <font>
      <b/>
      <sz val="11"/>
      <color theme="1"/>
      <name val="Calibri"/>
      <family val="2"/>
      <charset val="1"/>
    </font>
    <font>
      <b/>
      <sz val="11"/>
      <color theme="1"/>
      <name val="Noto Sans CJK SC"/>
      <family val="2"/>
    </font>
  </fonts>
  <fills count="5">
    <fill>
      <patternFill patternType="none"/>
    </fill>
    <fill>
      <patternFill patternType="gray125"/>
    </fill>
    <fill>
      <patternFill patternType="solid">
        <fgColor rgb="FF305496"/>
        <bgColor rgb="FF1F4E78"/>
      </patternFill>
    </fill>
    <fill>
      <patternFill patternType="solid">
        <fgColor rgb="FFFFF2CC"/>
        <bgColor rgb="FFFCE4D6"/>
      </patternFill>
    </fill>
    <fill>
      <patternFill patternType="solid">
        <fgColor rgb="FF305496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8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9" fillId="0" borderId="0" xfId="0" applyFont="1"/>
    <xf numFmtId="0" fontId="8" fillId="4" borderId="1" xfId="0" applyFont="1" applyFill="1" applyBorder="1" applyAlignment="1">
      <alignment horizontal="center"/>
    </xf>
    <xf numFmtId="0" fontId="20" fillId="0" borderId="1" xfId="0" applyFont="1" applyBorder="1" applyAlignment="1">
      <alignment horizontal="center"/>
    </xf>
    <xf numFmtId="2" fontId="20" fillId="0" borderId="1" xfId="0" applyNumberFormat="1" applyFont="1" applyBorder="1" applyAlignment="1">
      <alignment horizontal="center"/>
    </xf>
    <xf numFmtId="176" fontId="20" fillId="0" borderId="1" xfId="0" applyNumberFormat="1" applyFont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21" fillId="0" borderId="0" xfId="0" applyFont="1"/>
  </cellXfs>
  <cellStyles count="1">
    <cellStyle name="一般" xfId="0" builtinId="0"/>
  </cellStyles>
  <dxfs count="8"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ill>
        <patternFill>
          <bgColor rgb="FFD9EAD3"/>
        </patternFill>
      </fill>
    </dxf>
    <dxf>
      <fill>
        <patternFill>
          <bgColor rgb="FFF8CBCB"/>
        </patternFill>
      </fill>
    </dxf>
    <dxf>
      <font>
        <b/>
        <color rgb="FFCC0000"/>
        <name val="Arial"/>
        <charset val="1"/>
      </font>
    </dxf>
    <dxf>
      <fill>
        <patternFill>
          <bgColor rgb="FFFCE4D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CE4D6"/>
      <rgbColor rgb="FF99CCFF"/>
      <rgbColor rgb="FFFF99CC"/>
      <rgbColor rgb="FFCC99FF"/>
      <rgbColor rgb="FFF8CBC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78"/>
      <rgbColor rgb="FF339966"/>
      <rgbColor rgb="FF003300"/>
      <rgbColor rgb="FF333300"/>
      <rgbColor rgb="FFB45F06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81CD51D-2664-4A57-BAD6-F3F5A2878B87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831337a4-b22d-4477-9534-41045b95a301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"/>
  <sheetViews>
    <sheetView showGridLines="0" topLeftCell="A7" zoomScaleNormal="100" workbookViewId="0">
      <selection activeCell="A12" sqref="A12"/>
    </sheetView>
  </sheetViews>
  <sheetFormatPr defaultColWidth="8.6328125" defaultRowHeight="14.5"/>
  <cols>
    <col min="1" max="1" width="100" customWidth="1"/>
  </cols>
  <sheetData>
    <row r="1" spans="1:1" ht="18">
      <c r="A1" s="1" t="s">
        <v>0</v>
      </c>
    </row>
    <row r="3" spans="1:1" ht="28">
      <c r="A3" s="2" t="s">
        <v>1</v>
      </c>
    </row>
    <row r="5" spans="1:1">
      <c r="A5" s="3" t="s">
        <v>2</v>
      </c>
    </row>
    <row r="6" spans="1:1" ht="56">
      <c r="A6" s="4" t="s">
        <v>3</v>
      </c>
    </row>
    <row r="7" spans="1:1" ht="42">
      <c r="A7" s="4" t="s">
        <v>4</v>
      </c>
    </row>
    <row r="9" spans="1:1">
      <c r="A9" s="3" t="s">
        <v>5</v>
      </c>
    </row>
    <row r="10" spans="1:1" ht="28">
      <c r="A10" s="2" t="s">
        <v>6</v>
      </c>
    </row>
    <row r="11" spans="1:1" ht="28">
      <c r="A11" s="2" t="s">
        <v>7</v>
      </c>
    </row>
    <row r="12" spans="1:1" ht="28">
      <c r="A12" s="2" t="s">
        <v>8</v>
      </c>
    </row>
    <row r="13" spans="1:1" ht="28">
      <c r="A13" s="2" t="s">
        <v>9</v>
      </c>
    </row>
    <row r="15" spans="1:1" ht="28">
      <c r="A15" s="2" t="s">
        <v>10</v>
      </c>
    </row>
    <row r="17" spans="1:1" ht="42">
      <c r="A17" s="5" t="s">
        <v>11</v>
      </c>
    </row>
    <row r="19" spans="1:1">
      <c r="A19" s="23" t="s">
        <v>54</v>
      </c>
    </row>
    <row r="20" spans="1:1">
      <c r="A20" t="s">
        <v>55</v>
      </c>
    </row>
    <row r="21" spans="1:1">
      <c r="A21" t="s">
        <v>56</v>
      </c>
    </row>
  </sheetData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4"/>
  <sheetViews>
    <sheetView tabSelected="1" zoomScale="85" zoomScaleNormal="85" workbookViewId="0">
      <pane ySplit="1" topLeftCell="A2" activePane="bottomLeft" state="frozen"/>
      <selection pane="bottomLeft" activeCell="I10" sqref="I10"/>
    </sheetView>
  </sheetViews>
  <sheetFormatPr defaultColWidth="8.6328125" defaultRowHeight="14.5"/>
  <cols>
    <col min="1" max="1" width="10" customWidth="1"/>
    <col min="2" max="2" width="13" customWidth="1"/>
    <col min="3" max="3" width="14" customWidth="1"/>
    <col min="4" max="4" width="18" customWidth="1"/>
    <col min="5" max="5" width="16.54296875" customWidth="1"/>
    <col min="6" max="6" width="13" customWidth="1"/>
    <col min="7" max="7" width="17" customWidth="1"/>
    <col min="8" max="8" width="15" customWidth="1"/>
    <col min="9" max="9" width="34.54296875" customWidth="1"/>
    <col min="10" max="10" width="18.1796875" customWidth="1"/>
    <col min="11" max="11" width="16.36328125" customWidth="1"/>
    <col min="12" max="12" width="12.7265625" customWidth="1"/>
  </cols>
  <sheetData>
    <row r="1" spans="1:12">
      <c r="A1" s="6" t="s">
        <v>12</v>
      </c>
      <c r="B1" s="6" t="s">
        <v>13</v>
      </c>
      <c r="C1" s="6" t="s">
        <v>14</v>
      </c>
      <c r="D1" s="6" t="s">
        <v>15</v>
      </c>
      <c r="E1" s="6" t="s">
        <v>16</v>
      </c>
      <c r="F1" s="6" t="s">
        <v>17</v>
      </c>
      <c r="G1" s="6" t="s">
        <v>18</v>
      </c>
      <c r="H1" s="21" t="s">
        <v>19</v>
      </c>
      <c r="I1" s="17" t="s">
        <v>50</v>
      </c>
      <c r="J1" s="17" t="s">
        <v>51</v>
      </c>
      <c r="K1" s="17" t="s">
        <v>52</v>
      </c>
      <c r="L1" s="17" t="s">
        <v>53</v>
      </c>
    </row>
    <row r="2" spans="1:12">
      <c r="A2" s="7">
        <v>0</v>
      </c>
      <c r="B2" s="8">
        <v>1</v>
      </c>
      <c r="C2" s="9" t="s">
        <v>20</v>
      </c>
      <c r="D2" s="10" t="str">
        <f>""</f>
        <v/>
      </c>
      <c r="E2" s="11" t="s">
        <v>20</v>
      </c>
      <c r="F2" s="11" t="s">
        <v>20</v>
      </c>
      <c r="G2" s="7">
        <f t="shared" ref="G2:G34" si="0">IF(F2="Yes",1-B2,B2)</f>
        <v>1</v>
      </c>
      <c r="H2" s="22">
        <f>IF(E2="Yes","",COUNTIFS($E$2:E2,"No"))</f>
        <v>1</v>
      </c>
      <c r="I2" s="18" t="str" cm="1">
        <f t="array" ref="I2">IF(H2="","(已排除，不影響TM)",INDEX(Telemetry!$E$2:$E$5,ROUNDUP(H2/8,0)))</f>
        <v>電池電壓 Battery Voltage</v>
      </c>
      <c r="J2" s="18" t="str" cm="1">
        <f t="array" ref="J2">IF(H2="","-",INDEX(Telemetry!$C$2:$C$5,ROUNDUP(H2/8,0)))</f>
        <v>11011111</v>
      </c>
      <c r="K2" s="18" t="str" cm="1">
        <f t="array" ref="K2">IF(H2="","-",INDEX(Telemetry!$I$2:$I$5,ROUNDUP(H2/8,0))&amp;" "&amp;INDEX(Telemetry!$H$2:$H$5,ROUNDUP(H2/8,0)))</f>
        <v>7.3367 V</v>
      </c>
      <c r="L2" s="18" t="str" cm="1">
        <f t="array" ref="L2">IF(H2="","-",INDEX(Telemetry!$L$2:$L$5,ROUNDUP(H2/8,0)))</f>
        <v>合理</v>
      </c>
    </row>
    <row r="3" spans="1:12">
      <c r="A3" s="7">
        <v>1</v>
      </c>
      <c r="B3" s="8">
        <v>1</v>
      </c>
      <c r="C3" s="9" t="s">
        <v>20</v>
      </c>
      <c r="D3" s="10" t="str">
        <f>""</f>
        <v/>
      </c>
      <c r="E3" s="11" t="s">
        <v>20</v>
      </c>
      <c r="F3" s="11" t="s">
        <v>20</v>
      </c>
      <c r="G3" s="7">
        <f t="shared" si="0"/>
        <v>1</v>
      </c>
      <c r="H3" s="22">
        <f>IF(E3="Yes","",COUNTIFS($E$2:E3,"No"))</f>
        <v>2</v>
      </c>
      <c r="I3" s="18" t="str" cm="1">
        <f t="array" ref="I3">IF(H3="","(已排除，不影響TM)",INDEX(Telemetry!$E$2:$E$5,ROUNDUP(H3/8,0)))</f>
        <v>電池電壓 Battery Voltage</v>
      </c>
      <c r="J3" s="18" t="str" cm="1">
        <f t="array" ref="J3">IF(H3="","-",INDEX(Telemetry!$C$2:$C$5,ROUNDUP(H3/8,0)))</f>
        <v>11011111</v>
      </c>
      <c r="K3" s="18" t="str" cm="1">
        <f t="array" ref="K3">IF(H3="","-",INDEX(Telemetry!$I$2:$I$5,ROUNDUP(H3/8,0))&amp;" "&amp;INDEX(Telemetry!$H$2:$H$5,ROUNDUP(H3/8,0)))</f>
        <v>7.3367 V</v>
      </c>
      <c r="L3" s="18" t="str" cm="1">
        <f t="array" ref="L3">IF(H3="","-",INDEX(Telemetry!$L$2:$L$5,ROUNDUP(H3/8,0)))</f>
        <v>合理</v>
      </c>
    </row>
    <row r="4" spans="1:12">
      <c r="A4" s="7">
        <v>2</v>
      </c>
      <c r="B4" s="8">
        <v>0</v>
      </c>
      <c r="C4" s="9" t="s">
        <v>20</v>
      </c>
      <c r="D4" s="10" t="str">
        <f>""</f>
        <v/>
      </c>
      <c r="E4" s="11" t="s">
        <v>20</v>
      </c>
      <c r="F4" s="11" t="s">
        <v>20</v>
      </c>
      <c r="G4" s="7">
        <f t="shared" si="0"/>
        <v>0</v>
      </c>
      <c r="H4" s="22">
        <f>IF(E4="Yes","",COUNTIFS($E$2:E4,"No"))</f>
        <v>3</v>
      </c>
      <c r="I4" s="18" t="str" cm="1">
        <f t="array" ref="I4">IF(H4="","(已排除，不影響TM)",INDEX(Telemetry!$E$2:$E$5,ROUNDUP(H4/8,0)))</f>
        <v>電池電壓 Battery Voltage</v>
      </c>
      <c r="J4" s="18" t="str" cm="1">
        <f t="array" ref="J4">IF(H4="","-",INDEX(Telemetry!$C$2:$C$5,ROUNDUP(H4/8,0)))</f>
        <v>11011111</v>
      </c>
      <c r="K4" s="18" t="str" cm="1">
        <f t="array" ref="K4">IF(H4="","-",INDEX(Telemetry!$I$2:$I$5,ROUNDUP(H4/8,0))&amp;" "&amp;INDEX(Telemetry!$H$2:$H$5,ROUNDUP(H4/8,0)))</f>
        <v>7.3367 V</v>
      </c>
      <c r="L4" s="18" t="str" cm="1">
        <f t="array" ref="L4">IF(H4="","-",INDEX(Telemetry!$L$2:$L$5,ROUNDUP(H4/8,0)))</f>
        <v>合理</v>
      </c>
    </row>
    <row r="5" spans="1:12">
      <c r="A5" s="7">
        <v>3</v>
      </c>
      <c r="B5" s="8">
        <v>1</v>
      </c>
      <c r="C5" s="9" t="s">
        <v>20</v>
      </c>
      <c r="D5" s="10" t="str">
        <f>""</f>
        <v/>
      </c>
      <c r="E5" s="11" t="s">
        <v>20</v>
      </c>
      <c r="F5" s="11" t="s">
        <v>20</v>
      </c>
      <c r="G5" s="7">
        <f t="shared" si="0"/>
        <v>1</v>
      </c>
      <c r="H5" s="22">
        <f>IF(E5="Yes","",COUNTIFS($E$2:E5,"No"))</f>
        <v>4</v>
      </c>
      <c r="I5" s="18" t="str" cm="1">
        <f t="array" ref="I5">IF(H5="","(已排除，不影響TM)",INDEX(Telemetry!$E$2:$E$5,ROUNDUP(H5/8,0)))</f>
        <v>電池電壓 Battery Voltage</v>
      </c>
      <c r="J5" s="18" t="str" cm="1">
        <f t="array" ref="J5">IF(H5="","-",INDEX(Telemetry!$C$2:$C$5,ROUNDUP(H5/8,0)))</f>
        <v>11011111</v>
      </c>
      <c r="K5" s="18" t="str" cm="1">
        <f t="array" ref="K5">IF(H5="","-",INDEX(Telemetry!$I$2:$I$5,ROUNDUP(H5/8,0))&amp;" "&amp;INDEX(Telemetry!$H$2:$H$5,ROUNDUP(H5/8,0)))</f>
        <v>7.3367 V</v>
      </c>
      <c r="L5" s="18" t="str" cm="1">
        <f t="array" ref="L5">IF(H5="","-",INDEX(Telemetry!$L$2:$L$5,ROUNDUP(H5/8,0)))</f>
        <v>合理</v>
      </c>
    </row>
    <row r="6" spans="1:12">
      <c r="A6" s="7">
        <v>4</v>
      </c>
      <c r="B6" s="8">
        <v>1</v>
      </c>
      <c r="C6" s="9" t="s">
        <v>20</v>
      </c>
      <c r="D6" s="10" t="str">
        <f>""</f>
        <v/>
      </c>
      <c r="E6" s="11" t="s">
        <v>20</v>
      </c>
      <c r="F6" s="11" t="s">
        <v>20</v>
      </c>
      <c r="G6" s="7">
        <f t="shared" si="0"/>
        <v>1</v>
      </c>
      <c r="H6" s="22">
        <f>IF(E6="Yes","",COUNTIFS($E$2:E6,"No"))</f>
        <v>5</v>
      </c>
      <c r="I6" s="18" t="str" cm="1">
        <f t="array" ref="I6">IF(H6="","(已排除，不影響TM)",INDEX(Telemetry!$E$2:$E$5,ROUNDUP(H6/8,0)))</f>
        <v>電池電壓 Battery Voltage</v>
      </c>
      <c r="J6" s="18" t="str" cm="1">
        <f t="array" ref="J6">IF(H6="","-",INDEX(Telemetry!$C$2:$C$5,ROUNDUP(H6/8,0)))</f>
        <v>11011111</v>
      </c>
      <c r="K6" s="18" t="str" cm="1">
        <f t="array" ref="K6">IF(H6="","-",INDEX(Telemetry!$I$2:$I$5,ROUNDUP(H6/8,0))&amp;" "&amp;INDEX(Telemetry!$H$2:$H$5,ROUNDUP(H6/8,0)))</f>
        <v>7.3367 V</v>
      </c>
      <c r="L6" s="18" t="str" cm="1">
        <f t="array" ref="L6">IF(H6="","-",INDEX(Telemetry!$L$2:$L$5,ROUNDUP(H6/8,0)))</f>
        <v>合理</v>
      </c>
    </row>
    <row r="7" spans="1:12">
      <c r="A7" s="7">
        <v>5</v>
      </c>
      <c r="B7" s="8">
        <v>1</v>
      </c>
      <c r="C7" s="9" t="s">
        <v>20</v>
      </c>
      <c r="D7" s="10" t="str">
        <f t="shared" ref="D7:D34" si="1">IF(AND(B2=1,B3=1,B4=1,B5=1,B6=1),"Yes","")</f>
        <v/>
      </c>
      <c r="E7" s="11" t="s">
        <v>20</v>
      </c>
      <c r="F7" s="11" t="s">
        <v>20</v>
      </c>
      <c r="G7" s="7">
        <f t="shared" si="0"/>
        <v>1</v>
      </c>
      <c r="H7" s="22">
        <f>IF(E7="Yes","",COUNTIFS($E$2:E7,"No"))</f>
        <v>6</v>
      </c>
      <c r="I7" s="18" t="str" cm="1">
        <f t="array" ref="I7">IF(H7="","(已排除，不影響TM)",INDEX(Telemetry!$E$2:$E$5,ROUNDUP(H7/8,0)))</f>
        <v>電池電壓 Battery Voltage</v>
      </c>
      <c r="J7" s="18" t="str" cm="1">
        <f t="array" ref="J7">IF(H7="","-",INDEX(Telemetry!$C$2:$C$5,ROUNDUP(H7/8,0)))</f>
        <v>11011111</v>
      </c>
      <c r="K7" s="18" t="str" cm="1">
        <f t="array" ref="K7">IF(H7="","-",INDEX(Telemetry!$I$2:$I$5,ROUNDUP(H7/8,0))&amp;" "&amp;INDEX(Telemetry!$H$2:$H$5,ROUNDUP(H7/8,0)))</f>
        <v>7.3367 V</v>
      </c>
      <c r="L7" s="18" t="str" cm="1">
        <f t="array" ref="L7">IF(H7="","-",INDEX(Telemetry!$L$2:$L$5,ROUNDUP(H7/8,0)))</f>
        <v>合理</v>
      </c>
    </row>
    <row r="8" spans="1:12">
      <c r="A8" s="7">
        <v>6</v>
      </c>
      <c r="B8" s="8">
        <v>1</v>
      </c>
      <c r="C8" s="9" t="s">
        <v>20</v>
      </c>
      <c r="D8" s="10" t="str">
        <f t="shared" si="1"/>
        <v/>
      </c>
      <c r="E8" s="11" t="s">
        <v>20</v>
      </c>
      <c r="F8" s="11" t="s">
        <v>20</v>
      </c>
      <c r="G8" s="7">
        <f t="shared" si="0"/>
        <v>1</v>
      </c>
      <c r="H8" s="22">
        <f>IF(E8="Yes","",COUNTIFS($E$2:E8,"No"))</f>
        <v>7</v>
      </c>
      <c r="I8" s="18" t="str" cm="1">
        <f t="array" ref="I8">IF(H8="","(已排除，不影響TM)",INDEX(Telemetry!$E$2:$E$5,ROUNDUP(H8/8,0)))</f>
        <v>電池電壓 Battery Voltage</v>
      </c>
      <c r="J8" s="18" t="str" cm="1">
        <f t="array" ref="J8">IF(H8="","-",INDEX(Telemetry!$C$2:$C$5,ROUNDUP(H8/8,0)))</f>
        <v>11011111</v>
      </c>
      <c r="K8" s="18" t="str" cm="1">
        <f t="array" ref="K8">IF(H8="","-",INDEX(Telemetry!$I$2:$I$5,ROUNDUP(H8/8,0))&amp;" "&amp;INDEX(Telemetry!$H$2:$H$5,ROUNDUP(H8/8,0)))</f>
        <v>7.3367 V</v>
      </c>
      <c r="L8" s="18" t="str" cm="1">
        <f t="array" ref="L8">IF(H8="","-",INDEX(Telemetry!$L$2:$L$5,ROUNDUP(H8/8,0)))</f>
        <v>合理</v>
      </c>
    </row>
    <row r="9" spans="1:12">
      <c r="A9" s="7">
        <v>7</v>
      </c>
      <c r="B9" s="8">
        <v>1</v>
      </c>
      <c r="C9" s="9" t="s">
        <v>20</v>
      </c>
      <c r="D9" s="10" t="str">
        <f t="shared" si="1"/>
        <v/>
      </c>
      <c r="E9" s="11" t="s">
        <v>20</v>
      </c>
      <c r="F9" s="11" t="s">
        <v>20</v>
      </c>
      <c r="G9" s="7">
        <f t="shared" si="0"/>
        <v>1</v>
      </c>
      <c r="H9" s="22">
        <f>IF(E9="Yes","",COUNTIFS($E$2:E9,"No"))</f>
        <v>8</v>
      </c>
      <c r="I9" s="18" t="str" cm="1">
        <f t="array" ref="I9">IF(H9="","(已排除，不影響TM)",INDEX(Telemetry!$E$2:$E$5,ROUNDUP(H9/8,0)))</f>
        <v>電池電壓 Battery Voltage</v>
      </c>
      <c r="J9" s="18" t="str" cm="1">
        <f t="array" ref="J9">IF(H9="","-",INDEX(Telemetry!$C$2:$C$5,ROUNDUP(H9/8,0)))</f>
        <v>11011111</v>
      </c>
      <c r="K9" s="18" t="str" cm="1">
        <f t="array" ref="K9">IF(H9="","-",INDEX(Telemetry!$I$2:$I$5,ROUNDUP(H9/8,0))&amp;" "&amp;INDEX(Telemetry!$H$2:$H$5,ROUNDUP(H9/8,0)))</f>
        <v>7.3367 V</v>
      </c>
      <c r="L9" s="18" t="str" cm="1">
        <f t="array" ref="L9">IF(H9="","-",INDEX(Telemetry!$L$2:$L$5,ROUNDUP(H9/8,0)))</f>
        <v>合理</v>
      </c>
    </row>
    <row r="10" spans="1:12">
      <c r="A10" s="7">
        <v>8</v>
      </c>
      <c r="B10" s="8">
        <v>0</v>
      </c>
      <c r="C10" s="12" t="s">
        <v>21</v>
      </c>
      <c r="D10" s="10" t="str">
        <f t="shared" si="1"/>
        <v>Yes</v>
      </c>
      <c r="E10" s="11" t="s">
        <v>20</v>
      </c>
      <c r="F10" s="11" t="s">
        <v>20</v>
      </c>
      <c r="G10" s="7">
        <f t="shared" si="0"/>
        <v>0</v>
      </c>
      <c r="H10" s="22">
        <f>IF(E10="Yes","",COUNTIFS($E$2:E10,"No"))</f>
        <v>9</v>
      </c>
      <c r="I10" s="18" t="str" cm="1">
        <f t="array" ref="I10">IF(H10="","(已排除，不影響TM)",INDEX(Telemetry!$E$2:$E$5,ROUNDUP(H10/8,0)))</f>
        <v>電池溫度 Battery Temperature</v>
      </c>
      <c r="J10" s="18" t="str" cm="1">
        <f t="array" ref="J10">IF(H10="","-",INDEX(Telemetry!$C$2:$C$5,ROUNDUP(H10/8,0)))</f>
        <v>01011010</v>
      </c>
      <c r="K10" s="18" t="str" cm="1">
        <f t="array" ref="K10">IF(H10="","-",INDEX(Telemetry!$I$2:$I$5,ROUNDUP(H10/8,0))&amp;" "&amp;INDEX(Telemetry!$H$2:$H$5,ROUNDUP(H10/8,0)))</f>
        <v>5 °C</v>
      </c>
      <c r="L10" s="18" t="str" cm="1">
        <f t="array" ref="L10">IF(H10="","-",INDEX(Telemetry!$L$2:$L$5,ROUNDUP(H10/8,0)))</f>
        <v>合理</v>
      </c>
    </row>
    <row r="11" spans="1:12">
      <c r="A11" s="7">
        <v>9</v>
      </c>
      <c r="B11" s="8">
        <v>1</v>
      </c>
      <c r="C11" s="12" t="s">
        <v>21</v>
      </c>
      <c r="D11" s="10" t="str">
        <f t="shared" si="1"/>
        <v/>
      </c>
      <c r="E11" s="11" t="s">
        <v>20</v>
      </c>
      <c r="F11" s="11" t="s">
        <v>20</v>
      </c>
      <c r="G11" s="7">
        <f t="shared" si="0"/>
        <v>1</v>
      </c>
      <c r="H11" s="22">
        <f>IF(E11="Yes","",COUNTIFS($E$2:E11,"No"))</f>
        <v>10</v>
      </c>
      <c r="I11" s="18" t="str" cm="1">
        <f t="array" ref="I11">IF(H11="","(已排除，不影響TM)",INDEX(Telemetry!$E$2:$E$5,ROUNDUP(H11/8,0)))</f>
        <v>電池溫度 Battery Temperature</v>
      </c>
      <c r="J11" s="18" t="str" cm="1">
        <f t="array" ref="J11">IF(H11="","-",INDEX(Telemetry!$C$2:$C$5,ROUNDUP(H11/8,0)))</f>
        <v>01011010</v>
      </c>
      <c r="K11" s="18" t="str" cm="1">
        <f t="array" ref="K11">IF(H11="","-",INDEX(Telemetry!$I$2:$I$5,ROUNDUP(H11/8,0))&amp;" "&amp;INDEX(Telemetry!$H$2:$H$5,ROUNDUP(H11/8,0)))</f>
        <v>5 °C</v>
      </c>
      <c r="L11" s="18" t="str" cm="1">
        <f t="array" ref="L11">IF(H11="","-",INDEX(Telemetry!$L$2:$L$5,ROUNDUP(H11/8,0)))</f>
        <v>合理</v>
      </c>
    </row>
    <row r="12" spans="1:12">
      <c r="A12" s="7">
        <v>10</v>
      </c>
      <c r="B12" s="8">
        <v>0</v>
      </c>
      <c r="C12" s="9" t="s">
        <v>20</v>
      </c>
      <c r="D12" s="10" t="str">
        <f t="shared" si="1"/>
        <v/>
      </c>
      <c r="E12" s="11" t="s">
        <v>20</v>
      </c>
      <c r="F12" s="11" t="s">
        <v>20</v>
      </c>
      <c r="G12" s="7">
        <f t="shared" si="0"/>
        <v>0</v>
      </c>
      <c r="H12" s="22">
        <f>IF(E12="Yes","",COUNTIFS($E$2:E12,"No"))</f>
        <v>11</v>
      </c>
      <c r="I12" s="18" t="str" cm="1">
        <f t="array" ref="I12">IF(H12="","(已排除，不影響TM)",INDEX(Telemetry!$E$2:$E$5,ROUNDUP(H12/8,0)))</f>
        <v>電池溫度 Battery Temperature</v>
      </c>
      <c r="J12" s="18" t="str" cm="1">
        <f t="array" ref="J12">IF(H12="","-",INDEX(Telemetry!$C$2:$C$5,ROUNDUP(H12/8,0)))</f>
        <v>01011010</v>
      </c>
      <c r="K12" s="18" t="str" cm="1">
        <f t="array" ref="K12">IF(H12="","-",INDEX(Telemetry!$I$2:$I$5,ROUNDUP(H12/8,0))&amp;" "&amp;INDEX(Telemetry!$H$2:$H$5,ROUNDUP(H12/8,0)))</f>
        <v>5 °C</v>
      </c>
      <c r="L12" s="18" t="str" cm="1">
        <f t="array" ref="L12">IF(H12="","-",INDEX(Telemetry!$L$2:$L$5,ROUNDUP(H12/8,0)))</f>
        <v>合理</v>
      </c>
    </row>
    <row r="13" spans="1:12">
      <c r="A13" s="7">
        <v>11</v>
      </c>
      <c r="B13" s="8">
        <v>1</v>
      </c>
      <c r="C13" s="9" t="s">
        <v>20</v>
      </c>
      <c r="D13" s="10" t="str">
        <f t="shared" si="1"/>
        <v/>
      </c>
      <c r="E13" s="11" t="s">
        <v>20</v>
      </c>
      <c r="F13" s="11" t="s">
        <v>20</v>
      </c>
      <c r="G13" s="7">
        <f t="shared" si="0"/>
        <v>1</v>
      </c>
      <c r="H13" s="22">
        <f>IF(E13="Yes","",COUNTIFS($E$2:E13,"No"))</f>
        <v>12</v>
      </c>
      <c r="I13" s="18" t="str" cm="1">
        <f t="array" ref="I13">IF(H13="","(已排除，不影響TM)",INDEX(Telemetry!$E$2:$E$5,ROUNDUP(H13/8,0)))</f>
        <v>電池溫度 Battery Temperature</v>
      </c>
      <c r="J13" s="18" t="str" cm="1">
        <f t="array" ref="J13">IF(H13="","-",INDEX(Telemetry!$C$2:$C$5,ROUNDUP(H13/8,0)))</f>
        <v>01011010</v>
      </c>
      <c r="K13" s="18" t="str" cm="1">
        <f t="array" ref="K13">IF(H13="","-",INDEX(Telemetry!$I$2:$I$5,ROUNDUP(H13/8,0))&amp;" "&amp;INDEX(Telemetry!$H$2:$H$5,ROUNDUP(H13/8,0)))</f>
        <v>5 °C</v>
      </c>
      <c r="L13" s="18" t="str" cm="1">
        <f t="array" ref="L13">IF(H13="","-",INDEX(Telemetry!$L$2:$L$5,ROUNDUP(H13/8,0)))</f>
        <v>合理</v>
      </c>
    </row>
    <row r="14" spans="1:12">
      <c r="A14" s="7">
        <v>12</v>
      </c>
      <c r="B14" s="8">
        <v>1</v>
      </c>
      <c r="C14" s="9" t="s">
        <v>20</v>
      </c>
      <c r="D14" s="10" t="str">
        <f t="shared" si="1"/>
        <v/>
      </c>
      <c r="E14" s="11" t="s">
        <v>20</v>
      </c>
      <c r="F14" s="11" t="s">
        <v>20</v>
      </c>
      <c r="G14" s="7">
        <f t="shared" si="0"/>
        <v>1</v>
      </c>
      <c r="H14" s="22">
        <f>IF(E14="Yes","",COUNTIFS($E$2:E14,"No"))</f>
        <v>13</v>
      </c>
      <c r="I14" s="18" t="str" cm="1">
        <f t="array" ref="I14">IF(H14="","(已排除，不影響TM)",INDEX(Telemetry!$E$2:$E$5,ROUNDUP(H14/8,0)))</f>
        <v>電池溫度 Battery Temperature</v>
      </c>
      <c r="J14" s="18" t="str" cm="1">
        <f t="array" ref="J14">IF(H14="","-",INDEX(Telemetry!$C$2:$C$5,ROUNDUP(H14/8,0)))</f>
        <v>01011010</v>
      </c>
      <c r="K14" s="18" t="str" cm="1">
        <f t="array" ref="K14">IF(H14="","-",INDEX(Telemetry!$I$2:$I$5,ROUNDUP(H14/8,0))&amp;" "&amp;INDEX(Telemetry!$H$2:$H$5,ROUNDUP(H14/8,0)))</f>
        <v>5 °C</v>
      </c>
      <c r="L14" s="18" t="str" cm="1">
        <f t="array" ref="L14">IF(H14="","-",INDEX(Telemetry!$L$2:$L$5,ROUNDUP(H14/8,0)))</f>
        <v>合理</v>
      </c>
    </row>
    <row r="15" spans="1:12">
      <c r="A15" s="7">
        <v>13</v>
      </c>
      <c r="B15" s="8">
        <v>0</v>
      </c>
      <c r="C15" s="9" t="s">
        <v>20</v>
      </c>
      <c r="D15" s="10" t="str">
        <f t="shared" si="1"/>
        <v/>
      </c>
      <c r="E15" s="11" t="s">
        <v>20</v>
      </c>
      <c r="F15" s="11" t="s">
        <v>20</v>
      </c>
      <c r="G15" s="7">
        <f t="shared" si="0"/>
        <v>0</v>
      </c>
      <c r="H15" s="22">
        <f>IF(E15="Yes","",COUNTIFS($E$2:E15,"No"))</f>
        <v>14</v>
      </c>
      <c r="I15" s="18" t="str" cm="1">
        <f t="array" ref="I15">IF(H15="","(已排除，不影響TM)",INDEX(Telemetry!$E$2:$E$5,ROUNDUP(H15/8,0)))</f>
        <v>電池溫度 Battery Temperature</v>
      </c>
      <c r="J15" s="18" t="str" cm="1">
        <f t="array" ref="J15">IF(H15="","-",INDEX(Telemetry!$C$2:$C$5,ROUNDUP(H15/8,0)))</f>
        <v>01011010</v>
      </c>
      <c r="K15" s="18" t="str" cm="1">
        <f t="array" ref="K15">IF(H15="","-",INDEX(Telemetry!$I$2:$I$5,ROUNDUP(H15/8,0))&amp;" "&amp;INDEX(Telemetry!$H$2:$H$5,ROUNDUP(H15/8,0)))</f>
        <v>5 °C</v>
      </c>
      <c r="L15" s="18" t="str" cm="1">
        <f t="array" ref="L15">IF(H15="","-",INDEX(Telemetry!$L$2:$L$5,ROUNDUP(H15/8,0)))</f>
        <v>合理</v>
      </c>
    </row>
    <row r="16" spans="1:12">
      <c r="A16" s="7">
        <v>14</v>
      </c>
      <c r="B16" s="8">
        <v>1</v>
      </c>
      <c r="C16" s="9" t="s">
        <v>20</v>
      </c>
      <c r="D16" s="10" t="str">
        <f t="shared" si="1"/>
        <v/>
      </c>
      <c r="E16" s="11" t="s">
        <v>20</v>
      </c>
      <c r="F16" s="11" t="s">
        <v>20</v>
      </c>
      <c r="G16" s="7">
        <f t="shared" si="0"/>
        <v>1</v>
      </c>
      <c r="H16" s="22">
        <f>IF(E16="Yes","",COUNTIFS($E$2:E16,"No"))</f>
        <v>15</v>
      </c>
      <c r="I16" s="18" t="str" cm="1">
        <f t="array" ref="I16">IF(H16="","(已排除，不影響TM)",INDEX(Telemetry!$E$2:$E$5,ROUNDUP(H16/8,0)))</f>
        <v>電池溫度 Battery Temperature</v>
      </c>
      <c r="J16" s="18" t="str" cm="1">
        <f t="array" ref="J16">IF(H16="","-",INDEX(Telemetry!$C$2:$C$5,ROUNDUP(H16/8,0)))</f>
        <v>01011010</v>
      </c>
      <c r="K16" s="18" t="str" cm="1">
        <f t="array" ref="K16">IF(H16="","-",INDEX(Telemetry!$I$2:$I$5,ROUNDUP(H16/8,0))&amp;" "&amp;INDEX(Telemetry!$H$2:$H$5,ROUNDUP(H16/8,0)))</f>
        <v>5 °C</v>
      </c>
      <c r="L16" s="18" t="str" cm="1">
        <f t="array" ref="L16">IF(H16="","-",INDEX(Telemetry!$L$2:$L$5,ROUNDUP(H16/8,0)))</f>
        <v>合理</v>
      </c>
    </row>
    <row r="17" spans="1:12">
      <c r="A17" s="7">
        <v>15</v>
      </c>
      <c r="B17" s="8">
        <v>0</v>
      </c>
      <c r="C17" s="9" t="s">
        <v>20</v>
      </c>
      <c r="D17" s="10" t="str">
        <f t="shared" si="1"/>
        <v/>
      </c>
      <c r="E17" s="11" t="s">
        <v>20</v>
      </c>
      <c r="F17" s="11" t="s">
        <v>20</v>
      </c>
      <c r="G17" s="7">
        <f t="shared" si="0"/>
        <v>0</v>
      </c>
      <c r="H17" s="22">
        <f>IF(E17="Yes","",COUNTIFS($E$2:E17,"No"))</f>
        <v>16</v>
      </c>
      <c r="I17" s="18" t="str" cm="1">
        <f t="array" ref="I17">IF(H17="","(已排除，不影響TM)",INDEX(Telemetry!$E$2:$E$5,ROUNDUP(H17/8,0)))</f>
        <v>電池溫度 Battery Temperature</v>
      </c>
      <c r="J17" s="18" t="str" cm="1">
        <f t="array" ref="J17">IF(H17="","-",INDEX(Telemetry!$C$2:$C$5,ROUNDUP(H17/8,0)))</f>
        <v>01011010</v>
      </c>
      <c r="K17" s="18" t="str" cm="1">
        <f t="array" ref="K17">IF(H17="","-",INDEX(Telemetry!$I$2:$I$5,ROUNDUP(H17/8,0))&amp;" "&amp;INDEX(Telemetry!$H$2:$H$5,ROUNDUP(H17/8,0)))</f>
        <v>5 °C</v>
      </c>
      <c r="L17" s="18" t="str" cm="1">
        <f t="array" ref="L17">IF(H17="","-",INDEX(Telemetry!$L$2:$L$5,ROUNDUP(H17/8,0)))</f>
        <v>合理</v>
      </c>
    </row>
    <row r="18" spans="1:12">
      <c r="A18" s="7">
        <v>16</v>
      </c>
      <c r="B18" s="8">
        <v>1</v>
      </c>
      <c r="C18" s="9" t="s">
        <v>20</v>
      </c>
      <c r="D18" s="10" t="str">
        <f t="shared" si="1"/>
        <v/>
      </c>
      <c r="E18" s="11" t="s">
        <v>20</v>
      </c>
      <c r="F18" s="11" t="s">
        <v>20</v>
      </c>
      <c r="G18" s="7">
        <f t="shared" si="0"/>
        <v>1</v>
      </c>
      <c r="H18" s="22">
        <f>IF(E18="Yes","",COUNTIFS($E$2:E18,"No"))</f>
        <v>17</v>
      </c>
      <c r="I18" s="18" t="str" cm="1">
        <f t="array" ref="I18">IF(H18="","(已排除，不影響TM)",INDEX(Telemetry!$E$2:$E$5,ROUNDUP(H18/8,0)))</f>
        <v>太陽能板電流 Solar Panel Current</v>
      </c>
      <c r="J18" s="18" t="str" cm="1">
        <f t="array" ref="J18">IF(H18="","-",INDEX(Telemetry!$C$2:$C$5,ROUNDUP(H18/8,0)))</f>
        <v>11001001</v>
      </c>
      <c r="K18" s="18" t="str" cm="1">
        <f t="array" ref="K18">IF(H18="","-",INDEX(Telemetry!$I$2:$I$5,ROUNDUP(H18/8,0))&amp;" "&amp;INDEX(Telemetry!$H$2:$H$5,ROUNDUP(H18/8,0)))</f>
        <v>2010 mA</v>
      </c>
      <c r="L18" s="18" t="str" cm="1">
        <f t="array" ref="L18">IF(H18="","-",INDEX(Telemetry!$L$2:$L$5,ROUNDUP(H18/8,0)))</f>
        <v>不合理</v>
      </c>
    </row>
    <row r="19" spans="1:12">
      <c r="A19" s="7">
        <v>17</v>
      </c>
      <c r="B19" s="8">
        <v>1</v>
      </c>
      <c r="C19" s="9" t="s">
        <v>20</v>
      </c>
      <c r="D19" s="10" t="str">
        <f t="shared" si="1"/>
        <v/>
      </c>
      <c r="E19" s="11" t="s">
        <v>20</v>
      </c>
      <c r="F19" s="11" t="s">
        <v>20</v>
      </c>
      <c r="G19" s="7">
        <f t="shared" si="0"/>
        <v>1</v>
      </c>
      <c r="H19" s="22">
        <f>IF(E19="Yes","",COUNTIFS($E$2:E19,"No"))</f>
        <v>18</v>
      </c>
      <c r="I19" s="18" t="str" cm="1">
        <f t="array" ref="I19">IF(H19="","(已排除，不影響TM)",INDEX(Telemetry!$E$2:$E$5,ROUNDUP(H19/8,0)))</f>
        <v>太陽能板電流 Solar Panel Current</v>
      </c>
      <c r="J19" s="18" t="str" cm="1">
        <f t="array" ref="J19">IF(H19="","-",INDEX(Telemetry!$C$2:$C$5,ROUNDUP(H19/8,0)))</f>
        <v>11001001</v>
      </c>
      <c r="K19" s="18" t="str" cm="1">
        <f t="array" ref="K19">IF(H19="","-",INDEX(Telemetry!$I$2:$I$5,ROUNDUP(H19/8,0))&amp;" "&amp;INDEX(Telemetry!$H$2:$H$5,ROUNDUP(H19/8,0)))</f>
        <v>2010 mA</v>
      </c>
      <c r="L19" s="18" t="str" cm="1">
        <f t="array" ref="L19">IF(H19="","-",INDEX(Telemetry!$L$2:$L$5,ROUNDUP(H19/8,0)))</f>
        <v>不合理</v>
      </c>
    </row>
    <row r="20" spans="1:12">
      <c r="A20" s="7">
        <v>18</v>
      </c>
      <c r="B20" s="8">
        <v>0</v>
      </c>
      <c r="C20" s="9" t="s">
        <v>20</v>
      </c>
      <c r="D20" s="10" t="str">
        <f t="shared" si="1"/>
        <v/>
      </c>
      <c r="E20" s="11" t="s">
        <v>20</v>
      </c>
      <c r="F20" s="11" t="s">
        <v>20</v>
      </c>
      <c r="G20" s="7">
        <f t="shared" si="0"/>
        <v>0</v>
      </c>
      <c r="H20" s="22">
        <f>IF(E20="Yes","",COUNTIFS($E$2:E20,"No"))</f>
        <v>19</v>
      </c>
      <c r="I20" s="18" t="str" cm="1">
        <f t="array" ref="I20">IF(H20="","(已排除，不影響TM)",INDEX(Telemetry!$E$2:$E$5,ROUNDUP(H20/8,0)))</f>
        <v>太陽能板電流 Solar Panel Current</v>
      </c>
      <c r="J20" s="18" t="str" cm="1">
        <f t="array" ref="J20">IF(H20="","-",INDEX(Telemetry!$C$2:$C$5,ROUNDUP(H20/8,0)))</f>
        <v>11001001</v>
      </c>
      <c r="K20" s="18" t="str" cm="1">
        <f t="array" ref="K20">IF(H20="","-",INDEX(Telemetry!$I$2:$I$5,ROUNDUP(H20/8,0))&amp;" "&amp;INDEX(Telemetry!$H$2:$H$5,ROUNDUP(H20/8,0)))</f>
        <v>2010 mA</v>
      </c>
      <c r="L20" s="18" t="str" cm="1">
        <f t="array" ref="L20">IF(H20="","-",INDEX(Telemetry!$L$2:$L$5,ROUNDUP(H20/8,0)))</f>
        <v>不合理</v>
      </c>
    </row>
    <row r="21" spans="1:12">
      <c r="A21" s="7">
        <v>19</v>
      </c>
      <c r="B21" s="8">
        <v>0</v>
      </c>
      <c r="C21" s="9" t="s">
        <v>20</v>
      </c>
      <c r="D21" s="10" t="str">
        <f t="shared" si="1"/>
        <v/>
      </c>
      <c r="E21" s="11" t="s">
        <v>20</v>
      </c>
      <c r="F21" s="11" t="s">
        <v>20</v>
      </c>
      <c r="G21" s="7">
        <f t="shared" si="0"/>
        <v>0</v>
      </c>
      <c r="H21" s="22">
        <f>IF(E21="Yes","",COUNTIFS($E$2:E21,"No"))</f>
        <v>20</v>
      </c>
      <c r="I21" s="18" t="str" cm="1">
        <f t="array" ref="I21">IF(H21="","(已排除，不影響TM)",INDEX(Telemetry!$E$2:$E$5,ROUNDUP(H21/8,0)))</f>
        <v>太陽能板電流 Solar Panel Current</v>
      </c>
      <c r="J21" s="18" t="str" cm="1">
        <f t="array" ref="J21">IF(H21="","-",INDEX(Telemetry!$C$2:$C$5,ROUNDUP(H21/8,0)))</f>
        <v>11001001</v>
      </c>
      <c r="K21" s="18" t="str" cm="1">
        <f t="array" ref="K21">IF(H21="","-",INDEX(Telemetry!$I$2:$I$5,ROUNDUP(H21/8,0))&amp;" "&amp;INDEX(Telemetry!$H$2:$H$5,ROUNDUP(H21/8,0)))</f>
        <v>2010 mA</v>
      </c>
      <c r="L21" s="18" t="str" cm="1">
        <f t="array" ref="L21">IF(H21="","-",INDEX(Telemetry!$L$2:$L$5,ROUNDUP(H21/8,0)))</f>
        <v>不合理</v>
      </c>
    </row>
    <row r="22" spans="1:12">
      <c r="A22" s="7">
        <v>20</v>
      </c>
      <c r="B22" s="8">
        <v>1</v>
      </c>
      <c r="C22" s="9" t="s">
        <v>20</v>
      </c>
      <c r="D22" s="10" t="str">
        <f t="shared" si="1"/>
        <v/>
      </c>
      <c r="E22" s="11" t="s">
        <v>20</v>
      </c>
      <c r="F22" s="11" t="s">
        <v>20</v>
      </c>
      <c r="G22" s="7">
        <f t="shared" si="0"/>
        <v>1</v>
      </c>
      <c r="H22" s="22">
        <f>IF(E22="Yes","",COUNTIFS($E$2:E22,"No"))</f>
        <v>21</v>
      </c>
      <c r="I22" s="18" t="str" cm="1">
        <f t="array" ref="I22">IF(H22="","(已排除，不影響TM)",INDEX(Telemetry!$E$2:$E$5,ROUNDUP(H22/8,0)))</f>
        <v>太陽能板電流 Solar Panel Current</v>
      </c>
      <c r="J22" s="18" t="str" cm="1">
        <f t="array" ref="J22">IF(H22="","-",INDEX(Telemetry!$C$2:$C$5,ROUNDUP(H22/8,0)))</f>
        <v>11001001</v>
      </c>
      <c r="K22" s="18" t="str" cm="1">
        <f t="array" ref="K22">IF(H22="","-",INDEX(Telemetry!$I$2:$I$5,ROUNDUP(H22/8,0))&amp;" "&amp;INDEX(Telemetry!$H$2:$H$5,ROUNDUP(H22/8,0)))</f>
        <v>2010 mA</v>
      </c>
      <c r="L22" s="18" t="str" cm="1">
        <f t="array" ref="L22">IF(H22="","-",INDEX(Telemetry!$L$2:$L$5,ROUNDUP(H22/8,0)))</f>
        <v>不合理</v>
      </c>
    </row>
    <row r="23" spans="1:12">
      <c r="A23" s="7">
        <v>21</v>
      </c>
      <c r="B23" s="8">
        <v>0</v>
      </c>
      <c r="C23" s="9" t="s">
        <v>20</v>
      </c>
      <c r="D23" s="10" t="str">
        <f t="shared" si="1"/>
        <v/>
      </c>
      <c r="E23" s="11" t="s">
        <v>20</v>
      </c>
      <c r="F23" s="11" t="s">
        <v>20</v>
      </c>
      <c r="G23" s="7">
        <f t="shared" si="0"/>
        <v>0</v>
      </c>
      <c r="H23" s="22">
        <f>IF(E23="Yes","",COUNTIFS($E$2:E23,"No"))</f>
        <v>22</v>
      </c>
      <c r="I23" s="18" t="str" cm="1">
        <f t="array" ref="I23">IF(H23="","(已排除，不影響TM)",INDEX(Telemetry!$E$2:$E$5,ROUNDUP(H23/8,0)))</f>
        <v>太陽能板電流 Solar Panel Current</v>
      </c>
      <c r="J23" s="18" t="str" cm="1">
        <f t="array" ref="J23">IF(H23="","-",INDEX(Telemetry!$C$2:$C$5,ROUNDUP(H23/8,0)))</f>
        <v>11001001</v>
      </c>
      <c r="K23" s="18" t="str" cm="1">
        <f t="array" ref="K23">IF(H23="","-",INDEX(Telemetry!$I$2:$I$5,ROUNDUP(H23/8,0))&amp;" "&amp;INDEX(Telemetry!$H$2:$H$5,ROUNDUP(H23/8,0)))</f>
        <v>2010 mA</v>
      </c>
      <c r="L23" s="18" t="str" cm="1">
        <f t="array" ref="L23">IF(H23="","-",INDEX(Telemetry!$L$2:$L$5,ROUNDUP(H23/8,0)))</f>
        <v>不合理</v>
      </c>
    </row>
    <row r="24" spans="1:12">
      <c r="A24" s="7">
        <v>22</v>
      </c>
      <c r="B24" s="8">
        <v>0</v>
      </c>
      <c r="C24" s="12" t="s">
        <v>21</v>
      </c>
      <c r="D24" s="10" t="str">
        <f t="shared" si="1"/>
        <v/>
      </c>
      <c r="E24" s="11" t="s">
        <v>20</v>
      </c>
      <c r="F24" s="11" t="s">
        <v>20</v>
      </c>
      <c r="G24" s="7">
        <f t="shared" si="0"/>
        <v>0</v>
      </c>
      <c r="H24" s="22">
        <f>IF(E24="Yes","",COUNTIFS($E$2:E24,"No"))</f>
        <v>23</v>
      </c>
      <c r="I24" s="18" t="str" cm="1">
        <f t="array" ref="I24">IF(H24="","(已排除，不影響TM)",INDEX(Telemetry!$E$2:$E$5,ROUNDUP(H24/8,0)))</f>
        <v>太陽能板電流 Solar Panel Current</v>
      </c>
      <c r="J24" s="18" t="str" cm="1">
        <f t="array" ref="J24">IF(H24="","-",INDEX(Telemetry!$C$2:$C$5,ROUNDUP(H24/8,0)))</f>
        <v>11001001</v>
      </c>
      <c r="K24" s="18" t="str" cm="1">
        <f t="array" ref="K24">IF(H24="","-",INDEX(Telemetry!$I$2:$I$5,ROUNDUP(H24/8,0))&amp;" "&amp;INDEX(Telemetry!$H$2:$H$5,ROUNDUP(H24/8,0)))</f>
        <v>2010 mA</v>
      </c>
      <c r="L24" s="18" t="str" cm="1">
        <f t="array" ref="L24">IF(H24="","-",INDEX(Telemetry!$L$2:$L$5,ROUNDUP(H24/8,0)))</f>
        <v>不合理</v>
      </c>
    </row>
    <row r="25" spans="1:12">
      <c r="A25" s="7">
        <v>23</v>
      </c>
      <c r="B25" s="8">
        <v>1</v>
      </c>
      <c r="C25" s="9" t="s">
        <v>20</v>
      </c>
      <c r="D25" s="10" t="str">
        <f t="shared" si="1"/>
        <v/>
      </c>
      <c r="E25" s="11" t="s">
        <v>20</v>
      </c>
      <c r="F25" s="11" t="s">
        <v>20</v>
      </c>
      <c r="G25" s="7">
        <f t="shared" si="0"/>
        <v>1</v>
      </c>
      <c r="H25" s="22">
        <f>IF(E25="Yes","",COUNTIFS($E$2:E25,"No"))</f>
        <v>24</v>
      </c>
      <c r="I25" s="18" t="str" cm="1">
        <f t="array" ref="I25">IF(H25="","(已排除，不影響TM)",INDEX(Telemetry!$E$2:$E$5,ROUNDUP(H25/8,0)))</f>
        <v>太陽能板電流 Solar Panel Current</v>
      </c>
      <c r="J25" s="18" t="str" cm="1">
        <f t="array" ref="J25">IF(H25="","-",INDEX(Telemetry!$C$2:$C$5,ROUNDUP(H25/8,0)))</f>
        <v>11001001</v>
      </c>
      <c r="K25" s="18" t="str" cm="1">
        <f t="array" ref="K25">IF(H25="","-",INDEX(Telemetry!$I$2:$I$5,ROUNDUP(H25/8,0))&amp;" "&amp;INDEX(Telemetry!$H$2:$H$5,ROUNDUP(H25/8,0)))</f>
        <v>2010 mA</v>
      </c>
      <c r="L25" s="18" t="str" cm="1">
        <f t="array" ref="L25">IF(H25="","-",INDEX(Telemetry!$L$2:$L$5,ROUNDUP(H25/8,0)))</f>
        <v>不合理</v>
      </c>
    </row>
    <row r="26" spans="1:12">
      <c r="A26" s="7">
        <v>24</v>
      </c>
      <c r="B26" s="8">
        <v>0</v>
      </c>
      <c r="C26" s="9" t="s">
        <v>20</v>
      </c>
      <c r="D26" s="10" t="str">
        <f t="shared" si="1"/>
        <v/>
      </c>
      <c r="E26" s="11" t="s">
        <v>20</v>
      </c>
      <c r="F26" s="11" t="s">
        <v>20</v>
      </c>
      <c r="G26" s="7">
        <f t="shared" si="0"/>
        <v>0</v>
      </c>
      <c r="H26" s="22">
        <f>IF(E26="Yes","",COUNTIFS($E$2:E26,"No"))</f>
        <v>25</v>
      </c>
      <c r="I26" s="18" t="str" cm="1">
        <f t="array" ref="I26">IF(H26="","(已排除，不影響TM)",INDEX(Telemetry!$E$2:$E$5,ROUNDUP(H26/8,0)))</f>
        <v>訊號強度 RSSI</v>
      </c>
      <c r="J26" s="18" t="str" cm="1">
        <f t="array" ref="J26">IF(H26="","-",INDEX(Telemetry!$C$2:$C$5,ROUNDUP(H26/8,0)))</f>
        <v>00101001</v>
      </c>
      <c r="K26" s="18" t="str" cm="1">
        <f t="array" ref="K26">IF(H26="","-",INDEX(Telemetry!$I$2:$I$5,ROUNDUP(H26/8,0))&amp;" "&amp;INDEX(Telemetry!$H$2:$H$5,ROUNDUP(H26/8,0)))</f>
        <v>-87 dBm</v>
      </c>
      <c r="L26" s="18" t="str" cm="1">
        <f t="array" ref="L26">IF(H26="","-",INDEX(Telemetry!$L$2:$L$5,ROUNDUP(H26/8,0)))</f>
        <v>合理</v>
      </c>
    </row>
    <row r="27" spans="1:12">
      <c r="A27" s="7">
        <v>25</v>
      </c>
      <c r="B27" s="8">
        <v>0</v>
      </c>
      <c r="C27" s="9" t="s">
        <v>20</v>
      </c>
      <c r="D27" s="10" t="str">
        <f t="shared" si="1"/>
        <v/>
      </c>
      <c r="E27" s="11" t="s">
        <v>20</v>
      </c>
      <c r="F27" s="11" t="s">
        <v>20</v>
      </c>
      <c r="G27" s="7">
        <f t="shared" si="0"/>
        <v>0</v>
      </c>
      <c r="H27" s="22">
        <f>IF(E27="Yes","",COUNTIFS($E$2:E27,"No"))</f>
        <v>26</v>
      </c>
      <c r="I27" s="18" t="str" cm="1">
        <f t="array" ref="I27">IF(H27="","(已排除，不影響TM)",INDEX(Telemetry!$E$2:$E$5,ROUNDUP(H27/8,0)))</f>
        <v>訊號強度 RSSI</v>
      </c>
      <c r="J27" s="18" t="str" cm="1">
        <f t="array" ref="J27">IF(H27="","-",INDEX(Telemetry!$C$2:$C$5,ROUNDUP(H27/8,0)))</f>
        <v>00101001</v>
      </c>
      <c r="K27" s="18" t="str" cm="1">
        <f t="array" ref="K27">IF(H27="","-",INDEX(Telemetry!$I$2:$I$5,ROUNDUP(H27/8,0))&amp;" "&amp;INDEX(Telemetry!$H$2:$H$5,ROUNDUP(H27/8,0)))</f>
        <v>-87 dBm</v>
      </c>
      <c r="L27" s="18" t="str" cm="1">
        <f t="array" ref="L27">IF(H27="","-",INDEX(Telemetry!$L$2:$L$5,ROUNDUP(H27/8,0)))</f>
        <v>合理</v>
      </c>
    </row>
    <row r="28" spans="1:12">
      <c r="A28" s="7">
        <v>26</v>
      </c>
      <c r="B28" s="8">
        <v>1</v>
      </c>
      <c r="C28" s="9" t="s">
        <v>20</v>
      </c>
      <c r="D28" s="10" t="str">
        <f t="shared" si="1"/>
        <v/>
      </c>
      <c r="E28" s="11" t="s">
        <v>20</v>
      </c>
      <c r="F28" s="11" t="s">
        <v>20</v>
      </c>
      <c r="G28" s="7">
        <f t="shared" si="0"/>
        <v>1</v>
      </c>
      <c r="H28" s="22">
        <f>IF(E28="Yes","",COUNTIFS($E$2:E28,"No"))</f>
        <v>27</v>
      </c>
      <c r="I28" s="18" t="str" cm="1">
        <f t="array" ref="I28">IF(H28="","(已排除，不影響TM)",INDEX(Telemetry!$E$2:$E$5,ROUNDUP(H28/8,0)))</f>
        <v>訊號強度 RSSI</v>
      </c>
      <c r="J28" s="18" t="str" cm="1">
        <f t="array" ref="J28">IF(H28="","-",INDEX(Telemetry!$C$2:$C$5,ROUNDUP(H28/8,0)))</f>
        <v>00101001</v>
      </c>
      <c r="K28" s="18" t="str" cm="1">
        <f t="array" ref="K28">IF(H28="","-",INDEX(Telemetry!$I$2:$I$5,ROUNDUP(H28/8,0))&amp;" "&amp;INDEX(Telemetry!$H$2:$H$5,ROUNDUP(H28/8,0)))</f>
        <v>-87 dBm</v>
      </c>
      <c r="L28" s="18" t="str" cm="1">
        <f t="array" ref="L28">IF(H28="","-",INDEX(Telemetry!$L$2:$L$5,ROUNDUP(H28/8,0)))</f>
        <v>合理</v>
      </c>
    </row>
    <row r="29" spans="1:12">
      <c r="A29" s="7">
        <v>27</v>
      </c>
      <c r="B29" s="8">
        <v>0</v>
      </c>
      <c r="C29" s="9" t="s">
        <v>20</v>
      </c>
      <c r="D29" s="10" t="str">
        <f t="shared" si="1"/>
        <v/>
      </c>
      <c r="E29" s="11" t="s">
        <v>20</v>
      </c>
      <c r="F29" s="11" t="s">
        <v>20</v>
      </c>
      <c r="G29" s="7">
        <f t="shared" si="0"/>
        <v>0</v>
      </c>
      <c r="H29" s="22">
        <f>IF(E29="Yes","",COUNTIFS($E$2:E29,"No"))</f>
        <v>28</v>
      </c>
      <c r="I29" s="18" t="str" cm="1">
        <f t="array" ref="I29">IF(H29="","(已排除，不影響TM)",INDEX(Telemetry!$E$2:$E$5,ROUNDUP(H29/8,0)))</f>
        <v>訊號強度 RSSI</v>
      </c>
      <c r="J29" s="18" t="str" cm="1">
        <f t="array" ref="J29">IF(H29="","-",INDEX(Telemetry!$C$2:$C$5,ROUNDUP(H29/8,0)))</f>
        <v>00101001</v>
      </c>
      <c r="K29" s="18" t="str" cm="1">
        <f t="array" ref="K29">IF(H29="","-",INDEX(Telemetry!$I$2:$I$5,ROUNDUP(H29/8,0))&amp;" "&amp;INDEX(Telemetry!$H$2:$H$5,ROUNDUP(H29/8,0)))</f>
        <v>-87 dBm</v>
      </c>
      <c r="L29" s="18" t="str" cm="1">
        <f t="array" ref="L29">IF(H29="","-",INDEX(Telemetry!$L$2:$L$5,ROUNDUP(H29/8,0)))</f>
        <v>合理</v>
      </c>
    </row>
    <row r="30" spans="1:12">
      <c r="A30" s="7">
        <v>28</v>
      </c>
      <c r="B30" s="8">
        <v>1</v>
      </c>
      <c r="C30" s="9" t="s">
        <v>20</v>
      </c>
      <c r="D30" s="10" t="str">
        <f t="shared" si="1"/>
        <v/>
      </c>
      <c r="E30" s="11" t="s">
        <v>20</v>
      </c>
      <c r="F30" s="11" t="s">
        <v>20</v>
      </c>
      <c r="G30" s="7">
        <f t="shared" si="0"/>
        <v>1</v>
      </c>
      <c r="H30" s="22">
        <f>IF(E30="Yes","",COUNTIFS($E$2:E30,"No"))</f>
        <v>29</v>
      </c>
      <c r="I30" s="18" t="str" cm="1">
        <f t="array" ref="I30">IF(H30="","(已排除，不影響TM)",INDEX(Telemetry!$E$2:$E$5,ROUNDUP(H30/8,0)))</f>
        <v>訊號強度 RSSI</v>
      </c>
      <c r="J30" s="18" t="str" cm="1">
        <f t="array" ref="J30">IF(H30="","-",INDEX(Telemetry!$C$2:$C$5,ROUNDUP(H30/8,0)))</f>
        <v>00101001</v>
      </c>
      <c r="K30" s="18" t="str" cm="1">
        <f t="array" ref="K30">IF(H30="","-",INDEX(Telemetry!$I$2:$I$5,ROUNDUP(H30/8,0))&amp;" "&amp;INDEX(Telemetry!$H$2:$H$5,ROUNDUP(H30/8,0)))</f>
        <v>-87 dBm</v>
      </c>
      <c r="L30" s="18" t="str" cm="1">
        <f t="array" ref="L30">IF(H30="","-",INDEX(Telemetry!$L$2:$L$5,ROUNDUP(H30/8,0)))</f>
        <v>合理</v>
      </c>
    </row>
    <row r="31" spans="1:12">
      <c r="A31" s="7">
        <v>29</v>
      </c>
      <c r="B31" s="8">
        <v>0</v>
      </c>
      <c r="C31" s="9" t="s">
        <v>20</v>
      </c>
      <c r="D31" s="10" t="str">
        <f t="shared" si="1"/>
        <v/>
      </c>
      <c r="E31" s="11" t="s">
        <v>20</v>
      </c>
      <c r="F31" s="11" t="s">
        <v>20</v>
      </c>
      <c r="G31" s="7">
        <f t="shared" si="0"/>
        <v>0</v>
      </c>
      <c r="H31" s="22">
        <f>IF(E31="Yes","",COUNTIFS($E$2:E31,"No"))</f>
        <v>30</v>
      </c>
      <c r="I31" s="18" t="str" cm="1">
        <f t="array" ref="I31">IF(H31="","(已排除，不影響TM)",INDEX(Telemetry!$E$2:$E$5,ROUNDUP(H31/8,0)))</f>
        <v>訊號強度 RSSI</v>
      </c>
      <c r="J31" s="18" t="str" cm="1">
        <f t="array" ref="J31">IF(H31="","-",INDEX(Telemetry!$C$2:$C$5,ROUNDUP(H31/8,0)))</f>
        <v>00101001</v>
      </c>
      <c r="K31" s="18" t="str" cm="1">
        <f t="array" ref="K31">IF(H31="","-",INDEX(Telemetry!$I$2:$I$5,ROUNDUP(H31/8,0))&amp;" "&amp;INDEX(Telemetry!$H$2:$H$5,ROUNDUP(H31/8,0)))</f>
        <v>-87 dBm</v>
      </c>
      <c r="L31" s="18" t="str" cm="1">
        <f t="array" ref="L31">IF(H31="","-",INDEX(Telemetry!$L$2:$L$5,ROUNDUP(H31/8,0)))</f>
        <v>合理</v>
      </c>
    </row>
    <row r="32" spans="1:12">
      <c r="A32" s="7">
        <v>30</v>
      </c>
      <c r="B32" s="8">
        <v>0</v>
      </c>
      <c r="C32" s="9" t="s">
        <v>20</v>
      </c>
      <c r="D32" s="10" t="str">
        <f t="shared" si="1"/>
        <v/>
      </c>
      <c r="E32" s="11" t="s">
        <v>20</v>
      </c>
      <c r="F32" s="11" t="s">
        <v>20</v>
      </c>
      <c r="G32" s="7">
        <f t="shared" si="0"/>
        <v>0</v>
      </c>
      <c r="H32" s="22">
        <f>IF(E32="Yes","",COUNTIFS($E$2:E32,"No"))</f>
        <v>31</v>
      </c>
      <c r="I32" s="18" t="str" cm="1">
        <f t="array" ref="I32">IF(H32="","(已排除，不影響TM)",INDEX(Telemetry!$E$2:$E$5,ROUNDUP(H32/8,0)))</f>
        <v>訊號強度 RSSI</v>
      </c>
      <c r="J32" s="18" t="str" cm="1">
        <f t="array" ref="J32">IF(H32="","-",INDEX(Telemetry!$C$2:$C$5,ROUNDUP(H32/8,0)))</f>
        <v>00101001</v>
      </c>
      <c r="K32" s="18" t="str" cm="1">
        <f t="array" ref="K32">IF(H32="","-",INDEX(Telemetry!$I$2:$I$5,ROUNDUP(H32/8,0))&amp;" "&amp;INDEX(Telemetry!$H$2:$H$5,ROUNDUP(H32/8,0)))</f>
        <v>-87 dBm</v>
      </c>
      <c r="L32" s="18" t="str" cm="1">
        <f t="array" ref="L32">IF(H32="","-",INDEX(Telemetry!$L$2:$L$5,ROUNDUP(H32/8,0)))</f>
        <v>合理</v>
      </c>
    </row>
    <row r="33" spans="1:12">
      <c r="A33" s="7">
        <v>31</v>
      </c>
      <c r="B33" s="8">
        <v>1</v>
      </c>
      <c r="C33" s="9" t="s">
        <v>20</v>
      </c>
      <c r="D33" s="10" t="str">
        <f t="shared" si="1"/>
        <v/>
      </c>
      <c r="E33" s="11" t="s">
        <v>20</v>
      </c>
      <c r="F33" s="11" t="s">
        <v>20</v>
      </c>
      <c r="G33" s="7">
        <f t="shared" si="0"/>
        <v>1</v>
      </c>
      <c r="H33" s="22">
        <f>IF(E33="Yes","",COUNTIFS($E$2:E33,"No"))</f>
        <v>32</v>
      </c>
      <c r="I33" s="18" t="str" cm="1">
        <f t="array" ref="I33">IF(H33="","(已排除，不影響TM)",INDEX(Telemetry!$E$2:$E$5,ROUNDUP(H33/8,0)))</f>
        <v>訊號強度 RSSI</v>
      </c>
      <c r="J33" s="18" t="str" cm="1">
        <f t="array" ref="J33">IF(H33="","-",INDEX(Telemetry!$C$2:$C$5,ROUNDUP(H33/8,0)))</f>
        <v>00101001</v>
      </c>
      <c r="K33" s="18" t="str" cm="1">
        <f t="array" ref="K33">IF(H33="","-",INDEX(Telemetry!$I$2:$I$5,ROUNDUP(H33/8,0))&amp;" "&amp;INDEX(Telemetry!$H$2:$H$5,ROUNDUP(H33/8,0)))</f>
        <v>-87 dBm</v>
      </c>
      <c r="L33" s="18" t="str" cm="1">
        <f t="array" ref="L33">IF(H33="","-",INDEX(Telemetry!$L$2:$L$5,ROUNDUP(H33/8,0)))</f>
        <v>合理</v>
      </c>
    </row>
    <row r="34" spans="1:12">
      <c r="A34" s="7">
        <v>32</v>
      </c>
      <c r="B34" s="8">
        <v>1</v>
      </c>
      <c r="C34" s="9" t="s">
        <v>20</v>
      </c>
      <c r="D34" s="10" t="str">
        <f t="shared" si="1"/>
        <v/>
      </c>
      <c r="E34" s="11" t="s">
        <v>20</v>
      </c>
      <c r="F34" s="11" t="s">
        <v>20</v>
      </c>
      <c r="G34" s="7">
        <f t="shared" si="0"/>
        <v>1</v>
      </c>
      <c r="H34" s="22">
        <f>IF(E34="Yes","",COUNTIFS($E$2:E34,"No"))</f>
        <v>33</v>
      </c>
      <c r="I34" s="18" t="e" cm="1">
        <f t="array" ref="I34">IF(H34="","(已排除，不影響TM)",INDEX(Telemetry!$E$2:$E$5,ROUNDUP(H34/8,0)))</f>
        <v>#REF!</v>
      </c>
      <c r="J34" s="18" t="e" cm="1">
        <f t="array" ref="J34">IF(H34="","-",INDEX(Telemetry!$C$2:$C$5,ROUNDUP(H34/8,0)))</f>
        <v>#REF!</v>
      </c>
      <c r="K34" s="18" t="e" cm="1">
        <f t="array" ref="K34">IF(H34="","-",INDEX(Telemetry!$I$2:$I$5,ROUNDUP(H34/8,0))&amp;" "&amp;INDEX(Telemetry!$H$2:$H$5,ROUNDUP(H34/8,0)))</f>
        <v>#REF!</v>
      </c>
      <c r="L34" s="18" t="e" cm="1">
        <f t="array" ref="L34">IF(H34="","-",INDEX(Telemetry!$L$2:$L$5,ROUNDUP(H34/8,0)))</f>
        <v>#REF!</v>
      </c>
    </row>
  </sheetData>
  <phoneticPr fontId="17" type="noConversion"/>
  <conditionalFormatting sqref="A2:H34">
    <cfRule type="expression" dxfId="7" priority="2">
      <formula>$D2="Yes"</formula>
    </cfRule>
    <cfRule type="expression" dxfId="6" priority="3">
      <formula>$C2="Yes"</formula>
    </cfRule>
  </conditionalFormatting>
  <conditionalFormatting sqref="L2:L34">
    <cfRule type="containsText" dxfId="1" priority="4" operator="containsText" text="合理">
      <formula>NOT(ISERROR(SEARCH("合理",L2)))</formula>
    </cfRule>
  </conditionalFormatting>
  <conditionalFormatting sqref="L2:L34">
    <cfRule type="containsText" dxfId="0" priority="5" operator="containsText" text="不合理">
      <formula>NOT(ISERROR(SEARCH("不合理",L2)))</formula>
    </cfRule>
  </conditionalFormatting>
  <dataValidations count="1">
    <dataValidation type="list" sqref="E2:F34" xr:uid="{00000000-0002-0000-0100-000000000000}">
      <formula1>"Yes,No"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4"/>
  <sheetViews>
    <sheetView zoomScaleNormal="100" workbookViewId="0">
      <pane ySplit="2" topLeftCell="A18" activePane="bottomLeft" state="frozen"/>
      <selection pane="bottomLeft"/>
    </sheetView>
  </sheetViews>
  <sheetFormatPr defaultColWidth="8.6328125" defaultRowHeight="14.5"/>
  <cols>
    <col min="1" max="1" width="10" customWidth="1"/>
    <col min="2" max="3" width="20" customWidth="1"/>
    <col min="4" max="4" width="22" customWidth="1"/>
    <col min="5" max="5" width="12" customWidth="1"/>
  </cols>
  <sheetData>
    <row r="1" spans="1:5" ht="15.5">
      <c r="A1" s="13" t="s">
        <v>22</v>
      </c>
      <c r="B1" s="14">
        <f>SUMPRODUCT((C3:C34&lt;&gt;D3:D34)*1)</f>
        <v>18</v>
      </c>
      <c r="C1" s="15" t="s">
        <v>23</v>
      </c>
    </row>
    <row r="2" spans="1:5">
      <c r="A2" s="6" t="s">
        <v>24</v>
      </c>
      <c r="B2" s="6" t="s">
        <v>25</v>
      </c>
      <c r="C2" s="6" t="s">
        <v>26</v>
      </c>
      <c r="D2" s="6" t="s">
        <v>27</v>
      </c>
      <c r="E2" s="6" t="s">
        <v>28</v>
      </c>
    </row>
    <row r="3" spans="1:5">
      <c r="A3" s="7">
        <v>1</v>
      </c>
      <c r="B3" s="9">
        <f>IFERROR(INDEX(RawBits!$A:$A,MATCH($A3,RawBits!$H:$H,0)),"?")</f>
        <v>0</v>
      </c>
      <c r="C3" s="8">
        <f>IFERROR(INDEX(RawBits!$G:$G,MATCH($A3,RawBits!$H:$H,0)),"")</f>
        <v>1</v>
      </c>
      <c r="D3" s="7">
        <v>1</v>
      </c>
      <c r="E3" s="7">
        <f t="shared" ref="E3:E34" si="0">IF(C3=D3,1,0)</f>
        <v>1</v>
      </c>
    </row>
    <row r="4" spans="1:5">
      <c r="A4" s="7">
        <v>2</v>
      </c>
      <c r="B4" s="9">
        <f>IFERROR(INDEX(RawBits!$A:$A,MATCH($A4,RawBits!$H:$H,0)),"?")</f>
        <v>1</v>
      </c>
      <c r="C4" s="8">
        <f>IFERROR(INDEX(RawBits!$G:$G,MATCH($A4,RawBits!$H:$H,0)),"")</f>
        <v>1</v>
      </c>
      <c r="D4" s="7">
        <v>1</v>
      </c>
      <c r="E4" s="7">
        <f t="shared" si="0"/>
        <v>1</v>
      </c>
    </row>
    <row r="5" spans="1:5">
      <c r="A5" s="7">
        <v>3</v>
      </c>
      <c r="B5" s="9">
        <f>IFERROR(INDEX(RawBits!$A:$A,MATCH($A5,RawBits!$H:$H,0)),"?")</f>
        <v>2</v>
      </c>
      <c r="C5" s="8">
        <f>IFERROR(INDEX(RawBits!$G:$G,MATCH($A5,RawBits!$H:$H,0)),"")</f>
        <v>0</v>
      </c>
      <c r="D5" s="7">
        <v>0</v>
      </c>
      <c r="E5" s="7">
        <f t="shared" si="0"/>
        <v>1</v>
      </c>
    </row>
    <row r="6" spans="1:5">
      <c r="A6" s="7">
        <v>4</v>
      </c>
      <c r="B6" s="9">
        <f>IFERROR(INDEX(RawBits!$A:$A,MATCH($A6,RawBits!$H:$H,0)),"?")</f>
        <v>3</v>
      </c>
      <c r="C6" s="8">
        <f>IFERROR(INDEX(RawBits!$G:$G,MATCH($A6,RawBits!$H:$H,0)),"")</f>
        <v>1</v>
      </c>
      <c r="D6" s="7">
        <v>1</v>
      </c>
      <c r="E6" s="7">
        <f t="shared" si="0"/>
        <v>1</v>
      </c>
    </row>
    <row r="7" spans="1:5">
      <c r="A7" s="7">
        <v>5</v>
      </c>
      <c r="B7" s="9">
        <f>IFERROR(INDEX(RawBits!$A:$A,MATCH($A7,RawBits!$H:$H,0)),"?")</f>
        <v>4</v>
      </c>
      <c r="C7" s="8">
        <f>IFERROR(INDEX(RawBits!$G:$G,MATCH($A7,RawBits!$H:$H,0)),"")</f>
        <v>1</v>
      </c>
      <c r="D7" s="7">
        <v>1</v>
      </c>
      <c r="E7" s="7">
        <f t="shared" si="0"/>
        <v>1</v>
      </c>
    </row>
    <row r="8" spans="1:5">
      <c r="A8" s="7">
        <v>6</v>
      </c>
      <c r="B8" s="9">
        <f>IFERROR(INDEX(RawBits!$A:$A,MATCH($A8,RawBits!$H:$H,0)),"?")</f>
        <v>5</v>
      </c>
      <c r="C8" s="8">
        <f>IFERROR(INDEX(RawBits!$G:$G,MATCH($A8,RawBits!$H:$H,0)),"")</f>
        <v>1</v>
      </c>
      <c r="D8" s="7">
        <v>1</v>
      </c>
      <c r="E8" s="7">
        <f t="shared" si="0"/>
        <v>1</v>
      </c>
    </row>
    <row r="9" spans="1:5">
      <c r="A9" s="7">
        <v>7</v>
      </c>
      <c r="B9" s="9">
        <f>IFERROR(INDEX(RawBits!$A:$A,MATCH($A9,RawBits!$H:$H,0)),"?")</f>
        <v>6</v>
      </c>
      <c r="C9" s="8">
        <f>IFERROR(INDEX(RawBits!$G:$G,MATCH($A9,RawBits!$H:$H,0)),"")</f>
        <v>1</v>
      </c>
      <c r="D9" s="7">
        <v>1</v>
      </c>
      <c r="E9" s="7">
        <f t="shared" si="0"/>
        <v>1</v>
      </c>
    </row>
    <row r="10" spans="1:5">
      <c r="A10" s="7">
        <v>8</v>
      </c>
      <c r="B10" s="9">
        <f>IFERROR(INDEX(RawBits!$A:$A,MATCH($A10,RawBits!$H:$H,0)),"?")</f>
        <v>7</v>
      </c>
      <c r="C10" s="8">
        <f>IFERROR(INDEX(RawBits!$G:$G,MATCH($A10,RawBits!$H:$H,0)),"")</f>
        <v>1</v>
      </c>
      <c r="D10" s="7">
        <v>1</v>
      </c>
      <c r="E10" s="7">
        <f t="shared" si="0"/>
        <v>1</v>
      </c>
    </row>
    <row r="11" spans="1:5">
      <c r="A11" s="7">
        <v>9</v>
      </c>
      <c r="B11" s="9">
        <f>IFERROR(INDEX(RawBits!$A:$A,MATCH($A11,RawBits!$H:$H,0)),"?")</f>
        <v>8</v>
      </c>
      <c r="C11" s="8">
        <f>IFERROR(INDEX(RawBits!$G:$G,MATCH($A11,RawBits!$H:$H,0)),"")</f>
        <v>0</v>
      </c>
      <c r="D11" s="7">
        <v>1</v>
      </c>
      <c r="E11" s="7">
        <f t="shared" si="0"/>
        <v>0</v>
      </c>
    </row>
    <row r="12" spans="1:5">
      <c r="A12" s="7">
        <v>10</v>
      </c>
      <c r="B12" s="9">
        <f>IFERROR(INDEX(RawBits!$A:$A,MATCH($A12,RawBits!$H:$H,0)),"?")</f>
        <v>9</v>
      </c>
      <c r="C12" s="8">
        <f>IFERROR(INDEX(RawBits!$G:$G,MATCH($A12,RawBits!$H:$H,0)),"")</f>
        <v>1</v>
      </c>
      <c r="D12" s="7">
        <v>0</v>
      </c>
      <c r="E12" s="7">
        <f t="shared" si="0"/>
        <v>0</v>
      </c>
    </row>
    <row r="13" spans="1:5">
      <c r="A13" s="7">
        <v>11</v>
      </c>
      <c r="B13" s="9">
        <f>IFERROR(INDEX(RawBits!$A:$A,MATCH($A13,RawBits!$H:$H,0)),"?")</f>
        <v>10</v>
      </c>
      <c r="C13" s="8">
        <f>IFERROR(INDEX(RawBits!$G:$G,MATCH($A13,RawBits!$H:$H,0)),"")</f>
        <v>0</v>
      </c>
      <c r="D13" s="7">
        <v>1</v>
      </c>
      <c r="E13" s="7">
        <f t="shared" si="0"/>
        <v>0</v>
      </c>
    </row>
    <row r="14" spans="1:5">
      <c r="A14" s="7">
        <v>12</v>
      </c>
      <c r="B14" s="9">
        <f>IFERROR(INDEX(RawBits!$A:$A,MATCH($A14,RawBits!$H:$H,0)),"?")</f>
        <v>11</v>
      </c>
      <c r="C14" s="8">
        <f>IFERROR(INDEX(RawBits!$G:$G,MATCH($A14,RawBits!$H:$H,0)),"")</f>
        <v>1</v>
      </c>
      <c r="D14" s="7">
        <v>1</v>
      </c>
      <c r="E14" s="7">
        <f t="shared" si="0"/>
        <v>1</v>
      </c>
    </row>
    <row r="15" spans="1:5">
      <c r="A15" s="7">
        <v>13</v>
      </c>
      <c r="B15" s="9">
        <f>IFERROR(INDEX(RawBits!$A:$A,MATCH($A15,RawBits!$H:$H,0)),"?")</f>
        <v>12</v>
      </c>
      <c r="C15" s="8">
        <f>IFERROR(INDEX(RawBits!$G:$G,MATCH($A15,RawBits!$H:$H,0)),"")</f>
        <v>1</v>
      </c>
      <c r="D15" s="7">
        <v>0</v>
      </c>
      <c r="E15" s="7">
        <f t="shared" si="0"/>
        <v>0</v>
      </c>
    </row>
    <row r="16" spans="1:5">
      <c r="A16" s="7">
        <v>14</v>
      </c>
      <c r="B16" s="9">
        <f>IFERROR(INDEX(RawBits!$A:$A,MATCH($A16,RawBits!$H:$H,0)),"?")</f>
        <v>13</v>
      </c>
      <c r="C16" s="8">
        <f>IFERROR(INDEX(RawBits!$G:$G,MATCH($A16,RawBits!$H:$H,0)),"")</f>
        <v>0</v>
      </c>
      <c r="D16" s="7">
        <v>1</v>
      </c>
      <c r="E16" s="7">
        <f t="shared" si="0"/>
        <v>0</v>
      </c>
    </row>
    <row r="17" spans="1:5">
      <c r="A17" s="7">
        <v>15</v>
      </c>
      <c r="B17" s="9">
        <f>IFERROR(INDEX(RawBits!$A:$A,MATCH($A17,RawBits!$H:$H,0)),"?")</f>
        <v>14</v>
      </c>
      <c r="C17" s="8">
        <f>IFERROR(INDEX(RawBits!$G:$G,MATCH($A17,RawBits!$H:$H,0)),"")</f>
        <v>1</v>
      </c>
      <c r="D17" s="7">
        <v>0</v>
      </c>
      <c r="E17" s="7">
        <f t="shared" si="0"/>
        <v>0</v>
      </c>
    </row>
    <row r="18" spans="1:5">
      <c r="A18" s="7">
        <v>16</v>
      </c>
      <c r="B18" s="9">
        <f>IFERROR(INDEX(RawBits!$A:$A,MATCH($A18,RawBits!$H:$H,0)),"?")</f>
        <v>15</v>
      </c>
      <c r="C18" s="8">
        <f>IFERROR(INDEX(RawBits!$G:$G,MATCH($A18,RawBits!$H:$H,0)),"")</f>
        <v>0</v>
      </c>
      <c r="D18" s="7">
        <v>1</v>
      </c>
      <c r="E18" s="7">
        <f t="shared" si="0"/>
        <v>0</v>
      </c>
    </row>
    <row r="19" spans="1:5">
      <c r="A19" s="7">
        <v>17</v>
      </c>
      <c r="B19" s="9">
        <f>IFERROR(INDEX(RawBits!$A:$A,MATCH($A19,RawBits!$H:$H,0)),"?")</f>
        <v>16</v>
      </c>
      <c r="C19" s="8">
        <f>IFERROR(INDEX(RawBits!$G:$G,MATCH($A19,RawBits!$H:$H,0)),"")</f>
        <v>1</v>
      </c>
      <c r="D19" s="7">
        <v>1</v>
      </c>
      <c r="E19" s="7">
        <f t="shared" si="0"/>
        <v>1</v>
      </c>
    </row>
    <row r="20" spans="1:5">
      <c r="A20" s="7">
        <v>18</v>
      </c>
      <c r="B20" s="9">
        <f>IFERROR(INDEX(RawBits!$A:$A,MATCH($A20,RawBits!$H:$H,0)),"?")</f>
        <v>17</v>
      </c>
      <c r="C20" s="8">
        <f>IFERROR(INDEX(RawBits!$G:$G,MATCH($A20,RawBits!$H:$H,0)),"")</f>
        <v>1</v>
      </c>
      <c r="D20" s="7">
        <v>0</v>
      </c>
      <c r="E20" s="7">
        <f t="shared" si="0"/>
        <v>0</v>
      </c>
    </row>
    <row r="21" spans="1:5">
      <c r="A21" s="7">
        <v>19</v>
      </c>
      <c r="B21" s="9">
        <f>IFERROR(INDEX(RawBits!$A:$A,MATCH($A21,RawBits!$H:$H,0)),"?")</f>
        <v>18</v>
      </c>
      <c r="C21" s="8">
        <f>IFERROR(INDEX(RawBits!$G:$G,MATCH($A21,RawBits!$H:$H,0)),"")</f>
        <v>0</v>
      </c>
      <c r="D21" s="7">
        <v>0</v>
      </c>
      <c r="E21" s="7">
        <f t="shared" si="0"/>
        <v>1</v>
      </c>
    </row>
    <row r="22" spans="1:5">
      <c r="A22" s="7">
        <v>20</v>
      </c>
      <c r="B22" s="9">
        <f>IFERROR(INDEX(RawBits!$A:$A,MATCH($A22,RawBits!$H:$H,0)),"?")</f>
        <v>19</v>
      </c>
      <c r="C22" s="8">
        <f>IFERROR(INDEX(RawBits!$G:$G,MATCH($A22,RawBits!$H:$H,0)),"")</f>
        <v>0</v>
      </c>
      <c r="D22" s="7">
        <v>1</v>
      </c>
      <c r="E22" s="7">
        <f t="shared" si="0"/>
        <v>0</v>
      </c>
    </row>
    <row r="23" spans="1:5">
      <c r="A23" s="7">
        <v>21</v>
      </c>
      <c r="B23" s="9">
        <f>IFERROR(INDEX(RawBits!$A:$A,MATCH($A23,RawBits!$H:$H,0)),"?")</f>
        <v>20</v>
      </c>
      <c r="C23" s="8">
        <f>IFERROR(INDEX(RawBits!$G:$G,MATCH($A23,RawBits!$H:$H,0)),"")</f>
        <v>1</v>
      </c>
      <c r="D23" s="7">
        <v>0</v>
      </c>
      <c r="E23" s="7">
        <f t="shared" si="0"/>
        <v>0</v>
      </c>
    </row>
    <row r="24" spans="1:5">
      <c r="A24" s="7">
        <v>22</v>
      </c>
      <c r="B24" s="9">
        <f>IFERROR(INDEX(RawBits!$A:$A,MATCH($A24,RawBits!$H:$H,0)),"?")</f>
        <v>21</v>
      </c>
      <c r="C24" s="8">
        <f>IFERROR(INDEX(RawBits!$G:$G,MATCH($A24,RawBits!$H:$H,0)),"")</f>
        <v>0</v>
      </c>
      <c r="D24" s="7">
        <v>1</v>
      </c>
      <c r="E24" s="7">
        <f t="shared" si="0"/>
        <v>0</v>
      </c>
    </row>
    <row r="25" spans="1:5">
      <c r="A25" s="7">
        <v>23</v>
      </c>
      <c r="B25" s="9">
        <f>IFERROR(INDEX(RawBits!$A:$A,MATCH($A25,RawBits!$H:$H,0)),"?")</f>
        <v>22</v>
      </c>
      <c r="C25" s="8">
        <f>IFERROR(INDEX(RawBits!$G:$G,MATCH($A25,RawBits!$H:$H,0)),"")</f>
        <v>0</v>
      </c>
      <c r="D25" s="7">
        <v>1</v>
      </c>
      <c r="E25" s="7">
        <f t="shared" si="0"/>
        <v>0</v>
      </c>
    </row>
    <row r="26" spans="1:5">
      <c r="A26" s="7">
        <v>24</v>
      </c>
      <c r="B26" s="9">
        <f>IFERROR(INDEX(RawBits!$A:$A,MATCH($A26,RawBits!$H:$H,0)),"?")</f>
        <v>23</v>
      </c>
      <c r="C26" s="8">
        <f>IFERROR(INDEX(RawBits!$G:$G,MATCH($A26,RawBits!$H:$H,0)),"")</f>
        <v>1</v>
      </c>
      <c r="D26" s="7">
        <v>0</v>
      </c>
      <c r="E26" s="7">
        <f t="shared" si="0"/>
        <v>0</v>
      </c>
    </row>
    <row r="27" spans="1:5">
      <c r="A27" s="7">
        <v>25</v>
      </c>
      <c r="B27" s="9">
        <f>IFERROR(INDEX(RawBits!$A:$A,MATCH($A27,RawBits!$H:$H,0)),"?")</f>
        <v>24</v>
      </c>
      <c r="C27" s="8">
        <f>IFERROR(INDEX(RawBits!$G:$G,MATCH($A27,RawBits!$H:$H,0)),"")</f>
        <v>0</v>
      </c>
      <c r="D27" s="7">
        <v>0</v>
      </c>
      <c r="E27" s="7">
        <f t="shared" si="0"/>
        <v>1</v>
      </c>
    </row>
    <row r="28" spans="1:5">
      <c r="A28" s="7">
        <v>26</v>
      </c>
      <c r="B28" s="9">
        <f>IFERROR(INDEX(RawBits!$A:$A,MATCH($A28,RawBits!$H:$H,0)),"?")</f>
        <v>25</v>
      </c>
      <c r="C28" s="8">
        <f>IFERROR(INDEX(RawBits!$G:$G,MATCH($A28,RawBits!$H:$H,0)),"")</f>
        <v>0</v>
      </c>
      <c r="D28" s="7">
        <v>1</v>
      </c>
      <c r="E28" s="7">
        <f t="shared" si="0"/>
        <v>0</v>
      </c>
    </row>
    <row r="29" spans="1:5">
      <c r="A29" s="7">
        <v>27</v>
      </c>
      <c r="B29" s="9">
        <f>IFERROR(INDEX(RawBits!$A:$A,MATCH($A29,RawBits!$H:$H,0)),"?")</f>
        <v>26</v>
      </c>
      <c r="C29" s="8">
        <f>IFERROR(INDEX(RawBits!$G:$G,MATCH($A29,RawBits!$H:$H,0)),"")</f>
        <v>1</v>
      </c>
      <c r="D29" s="7">
        <v>0</v>
      </c>
      <c r="E29" s="7">
        <f t="shared" si="0"/>
        <v>0</v>
      </c>
    </row>
    <row r="30" spans="1:5">
      <c r="A30" s="7">
        <v>28</v>
      </c>
      <c r="B30" s="9">
        <f>IFERROR(INDEX(RawBits!$A:$A,MATCH($A30,RawBits!$H:$H,0)),"?")</f>
        <v>27</v>
      </c>
      <c r="C30" s="8">
        <f>IFERROR(INDEX(RawBits!$G:$G,MATCH($A30,RawBits!$H:$H,0)),"")</f>
        <v>0</v>
      </c>
      <c r="D30" s="7">
        <v>1</v>
      </c>
      <c r="E30" s="7">
        <f t="shared" si="0"/>
        <v>0</v>
      </c>
    </row>
    <row r="31" spans="1:5">
      <c r="A31" s="7">
        <v>29</v>
      </c>
      <c r="B31" s="9">
        <f>IFERROR(INDEX(RawBits!$A:$A,MATCH($A31,RawBits!$H:$H,0)),"?")</f>
        <v>28</v>
      </c>
      <c r="C31" s="8">
        <f>IFERROR(INDEX(RawBits!$G:$G,MATCH($A31,RawBits!$H:$H,0)),"")</f>
        <v>1</v>
      </c>
      <c r="D31" s="7">
        <v>0</v>
      </c>
      <c r="E31" s="7">
        <f t="shared" si="0"/>
        <v>0</v>
      </c>
    </row>
    <row r="32" spans="1:5">
      <c r="A32" s="7">
        <v>30</v>
      </c>
      <c r="B32" s="9">
        <f>IFERROR(INDEX(RawBits!$A:$A,MATCH($A32,RawBits!$H:$H,0)),"?")</f>
        <v>29</v>
      </c>
      <c r="C32" s="8">
        <f>IFERROR(INDEX(RawBits!$G:$G,MATCH($A32,RawBits!$H:$H,0)),"")</f>
        <v>0</v>
      </c>
      <c r="D32" s="7">
        <v>0</v>
      </c>
      <c r="E32" s="7">
        <f t="shared" si="0"/>
        <v>1</v>
      </c>
    </row>
    <row r="33" spans="1:5">
      <c r="A33" s="7">
        <v>31</v>
      </c>
      <c r="B33" s="9">
        <f>IFERROR(INDEX(RawBits!$A:$A,MATCH($A33,RawBits!$H:$H,0)),"?")</f>
        <v>30</v>
      </c>
      <c r="C33" s="8">
        <f>IFERROR(INDEX(RawBits!$G:$G,MATCH($A33,RawBits!$H:$H,0)),"")</f>
        <v>0</v>
      </c>
      <c r="D33" s="7">
        <v>1</v>
      </c>
      <c r="E33" s="7">
        <f t="shared" si="0"/>
        <v>0</v>
      </c>
    </row>
    <row r="34" spans="1:5">
      <c r="A34" s="7">
        <v>32</v>
      </c>
      <c r="B34" s="9">
        <f>IFERROR(INDEX(RawBits!$A:$A,MATCH($A34,RawBits!$H:$H,0)),"?")</f>
        <v>31</v>
      </c>
      <c r="C34" s="8">
        <f>IFERROR(INDEX(RawBits!$G:$G,MATCH($A34,RawBits!$H:$H,0)),"")</f>
        <v>1</v>
      </c>
      <c r="D34" s="7">
        <v>1</v>
      </c>
      <c r="E34" s="7">
        <f t="shared" si="0"/>
        <v>1</v>
      </c>
    </row>
  </sheetData>
  <phoneticPr fontId="17" type="noConversion"/>
  <conditionalFormatting sqref="A3:E34">
    <cfRule type="expression" dxfId="5" priority="2">
      <formula>$E3=0</formula>
    </cfRule>
    <cfRule type="expression" dxfId="4" priority="3">
      <formula>$E3=1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A8B86-B42E-4032-BBF6-78B640269BB0}">
  <dimension ref="A1:L7"/>
  <sheetViews>
    <sheetView workbookViewId="0">
      <selection activeCell="C2" sqref="C2"/>
    </sheetView>
  </sheetViews>
  <sheetFormatPr defaultRowHeight="14.5"/>
  <cols>
    <col min="1" max="1" width="8.1796875" customWidth="1"/>
    <col min="2" max="2" width="16.36328125" customWidth="1"/>
    <col min="3" max="3" width="18.1796875" customWidth="1"/>
    <col min="5" max="5" width="36.36328125" customWidth="1"/>
  </cols>
  <sheetData>
    <row r="1" spans="1:12">
      <c r="A1" s="17" t="s">
        <v>29</v>
      </c>
      <c r="B1" s="17" t="s">
        <v>30</v>
      </c>
      <c r="C1" s="17" t="s">
        <v>31</v>
      </c>
      <c r="D1" s="17" t="s">
        <v>32</v>
      </c>
      <c r="E1" s="17" t="s">
        <v>33</v>
      </c>
      <c r="F1" s="17" t="s">
        <v>34</v>
      </c>
      <c r="G1" s="17" t="s">
        <v>35</v>
      </c>
      <c r="H1" s="17" t="s">
        <v>36</v>
      </c>
      <c r="I1" s="17" t="s">
        <v>37</v>
      </c>
      <c r="J1" s="17" t="s">
        <v>38</v>
      </c>
      <c r="K1" s="17" t="s">
        <v>39</v>
      </c>
      <c r="L1" s="17" t="s">
        <v>40</v>
      </c>
    </row>
    <row r="2" spans="1:12">
      <c r="A2" s="18">
        <v>1</v>
      </c>
      <c r="B2" s="18" t="str">
        <f>((A2-1)*8+1)&amp;"-"&amp;(A2*8)</f>
        <v>1-8</v>
      </c>
      <c r="C2" s="18" t="str">
        <f>Destuffed!C3&amp;Destuffed!C4&amp;Destuffed!C5&amp;Destuffed!C6&amp;Destuffed!C7&amp;Destuffed!C8&amp;Destuffed!C9&amp;Destuffed!C10</f>
        <v>11011111</v>
      </c>
      <c r="D2" s="18">
        <f>Destuffed!C3*128+Destuffed!C4*64+Destuffed!C5*32+Destuffed!C6*16+Destuffed!C7*8+Destuffed!C8*4+Destuffed!C9*2+Destuffed!C10*1</f>
        <v>223</v>
      </c>
      <c r="E2" s="18" t="s">
        <v>46</v>
      </c>
      <c r="F2" s="18">
        <v>3.2899999999999999E-2</v>
      </c>
      <c r="G2" s="18">
        <v>0</v>
      </c>
      <c r="H2" s="18" t="s">
        <v>41</v>
      </c>
      <c r="I2" s="19">
        <f>D2*F2+G2</f>
        <v>7.3366999999999996</v>
      </c>
      <c r="J2" s="20">
        <v>6</v>
      </c>
      <c r="K2" s="20">
        <v>8.4</v>
      </c>
      <c r="L2" s="18" t="str">
        <f>IF(AND(I2&gt;=J2,I2&lt;=K2),"合理","不合理")</f>
        <v>合理</v>
      </c>
    </row>
    <row r="3" spans="1:12">
      <c r="A3" s="18">
        <v>2</v>
      </c>
      <c r="B3" s="18" t="str">
        <f>((A3-1)*8+1)&amp;"-"&amp;(A3*8)</f>
        <v>9-16</v>
      </c>
      <c r="C3" s="18" t="str">
        <f>Destuffed!C11&amp;Destuffed!C12&amp;Destuffed!C13&amp;Destuffed!C14&amp;Destuffed!C15&amp;Destuffed!C16&amp;Destuffed!C17&amp;Destuffed!C18</f>
        <v>01011010</v>
      </c>
      <c r="D3" s="18">
        <f>Destuffed!C11*128+Destuffed!C12*64+Destuffed!C13*32+Destuffed!C14*16+Destuffed!C15*8+Destuffed!C16*4+Destuffed!C17*2+Destuffed!C18*1</f>
        <v>90</v>
      </c>
      <c r="E3" s="18" t="s">
        <v>47</v>
      </c>
      <c r="F3" s="18">
        <v>0.5</v>
      </c>
      <c r="G3" s="18">
        <v>-40</v>
      </c>
      <c r="H3" s="18" t="s">
        <v>42</v>
      </c>
      <c r="I3" s="19">
        <f>D3*F3+G3</f>
        <v>5</v>
      </c>
      <c r="J3" s="20">
        <v>-20</v>
      </c>
      <c r="K3" s="20">
        <v>60</v>
      </c>
      <c r="L3" s="18" t="str">
        <f>IF(AND(I3&gt;=J3,I3&lt;=K3),"合理","不合理")</f>
        <v>合理</v>
      </c>
    </row>
    <row r="4" spans="1:12">
      <c r="A4" s="18">
        <v>3</v>
      </c>
      <c r="B4" s="18" t="str">
        <f>((A4-1)*8+1)&amp;"-"&amp;(A4*8)</f>
        <v>17-24</v>
      </c>
      <c r="C4" s="18" t="str">
        <f>Destuffed!C19&amp;Destuffed!C20&amp;Destuffed!C21&amp;Destuffed!C22&amp;Destuffed!C23&amp;Destuffed!C24&amp;Destuffed!C25&amp;Destuffed!C26</f>
        <v>11001001</v>
      </c>
      <c r="D4" s="18">
        <f>Destuffed!C19*128+Destuffed!C20*64+Destuffed!C21*32+Destuffed!C22*16+Destuffed!C23*8+Destuffed!C24*4+Destuffed!C25*2+Destuffed!C26*1</f>
        <v>201</v>
      </c>
      <c r="E4" s="18" t="s">
        <v>48</v>
      </c>
      <c r="F4" s="18">
        <v>10</v>
      </c>
      <c r="G4" s="18">
        <v>0</v>
      </c>
      <c r="H4" s="18" t="s">
        <v>43</v>
      </c>
      <c r="I4" s="19">
        <f>D4*F4+G4</f>
        <v>2010</v>
      </c>
      <c r="J4" s="20">
        <v>0</v>
      </c>
      <c r="K4" s="20">
        <v>2000</v>
      </c>
      <c r="L4" s="18" t="str">
        <f>IF(AND(I4&gt;=J4,I4&lt;=K4),"合理","不合理")</f>
        <v>不合理</v>
      </c>
    </row>
    <row r="5" spans="1:12">
      <c r="A5" s="18">
        <v>4</v>
      </c>
      <c r="B5" s="18" t="str">
        <f>((A5-1)*8+1)&amp;"-"&amp;(A5*8)</f>
        <v>25-32</v>
      </c>
      <c r="C5" s="18" t="str">
        <f>Destuffed!C27&amp;Destuffed!C28&amp;Destuffed!C29&amp;Destuffed!C30&amp;Destuffed!C31&amp;Destuffed!C32&amp;Destuffed!C33&amp;Destuffed!C34</f>
        <v>00101001</v>
      </c>
      <c r="D5" s="18">
        <f>Destuffed!C27*128+Destuffed!C28*64+Destuffed!C29*32+Destuffed!C30*16+Destuffed!C31*8+Destuffed!C32*4+Destuffed!C33*2+Destuffed!C34*1</f>
        <v>41</v>
      </c>
      <c r="E5" s="18" t="s">
        <v>49</v>
      </c>
      <c r="F5" s="18">
        <v>1</v>
      </c>
      <c r="G5" s="18">
        <v>-128</v>
      </c>
      <c r="H5" s="18" t="s">
        <v>44</v>
      </c>
      <c r="I5" s="19">
        <f>D5*F5+G5</f>
        <v>-87</v>
      </c>
      <c r="J5" s="20">
        <v>-100</v>
      </c>
      <c r="K5" s="20">
        <v>-30</v>
      </c>
      <c r="L5" s="18" t="str">
        <f>IF(AND(I5&gt;=J5,I5&lt;=K5),"合理","不合理")</f>
        <v>合理</v>
      </c>
    </row>
    <row r="7" spans="1:12">
      <c r="A7" s="16" t="s">
        <v>45</v>
      </c>
    </row>
  </sheetData>
  <phoneticPr fontId="17" type="noConversion"/>
  <conditionalFormatting sqref="L2:L5">
    <cfRule type="expression" priority="1"/>
  </conditionalFormatting>
  <conditionalFormatting sqref="L2:L5">
    <cfRule type="containsText" dxfId="3" priority="2" operator="containsText" text="合理">
      <formula>NOT(ISERROR(SEARCH("合理",L2)))</formula>
    </cfRule>
  </conditionalFormatting>
  <conditionalFormatting sqref="L2:L5">
    <cfRule type="containsText" dxfId="2" priority="3" operator="containsText" text="不合理">
      <formula>NOT(ISERROR(SEARCH("不合理",L2)))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使用說明</vt:lpstr>
      <vt:lpstr>RawBits</vt:lpstr>
      <vt:lpstr>Destuffed</vt:lpstr>
      <vt:lpstr>Telemetry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0</cp:revision>
  <dcterms:created xsi:type="dcterms:W3CDTF">2026-08-01T02:55:14Z</dcterms:created>
  <dcterms:modified xsi:type="dcterms:W3CDTF">2026-08-03T04:55:28Z</dcterms:modified>
  <dc:language>en-US</dc:language>
</cp:coreProperties>
</file>