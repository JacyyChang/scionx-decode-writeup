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用說明" sheetId="1" state="visible" r:id="rId1"/>
    <sheet name="RawBits" sheetId="2" state="visible" r:id="rId2"/>
    <sheet name="_DestuffedBits" sheetId="3" state="visible" r:id="rId3"/>
    <sheet name="Beacon Decode" sheetId="4" state="visible" r:id="rId4"/>
    <sheet name="CRC_Check" sheetId="5" state="visible" r:id="rId5"/>
    <sheet name="Fields" sheetId="6" state="hidden"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font>
    <font>
      <color rgb="FFCC0000"/>
    </font>
    <font>
      <name val="Consolas"/>
    </font>
  </fonts>
  <fills count="10">
    <fill>
      <patternFill/>
    </fill>
    <fill>
      <patternFill patternType="gray125"/>
    </fill>
    <fill>
      <patternFill patternType="solid">
        <fgColor rgb="FFDCE9F5"/>
      </patternFill>
    </fill>
    <fill>
      <patternFill patternType="solid">
        <fgColor rgb="FFDCEAF7"/>
      </patternFill>
    </fill>
    <fill>
      <patternFill patternType="solid">
        <fgColor rgb="FFFDEBD3"/>
      </patternFill>
    </fill>
    <fill>
      <patternFill patternType="solid">
        <fgColor rgb="FFFFF3B0"/>
      </patternFill>
    </fill>
    <fill>
      <patternFill patternType="solid">
        <fgColor rgb="FFECECEC"/>
      </patternFill>
    </fill>
    <fill>
      <patternFill patternType="solid">
        <fgColor rgb="FFFBE0E0"/>
      </patternFill>
    </fill>
    <fill>
      <patternFill patternType="solid">
        <fgColor rgb="FFE1E1E1"/>
      </patternFill>
    </fill>
    <fill>
      <patternFill patternType="solid">
        <fgColor rgb="FFE6DFF7"/>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3" fillId="0" borderId="0" pivotButton="0" quotePrefix="0" xfId="0"/>
    <xf numFmtId="0" fontId="0" fillId="3" borderId="0" pivotButton="0" quotePrefix="0" xfId="0"/>
    <xf numFmtId="0" fontId="4" fillId="3" borderId="0" pivotButton="0" quotePrefix="0" xfId="0"/>
    <xf numFmtId="0" fontId="0" fillId="4" borderId="0" pivotButton="0" quotePrefix="0" xfId="0"/>
    <xf numFmtId="0" fontId="4" fillId="4" borderId="0" pivotButton="0" quotePrefix="0" xfId="0"/>
    <xf numFmtId="0" fontId="0" fillId="5" borderId="0" pivotButton="0" quotePrefix="0" xfId="0"/>
    <xf numFmtId="0" fontId="4" fillId="5" borderId="0" pivotButton="0" quotePrefix="0" xfId="0"/>
    <xf numFmtId="0" fontId="0" fillId="6" borderId="0" pivotButton="0" quotePrefix="0" xfId="0"/>
    <xf numFmtId="0" fontId="4" fillId="6" borderId="0" pivotButton="0" quotePrefix="0" xfId="0"/>
    <xf numFmtId="0" fontId="0" fillId="7" borderId="0" pivotButton="0" quotePrefix="0" xfId="0"/>
    <xf numFmtId="0" fontId="4" fillId="7" borderId="0" pivotButton="0" quotePrefix="0" xfId="0"/>
    <xf numFmtId="0" fontId="0" fillId="8" borderId="0" pivotButton="0" quotePrefix="0" xfId="0"/>
    <xf numFmtId="0" fontId="4" fillId="8" borderId="0" pivotButton="0" quotePrefix="0" xfId="0"/>
    <xf numFmtId="0" fontId="0" fillId="9" borderId="0" pivotButton="0" quotePrefix="0" xfId="0"/>
    <xf numFmtId="0" fontId="4" fillId="9" borderId="0" pivotButton="0" quotePrefix="0" xfId="0"/>
    <xf numFmtId="0" fontId="2" fillId="0" borderId="0" pivotButton="0" quotePrefix="0" xfId="0"/>
  </cellXfs>
  <cellStyles count="1">
    <cellStyle name="Normal" xfId="0" builtinId="0" hidden="0"/>
  </cellStyles>
  <dxfs count="8">
    <dxf>
      <fill>
        <patternFill patternType="solid">
          <bgColor rgb="FFFFF2A8"/>
        </patternFill>
      </fill>
    </dxf>
    <dxf>
      <fill>
        <patternFill patternType="solid">
          <bgColor rgb="FFDCEAF7"/>
        </patternFill>
      </fill>
    </dxf>
    <dxf>
      <fill>
        <patternFill patternType="solid">
          <bgColor rgb="FFFDEBD3"/>
        </patternFill>
      </fill>
    </dxf>
    <dxf>
      <fill>
        <patternFill patternType="solid">
          <bgColor rgb="FFECECEC"/>
        </patternFill>
      </fill>
    </dxf>
    <dxf>
      <fill>
        <patternFill patternType="solid">
          <bgColor rgb="FFFBE0E0"/>
        </patternFill>
      </fill>
    </dxf>
    <dxf>
      <fill>
        <patternFill patternType="solid">
          <bgColor rgb="FFE1E1E1"/>
        </patternFill>
      </fill>
    </dxf>
    <dxf>
      <fill>
        <patternFill patternType="solid">
          <bgColor rgb="FFE6DFF7"/>
        </patternFill>
      </fill>
    </dxf>
    <dxf>
      <fill>
        <patternFill patternType="solid">
          <bgColor rgb="FFDFF3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c r="A1" s="1" t="inlineStr">
        <is>
          <t>SCIONX Destuff 互動練習 -- 真實 Frame 版 ver2 實驗版 (延伸自 scionx_destuff_demo.xlsx 的機制，跟 04d_destuff_interactive.py 主版本平行比較用)</t>
        </is>
      </c>
    </row>
    <row r="2">
      <c r="A2" s="2" t="inlineStr"/>
    </row>
    <row r="3">
      <c r="A3" s="2" t="inlineStr">
        <is>
          <t>這份檔案把 scionx_destuff_demo.xlsx 驗證過的機制（RawBits 下拉選單 destuff/flip -&gt; 其他分頁即時連動）套用到 cut_first3.ogg 真實訊號解出的 Frame #2，共 2240 個原始判決 bit（不含結尾額外顯示的 40 bit）。</t>
        </is>
      </c>
    </row>
    <row r="4">
      <c r="A4" s="2" t="inlineStr"/>
    </row>
    <row r="5">
      <c r="A5" s="2" t="inlineStr">
        <is>
          <t>這是 04d_destuff_interactive_ver2.py 產生的檔案，跟主版本 04d_destuff_interactive.py （輸出檔名沒有 _ver2）內容大部分一樣，差別只在下面 ver2 專屬的第 5、6 點 -- 兩個檔案可以同時開著比較。</t>
        </is>
      </c>
    </row>
    <row r="6">
      <c r="A6" s="2" t="inlineStr"/>
    </row>
    <row r="7">
      <c r="A7" s="2" t="inlineStr">
        <is>
          <t>改動（相對於最早的手動 demo 版）：</t>
        </is>
      </c>
    </row>
    <row r="8">
      <c r="A8" s="2" t="inlineStr">
        <is>
          <t>1. ExcludeThisBit / FlipThisBit 這兩欄現在全部預設 No，不再由程式先猜答案 -- 要 destuff/flip 哪個 bit，完全由你自己判斷、手動勾選。</t>
        </is>
      </c>
    </row>
    <row r="9">
      <c r="A9" s="2" t="inlineStr">
        <is>
          <t>2. LowConfidence、CandidateStuffPoint 這兩欄，只要是 Yes 就用紅字標出來（這兩欄是根據這一列固定的採樣點/RawBitValue 算的，不會因為你調整別的列而變動）。</t>
        </is>
      </c>
    </row>
    <row r="10">
      <c r="A10" s="2" t="inlineStr">
        <is>
          <t>3. 拿掉 Destuffed、Bytes_Hex 兩個分頁（比對介面太雜，容易搞混）。CRC_Check 保留。</t>
        </is>
      </c>
    </row>
    <row r="11">
      <c r="A11" s="2" t="inlineStr">
        <is>
          <t>4. 新增 Beacon Decode 分頁，樣式跟舊的 cut_first3_frame2_beacon_decode.xlsx 一樣（Subsystem/ItemName/OffsetBit/BitLen/Bits/ReadableValue/LookupTable，同欄位的 bit 合併成一列），會隨你在 RawBits 的調整即時連動。</t>
        </is>
      </c>
    </row>
    <row r="12">
      <c r="A12" s="2" t="inlineStr">
        <is>
          <t>5.（ver2 專屬實驗）_DestuffedBits 分頁改成不隱藏，直接放在 RawBits 右邊。這是「移位後的壓縮序列」本尊：Position 欄永遠代表『目前存活的第幾個 bit』，你在 RawBits 排除一個 bit 後，後面所有 Position 對應到的 RawBits 來源列（B欄 SourceRawBitIndex）跟數值都會往前挪一格 -- 這是跟 RawBits 本身『每列固定代表一個採樣點、Subsystem/ItemName/ReadableValue 隨 DestuffedSeqNo 查表變動』相反的呈現方式，同一份資料兩種看法，可以互相對照。D/E 欄（Subsystem/ItemName）是額外加的，純粹讓你在看數值滑動時知道滑到哪個欄位了。</t>
        </is>
      </c>
    </row>
    <row r="13">
      <c r="A13" s="2" t="inlineStr">
        <is>
          <t>6.（ver2 專屬）header 區段的邊界從 14 bytes 修正成 16 bytes（含 Control+PID），跟 Beacon Decode 的 HEADER 四列對齊。</t>
        </is>
      </c>
    </row>
    <row r="14">
      <c r="A14" s="2" t="inlineStr">
        <is>
          <t>7.（ver2 專屬實驗）RawBits 的整列背景色改成用 Excel 條件式格式設定即時算，不再是產生檔案當下就寫死的固定色：ExcludeThisBit=Yes 的列會整列變黃色（優先權最高，一眼就能看出你已經處理過哪些列）；其餘列的顏色跟著 I 欄 SegmentGuess 走 -- 而 SegmentGuess 本身現在也是活公式，根據這一列『當下』的 H 欄（DestuffedSeqNo）落在哪個結構段（address/data1/zero-run1/data2/zero-run2/FCS/trailing）決定，跟 J~M 欄同一套邏輯。結果就是：你在前面排除一個 bit 之後，後面每一列的『顏色』會跟著『欄位名稱』一起往前移動一格，不是只有文字變、顏色沒動。你還沒排除任何東西之前，顏色顯示的是『假設完全沒 destuff』的樸素結構猜測（跟 J~M 欄一開始的行為一樣），這是預期行為，不是 bug。</t>
        </is>
      </c>
    </row>
    <row r="15">
      <c r="A15" s="2" t="inlineStr"/>
    </row>
    <row r="16">
      <c r="A16" s="2" t="inlineStr">
        <is>
          <t>比對用的參考資料是 REFERENCE_FRAME.md 的 272-byte 地面測試封包（同一顆衛星的另一次下傳）。根據 CLAUDE.md 的規則：header（Dest/Src address + Control + PID，前 16 bytes）以及 Info 欄位裡的長段全零 padding，在任何一次下傳中理論上都應該相同；但 Info 欄位裡真正的遙測數值（data1/data2 兩段）每個 frame 都不一樣，這份參考資料涵蓋 1320 bit 的 header/zero-run，另外 872 bit 的 telemetry 沒有真值可比對，只能靠 CRC_Check 驗證。這份參考資料目前只用在：(a) 內部訊號判決時決定 zero-run 段要用哪一種門檻規則（RawBits 的 SegmentGuess 欄），(b) 對齊 offset 的小範圍搜尋。不會用來預先決定你的 ExcludeThisBit / FlipThisBit。</t>
        </is>
      </c>
    </row>
    <row r="17">
      <c r="A17" s="2" t="inlineStr"/>
    </row>
    <row r="18">
      <c r="A18" s="2" t="inlineStr">
        <is>
          <t>RawBits 對齊offset：程式對 -16~+16 bit 做了小範圍搜尋，目前資料最佳對齊為 offset=+0（REFERENCE_FRAME.md 的『Correction』一節說 frame#2 應該是 offset=0；這裡是重新算一次，不是照抄那個結論）。</t>
        </is>
      </c>
    </row>
    <row r="19">
      <c r="A19" s="2" t="inlineStr"/>
    </row>
    <row r="20">
      <c r="A20" s="2" t="inlineStr">
        <is>
          <t>分頁說明：</t>
        </is>
      </c>
    </row>
    <row r="21">
      <c r="A21" s="2" t="inlineStr">
        <is>
          <t>1. RawBits：每一列一個原始判決 bit。B=RawBitValue（訊號量出來的 0/1，不可編輯）、C=LowConfidence（|y-theta*|在門檻內、接近判決線 -- Yes 時紅字）、D=CandidateStuffPoint（公式偵測：B 欄裡，前面剛好連續 5 個 1 -- Yes 時紅字。注意這是純粹依照『目前 RawBitValue 的 0/1 排列』算出來的，不是依照參考序列算的，所以有時候你會看到某個位置『看起來』該是 stuff bit（I 欄 SegmentGuess=stuff），但因為前面剛好有個 bit 被判成 0 而不是 1，連續 5 個 1 的條件沒達成，D 欄就不會是 Yes -- 這種落差本身就是訊號有低信心 bit 的線索，值得對照 C 欄一起看）、E=ExcludeThisBit（**下拉選單，預設 No** -- 你判斷這個 bit 是 stuffing 插入的就改 Yes，destuff 時會被移除）、F=FlipThisBit（**下拉選單，預設 No** -- 你判斷這是判決錯誤就改 Yes，反轉 0/1）、G=EffectiveBitValue（=IF(F=Yes,1-B,B)）、H=DestuffedSeqNo（排除 E=Yes 的 bit 後，這個 bit 在去除 stuffing 序列裡排第幾號，後面幾個分頁都是靠這欄位對齊/連動的）、I=SegmentGuess（這個位置對應到哪個結構段：header/data1/zero-run1/data2/zero-run2/FCS/stuff/trailing -- 是依照參考序列算好寫死的參考資訊，不會隨你調整 E/F 重算，純粹讓你知道『這裡大概是什麼』）、J=Subsystem、K=ItemName（這個 bit 屬於 SCIONX_TLMnew.xlsx 哪一個遙測欄位 -- 只有落在 Info 欄位範圍內的 bit 才有值，header/FCS/stuff/結尾多顯示的幾個 bit 這兩欄是空的）、L=ReadableValue（該欄位『目前』解出來的值，活公式，隨你調整同一欄位任何一個 bit 的 E/F 即時變動，可以用來判斷這次調整合不合理，例如電壓/電流欄位變成負值或超大值通常代表調錯了）、M=LookupTable（enum 對照表或 scale/unit 換算說明，同一欄位每個 bit 都顯示同樣內容）。</t>
        </is>
      </c>
    </row>
    <row r="22">
      <c r="A22" s="2" t="inlineStr">
        <is>
          <t>2. CRC_Check：把目前 destuff 完的 payload bits（前 2176 bit = 272 bytes）用 Excel 的 BITAND/BITXOR/BITRSHIFT 公式即時算 CRC-16/X.25（跟 scionx/hdlc.py 的 crc16_x25 演算法一致，逐 bit 版本），和訊號解出來的 FCS（最後 16 bit）比對，即時顯示 PASS/FAIL -- 這是唯一涵蓋整個 272-byte payload（包含 telemetry）的檢查，PASS 才代表這個 frame 真的解對了。</t>
        </is>
      </c>
    </row>
    <row r="23">
      <c r="A23" s="2" t="inlineStr">
        <is>
          <t>3. Beacon Decode：跟舊版 cut_first3_frame2_beacon_decode.xlsx 一樣的欄位配置（Subsystem/ItemName/OffsetBit/BitLen/Bits/ReadableValue/LookupTable），同一個欄位的所有 bit 合併成一列顯示，比 RawBits 逐 bit看更容易抓整體脈絡；Bits/ReadableValue 都是活公式，隨 RawBits 的調整即時連動。</t>
        </is>
      </c>
    </row>
    <row r="24">
      <c r="A24" s="2" t="inlineStr"/>
    </row>
    <row r="25">
      <c r="A25" s="2" t="inlineStr">
        <is>
          <t>建議操作方式：先看 RawBits 的 C/D 兩欄紅字（低信心 / 候選 stuff 點），配合 I 欄 SegmentGuess 判斷這個位置『應該』是什麼，自己決定 E/F 要不要改成 Yes；改完可以切到 Beacon Decode 分頁看對應欄位的 ReadableValue 合不合理，最終目標是讓 CRC_Check 顯示 PASS。</t>
        </is>
      </c>
    </row>
    <row r="26">
      <c r="A26" s="2" t="inlineStr"/>
    </row>
    <row r="27">
      <c r="A27" s="2" t="inlineStr">
        <is>
          <t>效能提醒：這個檔案有兩千多列公式，Excel 開啟、或每次改動下拉選單重新計算，都會比 demo 檔慢一點，屬正常現象。另外有兩個分頁（_DestuffedBits、Fields）被隱藏了，是內部串接用的輔助分頁（RawBits/Beacon Decode/CRC_Check 都是靠它們對齊資料），好奇可以在分頁標籤按右鍵「取消隱藏」看，但不需要去動裡面的內容。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4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8" customWidth="1" min="4" max="4"/>
    <col width="15" customWidth="1" min="5" max="5"/>
    <col width="13" customWidth="1" min="6" max="6"/>
    <col width="16" customWidth="1" min="7" max="7"/>
    <col width="15" customWidth="1" min="8" max="8"/>
    <col width="12" customWidth="1" min="9" max="9"/>
    <col width="12" customWidth="1" min="10" max="10"/>
    <col width="30" customWidth="1" min="11" max="11"/>
    <col width="18" customWidth="1" min="12" max="12"/>
    <col width="46" customWidth="1" min="13" max="13"/>
  </cols>
  <sheetData>
    <row r="1">
      <c r="A1" s="3" t="inlineStr">
        <is>
          <t>BitIndex</t>
        </is>
      </c>
      <c r="B1" s="3" t="inlineStr">
        <is>
          <t>RawBitValue</t>
        </is>
      </c>
      <c r="C1" s="3" t="inlineStr">
        <is>
          <t>LowConfidence</t>
        </is>
      </c>
      <c r="D1" s="3" t="inlineStr">
        <is>
          <t>CandidateStuffPoint</t>
        </is>
      </c>
      <c r="E1" s="3" t="inlineStr">
        <is>
          <t>ExcludeThisBit</t>
        </is>
      </c>
      <c r="F1" s="3" t="inlineStr">
        <is>
          <t>FlipThisBit</t>
        </is>
      </c>
      <c r="G1" s="3" t="inlineStr">
        <is>
          <t>EffectiveBitValue</t>
        </is>
      </c>
      <c r="H1" s="3" t="inlineStr">
        <is>
          <t>DestuffedSeqNo</t>
        </is>
      </c>
      <c r="I1" s="3" t="inlineStr">
        <is>
          <t>SegmentGuess</t>
        </is>
      </c>
      <c r="J1" s="3" t="inlineStr">
        <is>
          <t>Subsystem</t>
        </is>
      </c>
      <c r="K1" s="3" t="inlineStr">
        <is>
          <t>ItemName</t>
        </is>
      </c>
      <c r="L1" s="3" t="inlineStr">
        <is>
          <t>ReadableValue</t>
        </is>
      </c>
      <c r="M1" s="3" t="inlineStr">
        <is>
          <t>LookupTable</t>
        </is>
      </c>
    </row>
    <row r="2">
      <c r="A2" t="n">
        <v>0</v>
      </c>
      <c r="B2" t="n">
        <v>0</v>
      </c>
      <c r="C2" t="inlineStr">
        <is>
          <t>No</t>
        </is>
      </c>
      <c r="D2" t="inlineStr"/>
      <c r="E2" t="inlineStr">
        <is>
          <t>No</t>
        </is>
      </c>
      <c r="F2" t="inlineStr">
        <is>
          <t>No</t>
        </is>
      </c>
      <c r="G2">
        <f>IF(F2="Yes",1-B2,B2)</f>
        <v/>
      </c>
      <c r="H2">
        <f>IF(E2="Yes","",COUNTIFS($E$2:E2,"No"))</f>
        <v/>
      </c>
      <c r="I2">
        <f>IF(H2="","",IF(H2&lt;=128,"address",IF(H2&lt;=600,"data1",IF(H2&lt;=1264,"zero-run1",IF(H2&lt;=1648,"data2",IF(H2&lt;=2176,"zero-run2",IF(H2&lt;=2192,"FCS","trailing")))))))</f>
        <v/>
      </c>
      <c r="J2">
        <f>IFERROR(IF(AND(H2&lt;&gt;"",H2&gt;=129,H2&lt;=2176),INDEX(Fields!$B$2:$B$206,MATCH(H2-129,Fields!$D$2:$D$206,1)),""),"")</f>
        <v/>
      </c>
      <c r="K2">
        <f>IFERROR(IF(AND(H2&lt;&gt;"",H2&gt;=129,H2&lt;=2176),INDEX(Fields!$C$2:$C$206,MATCH(H2-129,Fields!$D$2:$D$206,1)),""),"")</f>
        <v/>
      </c>
      <c r="L2">
        <f>IFERROR(IF(AND(H2&lt;&gt;"",H2&gt;=129,H2&lt;=2176),INDEX(Fields!$J$2:$J$206,MATCH(H2-129,Fields!$D$2:$D$206,1)),""),"")</f>
        <v/>
      </c>
      <c r="M2">
        <f>IFERROR(IF(AND(H2&lt;&gt;"",H2&gt;=129,H2&lt;=2176),INDEX(Fields!$K$2:$K$206,MATCH(H2-129,Fields!$D$2:$D$206,1)),""),"")</f>
        <v/>
      </c>
    </row>
    <row r="3">
      <c r="A3" t="n">
        <v>1</v>
      </c>
      <c r="B3" t="n">
        <v>0</v>
      </c>
      <c r="C3" t="inlineStr">
        <is>
          <t>No</t>
        </is>
      </c>
      <c r="D3" t="inlineStr"/>
      <c r="E3" t="inlineStr">
        <is>
          <t>No</t>
        </is>
      </c>
      <c r="F3" t="inlineStr">
        <is>
          <t>No</t>
        </is>
      </c>
      <c r="G3">
        <f>IF(F3="Yes",1-B3,B3)</f>
        <v/>
      </c>
      <c r="H3">
        <f>IF(E3="Yes","",COUNTIFS($E$2:E3,"No"))</f>
        <v/>
      </c>
      <c r="I3">
        <f>IF(H3="","",IF(H3&lt;=128,"address",IF(H3&lt;=600,"data1",IF(H3&lt;=1264,"zero-run1",IF(H3&lt;=1648,"data2",IF(H3&lt;=2176,"zero-run2",IF(H3&lt;=2192,"FCS","trailing")))))))</f>
        <v/>
      </c>
      <c r="J3">
        <f>IFERROR(IF(AND(H3&lt;&gt;"",H3&gt;=129,H3&lt;=2176),INDEX(Fields!$B$2:$B$206,MATCH(H3-129,Fields!$D$2:$D$206,1)),""),"")</f>
        <v/>
      </c>
      <c r="K3">
        <f>IFERROR(IF(AND(H3&lt;&gt;"",H3&gt;=129,H3&lt;=2176),INDEX(Fields!$C$2:$C$206,MATCH(H3-129,Fields!$D$2:$D$206,1)),""),"")</f>
        <v/>
      </c>
      <c r="L3">
        <f>IFERROR(IF(AND(H3&lt;&gt;"",H3&gt;=129,H3&lt;=2176),INDEX(Fields!$J$2:$J$206,MATCH(H3-129,Fields!$D$2:$D$206,1)),""),"")</f>
        <v/>
      </c>
      <c r="M3">
        <f>IFERROR(IF(AND(H3&lt;&gt;"",H3&gt;=129,H3&lt;=2176),INDEX(Fields!$K$2:$K$206,MATCH(H3-129,Fields!$D$2:$D$206,1)),""),"")</f>
        <v/>
      </c>
    </row>
    <row r="4">
      <c r="A4" t="n">
        <v>2</v>
      </c>
      <c r="B4" t="n">
        <v>1</v>
      </c>
      <c r="C4" t="inlineStr">
        <is>
          <t>No</t>
        </is>
      </c>
      <c r="D4" t="inlineStr"/>
      <c r="E4" t="inlineStr">
        <is>
          <t>No</t>
        </is>
      </c>
      <c r="F4" t="inlineStr">
        <is>
          <t>No</t>
        </is>
      </c>
      <c r="G4">
        <f>IF(F4="Yes",1-B4,B4)</f>
        <v/>
      </c>
      <c r="H4">
        <f>IF(E4="Yes","",COUNTIFS($E$2:E4,"No"))</f>
        <v/>
      </c>
      <c r="I4">
        <f>IF(H4="","",IF(H4&lt;=128,"address",IF(H4&lt;=600,"data1",IF(H4&lt;=1264,"zero-run1",IF(H4&lt;=1648,"data2",IF(H4&lt;=2176,"zero-run2",IF(H4&lt;=2192,"FCS","trailing")))))))</f>
        <v/>
      </c>
      <c r="J4">
        <f>IFERROR(IF(AND(H4&lt;&gt;"",H4&gt;=129,H4&lt;=2176),INDEX(Fields!$B$2:$B$206,MATCH(H4-129,Fields!$D$2:$D$206,1)),""),"")</f>
        <v/>
      </c>
      <c r="K4">
        <f>IFERROR(IF(AND(H4&lt;&gt;"",H4&gt;=129,H4&lt;=2176),INDEX(Fields!$C$2:$C$206,MATCH(H4-129,Fields!$D$2:$D$206,1)),""),"")</f>
        <v/>
      </c>
      <c r="L4">
        <f>IFERROR(IF(AND(H4&lt;&gt;"",H4&gt;=129,H4&lt;=2176),INDEX(Fields!$J$2:$J$206,MATCH(H4-129,Fields!$D$2:$D$206,1)),""),"")</f>
        <v/>
      </c>
      <c r="M4">
        <f>IFERROR(IF(AND(H4&lt;&gt;"",H4&gt;=129,H4&lt;=2176),INDEX(Fields!$K$2:$K$206,MATCH(H4-129,Fields!$D$2:$D$206,1)),""),"")</f>
        <v/>
      </c>
    </row>
    <row r="5">
      <c r="A5" t="n">
        <v>3</v>
      </c>
      <c r="B5" t="n">
        <v>0</v>
      </c>
      <c r="C5" t="inlineStr">
        <is>
          <t>No</t>
        </is>
      </c>
      <c r="D5" t="inlineStr"/>
      <c r="E5" t="inlineStr">
        <is>
          <t>No</t>
        </is>
      </c>
      <c r="F5" t="inlineStr">
        <is>
          <t>No</t>
        </is>
      </c>
      <c r="G5">
        <f>IF(F5="Yes",1-B5,B5)</f>
        <v/>
      </c>
      <c r="H5">
        <f>IF(E5="Yes","",COUNTIFS($E$2:E5,"No"))</f>
        <v/>
      </c>
      <c r="I5">
        <f>IF(H5="","",IF(H5&lt;=128,"address",IF(H5&lt;=600,"data1",IF(H5&lt;=1264,"zero-run1",IF(H5&lt;=1648,"data2",IF(H5&lt;=2176,"zero-run2",IF(H5&lt;=2192,"FCS","trailing")))))))</f>
        <v/>
      </c>
      <c r="J5">
        <f>IFERROR(IF(AND(H5&lt;&gt;"",H5&gt;=129,H5&lt;=2176),INDEX(Fields!$B$2:$B$206,MATCH(H5-129,Fields!$D$2:$D$206,1)),""),"")</f>
        <v/>
      </c>
      <c r="K5">
        <f>IFERROR(IF(AND(H5&lt;&gt;"",H5&gt;=129,H5&lt;=2176),INDEX(Fields!$C$2:$C$206,MATCH(H5-129,Fields!$D$2:$D$206,1)),""),"")</f>
        <v/>
      </c>
      <c r="L5">
        <f>IFERROR(IF(AND(H5&lt;&gt;"",H5&gt;=129,H5&lt;=2176),INDEX(Fields!$J$2:$J$206,MATCH(H5-129,Fields!$D$2:$D$206,1)),""),"")</f>
        <v/>
      </c>
      <c r="M5">
        <f>IFERROR(IF(AND(H5&lt;&gt;"",H5&gt;=129,H5&lt;=2176),INDEX(Fields!$K$2:$K$206,MATCH(H5-129,Fields!$D$2:$D$206,1)),""),"")</f>
        <v/>
      </c>
    </row>
    <row r="6">
      <c r="A6" t="n">
        <v>4</v>
      </c>
      <c r="B6" t="n">
        <v>0</v>
      </c>
      <c r="C6" s="4" t="inlineStr">
        <is>
          <t>Yes</t>
        </is>
      </c>
      <c r="D6" t="inlineStr"/>
      <c r="E6" t="inlineStr">
        <is>
          <t>No</t>
        </is>
      </c>
      <c r="F6" t="inlineStr">
        <is>
          <t>No</t>
        </is>
      </c>
      <c r="G6">
        <f>IF(F6="Yes",1-B6,B6)</f>
        <v/>
      </c>
      <c r="H6">
        <f>IF(E6="Yes","",COUNTIFS($E$2:E6,"No"))</f>
        <v/>
      </c>
      <c r="I6">
        <f>IF(H6="","",IF(H6&lt;=128,"address",IF(H6&lt;=600,"data1",IF(H6&lt;=1264,"zero-run1",IF(H6&lt;=1648,"data2",IF(H6&lt;=2176,"zero-run2",IF(H6&lt;=2192,"FCS","trailing")))))))</f>
        <v/>
      </c>
      <c r="J6">
        <f>IFERROR(IF(AND(H6&lt;&gt;"",H6&gt;=129,H6&lt;=2176),INDEX(Fields!$B$2:$B$206,MATCH(H6-129,Fields!$D$2:$D$206,1)),""),"")</f>
        <v/>
      </c>
      <c r="K6">
        <f>IFERROR(IF(AND(H6&lt;&gt;"",H6&gt;=129,H6&lt;=2176),INDEX(Fields!$C$2:$C$206,MATCH(H6-129,Fields!$D$2:$D$206,1)),""),"")</f>
        <v/>
      </c>
      <c r="L6">
        <f>IFERROR(IF(AND(H6&lt;&gt;"",H6&gt;=129,H6&lt;=2176),INDEX(Fields!$J$2:$J$206,MATCH(H6-129,Fields!$D$2:$D$206,1)),""),"")</f>
        <v/>
      </c>
      <c r="M6">
        <f>IFERROR(IF(AND(H6&lt;&gt;"",H6&gt;=129,H6&lt;=2176),INDEX(Fields!$K$2:$K$206,MATCH(H6-129,Fields!$D$2:$D$206,1)),""),"")</f>
        <v/>
      </c>
    </row>
    <row r="7">
      <c r="A7" t="n">
        <v>5</v>
      </c>
      <c r="B7" t="n">
        <v>0</v>
      </c>
      <c r="C7" t="inlineStr">
        <is>
          <t>No</t>
        </is>
      </c>
      <c r="D7">
        <f>IF(AND(B2=1,B3=1,B4=1,B5=1,B6=1),"Yes","")</f>
        <v/>
      </c>
      <c r="E7" t="inlineStr">
        <is>
          <t>No</t>
        </is>
      </c>
      <c r="F7" t="inlineStr">
        <is>
          <t>No</t>
        </is>
      </c>
      <c r="G7">
        <f>IF(F7="Yes",1-B7,B7)</f>
        <v/>
      </c>
      <c r="H7">
        <f>IF(E7="Yes","",COUNTIFS($E$2:E7,"No"))</f>
        <v/>
      </c>
      <c r="I7">
        <f>IF(H7="","",IF(H7&lt;=128,"address",IF(H7&lt;=600,"data1",IF(H7&lt;=1264,"zero-run1",IF(H7&lt;=1648,"data2",IF(H7&lt;=2176,"zero-run2",IF(H7&lt;=2192,"FCS","trailing")))))))</f>
        <v/>
      </c>
      <c r="J7">
        <f>IFERROR(IF(AND(H7&lt;&gt;"",H7&gt;=129,H7&lt;=2176),INDEX(Fields!$B$2:$B$206,MATCH(H7-129,Fields!$D$2:$D$206,1)),""),"")</f>
        <v/>
      </c>
      <c r="K7">
        <f>IFERROR(IF(AND(H7&lt;&gt;"",H7&gt;=129,H7&lt;=2176),INDEX(Fields!$C$2:$C$206,MATCH(H7-129,Fields!$D$2:$D$206,1)),""),"")</f>
        <v/>
      </c>
      <c r="L7">
        <f>IFERROR(IF(AND(H7&lt;&gt;"",H7&gt;=129,H7&lt;=2176),INDEX(Fields!$J$2:$J$206,MATCH(H7-129,Fields!$D$2:$D$206,1)),""),"")</f>
        <v/>
      </c>
      <c r="M7">
        <f>IFERROR(IF(AND(H7&lt;&gt;"",H7&gt;=129,H7&lt;=2176),INDEX(Fields!$K$2:$K$206,MATCH(H7-129,Fields!$D$2:$D$206,1)),""),"")</f>
        <v/>
      </c>
    </row>
    <row r="8">
      <c r="A8" t="n">
        <v>6</v>
      </c>
      <c r="B8" t="n">
        <v>0</v>
      </c>
      <c r="C8" t="inlineStr">
        <is>
          <t>No</t>
        </is>
      </c>
      <c r="D8">
        <f>IF(AND(B3=1,B4=1,B5=1,B6=1,B7=1),"Yes","")</f>
        <v/>
      </c>
      <c r="E8" t="inlineStr">
        <is>
          <t>No</t>
        </is>
      </c>
      <c r="F8" t="inlineStr">
        <is>
          <t>No</t>
        </is>
      </c>
      <c r="G8">
        <f>IF(F8="Yes",1-B8,B8)</f>
        <v/>
      </c>
      <c r="H8">
        <f>IF(E8="Yes","",COUNTIFS($E$2:E8,"No"))</f>
        <v/>
      </c>
      <c r="I8">
        <f>IF(H8="","",IF(H8&lt;=128,"address",IF(H8&lt;=600,"data1",IF(H8&lt;=1264,"zero-run1",IF(H8&lt;=1648,"data2",IF(H8&lt;=2176,"zero-run2",IF(H8&lt;=2192,"FCS","trailing")))))))</f>
        <v/>
      </c>
      <c r="J8">
        <f>IFERROR(IF(AND(H8&lt;&gt;"",H8&gt;=129,H8&lt;=2176),INDEX(Fields!$B$2:$B$206,MATCH(H8-129,Fields!$D$2:$D$206,1)),""),"")</f>
        <v/>
      </c>
      <c r="K8">
        <f>IFERROR(IF(AND(H8&lt;&gt;"",H8&gt;=129,H8&lt;=2176),INDEX(Fields!$C$2:$C$206,MATCH(H8-129,Fields!$D$2:$D$206,1)),""),"")</f>
        <v/>
      </c>
      <c r="L8">
        <f>IFERROR(IF(AND(H8&lt;&gt;"",H8&gt;=129,H8&lt;=2176),INDEX(Fields!$J$2:$J$206,MATCH(H8-129,Fields!$D$2:$D$206,1)),""),"")</f>
        <v/>
      </c>
      <c r="M8">
        <f>IFERROR(IF(AND(H8&lt;&gt;"",H8&gt;=129,H8&lt;=2176),INDEX(Fields!$K$2:$K$206,MATCH(H8-129,Fields!$D$2:$D$206,1)),""),"")</f>
        <v/>
      </c>
    </row>
    <row r="9">
      <c r="A9" t="n">
        <v>7</v>
      </c>
      <c r="B9" t="n">
        <v>1</v>
      </c>
      <c r="C9" t="inlineStr">
        <is>
          <t>No</t>
        </is>
      </c>
      <c r="D9">
        <f>IF(AND(B4=1,B5=1,B6=1,B7=1,B8=1),"Yes","")</f>
        <v/>
      </c>
      <c r="E9" t="inlineStr">
        <is>
          <t>No</t>
        </is>
      </c>
      <c r="F9" t="inlineStr">
        <is>
          <t>No</t>
        </is>
      </c>
      <c r="G9">
        <f>IF(F9="Yes",1-B9,B9)</f>
        <v/>
      </c>
      <c r="H9">
        <f>IF(E9="Yes","",COUNTIFS($E$2:E9,"No"))</f>
        <v/>
      </c>
      <c r="I9">
        <f>IF(H9="","",IF(H9&lt;=128,"address",IF(H9&lt;=600,"data1",IF(H9&lt;=1264,"zero-run1",IF(H9&lt;=1648,"data2",IF(H9&lt;=2176,"zero-run2",IF(H9&lt;=2192,"FCS","trailing")))))))</f>
        <v/>
      </c>
      <c r="J9">
        <f>IFERROR(IF(AND(H9&lt;&gt;"",H9&gt;=129,H9&lt;=2176),INDEX(Fields!$B$2:$B$206,MATCH(H9-129,Fields!$D$2:$D$206,1)),""),"")</f>
        <v/>
      </c>
      <c r="K9">
        <f>IFERROR(IF(AND(H9&lt;&gt;"",H9&gt;=129,H9&lt;=2176),INDEX(Fields!$C$2:$C$206,MATCH(H9-129,Fields!$D$2:$D$206,1)),""),"")</f>
        <v/>
      </c>
      <c r="L9">
        <f>IFERROR(IF(AND(H9&lt;&gt;"",H9&gt;=129,H9&lt;=2176),INDEX(Fields!$J$2:$J$206,MATCH(H9-129,Fields!$D$2:$D$206,1)),""),"")</f>
        <v/>
      </c>
      <c r="M9">
        <f>IFERROR(IF(AND(H9&lt;&gt;"",H9&gt;=129,H9&lt;=2176),INDEX(Fields!$K$2:$K$206,MATCH(H9-129,Fields!$D$2:$D$206,1)),""),"")</f>
        <v/>
      </c>
    </row>
    <row r="10">
      <c r="A10" t="n">
        <v>8</v>
      </c>
      <c r="B10" t="n">
        <v>0</v>
      </c>
      <c r="C10" t="inlineStr">
        <is>
          <t>No</t>
        </is>
      </c>
      <c r="D10">
        <f>IF(AND(B5=1,B6=1,B7=1,B8=1,B9=1),"Yes","")</f>
        <v/>
      </c>
      <c r="E10" t="inlineStr">
        <is>
          <t>No</t>
        </is>
      </c>
      <c r="F10" t="inlineStr">
        <is>
          <t>No</t>
        </is>
      </c>
      <c r="G10">
        <f>IF(F10="Yes",1-B10,B10)</f>
        <v/>
      </c>
      <c r="H10">
        <f>IF(E10="Yes","",COUNTIFS($E$2:E10,"No"))</f>
        <v/>
      </c>
      <c r="I10">
        <f>IF(H10="","",IF(H10&lt;=128,"address",IF(H10&lt;=600,"data1",IF(H10&lt;=1264,"zero-run1",IF(H10&lt;=1648,"data2",IF(H10&lt;=2176,"zero-run2",IF(H10&lt;=2192,"FCS","trailing")))))))</f>
        <v/>
      </c>
      <c r="J10">
        <f>IFERROR(IF(AND(H10&lt;&gt;"",H10&gt;=129,H10&lt;=2176),INDEX(Fields!$B$2:$B$206,MATCH(H10-129,Fields!$D$2:$D$206,1)),""),"")</f>
        <v/>
      </c>
      <c r="K10">
        <f>IFERROR(IF(AND(H10&lt;&gt;"",H10&gt;=129,H10&lt;=2176),INDEX(Fields!$C$2:$C$206,MATCH(H10-129,Fields!$D$2:$D$206,1)),""),"")</f>
        <v/>
      </c>
      <c r="L10">
        <f>IFERROR(IF(AND(H10&lt;&gt;"",H10&gt;=129,H10&lt;=2176),INDEX(Fields!$J$2:$J$206,MATCH(H10-129,Fields!$D$2:$D$206,1)),""),"")</f>
        <v/>
      </c>
      <c r="M10">
        <f>IFERROR(IF(AND(H10&lt;&gt;"",H10&gt;=129,H10&lt;=2176),INDEX(Fields!$K$2:$K$206,MATCH(H10-129,Fields!$D$2:$D$206,1)),""),"")</f>
        <v/>
      </c>
    </row>
    <row r="11">
      <c r="A11" t="n">
        <v>9</v>
      </c>
      <c r="B11" t="n">
        <v>0</v>
      </c>
      <c r="C11" t="inlineStr">
        <is>
          <t>No</t>
        </is>
      </c>
      <c r="D11">
        <f>IF(AND(B6=1,B7=1,B8=1,B9=1,B10=1),"Yes","")</f>
        <v/>
      </c>
      <c r="E11" t="inlineStr">
        <is>
          <t>No</t>
        </is>
      </c>
      <c r="F11" t="inlineStr">
        <is>
          <t>No</t>
        </is>
      </c>
      <c r="G11">
        <f>IF(F11="Yes",1-B11,B11)</f>
        <v/>
      </c>
      <c r="H11">
        <f>IF(E11="Yes","",COUNTIFS($E$2:E11,"No"))</f>
        <v/>
      </c>
      <c r="I11">
        <f>IF(H11="","",IF(H11&lt;=128,"address",IF(H11&lt;=600,"data1",IF(H11&lt;=1264,"zero-run1",IF(H11&lt;=1648,"data2",IF(H11&lt;=2176,"zero-run2",IF(H11&lt;=2192,"FCS","trailing")))))))</f>
        <v/>
      </c>
      <c r="J11">
        <f>IFERROR(IF(AND(H11&lt;&gt;"",H11&gt;=129,H11&lt;=2176),INDEX(Fields!$B$2:$B$206,MATCH(H11-129,Fields!$D$2:$D$206,1)),""),"")</f>
        <v/>
      </c>
      <c r="K11">
        <f>IFERROR(IF(AND(H11&lt;&gt;"",H11&gt;=129,H11&lt;=2176),INDEX(Fields!$C$2:$C$206,MATCH(H11-129,Fields!$D$2:$D$206,1)),""),"")</f>
        <v/>
      </c>
      <c r="L11">
        <f>IFERROR(IF(AND(H11&lt;&gt;"",H11&gt;=129,H11&lt;=2176),INDEX(Fields!$J$2:$J$206,MATCH(H11-129,Fields!$D$2:$D$206,1)),""),"")</f>
        <v/>
      </c>
      <c r="M11">
        <f>IFERROR(IF(AND(H11&lt;&gt;"",H11&gt;=129,H11&lt;=2176),INDEX(Fields!$K$2:$K$206,MATCH(H11-129,Fields!$D$2:$D$206,1)),""),"")</f>
        <v/>
      </c>
    </row>
    <row r="12">
      <c r="A12" t="n">
        <v>10</v>
      </c>
      <c r="B12" t="n">
        <v>1</v>
      </c>
      <c r="C12" t="inlineStr">
        <is>
          <t>No</t>
        </is>
      </c>
      <c r="D12">
        <f>IF(AND(B7=1,B8=1,B9=1,B10=1,B11=1),"Yes","")</f>
        <v/>
      </c>
      <c r="E12" t="inlineStr">
        <is>
          <t>No</t>
        </is>
      </c>
      <c r="F12" t="inlineStr">
        <is>
          <t>No</t>
        </is>
      </c>
      <c r="G12">
        <f>IF(F12="Yes",1-B12,B12)</f>
        <v/>
      </c>
      <c r="H12">
        <f>IF(E12="Yes","",COUNTIFS($E$2:E12,"No"))</f>
        <v/>
      </c>
      <c r="I12">
        <f>IF(H12="","",IF(H12&lt;=128,"address",IF(H12&lt;=600,"data1",IF(H12&lt;=1264,"zero-run1",IF(H12&lt;=1648,"data2",IF(H12&lt;=2176,"zero-run2",IF(H12&lt;=2192,"FCS","trailing")))))))</f>
        <v/>
      </c>
      <c r="J12">
        <f>IFERROR(IF(AND(H12&lt;&gt;"",H12&gt;=129,H12&lt;=2176),INDEX(Fields!$B$2:$B$206,MATCH(H12-129,Fields!$D$2:$D$206,1)),""),"")</f>
        <v/>
      </c>
      <c r="K12">
        <f>IFERROR(IF(AND(H12&lt;&gt;"",H12&gt;=129,H12&lt;=2176),INDEX(Fields!$C$2:$C$206,MATCH(H12-129,Fields!$D$2:$D$206,1)),""),"")</f>
        <v/>
      </c>
      <c r="L12">
        <f>IFERROR(IF(AND(H12&lt;&gt;"",H12&gt;=129,H12&lt;=2176),INDEX(Fields!$J$2:$J$206,MATCH(H12-129,Fields!$D$2:$D$206,1)),""),"")</f>
        <v/>
      </c>
      <c r="M12">
        <f>IFERROR(IF(AND(H12&lt;&gt;"",H12&gt;=129,H12&lt;=2176),INDEX(Fields!$K$2:$K$206,MATCH(H12-129,Fields!$D$2:$D$206,1)),""),"")</f>
        <v/>
      </c>
    </row>
    <row r="13">
      <c r="A13" t="n">
        <v>11</v>
      </c>
      <c r="B13" t="n">
        <v>1</v>
      </c>
      <c r="C13" t="inlineStr">
        <is>
          <t>No</t>
        </is>
      </c>
      <c r="D13">
        <f>IF(AND(B8=1,B9=1,B10=1,B11=1,B12=1),"Yes","")</f>
        <v/>
      </c>
      <c r="E13" t="inlineStr">
        <is>
          <t>No</t>
        </is>
      </c>
      <c r="F13" t="inlineStr">
        <is>
          <t>No</t>
        </is>
      </c>
      <c r="G13">
        <f>IF(F13="Yes",1-B13,B13)</f>
        <v/>
      </c>
      <c r="H13">
        <f>IF(E13="Yes","",COUNTIFS($E$2:E13,"No"))</f>
        <v/>
      </c>
      <c r="I13">
        <f>IF(H13="","",IF(H13&lt;=128,"address",IF(H13&lt;=600,"data1",IF(H13&lt;=1264,"zero-run1",IF(H13&lt;=1648,"data2",IF(H13&lt;=2176,"zero-run2",IF(H13&lt;=2192,"FCS","trailing")))))))</f>
        <v/>
      </c>
      <c r="J13">
        <f>IFERROR(IF(AND(H13&lt;&gt;"",H13&gt;=129,H13&lt;=2176),INDEX(Fields!$B$2:$B$206,MATCH(H13-129,Fields!$D$2:$D$206,1)),""),"")</f>
        <v/>
      </c>
      <c r="K13">
        <f>IFERROR(IF(AND(H13&lt;&gt;"",H13&gt;=129,H13&lt;=2176),INDEX(Fields!$C$2:$C$206,MATCH(H13-129,Fields!$D$2:$D$206,1)),""),"")</f>
        <v/>
      </c>
      <c r="L13">
        <f>IFERROR(IF(AND(H13&lt;&gt;"",H13&gt;=129,H13&lt;=2176),INDEX(Fields!$J$2:$J$206,MATCH(H13-129,Fields!$D$2:$D$206,1)),""),"")</f>
        <v/>
      </c>
      <c r="M13">
        <f>IFERROR(IF(AND(H13&lt;&gt;"",H13&gt;=129,H13&lt;=2176),INDEX(Fields!$K$2:$K$206,MATCH(H13-129,Fields!$D$2:$D$206,1)),""),"")</f>
        <v/>
      </c>
    </row>
    <row r="14">
      <c r="A14" t="n">
        <v>12</v>
      </c>
      <c r="B14" t="n">
        <v>1</v>
      </c>
      <c r="C14" t="inlineStr">
        <is>
          <t>No</t>
        </is>
      </c>
      <c r="D14">
        <f>IF(AND(B9=1,B10=1,B11=1,B12=1,B13=1),"Yes","")</f>
        <v/>
      </c>
      <c r="E14" t="inlineStr">
        <is>
          <t>No</t>
        </is>
      </c>
      <c r="F14" t="inlineStr">
        <is>
          <t>No</t>
        </is>
      </c>
      <c r="G14">
        <f>IF(F14="Yes",1-B14,B14)</f>
        <v/>
      </c>
      <c r="H14">
        <f>IF(E14="Yes","",COUNTIFS($E$2:E14,"No"))</f>
        <v/>
      </c>
      <c r="I14">
        <f>IF(H14="","",IF(H14&lt;=128,"address",IF(H14&lt;=600,"data1",IF(H14&lt;=1264,"zero-run1",IF(H14&lt;=1648,"data2",IF(H14&lt;=2176,"zero-run2",IF(H14&lt;=2192,"FCS","trailing")))))))</f>
        <v/>
      </c>
      <c r="J14">
        <f>IFERROR(IF(AND(H14&lt;&gt;"",H14&gt;=129,H14&lt;=2176),INDEX(Fields!$B$2:$B$206,MATCH(H14-129,Fields!$D$2:$D$206,1)),""),"")</f>
        <v/>
      </c>
      <c r="K14">
        <f>IFERROR(IF(AND(H14&lt;&gt;"",H14&gt;=129,H14&lt;=2176),INDEX(Fields!$C$2:$C$206,MATCH(H14-129,Fields!$D$2:$D$206,1)),""),"")</f>
        <v/>
      </c>
      <c r="L14">
        <f>IFERROR(IF(AND(H14&lt;&gt;"",H14&gt;=129,H14&lt;=2176),INDEX(Fields!$J$2:$J$206,MATCH(H14-129,Fields!$D$2:$D$206,1)),""),"")</f>
        <v/>
      </c>
      <c r="M14">
        <f>IFERROR(IF(AND(H14&lt;&gt;"",H14&gt;=129,H14&lt;=2176),INDEX(Fields!$K$2:$K$206,MATCH(H14-129,Fields!$D$2:$D$206,1)),""),"")</f>
        <v/>
      </c>
    </row>
    <row r="15">
      <c r="A15" t="n">
        <v>13</v>
      </c>
      <c r="B15" t="n">
        <v>0</v>
      </c>
      <c r="C15" t="inlineStr">
        <is>
          <t>No</t>
        </is>
      </c>
      <c r="D15">
        <f>IF(AND(B10=1,B11=1,B12=1,B13=1,B14=1),"Yes","")</f>
        <v/>
      </c>
      <c r="E15" t="inlineStr">
        <is>
          <t>No</t>
        </is>
      </c>
      <c r="F15" t="inlineStr">
        <is>
          <t>No</t>
        </is>
      </c>
      <c r="G15">
        <f>IF(F15="Yes",1-B15,B15)</f>
        <v/>
      </c>
      <c r="H15">
        <f>IF(E15="Yes","",COUNTIFS($E$2:E15,"No"))</f>
        <v/>
      </c>
      <c r="I15">
        <f>IF(H15="","",IF(H15&lt;=128,"address",IF(H15&lt;=600,"data1",IF(H15&lt;=1264,"zero-run1",IF(H15&lt;=1648,"data2",IF(H15&lt;=2176,"zero-run2",IF(H15&lt;=2192,"FCS","trailing")))))))</f>
        <v/>
      </c>
      <c r="J15">
        <f>IFERROR(IF(AND(H15&lt;&gt;"",H15&gt;=129,H15&lt;=2176),INDEX(Fields!$B$2:$B$206,MATCH(H15-129,Fields!$D$2:$D$206,1)),""),"")</f>
        <v/>
      </c>
      <c r="K15">
        <f>IFERROR(IF(AND(H15&lt;&gt;"",H15&gt;=129,H15&lt;=2176),INDEX(Fields!$C$2:$C$206,MATCH(H15-129,Fields!$D$2:$D$206,1)),""),"")</f>
        <v/>
      </c>
      <c r="L15">
        <f>IFERROR(IF(AND(H15&lt;&gt;"",H15&gt;=129,H15&lt;=2176),INDEX(Fields!$J$2:$J$206,MATCH(H15-129,Fields!$D$2:$D$206,1)),""),"")</f>
        <v/>
      </c>
      <c r="M15">
        <f>IFERROR(IF(AND(H15&lt;&gt;"",H15&gt;=129,H15&lt;=2176),INDEX(Fields!$K$2:$K$206,MATCH(H15-129,Fields!$D$2:$D$206,1)),""),"")</f>
        <v/>
      </c>
    </row>
    <row r="16">
      <c r="A16" t="n">
        <v>14</v>
      </c>
      <c r="B16" t="n">
        <v>0</v>
      </c>
      <c r="C16" t="inlineStr">
        <is>
          <t>No</t>
        </is>
      </c>
      <c r="D16">
        <f>IF(AND(B11=1,B12=1,B13=1,B14=1,B15=1),"Yes","")</f>
        <v/>
      </c>
      <c r="E16" t="inlineStr">
        <is>
          <t>No</t>
        </is>
      </c>
      <c r="F16" t="inlineStr">
        <is>
          <t>No</t>
        </is>
      </c>
      <c r="G16">
        <f>IF(F16="Yes",1-B16,B16)</f>
        <v/>
      </c>
      <c r="H16">
        <f>IF(E16="Yes","",COUNTIFS($E$2:E16,"No"))</f>
        <v/>
      </c>
      <c r="I16">
        <f>IF(H16="","",IF(H16&lt;=128,"address",IF(H16&lt;=600,"data1",IF(H16&lt;=1264,"zero-run1",IF(H16&lt;=1648,"data2",IF(H16&lt;=2176,"zero-run2",IF(H16&lt;=2192,"FCS","trailing")))))))</f>
        <v/>
      </c>
      <c r="J16">
        <f>IFERROR(IF(AND(H16&lt;&gt;"",H16&gt;=129,H16&lt;=2176),INDEX(Fields!$B$2:$B$206,MATCH(H16-129,Fields!$D$2:$D$206,1)),""),"")</f>
        <v/>
      </c>
      <c r="K16">
        <f>IFERROR(IF(AND(H16&lt;&gt;"",H16&gt;=129,H16&lt;=2176),INDEX(Fields!$C$2:$C$206,MATCH(H16-129,Fields!$D$2:$D$206,1)),""),"")</f>
        <v/>
      </c>
      <c r="L16">
        <f>IFERROR(IF(AND(H16&lt;&gt;"",H16&gt;=129,H16&lt;=2176),INDEX(Fields!$J$2:$J$206,MATCH(H16-129,Fields!$D$2:$D$206,1)),""),"")</f>
        <v/>
      </c>
      <c r="M16">
        <f>IFERROR(IF(AND(H16&lt;&gt;"",H16&gt;=129,H16&lt;=2176),INDEX(Fields!$K$2:$K$206,MATCH(H16-129,Fields!$D$2:$D$206,1)),""),"")</f>
        <v/>
      </c>
    </row>
    <row r="17">
      <c r="A17" t="n">
        <v>15</v>
      </c>
      <c r="B17" t="n">
        <v>1</v>
      </c>
      <c r="C17" t="inlineStr">
        <is>
          <t>No</t>
        </is>
      </c>
      <c r="D17">
        <f>IF(AND(B12=1,B13=1,B14=1,B15=1,B16=1),"Yes","")</f>
        <v/>
      </c>
      <c r="E17" t="inlineStr">
        <is>
          <t>No</t>
        </is>
      </c>
      <c r="F17" t="inlineStr">
        <is>
          <t>No</t>
        </is>
      </c>
      <c r="G17">
        <f>IF(F17="Yes",1-B17,B17)</f>
        <v/>
      </c>
      <c r="H17">
        <f>IF(E17="Yes","",COUNTIFS($E$2:E17,"No"))</f>
        <v/>
      </c>
      <c r="I17">
        <f>IF(H17="","",IF(H17&lt;=128,"address",IF(H17&lt;=600,"data1",IF(H17&lt;=1264,"zero-run1",IF(H17&lt;=1648,"data2",IF(H17&lt;=2176,"zero-run2",IF(H17&lt;=2192,"FCS","trailing")))))))</f>
        <v/>
      </c>
      <c r="J17">
        <f>IFERROR(IF(AND(H17&lt;&gt;"",H17&gt;=129,H17&lt;=2176),INDEX(Fields!$B$2:$B$206,MATCH(H17-129,Fields!$D$2:$D$206,1)),""),"")</f>
        <v/>
      </c>
      <c r="K17">
        <f>IFERROR(IF(AND(H17&lt;&gt;"",H17&gt;=129,H17&lt;=2176),INDEX(Fields!$C$2:$C$206,MATCH(H17-129,Fields!$D$2:$D$206,1)),""),"")</f>
        <v/>
      </c>
      <c r="L17">
        <f>IFERROR(IF(AND(H17&lt;&gt;"",H17&gt;=129,H17&lt;=2176),INDEX(Fields!$J$2:$J$206,MATCH(H17-129,Fields!$D$2:$D$206,1)),""),"")</f>
        <v/>
      </c>
      <c r="M17">
        <f>IFERROR(IF(AND(H17&lt;&gt;"",H17&gt;=129,H17&lt;=2176),INDEX(Fields!$K$2:$K$206,MATCH(H17-129,Fields!$D$2:$D$206,1)),""),"")</f>
        <v/>
      </c>
    </row>
    <row r="18">
      <c r="A18" t="n">
        <v>16</v>
      </c>
      <c r="B18" t="n">
        <v>0</v>
      </c>
      <c r="C18" t="inlineStr">
        <is>
          <t>No</t>
        </is>
      </c>
      <c r="D18">
        <f>IF(AND(B13=1,B14=1,B15=1,B16=1,B17=1),"Yes","")</f>
        <v/>
      </c>
      <c r="E18" t="inlineStr">
        <is>
          <t>No</t>
        </is>
      </c>
      <c r="F18" t="inlineStr">
        <is>
          <t>No</t>
        </is>
      </c>
      <c r="G18">
        <f>IF(F18="Yes",1-B18,B18)</f>
        <v/>
      </c>
      <c r="H18">
        <f>IF(E18="Yes","",COUNTIFS($E$2:E18,"No"))</f>
        <v/>
      </c>
      <c r="I18">
        <f>IF(H18="","",IF(H18&lt;=128,"address",IF(H18&lt;=600,"data1",IF(H18&lt;=1264,"zero-run1",IF(H18&lt;=1648,"data2",IF(H18&lt;=2176,"zero-run2",IF(H18&lt;=2192,"FCS","trailing")))))))</f>
        <v/>
      </c>
      <c r="J18">
        <f>IFERROR(IF(AND(H18&lt;&gt;"",H18&gt;=129,H18&lt;=2176),INDEX(Fields!$B$2:$B$206,MATCH(H18-129,Fields!$D$2:$D$206,1)),""),"")</f>
        <v/>
      </c>
      <c r="K18">
        <f>IFERROR(IF(AND(H18&lt;&gt;"",H18&gt;=129,H18&lt;=2176),INDEX(Fields!$C$2:$C$206,MATCH(H18-129,Fields!$D$2:$D$206,1)),""),"")</f>
        <v/>
      </c>
      <c r="L18">
        <f>IFERROR(IF(AND(H18&lt;&gt;"",H18&gt;=129,H18&lt;=2176),INDEX(Fields!$J$2:$J$206,MATCH(H18-129,Fields!$D$2:$D$206,1)),""),"")</f>
        <v/>
      </c>
      <c r="M18">
        <f>IFERROR(IF(AND(H18&lt;&gt;"",H18&gt;=129,H18&lt;=2176),INDEX(Fields!$K$2:$K$206,MATCH(H18-129,Fields!$D$2:$D$206,1)),""),"")</f>
        <v/>
      </c>
    </row>
    <row r="19">
      <c r="A19" t="n">
        <v>17</v>
      </c>
      <c r="B19" t="n">
        <v>0</v>
      </c>
      <c r="C19" t="inlineStr">
        <is>
          <t>No</t>
        </is>
      </c>
      <c r="D19">
        <f>IF(AND(B14=1,B15=1,B16=1,B17=1,B18=1),"Yes","")</f>
        <v/>
      </c>
      <c r="E19" t="inlineStr">
        <is>
          <t>No</t>
        </is>
      </c>
      <c r="F19" t="inlineStr">
        <is>
          <t>No</t>
        </is>
      </c>
      <c r="G19">
        <f>IF(F19="Yes",1-B19,B19)</f>
        <v/>
      </c>
      <c r="H19">
        <f>IF(E19="Yes","",COUNTIFS($E$2:E19,"No"))</f>
        <v/>
      </c>
      <c r="I19">
        <f>IF(H19="","",IF(H19&lt;=128,"address",IF(H19&lt;=600,"data1",IF(H19&lt;=1264,"zero-run1",IF(H19&lt;=1648,"data2",IF(H19&lt;=2176,"zero-run2",IF(H19&lt;=2192,"FCS","trailing")))))))</f>
        <v/>
      </c>
      <c r="J19">
        <f>IFERROR(IF(AND(H19&lt;&gt;"",H19&gt;=129,H19&lt;=2176),INDEX(Fields!$B$2:$B$206,MATCH(H19-129,Fields!$D$2:$D$206,1)),""),"")</f>
        <v/>
      </c>
      <c r="K19">
        <f>IFERROR(IF(AND(H19&lt;&gt;"",H19&gt;=129,H19&lt;=2176),INDEX(Fields!$C$2:$C$206,MATCH(H19-129,Fields!$D$2:$D$206,1)),""),"")</f>
        <v/>
      </c>
      <c r="L19">
        <f>IFERROR(IF(AND(H19&lt;&gt;"",H19&gt;=129,H19&lt;=2176),INDEX(Fields!$J$2:$J$206,MATCH(H19-129,Fields!$D$2:$D$206,1)),""),"")</f>
        <v/>
      </c>
      <c r="M19">
        <f>IFERROR(IF(AND(H19&lt;&gt;"",H19&gt;=129,H19&lt;=2176),INDEX(Fields!$K$2:$K$206,MATCH(H19-129,Fields!$D$2:$D$206,1)),""),"")</f>
        <v/>
      </c>
    </row>
    <row r="20">
      <c r="A20" t="n">
        <v>18</v>
      </c>
      <c r="B20" t="n">
        <v>0</v>
      </c>
      <c r="C20" t="inlineStr">
        <is>
          <t>No</t>
        </is>
      </c>
      <c r="D20">
        <f>IF(AND(B15=1,B16=1,B17=1,B18=1,B19=1),"Yes","")</f>
        <v/>
      </c>
      <c r="E20" t="inlineStr">
        <is>
          <t>No</t>
        </is>
      </c>
      <c r="F20" t="inlineStr">
        <is>
          <t>No</t>
        </is>
      </c>
      <c r="G20">
        <f>IF(F20="Yes",1-B20,B20)</f>
        <v/>
      </c>
      <c r="H20">
        <f>IF(E20="Yes","",COUNTIFS($E$2:E20,"No"))</f>
        <v/>
      </c>
      <c r="I20">
        <f>IF(H20="","",IF(H20&lt;=128,"address",IF(H20&lt;=600,"data1",IF(H20&lt;=1264,"zero-run1",IF(H20&lt;=1648,"data2",IF(H20&lt;=2176,"zero-run2",IF(H20&lt;=2192,"FCS","trailing")))))))</f>
        <v/>
      </c>
      <c r="J20">
        <f>IFERROR(IF(AND(H20&lt;&gt;"",H20&gt;=129,H20&lt;=2176),INDEX(Fields!$B$2:$B$206,MATCH(H20-129,Fields!$D$2:$D$206,1)),""),"")</f>
        <v/>
      </c>
      <c r="K20">
        <f>IFERROR(IF(AND(H20&lt;&gt;"",H20&gt;=129,H20&lt;=2176),INDEX(Fields!$C$2:$C$206,MATCH(H20-129,Fields!$D$2:$D$206,1)),""),"")</f>
        <v/>
      </c>
      <c r="L20">
        <f>IFERROR(IF(AND(H20&lt;&gt;"",H20&gt;=129,H20&lt;=2176),INDEX(Fields!$J$2:$J$206,MATCH(H20-129,Fields!$D$2:$D$206,1)),""),"")</f>
        <v/>
      </c>
      <c r="M20">
        <f>IFERROR(IF(AND(H20&lt;&gt;"",H20&gt;=129,H20&lt;=2176),INDEX(Fields!$K$2:$K$206,MATCH(H20-129,Fields!$D$2:$D$206,1)),""),"")</f>
        <v/>
      </c>
    </row>
    <row r="21">
      <c r="A21" t="n">
        <v>19</v>
      </c>
      <c r="B21" t="n">
        <v>0</v>
      </c>
      <c r="C21" t="inlineStr">
        <is>
          <t>No</t>
        </is>
      </c>
      <c r="D21">
        <f>IF(AND(B16=1,B17=1,B18=1,B19=1,B20=1),"Yes","")</f>
        <v/>
      </c>
      <c r="E21" t="inlineStr">
        <is>
          <t>No</t>
        </is>
      </c>
      <c r="F21" t="inlineStr">
        <is>
          <t>No</t>
        </is>
      </c>
      <c r="G21">
        <f>IF(F21="Yes",1-B21,B21)</f>
        <v/>
      </c>
      <c r="H21">
        <f>IF(E21="Yes","",COUNTIFS($E$2:E21,"No"))</f>
        <v/>
      </c>
      <c r="I21">
        <f>IF(H21="","",IF(H21&lt;=128,"address",IF(H21&lt;=600,"data1",IF(H21&lt;=1264,"zero-run1",IF(H21&lt;=1648,"data2",IF(H21&lt;=2176,"zero-run2",IF(H21&lt;=2192,"FCS","trailing")))))))</f>
        <v/>
      </c>
      <c r="J21">
        <f>IFERROR(IF(AND(H21&lt;&gt;"",H21&gt;=129,H21&lt;=2176),INDEX(Fields!$B$2:$B$206,MATCH(H21-129,Fields!$D$2:$D$206,1)),""),"")</f>
        <v/>
      </c>
      <c r="K21">
        <f>IFERROR(IF(AND(H21&lt;&gt;"",H21&gt;=129,H21&lt;=2176),INDEX(Fields!$C$2:$C$206,MATCH(H21-129,Fields!$D$2:$D$206,1)),""),"")</f>
        <v/>
      </c>
      <c r="L21">
        <f>IFERROR(IF(AND(H21&lt;&gt;"",H21&gt;=129,H21&lt;=2176),INDEX(Fields!$J$2:$J$206,MATCH(H21-129,Fields!$D$2:$D$206,1)),""),"")</f>
        <v/>
      </c>
      <c r="M21">
        <f>IFERROR(IF(AND(H21&lt;&gt;"",H21&gt;=129,H21&lt;=2176),INDEX(Fields!$K$2:$K$206,MATCH(H21-129,Fields!$D$2:$D$206,1)),""),"")</f>
        <v/>
      </c>
    </row>
    <row r="22">
      <c r="A22" t="n">
        <v>20</v>
      </c>
      <c r="B22" t="n">
        <v>0</v>
      </c>
      <c r="C22" t="inlineStr">
        <is>
          <t>No</t>
        </is>
      </c>
      <c r="D22">
        <f>IF(AND(B17=1,B18=1,B19=1,B20=1,B21=1),"Yes","")</f>
        <v/>
      </c>
      <c r="E22" t="inlineStr">
        <is>
          <t>No</t>
        </is>
      </c>
      <c r="F22" t="inlineStr">
        <is>
          <t>No</t>
        </is>
      </c>
      <c r="G22">
        <f>IF(F22="Yes",1-B22,B22)</f>
        <v/>
      </c>
      <c r="H22">
        <f>IF(E22="Yes","",COUNTIFS($E$2:E22,"No"))</f>
        <v/>
      </c>
      <c r="I22">
        <f>IF(H22="","",IF(H22&lt;=128,"address",IF(H22&lt;=600,"data1",IF(H22&lt;=1264,"zero-run1",IF(H22&lt;=1648,"data2",IF(H22&lt;=2176,"zero-run2",IF(H22&lt;=2192,"FCS","trailing")))))))</f>
        <v/>
      </c>
      <c r="J22">
        <f>IFERROR(IF(AND(H22&lt;&gt;"",H22&gt;=129,H22&lt;=2176),INDEX(Fields!$B$2:$B$206,MATCH(H22-129,Fields!$D$2:$D$206,1)),""),"")</f>
        <v/>
      </c>
      <c r="K22">
        <f>IFERROR(IF(AND(H22&lt;&gt;"",H22&gt;=129,H22&lt;=2176),INDEX(Fields!$C$2:$C$206,MATCH(H22-129,Fields!$D$2:$D$206,1)),""),"")</f>
        <v/>
      </c>
      <c r="L22">
        <f>IFERROR(IF(AND(H22&lt;&gt;"",H22&gt;=129,H22&lt;=2176),INDEX(Fields!$J$2:$J$206,MATCH(H22-129,Fields!$D$2:$D$206,1)),""),"")</f>
        <v/>
      </c>
      <c r="M22">
        <f>IFERROR(IF(AND(H22&lt;&gt;"",H22&gt;=129,H22&lt;=2176),INDEX(Fields!$K$2:$K$206,MATCH(H22-129,Fields!$D$2:$D$206,1)),""),"")</f>
        <v/>
      </c>
    </row>
    <row r="23">
      <c r="A23" t="n">
        <v>21</v>
      </c>
      <c r="B23" t="n">
        <v>1</v>
      </c>
      <c r="C23" t="inlineStr">
        <is>
          <t>No</t>
        </is>
      </c>
      <c r="D23">
        <f>IF(AND(B18=1,B19=1,B20=1,B21=1,B22=1),"Yes","")</f>
        <v/>
      </c>
      <c r="E23" t="inlineStr">
        <is>
          <t>No</t>
        </is>
      </c>
      <c r="F23" t="inlineStr">
        <is>
          <t>No</t>
        </is>
      </c>
      <c r="G23">
        <f>IF(F23="Yes",1-B23,B23)</f>
        <v/>
      </c>
      <c r="H23">
        <f>IF(E23="Yes","",COUNTIFS($E$2:E23,"No"))</f>
        <v/>
      </c>
      <c r="I23">
        <f>IF(H23="","",IF(H23&lt;=128,"address",IF(H23&lt;=600,"data1",IF(H23&lt;=1264,"zero-run1",IF(H23&lt;=1648,"data2",IF(H23&lt;=2176,"zero-run2",IF(H23&lt;=2192,"FCS","trailing")))))))</f>
        <v/>
      </c>
      <c r="J23">
        <f>IFERROR(IF(AND(H23&lt;&gt;"",H23&gt;=129,H23&lt;=2176),INDEX(Fields!$B$2:$B$206,MATCH(H23-129,Fields!$D$2:$D$206,1)),""),"")</f>
        <v/>
      </c>
      <c r="K23">
        <f>IFERROR(IF(AND(H23&lt;&gt;"",H23&gt;=129,H23&lt;=2176),INDEX(Fields!$C$2:$C$206,MATCH(H23-129,Fields!$D$2:$D$206,1)),""),"")</f>
        <v/>
      </c>
      <c r="L23">
        <f>IFERROR(IF(AND(H23&lt;&gt;"",H23&gt;=129,H23&lt;=2176),INDEX(Fields!$J$2:$J$206,MATCH(H23-129,Fields!$D$2:$D$206,1)),""),"")</f>
        <v/>
      </c>
      <c r="M23">
        <f>IFERROR(IF(AND(H23&lt;&gt;"",H23&gt;=129,H23&lt;=2176),INDEX(Fields!$K$2:$K$206,MATCH(H23-129,Fields!$D$2:$D$206,1)),""),"")</f>
        <v/>
      </c>
    </row>
    <row r="24">
      <c r="A24" t="n">
        <v>22</v>
      </c>
      <c r="B24" t="n">
        <v>1</v>
      </c>
      <c r="C24" t="inlineStr">
        <is>
          <t>No</t>
        </is>
      </c>
      <c r="D24">
        <f>IF(AND(B19=1,B20=1,B21=1,B22=1,B23=1),"Yes","")</f>
        <v/>
      </c>
      <c r="E24" t="inlineStr">
        <is>
          <t>No</t>
        </is>
      </c>
      <c r="F24" t="inlineStr">
        <is>
          <t>No</t>
        </is>
      </c>
      <c r="G24">
        <f>IF(F24="Yes",1-B24,B24)</f>
        <v/>
      </c>
      <c r="H24">
        <f>IF(E24="Yes","",COUNTIFS($E$2:E24,"No"))</f>
        <v/>
      </c>
      <c r="I24">
        <f>IF(H24="","",IF(H24&lt;=128,"address",IF(H24&lt;=600,"data1",IF(H24&lt;=1264,"zero-run1",IF(H24&lt;=1648,"data2",IF(H24&lt;=2176,"zero-run2",IF(H24&lt;=2192,"FCS","trailing")))))))</f>
        <v/>
      </c>
      <c r="J24">
        <f>IFERROR(IF(AND(H24&lt;&gt;"",H24&gt;=129,H24&lt;=2176),INDEX(Fields!$B$2:$B$206,MATCH(H24-129,Fields!$D$2:$D$206,1)),""),"")</f>
        <v/>
      </c>
      <c r="K24">
        <f>IFERROR(IF(AND(H24&lt;&gt;"",H24&gt;=129,H24&lt;=2176),INDEX(Fields!$C$2:$C$206,MATCH(H24-129,Fields!$D$2:$D$206,1)),""),"")</f>
        <v/>
      </c>
      <c r="L24">
        <f>IFERROR(IF(AND(H24&lt;&gt;"",H24&gt;=129,H24&lt;=2176),INDEX(Fields!$J$2:$J$206,MATCH(H24-129,Fields!$D$2:$D$206,1)),""),"")</f>
        <v/>
      </c>
      <c r="M24">
        <f>IFERROR(IF(AND(H24&lt;&gt;"",H24&gt;=129,H24&lt;=2176),INDEX(Fields!$K$2:$K$206,MATCH(H24-129,Fields!$D$2:$D$206,1)),""),"")</f>
        <v/>
      </c>
    </row>
    <row r="25">
      <c r="A25" t="n">
        <v>23</v>
      </c>
      <c r="B25" t="n">
        <v>0</v>
      </c>
      <c r="C25" t="inlineStr">
        <is>
          <t>No</t>
        </is>
      </c>
      <c r="D25">
        <f>IF(AND(B20=1,B21=1,B22=1,B23=1,B24=1),"Yes","")</f>
        <v/>
      </c>
      <c r="E25" t="inlineStr">
        <is>
          <t>No</t>
        </is>
      </c>
      <c r="F25" t="inlineStr">
        <is>
          <t>No</t>
        </is>
      </c>
      <c r="G25">
        <f>IF(F25="Yes",1-B25,B25)</f>
        <v/>
      </c>
      <c r="H25">
        <f>IF(E25="Yes","",COUNTIFS($E$2:E25,"No"))</f>
        <v/>
      </c>
      <c r="I25">
        <f>IF(H25="","",IF(H25&lt;=128,"address",IF(H25&lt;=600,"data1",IF(H25&lt;=1264,"zero-run1",IF(H25&lt;=1648,"data2",IF(H25&lt;=2176,"zero-run2",IF(H25&lt;=2192,"FCS","trailing")))))))</f>
        <v/>
      </c>
      <c r="J25">
        <f>IFERROR(IF(AND(H25&lt;&gt;"",H25&gt;=129,H25&lt;=2176),INDEX(Fields!$B$2:$B$206,MATCH(H25-129,Fields!$D$2:$D$206,1)),""),"")</f>
        <v/>
      </c>
      <c r="K25">
        <f>IFERROR(IF(AND(H25&lt;&gt;"",H25&gt;=129,H25&lt;=2176),INDEX(Fields!$C$2:$C$206,MATCH(H25-129,Fields!$D$2:$D$206,1)),""),"")</f>
        <v/>
      </c>
      <c r="L25">
        <f>IFERROR(IF(AND(H25&lt;&gt;"",H25&gt;=129,H25&lt;=2176),INDEX(Fields!$J$2:$J$206,MATCH(H25-129,Fields!$D$2:$D$206,1)),""),"")</f>
        <v/>
      </c>
      <c r="M25">
        <f>IFERROR(IF(AND(H25&lt;&gt;"",H25&gt;=129,H25&lt;=2176),INDEX(Fields!$K$2:$K$206,MATCH(H25-129,Fields!$D$2:$D$206,1)),""),"")</f>
        <v/>
      </c>
    </row>
    <row r="26">
      <c r="A26" t="n">
        <v>24</v>
      </c>
      <c r="B26" t="n">
        <v>0</v>
      </c>
      <c r="C26" t="inlineStr">
        <is>
          <t>No</t>
        </is>
      </c>
      <c r="D26">
        <f>IF(AND(B21=1,B22=1,B23=1,B24=1,B25=1),"Yes","")</f>
        <v/>
      </c>
      <c r="E26" t="inlineStr">
        <is>
          <t>No</t>
        </is>
      </c>
      <c r="F26" t="inlineStr">
        <is>
          <t>No</t>
        </is>
      </c>
      <c r="G26">
        <f>IF(F26="Yes",1-B26,B26)</f>
        <v/>
      </c>
      <c r="H26">
        <f>IF(E26="Yes","",COUNTIFS($E$2:E26,"No"))</f>
        <v/>
      </c>
      <c r="I26">
        <f>IF(H26="","",IF(H26&lt;=128,"address",IF(H26&lt;=600,"data1",IF(H26&lt;=1264,"zero-run1",IF(H26&lt;=1648,"data2",IF(H26&lt;=2176,"zero-run2",IF(H26&lt;=2192,"FCS","trailing")))))))</f>
        <v/>
      </c>
      <c r="J26">
        <f>IFERROR(IF(AND(H26&lt;&gt;"",H26&gt;=129,H26&lt;=2176),INDEX(Fields!$B$2:$B$206,MATCH(H26-129,Fields!$D$2:$D$206,1)),""),"")</f>
        <v/>
      </c>
      <c r="K26">
        <f>IFERROR(IF(AND(H26&lt;&gt;"",H26&gt;=129,H26&lt;=2176),INDEX(Fields!$C$2:$C$206,MATCH(H26-129,Fields!$D$2:$D$206,1)),""),"")</f>
        <v/>
      </c>
      <c r="L26">
        <f>IFERROR(IF(AND(H26&lt;&gt;"",H26&gt;=129,H26&lt;=2176),INDEX(Fields!$J$2:$J$206,MATCH(H26-129,Fields!$D$2:$D$206,1)),""),"")</f>
        <v/>
      </c>
      <c r="M26">
        <f>IFERROR(IF(AND(H26&lt;&gt;"",H26&gt;=129,H26&lt;=2176),INDEX(Fields!$K$2:$K$206,MATCH(H26-129,Fields!$D$2:$D$206,1)),""),"")</f>
        <v/>
      </c>
    </row>
    <row r="27">
      <c r="A27" t="n">
        <v>25</v>
      </c>
      <c r="B27" t="n">
        <v>1</v>
      </c>
      <c r="C27" t="inlineStr">
        <is>
          <t>No</t>
        </is>
      </c>
      <c r="D27">
        <f>IF(AND(B22=1,B23=1,B24=1,B25=1,B26=1),"Yes","")</f>
        <v/>
      </c>
      <c r="E27" t="inlineStr">
        <is>
          <t>No</t>
        </is>
      </c>
      <c r="F27" t="inlineStr">
        <is>
          <t>No</t>
        </is>
      </c>
      <c r="G27">
        <f>IF(F27="Yes",1-B27,B27)</f>
        <v/>
      </c>
      <c r="H27">
        <f>IF(E27="Yes","",COUNTIFS($E$2:E27,"No"))</f>
        <v/>
      </c>
      <c r="I27">
        <f>IF(H27="","",IF(H27&lt;=128,"address",IF(H27&lt;=600,"data1",IF(H27&lt;=1264,"zero-run1",IF(H27&lt;=1648,"data2",IF(H27&lt;=2176,"zero-run2",IF(H27&lt;=2192,"FCS","trailing")))))))</f>
        <v/>
      </c>
      <c r="J27">
        <f>IFERROR(IF(AND(H27&lt;&gt;"",H27&gt;=129,H27&lt;=2176),INDEX(Fields!$B$2:$B$206,MATCH(H27-129,Fields!$D$2:$D$206,1)),""),"")</f>
        <v/>
      </c>
      <c r="K27">
        <f>IFERROR(IF(AND(H27&lt;&gt;"",H27&gt;=129,H27&lt;=2176),INDEX(Fields!$C$2:$C$206,MATCH(H27-129,Fields!$D$2:$D$206,1)),""),"")</f>
        <v/>
      </c>
      <c r="L27">
        <f>IFERROR(IF(AND(H27&lt;&gt;"",H27&gt;=129,H27&lt;=2176),INDEX(Fields!$J$2:$J$206,MATCH(H27-129,Fields!$D$2:$D$206,1)),""),"")</f>
        <v/>
      </c>
      <c r="M27">
        <f>IFERROR(IF(AND(H27&lt;&gt;"",H27&gt;=129,H27&lt;=2176),INDEX(Fields!$K$2:$K$206,MATCH(H27-129,Fields!$D$2:$D$206,1)),""),"")</f>
        <v/>
      </c>
    </row>
    <row r="28">
      <c r="A28" t="n">
        <v>26</v>
      </c>
      <c r="B28" t="n">
        <v>1</v>
      </c>
      <c r="C28" t="inlineStr">
        <is>
          <t>No</t>
        </is>
      </c>
      <c r="D28">
        <f>IF(AND(B23=1,B24=1,B25=1,B26=1,B27=1),"Yes","")</f>
        <v/>
      </c>
      <c r="E28" t="inlineStr">
        <is>
          <t>No</t>
        </is>
      </c>
      <c r="F28" t="inlineStr">
        <is>
          <t>No</t>
        </is>
      </c>
      <c r="G28">
        <f>IF(F28="Yes",1-B28,B28)</f>
        <v/>
      </c>
      <c r="H28">
        <f>IF(E28="Yes","",COUNTIFS($E$2:E28,"No"))</f>
        <v/>
      </c>
      <c r="I28">
        <f>IF(H28="","",IF(H28&lt;=128,"address",IF(H28&lt;=600,"data1",IF(H28&lt;=1264,"zero-run1",IF(H28&lt;=1648,"data2",IF(H28&lt;=2176,"zero-run2",IF(H28&lt;=2192,"FCS","trailing")))))))</f>
        <v/>
      </c>
      <c r="J28">
        <f>IFERROR(IF(AND(H28&lt;&gt;"",H28&gt;=129,H28&lt;=2176),INDEX(Fields!$B$2:$B$206,MATCH(H28-129,Fields!$D$2:$D$206,1)),""),"")</f>
        <v/>
      </c>
      <c r="K28">
        <f>IFERROR(IF(AND(H28&lt;&gt;"",H28&gt;=129,H28&lt;=2176),INDEX(Fields!$C$2:$C$206,MATCH(H28-129,Fields!$D$2:$D$206,1)),""),"")</f>
        <v/>
      </c>
      <c r="L28">
        <f>IFERROR(IF(AND(H28&lt;&gt;"",H28&gt;=129,H28&lt;=2176),INDEX(Fields!$J$2:$J$206,MATCH(H28-129,Fields!$D$2:$D$206,1)),""),"")</f>
        <v/>
      </c>
      <c r="M28">
        <f>IFERROR(IF(AND(H28&lt;&gt;"",H28&gt;=129,H28&lt;=2176),INDEX(Fields!$K$2:$K$206,MATCH(H28-129,Fields!$D$2:$D$206,1)),""),"")</f>
        <v/>
      </c>
    </row>
    <row r="29">
      <c r="A29" t="n">
        <v>27</v>
      </c>
      <c r="B29" t="n">
        <v>0</v>
      </c>
      <c r="C29" t="inlineStr">
        <is>
          <t>No</t>
        </is>
      </c>
      <c r="D29">
        <f>IF(AND(B24=1,B25=1,B26=1,B27=1,B28=1),"Yes","")</f>
        <v/>
      </c>
      <c r="E29" t="inlineStr">
        <is>
          <t>No</t>
        </is>
      </c>
      <c r="F29" t="inlineStr">
        <is>
          <t>No</t>
        </is>
      </c>
      <c r="G29">
        <f>IF(F29="Yes",1-B29,B29)</f>
        <v/>
      </c>
      <c r="H29">
        <f>IF(E29="Yes","",COUNTIFS($E$2:E29,"No"))</f>
        <v/>
      </c>
      <c r="I29">
        <f>IF(H29="","",IF(H29&lt;=128,"address",IF(H29&lt;=600,"data1",IF(H29&lt;=1264,"zero-run1",IF(H29&lt;=1648,"data2",IF(H29&lt;=2176,"zero-run2",IF(H29&lt;=2192,"FCS","trailing")))))))</f>
        <v/>
      </c>
      <c r="J29">
        <f>IFERROR(IF(AND(H29&lt;&gt;"",H29&gt;=129,H29&lt;=2176),INDEX(Fields!$B$2:$B$206,MATCH(H29-129,Fields!$D$2:$D$206,1)),""),"")</f>
        <v/>
      </c>
      <c r="K29">
        <f>IFERROR(IF(AND(H29&lt;&gt;"",H29&gt;=129,H29&lt;=2176),INDEX(Fields!$C$2:$C$206,MATCH(H29-129,Fields!$D$2:$D$206,1)),""),"")</f>
        <v/>
      </c>
      <c r="L29">
        <f>IFERROR(IF(AND(H29&lt;&gt;"",H29&gt;=129,H29&lt;=2176),INDEX(Fields!$J$2:$J$206,MATCH(H29-129,Fields!$D$2:$D$206,1)),""),"")</f>
        <v/>
      </c>
      <c r="M29">
        <f>IFERROR(IF(AND(H29&lt;&gt;"",H29&gt;=129,H29&lt;=2176),INDEX(Fields!$K$2:$K$206,MATCH(H29-129,Fields!$D$2:$D$206,1)),""),"")</f>
        <v/>
      </c>
    </row>
    <row r="30">
      <c r="A30" t="n">
        <v>28</v>
      </c>
      <c r="B30" t="n">
        <v>0</v>
      </c>
      <c r="C30" t="inlineStr">
        <is>
          <t>No</t>
        </is>
      </c>
      <c r="D30">
        <f>IF(AND(B25=1,B26=1,B27=1,B28=1,B29=1),"Yes","")</f>
        <v/>
      </c>
      <c r="E30" t="inlineStr">
        <is>
          <t>No</t>
        </is>
      </c>
      <c r="F30" t="inlineStr">
        <is>
          <t>No</t>
        </is>
      </c>
      <c r="G30">
        <f>IF(F30="Yes",1-B30,B30)</f>
        <v/>
      </c>
      <c r="H30">
        <f>IF(E30="Yes","",COUNTIFS($E$2:E30,"No"))</f>
        <v/>
      </c>
      <c r="I30">
        <f>IF(H30="","",IF(H30&lt;=128,"address",IF(H30&lt;=600,"data1",IF(H30&lt;=1264,"zero-run1",IF(H30&lt;=1648,"data2",IF(H30&lt;=2176,"zero-run2",IF(H30&lt;=2192,"FCS","trailing")))))))</f>
        <v/>
      </c>
      <c r="J30">
        <f>IFERROR(IF(AND(H30&lt;&gt;"",H30&gt;=129,H30&lt;=2176),INDEX(Fields!$B$2:$B$206,MATCH(H30-129,Fields!$D$2:$D$206,1)),""),"")</f>
        <v/>
      </c>
      <c r="K30">
        <f>IFERROR(IF(AND(H30&lt;&gt;"",H30&gt;=129,H30&lt;=2176),INDEX(Fields!$C$2:$C$206,MATCH(H30-129,Fields!$D$2:$D$206,1)),""),"")</f>
        <v/>
      </c>
      <c r="L30">
        <f>IFERROR(IF(AND(H30&lt;&gt;"",H30&gt;=129,H30&lt;=2176),INDEX(Fields!$J$2:$J$206,MATCH(H30-129,Fields!$D$2:$D$206,1)),""),"")</f>
        <v/>
      </c>
      <c r="M30">
        <f>IFERROR(IF(AND(H30&lt;&gt;"",H30&gt;=129,H30&lt;=2176),INDEX(Fields!$K$2:$K$206,MATCH(H30-129,Fields!$D$2:$D$206,1)),""),"")</f>
        <v/>
      </c>
    </row>
    <row r="31">
      <c r="A31" t="n">
        <v>29</v>
      </c>
      <c r="B31" t="n">
        <v>0</v>
      </c>
      <c r="C31" t="inlineStr">
        <is>
          <t>No</t>
        </is>
      </c>
      <c r="D31">
        <f>IF(AND(B26=1,B27=1,B28=1,B29=1,B30=1),"Yes","")</f>
        <v/>
      </c>
      <c r="E31" t="inlineStr">
        <is>
          <t>No</t>
        </is>
      </c>
      <c r="F31" t="inlineStr">
        <is>
          <t>No</t>
        </is>
      </c>
      <c r="G31">
        <f>IF(F31="Yes",1-B31,B31)</f>
        <v/>
      </c>
      <c r="H31">
        <f>IF(E31="Yes","",COUNTIFS($E$2:E31,"No"))</f>
        <v/>
      </c>
      <c r="I31">
        <f>IF(H31="","",IF(H31&lt;=128,"address",IF(H31&lt;=600,"data1",IF(H31&lt;=1264,"zero-run1",IF(H31&lt;=1648,"data2",IF(H31&lt;=2176,"zero-run2",IF(H31&lt;=2192,"FCS","trailing")))))))</f>
        <v/>
      </c>
      <c r="J31">
        <f>IFERROR(IF(AND(H31&lt;&gt;"",H31&gt;=129,H31&lt;=2176),INDEX(Fields!$B$2:$B$206,MATCH(H31-129,Fields!$D$2:$D$206,1)),""),"")</f>
        <v/>
      </c>
      <c r="K31">
        <f>IFERROR(IF(AND(H31&lt;&gt;"",H31&gt;=129,H31&lt;=2176),INDEX(Fields!$C$2:$C$206,MATCH(H31-129,Fields!$D$2:$D$206,1)),""),"")</f>
        <v/>
      </c>
      <c r="L31">
        <f>IFERROR(IF(AND(H31&lt;&gt;"",H31&gt;=129,H31&lt;=2176),INDEX(Fields!$J$2:$J$206,MATCH(H31-129,Fields!$D$2:$D$206,1)),""),"")</f>
        <v/>
      </c>
      <c r="M31">
        <f>IFERROR(IF(AND(H31&lt;&gt;"",H31&gt;=129,H31&lt;=2176),INDEX(Fields!$K$2:$K$206,MATCH(H31-129,Fields!$D$2:$D$206,1)),""),"")</f>
        <v/>
      </c>
    </row>
    <row r="32">
      <c r="A32" t="n">
        <v>30</v>
      </c>
      <c r="B32" t="n">
        <v>0</v>
      </c>
      <c r="C32" t="inlineStr">
        <is>
          <t>No</t>
        </is>
      </c>
      <c r="D32">
        <f>IF(AND(B27=1,B28=1,B29=1,B30=1,B31=1),"Yes","")</f>
        <v/>
      </c>
      <c r="E32" t="inlineStr">
        <is>
          <t>No</t>
        </is>
      </c>
      <c r="F32" t="inlineStr">
        <is>
          <t>No</t>
        </is>
      </c>
      <c r="G32">
        <f>IF(F32="Yes",1-B32,B32)</f>
        <v/>
      </c>
      <c r="H32">
        <f>IF(E32="Yes","",COUNTIFS($E$2:E32,"No"))</f>
        <v/>
      </c>
      <c r="I32">
        <f>IF(H32="","",IF(H32&lt;=128,"address",IF(H32&lt;=600,"data1",IF(H32&lt;=1264,"zero-run1",IF(H32&lt;=1648,"data2",IF(H32&lt;=2176,"zero-run2",IF(H32&lt;=2192,"FCS","trailing")))))))</f>
        <v/>
      </c>
      <c r="J32">
        <f>IFERROR(IF(AND(H32&lt;&gt;"",H32&gt;=129,H32&lt;=2176),INDEX(Fields!$B$2:$B$206,MATCH(H32-129,Fields!$D$2:$D$206,1)),""),"")</f>
        <v/>
      </c>
      <c r="K32">
        <f>IFERROR(IF(AND(H32&lt;&gt;"",H32&gt;=129,H32&lt;=2176),INDEX(Fields!$C$2:$C$206,MATCH(H32-129,Fields!$D$2:$D$206,1)),""),"")</f>
        <v/>
      </c>
      <c r="L32">
        <f>IFERROR(IF(AND(H32&lt;&gt;"",H32&gt;=129,H32&lt;=2176),INDEX(Fields!$J$2:$J$206,MATCH(H32-129,Fields!$D$2:$D$206,1)),""),"")</f>
        <v/>
      </c>
      <c r="M32">
        <f>IFERROR(IF(AND(H32&lt;&gt;"",H32&gt;=129,H32&lt;=2176),INDEX(Fields!$K$2:$K$206,MATCH(H32-129,Fields!$D$2:$D$206,1)),""),"")</f>
        <v/>
      </c>
    </row>
    <row r="33">
      <c r="A33" t="n">
        <v>31</v>
      </c>
      <c r="B33" t="n">
        <v>1</v>
      </c>
      <c r="C33" t="inlineStr">
        <is>
          <t>No</t>
        </is>
      </c>
      <c r="D33">
        <f>IF(AND(B28=1,B29=1,B30=1,B31=1,B32=1),"Yes","")</f>
        <v/>
      </c>
      <c r="E33" t="inlineStr">
        <is>
          <t>No</t>
        </is>
      </c>
      <c r="F33" t="inlineStr">
        <is>
          <t>No</t>
        </is>
      </c>
      <c r="G33">
        <f>IF(F33="Yes",1-B33,B33)</f>
        <v/>
      </c>
      <c r="H33">
        <f>IF(E33="Yes","",COUNTIFS($E$2:E33,"No"))</f>
        <v/>
      </c>
      <c r="I33">
        <f>IF(H33="","",IF(H33&lt;=128,"address",IF(H33&lt;=600,"data1",IF(H33&lt;=1264,"zero-run1",IF(H33&lt;=1648,"data2",IF(H33&lt;=2176,"zero-run2",IF(H33&lt;=2192,"FCS","trailing")))))))</f>
        <v/>
      </c>
      <c r="J33">
        <f>IFERROR(IF(AND(H33&lt;&gt;"",H33&gt;=129,H33&lt;=2176),INDEX(Fields!$B$2:$B$206,MATCH(H33-129,Fields!$D$2:$D$206,1)),""),"")</f>
        <v/>
      </c>
      <c r="K33">
        <f>IFERROR(IF(AND(H33&lt;&gt;"",H33&gt;=129,H33&lt;=2176),INDEX(Fields!$C$2:$C$206,MATCH(H33-129,Fields!$D$2:$D$206,1)),""),"")</f>
        <v/>
      </c>
      <c r="L33">
        <f>IFERROR(IF(AND(H33&lt;&gt;"",H33&gt;=129,H33&lt;=2176),INDEX(Fields!$J$2:$J$206,MATCH(H33-129,Fields!$D$2:$D$206,1)),""),"")</f>
        <v/>
      </c>
      <c r="M33">
        <f>IFERROR(IF(AND(H33&lt;&gt;"",H33&gt;=129,H33&lt;=2176),INDEX(Fields!$K$2:$K$206,MATCH(H33-129,Fields!$D$2:$D$206,1)),""),"")</f>
        <v/>
      </c>
    </row>
    <row r="34">
      <c r="A34" t="n">
        <v>32</v>
      </c>
      <c r="B34" t="n">
        <v>0</v>
      </c>
      <c r="C34" t="inlineStr">
        <is>
          <t>No</t>
        </is>
      </c>
      <c r="D34">
        <f>IF(AND(B29=1,B30=1,B31=1,B32=1,B33=1),"Yes","")</f>
        <v/>
      </c>
      <c r="E34" t="inlineStr">
        <is>
          <t>No</t>
        </is>
      </c>
      <c r="F34" t="inlineStr">
        <is>
          <t>No</t>
        </is>
      </c>
      <c r="G34">
        <f>IF(F34="Yes",1-B34,B34)</f>
        <v/>
      </c>
      <c r="H34">
        <f>IF(E34="Yes","",COUNTIFS($E$2:E34,"No"))</f>
        <v/>
      </c>
      <c r="I34">
        <f>IF(H34="","",IF(H34&lt;=128,"address",IF(H34&lt;=600,"data1",IF(H34&lt;=1264,"zero-run1",IF(H34&lt;=1648,"data2",IF(H34&lt;=2176,"zero-run2",IF(H34&lt;=2192,"FCS","trailing")))))))</f>
        <v/>
      </c>
      <c r="J34">
        <f>IFERROR(IF(AND(H34&lt;&gt;"",H34&gt;=129,H34&lt;=2176),INDEX(Fields!$B$2:$B$206,MATCH(H34-129,Fields!$D$2:$D$206,1)),""),"")</f>
        <v/>
      </c>
      <c r="K34">
        <f>IFERROR(IF(AND(H34&lt;&gt;"",H34&gt;=129,H34&lt;=2176),INDEX(Fields!$C$2:$C$206,MATCH(H34-129,Fields!$D$2:$D$206,1)),""),"")</f>
        <v/>
      </c>
      <c r="L34">
        <f>IFERROR(IF(AND(H34&lt;&gt;"",H34&gt;=129,H34&lt;=2176),INDEX(Fields!$J$2:$J$206,MATCH(H34-129,Fields!$D$2:$D$206,1)),""),"")</f>
        <v/>
      </c>
      <c r="M34">
        <f>IFERROR(IF(AND(H34&lt;&gt;"",H34&gt;=129,H34&lt;=2176),INDEX(Fields!$K$2:$K$206,MATCH(H34-129,Fields!$D$2:$D$206,1)),""),"")</f>
        <v/>
      </c>
    </row>
    <row r="35">
      <c r="A35" t="n">
        <v>33</v>
      </c>
      <c r="B35" t="n">
        <v>1</v>
      </c>
      <c r="C35" t="inlineStr">
        <is>
          <t>No</t>
        </is>
      </c>
      <c r="D35">
        <f>IF(AND(B30=1,B31=1,B32=1,B33=1,B34=1),"Yes","")</f>
        <v/>
      </c>
      <c r="E35" t="inlineStr">
        <is>
          <t>No</t>
        </is>
      </c>
      <c r="F35" t="inlineStr">
        <is>
          <t>No</t>
        </is>
      </c>
      <c r="G35">
        <f>IF(F35="Yes",1-B35,B35)</f>
        <v/>
      </c>
      <c r="H35">
        <f>IF(E35="Yes","",COUNTIFS($E$2:E35,"No"))</f>
        <v/>
      </c>
      <c r="I35">
        <f>IF(H35="","",IF(H35&lt;=128,"address",IF(H35&lt;=600,"data1",IF(H35&lt;=1264,"zero-run1",IF(H35&lt;=1648,"data2",IF(H35&lt;=2176,"zero-run2",IF(H35&lt;=2192,"FCS","trailing")))))))</f>
        <v/>
      </c>
      <c r="J35">
        <f>IFERROR(IF(AND(H35&lt;&gt;"",H35&gt;=129,H35&lt;=2176),INDEX(Fields!$B$2:$B$206,MATCH(H35-129,Fields!$D$2:$D$206,1)),""),"")</f>
        <v/>
      </c>
      <c r="K35">
        <f>IFERROR(IF(AND(H35&lt;&gt;"",H35&gt;=129,H35&lt;=2176),INDEX(Fields!$C$2:$C$206,MATCH(H35-129,Fields!$D$2:$D$206,1)),""),"")</f>
        <v/>
      </c>
      <c r="L35">
        <f>IFERROR(IF(AND(H35&lt;&gt;"",H35&gt;=129,H35&lt;=2176),INDEX(Fields!$J$2:$J$206,MATCH(H35-129,Fields!$D$2:$D$206,1)),""),"")</f>
        <v/>
      </c>
      <c r="M35">
        <f>IFERROR(IF(AND(H35&lt;&gt;"",H35&gt;=129,H35&lt;=2176),INDEX(Fields!$K$2:$K$206,MATCH(H35-129,Fields!$D$2:$D$206,1)),""),"")</f>
        <v/>
      </c>
    </row>
    <row r="36">
      <c r="A36" t="n">
        <v>34</v>
      </c>
      <c r="B36" t="n">
        <v>0</v>
      </c>
      <c r="C36" t="inlineStr">
        <is>
          <t>No</t>
        </is>
      </c>
      <c r="D36">
        <f>IF(AND(B31=1,B32=1,B33=1,B34=1,B35=1),"Yes","")</f>
        <v/>
      </c>
      <c r="E36" t="inlineStr">
        <is>
          <t>No</t>
        </is>
      </c>
      <c r="F36" t="inlineStr">
        <is>
          <t>No</t>
        </is>
      </c>
      <c r="G36">
        <f>IF(F36="Yes",1-B36,B36)</f>
        <v/>
      </c>
      <c r="H36">
        <f>IF(E36="Yes","",COUNTIFS($E$2:E36,"No"))</f>
        <v/>
      </c>
      <c r="I36">
        <f>IF(H36="","",IF(H36&lt;=128,"address",IF(H36&lt;=600,"data1",IF(H36&lt;=1264,"zero-run1",IF(H36&lt;=1648,"data2",IF(H36&lt;=2176,"zero-run2",IF(H36&lt;=2192,"FCS","trailing")))))))</f>
        <v/>
      </c>
      <c r="J36">
        <f>IFERROR(IF(AND(H36&lt;&gt;"",H36&gt;=129,H36&lt;=2176),INDEX(Fields!$B$2:$B$206,MATCH(H36-129,Fields!$D$2:$D$206,1)),""),"")</f>
        <v/>
      </c>
      <c r="K36">
        <f>IFERROR(IF(AND(H36&lt;&gt;"",H36&gt;=129,H36&lt;=2176),INDEX(Fields!$C$2:$C$206,MATCH(H36-129,Fields!$D$2:$D$206,1)),""),"")</f>
        <v/>
      </c>
      <c r="L36">
        <f>IFERROR(IF(AND(H36&lt;&gt;"",H36&gt;=129,H36&lt;=2176),INDEX(Fields!$J$2:$J$206,MATCH(H36-129,Fields!$D$2:$D$206,1)),""),"")</f>
        <v/>
      </c>
      <c r="M36">
        <f>IFERROR(IF(AND(H36&lt;&gt;"",H36&gt;=129,H36&lt;=2176),INDEX(Fields!$K$2:$K$206,MATCH(H36-129,Fields!$D$2:$D$206,1)),""),"")</f>
        <v/>
      </c>
    </row>
    <row r="37">
      <c r="A37" t="n">
        <v>35</v>
      </c>
      <c r="B37" t="n">
        <v>1</v>
      </c>
      <c r="C37" t="inlineStr">
        <is>
          <t>No</t>
        </is>
      </c>
      <c r="D37">
        <f>IF(AND(B32=1,B33=1,B34=1,B35=1,B36=1),"Yes","")</f>
        <v/>
      </c>
      <c r="E37" t="inlineStr">
        <is>
          <t>No</t>
        </is>
      </c>
      <c r="F37" t="inlineStr">
        <is>
          <t>No</t>
        </is>
      </c>
      <c r="G37">
        <f>IF(F37="Yes",1-B37,B37)</f>
        <v/>
      </c>
      <c r="H37">
        <f>IF(E37="Yes","",COUNTIFS($E$2:E37,"No"))</f>
        <v/>
      </c>
      <c r="I37">
        <f>IF(H37="","",IF(H37&lt;=128,"address",IF(H37&lt;=600,"data1",IF(H37&lt;=1264,"zero-run1",IF(H37&lt;=1648,"data2",IF(H37&lt;=2176,"zero-run2",IF(H37&lt;=2192,"FCS","trailing")))))))</f>
        <v/>
      </c>
      <c r="J37">
        <f>IFERROR(IF(AND(H37&lt;&gt;"",H37&gt;=129,H37&lt;=2176),INDEX(Fields!$B$2:$B$206,MATCH(H37-129,Fields!$D$2:$D$206,1)),""),"")</f>
        <v/>
      </c>
      <c r="K37">
        <f>IFERROR(IF(AND(H37&lt;&gt;"",H37&gt;=129,H37&lt;=2176),INDEX(Fields!$C$2:$C$206,MATCH(H37-129,Fields!$D$2:$D$206,1)),""),"")</f>
        <v/>
      </c>
      <c r="L37">
        <f>IFERROR(IF(AND(H37&lt;&gt;"",H37&gt;=129,H37&lt;=2176),INDEX(Fields!$J$2:$J$206,MATCH(H37-129,Fields!$D$2:$D$206,1)),""),"")</f>
        <v/>
      </c>
      <c r="M37">
        <f>IFERROR(IF(AND(H37&lt;&gt;"",H37&gt;=129,H37&lt;=2176),INDEX(Fields!$K$2:$K$206,MATCH(H37-129,Fields!$D$2:$D$206,1)),""),"")</f>
        <v/>
      </c>
    </row>
    <row r="38">
      <c r="A38" t="n">
        <v>36</v>
      </c>
      <c r="B38" t="n">
        <v>0</v>
      </c>
      <c r="C38" t="inlineStr">
        <is>
          <t>No</t>
        </is>
      </c>
      <c r="D38">
        <f>IF(AND(B33=1,B34=1,B35=1,B36=1,B37=1),"Yes","")</f>
        <v/>
      </c>
      <c r="E38" t="inlineStr">
        <is>
          <t>No</t>
        </is>
      </c>
      <c r="F38" t="inlineStr">
        <is>
          <t>No</t>
        </is>
      </c>
      <c r="G38">
        <f>IF(F38="Yes",1-B38,B38)</f>
        <v/>
      </c>
      <c r="H38">
        <f>IF(E38="Yes","",COUNTIFS($E$2:E38,"No"))</f>
        <v/>
      </c>
      <c r="I38">
        <f>IF(H38="","",IF(H38&lt;=128,"address",IF(H38&lt;=600,"data1",IF(H38&lt;=1264,"zero-run1",IF(H38&lt;=1648,"data2",IF(H38&lt;=2176,"zero-run2",IF(H38&lt;=2192,"FCS","trailing")))))))</f>
        <v/>
      </c>
      <c r="J38">
        <f>IFERROR(IF(AND(H38&lt;&gt;"",H38&gt;=129,H38&lt;=2176),INDEX(Fields!$B$2:$B$206,MATCH(H38-129,Fields!$D$2:$D$206,1)),""),"")</f>
        <v/>
      </c>
      <c r="K38">
        <f>IFERROR(IF(AND(H38&lt;&gt;"",H38&gt;=129,H38&lt;=2176),INDEX(Fields!$C$2:$C$206,MATCH(H38-129,Fields!$D$2:$D$206,1)),""),"")</f>
        <v/>
      </c>
      <c r="L38">
        <f>IFERROR(IF(AND(H38&lt;&gt;"",H38&gt;=129,H38&lt;=2176),INDEX(Fields!$J$2:$J$206,MATCH(H38-129,Fields!$D$2:$D$206,1)),""),"")</f>
        <v/>
      </c>
      <c r="M38">
        <f>IFERROR(IF(AND(H38&lt;&gt;"",H38&gt;=129,H38&lt;=2176),INDEX(Fields!$K$2:$K$206,MATCH(H38-129,Fields!$D$2:$D$206,1)),""),"")</f>
        <v/>
      </c>
    </row>
    <row r="39">
      <c r="A39" t="n">
        <v>37</v>
      </c>
      <c r="B39" t="n">
        <v>1</v>
      </c>
      <c r="C39" t="inlineStr">
        <is>
          <t>No</t>
        </is>
      </c>
      <c r="D39">
        <f>IF(AND(B34=1,B35=1,B36=1,B37=1,B38=1),"Yes","")</f>
        <v/>
      </c>
      <c r="E39" t="inlineStr">
        <is>
          <t>No</t>
        </is>
      </c>
      <c r="F39" t="inlineStr">
        <is>
          <t>No</t>
        </is>
      </c>
      <c r="G39">
        <f>IF(F39="Yes",1-B39,B39)</f>
        <v/>
      </c>
      <c r="H39">
        <f>IF(E39="Yes","",COUNTIFS($E$2:E39,"No"))</f>
        <v/>
      </c>
      <c r="I39">
        <f>IF(H39="","",IF(H39&lt;=128,"address",IF(H39&lt;=600,"data1",IF(H39&lt;=1264,"zero-run1",IF(H39&lt;=1648,"data2",IF(H39&lt;=2176,"zero-run2",IF(H39&lt;=2192,"FCS","trailing")))))))</f>
        <v/>
      </c>
      <c r="J39">
        <f>IFERROR(IF(AND(H39&lt;&gt;"",H39&gt;=129,H39&lt;=2176),INDEX(Fields!$B$2:$B$206,MATCH(H39-129,Fields!$D$2:$D$206,1)),""),"")</f>
        <v/>
      </c>
      <c r="K39">
        <f>IFERROR(IF(AND(H39&lt;&gt;"",H39&gt;=129,H39&lt;=2176),INDEX(Fields!$C$2:$C$206,MATCH(H39-129,Fields!$D$2:$D$206,1)),""),"")</f>
        <v/>
      </c>
      <c r="L39">
        <f>IFERROR(IF(AND(H39&lt;&gt;"",H39&gt;=129,H39&lt;=2176),INDEX(Fields!$J$2:$J$206,MATCH(H39-129,Fields!$D$2:$D$206,1)),""),"")</f>
        <v/>
      </c>
      <c r="M39">
        <f>IFERROR(IF(AND(H39&lt;&gt;"",H39&gt;=129,H39&lt;=2176),INDEX(Fields!$K$2:$K$206,MATCH(H39-129,Fields!$D$2:$D$206,1)),""),"")</f>
        <v/>
      </c>
    </row>
    <row r="40">
      <c r="A40" t="n">
        <v>38</v>
      </c>
      <c r="B40" t="n">
        <v>0</v>
      </c>
      <c r="C40" t="inlineStr">
        <is>
          <t>No</t>
        </is>
      </c>
      <c r="D40">
        <f>IF(AND(B35=1,B36=1,B37=1,B38=1,B39=1),"Yes","")</f>
        <v/>
      </c>
      <c r="E40" t="inlineStr">
        <is>
          <t>No</t>
        </is>
      </c>
      <c r="F40" t="inlineStr">
        <is>
          <t>No</t>
        </is>
      </c>
      <c r="G40">
        <f>IF(F40="Yes",1-B40,B40)</f>
        <v/>
      </c>
      <c r="H40">
        <f>IF(E40="Yes","",COUNTIFS($E$2:E40,"No"))</f>
        <v/>
      </c>
      <c r="I40">
        <f>IF(H40="","",IF(H40&lt;=128,"address",IF(H40&lt;=600,"data1",IF(H40&lt;=1264,"zero-run1",IF(H40&lt;=1648,"data2",IF(H40&lt;=2176,"zero-run2",IF(H40&lt;=2192,"FCS","trailing")))))))</f>
        <v/>
      </c>
      <c r="J40">
        <f>IFERROR(IF(AND(H40&lt;&gt;"",H40&gt;=129,H40&lt;=2176),INDEX(Fields!$B$2:$B$206,MATCH(H40-129,Fields!$D$2:$D$206,1)),""),"")</f>
        <v/>
      </c>
      <c r="K40">
        <f>IFERROR(IF(AND(H40&lt;&gt;"",H40&gt;=129,H40&lt;=2176),INDEX(Fields!$C$2:$C$206,MATCH(H40-129,Fields!$D$2:$D$206,1)),""),"")</f>
        <v/>
      </c>
      <c r="L40">
        <f>IFERROR(IF(AND(H40&lt;&gt;"",H40&gt;=129,H40&lt;=2176),INDEX(Fields!$J$2:$J$206,MATCH(H40-129,Fields!$D$2:$D$206,1)),""),"")</f>
        <v/>
      </c>
      <c r="M40">
        <f>IFERROR(IF(AND(H40&lt;&gt;"",H40&gt;=129,H40&lt;=2176),INDEX(Fields!$K$2:$K$206,MATCH(H40-129,Fields!$D$2:$D$206,1)),""),"")</f>
        <v/>
      </c>
    </row>
    <row r="41">
      <c r="A41" t="n">
        <v>39</v>
      </c>
      <c r="B41" t="n">
        <v>1</v>
      </c>
      <c r="C41" t="inlineStr">
        <is>
          <t>No</t>
        </is>
      </c>
      <c r="D41">
        <f>IF(AND(B36=1,B37=1,B38=1,B39=1,B40=1),"Yes","")</f>
        <v/>
      </c>
      <c r="E41" t="inlineStr">
        <is>
          <t>No</t>
        </is>
      </c>
      <c r="F41" t="inlineStr">
        <is>
          <t>No</t>
        </is>
      </c>
      <c r="G41">
        <f>IF(F41="Yes",1-B41,B41)</f>
        <v/>
      </c>
      <c r="H41">
        <f>IF(E41="Yes","",COUNTIFS($E$2:E41,"No"))</f>
        <v/>
      </c>
      <c r="I41">
        <f>IF(H41="","",IF(H41&lt;=128,"address",IF(H41&lt;=600,"data1",IF(H41&lt;=1264,"zero-run1",IF(H41&lt;=1648,"data2",IF(H41&lt;=2176,"zero-run2",IF(H41&lt;=2192,"FCS","trailing")))))))</f>
        <v/>
      </c>
      <c r="J41">
        <f>IFERROR(IF(AND(H41&lt;&gt;"",H41&gt;=129,H41&lt;=2176),INDEX(Fields!$B$2:$B$206,MATCH(H41-129,Fields!$D$2:$D$206,1)),""),"")</f>
        <v/>
      </c>
      <c r="K41">
        <f>IFERROR(IF(AND(H41&lt;&gt;"",H41&gt;=129,H41&lt;=2176),INDEX(Fields!$C$2:$C$206,MATCH(H41-129,Fields!$D$2:$D$206,1)),""),"")</f>
        <v/>
      </c>
      <c r="L41">
        <f>IFERROR(IF(AND(H41&lt;&gt;"",H41&gt;=129,H41&lt;=2176),INDEX(Fields!$J$2:$J$206,MATCH(H41-129,Fields!$D$2:$D$206,1)),""),"")</f>
        <v/>
      </c>
      <c r="M41">
        <f>IFERROR(IF(AND(H41&lt;&gt;"",H41&gt;=129,H41&lt;=2176),INDEX(Fields!$K$2:$K$206,MATCH(H41-129,Fields!$D$2:$D$206,1)),""),"")</f>
        <v/>
      </c>
    </row>
    <row r="42">
      <c r="A42" t="n">
        <v>40</v>
      </c>
      <c r="B42" t="n">
        <v>0</v>
      </c>
      <c r="C42" t="inlineStr">
        <is>
          <t>No</t>
        </is>
      </c>
      <c r="D42">
        <f>IF(AND(B37=1,B38=1,B39=1,B40=1,B41=1),"Yes","")</f>
        <v/>
      </c>
      <c r="E42" t="inlineStr">
        <is>
          <t>No</t>
        </is>
      </c>
      <c r="F42" t="inlineStr">
        <is>
          <t>No</t>
        </is>
      </c>
      <c r="G42">
        <f>IF(F42="Yes",1-B42,B42)</f>
        <v/>
      </c>
      <c r="H42">
        <f>IF(E42="Yes","",COUNTIFS($E$2:E42,"No"))</f>
        <v/>
      </c>
      <c r="I42">
        <f>IF(H42="","",IF(H42&lt;=128,"address",IF(H42&lt;=600,"data1",IF(H42&lt;=1264,"zero-run1",IF(H42&lt;=1648,"data2",IF(H42&lt;=2176,"zero-run2",IF(H42&lt;=2192,"FCS","trailing")))))))</f>
        <v/>
      </c>
      <c r="J42">
        <f>IFERROR(IF(AND(H42&lt;&gt;"",H42&gt;=129,H42&lt;=2176),INDEX(Fields!$B$2:$B$206,MATCH(H42-129,Fields!$D$2:$D$206,1)),""),"")</f>
        <v/>
      </c>
      <c r="K42">
        <f>IFERROR(IF(AND(H42&lt;&gt;"",H42&gt;=129,H42&lt;=2176),INDEX(Fields!$C$2:$C$206,MATCH(H42-129,Fields!$D$2:$D$206,1)),""),"")</f>
        <v/>
      </c>
      <c r="L42">
        <f>IFERROR(IF(AND(H42&lt;&gt;"",H42&gt;=129,H42&lt;=2176),INDEX(Fields!$J$2:$J$206,MATCH(H42-129,Fields!$D$2:$D$206,1)),""),"")</f>
        <v/>
      </c>
      <c r="M42">
        <f>IFERROR(IF(AND(H42&lt;&gt;"",H42&gt;=129,H42&lt;=2176),INDEX(Fields!$K$2:$K$206,MATCH(H42-129,Fields!$D$2:$D$206,1)),""),"")</f>
        <v/>
      </c>
    </row>
    <row r="43">
      <c r="A43" t="n">
        <v>41</v>
      </c>
      <c r="B43" t="n">
        <v>0</v>
      </c>
      <c r="C43" t="inlineStr">
        <is>
          <t>No</t>
        </is>
      </c>
      <c r="D43">
        <f>IF(AND(B38=1,B39=1,B40=1,B41=1,B42=1),"Yes","")</f>
        <v/>
      </c>
      <c r="E43" t="inlineStr">
        <is>
          <t>No</t>
        </is>
      </c>
      <c r="F43" t="inlineStr">
        <is>
          <t>No</t>
        </is>
      </c>
      <c r="G43">
        <f>IF(F43="Yes",1-B43,B43)</f>
        <v/>
      </c>
      <c r="H43">
        <f>IF(E43="Yes","",COUNTIFS($E$2:E43,"No"))</f>
        <v/>
      </c>
      <c r="I43">
        <f>IF(H43="","",IF(H43&lt;=128,"address",IF(H43&lt;=600,"data1",IF(H43&lt;=1264,"zero-run1",IF(H43&lt;=1648,"data2",IF(H43&lt;=2176,"zero-run2",IF(H43&lt;=2192,"FCS","trailing")))))))</f>
        <v/>
      </c>
      <c r="J43">
        <f>IFERROR(IF(AND(H43&lt;&gt;"",H43&gt;=129,H43&lt;=2176),INDEX(Fields!$B$2:$B$206,MATCH(H43-129,Fields!$D$2:$D$206,1)),""),"")</f>
        <v/>
      </c>
      <c r="K43">
        <f>IFERROR(IF(AND(H43&lt;&gt;"",H43&gt;=129,H43&lt;=2176),INDEX(Fields!$C$2:$C$206,MATCH(H43-129,Fields!$D$2:$D$206,1)),""),"")</f>
        <v/>
      </c>
      <c r="L43">
        <f>IFERROR(IF(AND(H43&lt;&gt;"",H43&gt;=129,H43&lt;=2176),INDEX(Fields!$J$2:$J$206,MATCH(H43-129,Fields!$D$2:$D$206,1)),""),"")</f>
        <v/>
      </c>
      <c r="M43">
        <f>IFERROR(IF(AND(H43&lt;&gt;"",H43&gt;=129,H43&lt;=2176),INDEX(Fields!$K$2:$K$206,MATCH(H43-129,Fields!$D$2:$D$206,1)),""),"")</f>
        <v/>
      </c>
    </row>
    <row r="44">
      <c r="A44" t="n">
        <v>42</v>
      </c>
      <c r="B44" t="n">
        <v>0</v>
      </c>
      <c r="C44" t="inlineStr">
        <is>
          <t>No</t>
        </is>
      </c>
      <c r="D44">
        <f>IF(AND(B39=1,B40=1,B41=1,B42=1,B43=1),"Yes","")</f>
        <v/>
      </c>
      <c r="E44" t="inlineStr">
        <is>
          <t>No</t>
        </is>
      </c>
      <c r="F44" t="inlineStr">
        <is>
          <t>No</t>
        </is>
      </c>
      <c r="G44">
        <f>IF(F44="Yes",1-B44,B44)</f>
        <v/>
      </c>
      <c r="H44">
        <f>IF(E44="Yes","",COUNTIFS($E$2:E44,"No"))</f>
        <v/>
      </c>
      <c r="I44">
        <f>IF(H44="","",IF(H44&lt;=128,"address",IF(H44&lt;=600,"data1",IF(H44&lt;=1264,"zero-run1",IF(H44&lt;=1648,"data2",IF(H44&lt;=2176,"zero-run2",IF(H44&lt;=2192,"FCS","trailing")))))))</f>
        <v/>
      </c>
      <c r="J44">
        <f>IFERROR(IF(AND(H44&lt;&gt;"",H44&gt;=129,H44&lt;=2176),INDEX(Fields!$B$2:$B$206,MATCH(H44-129,Fields!$D$2:$D$206,1)),""),"")</f>
        <v/>
      </c>
      <c r="K44">
        <f>IFERROR(IF(AND(H44&lt;&gt;"",H44&gt;=129,H44&lt;=2176),INDEX(Fields!$C$2:$C$206,MATCH(H44-129,Fields!$D$2:$D$206,1)),""),"")</f>
        <v/>
      </c>
      <c r="L44">
        <f>IFERROR(IF(AND(H44&lt;&gt;"",H44&gt;=129,H44&lt;=2176),INDEX(Fields!$J$2:$J$206,MATCH(H44-129,Fields!$D$2:$D$206,1)),""),"")</f>
        <v/>
      </c>
      <c r="M44">
        <f>IFERROR(IF(AND(H44&lt;&gt;"",H44&gt;=129,H44&lt;=2176),INDEX(Fields!$K$2:$K$206,MATCH(H44-129,Fields!$D$2:$D$206,1)),""),"")</f>
        <v/>
      </c>
    </row>
    <row r="45">
      <c r="A45" t="n">
        <v>43</v>
      </c>
      <c r="B45" t="n">
        <v>0</v>
      </c>
      <c r="C45" t="inlineStr">
        <is>
          <t>No</t>
        </is>
      </c>
      <c r="D45">
        <f>IF(AND(B40=1,B41=1,B42=1,B43=1,B44=1),"Yes","")</f>
        <v/>
      </c>
      <c r="E45" t="inlineStr">
        <is>
          <t>No</t>
        </is>
      </c>
      <c r="F45" t="inlineStr">
        <is>
          <t>No</t>
        </is>
      </c>
      <c r="G45">
        <f>IF(F45="Yes",1-B45,B45)</f>
        <v/>
      </c>
      <c r="H45">
        <f>IF(E45="Yes","",COUNTIFS($E$2:E45,"No"))</f>
        <v/>
      </c>
      <c r="I45">
        <f>IF(H45="","",IF(H45&lt;=128,"address",IF(H45&lt;=600,"data1",IF(H45&lt;=1264,"zero-run1",IF(H45&lt;=1648,"data2",IF(H45&lt;=2176,"zero-run2",IF(H45&lt;=2192,"FCS","trailing")))))))</f>
        <v/>
      </c>
      <c r="J45">
        <f>IFERROR(IF(AND(H45&lt;&gt;"",H45&gt;=129,H45&lt;=2176),INDEX(Fields!$B$2:$B$206,MATCH(H45-129,Fields!$D$2:$D$206,1)),""),"")</f>
        <v/>
      </c>
      <c r="K45">
        <f>IFERROR(IF(AND(H45&lt;&gt;"",H45&gt;=129,H45&lt;=2176),INDEX(Fields!$C$2:$C$206,MATCH(H45-129,Fields!$D$2:$D$206,1)),""),"")</f>
        <v/>
      </c>
      <c r="L45">
        <f>IFERROR(IF(AND(H45&lt;&gt;"",H45&gt;=129,H45&lt;=2176),INDEX(Fields!$J$2:$J$206,MATCH(H45-129,Fields!$D$2:$D$206,1)),""),"")</f>
        <v/>
      </c>
      <c r="M45">
        <f>IFERROR(IF(AND(H45&lt;&gt;"",H45&gt;=129,H45&lt;=2176),INDEX(Fields!$K$2:$K$206,MATCH(H45-129,Fields!$D$2:$D$206,1)),""),"")</f>
        <v/>
      </c>
    </row>
    <row r="46">
      <c r="A46" t="n">
        <v>44</v>
      </c>
      <c r="B46" t="n">
        <v>0</v>
      </c>
      <c r="C46" t="inlineStr">
        <is>
          <t>No</t>
        </is>
      </c>
      <c r="D46">
        <f>IF(AND(B41=1,B42=1,B43=1,B44=1,B45=1),"Yes","")</f>
        <v/>
      </c>
      <c r="E46" t="inlineStr">
        <is>
          <t>No</t>
        </is>
      </c>
      <c r="F46" t="inlineStr">
        <is>
          <t>No</t>
        </is>
      </c>
      <c r="G46">
        <f>IF(F46="Yes",1-B46,B46)</f>
        <v/>
      </c>
      <c r="H46">
        <f>IF(E46="Yes","",COUNTIFS($E$2:E46,"No"))</f>
        <v/>
      </c>
      <c r="I46">
        <f>IF(H46="","",IF(H46&lt;=128,"address",IF(H46&lt;=600,"data1",IF(H46&lt;=1264,"zero-run1",IF(H46&lt;=1648,"data2",IF(H46&lt;=2176,"zero-run2",IF(H46&lt;=2192,"FCS","trailing")))))))</f>
        <v/>
      </c>
      <c r="J46">
        <f>IFERROR(IF(AND(H46&lt;&gt;"",H46&gt;=129,H46&lt;=2176),INDEX(Fields!$B$2:$B$206,MATCH(H46-129,Fields!$D$2:$D$206,1)),""),"")</f>
        <v/>
      </c>
      <c r="K46">
        <f>IFERROR(IF(AND(H46&lt;&gt;"",H46&gt;=129,H46&lt;=2176),INDEX(Fields!$C$2:$C$206,MATCH(H46-129,Fields!$D$2:$D$206,1)),""),"")</f>
        <v/>
      </c>
      <c r="L46">
        <f>IFERROR(IF(AND(H46&lt;&gt;"",H46&gt;=129,H46&lt;=2176),INDEX(Fields!$J$2:$J$206,MATCH(H46-129,Fields!$D$2:$D$206,1)),""),"")</f>
        <v/>
      </c>
      <c r="M46">
        <f>IFERROR(IF(AND(H46&lt;&gt;"",H46&gt;=129,H46&lt;=2176),INDEX(Fields!$K$2:$K$206,MATCH(H46-129,Fields!$D$2:$D$206,1)),""),"")</f>
        <v/>
      </c>
    </row>
    <row r="47">
      <c r="A47" t="n">
        <v>45</v>
      </c>
      <c r="B47" t="n">
        <v>0</v>
      </c>
      <c r="C47" t="inlineStr">
        <is>
          <t>No</t>
        </is>
      </c>
      <c r="D47">
        <f>IF(AND(B42=1,B43=1,B44=1,B45=1,B46=1),"Yes","")</f>
        <v/>
      </c>
      <c r="E47" t="inlineStr">
        <is>
          <t>No</t>
        </is>
      </c>
      <c r="F47" t="inlineStr">
        <is>
          <t>No</t>
        </is>
      </c>
      <c r="G47">
        <f>IF(F47="Yes",1-B47,B47)</f>
        <v/>
      </c>
      <c r="H47">
        <f>IF(E47="Yes","",COUNTIFS($E$2:E47,"No"))</f>
        <v/>
      </c>
      <c r="I47">
        <f>IF(H47="","",IF(H47&lt;=128,"address",IF(H47&lt;=600,"data1",IF(H47&lt;=1264,"zero-run1",IF(H47&lt;=1648,"data2",IF(H47&lt;=2176,"zero-run2",IF(H47&lt;=2192,"FCS","trailing")))))))</f>
        <v/>
      </c>
      <c r="J47">
        <f>IFERROR(IF(AND(H47&lt;&gt;"",H47&gt;=129,H47&lt;=2176),INDEX(Fields!$B$2:$B$206,MATCH(H47-129,Fields!$D$2:$D$206,1)),""),"")</f>
        <v/>
      </c>
      <c r="K47">
        <f>IFERROR(IF(AND(H47&lt;&gt;"",H47&gt;=129,H47&lt;=2176),INDEX(Fields!$C$2:$C$206,MATCH(H47-129,Fields!$D$2:$D$206,1)),""),"")</f>
        <v/>
      </c>
      <c r="L47">
        <f>IFERROR(IF(AND(H47&lt;&gt;"",H47&gt;=129,H47&lt;=2176),INDEX(Fields!$J$2:$J$206,MATCH(H47-129,Fields!$D$2:$D$206,1)),""),"")</f>
        <v/>
      </c>
      <c r="M47">
        <f>IFERROR(IF(AND(H47&lt;&gt;"",H47&gt;=129,H47&lt;=2176),INDEX(Fields!$K$2:$K$206,MATCH(H47-129,Fields!$D$2:$D$206,1)),""),"")</f>
        <v/>
      </c>
    </row>
    <row r="48">
      <c r="A48" t="n">
        <v>46</v>
      </c>
      <c r="B48" t="n">
        <v>1</v>
      </c>
      <c r="C48" t="inlineStr">
        <is>
          <t>No</t>
        </is>
      </c>
      <c r="D48">
        <f>IF(AND(B43=1,B44=1,B45=1,B46=1,B47=1),"Yes","")</f>
        <v/>
      </c>
      <c r="E48" t="inlineStr">
        <is>
          <t>No</t>
        </is>
      </c>
      <c r="F48" t="inlineStr">
        <is>
          <t>No</t>
        </is>
      </c>
      <c r="G48">
        <f>IF(F48="Yes",1-B48,B48)</f>
        <v/>
      </c>
      <c r="H48">
        <f>IF(E48="Yes","",COUNTIFS($E$2:E48,"No"))</f>
        <v/>
      </c>
      <c r="I48">
        <f>IF(H48="","",IF(H48&lt;=128,"address",IF(H48&lt;=600,"data1",IF(H48&lt;=1264,"zero-run1",IF(H48&lt;=1648,"data2",IF(H48&lt;=2176,"zero-run2",IF(H48&lt;=2192,"FCS","trailing")))))))</f>
        <v/>
      </c>
      <c r="J48">
        <f>IFERROR(IF(AND(H48&lt;&gt;"",H48&gt;=129,H48&lt;=2176),INDEX(Fields!$B$2:$B$206,MATCH(H48-129,Fields!$D$2:$D$206,1)),""),"")</f>
        <v/>
      </c>
      <c r="K48">
        <f>IFERROR(IF(AND(H48&lt;&gt;"",H48&gt;=129,H48&lt;=2176),INDEX(Fields!$C$2:$C$206,MATCH(H48-129,Fields!$D$2:$D$206,1)),""),"")</f>
        <v/>
      </c>
      <c r="L48">
        <f>IFERROR(IF(AND(H48&lt;&gt;"",H48&gt;=129,H48&lt;=2176),INDEX(Fields!$J$2:$J$206,MATCH(H48-129,Fields!$D$2:$D$206,1)),""),"")</f>
        <v/>
      </c>
      <c r="M48">
        <f>IFERROR(IF(AND(H48&lt;&gt;"",H48&gt;=129,H48&lt;=2176),INDEX(Fields!$K$2:$K$206,MATCH(H48-129,Fields!$D$2:$D$206,1)),""),"")</f>
        <v/>
      </c>
    </row>
    <row r="49">
      <c r="A49" t="n">
        <v>47</v>
      </c>
      <c r="B49" t="n">
        <v>0</v>
      </c>
      <c r="C49" t="inlineStr">
        <is>
          <t>No</t>
        </is>
      </c>
      <c r="D49">
        <f>IF(AND(B44=1,B45=1,B46=1,B47=1,B48=1),"Yes","")</f>
        <v/>
      </c>
      <c r="E49" t="inlineStr">
        <is>
          <t>No</t>
        </is>
      </c>
      <c r="F49" t="inlineStr">
        <is>
          <t>No</t>
        </is>
      </c>
      <c r="G49">
        <f>IF(F49="Yes",1-B49,B49)</f>
        <v/>
      </c>
      <c r="H49">
        <f>IF(E49="Yes","",COUNTIFS($E$2:E49,"No"))</f>
        <v/>
      </c>
      <c r="I49">
        <f>IF(H49="","",IF(H49&lt;=128,"address",IF(H49&lt;=600,"data1",IF(H49&lt;=1264,"zero-run1",IF(H49&lt;=1648,"data2",IF(H49&lt;=2176,"zero-run2",IF(H49&lt;=2192,"FCS","trailing")))))))</f>
        <v/>
      </c>
      <c r="J49">
        <f>IFERROR(IF(AND(H49&lt;&gt;"",H49&gt;=129,H49&lt;=2176),INDEX(Fields!$B$2:$B$206,MATCH(H49-129,Fields!$D$2:$D$206,1)),""),"")</f>
        <v/>
      </c>
      <c r="K49">
        <f>IFERROR(IF(AND(H49&lt;&gt;"",H49&gt;=129,H49&lt;=2176),INDEX(Fields!$C$2:$C$206,MATCH(H49-129,Fields!$D$2:$D$206,1)),""),"")</f>
        <v/>
      </c>
      <c r="L49">
        <f>IFERROR(IF(AND(H49&lt;&gt;"",H49&gt;=129,H49&lt;=2176),INDEX(Fields!$J$2:$J$206,MATCH(H49-129,Fields!$D$2:$D$206,1)),""),"")</f>
        <v/>
      </c>
      <c r="M49">
        <f>IFERROR(IF(AND(H49&lt;&gt;"",H49&gt;=129,H49&lt;=2176),INDEX(Fields!$K$2:$K$206,MATCH(H49-129,Fields!$D$2:$D$206,1)),""),"")</f>
        <v/>
      </c>
    </row>
    <row r="50">
      <c r="A50" t="n">
        <v>48</v>
      </c>
      <c r="B50" t="n">
        <v>0</v>
      </c>
      <c r="C50" t="inlineStr">
        <is>
          <t>No</t>
        </is>
      </c>
      <c r="D50">
        <f>IF(AND(B45=1,B46=1,B47=1,B48=1,B49=1),"Yes","")</f>
        <v/>
      </c>
      <c r="E50" t="inlineStr">
        <is>
          <t>No</t>
        </is>
      </c>
      <c r="F50" t="inlineStr">
        <is>
          <t>No</t>
        </is>
      </c>
      <c r="G50">
        <f>IF(F50="Yes",1-B50,B50)</f>
        <v/>
      </c>
      <c r="H50">
        <f>IF(E50="Yes","",COUNTIFS($E$2:E50,"No"))</f>
        <v/>
      </c>
      <c r="I50">
        <f>IF(H50="","",IF(H50&lt;=128,"address",IF(H50&lt;=600,"data1",IF(H50&lt;=1264,"zero-run1",IF(H50&lt;=1648,"data2",IF(H50&lt;=2176,"zero-run2",IF(H50&lt;=2192,"FCS","trailing")))))))</f>
        <v/>
      </c>
      <c r="J50">
        <f>IFERROR(IF(AND(H50&lt;&gt;"",H50&gt;=129,H50&lt;=2176),INDEX(Fields!$B$2:$B$206,MATCH(H50-129,Fields!$D$2:$D$206,1)),""),"")</f>
        <v/>
      </c>
      <c r="K50">
        <f>IFERROR(IF(AND(H50&lt;&gt;"",H50&gt;=129,H50&lt;=2176),INDEX(Fields!$C$2:$C$206,MATCH(H50-129,Fields!$D$2:$D$206,1)),""),"")</f>
        <v/>
      </c>
      <c r="L50">
        <f>IFERROR(IF(AND(H50&lt;&gt;"",H50&gt;=129,H50&lt;=2176),INDEX(Fields!$J$2:$J$206,MATCH(H50-129,Fields!$D$2:$D$206,1)),""),"")</f>
        <v/>
      </c>
      <c r="M50">
        <f>IFERROR(IF(AND(H50&lt;&gt;"",H50&gt;=129,H50&lt;=2176),INDEX(Fields!$K$2:$K$206,MATCH(H50-129,Fields!$D$2:$D$206,1)),""),"")</f>
        <v/>
      </c>
    </row>
    <row r="51">
      <c r="A51" t="n">
        <v>49</v>
      </c>
      <c r="B51" t="n">
        <v>0</v>
      </c>
      <c r="C51" t="inlineStr">
        <is>
          <t>No</t>
        </is>
      </c>
      <c r="D51">
        <f>IF(AND(B46=1,B47=1,B48=1,B49=1,B50=1),"Yes","")</f>
        <v/>
      </c>
      <c r="E51" t="inlineStr">
        <is>
          <t>No</t>
        </is>
      </c>
      <c r="F51" t="inlineStr">
        <is>
          <t>No</t>
        </is>
      </c>
      <c r="G51">
        <f>IF(F51="Yes",1-B51,B51)</f>
        <v/>
      </c>
      <c r="H51">
        <f>IF(E51="Yes","",COUNTIFS($E$2:E51,"No"))</f>
        <v/>
      </c>
      <c r="I51">
        <f>IF(H51="","",IF(H51&lt;=128,"address",IF(H51&lt;=600,"data1",IF(H51&lt;=1264,"zero-run1",IF(H51&lt;=1648,"data2",IF(H51&lt;=2176,"zero-run2",IF(H51&lt;=2192,"FCS","trailing")))))))</f>
        <v/>
      </c>
      <c r="J51">
        <f>IFERROR(IF(AND(H51&lt;&gt;"",H51&gt;=129,H51&lt;=2176),INDEX(Fields!$B$2:$B$206,MATCH(H51-129,Fields!$D$2:$D$206,1)),""),"")</f>
        <v/>
      </c>
      <c r="K51">
        <f>IFERROR(IF(AND(H51&lt;&gt;"",H51&gt;=129,H51&lt;=2176),INDEX(Fields!$C$2:$C$206,MATCH(H51-129,Fields!$D$2:$D$206,1)),""),"")</f>
        <v/>
      </c>
      <c r="L51">
        <f>IFERROR(IF(AND(H51&lt;&gt;"",H51&gt;=129,H51&lt;=2176),INDEX(Fields!$J$2:$J$206,MATCH(H51-129,Fields!$D$2:$D$206,1)),""),"")</f>
        <v/>
      </c>
      <c r="M51">
        <f>IFERROR(IF(AND(H51&lt;&gt;"",H51&gt;=129,H51&lt;=2176),INDEX(Fields!$K$2:$K$206,MATCH(H51-129,Fields!$D$2:$D$206,1)),""),"")</f>
        <v/>
      </c>
    </row>
    <row r="52">
      <c r="A52" t="n">
        <v>50</v>
      </c>
      <c r="B52" t="n">
        <v>0</v>
      </c>
      <c r="C52" t="inlineStr">
        <is>
          <t>No</t>
        </is>
      </c>
      <c r="D52">
        <f>IF(AND(B47=1,B48=1,B49=1,B50=1,B51=1),"Yes","")</f>
        <v/>
      </c>
      <c r="E52" t="inlineStr">
        <is>
          <t>No</t>
        </is>
      </c>
      <c r="F52" t="inlineStr">
        <is>
          <t>No</t>
        </is>
      </c>
      <c r="G52">
        <f>IF(F52="Yes",1-B52,B52)</f>
        <v/>
      </c>
      <c r="H52">
        <f>IF(E52="Yes","",COUNTIFS($E$2:E52,"No"))</f>
        <v/>
      </c>
      <c r="I52">
        <f>IF(H52="","",IF(H52&lt;=128,"address",IF(H52&lt;=600,"data1",IF(H52&lt;=1264,"zero-run1",IF(H52&lt;=1648,"data2",IF(H52&lt;=2176,"zero-run2",IF(H52&lt;=2192,"FCS","trailing")))))))</f>
        <v/>
      </c>
      <c r="J52">
        <f>IFERROR(IF(AND(H52&lt;&gt;"",H52&gt;=129,H52&lt;=2176),INDEX(Fields!$B$2:$B$206,MATCH(H52-129,Fields!$D$2:$D$206,1)),""),"")</f>
        <v/>
      </c>
      <c r="K52">
        <f>IFERROR(IF(AND(H52&lt;&gt;"",H52&gt;=129,H52&lt;=2176),INDEX(Fields!$C$2:$C$206,MATCH(H52-129,Fields!$D$2:$D$206,1)),""),"")</f>
        <v/>
      </c>
      <c r="L52">
        <f>IFERROR(IF(AND(H52&lt;&gt;"",H52&gt;=129,H52&lt;=2176),INDEX(Fields!$J$2:$J$206,MATCH(H52-129,Fields!$D$2:$D$206,1)),""),"")</f>
        <v/>
      </c>
      <c r="M52">
        <f>IFERROR(IF(AND(H52&lt;&gt;"",H52&gt;=129,H52&lt;=2176),INDEX(Fields!$K$2:$K$206,MATCH(H52-129,Fields!$D$2:$D$206,1)),""),"")</f>
        <v/>
      </c>
    </row>
    <row r="53">
      <c r="A53" t="n">
        <v>51</v>
      </c>
      <c r="B53" t="n">
        <v>0</v>
      </c>
      <c r="C53" t="inlineStr">
        <is>
          <t>No</t>
        </is>
      </c>
      <c r="D53">
        <f>IF(AND(B48=1,B49=1,B50=1,B51=1,B52=1),"Yes","")</f>
        <v/>
      </c>
      <c r="E53" t="inlineStr">
        <is>
          <t>No</t>
        </is>
      </c>
      <c r="F53" t="inlineStr">
        <is>
          <t>No</t>
        </is>
      </c>
      <c r="G53">
        <f>IF(F53="Yes",1-B53,B53)</f>
        <v/>
      </c>
      <c r="H53">
        <f>IF(E53="Yes","",COUNTIFS($E$2:E53,"No"))</f>
        <v/>
      </c>
      <c r="I53">
        <f>IF(H53="","",IF(H53&lt;=128,"address",IF(H53&lt;=600,"data1",IF(H53&lt;=1264,"zero-run1",IF(H53&lt;=1648,"data2",IF(H53&lt;=2176,"zero-run2",IF(H53&lt;=2192,"FCS","trailing")))))))</f>
        <v/>
      </c>
      <c r="J53">
        <f>IFERROR(IF(AND(H53&lt;&gt;"",H53&gt;=129,H53&lt;=2176),INDEX(Fields!$B$2:$B$206,MATCH(H53-129,Fields!$D$2:$D$206,1)),""),"")</f>
        <v/>
      </c>
      <c r="K53">
        <f>IFERROR(IF(AND(H53&lt;&gt;"",H53&gt;=129,H53&lt;=2176),INDEX(Fields!$C$2:$C$206,MATCH(H53-129,Fields!$D$2:$D$206,1)),""),"")</f>
        <v/>
      </c>
      <c r="L53">
        <f>IFERROR(IF(AND(H53&lt;&gt;"",H53&gt;=129,H53&lt;=2176),INDEX(Fields!$J$2:$J$206,MATCH(H53-129,Fields!$D$2:$D$206,1)),""),"")</f>
        <v/>
      </c>
      <c r="M53">
        <f>IFERROR(IF(AND(H53&lt;&gt;"",H53&gt;=129,H53&lt;=2176),INDEX(Fields!$K$2:$K$206,MATCH(H53-129,Fields!$D$2:$D$206,1)),""),"")</f>
        <v/>
      </c>
    </row>
    <row r="54">
      <c r="A54" t="n">
        <v>52</v>
      </c>
      <c r="B54" t="n">
        <v>0</v>
      </c>
      <c r="C54" t="inlineStr">
        <is>
          <t>No</t>
        </is>
      </c>
      <c r="D54">
        <f>IF(AND(B49=1,B50=1,B51=1,B52=1,B53=1),"Yes","")</f>
        <v/>
      </c>
      <c r="E54" t="inlineStr">
        <is>
          <t>No</t>
        </is>
      </c>
      <c r="F54" t="inlineStr">
        <is>
          <t>No</t>
        </is>
      </c>
      <c r="G54">
        <f>IF(F54="Yes",1-B54,B54)</f>
        <v/>
      </c>
      <c r="H54">
        <f>IF(E54="Yes","",COUNTIFS($E$2:E54,"No"))</f>
        <v/>
      </c>
      <c r="I54">
        <f>IF(H54="","",IF(H54&lt;=128,"address",IF(H54&lt;=600,"data1",IF(H54&lt;=1264,"zero-run1",IF(H54&lt;=1648,"data2",IF(H54&lt;=2176,"zero-run2",IF(H54&lt;=2192,"FCS","trailing")))))))</f>
        <v/>
      </c>
      <c r="J54">
        <f>IFERROR(IF(AND(H54&lt;&gt;"",H54&gt;=129,H54&lt;=2176),INDEX(Fields!$B$2:$B$206,MATCH(H54-129,Fields!$D$2:$D$206,1)),""),"")</f>
        <v/>
      </c>
      <c r="K54">
        <f>IFERROR(IF(AND(H54&lt;&gt;"",H54&gt;=129,H54&lt;=2176),INDEX(Fields!$C$2:$C$206,MATCH(H54-129,Fields!$D$2:$D$206,1)),""),"")</f>
        <v/>
      </c>
      <c r="L54">
        <f>IFERROR(IF(AND(H54&lt;&gt;"",H54&gt;=129,H54&lt;=2176),INDEX(Fields!$J$2:$J$206,MATCH(H54-129,Fields!$D$2:$D$206,1)),""),"")</f>
        <v/>
      </c>
      <c r="M54">
        <f>IFERROR(IF(AND(H54&lt;&gt;"",H54&gt;=129,H54&lt;=2176),INDEX(Fields!$K$2:$K$206,MATCH(H54-129,Fields!$D$2:$D$206,1)),""),"")</f>
        <v/>
      </c>
    </row>
    <row r="55">
      <c r="A55" t="n">
        <v>53</v>
      </c>
      <c r="B55" t="n">
        <v>1</v>
      </c>
      <c r="C55" t="inlineStr">
        <is>
          <t>No</t>
        </is>
      </c>
      <c r="D55">
        <f>IF(AND(B50=1,B51=1,B52=1,B53=1,B54=1),"Yes","")</f>
        <v/>
      </c>
      <c r="E55" t="inlineStr">
        <is>
          <t>No</t>
        </is>
      </c>
      <c r="F55" t="inlineStr">
        <is>
          <t>No</t>
        </is>
      </c>
      <c r="G55">
        <f>IF(F55="Yes",1-B55,B55)</f>
        <v/>
      </c>
      <c r="H55">
        <f>IF(E55="Yes","",COUNTIFS($E$2:E55,"No"))</f>
        <v/>
      </c>
      <c r="I55">
        <f>IF(H55="","",IF(H55&lt;=128,"address",IF(H55&lt;=600,"data1",IF(H55&lt;=1264,"zero-run1",IF(H55&lt;=1648,"data2",IF(H55&lt;=2176,"zero-run2",IF(H55&lt;=2192,"FCS","trailing")))))))</f>
        <v/>
      </c>
      <c r="J55">
        <f>IFERROR(IF(AND(H55&lt;&gt;"",H55&gt;=129,H55&lt;=2176),INDEX(Fields!$B$2:$B$206,MATCH(H55-129,Fields!$D$2:$D$206,1)),""),"")</f>
        <v/>
      </c>
      <c r="K55">
        <f>IFERROR(IF(AND(H55&lt;&gt;"",H55&gt;=129,H55&lt;=2176),INDEX(Fields!$C$2:$C$206,MATCH(H55-129,Fields!$D$2:$D$206,1)),""),"")</f>
        <v/>
      </c>
      <c r="L55">
        <f>IFERROR(IF(AND(H55&lt;&gt;"",H55&gt;=129,H55&lt;=2176),INDEX(Fields!$J$2:$J$206,MATCH(H55-129,Fields!$D$2:$D$206,1)),""),"")</f>
        <v/>
      </c>
      <c r="M55">
        <f>IFERROR(IF(AND(H55&lt;&gt;"",H55&gt;=129,H55&lt;=2176),INDEX(Fields!$K$2:$K$206,MATCH(H55-129,Fields!$D$2:$D$206,1)),""),"")</f>
        <v/>
      </c>
    </row>
    <row r="56">
      <c r="A56" t="n">
        <v>54</v>
      </c>
      <c r="B56" t="n">
        <v>1</v>
      </c>
      <c r="C56" t="inlineStr">
        <is>
          <t>No</t>
        </is>
      </c>
      <c r="D56">
        <f>IF(AND(B51=1,B52=1,B53=1,B54=1,B55=1),"Yes","")</f>
        <v/>
      </c>
      <c r="E56" t="inlineStr">
        <is>
          <t>No</t>
        </is>
      </c>
      <c r="F56" t="inlineStr">
        <is>
          <t>No</t>
        </is>
      </c>
      <c r="G56">
        <f>IF(F56="Yes",1-B56,B56)</f>
        <v/>
      </c>
      <c r="H56">
        <f>IF(E56="Yes","",COUNTIFS($E$2:E56,"No"))</f>
        <v/>
      </c>
      <c r="I56">
        <f>IF(H56="","",IF(H56&lt;=128,"address",IF(H56&lt;=600,"data1",IF(H56&lt;=1264,"zero-run1",IF(H56&lt;=1648,"data2",IF(H56&lt;=2176,"zero-run2",IF(H56&lt;=2192,"FCS","trailing")))))))</f>
        <v/>
      </c>
      <c r="J56">
        <f>IFERROR(IF(AND(H56&lt;&gt;"",H56&gt;=129,H56&lt;=2176),INDEX(Fields!$B$2:$B$206,MATCH(H56-129,Fields!$D$2:$D$206,1)),""),"")</f>
        <v/>
      </c>
      <c r="K56">
        <f>IFERROR(IF(AND(H56&lt;&gt;"",H56&gt;=129,H56&lt;=2176),INDEX(Fields!$C$2:$C$206,MATCH(H56-129,Fields!$D$2:$D$206,1)),""),"")</f>
        <v/>
      </c>
      <c r="L56">
        <f>IFERROR(IF(AND(H56&lt;&gt;"",H56&gt;=129,H56&lt;=2176),INDEX(Fields!$J$2:$J$206,MATCH(H56-129,Fields!$D$2:$D$206,1)),""),"")</f>
        <v/>
      </c>
      <c r="M56">
        <f>IFERROR(IF(AND(H56&lt;&gt;"",H56&gt;=129,H56&lt;=2176),INDEX(Fields!$K$2:$K$206,MATCH(H56-129,Fields!$D$2:$D$206,1)),""),"")</f>
        <v/>
      </c>
    </row>
    <row r="57">
      <c r="A57" t="n">
        <v>55</v>
      </c>
      <c r="B57" t="n">
        <v>0</v>
      </c>
      <c r="C57" t="inlineStr">
        <is>
          <t>No</t>
        </is>
      </c>
      <c r="D57">
        <f>IF(AND(B52=1,B53=1,B54=1,B55=1,B56=1),"Yes","")</f>
        <v/>
      </c>
      <c r="E57" t="inlineStr">
        <is>
          <t>No</t>
        </is>
      </c>
      <c r="F57" t="inlineStr">
        <is>
          <t>No</t>
        </is>
      </c>
      <c r="G57">
        <f>IF(F57="Yes",1-B57,B57)</f>
        <v/>
      </c>
      <c r="H57">
        <f>IF(E57="Yes","",COUNTIFS($E$2:E57,"No"))</f>
        <v/>
      </c>
      <c r="I57">
        <f>IF(H57="","",IF(H57&lt;=128,"address",IF(H57&lt;=600,"data1",IF(H57&lt;=1264,"zero-run1",IF(H57&lt;=1648,"data2",IF(H57&lt;=2176,"zero-run2",IF(H57&lt;=2192,"FCS","trailing")))))))</f>
        <v/>
      </c>
      <c r="J57">
        <f>IFERROR(IF(AND(H57&lt;&gt;"",H57&gt;=129,H57&lt;=2176),INDEX(Fields!$B$2:$B$206,MATCH(H57-129,Fields!$D$2:$D$206,1)),""),"")</f>
        <v/>
      </c>
      <c r="K57">
        <f>IFERROR(IF(AND(H57&lt;&gt;"",H57&gt;=129,H57&lt;=2176),INDEX(Fields!$C$2:$C$206,MATCH(H57-129,Fields!$D$2:$D$206,1)),""),"")</f>
        <v/>
      </c>
      <c r="L57">
        <f>IFERROR(IF(AND(H57&lt;&gt;"",H57&gt;=129,H57&lt;=2176),INDEX(Fields!$J$2:$J$206,MATCH(H57-129,Fields!$D$2:$D$206,1)),""),"")</f>
        <v/>
      </c>
      <c r="M57">
        <f>IFERROR(IF(AND(H57&lt;&gt;"",H57&gt;=129,H57&lt;=2176),INDEX(Fields!$K$2:$K$206,MATCH(H57-129,Fields!$D$2:$D$206,1)),""),"")</f>
        <v/>
      </c>
    </row>
    <row r="58">
      <c r="A58" t="n">
        <v>56</v>
      </c>
      <c r="B58" t="n">
        <v>0</v>
      </c>
      <c r="C58" t="inlineStr">
        <is>
          <t>No</t>
        </is>
      </c>
      <c r="D58">
        <f>IF(AND(B53=1,B54=1,B55=1,B56=1,B57=1),"Yes","")</f>
        <v/>
      </c>
      <c r="E58" t="inlineStr">
        <is>
          <t>No</t>
        </is>
      </c>
      <c r="F58" t="inlineStr">
        <is>
          <t>No</t>
        </is>
      </c>
      <c r="G58">
        <f>IF(F58="Yes",1-B58,B58)</f>
        <v/>
      </c>
      <c r="H58">
        <f>IF(E58="Yes","",COUNTIFS($E$2:E58,"No"))</f>
        <v/>
      </c>
      <c r="I58">
        <f>IF(H58="","",IF(H58&lt;=128,"address",IF(H58&lt;=600,"data1",IF(H58&lt;=1264,"zero-run1",IF(H58&lt;=1648,"data2",IF(H58&lt;=2176,"zero-run2",IF(H58&lt;=2192,"FCS","trailing")))))))</f>
        <v/>
      </c>
      <c r="J58">
        <f>IFERROR(IF(AND(H58&lt;&gt;"",H58&gt;=129,H58&lt;=2176),INDEX(Fields!$B$2:$B$206,MATCH(H58-129,Fields!$D$2:$D$206,1)),""),"")</f>
        <v/>
      </c>
      <c r="K58">
        <f>IFERROR(IF(AND(H58&lt;&gt;"",H58&gt;=129,H58&lt;=2176),INDEX(Fields!$C$2:$C$206,MATCH(H58-129,Fields!$D$2:$D$206,1)),""),"")</f>
        <v/>
      </c>
      <c r="L58">
        <f>IFERROR(IF(AND(H58&lt;&gt;"",H58&gt;=129,H58&lt;=2176),INDEX(Fields!$J$2:$J$206,MATCH(H58-129,Fields!$D$2:$D$206,1)),""),"")</f>
        <v/>
      </c>
      <c r="M58">
        <f>IFERROR(IF(AND(H58&lt;&gt;"",H58&gt;=129,H58&lt;=2176),INDEX(Fields!$K$2:$K$206,MATCH(H58-129,Fields!$D$2:$D$206,1)),""),"")</f>
        <v/>
      </c>
    </row>
    <row r="59">
      <c r="A59" t="n">
        <v>57</v>
      </c>
      <c r="B59" t="n">
        <v>0</v>
      </c>
      <c r="C59" t="inlineStr">
        <is>
          <t>No</t>
        </is>
      </c>
      <c r="D59">
        <f>IF(AND(B54=1,B55=1,B56=1,B57=1,B58=1),"Yes","")</f>
        <v/>
      </c>
      <c r="E59" t="inlineStr">
        <is>
          <t>No</t>
        </is>
      </c>
      <c r="F59" t="inlineStr">
        <is>
          <t>No</t>
        </is>
      </c>
      <c r="G59">
        <f>IF(F59="Yes",1-B59,B59)</f>
        <v/>
      </c>
      <c r="H59">
        <f>IF(E59="Yes","",COUNTIFS($E$2:E59,"No"))</f>
        <v/>
      </c>
      <c r="I59">
        <f>IF(H59="","",IF(H59&lt;=128,"address",IF(H59&lt;=600,"data1",IF(H59&lt;=1264,"zero-run1",IF(H59&lt;=1648,"data2",IF(H59&lt;=2176,"zero-run2",IF(H59&lt;=2192,"FCS","trailing")))))))</f>
        <v/>
      </c>
      <c r="J59">
        <f>IFERROR(IF(AND(H59&lt;&gt;"",H59&gt;=129,H59&lt;=2176),INDEX(Fields!$B$2:$B$206,MATCH(H59-129,Fields!$D$2:$D$206,1)),""),"")</f>
        <v/>
      </c>
      <c r="K59">
        <f>IFERROR(IF(AND(H59&lt;&gt;"",H59&gt;=129,H59&lt;=2176),INDEX(Fields!$C$2:$C$206,MATCH(H59-129,Fields!$D$2:$D$206,1)),""),"")</f>
        <v/>
      </c>
      <c r="L59">
        <f>IFERROR(IF(AND(H59&lt;&gt;"",H59&gt;=129,H59&lt;=2176),INDEX(Fields!$J$2:$J$206,MATCH(H59-129,Fields!$D$2:$D$206,1)),""),"")</f>
        <v/>
      </c>
      <c r="M59">
        <f>IFERROR(IF(AND(H59&lt;&gt;"",H59&gt;=129,H59&lt;=2176),INDEX(Fields!$K$2:$K$206,MATCH(H59-129,Fields!$D$2:$D$206,1)),""),"")</f>
        <v/>
      </c>
    </row>
    <row r="60">
      <c r="A60" t="n">
        <v>58</v>
      </c>
      <c r="B60" t="n">
        <v>1</v>
      </c>
      <c r="C60" t="inlineStr">
        <is>
          <t>No</t>
        </is>
      </c>
      <c r="D60">
        <f>IF(AND(B55=1,B56=1,B57=1,B58=1,B59=1),"Yes","")</f>
        <v/>
      </c>
      <c r="E60" t="inlineStr">
        <is>
          <t>No</t>
        </is>
      </c>
      <c r="F60" t="inlineStr">
        <is>
          <t>No</t>
        </is>
      </c>
      <c r="G60">
        <f>IF(F60="Yes",1-B60,B60)</f>
        <v/>
      </c>
      <c r="H60">
        <f>IF(E60="Yes","",COUNTIFS($E$2:E60,"No"))</f>
        <v/>
      </c>
      <c r="I60">
        <f>IF(H60="","",IF(H60&lt;=128,"address",IF(H60&lt;=600,"data1",IF(H60&lt;=1264,"zero-run1",IF(H60&lt;=1648,"data2",IF(H60&lt;=2176,"zero-run2",IF(H60&lt;=2192,"FCS","trailing")))))))</f>
        <v/>
      </c>
      <c r="J60">
        <f>IFERROR(IF(AND(H60&lt;&gt;"",H60&gt;=129,H60&lt;=2176),INDEX(Fields!$B$2:$B$206,MATCH(H60-129,Fields!$D$2:$D$206,1)),""),"")</f>
        <v/>
      </c>
      <c r="K60">
        <f>IFERROR(IF(AND(H60&lt;&gt;"",H60&gt;=129,H60&lt;=2176),INDEX(Fields!$C$2:$C$206,MATCH(H60-129,Fields!$D$2:$D$206,1)),""),"")</f>
        <v/>
      </c>
      <c r="L60">
        <f>IFERROR(IF(AND(H60&lt;&gt;"",H60&gt;=129,H60&lt;=2176),INDEX(Fields!$J$2:$J$206,MATCH(H60-129,Fields!$D$2:$D$206,1)),""),"")</f>
        <v/>
      </c>
      <c r="M60">
        <f>IFERROR(IF(AND(H60&lt;&gt;"",H60&gt;=129,H60&lt;=2176),INDEX(Fields!$K$2:$K$206,MATCH(H60-129,Fields!$D$2:$D$206,1)),""),"")</f>
        <v/>
      </c>
    </row>
    <row r="61">
      <c r="A61" t="n">
        <v>59</v>
      </c>
      <c r="B61" t="n">
        <v>0</v>
      </c>
      <c r="C61" t="inlineStr">
        <is>
          <t>No</t>
        </is>
      </c>
      <c r="D61">
        <f>IF(AND(B56=1,B57=1,B58=1,B59=1,B60=1),"Yes","")</f>
        <v/>
      </c>
      <c r="E61" t="inlineStr">
        <is>
          <t>No</t>
        </is>
      </c>
      <c r="F61" t="inlineStr">
        <is>
          <t>No</t>
        </is>
      </c>
      <c r="G61">
        <f>IF(F61="Yes",1-B61,B61)</f>
        <v/>
      </c>
      <c r="H61">
        <f>IF(E61="Yes","",COUNTIFS($E$2:E61,"No"))</f>
        <v/>
      </c>
      <c r="I61">
        <f>IF(H61="","",IF(H61&lt;=128,"address",IF(H61&lt;=600,"data1",IF(H61&lt;=1264,"zero-run1",IF(H61&lt;=1648,"data2",IF(H61&lt;=2176,"zero-run2",IF(H61&lt;=2192,"FCS","trailing")))))))</f>
        <v/>
      </c>
      <c r="J61">
        <f>IFERROR(IF(AND(H61&lt;&gt;"",H61&gt;=129,H61&lt;=2176),INDEX(Fields!$B$2:$B$206,MATCH(H61-129,Fields!$D$2:$D$206,1)),""),"")</f>
        <v/>
      </c>
      <c r="K61">
        <f>IFERROR(IF(AND(H61&lt;&gt;"",H61&gt;=129,H61&lt;=2176),INDEX(Fields!$C$2:$C$206,MATCH(H61-129,Fields!$D$2:$D$206,1)),""),"")</f>
        <v/>
      </c>
      <c r="L61">
        <f>IFERROR(IF(AND(H61&lt;&gt;"",H61&gt;=129,H61&lt;=2176),INDEX(Fields!$J$2:$J$206,MATCH(H61-129,Fields!$D$2:$D$206,1)),""),"")</f>
        <v/>
      </c>
      <c r="M61">
        <f>IFERROR(IF(AND(H61&lt;&gt;"",H61&gt;=129,H61&lt;=2176),INDEX(Fields!$K$2:$K$206,MATCH(H61-129,Fields!$D$2:$D$206,1)),""),"")</f>
        <v/>
      </c>
    </row>
    <row r="62">
      <c r="A62" t="n">
        <v>60</v>
      </c>
      <c r="B62" t="n">
        <v>0</v>
      </c>
      <c r="C62" t="inlineStr">
        <is>
          <t>No</t>
        </is>
      </c>
      <c r="D62">
        <f>IF(AND(B57=1,B58=1,B59=1,B60=1,B61=1),"Yes","")</f>
        <v/>
      </c>
      <c r="E62" t="inlineStr">
        <is>
          <t>No</t>
        </is>
      </c>
      <c r="F62" t="inlineStr">
        <is>
          <t>No</t>
        </is>
      </c>
      <c r="G62">
        <f>IF(F62="Yes",1-B62,B62)</f>
        <v/>
      </c>
      <c r="H62">
        <f>IF(E62="Yes","",COUNTIFS($E$2:E62,"No"))</f>
        <v/>
      </c>
      <c r="I62">
        <f>IF(H62="","",IF(H62&lt;=128,"address",IF(H62&lt;=600,"data1",IF(H62&lt;=1264,"zero-run1",IF(H62&lt;=1648,"data2",IF(H62&lt;=2176,"zero-run2",IF(H62&lt;=2192,"FCS","trailing")))))))</f>
        <v/>
      </c>
      <c r="J62">
        <f>IFERROR(IF(AND(H62&lt;&gt;"",H62&gt;=129,H62&lt;=2176),INDEX(Fields!$B$2:$B$206,MATCH(H62-129,Fields!$D$2:$D$206,1)),""),"")</f>
        <v/>
      </c>
      <c r="K62">
        <f>IFERROR(IF(AND(H62&lt;&gt;"",H62&gt;=129,H62&lt;=2176),INDEX(Fields!$C$2:$C$206,MATCH(H62-129,Fields!$D$2:$D$206,1)),""),"")</f>
        <v/>
      </c>
      <c r="L62">
        <f>IFERROR(IF(AND(H62&lt;&gt;"",H62&gt;=129,H62&lt;=2176),INDEX(Fields!$J$2:$J$206,MATCH(H62-129,Fields!$D$2:$D$206,1)),""),"")</f>
        <v/>
      </c>
      <c r="M62">
        <f>IFERROR(IF(AND(H62&lt;&gt;"",H62&gt;=129,H62&lt;=2176),INDEX(Fields!$K$2:$K$206,MATCH(H62-129,Fields!$D$2:$D$206,1)),""),"")</f>
        <v/>
      </c>
    </row>
    <row r="63">
      <c r="A63" t="n">
        <v>61</v>
      </c>
      <c r="B63" t="n">
        <v>0</v>
      </c>
      <c r="C63" t="inlineStr">
        <is>
          <t>No</t>
        </is>
      </c>
      <c r="D63">
        <f>IF(AND(B58=1,B59=1,B60=1,B61=1,B62=1),"Yes","")</f>
        <v/>
      </c>
      <c r="E63" t="inlineStr">
        <is>
          <t>No</t>
        </is>
      </c>
      <c r="F63" t="inlineStr">
        <is>
          <t>No</t>
        </is>
      </c>
      <c r="G63">
        <f>IF(F63="Yes",1-B63,B63)</f>
        <v/>
      </c>
      <c r="H63">
        <f>IF(E63="Yes","",COUNTIFS($E$2:E63,"No"))</f>
        <v/>
      </c>
      <c r="I63">
        <f>IF(H63="","",IF(H63&lt;=128,"address",IF(H63&lt;=600,"data1",IF(H63&lt;=1264,"zero-run1",IF(H63&lt;=1648,"data2",IF(H63&lt;=2176,"zero-run2",IF(H63&lt;=2192,"FCS","trailing")))))))</f>
        <v/>
      </c>
      <c r="J63">
        <f>IFERROR(IF(AND(H63&lt;&gt;"",H63&gt;=129,H63&lt;=2176),INDEX(Fields!$B$2:$B$206,MATCH(H63-129,Fields!$D$2:$D$206,1)),""),"")</f>
        <v/>
      </c>
      <c r="K63">
        <f>IFERROR(IF(AND(H63&lt;&gt;"",H63&gt;=129,H63&lt;=2176),INDEX(Fields!$C$2:$C$206,MATCH(H63-129,Fields!$D$2:$D$206,1)),""),"")</f>
        <v/>
      </c>
      <c r="L63">
        <f>IFERROR(IF(AND(H63&lt;&gt;"",H63&gt;=129,H63&lt;=2176),INDEX(Fields!$J$2:$J$206,MATCH(H63-129,Fields!$D$2:$D$206,1)),""),"")</f>
        <v/>
      </c>
      <c r="M63">
        <f>IFERROR(IF(AND(H63&lt;&gt;"",H63&gt;=129,H63&lt;=2176),INDEX(Fields!$K$2:$K$206,MATCH(H63-129,Fields!$D$2:$D$206,1)),""),"")</f>
        <v/>
      </c>
    </row>
    <row r="64">
      <c r="A64" t="n">
        <v>62</v>
      </c>
      <c r="B64" t="n">
        <v>0</v>
      </c>
      <c r="C64" t="inlineStr">
        <is>
          <t>No</t>
        </is>
      </c>
      <c r="D64">
        <f>IF(AND(B59=1,B60=1,B61=1,B62=1,B63=1),"Yes","")</f>
        <v/>
      </c>
      <c r="E64" t="inlineStr">
        <is>
          <t>No</t>
        </is>
      </c>
      <c r="F64" t="inlineStr">
        <is>
          <t>No</t>
        </is>
      </c>
      <c r="G64">
        <f>IF(F64="Yes",1-B64,B64)</f>
        <v/>
      </c>
      <c r="H64">
        <f>IF(E64="Yes","",COUNTIFS($E$2:E64,"No"))</f>
        <v/>
      </c>
      <c r="I64">
        <f>IF(H64="","",IF(H64&lt;=128,"address",IF(H64&lt;=600,"data1",IF(H64&lt;=1264,"zero-run1",IF(H64&lt;=1648,"data2",IF(H64&lt;=2176,"zero-run2",IF(H64&lt;=2192,"FCS","trailing")))))))</f>
        <v/>
      </c>
      <c r="J64">
        <f>IFERROR(IF(AND(H64&lt;&gt;"",H64&gt;=129,H64&lt;=2176),INDEX(Fields!$B$2:$B$206,MATCH(H64-129,Fields!$D$2:$D$206,1)),""),"")</f>
        <v/>
      </c>
      <c r="K64">
        <f>IFERROR(IF(AND(H64&lt;&gt;"",H64&gt;=129,H64&lt;=2176),INDEX(Fields!$C$2:$C$206,MATCH(H64-129,Fields!$D$2:$D$206,1)),""),"")</f>
        <v/>
      </c>
      <c r="L64">
        <f>IFERROR(IF(AND(H64&lt;&gt;"",H64&gt;=129,H64&lt;=2176),INDEX(Fields!$J$2:$J$206,MATCH(H64-129,Fields!$D$2:$D$206,1)),""),"")</f>
        <v/>
      </c>
      <c r="M64">
        <f>IFERROR(IF(AND(H64&lt;&gt;"",H64&gt;=129,H64&lt;=2176),INDEX(Fields!$K$2:$K$206,MATCH(H64-129,Fields!$D$2:$D$206,1)),""),"")</f>
        <v/>
      </c>
    </row>
    <row r="65">
      <c r="A65" t="n">
        <v>63</v>
      </c>
      <c r="B65" t="n">
        <v>1</v>
      </c>
      <c r="C65" t="inlineStr">
        <is>
          <t>No</t>
        </is>
      </c>
      <c r="D65">
        <f>IF(AND(B60=1,B61=1,B62=1,B63=1,B64=1),"Yes","")</f>
        <v/>
      </c>
      <c r="E65" t="inlineStr">
        <is>
          <t>No</t>
        </is>
      </c>
      <c r="F65" t="inlineStr">
        <is>
          <t>No</t>
        </is>
      </c>
      <c r="G65">
        <f>IF(F65="Yes",1-B65,B65)</f>
        <v/>
      </c>
      <c r="H65">
        <f>IF(E65="Yes","",COUNTIFS($E$2:E65,"No"))</f>
        <v/>
      </c>
      <c r="I65">
        <f>IF(H65="","",IF(H65&lt;=128,"address",IF(H65&lt;=600,"data1",IF(H65&lt;=1264,"zero-run1",IF(H65&lt;=1648,"data2",IF(H65&lt;=2176,"zero-run2",IF(H65&lt;=2192,"FCS","trailing")))))))</f>
        <v/>
      </c>
      <c r="J65">
        <f>IFERROR(IF(AND(H65&lt;&gt;"",H65&gt;=129,H65&lt;=2176),INDEX(Fields!$B$2:$B$206,MATCH(H65-129,Fields!$D$2:$D$206,1)),""),"")</f>
        <v/>
      </c>
      <c r="K65">
        <f>IFERROR(IF(AND(H65&lt;&gt;"",H65&gt;=129,H65&lt;=2176),INDEX(Fields!$C$2:$C$206,MATCH(H65-129,Fields!$D$2:$D$206,1)),""),"")</f>
        <v/>
      </c>
      <c r="L65">
        <f>IFERROR(IF(AND(H65&lt;&gt;"",H65&gt;=129,H65&lt;=2176),INDEX(Fields!$J$2:$J$206,MATCH(H65-129,Fields!$D$2:$D$206,1)),""),"")</f>
        <v/>
      </c>
      <c r="M65">
        <f>IFERROR(IF(AND(H65&lt;&gt;"",H65&gt;=129,H65&lt;=2176),INDEX(Fields!$K$2:$K$206,MATCH(H65-129,Fields!$D$2:$D$206,1)),""),"")</f>
        <v/>
      </c>
    </row>
    <row r="66">
      <c r="A66" t="n">
        <v>64</v>
      </c>
      <c r="B66" t="n">
        <v>0</v>
      </c>
      <c r="C66" t="inlineStr">
        <is>
          <t>No</t>
        </is>
      </c>
      <c r="D66">
        <f>IF(AND(B61=1,B62=1,B63=1,B64=1,B65=1),"Yes","")</f>
        <v/>
      </c>
      <c r="E66" t="inlineStr">
        <is>
          <t>No</t>
        </is>
      </c>
      <c r="F66" t="inlineStr">
        <is>
          <t>No</t>
        </is>
      </c>
      <c r="G66">
        <f>IF(F66="Yes",1-B66,B66)</f>
        <v/>
      </c>
      <c r="H66">
        <f>IF(E66="Yes","",COUNTIFS($E$2:E66,"No"))</f>
        <v/>
      </c>
      <c r="I66">
        <f>IF(H66="","",IF(H66&lt;=128,"address",IF(H66&lt;=600,"data1",IF(H66&lt;=1264,"zero-run1",IF(H66&lt;=1648,"data2",IF(H66&lt;=2176,"zero-run2",IF(H66&lt;=2192,"FCS","trailing")))))))</f>
        <v/>
      </c>
      <c r="J66">
        <f>IFERROR(IF(AND(H66&lt;&gt;"",H66&gt;=129,H66&lt;=2176),INDEX(Fields!$B$2:$B$206,MATCH(H66-129,Fields!$D$2:$D$206,1)),""),"")</f>
        <v/>
      </c>
      <c r="K66">
        <f>IFERROR(IF(AND(H66&lt;&gt;"",H66&gt;=129,H66&lt;=2176),INDEX(Fields!$C$2:$C$206,MATCH(H66-129,Fields!$D$2:$D$206,1)),""),"")</f>
        <v/>
      </c>
      <c r="L66">
        <f>IFERROR(IF(AND(H66&lt;&gt;"",H66&gt;=129,H66&lt;=2176),INDEX(Fields!$J$2:$J$206,MATCH(H66-129,Fields!$D$2:$D$206,1)),""),"")</f>
        <v/>
      </c>
      <c r="M66">
        <f>IFERROR(IF(AND(H66&lt;&gt;"",H66&gt;=129,H66&lt;=2176),INDEX(Fields!$K$2:$K$206,MATCH(H66-129,Fields!$D$2:$D$206,1)),""),"")</f>
        <v/>
      </c>
    </row>
    <row r="67">
      <c r="A67" t="n">
        <v>65</v>
      </c>
      <c r="B67" t="n">
        <v>0</v>
      </c>
      <c r="C67" t="inlineStr">
        <is>
          <t>No</t>
        </is>
      </c>
      <c r="D67">
        <f>IF(AND(B62=1,B63=1,B64=1,B65=1,B66=1),"Yes","")</f>
        <v/>
      </c>
      <c r="E67" t="inlineStr">
        <is>
          <t>No</t>
        </is>
      </c>
      <c r="F67" t="inlineStr">
        <is>
          <t>No</t>
        </is>
      </c>
      <c r="G67">
        <f>IF(F67="Yes",1-B67,B67)</f>
        <v/>
      </c>
      <c r="H67">
        <f>IF(E67="Yes","",COUNTIFS($E$2:E67,"No"))</f>
        <v/>
      </c>
      <c r="I67">
        <f>IF(H67="","",IF(H67&lt;=128,"address",IF(H67&lt;=600,"data1",IF(H67&lt;=1264,"zero-run1",IF(H67&lt;=1648,"data2",IF(H67&lt;=2176,"zero-run2",IF(H67&lt;=2192,"FCS","trailing")))))))</f>
        <v/>
      </c>
      <c r="J67">
        <f>IFERROR(IF(AND(H67&lt;&gt;"",H67&gt;=129,H67&lt;=2176),INDEX(Fields!$B$2:$B$206,MATCH(H67-129,Fields!$D$2:$D$206,1)),""),"")</f>
        <v/>
      </c>
      <c r="K67">
        <f>IFERROR(IF(AND(H67&lt;&gt;"",H67&gt;=129,H67&lt;=2176),INDEX(Fields!$C$2:$C$206,MATCH(H67-129,Fields!$D$2:$D$206,1)),""),"")</f>
        <v/>
      </c>
      <c r="L67">
        <f>IFERROR(IF(AND(H67&lt;&gt;"",H67&gt;=129,H67&lt;=2176),INDEX(Fields!$J$2:$J$206,MATCH(H67-129,Fields!$D$2:$D$206,1)),""),"")</f>
        <v/>
      </c>
      <c r="M67">
        <f>IFERROR(IF(AND(H67&lt;&gt;"",H67&gt;=129,H67&lt;=2176),INDEX(Fields!$K$2:$K$206,MATCH(H67-129,Fields!$D$2:$D$206,1)),""),"")</f>
        <v/>
      </c>
    </row>
    <row r="68">
      <c r="A68" t="n">
        <v>66</v>
      </c>
      <c r="B68" t="n">
        <v>1</v>
      </c>
      <c r="C68" t="inlineStr">
        <is>
          <t>No</t>
        </is>
      </c>
      <c r="D68">
        <f>IF(AND(B63=1,B64=1,B65=1,B66=1,B67=1),"Yes","")</f>
        <v/>
      </c>
      <c r="E68" t="inlineStr">
        <is>
          <t>No</t>
        </is>
      </c>
      <c r="F68" t="inlineStr">
        <is>
          <t>No</t>
        </is>
      </c>
      <c r="G68">
        <f>IF(F68="Yes",1-B68,B68)</f>
        <v/>
      </c>
      <c r="H68">
        <f>IF(E68="Yes","",COUNTIFS($E$2:E68,"No"))</f>
        <v/>
      </c>
      <c r="I68">
        <f>IF(H68="","",IF(H68&lt;=128,"address",IF(H68&lt;=600,"data1",IF(H68&lt;=1264,"zero-run1",IF(H68&lt;=1648,"data2",IF(H68&lt;=2176,"zero-run2",IF(H68&lt;=2192,"FCS","trailing")))))))</f>
        <v/>
      </c>
      <c r="J68">
        <f>IFERROR(IF(AND(H68&lt;&gt;"",H68&gt;=129,H68&lt;=2176),INDEX(Fields!$B$2:$B$206,MATCH(H68-129,Fields!$D$2:$D$206,1)),""),"")</f>
        <v/>
      </c>
      <c r="K68">
        <f>IFERROR(IF(AND(H68&lt;&gt;"",H68&gt;=129,H68&lt;=2176),INDEX(Fields!$C$2:$C$206,MATCH(H68-129,Fields!$D$2:$D$206,1)),""),"")</f>
        <v/>
      </c>
      <c r="L68">
        <f>IFERROR(IF(AND(H68&lt;&gt;"",H68&gt;=129,H68&lt;=2176),INDEX(Fields!$J$2:$J$206,MATCH(H68-129,Fields!$D$2:$D$206,1)),""),"")</f>
        <v/>
      </c>
      <c r="M68">
        <f>IFERROR(IF(AND(H68&lt;&gt;"",H68&gt;=129,H68&lt;=2176),INDEX(Fields!$K$2:$K$206,MATCH(H68-129,Fields!$D$2:$D$206,1)),""),"")</f>
        <v/>
      </c>
    </row>
    <row r="69">
      <c r="A69" t="n">
        <v>67</v>
      </c>
      <c r="B69" t="n">
        <v>1</v>
      </c>
      <c r="C69" t="inlineStr">
        <is>
          <t>No</t>
        </is>
      </c>
      <c r="D69">
        <f>IF(AND(B64=1,B65=1,B66=1,B67=1,B68=1),"Yes","")</f>
        <v/>
      </c>
      <c r="E69" t="inlineStr">
        <is>
          <t>No</t>
        </is>
      </c>
      <c r="F69" t="inlineStr">
        <is>
          <t>No</t>
        </is>
      </c>
      <c r="G69">
        <f>IF(F69="Yes",1-B69,B69)</f>
        <v/>
      </c>
      <c r="H69">
        <f>IF(E69="Yes","",COUNTIFS($E$2:E69,"No"))</f>
        <v/>
      </c>
      <c r="I69">
        <f>IF(H69="","",IF(H69&lt;=128,"address",IF(H69&lt;=600,"data1",IF(H69&lt;=1264,"zero-run1",IF(H69&lt;=1648,"data2",IF(H69&lt;=2176,"zero-run2",IF(H69&lt;=2192,"FCS","trailing")))))))</f>
        <v/>
      </c>
      <c r="J69">
        <f>IFERROR(IF(AND(H69&lt;&gt;"",H69&gt;=129,H69&lt;=2176),INDEX(Fields!$B$2:$B$206,MATCH(H69-129,Fields!$D$2:$D$206,1)),""),"")</f>
        <v/>
      </c>
      <c r="K69">
        <f>IFERROR(IF(AND(H69&lt;&gt;"",H69&gt;=129,H69&lt;=2176),INDEX(Fields!$C$2:$C$206,MATCH(H69-129,Fields!$D$2:$D$206,1)),""),"")</f>
        <v/>
      </c>
      <c r="L69">
        <f>IFERROR(IF(AND(H69&lt;&gt;"",H69&gt;=129,H69&lt;=2176),INDEX(Fields!$J$2:$J$206,MATCH(H69-129,Fields!$D$2:$D$206,1)),""),"")</f>
        <v/>
      </c>
      <c r="M69">
        <f>IFERROR(IF(AND(H69&lt;&gt;"",H69&gt;=129,H69&lt;=2176),INDEX(Fields!$K$2:$K$206,MATCH(H69-129,Fields!$D$2:$D$206,1)),""),"")</f>
        <v/>
      </c>
    </row>
    <row r="70">
      <c r="A70" t="n">
        <v>68</v>
      </c>
      <c r="B70" t="n">
        <v>1</v>
      </c>
      <c r="C70" t="inlineStr">
        <is>
          <t>No</t>
        </is>
      </c>
      <c r="D70">
        <f>IF(AND(B65=1,B66=1,B67=1,B68=1,B69=1),"Yes","")</f>
        <v/>
      </c>
      <c r="E70" t="inlineStr">
        <is>
          <t>No</t>
        </is>
      </c>
      <c r="F70" t="inlineStr">
        <is>
          <t>No</t>
        </is>
      </c>
      <c r="G70">
        <f>IF(F70="Yes",1-B70,B70)</f>
        <v/>
      </c>
      <c r="H70">
        <f>IF(E70="Yes","",COUNTIFS($E$2:E70,"No"))</f>
        <v/>
      </c>
      <c r="I70">
        <f>IF(H70="","",IF(H70&lt;=128,"address",IF(H70&lt;=600,"data1",IF(H70&lt;=1264,"zero-run1",IF(H70&lt;=1648,"data2",IF(H70&lt;=2176,"zero-run2",IF(H70&lt;=2192,"FCS","trailing")))))))</f>
        <v/>
      </c>
      <c r="J70">
        <f>IFERROR(IF(AND(H70&lt;&gt;"",H70&gt;=129,H70&lt;=2176),INDEX(Fields!$B$2:$B$206,MATCH(H70-129,Fields!$D$2:$D$206,1)),""),"")</f>
        <v/>
      </c>
      <c r="K70">
        <f>IFERROR(IF(AND(H70&lt;&gt;"",H70&gt;=129,H70&lt;=2176),INDEX(Fields!$C$2:$C$206,MATCH(H70-129,Fields!$D$2:$D$206,1)),""),"")</f>
        <v/>
      </c>
      <c r="L70">
        <f>IFERROR(IF(AND(H70&lt;&gt;"",H70&gt;=129,H70&lt;=2176),INDEX(Fields!$J$2:$J$206,MATCH(H70-129,Fields!$D$2:$D$206,1)),""),"")</f>
        <v/>
      </c>
      <c r="M70">
        <f>IFERROR(IF(AND(H70&lt;&gt;"",H70&gt;=129,H70&lt;=2176),INDEX(Fields!$K$2:$K$206,MATCH(H70-129,Fields!$D$2:$D$206,1)),""),"")</f>
        <v/>
      </c>
    </row>
    <row r="71">
      <c r="A71" t="n">
        <v>69</v>
      </c>
      <c r="B71" t="n">
        <v>0</v>
      </c>
      <c r="C71" t="inlineStr">
        <is>
          <t>No</t>
        </is>
      </c>
      <c r="D71">
        <f>IF(AND(B66=1,B67=1,B68=1,B69=1,B70=1),"Yes","")</f>
        <v/>
      </c>
      <c r="E71" t="inlineStr">
        <is>
          <t>No</t>
        </is>
      </c>
      <c r="F71" t="inlineStr">
        <is>
          <t>No</t>
        </is>
      </c>
      <c r="G71">
        <f>IF(F71="Yes",1-B71,B71)</f>
        <v/>
      </c>
      <c r="H71">
        <f>IF(E71="Yes","",COUNTIFS($E$2:E71,"No"))</f>
        <v/>
      </c>
      <c r="I71">
        <f>IF(H71="","",IF(H71&lt;=128,"address",IF(H71&lt;=600,"data1",IF(H71&lt;=1264,"zero-run1",IF(H71&lt;=1648,"data2",IF(H71&lt;=2176,"zero-run2",IF(H71&lt;=2192,"FCS","trailing")))))))</f>
        <v/>
      </c>
      <c r="J71">
        <f>IFERROR(IF(AND(H71&lt;&gt;"",H71&gt;=129,H71&lt;=2176),INDEX(Fields!$B$2:$B$206,MATCH(H71-129,Fields!$D$2:$D$206,1)),""),"")</f>
        <v/>
      </c>
      <c r="K71">
        <f>IFERROR(IF(AND(H71&lt;&gt;"",H71&gt;=129,H71&lt;=2176),INDEX(Fields!$C$2:$C$206,MATCH(H71-129,Fields!$D$2:$D$206,1)),""),"")</f>
        <v/>
      </c>
      <c r="L71">
        <f>IFERROR(IF(AND(H71&lt;&gt;"",H71&gt;=129,H71&lt;=2176),INDEX(Fields!$J$2:$J$206,MATCH(H71-129,Fields!$D$2:$D$206,1)),""),"")</f>
        <v/>
      </c>
      <c r="M71">
        <f>IFERROR(IF(AND(H71&lt;&gt;"",H71&gt;=129,H71&lt;=2176),INDEX(Fields!$K$2:$K$206,MATCH(H71-129,Fields!$D$2:$D$206,1)),""),"")</f>
        <v/>
      </c>
    </row>
    <row r="72">
      <c r="A72" t="n">
        <v>70</v>
      </c>
      <c r="B72" t="n">
        <v>0</v>
      </c>
      <c r="C72" t="inlineStr">
        <is>
          <t>No</t>
        </is>
      </c>
      <c r="D72">
        <f>IF(AND(B67=1,B68=1,B69=1,B70=1,B71=1),"Yes","")</f>
        <v/>
      </c>
      <c r="E72" t="inlineStr">
        <is>
          <t>No</t>
        </is>
      </c>
      <c r="F72" t="inlineStr">
        <is>
          <t>No</t>
        </is>
      </c>
      <c r="G72">
        <f>IF(F72="Yes",1-B72,B72)</f>
        <v/>
      </c>
      <c r="H72">
        <f>IF(E72="Yes","",COUNTIFS($E$2:E72,"No"))</f>
        <v/>
      </c>
      <c r="I72">
        <f>IF(H72="","",IF(H72&lt;=128,"address",IF(H72&lt;=600,"data1",IF(H72&lt;=1264,"zero-run1",IF(H72&lt;=1648,"data2",IF(H72&lt;=2176,"zero-run2",IF(H72&lt;=2192,"FCS","trailing")))))))</f>
        <v/>
      </c>
      <c r="J72">
        <f>IFERROR(IF(AND(H72&lt;&gt;"",H72&gt;=129,H72&lt;=2176),INDEX(Fields!$B$2:$B$206,MATCH(H72-129,Fields!$D$2:$D$206,1)),""),"")</f>
        <v/>
      </c>
      <c r="K72">
        <f>IFERROR(IF(AND(H72&lt;&gt;"",H72&gt;=129,H72&lt;=2176),INDEX(Fields!$C$2:$C$206,MATCH(H72-129,Fields!$D$2:$D$206,1)),""),"")</f>
        <v/>
      </c>
      <c r="L72">
        <f>IFERROR(IF(AND(H72&lt;&gt;"",H72&gt;=129,H72&lt;=2176),INDEX(Fields!$J$2:$J$206,MATCH(H72-129,Fields!$D$2:$D$206,1)),""),"")</f>
        <v/>
      </c>
      <c r="M72">
        <f>IFERROR(IF(AND(H72&lt;&gt;"",H72&gt;=129,H72&lt;=2176),INDEX(Fields!$K$2:$K$206,MATCH(H72-129,Fields!$D$2:$D$206,1)),""),"")</f>
        <v/>
      </c>
    </row>
    <row r="73">
      <c r="A73" t="n">
        <v>71</v>
      </c>
      <c r="B73" t="n">
        <v>1</v>
      </c>
      <c r="C73" t="inlineStr">
        <is>
          <t>No</t>
        </is>
      </c>
      <c r="D73">
        <f>IF(AND(B68=1,B69=1,B70=1,B71=1,B72=1),"Yes","")</f>
        <v/>
      </c>
      <c r="E73" t="inlineStr">
        <is>
          <t>No</t>
        </is>
      </c>
      <c r="F73" t="inlineStr">
        <is>
          <t>No</t>
        </is>
      </c>
      <c r="G73">
        <f>IF(F73="Yes",1-B73,B73)</f>
        <v/>
      </c>
      <c r="H73">
        <f>IF(E73="Yes","",COUNTIFS($E$2:E73,"No"))</f>
        <v/>
      </c>
      <c r="I73">
        <f>IF(H73="","",IF(H73&lt;=128,"address",IF(H73&lt;=600,"data1",IF(H73&lt;=1264,"zero-run1",IF(H73&lt;=1648,"data2",IF(H73&lt;=2176,"zero-run2",IF(H73&lt;=2192,"FCS","trailing")))))))</f>
        <v/>
      </c>
      <c r="J73">
        <f>IFERROR(IF(AND(H73&lt;&gt;"",H73&gt;=129,H73&lt;=2176),INDEX(Fields!$B$2:$B$206,MATCH(H73-129,Fields!$D$2:$D$206,1)),""),"")</f>
        <v/>
      </c>
      <c r="K73">
        <f>IFERROR(IF(AND(H73&lt;&gt;"",H73&gt;=129,H73&lt;=2176),INDEX(Fields!$C$2:$C$206,MATCH(H73-129,Fields!$D$2:$D$206,1)),""),"")</f>
        <v/>
      </c>
      <c r="L73">
        <f>IFERROR(IF(AND(H73&lt;&gt;"",H73&gt;=129,H73&lt;=2176),INDEX(Fields!$J$2:$J$206,MATCH(H73-129,Fields!$D$2:$D$206,1)),""),"")</f>
        <v/>
      </c>
      <c r="M73">
        <f>IFERROR(IF(AND(H73&lt;&gt;"",H73&gt;=129,H73&lt;=2176),INDEX(Fields!$K$2:$K$206,MATCH(H73-129,Fields!$D$2:$D$206,1)),""),"")</f>
        <v/>
      </c>
    </row>
    <row r="74">
      <c r="A74" t="n">
        <v>72</v>
      </c>
      <c r="B74" t="n">
        <v>0</v>
      </c>
      <c r="C74" t="inlineStr">
        <is>
          <t>No</t>
        </is>
      </c>
      <c r="D74">
        <f>IF(AND(B69=1,B70=1,B71=1,B72=1,B73=1),"Yes","")</f>
        <v/>
      </c>
      <c r="E74" t="inlineStr">
        <is>
          <t>No</t>
        </is>
      </c>
      <c r="F74" t="inlineStr">
        <is>
          <t>No</t>
        </is>
      </c>
      <c r="G74">
        <f>IF(F74="Yes",1-B74,B74)</f>
        <v/>
      </c>
      <c r="H74">
        <f>IF(E74="Yes","",COUNTIFS($E$2:E74,"No"))</f>
        <v/>
      </c>
      <c r="I74">
        <f>IF(H74="","",IF(H74&lt;=128,"address",IF(H74&lt;=600,"data1",IF(H74&lt;=1264,"zero-run1",IF(H74&lt;=1648,"data2",IF(H74&lt;=2176,"zero-run2",IF(H74&lt;=2192,"FCS","trailing")))))))</f>
        <v/>
      </c>
      <c r="J74">
        <f>IFERROR(IF(AND(H74&lt;&gt;"",H74&gt;=129,H74&lt;=2176),INDEX(Fields!$B$2:$B$206,MATCH(H74-129,Fields!$D$2:$D$206,1)),""),"")</f>
        <v/>
      </c>
      <c r="K74">
        <f>IFERROR(IF(AND(H74&lt;&gt;"",H74&gt;=129,H74&lt;=2176),INDEX(Fields!$C$2:$C$206,MATCH(H74-129,Fields!$D$2:$D$206,1)),""),"")</f>
        <v/>
      </c>
      <c r="L74">
        <f>IFERROR(IF(AND(H74&lt;&gt;"",H74&gt;=129,H74&lt;=2176),INDEX(Fields!$J$2:$J$206,MATCH(H74-129,Fields!$D$2:$D$206,1)),""),"")</f>
        <v/>
      </c>
      <c r="M74">
        <f>IFERROR(IF(AND(H74&lt;&gt;"",H74&gt;=129,H74&lt;=2176),INDEX(Fields!$K$2:$K$206,MATCH(H74-129,Fields!$D$2:$D$206,1)),""),"")</f>
        <v/>
      </c>
    </row>
    <row r="75">
      <c r="A75" t="n">
        <v>73</v>
      </c>
      <c r="B75" t="n">
        <v>0</v>
      </c>
      <c r="C75" t="inlineStr">
        <is>
          <t>No</t>
        </is>
      </c>
      <c r="D75">
        <f>IF(AND(B70=1,B71=1,B72=1,B73=1,B74=1),"Yes","")</f>
        <v/>
      </c>
      <c r="E75" t="inlineStr">
        <is>
          <t>No</t>
        </is>
      </c>
      <c r="F75" t="inlineStr">
        <is>
          <t>No</t>
        </is>
      </c>
      <c r="G75">
        <f>IF(F75="Yes",1-B75,B75)</f>
        <v/>
      </c>
      <c r="H75">
        <f>IF(E75="Yes","",COUNTIFS($E$2:E75,"No"))</f>
        <v/>
      </c>
      <c r="I75">
        <f>IF(H75="","",IF(H75&lt;=128,"address",IF(H75&lt;=600,"data1",IF(H75&lt;=1264,"zero-run1",IF(H75&lt;=1648,"data2",IF(H75&lt;=2176,"zero-run2",IF(H75&lt;=2192,"FCS","trailing")))))))</f>
        <v/>
      </c>
      <c r="J75">
        <f>IFERROR(IF(AND(H75&lt;&gt;"",H75&gt;=129,H75&lt;=2176),INDEX(Fields!$B$2:$B$206,MATCH(H75-129,Fields!$D$2:$D$206,1)),""),"")</f>
        <v/>
      </c>
      <c r="K75">
        <f>IFERROR(IF(AND(H75&lt;&gt;"",H75&gt;=129,H75&lt;=2176),INDEX(Fields!$C$2:$C$206,MATCH(H75-129,Fields!$D$2:$D$206,1)),""),"")</f>
        <v/>
      </c>
      <c r="L75">
        <f>IFERROR(IF(AND(H75&lt;&gt;"",H75&gt;=129,H75&lt;=2176),INDEX(Fields!$J$2:$J$206,MATCH(H75-129,Fields!$D$2:$D$206,1)),""),"")</f>
        <v/>
      </c>
      <c r="M75">
        <f>IFERROR(IF(AND(H75&lt;&gt;"",H75&gt;=129,H75&lt;=2176),INDEX(Fields!$K$2:$K$206,MATCH(H75-129,Fields!$D$2:$D$206,1)),""),"")</f>
        <v/>
      </c>
    </row>
    <row r="76">
      <c r="A76" t="n">
        <v>74</v>
      </c>
      <c r="B76" t="n">
        <v>0</v>
      </c>
      <c r="C76" t="inlineStr">
        <is>
          <t>No</t>
        </is>
      </c>
      <c r="D76">
        <f>IF(AND(B71=1,B72=1,B73=1,B74=1,B75=1),"Yes","")</f>
        <v/>
      </c>
      <c r="E76" t="inlineStr">
        <is>
          <t>No</t>
        </is>
      </c>
      <c r="F76" t="inlineStr">
        <is>
          <t>No</t>
        </is>
      </c>
      <c r="G76">
        <f>IF(F76="Yes",1-B76,B76)</f>
        <v/>
      </c>
      <c r="H76">
        <f>IF(E76="Yes","",COUNTIFS($E$2:E76,"No"))</f>
        <v/>
      </c>
      <c r="I76">
        <f>IF(H76="","",IF(H76&lt;=128,"address",IF(H76&lt;=600,"data1",IF(H76&lt;=1264,"zero-run1",IF(H76&lt;=1648,"data2",IF(H76&lt;=2176,"zero-run2",IF(H76&lt;=2192,"FCS","trailing")))))))</f>
        <v/>
      </c>
      <c r="J76">
        <f>IFERROR(IF(AND(H76&lt;&gt;"",H76&gt;=129,H76&lt;=2176),INDEX(Fields!$B$2:$B$206,MATCH(H76-129,Fields!$D$2:$D$206,1)),""),"")</f>
        <v/>
      </c>
      <c r="K76">
        <f>IFERROR(IF(AND(H76&lt;&gt;"",H76&gt;=129,H76&lt;=2176),INDEX(Fields!$C$2:$C$206,MATCH(H76-129,Fields!$D$2:$D$206,1)),""),"")</f>
        <v/>
      </c>
      <c r="L76">
        <f>IFERROR(IF(AND(H76&lt;&gt;"",H76&gt;=129,H76&lt;=2176),INDEX(Fields!$J$2:$J$206,MATCH(H76-129,Fields!$D$2:$D$206,1)),""),"")</f>
        <v/>
      </c>
      <c r="M76">
        <f>IFERROR(IF(AND(H76&lt;&gt;"",H76&gt;=129,H76&lt;=2176),INDEX(Fields!$K$2:$K$206,MATCH(H76-129,Fields!$D$2:$D$206,1)),""),"")</f>
        <v/>
      </c>
    </row>
    <row r="77">
      <c r="A77" t="n">
        <v>75</v>
      </c>
      <c r="B77" t="n">
        <v>0</v>
      </c>
      <c r="C77" t="inlineStr">
        <is>
          <t>No</t>
        </is>
      </c>
      <c r="D77">
        <f>IF(AND(B72=1,B73=1,B74=1,B75=1,B76=1),"Yes","")</f>
        <v/>
      </c>
      <c r="E77" t="inlineStr">
        <is>
          <t>No</t>
        </is>
      </c>
      <c r="F77" t="inlineStr">
        <is>
          <t>No</t>
        </is>
      </c>
      <c r="G77">
        <f>IF(F77="Yes",1-B77,B77)</f>
        <v/>
      </c>
      <c r="H77">
        <f>IF(E77="Yes","",COUNTIFS($E$2:E77,"No"))</f>
        <v/>
      </c>
      <c r="I77">
        <f>IF(H77="","",IF(H77&lt;=128,"address",IF(H77&lt;=600,"data1",IF(H77&lt;=1264,"zero-run1",IF(H77&lt;=1648,"data2",IF(H77&lt;=2176,"zero-run2",IF(H77&lt;=2192,"FCS","trailing")))))))</f>
        <v/>
      </c>
      <c r="J77">
        <f>IFERROR(IF(AND(H77&lt;&gt;"",H77&gt;=129,H77&lt;=2176),INDEX(Fields!$B$2:$B$206,MATCH(H77-129,Fields!$D$2:$D$206,1)),""),"")</f>
        <v/>
      </c>
      <c r="K77">
        <f>IFERROR(IF(AND(H77&lt;&gt;"",H77&gt;=129,H77&lt;=2176),INDEX(Fields!$C$2:$C$206,MATCH(H77-129,Fields!$D$2:$D$206,1)),""),"")</f>
        <v/>
      </c>
      <c r="L77">
        <f>IFERROR(IF(AND(H77&lt;&gt;"",H77&gt;=129,H77&lt;=2176),INDEX(Fields!$J$2:$J$206,MATCH(H77-129,Fields!$D$2:$D$206,1)),""),"")</f>
        <v/>
      </c>
      <c r="M77">
        <f>IFERROR(IF(AND(H77&lt;&gt;"",H77&gt;=129,H77&lt;=2176),INDEX(Fields!$K$2:$K$206,MATCH(H77-129,Fields!$D$2:$D$206,1)),""),"")</f>
        <v/>
      </c>
    </row>
    <row r="78">
      <c r="A78" t="n">
        <v>76</v>
      </c>
      <c r="B78" t="n">
        <v>0</v>
      </c>
      <c r="C78" t="inlineStr">
        <is>
          <t>No</t>
        </is>
      </c>
      <c r="D78">
        <f>IF(AND(B73=1,B74=1,B75=1,B76=1,B77=1),"Yes","")</f>
        <v/>
      </c>
      <c r="E78" t="inlineStr">
        <is>
          <t>No</t>
        </is>
      </c>
      <c r="F78" t="inlineStr">
        <is>
          <t>No</t>
        </is>
      </c>
      <c r="G78">
        <f>IF(F78="Yes",1-B78,B78)</f>
        <v/>
      </c>
      <c r="H78">
        <f>IF(E78="Yes","",COUNTIFS($E$2:E78,"No"))</f>
        <v/>
      </c>
      <c r="I78">
        <f>IF(H78="","",IF(H78&lt;=128,"address",IF(H78&lt;=600,"data1",IF(H78&lt;=1264,"zero-run1",IF(H78&lt;=1648,"data2",IF(H78&lt;=2176,"zero-run2",IF(H78&lt;=2192,"FCS","trailing")))))))</f>
        <v/>
      </c>
      <c r="J78">
        <f>IFERROR(IF(AND(H78&lt;&gt;"",H78&gt;=129,H78&lt;=2176),INDEX(Fields!$B$2:$B$206,MATCH(H78-129,Fields!$D$2:$D$206,1)),""),"")</f>
        <v/>
      </c>
      <c r="K78">
        <f>IFERROR(IF(AND(H78&lt;&gt;"",H78&gt;=129,H78&lt;=2176),INDEX(Fields!$C$2:$C$206,MATCH(H78-129,Fields!$D$2:$D$206,1)),""),"")</f>
        <v/>
      </c>
      <c r="L78">
        <f>IFERROR(IF(AND(H78&lt;&gt;"",H78&gt;=129,H78&lt;=2176),INDEX(Fields!$J$2:$J$206,MATCH(H78-129,Fields!$D$2:$D$206,1)),""),"")</f>
        <v/>
      </c>
      <c r="M78">
        <f>IFERROR(IF(AND(H78&lt;&gt;"",H78&gt;=129,H78&lt;=2176),INDEX(Fields!$K$2:$K$206,MATCH(H78-129,Fields!$D$2:$D$206,1)),""),"")</f>
        <v/>
      </c>
    </row>
    <row r="79">
      <c r="A79" t="n">
        <v>77</v>
      </c>
      <c r="B79" t="n">
        <v>1</v>
      </c>
      <c r="C79" t="inlineStr">
        <is>
          <t>No</t>
        </is>
      </c>
      <c r="D79">
        <f>IF(AND(B74=1,B75=1,B76=1,B77=1,B78=1),"Yes","")</f>
        <v/>
      </c>
      <c r="E79" t="inlineStr">
        <is>
          <t>No</t>
        </is>
      </c>
      <c r="F79" t="inlineStr">
        <is>
          <t>No</t>
        </is>
      </c>
      <c r="G79">
        <f>IF(F79="Yes",1-B79,B79)</f>
        <v/>
      </c>
      <c r="H79">
        <f>IF(E79="Yes","",COUNTIFS($E$2:E79,"No"))</f>
        <v/>
      </c>
      <c r="I79">
        <f>IF(H79="","",IF(H79&lt;=128,"address",IF(H79&lt;=600,"data1",IF(H79&lt;=1264,"zero-run1",IF(H79&lt;=1648,"data2",IF(H79&lt;=2176,"zero-run2",IF(H79&lt;=2192,"FCS","trailing")))))))</f>
        <v/>
      </c>
      <c r="J79">
        <f>IFERROR(IF(AND(H79&lt;&gt;"",H79&gt;=129,H79&lt;=2176),INDEX(Fields!$B$2:$B$206,MATCH(H79-129,Fields!$D$2:$D$206,1)),""),"")</f>
        <v/>
      </c>
      <c r="K79">
        <f>IFERROR(IF(AND(H79&lt;&gt;"",H79&gt;=129,H79&lt;=2176),INDEX(Fields!$C$2:$C$206,MATCH(H79-129,Fields!$D$2:$D$206,1)),""),"")</f>
        <v/>
      </c>
      <c r="L79">
        <f>IFERROR(IF(AND(H79&lt;&gt;"",H79&gt;=129,H79&lt;=2176),INDEX(Fields!$J$2:$J$206,MATCH(H79-129,Fields!$D$2:$D$206,1)),""),"")</f>
        <v/>
      </c>
      <c r="M79">
        <f>IFERROR(IF(AND(H79&lt;&gt;"",H79&gt;=129,H79&lt;=2176),INDEX(Fields!$K$2:$K$206,MATCH(H79-129,Fields!$D$2:$D$206,1)),""),"")</f>
        <v/>
      </c>
    </row>
    <row r="80">
      <c r="A80" t="n">
        <v>78</v>
      </c>
      <c r="B80" t="n">
        <v>1</v>
      </c>
      <c r="C80" t="inlineStr">
        <is>
          <t>No</t>
        </is>
      </c>
      <c r="D80">
        <f>IF(AND(B75=1,B76=1,B77=1,B78=1,B79=1),"Yes","")</f>
        <v/>
      </c>
      <c r="E80" t="inlineStr">
        <is>
          <t>No</t>
        </is>
      </c>
      <c r="F80" t="inlineStr">
        <is>
          <t>No</t>
        </is>
      </c>
      <c r="G80">
        <f>IF(F80="Yes",1-B80,B80)</f>
        <v/>
      </c>
      <c r="H80">
        <f>IF(E80="Yes","",COUNTIFS($E$2:E80,"No"))</f>
        <v/>
      </c>
      <c r="I80">
        <f>IF(H80="","",IF(H80&lt;=128,"address",IF(H80&lt;=600,"data1",IF(H80&lt;=1264,"zero-run1",IF(H80&lt;=1648,"data2",IF(H80&lt;=2176,"zero-run2",IF(H80&lt;=2192,"FCS","trailing")))))))</f>
        <v/>
      </c>
      <c r="J80">
        <f>IFERROR(IF(AND(H80&lt;&gt;"",H80&gt;=129,H80&lt;=2176),INDEX(Fields!$B$2:$B$206,MATCH(H80-129,Fields!$D$2:$D$206,1)),""),"")</f>
        <v/>
      </c>
      <c r="K80">
        <f>IFERROR(IF(AND(H80&lt;&gt;"",H80&gt;=129,H80&lt;=2176),INDEX(Fields!$C$2:$C$206,MATCH(H80-129,Fields!$D$2:$D$206,1)),""),"")</f>
        <v/>
      </c>
      <c r="L80">
        <f>IFERROR(IF(AND(H80&lt;&gt;"",H80&gt;=129,H80&lt;=2176),INDEX(Fields!$J$2:$J$206,MATCH(H80-129,Fields!$D$2:$D$206,1)),""),"")</f>
        <v/>
      </c>
      <c r="M80">
        <f>IFERROR(IF(AND(H80&lt;&gt;"",H80&gt;=129,H80&lt;=2176),INDEX(Fields!$K$2:$K$206,MATCH(H80-129,Fields!$D$2:$D$206,1)),""),"")</f>
        <v/>
      </c>
    </row>
    <row r="81">
      <c r="A81" t="n">
        <v>79</v>
      </c>
      <c r="B81" t="n">
        <v>0</v>
      </c>
      <c r="C81" t="inlineStr">
        <is>
          <t>No</t>
        </is>
      </c>
      <c r="D81">
        <f>IF(AND(B76=1,B77=1,B78=1,B79=1,B80=1),"Yes","")</f>
        <v/>
      </c>
      <c r="E81" t="inlineStr">
        <is>
          <t>No</t>
        </is>
      </c>
      <c r="F81" t="inlineStr">
        <is>
          <t>No</t>
        </is>
      </c>
      <c r="G81">
        <f>IF(F81="Yes",1-B81,B81)</f>
        <v/>
      </c>
      <c r="H81">
        <f>IF(E81="Yes","",COUNTIFS($E$2:E81,"No"))</f>
        <v/>
      </c>
      <c r="I81">
        <f>IF(H81="","",IF(H81&lt;=128,"address",IF(H81&lt;=600,"data1",IF(H81&lt;=1264,"zero-run1",IF(H81&lt;=1648,"data2",IF(H81&lt;=2176,"zero-run2",IF(H81&lt;=2192,"FCS","trailing")))))))</f>
        <v/>
      </c>
      <c r="J81">
        <f>IFERROR(IF(AND(H81&lt;&gt;"",H81&gt;=129,H81&lt;=2176),INDEX(Fields!$B$2:$B$206,MATCH(H81-129,Fields!$D$2:$D$206,1)),""),"")</f>
        <v/>
      </c>
      <c r="K81">
        <f>IFERROR(IF(AND(H81&lt;&gt;"",H81&gt;=129,H81&lt;=2176),INDEX(Fields!$C$2:$C$206,MATCH(H81-129,Fields!$D$2:$D$206,1)),""),"")</f>
        <v/>
      </c>
      <c r="L81">
        <f>IFERROR(IF(AND(H81&lt;&gt;"",H81&gt;=129,H81&lt;=2176),INDEX(Fields!$J$2:$J$206,MATCH(H81-129,Fields!$D$2:$D$206,1)),""),"")</f>
        <v/>
      </c>
      <c r="M81">
        <f>IFERROR(IF(AND(H81&lt;&gt;"",H81&gt;=129,H81&lt;=2176),INDEX(Fields!$K$2:$K$206,MATCH(H81-129,Fields!$D$2:$D$206,1)),""),"")</f>
        <v/>
      </c>
    </row>
    <row r="82">
      <c r="A82" t="n">
        <v>80</v>
      </c>
      <c r="B82" t="n">
        <v>0</v>
      </c>
      <c r="C82" t="inlineStr">
        <is>
          <t>No</t>
        </is>
      </c>
      <c r="D82">
        <f>IF(AND(B77=1,B78=1,B79=1,B80=1,B81=1),"Yes","")</f>
        <v/>
      </c>
      <c r="E82" t="inlineStr">
        <is>
          <t>No</t>
        </is>
      </c>
      <c r="F82" t="inlineStr">
        <is>
          <t>No</t>
        </is>
      </c>
      <c r="G82">
        <f>IF(F82="Yes",1-B82,B82)</f>
        <v/>
      </c>
      <c r="H82">
        <f>IF(E82="Yes","",COUNTIFS($E$2:E82,"No"))</f>
        <v/>
      </c>
      <c r="I82">
        <f>IF(H82="","",IF(H82&lt;=128,"address",IF(H82&lt;=600,"data1",IF(H82&lt;=1264,"zero-run1",IF(H82&lt;=1648,"data2",IF(H82&lt;=2176,"zero-run2",IF(H82&lt;=2192,"FCS","trailing")))))))</f>
        <v/>
      </c>
      <c r="J82">
        <f>IFERROR(IF(AND(H82&lt;&gt;"",H82&gt;=129,H82&lt;=2176),INDEX(Fields!$B$2:$B$206,MATCH(H82-129,Fields!$D$2:$D$206,1)),""),"")</f>
        <v/>
      </c>
      <c r="K82">
        <f>IFERROR(IF(AND(H82&lt;&gt;"",H82&gt;=129,H82&lt;=2176),INDEX(Fields!$C$2:$C$206,MATCH(H82-129,Fields!$D$2:$D$206,1)),""),"")</f>
        <v/>
      </c>
      <c r="L82">
        <f>IFERROR(IF(AND(H82&lt;&gt;"",H82&gt;=129,H82&lt;=2176),INDEX(Fields!$J$2:$J$206,MATCH(H82-129,Fields!$D$2:$D$206,1)),""),"")</f>
        <v/>
      </c>
      <c r="M82">
        <f>IFERROR(IF(AND(H82&lt;&gt;"",H82&gt;=129,H82&lt;=2176),INDEX(Fields!$K$2:$K$206,MATCH(H82-129,Fields!$D$2:$D$206,1)),""),"")</f>
        <v/>
      </c>
    </row>
    <row r="83">
      <c r="A83" t="n">
        <v>81</v>
      </c>
      <c r="B83" t="n">
        <v>1</v>
      </c>
      <c r="C83" t="inlineStr">
        <is>
          <t>No</t>
        </is>
      </c>
      <c r="D83">
        <f>IF(AND(B78=1,B79=1,B80=1,B81=1,B82=1),"Yes","")</f>
        <v/>
      </c>
      <c r="E83" t="inlineStr">
        <is>
          <t>No</t>
        </is>
      </c>
      <c r="F83" t="inlineStr">
        <is>
          <t>No</t>
        </is>
      </c>
      <c r="G83">
        <f>IF(F83="Yes",1-B83,B83)</f>
        <v/>
      </c>
      <c r="H83">
        <f>IF(E83="Yes","",COUNTIFS($E$2:E83,"No"))</f>
        <v/>
      </c>
      <c r="I83">
        <f>IF(H83="","",IF(H83&lt;=128,"address",IF(H83&lt;=600,"data1",IF(H83&lt;=1264,"zero-run1",IF(H83&lt;=1648,"data2",IF(H83&lt;=2176,"zero-run2",IF(H83&lt;=2192,"FCS","trailing")))))))</f>
        <v/>
      </c>
      <c r="J83">
        <f>IFERROR(IF(AND(H83&lt;&gt;"",H83&gt;=129,H83&lt;=2176),INDEX(Fields!$B$2:$B$206,MATCH(H83-129,Fields!$D$2:$D$206,1)),""),"")</f>
        <v/>
      </c>
      <c r="K83">
        <f>IFERROR(IF(AND(H83&lt;&gt;"",H83&gt;=129,H83&lt;=2176),INDEX(Fields!$C$2:$C$206,MATCH(H83-129,Fields!$D$2:$D$206,1)),""),"")</f>
        <v/>
      </c>
      <c r="L83">
        <f>IFERROR(IF(AND(H83&lt;&gt;"",H83&gt;=129,H83&lt;=2176),INDEX(Fields!$J$2:$J$206,MATCH(H83-129,Fields!$D$2:$D$206,1)),""),"")</f>
        <v/>
      </c>
      <c r="M83">
        <f>IFERROR(IF(AND(H83&lt;&gt;"",H83&gt;=129,H83&lt;=2176),INDEX(Fields!$K$2:$K$206,MATCH(H83-129,Fields!$D$2:$D$206,1)),""),"")</f>
        <v/>
      </c>
    </row>
    <row r="84">
      <c r="A84" t="n">
        <v>82</v>
      </c>
      <c r="B84" t="n">
        <v>1</v>
      </c>
      <c r="C84" t="inlineStr">
        <is>
          <t>No</t>
        </is>
      </c>
      <c r="D84">
        <f>IF(AND(B79=1,B80=1,B81=1,B82=1,B83=1),"Yes","")</f>
        <v/>
      </c>
      <c r="E84" t="inlineStr">
        <is>
          <t>No</t>
        </is>
      </c>
      <c r="F84" t="inlineStr">
        <is>
          <t>No</t>
        </is>
      </c>
      <c r="G84">
        <f>IF(F84="Yes",1-B84,B84)</f>
        <v/>
      </c>
      <c r="H84">
        <f>IF(E84="Yes","",COUNTIFS($E$2:E84,"No"))</f>
        <v/>
      </c>
      <c r="I84">
        <f>IF(H84="","",IF(H84&lt;=128,"address",IF(H84&lt;=600,"data1",IF(H84&lt;=1264,"zero-run1",IF(H84&lt;=1648,"data2",IF(H84&lt;=2176,"zero-run2",IF(H84&lt;=2192,"FCS","trailing")))))))</f>
        <v/>
      </c>
      <c r="J84">
        <f>IFERROR(IF(AND(H84&lt;&gt;"",H84&gt;=129,H84&lt;=2176),INDEX(Fields!$B$2:$B$206,MATCH(H84-129,Fields!$D$2:$D$206,1)),""),"")</f>
        <v/>
      </c>
      <c r="K84">
        <f>IFERROR(IF(AND(H84&lt;&gt;"",H84&gt;=129,H84&lt;=2176),INDEX(Fields!$C$2:$C$206,MATCH(H84-129,Fields!$D$2:$D$206,1)),""),"")</f>
        <v/>
      </c>
      <c r="L84">
        <f>IFERROR(IF(AND(H84&lt;&gt;"",H84&gt;=129,H84&lt;=2176),INDEX(Fields!$J$2:$J$206,MATCH(H84-129,Fields!$D$2:$D$206,1)),""),"")</f>
        <v/>
      </c>
      <c r="M84">
        <f>IFERROR(IF(AND(H84&lt;&gt;"",H84&gt;=129,H84&lt;=2176),INDEX(Fields!$K$2:$K$206,MATCH(H84-129,Fields!$D$2:$D$206,1)),""),"")</f>
        <v/>
      </c>
    </row>
    <row r="85">
      <c r="A85" t="n">
        <v>83</v>
      </c>
      <c r="B85" t="n">
        <v>0</v>
      </c>
      <c r="C85" t="inlineStr">
        <is>
          <t>No</t>
        </is>
      </c>
      <c r="D85">
        <f>IF(AND(B80=1,B81=1,B82=1,B83=1,B84=1),"Yes","")</f>
        <v/>
      </c>
      <c r="E85" t="inlineStr">
        <is>
          <t>No</t>
        </is>
      </c>
      <c r="F85" t="inlineStr">
        <is>
          <t>No</t>
        </is>
      </c>
      <c r="G85">
        <f>IF(F85="Yes",1-B85,B85)</f>
        <v/>
      </c>
      <c r="H85">
        <f>IF(E85="Yes","",COUNTIFS($E$2:E85,"No"))</f>
        <v/>
      </c>
      <c r="I85">
        <f>IF(H85="","",IF(H85&lt;=128,"address",IF(H85&lt;=600,"data1",IF(H85&lt;=1264,"zero-run1",IF(H85&lt;=1648,"data2",IF(H85&lt;=2176,"zero-run2",IF(H85&lt;=2192,"FCS","trailing")))))))</f>
        <v/>
      </c>
      <c r="J85">
        <f>IFERROR(IF(AND(H85&lt;&gt;"",H85&gt;=129,H85&lt;=2176),INDEX(Fields!$B$2:$B$206,MATCH(H85-129,Fields!$D$2:$D$206,1)),""),"")</f>
        <v/>
      </c>
      <c r="K85">
        <f>IFERROR(IF(AND(H85&lt;&gt;"",H85&gt;=129,H85&lt;=2176),INDEX(Fields!$C$2:$C$206,MATCH(H85-129,Fields!$D$2:$D$206,1)),""),"")</f>
        <v/>
      </c>
      <c r="L85">
        <f>IFERROR(IF(AND(H85&lt;&gt;"",H85&gt;=129,H85&lt;=2176),INDEX(Fields!$J$2:$J$206,MATCH(H85-129,Fields!$D$2:$D$206,1)),""),"")</f>
        <v/>
      </c>
      <c r="M85">
        <f>IFERROR(IF(AND(H85&lt;&gt;"",H85&gt;=129,H85&lt;=2176),INDEX(Fields!$K$2:$K$206,MATCH(H85-129,Fields!$D$2:$D$206,1)),""),"")</f>
        <v/>
      </c>
    </row>
    <row r="86">
      <c r="A86" t="n">
        <v>84</v>
      </c>
      <c r="B86" t="n">
        <v>0</v>
      </c>
      <c r="C86" t="inlineStr">
        <is>
          <t>No</t>
        </is>
      </c>
      <c r="D86">
        <f>IF(AND(B81=1,B82=1,B83=1,B84=1,B85=1),"Yes","")</f>
        <v/>
      </c>
      <c r="E86" t="inlineStr">
        <is>
          <t>No</t>
        </is>
      </c>
      <c r="F86" t="inlineStr">
        <is>
          <t>No</t>
        </is>
      </c>
      <c r="G86">
        <f>IF(F86="Yes",1-B86,B86)</f>
        <v/>
      </c>
      <c r="H86">
        <f>IF(E86="Yes","",COUNTIFS($E$2:E86,"No"))</f>
        <v/>
      </c>
      <c r="I86">
        <f>IF(H86="","",IF(H86&lt;=128,"address",IF(H86&lt;=600,"data1",IF(H86&lt;=1264,"zero-run1",IF(H86&lt;=1648,"data2",IF(H86&lt;=2176,"zero-run2",IF(H86&lt;=2192,"FCS","trailing")))))))</f>
        <v/>
      </c>
      <c r="J86">
        <f>IFERROR(IF(AND(H86&lt;&gt;"",H86&gt;=129,H86&lt;=2176),INDEX(Fields!$B$2:$B$206,MATCH(H86-129,Fields!$D$2:$D$206,1)),""),"")</f>
        <v/>
      </c>
      <c r="K86">
        <f>IFERROR(IF(AND(H86&lt;&gt;"",H86&gt;=129,H86&lt;=2176),INDEX(Fields!$C$2:$C$206,MATCH(H86-129,Fields!$D$2:$D$206,1)),""),"")</f>
        <v/>
      </c>
      <c r="L86">
        <f>IFERROR(IF(AND(H86&lt;&gt;"",H86&gt;=129,H86&lt;=2176),INDEX(Fields!$J$2:$J$206,MATCH(H86-129,Fields!$D$2:$D$206,1)),""),"")</f>
        <v/>
      </c>
      <c r="M86">
        <f>IFERROR(IF(AND(H86&lt;&gt;"",H86&gt;=129,H86&lt;=2176),INDEX(Fields!$K$2:$K$206,MATCH(H86-129,Fields!$D$2:$D$206,1)),""),"")</f>
        <v/>
      </c>
    </row>
    <row r="87">
      <c r="A87" t="n">
        <v>85</v>
      </c>
      <c r="B87" t="n">
        <v>1</v>
      </c>
      <c r="C87" t="inlineStr">
        <is>
          <t>No</t>
        </is>
      </c>
      <c r="D87">
        <f>IF(AND(B82=1,B83=1,B84=1,B85=1,B86=1),"Yes","")</f>
        <v/>
      </c>
      <c r="E87" t="inlineStr">
        <is>
          <t>No</t>
        </is>
      </c>
      <c r="F87" t="inlineStr">
        <is>
          <t>No</t>
        </is>
      </c>
      <c r="G87">
        <f>IF(F87="Yes",1-B87,B87)</f>
        <v/>
      </c>
      <c r="H87">
        <f>IF(E87="Yes","",COUNTIFS($E$2:E87,"No"))</f>
        <v/>
      </c>
      <c r="I87">
        <f>IF(H87="","",IF(H87&lt;=128,"address",IF(H87&lt;=600,"data1",IF(H87&lt;=1264,"zero-run1",IF(H87&lt;=1648,"data2",IF(H87&lt;=2176,"zero-run2",IF(H87&lt;=2192,"FCS","trailing")))))))</f>
        <v/>
      </c>
      <c r="J87">
        <f>IFERROR(IF(AND(H87&lt;&gt;"",H87&gt;=129,H87&lt;=2176),INDEX(Fields!$B$2:$B$206,MATCH(H87-129,Fields!$D$2:$D$206,1)),""),"")</f>
        <v/>
      </c>
      <c r="K87">
        <f>IFERROR(IF(AND(H87&lt;&gt;"",H87&gt;=129,H87&lt;=2176),INDEX(Fields!$C$2:$C$206,MATCH(H87-129,Fields!$D$2:$D$206,1)),""),"")</f>
        <v/>
      </c>
      <c r="L87">
        <f>IFERROR(IF(AND(H87&lt;&gt;"",H87&gt;=129,H87&lt;=2176),INDEX(Fields!$J$2:$J$206,MATCH(H87-129,Fields!$D$2:$D$206,1)),""),"")</f>
        <v/>
      </c>
      <c r="M87">
        <f>IFERROR(IF(AND(H87&lt;&gt;"",H87&gt;=129,H87&lt;=2176),INDEX(Fields!$K$2:$K$206,MATCH(H87-129,Fields!$D$2:$D$206,1)),""),"")</f>
        <v/>
      </c>
    </row>
    <row r="88">
      <c r="A88" t="n">
        <v>86</v>
      </c>
      <c r="B88" t="n">
        <v>0</v>
      </c>
      <c r="C88" t="inlineStr">
        <is>
          <t>No</t>
        </is>
      </c>
      <c r="D88">
        <f>IF(AND(B83=1,B84=1,B85=1,B86=1,B87=1),"Yes","")</f>
        <v/>
      </c>
      <c r="E88" t="inlineStr">
        <is>
          <t>No</t>
        </is>
      </c>
      <c r="F88" t="inlineStr">
        <is>
          <t>No</t>
        </is>
      </c>
      <c r="G88">
        <f>IF(F88="Yes",1-B88,B88)</f>
        <v/>
      </c>
      <c r="H88">
        <f>IF(E88="Yes","",COUNTIFS($E$2:E88,"No"))</f>
        <v/>
      </c>
      <c r="I88">
        <f>IF(H88="","",IF(H88&lt;=128,"address",IF(H88&lt;=600,"data1",IF(H88&lt;=1264,"zero-run1",IF(H88&lt;=1648,"data2",IF(H88&lt;=2176,"zero-run2",IF(H88&lt;=2192,"FCS","trailing")))))))</f>
        <v/>
      </c>
      <c r="J88">
        <f>IFERROR(IF(AND(H88&lt;&gt;"",H88&gt;=129,H88&lt;=2176),INDEX(Fields!$B$2:$B$206,MATCH(H88-129,Fields!$D$2:$D$206,1)),""),"")</f>
        <v/>
      </c>
      <c r="K88">
        <f>IFERROR(IF(AND(H88&lt;&gt;"",H88&gt;=129,H88&lt;=2176),INDEX(Fields!$C$2:$C$206,MATCH(H88-129,Fields!$D$2:$D$206,1)),""),"")</f>
        <v/>
      </c>
      <c r="L88">
        <f>IFERROR(IF(AND(H88&lt;&gt;"",H88&gt;=129,H88&lt;=2176),INDEX(Fields!$J$2:$J$206,MATCH(H88-129,Fields!$D$2:$D$206,1)),""),"")</f>
        <v/>
      </c>
      <c r="M88">
        <f>IFERROR(IF(AND(H88&lt;&gt;"",H88&gt;=129,H88&lt;=2176),INDEX(Fields!$K$2:$K$206,MATCH(H88-129,Fields!$D$2:$D$206,1)),""),"")</f>
        <v/>
      </c>
    </row>
    <row r="89">
      <c r="A89" t="n">
        <v>87</v>
      </c>
      <c r="B89" t="n">
        <v>1</v>
      </c>
      <c r="C89" t="inlineStr">
        <is>
          <t>No</t>
        </is>
      </c>
      <c r="D89">
        <f>IF(AND(B84=1,B85=1,B86=1,B87=1,B88=1),"Yes","")</f>
        <v/>
      </c>
      <c r="E89" t="inlineStr">
        <is>
          <t>No</t>
        </is>
      </c>
      <c r="F89" t="inlineStr">
        <is>
          <t>No</t>
        </is>
      </c>
      <c r="G89">
        <f>IF(F89="Yes",1-B89,B89)</f>
        <v/>
      </c>
      <c r="H89">
        <f>IF(E89="Yes","",COUNTIFS($E$2:E89,"No"))</f>
        <v/>
      </c>
      <c r="I89">
        <f>IF(H89="","",IF(H89&lt;=128,"address",IF(H89&lt;=600,"data1",IF(H89&lt;=1264,"zero-run1",IF(H89&lt;=1648,"data2",IF(H89&lt;=2176,"zero-run2",IF(H89&lt;=2192,"FCS","trailing")))))))</f>
        <v/>
      </c>
      <c r="J89">
        <f>IFERROR(IF(AND(H89&lt;&gt;"",H89&gt;=129,H89&lt;=2176),INDEX(Fields!$B$2:$B$206,MATCH(H89-129,Fields!$D$2:$D$206,1)),""),"")</f>
        <v/>
      </c>
      <c r="K89">
        <f>IFERROR(IF(AND(H89&lt;&gt;"",H89&gt;=129,H89&lt;=2176),INDEX(Fields!$C$2:$C$206,MATCH(H89-129,Fields!$D$2:$D$206,1)),""),"")</f>
        <v/>
      </c>
      <c r="L89">
        <f>IFERROR(IF(AND(H89&lt;&gt;"",H89&gt;=129,H89&lt;=2176),INDEX(Fields!$J$2:$J$206,MATCH(H89-129,Fields!$D$2:$D$206,1)),""),"")</f>
        <v/>
      </c>
      <c r="M89">
        <f>IFERROR(IF(AND(H89&lt;&gt;"",H89&gt;=129,H89&lt;=2176),INDEX(Fields!$K$2:$K$206,MATCH(H89-129,Fields!$D$2:$D$206,1)),""),"")</f>
        <v/>
      </c>
    </row>
    <row r="90">
      <c r="A90" t="n">
        <v>88</v>
      </c>
      <c r="B90" t="n">
        <v>0</v>
      </c>
      <c r="C90" t="inlineStr">
        <is>
          <t>No</t>
        </is>
      </c>
      <c r="D90">
        <f>IF(AND(B85=1,B86=1,B87=1,B88=1,B89=1),"Yes","")</f>
        <v/>
      </c>
      <c r="E90" t="inlineStr">
        <is>
          <t>No</t>
        </is>
      </c>
      <c r="F90" t="inlineStr">
        <is>
          <t>No</t>
        </is>
      </c>
      <c r="G90">
        <f>IF(F90="Yes",1-B90,B90)</f>
        <v/>
      </c>
      <c r="H90">
        <f>IF(E90="Yes","",COUNTIFS($E$2:E90,"No"))</f>
        <v/>
      </c>
      <c r="I90">
        <f>IF(H90="","",IF(H90&lt;=128,"address",IF(H90&lt;=600,"data1",IF(H90&lt;=1264,"zero-run1",IF(H90&lt;=1648,"data2",IF(H90&lt;=2176,"zero-run2",IF(H90&lt;=2192,"FCS","trailing")))))))</f>
        <v/>
      </c>
      <c r="J90">
        <f>IFERROR(IF(AND(H90&lt;&gt;"",H90&gt;=129,H90&lt;=2176),INDEX(Fields!$B$2:$B$206,MATCH(H90-129,Fields!$D$2:$D$206,1)),""),"")</f>
        <v/>
      </c>
      <c r="K90">
        <f>IFERROR(IF(AND(H90&lt;&gt;"",H90&gt;=129,H90&lt;=2176),INDEX(Fields!$C$2:$C$206,MATCH(H90-129,Fields!$D$2:$D$206,1)),""),"")</f>
        <v/>
      </c>
      <c r="L90">
        <f>IFERROR(IF(AND(H90&lt;&gt;"",H90&gt;=129,H90&lt;=2176),INDEX(Fields!$J$2:$J$206,MATCH(H90-129,Fields!$D$2:$D$206,1)),""),"")</f>
        <v/>
      </c>
      <c r="M90">
        <f>IFERROR(IF(AND(H90&lt;&gt;"",H90&gt;=129,H90&lt;=2176),INDEX(Fields!$K$2:$K$206,MATCH(H90-129,Fields!$D$2:$D$206,1)),""),"")</f>
        <v/>
      </c>
    </row>
    <row r="91">
      <c r="A91" t="n">
        <v>89</v>
      </c>
      <c r="B91" t="n">
        <v>1</v>
      </c>
      <c r="C91" t="inlineStr">
        <is>
          <t>No</t>
        </is>
      </c>
      <c r="D91">
        <f>IF(AND(B86=1,B87=1,B88=1,B89=1,B90=1),"Yes","")</f>
        <v/>
      </c>
      <c r="E91" t="inlineStr">
        <is>
          <t>No</t>
        </is>
      </c>
      <c r="F91" t="inlineStr">
        <is>
          <t>No</t>
        </is>
      </c>
      <c r="G91">
        <f>IF(F91="Yes",1-B91,B91)</f>
        <v/>
      </c>
      <c r="H91">
        <f>IF(E91="Yes","",COUNTIFS($E$2:E91,"No"))</f>
        <v/>
      </c>
      <c r="I91">
        <f>IF(H91="","",IF(H91&lt;=128,"address",IF(H91&lt;=600,"data1",IF(H91&lt;=1264,"zero-run1",IF(H91&lt;=1648,"data2",IF(H91&lt;=2176,"zero-run2",IF(H91&lt;=2192,"FCS","trailing")))))))</f>
        <v/>
      </c>
      <c r="J91">
        <f>IFERROR(IF(AND(H91&lt;&gt;"",H91&gt;=129,H91&lt;=2176),INDEX(Fields!$B$2:$B$206,MATCH(H91-129,Fields!$D$2:$D$206,1)),""),"")</f>
        <v/>
      </c>
      <c r="K91">
        <f>IFERROR(IF(AND(H91&lt;&gt;"",H91&gt;=129,H91&lt;=2176),INDEX(Fields!$C$2:$C$206,MATCH(H91-129,Fields!$D$2:$D$206,1)),""),"")</f>
        <v/>
      </c>
      <c r="L91">
        <f>IFERROR(IF(AND(H91&lt;&gt;"",H91&gt;=129,H91&lt;=2176),INDEX(Fields!$J$2:$J$206,MATCH(H91-129,Fields!$D$2:$D$206,1)),""),"")</f>
        <v/>
      </c>
      <c r="M91">
        <f>IFERROR(IF(AND(H91&lt;&gt;"",H91&gt;=129,H91&lt;=2176),INDEX(Fields!$K$2:$K$206,MATCH(H91-129,Fields!$D$2:$D$206,1)),""),"")</f>
        <v/>
      </c>
    </row>
    <row r="92">
      <c r="A92" t="n">
        <v>90</v>
      </c>
      <c r="B92" t="n">
        <v>1</v>
      </c>
      <c r="C92" t="inlineStr">
        <is>
          <t>No</t>
        </is>
      </c>
      <c r="D92">
        <f>IF(AND(B87=1,B88=1,B89=1,B90=1,B91=1),"Yes","")</f>
        <v/>
      </c>
      <c r="E92" t="inlineStr">
        <is>
          <t>No</t>
        </is>
      </c>
      <c r="F92" t="inlineStr">
        <is>
          <t>No</t>
        </is>
      </c>
      <c r="G92">
        <f>IF(F92="Yes",1-B92,B92)</f>
        <v/>
      </c>
      <c r="H92">
        <f>IF(E92="Yes","",COUNTIFS($E$2:E92,"No"))</f>
        <v/>
      </c>
      <c r="I92">
        <f>IF(H92="","",IF(H92&lt;=128,"address",IF(H92&lt;=600,"data1",IF(H92&lt;=1264,"zero-run1",IF(H92&lt;=1648,"data2",IF(H92&lt;=2176,"zero-run2",IF(H92&lt;=2192,"FCS","trailing")))))))</f>
        <v/>
      </c>
      <c r="J92">
        <f>IFERROR(IF(AND(H92&lt;&gt;"",H92&gt;=129,H92&lt;=2176),INDEX(Fields!$B$2:$B$206,MATCH(H92-129,Fields!$D$2:$D$206,1)),""),"")</f>
        <v/>
      </c>
      <c r="K92">
        <f>IFERROR(IF(AND(H92&lt;&gt;"",H92&gt;=129,H92&lt;=2176),INDEX(Fields!$C$2:$C$206,MATCH(H92-129,Fields!$D$2:$D$206,1)),""),"")</f>
        <v/>
      </c>
      <c r="L92">
        <f>IFERROR(IF(AND(H92&lt;&gt;"",H92&gt;=129,H92&lt;=2176),INDEX(Fields!$J$2:$J$206,MATCH(H92-129,Fields!$D$2:$D$206,1)),""),"")</f>
        <v/>
      </c>
      <c r="M92">
        <f>IFERROR(IF(AND(H92&lt;&gt;"",H92&gt;=129,H92&lt;=2176),INDEX(Fields!$K$2:$K$206,MATCH(H92-129,Fields!$D$2:$D$206,1)),""),"")</f>
        <v/>
      </c>
    </row>
    <row r="93">
      <c r="A93" t="n">
        <v>91</v>
      </c>
      <c r="B93" t="n">
        <v>0</v>
      </c>
      <c r="C93" t="inlineStr">
        <is>
          <t>No</t>
        </is>
      </c>
      <c r="D93">
        <f>IF(AND(B88=1,B89=1,B90=1,B91=1,B92=1),"Yes","")</f>
        <v/>
      </c>
      <c r="E93" t="inlineStr">
        <is>
          <t>No</t>
        </is>
      </c>
      <c r="F93" t="inlineStr">
        <is>
          <t>No</t>
        </is>
      </c>
      <c r="G93">
        <f>IF(F93="Yes",1-B93,B93)</f>
        <v/>
      </c>
      <c r="H93">
        <f>IF(E93="Yes","",COUNTIFS($E$2:E93,"No"))</f>
        <v/>
      </c>
      <c r="I93">
        <f>IF(H93="","",IF(H93&lt;=128,"address",IF(H93&lt;=600,"data1",IF(H93&lt;=1264,"zero-run1",IF(H93&lt;=1648,"data2",IF(H93&lt;=2176,"zero-run2",IF(H93&lt;=2192,"FCS","trailing")))))))</f>
        <v/>
      </c>
      <c r="J93">
        <f>IFERROR(IF(AND(H93&lt;&gt;"",H93&gt;=129,H93&lt;=2176),INDEX(Fields!$B$2:$B$206,MATCH(H93-129,Fields!$D$2:$D$206,1)),""),"")</f>
        <v/>
      </c>
      <c r="K93">
        <f>IFERROR(IF(AND(H93&lt;&gt;"",H93&gt;=129,H93&lt;=2176),INDEX(Fields!$C$2:$C$206,MATCH(H93-129,Fields!$D$2:$D$206,1)),""),"")</f>
        <v/>
      </c>
      <c r="L93">
        <f>IFERROR(IF(AND(H93&lt;&gt;"",H93&gt;=129,H93&lt;=2176),INDEX(Fields!$J$2:$J$206,MATCH(H93-129,Fields!$D$2:$D$206,1)),""),"")</f>
        <v/>
      </c>
      <c r="M93">
        <f>IFERROR(IF(AND(H93&lt;&gt;"",H93&gt;=129,H93&lt;=2176),INDEX(Fields!$K$2:$K$206,MATCH(H93-129,Fields!$D$2:$D$206,1)),""),"")</f>
        <v/>
      </c>
    </row>
    <row r="94">
      <c r="A94" t="n">
        <v>92</v>
      </c>
      <c r="B94" t="n">
        <v>0</v>
      </c>
      <c r="C94" t="inlineStr">
        <is>
          <t>No</t>
        </is>
      </c>
      <c r="D94">
        <f>IF(AND(B89=1,B90=1,B91=1,B92=1,B93=1),"Yes","")</f>
        <v/>
      </c>
      <c r="E94" t="inlineStr">
        <is>
          <t>No</t>
        </is>
      </c>
      <c r="F94" t="inlineStr">
        <is>
          <t>No</t>
        </is>
      </c>
      <c r="G94">
        <f>IF(F94="Yes",1-B94,B94)</f>
        <v/>
      </c>
      <c r="H94">
        <f>IF(E94="Yes","",COUNTIFS($E$2:E94,"No"))</f>
        <v/>
      </c>
      <c r="I94">
        <f>IF(H94="","",IF(H94&lt;=128,"address",IF(H94&lt;=600,"data1",IF(H94&lt;=1264,"zero-run1",IF(H94&lt;=1648,"data2",IF(H94&lt;=2176,"zero-run2",IF(H94&lt;=2192,"FCS","trailing")))))))</f>
        <v/>
      </c>
      <c r="J94">
        <f>IFERROR(IF(AND(H94&lt;&gt;"",H94&gt;=129,H94&lt;=2176),INDEX(Fields!$B$2:$B$206,MATCH(H94-129,Fields!$D$2:$D$206,1)),""),"")</f>
        <v/>
      </c>
      <c r="K94">
        <f>IFERROR(IF(AND(H94&lt;&gt;"",H94&gt;=129,H94&lt;=2176),INDEX(Fields!$C$2:$C$206,MATCH(H94-129,Fields!$D$2:$D$206,1)),""),"")</f>
        <v/>
      </c>
      <c r="L94">
        <f>IFERROR(IF(AND(H94&lt;&gt;"",H94&gt;=129,H94&lt;=2176),INDEX(Fields!$J$2:$J$206,MATCH(H94-129,Fields!$D$2:$D$206,1)),""),"")</f>
        <v/>
      </c>
      <c r="M94">
        <f>IFERROR(IF(AND(H94&lt;&gt;"",H94&gt;=129,H94&lt;=2176),INDEX(Fields!$K$2:$K$206,MATCH(H94-129,Fields!$D$2:$D$206,1)),""),"")</f>
        <v/>
      </c>
    </row>
    <row r="95">
      <c r="A95" t="n">
        <v>93</v>
      </c>
      <c r="B95" t="n">
        <v>0</v>
      </c>
      <c r="C95" t="inlineStr">
        <is>
          <t>No</t>
        </is>
      </c>
      <c r="D95">
        <f>IF(AND(B90=1,B91=1,B92=1,B93=1,B94=1),"Yes","")</f>
        <v/>
      </c>
      <c r="E95" t="inlineStr">
        <is>
          <t>No</t>
        </is>
      </c>
      <c r="F95" t="inlineStr">
        <is>
          <t>No</t>
        </is>
      </c>
      <c r="G95">
        <f>IF(F95="Yes",1-B95,B95)</f>
        <v/>
      </c>
      <c r="H95">
        <f>IF(E95="Yes","",COUNTIFS($E$2:E95,"No"))</f>
        <v/>
      </c>
      <c r="I95">
        <f>IF(H95="","",IF(H95&lt;=128,"address",IF(H95&lt;=600,"data1",IF(H95&lt;=1264,"zero-run1",IF(H95&lt;=1648,"data2",IF(H95&lt;=2176,"zero-run2",IF(H95&lt;=2192,"FCS","trailing")))))))</f>
        <v/>
      </c>
      <c r="J95">
        <f>IFERROR(IF(AND(H95&lt;&gt;"",H95&gt;=129,H95&lt;=2176),INDEX(Fields!$B$2:$B$206,MATCH(H95-129,Fields!$D$2:$D$206,1)),""),"")</f>
        <v/>
      </c>
      <c r="K95">
        <f>IFERROR(IF(AND(H95&lt;&gt;"",H95&gt;=129,H95&lt;=2176),INDEX(Fields!$C$2:$C$206,MATCH(H95-129,Fields!$D$2:$D$206,1)),""),"")</f>
        <v/>
      </c>
      <c r="L95">
        <f>IFERROR(IF(AND(H95&lt;&gt;"",H95&gt;=129,H95&lt;=2176),INDEX(Fields!$J$2:$J$206,MATCH(H95-129,Fields!$D$2:$D$206,1)),""),"")</f>
        <v/>
      </c>
      <c r="M95">
        <f>IFERROR(IF(AND(H95&lt;&gt;"",H95&gt;=129,H95&lt;=2176),INDEX(Fields!$K$2:$K$206,MATCH(H95-129,Fields!$D$2:$D$206,1)),""),"")</f>
        <v/>
      </c>
    </row>
    <row r="96">
      <c r="A96" t="n">
        <v>94</v>
      </c>
      <c r="B96" t="n">
        <v>0</v>
      </c>
      <c r="C96" t="inlineStr">
        <is>
          <t>No</t>
        </is>
      </c>
      <c r="D96">
        <f>IF(AND(B91=1,B92=1,B93=1,B94=1,B95=1),"Yes","")</f>
        <v/>
      </c>
      <c r="E96" t="inlineStr">
        <is>
          <t>No</t>
        </is>
      </c>
      <c r="F96" t="inlineStr">
        <is>
          <t>No</t>
        </is>
      </c>
      <c r="G96">
        <f>IF(F96="Yes",1-B96,B96)</f>
        <v/>
      </c>
      <c r="H96">
        <f>IF(E96="Yes","",COUNTIFS($E$2:E96,"No"))</f>
        <v/>
      </c>
      <c r="I96">
        <f>IF(H96="","",IF(H96&lt;=128,"address",IF(H96&lt;=600,"data1",IF(H96&lt;=1264,"zero-run1",IF(H96&lt;=1648,"data2",IF(H96&lt;=2176,"zero-run2",IF(H96&lt;=2192,"FCS","trailing")))))))</f>
        <v/>
      </c>
      <c r="J96">
        <f>IFERROR(IF(AND(H96&lt;&gt;"",H96&gt;=129,H96&lt;=2176),INDEX(Fields!$B$2:$B$206,MATCH(H96-129,Fields!$D$2:$D$206,1)),""),"")</f>
        <v/>
      </c>
      <c r="K96">
        <f>IFERROR(IF(AND(H96&lt;&gt;"",H96&gt;=129,H96&lt;=2176),INDEX(Fields!$C$2:$C$206,MATCH(H96-129,Fields!$D$2:$D$206,1)),""),"")</f>
        <v/>
      </c>
      <c r="L96">
        <f>IFERROR(IF(AND(H96&lt;&gt;"",H96&gt;=129,H96&lt;=2176),INDEX(Fields!$J$2:$J$206,MATCH(H96-129,Fields!$D$2:$D$206,1)),""),"")</f>
        <v/>
      </c>
      <c r="M96">
        <f>IFERROR(IF(AND(H96&lt;&gt;"",H96&gt;=129,H96&lt;=2176),INDEX(Fields!$K$2:$K$206,MATCH(H96-129,Fields!$D$2:$D$206,1)),""),"")</f>
        <v/>
      </c>
    </row>
    <row r="97">
      <c r="A97" t="n">
        <v>95</v>
      </c>
      <c r="B97" t="n">
        <v>1</v>
      </c>
      <c r="C97" t="inlineStr">
        <is>
          <t>No</t>
        </is>
      </c>
      <c r="D97">
        <f>IF(AND(B92=1,B93=1,B94=1,B95=1,B96=1),"Yes","")</f>
        <v/>
      </c>
      <c r="E97" t="inlineStr">
        <is>
          <t>No</t>
        </is>
      </c>
      <c r="F97" t="inlineStr">
        <is>
          <t>No</t>
        </is>
      </c>
      <c r="G97">
        <f>IF(F97="Yes",1-B97,B97)</f>
        <v/>
      </c>
      <c r="H97">
        <f>IF(E97="Yes","",COUNTIFS($E$2:E97,"No"))</f>
        <v/>
      </c>
      <c r="I97">
        <f>IF(H97="","",IF(H97&lt;=128,"address",IF(H97&lt;=600,"data1",IF(H97&lt;=1264,"zero-run1",IF(H97&lt;=1648,"data2",IF(H97&lt;=2176,"zero-run2",IF(H97&lt;=2192,"FCS","trailing")))))))</f>
        <v/>
      </c>
      <c r="J97">
        <f>IFERROR(IF(AND(H97&lt;&gt;"",H97&gt;=129,H97&lt;=2176),INDEX(Fields!$B$2:$B$206,MATCH(H97-129,Fields!$D$2:$D$206,1)),""),"")</f>
        <v/>
      </c>
      <c r="K97">
        <f>IFERROR(IF(AND(H97&lt;&gt;"",H97&gt;=129,H97&lt;=2176),INDEX(Fields!$C$2:$C$206,MATCH(H97-129,Fields!$D$2:$D$206,1)),""),"")</f>
        <v/>
      </c>
      <c r="L97">
        <f>IFERROR(IF(AND(H97&lt;&gt;"",H97&gt;=129,H97&lt;=2176),INDEX(Fields!$J$2:$J$206,MATCH(H97-129,Fields!$D$2:$D$206,1)),""),"")</f>
        <v/>
      </c>
      <c r="M97">
        <f>IFERROR(IF(AND(H97&lt;&gt;"",H97&gt;=129,H97&lt;=2176),INDEX(Fields!$K$2:$K$206,MATCH(H97-129,Fields!$D$2:$D$206,1)),""),"")</f>
        <v/>
      </c>
    </row>
    <row r="98">
      <c r="A98" t="n">
        <v>96</v>
      </c>
      <c r="B98" t="n">
        <v>0</v>
      </c>
      <c r="C98" t="inlineStr">
        <is>
          <t>No</t>
        </is>
      </c>
      <c r="D98">
        <f>IF(AND(B93=1,B94=1,B95=1,B96=1,B97=1),"Yes","")</f>
        <v/>
      </c>
      <c r="E98" t="inlineStr">
        <is>
          <t>No</t>
        </is>
      </c>
      <c r="F98" t="inlineStr">
        <is>
          <t>No</t>
        </is>
      </c>
      <c r="G98">
        <f>IF(F98="Yes",1-B98,B98)</f>
        <v/>
      </c>
      <c r="H98">
        <f>IF(E98="Yes","",COUNTIFS($E$2:E98,"No"))</f>
        <v/>
      </c>
      <c r="I98">
        <f>IF(H98="","",IF(H98&lt;=128,"address",IF(H98&lt;=600,"data1",IF(H98&lt;=1264,"zero-run1",IF(H98&lt;=1648,"data2",IF(H98&lt;=2176,"zero-run2",IF(H98&lt;=2192,"FCS","trailing")))))))</f>
        <v/>
      </c>
      <c r="J98">
        <f>IFERROR(IF(AND(H98&lt;&gt;"",H98&gt;=129,H98&lt;=2176),INDEX(Fields!$B$2:$B$206,MATCH(H98-129,Fields!$D$2:$D$206,1)),""),"")</f>
        <v/>
      </c>
      <c r="K98">
        <f>IFERROR(IF(AND(H98&lt;&gt;"",H98&gt;=129,H98&lt;=2176),INDEX(Fields!$C$2:$C$206,MATCH(H98-129,Fields!$D$2:$D$206,1)),""),"")</f>
        <v/>
      </c>
      <c r="L98">
        <f>IFERROR(IF(AND(H98&lt;&gt;"",H98&gt;=129,H98&lt;=2176),INDEX(Fields!$J$2:$J$206,MATCH(H98-129,Fields!$D$2:$D$206,1)),""),"")</f>
        <v/>
      </c>
      <c r="M98">
        <f>IFERROR(IF(AND(H98&lt;&gt;"",H98&gt;=129,H98&lt;=2176),INDEX(Fields!$K$2:$K$206,MATCH(H98-129,Fields!$D$2:$D$206,1)),""),"")</f>
        <v/>
      </c>
    </row>
    <row r="99">
      <c r="A99" t="n">
        <v>97</v>
      </c>
      <c r="B99" t="n">
        <v>0</v>
      </c>
      <c r="C99" t="inlineStr">
        <is>
          <t>No</t>
        </is>
      </c>
      <c r="D99">
        <f>IF(AND(B94=1,B95=1,B96=1,B97=1,B98=1),"Yes","")</f>
        <v/>
      </c>
      <c r="E99" t="inlineStr">
        <is>
          <t>No</t>
        </is>
      </c>
      <c r="F99" t="inlineStr">
        <is>
          <t>No</t>
        </is>
      </c>
      <c r="G99">
        <f>IF(F99="Yes",1-B99,B99)</f>
        <v/>
      </c>
      <c r="H99">
        <f>IF(E99="Yes","",COUNTIFS($E$2:E99,"No"))</f>
        <v/>
      </c>
      <c r="I99">
        <f>IF(H99="","",IF(H99&lt;=128,"address",IF(H99&lt;=600,"data1",IF(H99&lt;=1264,"zero-run1",IF(H99&lt;=1648,"data2",IF(H99&lt;=2176,"zero-run2",IF(H99&lt;=2192,"FCS","trailing")))))))</f>
        <v/>
      </c>
      <c r="J99">
        <f>IFERROR(IF(AND(H99&lt;&gt;"",H99&gt;=129,H99&lt;=2176),INDEX(Fields!$B$2:$B$206,MATCH(H99-129,Fields!$D$2:$D$206,1)),""),"")</f>
        <v/>
      </c>
      <c r="K99">
        <f>IFERROR(IF(AND(H99&lt;&gt;"",H99&gt;=129,H99&lt;=2176),INDEX(Fields!$C$2:$C$206,MATCH(H99-129,Fields!$D$2:$D$206,1)),""),"")</f>
        <v/>
      </c>
      <c r="L99">
        <f>IFERROR(IF(AND(H99&lt;&gt;"",H99&gt;=129,H99&lt;=2176),INDEX(Fields!$J$2:$J$206,MATCH(H99-129,Fields!$D$2:$D$206,1)),""),"")</f>
        <v/>
      </c>
      <c r="M99">
        <f>IFERROR(IF(AND(H99&lt;&gt;"",H99&gt;=129,H99&lt;=2176),INDEX(Fields!$K$2:$K$206,MATCH(H99-129,Fields!$D$2:$D$206,1)),""),"")</f>
        <v/>
      </c>
    </row>
    <row r="100">
      <c r="A100" t="n">
        <v>98</v>
      </c>
      <c r="B100" t="n">
        <v>0</v>
      </c>
      <c r="C100" t="inlineStr">
        <is>
          <t>No</t>
        </is>
      </c>
      <c r="D100">
        <f>IF(AND(B95=1,B96=1,B97=1,B98=1,B99=1),"Yes","")</f>
        <v/>
      </c>
      <c r="E100" t="inlineStr">
        <is>
          <t>No</t>
        </is>
      </c>
      <c r="F100" t="inlineStr">
        <is>
          <t>No</t>
        </is>
      </c>
      <c r="G100">
        <f>IF(F100="Yes",1-B100,B100)</f>
        <v/>
      </c>
      <c r="H100">
        <f>IF(E100="Yes","",COUNTIFS($E$2:E100,"No"))</f>
        <v/>
      </c>
      <c r="I100">
        <f>IF(H100="","",IF(H100&lt;=128,"address",IF(H100&lt;=600,"data1",IF(H100&lt;=1264,"zero-run1",IF(H100&lt;=1648,"data2",IF(H100&lt;=2176,"zero-run2",IF(H100&lt;=2192,"FCS","trailing")))))))</f>
        <v/>
      </c>
      <c r="J100">
        <f>IFERROR(IF(AND(H100&lt;&gt;"",H100&gt;=129,H100&lt;=2176),INDEX(Fields!$B$2:$B$206,MATCH(H100-129,Fields!$D$2:$D$206,1)),""),"")</f>
        <v/>
      </c>
      <c r="K100">
        <f>IFERROR(IF(AND(H100&lt;&gt;"",H100&gt;=129,H100&lt;=2176),INDEX(Fields!$C$2:$C$206,MATCH(H100-129,Fields!$D$2:$D$206,1)),""),"")</f>
        <v/>
      </c>
      <c r="L100">
        <f>IFERROR(IF(AND(H100&lt;&gt;"",H100&gt;=129,H100&lt;=2176),INDEX(Fields!$J$2:$J$206,MATCH(H100-129,Fields!$D$2:$D$206,1)),""),"")</f>
        <v/>
      </c>
      <c r="M100">
        <f>IFERROR(IF(AND(H100&lt;&gt;"",H100&gt;=129,H100&lt;=2176),INDEX(Fields!$K$2:$K$206,MATCH(H100-129,Fields!$D$2:$D$206,1)),""),"")</f>
        <v/>
      </c>
    </row>
    <row r="101">
      <c r="A101" t="n">
        <v>99</v>
      </c>
      <c r="B101" t="n">
        <v>0</v>
      </c>
      <c r="C101" t="inlineStr">
        <is>
          <t>No</t>
        </is>
      </c>
      <c r="D101">
        <f>IF(AND(B96=1,B97=1,B98=1,B99=1,B100=1),"Yes","")</f>
        <v/>
      </c>
      <c r="E101" t="inlineStr">
        <is>
          <t>No</t>
        </is>
      </c>
      <c r="F101" t="inlineStr">
        <is>
          <t>No</t>
        </is>
      </c>
      <c r="G101">
        <f>IF(F101="Yes",1-B101,B101)</f>
        <v/>
      </c>
      <c r="H101">
        <f>IF(E101="Yes","",COUNTIFS($E$2:E101,"No"))</f>
        <v/>
      </c>
      <c r="I101">
        <f>IF(H101="","",IF(H101&lt;=128,"address",IF(H101&lt;=600,"data1",IF(H101&lt;=1264,"zero-run1",IF(H101&lt;=1648,"data2",IF(H101&lt;=2176,"zero-run2",IF(H101&lt;=2192,"FCS","trailing")))))))</f>
        <v/>
      </c>
      <c r="J101">
        <f>IFERROR(IF(AND(H101&lt;&gt;"",H101&gt;=129,H101&lt;=2176),INDEX(Fields!$B$2:$B$206,MATCH(H101-129,Fields!$D$2:$D$206,1)),""),"")</f>
        <v/>
      </c>
      <c r="K101">
        <f>IFERROR(IF(AND(H101&lt;&gt;"",H101&gt;=129,H101&lt;=2176),INDEX(Fields!$C$2:$C$206,MATCH(H101-129,Fields!$D$2:$D$206,1)),""),"")</f>
        <v/>
      </c>
      <c r="L101">
        <f>IFERROR(IF(AND(H101&lt;&gt;"",H101&gt;=129,H101&lt;=2176),INDEX(Fields!$J$2:$J$206,MATCH(H101-129,Fields!$D$2:$D$206,1)),""),"")</f>
        <v/>
      </c>
      <c r="M101">
        <f>IFERROR(IF(AND(H101&lt;&gt;"",H101&gt;=129,H101&lt;=2176),INDEX(Fields!$K$2:$K$206,MATCH(H101-129,Fields!$D$2:$D$206,1)),""),"")</f>
        <v/>
      </c>
    </row>
    <row r="102">
      <c r="A102" t="n">
        <v>100</v>
      </c>
      <c r="B102" t="n">
        <v>1</v>
      </c>
      <c r="C102" t="inlineStr">
        <is>
          <t>No</t>
        </is>
      </c>
      <c r="D102">
        <f>IF(AND(B97=1,B98=1,B99=1,B100=1,B101=1),"Yes","")</f>
        <v/>
      </c>
      <c r="E102" t="inlineStr">
        <is>
          <t>No</t>
        </is>
      </c>
      <c r="F102" t="inlineStr">
        <is>
          <t>No</t>
        </is>
      </c>
      <c r="G102">
        <f>IF(F102="Yes",1-B102,B102)</f>
        <v/>
      </c>
      <c r="H102">
        <f>IF(E102="Yes","",COUNTIFS($E$2:E102,"No"))</f>
        <v/>
      </c>
      <c r="I102">
        <f>IF(H102="","",IF(H102&lt;=128,"address",IF(H102&lt;=600,"data1",IF(H102&lt;=1264,"zero-run1",IF(H102&lt;=1648,"data2",IF(H102&lt;=2176,"zero-run2",IF(H102&lt;=2192,"FCS","trailing")))))))</f>
        <v/>
      </c>
      <c r="J102">
        <f>IFERROR(IF(AND(H102&lt;&gt;"",H102&gt;=129,H102&lt;=2176),INDEX(Fields!$B$2:$B$206,MATCH(H102-129,Fields!$D$2:$D$206,1)),""),"")</f>
        <v/>
      </c>
      <c r="K102">
        <f>IFERROR(IF(AND(H102&lt;&gt;"",H102&gt;=129,H102&lt;=2176),INDEX(Fields!$C$2:$C$206,MATCH(H102-129,Fields!$D$2:$D$206,1)),""),"")</f>
        <v/>
      </c>
      <c r="L102">
        <f>IFERROR(IF(AND(H102&lt;&gt;"",H102&gt;=129,H102&lt;=2176),INDEX(Fields!$J$2:$J$206,MATCH(H102-129,Fields!$D$2:$D$206,1)),""),"")</f>
        <v/>
      </c>
      <c r="M102">
        <f>IFERROR(IF(AND(H102&lt;&gt;"",H102&gt;=129,H102&lt;=2176),INDEX(Fields!$K$2:$K$206,MATCH(H102-129,Fields!$D$2:$D$206,1)),""),"")</f>
        <v/>
      </c>
    </row>
    <row r="103">
      <c r="A103" t="n">
        <v>101</v>
      </c>
      <c r="B103" t="n">
        <v>1</v>
      </c>
      <c r="C103" t="inlineStr">
        <is>
          <t>No</t>
        </is>
      </c>
      <c r="D103">
        <f>IF(AND(B98=1,B99=1,B100=1,B101=1,B102=1),"Yes","")</f>
        <v/>
      </c>
      <c r="E103" t="inlineStr">
        <is>
          <t>No</t>
        </is>
      </c>
      <c r="F103" t="inlineStr">
        <is>
          <t>No</t>
        </is>
      </c>
      <c r="G103">
        <f>IF(F103="Yes",1-B103,B103)</f>
        <v/>
      </c>
      <c r="H103">
        <f>IF(E103="Yes","",COUNTIFS($E$2:E103,"No"))</f>
        <v/>
      </c>
      <c r="I103">
        <f>IF(H103="","",IF(H103&lt;=128,"address",IF(H103&lt;=600,"data1",IF(H103&lt;=1264,"zero-run1",IF(H103&lt;=1648,"data2",IF(H103&lt;=2176,"zero-run2",IF(H103&lt;=2192,"FCS","trailing")))))))</f>
        <v/>
      </c>
      <c r="J103">
        <f>IFERROR(IF(AND(H103&lt;&gt;"",H103&gt;=129,H103&lt;=2176),INDEX(Fields!$B$2:$B$206,MATCH(H103-129,Fields!$D$2:$D$206,1)),""),"")</f>
        <v/>
      </c>
      <c r="K103">
        <f>IFERROR(IF(AND(H103&lt;&gt;"",H103&gt;=129,H103&lt;=2176),INDEX(Fields!$C$2:$C$206,MATCH(H103-129,Fields!$D$2:$D$206,1)),""),"")</f>
        <v/>
      </c>
      <c r="L103">
        <f>IFERROR(IF(AND(H103&lt;&gt;"",H103&gt;=129,H103&lt;=2176),INDEX(Fields!$J$2:$J$206,MATCH(H103-129,Fields!$D$2:$D$206,1)),""),"")</f>
        <v/>
      </c>
      <c r="M103">
        <f>IFERROR(IF(AND(H103&lt;&gt;"",H103&gt;=129,H103&lt;=2176),INDEX(Fields!$K$2:$K$206,MATCH(H103-129,Fields!$D$2:$D$206,1)),""),"")</f>
        <v/>
      </c>
    </row>
    <row r="104">
      <c r="A104" t="n">
        <v>102</v>
      </c>
      <c r="B104" t="n">
        <v>0</v>
      </c>
      <c r="C104" t="inlineStr">
        <is>
          <t>No</t>
        </is>
      </c>
      <c r="D104">
        <f>IF(AND(B99=1,B100=1,B101=1,B102=1,B103=1),"Yes","")</f>
        <v/>
      </c>
      <c r="E104" t="inlineStr">
        <is>
          <t>No</t>
        </is>
      </c>
      <c r="F104" t="inlineStr">
        <is>
          <t>No</t>
        </is>
      </c>
      <c r="G104">
        <f>IF(F104="Yes",1-B104,B104)</f>
        <v/>
      </c>
      <c r="H104">
        <f>IF(E104="Yes","",COUNTIFS($E$2:E104,"No"))</f>
        <v/>
      </c>
      <c r="I104">
        <f>IF(H104="","",IF(H104&lt;=128,"address",IF(H104&lt;=600,"data1",IF(H104&lt;=1264,"zero-run1",IF(H104&lt;=1648,"data2",IF(H104&lt;=2176,"zero-run2",IF(H104&lt;=2192,"FCS","trailing")))))))</f>
        <v/>
      </c>
      <c r="J104">
        <f>IFERROR(IF(AND(H104&lt;&gt;"",H104&gt;=129,H104&lt;=2176),INDEX(Fields!$B$2:$B$206,MATCH(H104-129,Fields!$D$2:$D$206,1)),""),"")</f>
        <v/>
      </c>
      <c r="K104">
        <f>IFERROR(IF(AND(H104&lt;&gt;"",H104&gt;=129,H104&lt;=2176),INDEX(Fields!$C$2:$C$206,MATCH(H104-129,Fields!$D$2:$D$206,1)),""),"")</f>
        <v/>
      </c>
      <c r="L104">
        <f>IFERROR(IF(AND(H104&lt;&gt;"",H104&gt;=129,H104&lt;=2176),INDEX(Fields!$J$2:$J$206,MATCH(H104-129,Fields!$D$2:$D$206,1)),""),"")</f>
        <v/>
      </c>
      <c r="M104">
        <f>IFERROR(IF(AND(H104&lt;&gt;"",H104&gt;=129,H104&lt;=2176),INDEX(Fields!$K$2:$K$206,MATCH(H104-129,Fields!$D$2:$D$206,1)),""),"")</f>
        <v/>
      </c>
    </row>
    <row r="105">
      <c r="A105" t="n">
        <v>103</v>
      </c>
      <c r="B105" t="n">
        <v>1</v>
      </c>
      <c r="C105" t="inlineStr">
        <is>
          <t>No</t>
        </is>
      </c>
      <c r="D105">
        <f>IF(AND(B100=1,B101=1,B102=1,B103=1,B104=1),"Yes","")</f>
        <v/>
      </c>
      <c r="E105" t="inlineStr">
        <is>
          <t>No</t>
        </is>
      </c>
      <c r="F105" t="inlineStr">
        <is>
          <t>No</t>
        </is>
      </c>
      <c r="G105">
        <f>IF(F105="Yes",1-B105,B105)</f>
        <v/>
      </c>
      <c r="H105">
        <f>IF(E105="Yes","",COUNTIFS($E$2:E105,"No"))</f>
        <v/>
      </c>
      <c r="I105">
        <f>IF(H105="","",IF(H105&lt;=128,"address",IF(H105&lt;=600,"data1",IF(H105&lt;=1264,"zero-run1",IF(H105&lt;=1648,"data2",IF(H105&lt;=2176,"zero-run2",IF(H105&lt;=2192,"FCS","trailing")))))))</f>
        <v/>
      </c>
      <c r="J105">
        <f>IFERROR(IF(AND(H105&lt;&gt;"",H105&gt;=129,H105&lt;=2176),INDEX(Fields!$B$2:$B$206,MATCH(H105-129,Fields!$D$2:$D$206,1)),""),"")</f>
        <v/>
      </c>
      <c r="K105">
        <f>IFERROR(IF(AND(H105&lt;&gt;"",H105&gt;=129,H105&lt;=2176),INDEX(Fields!$C$2:$C$206,MATCH(H105-129,Fields!$D$2:$D$206,1)),""),"")</f>
        <v/>
      </c>
      <c r="L105">
        <f>IFERROR(IF(AND(H105&lt;&gt;"",H105&gt;=129,H105&lt;=2176),INDEX(Fields!$J$2:$J$206,MATCH(H105-129,Fields!$D$2:$D$206,1)),""),"")</f>
        <v/>
      </c>
      <c r="M105">
        <f>IFERROR(IF(AND(H105&lt;&gt;"",H105&gt;=129,H105&lt;=2176),INDEX(Fields!$K$2:$K$206,MATCH(H105-129,Fields!$D$2:$D$206,1)),""),"")</f>
        <v/>
      </c>
    </row>
    <row r="106">
      <c r="A106" t="n">
        <v>104</v>
      </c>
      <c r="B106" t="n">
        <v>1</v>
      </c>
      <c r="C106" t="inlineStr">
        <is>
          <t>No</t>
        </is>
      </c>
      <c r="D106">
        <f>IF(AND(B101=1,B102=1,B103=1,B104=1,B105=1),"Yes","")</f>
        <v/>
      </c>
      <c r="E106" t="inlineStr">
        <is>
          <t>No</t>
        </is>
      </c>
      <c r="F106" t="inlineStr">
        <is>
          <t>No</t>
        </is>
      </c>
      <c r="G106">
        <f>IF(F106="Yes",1-B106,B106)</f>
        <v/>
      </c>
      <c r="H106">
        <f>IF(E106="Yes","",COUNTIFS($E$2:E106,"No"))</f>
        <v/>
      </c>
      <c r="I106">
        <f>IF(H106="","",IF(H106&lt;=128,"address",IF(H106&lt;=600,"data1",IF(H106&lt;=1264,"zero-run1",IF(H106&lt;=1648,"data2",IF(H106&lt;=2176,"zero-run2",IF(H106&lt;=2192,"FCS","trailing")))))))</f>
        <v/>
      </c>
      <c r="J106">
        <f>IFERROR(IF(AND(H106&lt;&gt;"",H106&gt;=129,H106&lt;=2176),INDEX(Fields!$B$2:$B$206,MATCH(H106-129,Fields!$D$2:$D$206,1)),""),"")</f>
        <v/>
      </c>
      <c r="K106">
        <f>IFERROR(IF(AND(H106&lt;&gt;"",H106&gt;=129,H106&lt;=2176),INDEX(Fields!$C$2:$C$206,MATCH(H106-129,Fields!$D$2:$D$206,1)),""),"")</f>
        <v/>
      </c>
      <c r="L106">
        <f>IFERROR(IF(AND(H106&lt;&gt;"",H106&gt;=129,H106&lt;=2176),INDEX(Fields!$J$2:$J$206,MATCH(H106-129,Fields!$D$2:$D$206,1)),""),"")</f>
        <v/>
      </c>
      <c r="M106">
        <f>IFERROR(IF(AND(H106&lt;&gt;"",H106&gt;=129,H106&lt;=2176),INDEX(Fields!$K$2:$K$206,MATCH(H106-129,Fields!$D$2:$D$206,1)),""),"")</f>
        <v/>
      </c>
    </row>
    <row r="107">
      <c r="A107" t="n">
        <v>105</v>
      </c>
      <c r="B107" t="n">
        <v>0</v>
      </c>
      <c r="C107" t="inlineStr">
        <is>
          <t>No</t>
        </is>
      </c>
      <c r="D107">
        <f>IF(AND(B102=1,B103=1,B104=1,B105=1,B106=1),"Yes","")</f>
        <v/>
      </c>
      <c r="E107" t="inlineStr">
        <is>
          <t>No</t>
        </is>
      </c>
      <c r="F107" t="inlineStr">
        <is>
          <t>No</t>
        </is>
      </c>
      <c r="G107">
        <f>IF(F107="Yes",1-B107,B107)</f>
        <v/>
      </c>
      <c r="H107">
        <f>IF(E107="Yes","",COUNTIFS($E$2:E107,"No"))</f>
        <v/>
      </c>
      <c r="I107">
        <f>IF(H107="","",IF(H107&lt;=128,"address",IF(H107&lt;=600,"data1",IF(H107&lt;=1264,"zero-run1",IF(H107&lt;=1648,"data2",IF(H107&lt;=2176,"zero-run2",IF(H107&lt;=2192,"FCS","trailing")))))))</f>
        <v/>
      </c>
      <c r="J107">
        <f>IFERROR(IF(AND(H107&lt;&gt;"",H107&gt;=129,H107&lt;=2176),INDEX(Fields!$B$2:$B$206,MATCH(H107-129,Fields!$D$2:$D$206,1)),""),"")</f>
        <v/>
      </c>
      <c r="K107">
        <f>IFERROR(IF(AND(H107&lt;&gt;"",H107&gt;=129,H107&lt;=2176),INDEX(Fields!$C$2:$C$206,MATCH(H107-129,Fields!$D$2:$D$206,1)),""),"")</f>
        <v/>
      </c>
      <c r="L107">
        <f>IFERROR(IF(AND(H107&lt;&gt;"",H107&gt;=129,H107&lt;=2176),INDEX(Fields!$J$2:$J$206,MATCH(H107-129,Fields!$D$2:$D$206,1)),""),"")</f>
        <v/>
      </c>
      <c r="M107">
        <f>IFERROR(IF(AND(H107&lt;&gt;"",H107&gt;=129,H107&lt;=2176),INDEX(Fields!$K$2:$K$206,MATCH(H107-129,Fields!$D$2:$D$206,1)),""),"")</f>
        <v/>
      </c>
    </row>
    <row r="108">
      <c r="A108" t="n">
        <v>106</v>
      </c>
      <c r="B108" t="n">
        <v>0</v>
      </c>
      <c r="C108" t="inlineStr">
        <is>
          <t>No</t>
        </is>
      </c>
      <c r="D108">
        <f>IF(AND(B103=1,B104=1,B105=1,B106=1,B107=1),"Yes","")</f>
        <v/>
      </c>
      <c r="E108" t="inlineStr">
        <is>
          <t>No</t>
        </is>
      </c>
      <c r="F108" t="inlineStr">
        <is>
          <t>No</t>
        </is>
      </c>
      <c r="G108">
        <f>IF(F108="Yes",1-B108,B108)</f>
        <v/>
      </c>
      <c r="H108">
        <f>IF(E108="Yes","",COUNTIFS($E$2:E108,"No"))</f>
        <v/>
      </c>
      <c r="I108">
        <f>IF(H108="","",IF(H108&lt;=128,"address",IF(H108&lt;=600,"data1",IF(H108&lt;=1264,"zero-run1",IF(H108&lt;=1648,"data2",IF(H108&lt;=2176,"zero-run2",IF(H108&lt;=2192,"FCS","trailing")))))))</f>
        <v/>
      </c>
      <c r="J108">
        <f>IFERROR(IF(AND(H108&lt;&gt;"",H108&gt;=129,H108&lt;=2176),INDEX(Fields!$B$2:$B$206,MATCH(H108-129,Fields!$D$2:$D$206,1)),""),"")</f>
        <v/>
      </c>
      <c r="K108">
        <f>IFERROR(IF(AND(H108&lt;&gt;"",H108&gt;=129,H108&lt;=2176),INDEX(Fields!$C$2:$C$206,MATCH(H108-129,Fields!$D$2:$D$206,1)),""),"")</f>
        <v/>
      </c>
      <c r="L108">
        <f>IFERROR(IF(AND(H108&lt;&gt;"",H108&gt;=129,H108&lt;=2176),INDEX(Fields!$J$2:$J$206,MATCH(H108-129,Fields!$D$2:$D$206,1)),""),"")</f>
        <v/>
      </c>
      <c r="M108">
        <f>IFERROR(IF(AND(H108&lt;&gt;"",H108&gt;=129,H108&lt;=2176),INDEX(Fields!$K$2:$K$206,MATCH(H108-129,Fields!$D$2:$D$206,1)),""),"")</f>
        <v/>
      </c>
    </row>
    <row r="109">
      <c r="A109" t="n">
        <v>107</v>
      </c>
      <c r="B109" t="n">
        <v>0</v>
      </c>
      <c r="C109" t="inlineStr">
        <is>
          <t>No</t>
        </is>
      </c>
      <c r="D109">
        <f>IF(AND(B104=1,B105=1,B106=1,B107=1,B108=1),"Yes","")</f>
        <v/>
      </c>
      <c r="E109" t="inlineStr">
        <is>
          <t>No</t>
        </is>
      </c>
      <c r="F109" t="inlineStr">
        <is>
          <t>No</t>
        </is>
      </c>
      <c r="G109">
        <f>IF(F109="Yes",1-B109,B109)</f>
        <v/>
      </c>
      <c r="H109">
        <f>IF(E109="Yes","",COUNTIFS($E$2:E109,"No"))</f>
        <v/>
      </c>
      <c r="I109">
        <f>IF(H109="","",IF(H109&lt;=128,"address",IF(H109&lt;=600,"data1",IF(H109&lt;=1264,"zero-run1",IF(H109&lt;=1648,"data2",IF(H109&lt;=2176,"zero-run2",IF(H109&lt;=2192,"FCS","trailing")))))))</f>
        <v/>
      </c>
      <c r="J109">
        <f>IFERROR(IF(AND(H109&lt;&gt;"",H109&gt;=129,H109&lt;=2176),INDEX(Fields!$B$2:$B$206,MATCH(H109-129,Fields!$D$2:$D$206,1)),""),"")</f>
        <v/>
      </c>
      <c r="K109">
        <f>IFERROR(IF(AND(H109&lt;&gt;"",H109&gt;=129,H109&lt;=2176),INDEX(Fields!$C$2:$C$206,MATCH(H109-129,Fields!$D$2:$D$206,1)),""),"")</f>
        <v/>
      </c>
      <c r="L109">
        <f>IFERROR(IF(AND(H109&lt;&gt;"",H109&gt;=129,H109&lt;=2176),INDEX(Fields!$J$2:$J$206,MATCH(H109-129,Fields!$D$2:$D$206,1)),""),"")</f>
        <v/>
      </c>
      <c r="M109">
        <f>IFERROR(IF(AND(H109&lt;&gt;"",H109&gt;=129,H109&lt;=2176),INDEX(Fields!$K$2:$K$206,MATCH(H109-129,Fields!$D$2:$D$206,1)),""),"")</f>
        <v/>
      </c>
    </row>
    <row r="110">
      <c r="A110" t="n">
        <v>108</v>
      </c>
      <c r="B110" t="n">
        <v>0</v>
      </c>
      <c r="C110" t="inlineStr">
        <is>
          <t>No</t>
        </is>
      </c>
      <c r="D110">
        <f>IF(AND(B105=1,B106=1,B107=1,B108=1,B109=1),"Yes","")</f>
        <v/>
      </c>
      <c r="E110" t="inlineStr">
        <is>
          <t>No</t>
        </is>
      </c>
      <c r="F110" t="inlineStr">
        <is>
          <t>No</t>
        </is>
      </c>
      <c r="G110">
        <f>IF(F110="Yes",1-B110,B110)</f>
        <v/>
      </c>
      <c r="H110">
        <f>IF(E110="Yes","",COUNTIFS($E$2:E110,"No"))</f>
        <v/>
      </c>
      <c r="I110">
        <f>IF(H110="","",IF(H110&lt;=128,"address",IF(H110&lt;=600,"data1",IF(H110&lt;=1264,"zero-run1",IF(H110&lt;=1648,"data2",IF(H110&lt;=2176,"zero-run2",IF(H110&lt;=2192,"FCS","trailing")))))))</f>
        <v/>
      </c>
      <c r="J110">
        <f>IFERROR(IF(AND(H110&lt;&gt;"",H110&gt;=129,H110&lt;=2176),INDEX(Fields!$B$2:$B$206,MATCH(H110-129,Fields!$D$2:$D$206,1)),""),"")</f>
        <v/>
      </c>
      <c r="K110">
        <f>IFERROR(IF(AND(H110&lt;&gt;"",H110&gt;=129,H110&lt;=2176),INDEX(Fields!$C$2:$C$206,MATCH(H110-129,Fields!$D$2:$D$206,1)),""),"")</f>
        <v/>
      </c>
      <c r="L110">
        <f>IFERROR(IF(AND(H110&lt;&gt;"",H110&gt;=129,H110&lt;=2176),INDEX(Fields!$J$2:$J$206,MATCH(H110-129,Fields!$D$2:$D$206,1)),""),"")</f>
        <v/>
      </c>
      <c r="M110">
        <f>IFERROR(IF(AND(H110&lt;&gt;"",H110&gt;=129,H110&lt;=2176),INDEX(Fields!$K$2:$K$206,MATCH(H110-129,Fields!$D$2:$D$206,1)),""),"")</f>
        <v/>
      </c>
    </row>
    <row r="111">
      <c r="A111" t="n">
        <v>109</v>
      </c>
      <c r="B111" t="n">
        <v>1</v>
      </c>
      <c r="C111" t="inlineStr">
        <is>
          <t>No</t>
        </is>
      </c>
      <c r="D111">
        <f>IF(AND(B106=1,B107=1,B108=1,B109=1,B110=1),"Yes","")</f>
        <v/>
      </c>
      <c r="E111" t="inlineStr">
        <is>
          <t>No</t>
        </is>
      </c>
      <c r="F111" t="inlineStr">
        <is>
          <t>No</t>
        </is>
      </c>
      <c r="G111">
        <f>IF(F111="Yes",1-B111,B111)</f>
        <v/>
      </c>
      <c r="H111">
        <f>IF(E111="Yes","",COUNTIFS($E$2:E111,"No"))</f>
        <v/>
      </c>
      <c r="I111">
        <f>IF(H111="","",IF(H111&lt;=128,"address",IF(H111&lt;=600,"data1",IF(H111&lt;=1264,"zero-run1",IF(H111&lt;=1648,"data2",IF(H111&lt;=2176,"zero-run2",IF(H111&lt;=2192,"FCS","trailing")))))))</f>
        <v/>
      </c>
      <c r="J111">
        <f>IFERROR(IF(AND(H111&lt;&gt;"",H111&gt;=129,H111&lt;=2176),INDEX(Fields!$B$2:$B$206,MATCH(H111-129,Fields!$D$2:$D$206,1)),""),"")</f>
        <v/>
      </c>
      <c r="K111">
        <f>IFERROR(IF(AND(H111&lt;&gt;"",H111&gt;=129,H111&lt;=2176),INDEX(Fields!$C$2:$C$206,MATCH(H111-129,Fields!$D$2:$D$206,1)),""),"")</f>
        <v/>
      </c>
      <c r="L111">
        <f>IFERROR(IF(AND(H111&lt;&gt;"",H111&gt;=129,H111&lt;=2176),INDEX(Fields!$J$2:$J$206,MATCH(H111-129,Fields!$D$2:$D$206,1)),""),"")</f>
        <v/>
      </c>
      <c r="M111">
        <f>IFERROR(IF(AND(H111&lt;&gt;"",H111&gt;=129,H111&lt;=2176),INDEX(Fields!$K$2:$K$206,MATCH(H111-129,Fields!$D$2:$D$206,1)),""),"")</f>
        <v/>
      </c>
    </row>
    <row r="112">
      <c r="A112" t="n">
        <v>110</v>
      </c>
      <c r="B112" t="n">
        <v>1</v>
      </c>
      <c r="C112" t="inlineStr">
        <is>
          <t>No</t>
        </is>
      </c>
      <c r="D112">
        <f>IF(AND(B107=1,B108=1,B109=1,B110=1,B111=1),"Yes","")</f>
        <v/>
      </c>
      <c r="E112" t="inlineStr">
        <is>
          <t>No</t>
        </is>
      </c>
      <c r="F112" t="inlineStr">
        <is>
          <t>No</t>
        </is>
      </c>
      <c r="G112">
        <f>IF(F112="Yes",1-B112,B112)</f>
        <v/>
      </c>
      <c r="H112">
        <f>IF(E112="Yes","",COUNTIFS($E$2:E112,"No"))</f>
        <v/>
      </c>
      <c r="I112">
        <f>IF(H112="","",IF(H112&lt;=128,"address",IF(H112&lt;=600,"data1",IF(H112&lt;=1264,"zero-run1",IF(H112&lt;=1648,"data2",IF(H112&lt;=2176,"zero-run2",IF(H112&lt;=2192,"FCS","trailing")))))))</f>
        <v/>
      </c>
      <c r="J112">
        <f>IFERROR(IF(AND(H112&lt;&gt;"",H112&gt;=129,H112&lt;=2176),INDEX(Fields!$B$2:$B$206,MATCH(H112-129,Fields!$D$2:$D$206,1)),""),"")</f>
        <v/>
      </c>
      <c r="K112">
        <f>IFERROR(IF(AND(H112&lt;&gt;"",H112&gt;=129,H112&lt;=2176),INDEX(Fields!$C$2:$C$206,MATCH(H112-129,Fields!$D$2:$D$206,1)),""),"")</f>
        <v/>
      </c>
      <c r="L112">
        <f>IFERROR(IF(AND(H112&lt;&gt;"",H112&gt;=129,H112&lt;=2176),INDEX(Fields!$J$2:$J$206,MATCH(H112-129,Fields!$D$2:$D$206,1)),""),"")</f>
        <v/>
      </c>
      <c r="M112">
        <f>IFERROR(IF(AND(H112&lt;&gt;"",H112&gt;=129,H112&lt;=2176),INDEX(Fields!$K$2:$K$206,MATCH(H112-129,Fields!$D$2:$D$206,1)),""),"")</f>
        <v/>
      </c>
    </row>
    <row r="113">
      <c r="A113" t="n">
        <v>111</v>
      </c>
      <c r="B113" t="n">
        <v>1</v>
      </c>
      <c r="C113" t="inlineStr">
        <is>
          <t>No</t>
        </is>
      </c>
      <c r="D113">
        <f>IF(AND(B108=1,B109=1,B110=1,B111=1,B112=1),"Yes","")</f>
        <v/>
      </c>
      <c r="E113" t="inlineStr">
        <is>
          <t>No</t>
        </is>
      </c>
      <c r="F113" t="inlineStr">
        <is>
          <t>No</t>
        </is>
      </c>
      <c r="G113">
        <f>IF(F113="Yes",1-B113,B113)</f>
        <v/>
      </c>
      <c r="H113">
        <f>IF(E113="Yes","",COUNTIFS($E$2:E113,"No"))</f>
        <v/>
      </c>
      <c r="I113">
        <f>IF(H113="","",IF(H113&lt;=128,"address",IF(H113&lt;=600,"data1",IF(H113&lt;=1264,"zero-run1",IF(H113&lt;=1648,"data2",IF(H113&lt;=2176,"zero-run2",IF(H113&lt;=2192,"FCS","trailing")))))))</f>
        <v/>
      </c>
      <c r="J113">
        <f>IFERROR(IF(AND(H113&lt;&gt;"",H113&gt;=129,H113&lt;=2176),INDEX(Fields!$B$2:$B$206,MATCH(H113-129,Fields!$D$2:$D$206,1)),""),"")</f>
        <v/>
      </c>
      <c r="K113">
        <f>IFERROR(IF(AND(H113&lt;&gt;"",H113&gt;=129,H113&lt;=2176),INDEX(Fields!$C$2:$C$206,MATCH(H113-129,Fields!$D$2:$D$206,1)),""),"")</f>
        <v/>
      </c>
      <c r="L113">
        <f>IFERROR(IF(AND(H113&lt;&gt;"",H113&gt;=129,H113&lt;=2176),INDEX(Fields!$J$2:$J$206,MATCH(H113-129,Fields!$D$2:$D$206,1)),""),"")</f>
        <v/>
      </c>
      <c r="M113">
        <f>IFERROR(IF(AND(H113&lt;&gt;"",H113&gt;=129,H113&lt;=2176),INDEX(Fields!$K$2:$K$206,MATCH(H113-129,Fields!$D$2:$D$206,1)),""),"")</f>
        <v/>
      </c>
    </row>
    <row r="114">
      <c r="A114" t="n">
        <v>112</v>
      </c>
      <c r="B114" t="n">
        <v>1</v>
      </c>
      <c r="C114" t="inlineStr">
        <is>
          <t>No</t>
        </is>
      </c>
      <c r="D114">
        <f>IF(AND(B109=1,B110=1,B111=1,B112=1,B113=1),"Yes","")</f>
        <v/>
      </c>
      <c r="E114" t="inlineStr">
        <is>
          <t>No</t>
        </is>
      </c>
      <c r="F114" t="inlineStr">
        <is>
          <t>No</t>
        </is>
      </c>
      <c r="G114">
        <f>IF(F114="Yes",1-B114,B114)</f>
        <v/>
      </c>
      <c r="H114">
        <f>IF(E114="Yes","",COUNTIFS($E$2:E114,"No"))</f>
        <v/>
      </c>
      <c r="I114">
        <f>IF(H114="","",IF(H114&lt;=128,"address",IF(H114&lt;=600,"data1",IF(H114&lt;=1264,"zero-run1",IF(H114&lt;=1648,"data2",IF(H114&lt;=2176,"zero-run2",IF(H114&lt;=2192,"FCS","trailing")))))))</f>
        <v/>
      </c>
      <c r="J114">
        <f>IFERROR(IF(AND(H114&lt;&gt;"",H114&gt;=129,H114&lt;=2176),INDEX(Fields!$B$2:$B$206,MATCH(H114-129,Fields!$D$2:$D$206,1)),""),"")</f>
        <v/>
      </c>
      <c r="K114">
        <f>IFERROR(IF(AND(H114&lt;&gt;"",H114&gt;=129,H114&lt;=2176),INDEX(Fields!$C$2:$C$206,MATCH(H114-129,Fields!$D$2:$D$206,1)),""),"")</f>
        <v/>
      </c>
      <c r="L114">
        <f>IFERROR(IF(AND(H114&lt;&gt;"",H114&gt;=129,H114&lt;=2176),INDEX(Fields!$J$2:$J$206,MATCH(H114-129,Fields!$D$2:$D$206,1)),""),"")</f>
        <v/>
      </c>
      <c r="M114">
        <f>IFERROR(IF(AND(H114&lt;&gt;"",H114&gt;=129,H114&lt;=2176),INDEX(Fields!$K$2:$K$206,MATCH(H114-129,Fields!$D$2:$D$206,1)),""),"")</f>
        <v/>
      </c>
    </row>
    <row r="115">
      <c r="A115" t="n">
        <v>113</v>
      </c>
      <c r="B115" t="n">
        <v>1</v>
      </c>
      <c r="C115" t="inlineStr">
        <is>
          <t>No</t>
        </is>
      </c>
      <c r="D115">
        <f>IF(AND(B110=1,B111=1,B112=1,B113=1,B114=1),"Yes","")</f>
        <v/>
      </c>
      <c r="E115" t="inlineStr">
        <is>
          <t>No</t>
        </is>
      </c>
      <c r="F115" t="inlineStr">
        <is>
          <t>No</t>
        </is>
      </c>
      <c r="G115">
        <f>IF(F115="Yes",1-B115,B115)</f>
        <v/>
      </c>
      <c r="H115">
        <f>IF(E115="Yes","",COUNTIFS($E$2:E115,"No"))</f>
        <v/>
      </c>
      <c r="I115">
        <f>IF(H115="","",IF(H115&lt;=128,"address",IF(H115&lt;=600,"data1",IF(H115&lt;=1264,"zero-run1",IF(H115&lt;=1648,"data2",IF(H115&lt;=2176,"zero-run2",IF(H115&lt;=2192,"FCS","trailing")))))))</f>
        <v/>
      </c>
      <c r="J115">
        <f>IFERROR(IF(AND(H115&lt;&gt;"",H115&gt;=129,H115&lt;=2176),INDEX(Fields!$B$2:$B$206,MATCH(H115-129,Fields!$D$2:$D$206,1)),""),"")</f>
        <v/>
      </c>
      <c r="K115">
        <f>IFERROR(IF(AND(H115&lt;&gt;"",H115&gt;=129,H115&lt;=2176),INDEX(Fields!$C$2:$C$206,MATCH(H115-129,Fields!$D$2:$D$206,1)),""),"")</f>
        <v/>
      </c>
      <c r="L115">
        <f>IFERROR(IF(AND(H115&lt;&gt;"",H115&gt;=129,H115&lt;=2176),INDEX(Fields!$J$2:$J$206,MATCH(H115-129,Fields!$D$2:$D$206,1)),""),"")</f>
        <v/>
      </c>
      <c r="M115">
        <f>IFERROR(IF(AND(H115&lt;&gt;"",H115&gt;=129,H115&lt;=2176),INDEX(Fields!$K$2:$K$206,MATCH(H115-129,Fields!$D$2:$D$206,1)),""),"")</f>
        <v/>
      </c>
    </row>
    <row r="116">
      <c r="A116" t="n">
        <v>114</v>
      </c>
      <c r="B116" t="n">
        <v>0</v>
      </c>
      <c r="C116" t="inlineStr">
        <is>
          <t>No</t>
        </is>
      </c>
      <c r="D116" s="4">
        <f>IF(AND(B111=1,B112=1,B113=1,B114=1,B115=1),"Yes","")</f>
        <v/>
      </c>
      <c r="E116" t="inlineStr">
        <is>
          <t>No</t>
        </is>
      </c>
      <c r="F116" t="inlineStr">
        <is>
          <t>No</t>
        </is>
      </c>
      <c r="G116">
        <f>IF(F116="Yes",1-B116,B116)</f>
        <v/>
      </c>
      <c r="H116">
        <f>IF(E116="Yes","",COUNTIFS($E$2:E116,"No"))</f>
        <v/>
      </c>
      <c r="I116">
        <f>IF(H116="","",IF(H116&lt;=128,"address",IF(H116&lt;=600,"data1",IF(H116&lt;=1264,"zero-run1",IF(H116&lt;=1648,"data2",IF(H116&lt;=2176,"zero-run2",IF(H116&lt;=2192,"FCS","trailing")))))))</f>
        <v/>
      </c>
      <c r="J116">
        <f>IFERROR(IF(AND(H116&lt;&gt;"",H116&gt;=129,H116&lt;=2176),INDEX(Fields!$B$2:$B$206,MATCH(H116-129,Fields!$D$2:$D$206,1)),""),"")</f>
        <v/>
      </c>
      <c r="K116">
        <f>IFERROR(IF(AND(H116&lt;&gt;"",H116&gt;=129,H116&lt;=2176),INDEX(Fields!$C$2:$C$206,MATCH(H116-129,Fields!$D$2:$D$206,1)),""),"")</f>
        <v/>
      </c>
      <c r="L116">
        <f>IFERROR(IF(AND(H116&lt;&gt;"",H116&gt;=129,H116&lt;=2176),INDEX(Fields!$J$2:$J$206,MATCH(H116-129,Fields!$D$2:$D$206,1)),""),"")</f>
        <v/>
      </c>
      <c r="M116">
        <f>IFERROR(IF(AND(H116&lt;&gt;"",H116&gt;=129,H116&lt;=2176),INDEX(Fields!$K$2:$K$206,MATCH(H116-129,Fields!$D$2:$D$206,1)),""),"")</f>
        <v/>
      </c>
    </row>
    <row r="117">
      <c r="A117" t="n">
        <v>115</v>
      </c>
      <c r="B117" t="n">
        <v>0</v>
      </c>
      <c r="C117" t="inlineStr">
        <is>
          <t>No</t>
        </is>
      </c>
      <c r="D117">
        <f>IF(AND(B112=1,B113=1,B114=1,B115=1,B116=1),"Yes","")</f>
        <v/>
      </c>
      <c r="E117" t="inlineStr">
        <is>
          <t>No</t>
        </is>
      </c>
      <c r="F117" t="inlineStr">
        <is>
          <t>No</t>
        </is>
      </c>
      <c r="G117">
        <f>IF(F117="Yes",1-B117,B117)</f>
        <v/>
      </c>
      <c r="H117">
        <f>IF(E117="Yes","",COUNTIFS($E$2:E117,"No"))</f>
        <v/>
      </c>
      <c r="I117">
        <f>IF(H117="","",IF(H117&lt;=128,"address",IF(H117&lt;=600,"data1",IF(H117&lt;=1264,"zero-run1",IF(H117&lt;=1648,"data2",IF(H117&lt;=2176,"zero-run2",IF(H117&lt;=2192,"FCS","trailing")))))))</f>
        <v/>
      </c>
      <c r="J117">
        <f>IFERROR(IF(AND(H117&lt;&gt;"",H117&gt;=129,H117&lt;=2176),INDEX(Fields!$B$2:$B$206,MATCH(H117-129,Fields!$D$2:$D$206,1)),""),"")</f>
        <v/>
      </c>
      <c r="K117">
        <f>IFERROR(IF(AND(H117&lt;&gt;"",H117&gt;=129,H117&lt;=2176),INDEX(Fields!$C$2:$C$206,MATCH(H117-129,Fields!$D$2:$D$206,1)),""),"")</f>
        <v/>
      </c>
      <c r="L117">
        <f>IFERROR(IF(AND(H117&lt;&gt;"",H117&gt;=129,H117&lt;=2176),INDEX(Fields!$J$2:$J$206,MATCH(H117-129,Fields!$D$2:$D$206,1)),""),"")</f>
        <v/>
      </c>
      <c r="M117">
        <f>IFERROR(IF(AND(H117&lt;&gt;"",H117&gt;=129,H117&lt;=2176),INDEX(Fields!$K$2:$K$206,MATCH(H117-129,Fields!$D$2:$D$206,1)),""),"")</f>
        <v/>
      </c>
    </row>
    <row r="118">
      <c r="A118" t="n">
        <v>116</v>
      </c>
      <c r="B118" t="n">
        <v>0</v>
      </c>
      <c r="C118" t="inlineStr">
        <is>
          <t>No</t>
        </is>
      </c>
      <c r="D118">
        <f>IF(AND(B113=1,B114=1,B115=1,B116=1,B117=1),"Yes","")</f>
        <v/>
      </c>
      <c r="E118" t="inlineStr">
        <is>
          <t>No</t>
        </is>
      </c>
      <c r="F118" t="inlineStr">
        <is>
          <t>No</t>
        </is>
      </c>
      <c r="G118">
        <f>IF(F118="Yes",1-B118,B118)</f>
        <v/>
      </c>
      <c r="H118">
        <f>IF(E118="Yes","",COUNTIFS($E$2:E118,"No"))</f>
        <v/>
      </c>
      <c r="I118">
        <f>IF(H118="","",IF(H118&lt;=128,"address",IF(H118&lt;=600,"data1",IF(H118&lt;=1264,"zero-run1",IF(H118&lt;=1648,"data2",IF(H118&lt;=2176,"zero-run2",IF(H118&lt;=2192,"FCS","trailing")))))))</f>
        <v/>
      </c>
      <c r="J118">
        <f>IFERROR(IF(AND(H118&lt;&gt;"",H118&gt;=129,H118&lt;=2176),INDEX(Fields!$B$2:$B$206,MATCH(H118-129,Fields!$D$2:$D$206,1)),""),"")</f>
        <v/>
      </c>
      <c r="K118">
        <f>IFERROR(IF(AND(H118&lt;&gt;"",H118&gt;=129,H118&lt;=2176),INDEX(Fields!$C$2:$C$206,MATCH(H118-129,Fields!$D$2:$D$206,1)),""),"")</f>
        <v/>
      </c>
      <c r="L118">
        <f>IFERROR(IF(AND(H118&lt;&gt;"",H118&gt;=129,H118&lt;=2176),INDEX(Fields!$J$2:$J$206,MATCH(H118-129,Fields!$D$2:$D$206,1)),""),"")</f>
        <v/>
      </c>
      <c r="M118">
        <f>IFERROR(IF(AND(H118&lt;&gt;"",H118&gt;=129,H118&lt;=2176),INDEX(Fields!$K$2:$K$206,MATCH(H118-129,Fields!$D$2:$D$206,1)),""),"")</f>
        <v/>
      </c>
    </row>
    <row r="119">
      <c r="A119" t="n">
        <v>117</v>
      </c>
      <c r="B119" t="n">
        <v>0</v>
      </c>
      <c r="C119" t="inlineStr">
        <is>
          <t>No</t>
        </is>
      </c>
      <c r="D119">
        <f>IF(AND(B114=1,B115=1,B116=1,B117=1,B118=1),"Yes","")</f>
        <v/>
      </c>
      <c r="E119" t="inlineStr">
        <is>
          <t>No</t>
        </is>
      </c>
      <c r="F119" t="inlineStr">
        <is>
          <t>No</t>
        </is>
      </c>
      <c r="G119">
        <f>IF(F119="Yes",1-B119,B119)</f>
        <v/>
      </c>
      <c r="H119">
        <f>IF(E119="Yes","",COUNTIFS($E$2:E119,"No"))</f>
        <v/>
      </c>
      <c r="I119">
        <f>IF(H119="","",IF(H119&lt;=128,"address",IF(H119&lt;=600,"data1",IF(H119&lt;=1264,"zero-run1",IF(H119&lt;=1648,"data2",IF(H119&lt;=2176,"zero-run2",IF(H119&lt;=2192,"FCS","trailing")))))))</f>
        <v/>
      </c>
      <c r="J119">
        <f>IFERROR(IF(AND(H119&lt;&gt;"",H119&gt;=129,H119&lt;=2176),INDEX(Fields!$B$2:$B$206,MATCH(H119-129,Fields!$D$2:$D$206,1)),""),"")</f>
        <v/>
      </c>
      <c r="K119">
        <f>IFERROR(IF(AND(H119&lt;&gt;"",H119&gt;=129,H119&lt;=2176),INDEX(Fields!$C$2:$C$206,MATCH(H119-129,Fields!$D$2:$D$206,1)),""),"")</f>
        <v/>
      </c>
      <c r="L119">
        <f>IFERROR(IF(AND(H119&lt;&gt;"",H119&gt;=129,H119&lt;=2176),INDEX(Fields!$J$2:$J$206,MATCH(H119-129,Fields!$D$2:$D$206,1)),""),"")</f>
        <v/>
      </c>
      <c r="M119">
        <f>IFERROR(IF(AND(H119&lt;&gt;"",H119&gt;=129,H119&lt;=2176),INDEX(Fields!$K$2:$K$206,MATCH(H119-129,Fields!$D$2:$D$206,1)),""),"")</f>
        <v/>
      </c>
    </row>
    <row r="120">
      <c r="A120" t="n">
        <v>118</v>
      </c>
      <c r="B120" t="n">
        <v>0</v>
      </c>
      <c r="C120" t="inlineStr">
        <is>
          <t>No</t>
        </is>
      </c>
      <c r="D120">
        <f>IF(AND(B115=1,B116=1,B117=1,B118=1,B119=1),"Yes","")</f>
        <v/>
      </c>
      <c r="E120" t="inlineStr">
        <is>
          <t>No</t>
        </is>
      </c>
      <c r="F120" t="inlineStr">
        <is>
          <t>No</t>
        </is>
      </c>
      <c r="G120">
        <f>IF(F120="Yes",1-B120,B120)</f>
        <v/>
      </c>
      <c r="H120">
        <f>IF(E120="Yes","",COUNTIFS($E$2:E120,"No"))</f>
        <v/>
      </c>
      <c r="I120">
        <f>IF(H120="","",IF(H120&lt;=128,"address",IF(H120&lt;=600,"data1",IF(H120&lt;=1264,"zero-run1",IF(H120&lt;=1648,"data2",IF(H120&lt;=2176,"zero-run2",IF(H120&lt;=2192,"FCS","trailing")))))))</f>
        <v/>
      </c>
      <c r="J120">
        <f>IFERROR(IF(AND(H120&lt;&gt;"",H120&gt;=129,H120&lt;=2176),INDEX(Fields!$B$2:$B$206,MATCH(H120-129,Fields!$D$2:$D$206,1)),""),"")</f>
        <v/>
      </c>
      <c r="K120">
        <f>IFERROR(IF(AND(H120&lt;&gt;"",H120&gt;=129,H120&lt;=2176),INDEX(Fields!$C$2:$C$206,MATCH(H120-129,Fields!$D$2:$D$206,1)),""),"")</f>
        <v/>
      </c>
      <c r="L120">
        <f>IFERROR(IF(AND(H120&lt;&gt;"",H120&gt;=129,H120&lt;=2176),INDEX(Fields!$J$2:$J$206,MATCH(H120-129,Fields!$D$2:$D$206,1)),""),"")</f>
        <v/>
      </c>
      <c r="M120">
        <f>IFERROR(IF(AND(H120&lt;&gt;"",H120&gt;=129,H120&lt;=2176),INDEX(Fields!$K$2:$K$206,MATCH(H120-129,Fields!$D$2:$D$206,1)),""),"")</f>
        <v/>
      </c>
    </row>
    <row r="121">
      <c r="A121" t="n">
        <v>119</v>
      </c>
      <c r="B121" t="n">
        <v>0</v>
      </c>
      <c r="C121" t="inlineStr">
        <is>
          <t>No</t>
        </is>
      </c>
      <c r="D121">
        <f>IF(AND(B116=1,B117=1,B118=1,B119=1,B120=1),"Yes","")</f>
        <v/>
      </c>
      <c r="E121" t="inlineStr">
        <is>
          <t>No</t>
        </is>
      </c>
      <c r="F121" t="inlineStr">
        <is>
          <t>No</t>
        </is>
      </c>
      <c r="G121">
        <f>IF(F121="Yes",1-B121,B121)</f>
        <v/>
      </c>
      <c r="H121">
        <f>IF(E121="Yes","",COUNTIFS($E$2:E121,"No"))</f>
        <v/>
      </c>
      <c r="I121">
        <f>IF(H121="","",IF(H121&lt;=128,"address",IF(H121&lt;=600,"data1",IF(H121&lt;=1264,"zero-run1",IF(H121&lt;=1648,"data2",IF(H121&lt;=2176,"zero-run2",IF(H121&lt;=2192,"FCS","trailing")))))))</f>
        <v/>
      </c>
      <c r="J121">
        <f>IFERROR(IF(AND(H121&lt;&gt;"",H121&gt;=129,H121&lt;=2176),INDEX(Fields!$B$2:$B$206,MATCH(H121-129,Fields!$D$2:$D$206,1)),""),"")</f>
        <v/>
      </c>
      <c r="K121">
        <f>IFERROR(IF(AND(H121&lt;&gt;"",H121&gt;=129,H121&lt;=2176),INDEX(Fields!$C$2:$C$206,MATCH(H121-129,Fields!$D$2:$D$206,1)),""),"")</f>
        <v/>
      </c>
      <c r="L121">
        <f>IFERROR(IF(AND(H121&lt;&gt;"",H121&gt;=129,H121&lt;=2176),INDEX(Fields!$J$2:$J$206,MATCH(H121-129,Fields!$D$2:$D$206,1)),""),"")</f>
        <v/>
      </c>
      <c r="M121">
        <f>IFERROR(IF(AND(H121&lt;&gt;"",H121&gt;=129,H121&lt;=2176),INDEX(Fields!$K$2:$K$206,MATCH(H121-129,Fields!$D$2:$D$206,1)),""),"")</f>
        <v/>
      </c>
    </row>
    <row r="122">
      <c r="A122" t="n">
        <v>120</v>
      </c>
      <c r="B122" t="n">
        <v>0</v>
      </c>
      <c r="C122" t="inlineStr">
        <is>
          <t>No</t>
        </is>
      </c>
      <c r="D122">
        <f>IF(AND(B117=1,B118=1,B119=1,B120=1,B121=1),"Yes","")</f>
        <v/>
      </c>
      <c r="E122" t="inlineStr">
        <is>
          <t>No</t>
        </is>
      </c>
      <c r="F122" t="inlineStr">
        <is>
          <t>No</t>
        </is>
      </c>
      <c r="G122">
        <f>IF(F122="Yes",1-B122,B122)</f>
        <v/>
      </c>
      <c r="H122">
        <f>IF(E122="Yes","",COUNTIFS($E$2:E122,"No"))</f>
        <v/>
      </c>
      <c r="I122">
        <f>IF(H122="","",IF(H122&lt;=128,"address",IF(H122&lt;=600,"data1",IF(H122&lt;=1264,"zero-run1",IF(H122&lt;=1648,"data2",IF(H122&lt;=2176,"zero-run2",IF(H122&lt;=2192,"FCS","trailing")))))))</f>
        <v/>
      </c>
      <c r="J122">
        <f>IFERROR(IF(AND(H122&lt;&gt;"",H122&gt;=129,H122&lt;=2176),INDEX(Fields!$B$2:$B$206,MATCH(H122-129,Fields!$D$2:$D$206,1)),""),"")</f>
        <v/>
      </c>
      <c r="K122">
        <f>IFERROR(IF(AND(H122&lt;&gt;"",H122&gt;=129,H122&lt;=2176),INDEX(Fields!$C$2:$C$206,MATCH(H122-129,Fields!$D$2:$D$206,1)),""),"")</f>
        <v/>
      </c>
      <c r="L122">
        <f>IFERROR(IF(AND(H122&lt;&gt;"",H122&gt;=129,H122&lt;=2176),INDEX(Fields!$J$2:$J$206,MATCH(H122-129,Fields!$D$2:$D$206,1)),""),"")</f>
        <v/>
      </c>
      <c r="M122">
        <f>IFERROR(IF(AND(H122&lt;&gt;"",H122&gt;=129,H122&lt;=2176),INDEX(Fields!$K$2:$K$206,MATCH(H122-129,Fields!$D$2:$D$206,1)),""),"")</f>
        <v/>
      </c>
    </row>
    <row r="123">
      <c r="A123" t="n">
        <v>121</v>
      </c>
      <c r="B123" t="n">
        <v>0</v>
      </c>
      <c r="C123" t="inlineStr">
        <is>
          <t>No</t>
        </is>
      </c>
      <c r="D123">
        <f>IF(AND(B118=1,B119=1,B120=1,B121=1,B122=1),"Yes","")</f>
        <v/>
      </c>
      <c r="E123" t="inlineStr">
        <is>
          <t>No</t>
        </is>
      </c>
      <c r="F123" t="inlineStr">
        <is>
          <t>No</t>
        </is>
      </c>
      <c r="G123">
        <f>IF(F123="Yes",1-B123,B123)</f>
        <v/>
      </c>
      <c r="H123">
        <f>IF(E123="Yes","",COUNTIFS($E$2:E123,"No"))</f>
        <v/>
      </c>
      <c r="I123">
        <f>IF(H123="","",IF(H123&lt;=128,"address",IF(H123&lt;=600,"data1",IF(H123&lt;=1264,"zero-run1",IF(H123&lt;=1648,"data2",IF(H123&lt;=2176,"zero-run2",IF(H123&lt;=2192,"FCS","trailing")))))))</f>
        <v/>
      </c>
      <c r="J123">
        <f>IFERROR(IF(AND(H123&lt;&gt;"",H123&gt;=129,H123&lt;=2176),INDEX(Fields!$B$2:$B$206,MATCH(H123-129,Fields!$D$2:$D$206,1)),""),"")</f>
        <v/>
      </c>
      <c r="K123">
        <f>IFERROR(IF(AND(H123&lt;&gt;"",H123&gt;=129,H123&lt;=2176),INDEX(Fields!$C$2:$C$206,MATCH(H123-129,Fields!$D$2:$D$206,1)),""),"")</f>
        <v/>
      </c>
      <c r="L123">
        <f>IFERROR(IF(AND(H123&lt;&gt;"",H123&gt;=129,H123&lt;=2176),INDEX(Fields!$J$2:$J$206,MATCH(H123-129,Fields!$D$2:$D$206,1)),""),"")</f>
        <v/>
      </c>
      <c r="M123">
        <f>IFERROR(IF(AND(H123&lt;&gt;"",H123&gt;=129,H123&lt;=2176),INDEX(Fields!$K$2:$K$206,MATCH(H123-129,Fields!$D$2:$D$206,1)),""),"")</f>
        <v/>
      </c>
    </row>
    <row r="124">
      <c r="A124" t="n">
        <v>122</v>
      </c>
      <c r="B124" t="n">
        <v>0</v>
      </c>
      <c r="C124" t="inlineStr">
        <is>
          <t>No</t>
        </is>
      </c>
      <c r="D124">
        <f>IF(AND(B119=1,B120=1,B121=1,B122=1,B123=1),"Yes","")</f>
        <v/>
      </c>
      <c r="E124" t="inlineStr">
        <is>
          <t>No</t>
        </is>
      </c>
      <c r="F124" t="inlineStr">
        <is>
          <t>No</t>
        </is>
      </c>
      <c r="G124">
        <f>IF(F124="Yes",1-B124,B124)</f>
        <v/>
      </c>
      <c r="H124">
        <f>IF(E124="Yes","",COUNTIFS($E$2:E124,"No"))</f>
        <v/>
      </c>
      <c r="I124">
        <f>IF(H124="","",IF(H124&lt;=128,"address",IF(H124&lt;=600,"data1",IF(H124&lt;=1264,"zero-run1",IF(H124&lt;=1648,"data2",IF(H124&lt;=2176,"zero-run2",IF(H124&lt;=2192,"FCS","trailing")))))))</f>
        <v/>
      </c>
      <c r="J124">
        <f>IFERROR(IF(AND(H124&lt;&gt;"",H124&gt;=129,H124&lt;=2176),INDEX(Fields!$B$2:$B$206,MATCH(H124-129,Fields!$D$2:$D$206,1)),""),"")</f>
        <v/>
      </c>
      <c r="K124">
        <f>IFERROR(IF(AND(H124&lt;&gt;"",H124&gt;=129,H124&lt;=2176),INDEX(Fields!$C$2:$C$206,MATCH(H124-129,Fields!$D$2:$D$206,1)),""),"")</f>
        <v/>
      </c>
      <c r="L124">
        <f>IFERROR(IF(AND(H124&lt;&gt;"",H124&gt;=129,H124&lt;=2176),INDEX(Fields!$J$2:$J$206,MATCH(H124-129,Fields!$D$2:$D$206,1)),""),"")</f>
        <v/>
      </c>
      <c r="M124">
        <f>IFERROR(IF(AND(H124&lt;&gt;"",H124&gt;=129,H124&lt;=2176),INDEX(Fields!$K$2:$K$206,MATCH(H124-129,Fields!$D$2:$D$206,1)),""),"")</f>
        <v/>
      </c>
    </row>
    <row r="125">
      <c r="A125" t="n">
        <v>123</v>
      </c>
      <c r="B125" t="n">
        <v>0</v>
      </c>
      <c r="C125" t="inlineStr">
        <is>
          <t>No</t>
        </is>
      </c>
      <c r="D125">
        <f>IF(AND(B120=1,B121=1,B122=1,B123=1,B124=1),"Yes","")</f>
        <v/>
      </c>
      <c r="E125" t="inlineStr">
        <is>
          <t>No</t>
        </is>
      </c>
      <c r="F125" t="inlineStr">
        <is>
          <t>No</t>
        </is>
      </c>
      <c r="G125">
        <f>IF(F125="Yes",1-B125,B125)</f>
        <v/>
      </c>
      <c r="H125">
        <f>IF(E125="Yes","",COUNTIFS($E$2:E125,"No"))</f>
        <v/>
      </c>
      <c r="I125">
        <f>IF(H125="","",IF(H125&lt;=128,"address",IF(H125&lt;=600,"data1",IF(H125&lt;=1264,"zero-run1",IF(H125&lt;=1648,"data2",IF(H125&lt;=2176,"zero-run2",IF(H125&lt;=2192,"FCS","trailing")))))))</f>
        <v/>
      </c>
      <c r="J125">
        <f>IFERROR(IF(AND(H125&lt;&gt;"",H125&gt;=129,H125&lt;=2176),INDEX(Fields!$B$2:$B$206,MATCH(H125-129,Fields!$D$2:$D$206,1)),""),"")</f>
        <v/>
      </c>
      <c r="K125">
        <f>IFERROR(IF(AND(H125&lt;&gt;"",H125&gt;=129,H125&lt;=2176),INDEX(Fields!$C$2:$C$206,MATCH(H125-129,Fields!$D$2:$D$206,1)),""),"")</f>
        <v/>
      </c>
      <c r="L125">
        <f>IFERROR(IF(AND(H125&lt;&gt;"",H125&gt;=129,H125&lt;=2176),INDEX(Fields!$J$2:$J$206,MATCH(H125-129,Fields!$D$2:$D$206,1)),""),"")</f>
        <v/>
      </c>
      <c r="M125">
        <f>IFERROR(IF(AND(H125&lt;&gt;"",H125&gt;=129,H125&lt;=2176),INDEX(Fields!$K$2:$K$206,MATCH(H125-129,Fields!$D$2:$D$206,1)),""),"")</f>
        <v/>
      </c>
    </row>
    <row r="126">
      <c r="A126" t="n">
        <v>124</v>
      </c>
      <c r="B126" t="n">
        <v>0</v>
      </c>
      <c r="C126" t="inlineStr">
        <is>
          <t>No</t>
        </is>
      </c>
      <c r="D126">
        <f>IF(AND(B121=1,B122=1,B123=1,B124=1,B125=1),"Yes","")</f>
        <v/>
      </c>
      <c r="E126" t="inlineStr">
        <is>
          <t>No</t>
        </is>
      </c>
      <c r="F126" t="inlineStr">
        <is>
          <t>No</t>
        </is>
      </c>
      <c r="G126">
        <f>IF(F126="Yes",1-B126,B126)</f>
        <v/>
      </c>
      <c r="H126">
        <f>IF(E126="Yes","",COUNTIFS($E$2:E126,"No"))</f>
        <v/>
      </c>
      <c r="I126">
        <f>IF(H126="","",IF(H126&lt;=128,"address",IF(H126&lt;=600,"data1",IF(H126&lt;=1264,"zero-run1",IF(H126&lt;=1648,"data2",IF(H126&lt;=2176,"zero-run2",IF(H126&lt;=2192,"FCS","trailing")))))))</f>
        <v/>
      </c>
      <c r="J126">
        <f>IFERROR(IF(AND(H126&lt;&gt;"",H126&gt;=129,H126&lt;=2176),INDEX(Fields!$B$2:$B$206,MATCH(H126-129,Fields!$D$2:$D$206,1)),""),"")</f>
        <v/>
      </c>
      <c r="K126">
        <f>IFERROR(IF(AND(H126&lt;&gt;"",H126&gt;=129,H126&lt;=2176),INDEX(Fields!$C$2:$C$206,MATCH(H126-129,Fields!$D$2:$D$206,1)),""),"")</f>
        <v/>
      </c>
      <c r="L126">
        <f>IFERROR(IF(AND(H126&lt;&gt;"",H126&gt;=129,H126&lt;=2176),INDEX(Fields!$J$2:$J$206,MATCH(H126-129,Fields!$D$2:$D$206,1)),""),"")</f>
        <v/>
      </c>
      <c r="M126">
        <f>IFERROR(IF(AND(H126&lt;&gt;"",H126&gt;=129,H126&lt;=2176),INDEX(Fields!$K$2:$K$206,MATCH(H126-129,Fields!$D$2:$D$206,1)),""),"")</f>
        <v/>
      </c>
    </row>
    <row r="127">
      <c r="A127" t="n">
        <v>125</v>
      </c>
      <c r="B127" t="n">
        <v>1</v>
      </c>
      <c r="C127" t="inlineStr">
        <is>
          <t>No</t>
        </is>
      </c>
      <c r="D127">
        <f>IF(AND(B122=1,B123=1,B124=1,B125=1,B126=1),"Yes","")</f>
        <v/>
      </c>
      <c r="E127" t="inlineStr">
        <is>
          <t>No</t>
        </is>
      </c>
      <c r="F127" t="inlineStr">
        <is>
          <t>No</t>
        </is>
      </c>
      <c r="G127">
        <f>IF(F127="Yes",1-B127,B127)</f>
        <v/>
      </c>
      <c r="H127">
        <f>IF(E127="Yes","",COUNTIFS($E$2:E127,"No"))</f>
        <v/>
      </c>
      <c r="I127">
        <f>IF(H127="","",IF(H127&lt;=128,"address",IF(H127&lt;=600,"data1",IF(H127&lt;=1264,"zero-run1",IF(H127&lt;=1648,"data2",IF(H127&lt;=2176,"zero-run2",IF(H127&lt;=2192,"FCS","trailing")))))))</f>
        <v/>
      </c>
      <c r="J127">
        <f>IFERROR(IF(AND(H127&lt;&gt;"",H127&gt;=129,H127&lt;=2176),INDEX(Fields!$B$2:$B$206,MATCH(H127-129,Fields!$D$2:$D$206,1)),""),"")</f>
        <v/>
      </c>
      <c r="K127">
        <f>IFERROR(IF(AND(H127&lt;&gt;"",H127&gt;=129,H127&lt;=2176),INDEX(Fields!$C$2:$C$206,MATCH(H127-129,Fields!$D$2:$D$206,1)),""),"")</f>
        <v/>
      </c>
      <c r="L127">
        <f>IFERROR(IF(AND(H127&lt;&gt;"",H127&gt;=129,H127&lt;=2176),INDEX(Fields!$J$2:$J$206,MATCH(H127-129,Fields!$D$2:$D$206,1)),""),"")</f>
        <v/>
      </c>
      <c r="M127">
        <f>IFERROR(IF(AND(H127&lt;&gt;"",H127&gt;=129,H127&lt;=2176),INDEX(Fields!$K$2:$K$206,MATCH(H127-129,Fields!$D$2:$D$206,1)),""),"")</f>
        <v/>
      </c>
    </row>
    <row r="128">
      <c r="A128" t="n">
        <v>126</v>
      </c>
      <c r="B128" t="n">
        <v>1</v>
      </c>
      <c r="C128" t="inlineStr">
        <is>
          <t>No</t>
        </is>
      </c>
      <c r="D128">
        <f>IF(AND(B123=1,B124=1,B125=1,B126=1,B127=1),"Yes","")</f>
        <v/>
      </c>
      <c r="E128" t="inlineStr">
        <is>
          <t>No</t>
        </is>
      </c>
      <c r="F128" t="inlineStr">
        <is>
          <t>No</t>
        </is>
      </c>
      <c r="G128">
        <f>IF(F128="Yes",1-B128,B128)</f>
        <v/>
      </c>
      <c r="H128">
        <f>IF(E128="Yes","",COUNTIFS($E$2:E128,"No"))</f>
        <v/>
      </c>
      <c r="I128">
        <f>IF(H128="","",IF(H128&lt;=128,"address",IF(H128&lt;=600,"data1",IF(H128&lt;=1264,"zero-run1",IF(H128&lt;=1648,"data2",IF(H128&lt;=2176,"zero-run2",IF(H128&lt;=2192,"FCS","trailing")))))))</f>
        <v/>
      </c>
      <c r="J128">
        <f>IFERROR(IF(AND(H128&lt;&gt;"",H128&gt;=129,H128&lt;=2176),INDEX(Fields!$B$2:$B$206,MATCH(H128-129,Fields!$D$2:$D$206,1)),""),"")</f>
        <v/>
      </c>
      <c r="K128">
        <f>IFERROR(IF(AND(H128&lt;&gt;"",H128&gt;=129,H128&lt;=2176),INDEX(Fields!$C$2:$C$206,MATCH(H128-129,Fields!$D$2:$D$206,1)),""),"")</f>
        <v/>
      </c>
      <c r="L128">
        <f>IFERROR(IF(AND(H128&lt;&gt;"",H128&gt;=129,H128&lt;=2176),INDEX(Fields!$J$2:$J$206,MATCH(H128-129,Fields!$D$2:$D$206,1)),""),"")</f>
        <v/>
      </c>
      <c r="M128">
        <f>IFERROR(IF(AND(H128&lt;&gt;"",H128&gt;=129,H128&lt;=2176),INDEX(Fields!$K$2:$K$206,MATCH(H128-129,Fields!$D$2:$D$206,1)),""),"")</f>
        <v/>
      </c>
    </row>
    <row r="129">
      <c r="A129" t="n">
        <v>127</v>
      </c>
      <c r="B129" t="n">
        <v>1</v>
      </c>
      <c r="C129" t="inlineStr">
        <is>
          <t>No</t>
        </is>
      </c>
      <c r="D129">
        <f>IF(AND(B124=1,B125=1,B126=1,B127=1,B128=1),"Yes","")</f>
        <v/>
      </c>
      <c r="E129" t="inlineStr">
        <is>
          <t>No</t>
        </is>
      </c>
      <c r="F129" t="inlineStr">
        <is>
          <t>No</t>
        </is>
      </c>
      <c r="G129">
        <f>IF(F129="Yes",1-B129,B129)</f>
        <v/>
      </c>
      <c r="H129">
        <f>IF(E129="Yes","",COUNTIFS($E$2:E129,"No"))</f>
        <v/>
      </c>
      <c r="I129">
        <f>IF(H129="","",IF(H129&lt;=128,"address",IF(H129&lt;=600,"data1",IF(H129&lt;=1264,"zero-run1",IF(H129&lt;=1648,"data2",IF(H129&lt;=2176,"zero-run2",IF(H129&lt;=2192,"FCS","trailing")))))))</f>
        <v/>
      </c>
      <c r="J129">
        <f>IFERROR(IF(AND(H129&lt;&gt;"",H129&gt;=129,H129&lt;=2176),INDEX(Fields!$B$2:$B$206,MATCH(H129-129,Fields!$D$2:$D$206,1)),""),"")</f>
        <v/>
      </c>
      <c r="K129">
        <f>IFERROR(IF(AND(H129&lt;&gt;"",H129&gt;=129,H129&lt;=2176),INDEX(Fields!$C$2:$C$206,MATCH(H129-129,Fields!$D$2:$D$206,1)),""),"")</f>
        <v/>
      </c>
      <c r="L129">
        <f>IFERROR(IF(AND(H129&lt;&gt;"",H129&gt;=129,H129&lt;=2176),INDEX(Fields!$J$2:$J$206,MATCH(H129-129,Fields!$D$2:$D$206,1)),""),"")</f>
        <v/>
      </c>
      <c r="M129">
        <f>IFERROR(IF(AND(H129&lt;&gt;"",H129&gt;=129,H129&lt;=2176),INDEX(Fields!$K$2:$K$206,MATCH(H129-129,Fields!$D$2:$D$206,1)),""),"")</f>
        <v/>
      </c>
    </row>
    <row r="130">
      <c r="A130" t="n">
        <v>128</v>
      </c>
      <c r="B130" t="n">
        <v>1</v>
      </c>
      <c r="C130" t="inlineStr">
        <is>
          <t>No</t>
        </is>
      </c>
      <c r="D130">
        <f>IF(AND(B125=1,B126=1,B127=1,B128=1,B129=1),"Yes","")</f>
        <v/>
      </c>
      <c r="E130" t="inlineStr">
        <is>
          <t>No</t>
        </is>
      </c>
      <c r="F130" t="inlineStr">
        <is>
          <t>No</t>
        </is>
      </c>
      <c r="G130">
        <f>IF(F130="Yes",1-B130,B130)</f>
        <v/>
      </c>
      <c r="H130">
        <f>IF(E130="Yes","",COUNTIFS($E$2:E130,"No"))</f>
        <v/>
      </c>
      <c r="I130">
        <f>IF(H130="","",IF(H130&lt;=128,"address",IF(H130&lt;=600,"data1",IF(H130&lt;=1264,"zero-run1",IF(H130&lt;=1648,"data2",IF(H130&lt;=2176,"zero-run2",IF(H130&lt;=2192,"FCS","trailing")))))))</f>
        <v/>
      </c>
      <c r="J130">
        <f>IFERROR(IF(AND(H130&lt;&gt;"",H130&gt;=129,H130&lt;=2176),INDEX(Fields!$B$2:$B$206,MATCH(H130-129,Fields!$D$2:$D$206,1)),""),"")</f>
        <v/>
      </c>
      <c r="K130">
        <f>IFERROR(IF(AND(H130&lt;&gt;"",H130&gt;=129,H130&lt;=2176),INDEX(Fields!$C$2:$C$206,MATCH(H130-129,Fields!$D$2:$D$206,1)),""),"")</f>
        <v/>
      </c>
      <c r="L130">
        <f>IFERROR(IF(AND(H130&lt;&gt;"",H130&gt;=129,H130&lt;=2176),INDEX(Fields!$J$2:$J$206,MATCH(H130-129,Fields!$D$2:$D$206,1)),""),"")</f>
        <v/>
      </c>
      <c r="M130">
        <f>IFERROR(IF(AND(H130&lt;&gt;"",H130&gt;=129,H130&lt;=2176),INDEX(Fields!$K$2:$K$206,MATCH(H130-129,Fields!$D$2:$D$206,1)),""),"")</f>
        <v/>
      </c>
    </row>
    <row r="131">
      <c r="A131" t="n">
        <v>129</v>
      </c>
      <c r="B131" t="n">
        <v>0</v>
      </c>
      <c r="C131" t="inlineStr">
        <is>
          <t>No</t>
        </is>
      </c>
      <c r="D131">
        <f>IF(AND(B126=1,B127=1,B128=1,B129=1,B130=1),"Yes","")</f>
        <v/>
      </c>
      <c r="E131" t="inlineStr">
        <is>
          <t>No</t>
        </is>
      </c>
      <c r="F131" t="inlineStr">
        <is>
          <t>No</t>
        </is>
      </c>
      <c r="G131">
        <f>IF(F131="Yes",1-B131,B131)</f>
        <v/>
      </c>
      <c r="H131">
        <f>IF(E131="Yes","",COUNTIFS($E$2:E131,"No"))</f>
        <v/>
      </c>
      <c r="I131">
        <f>IF(H131="","",IF(H131&lt;=128,"address",IF(H131&lt;=600,"data1",IF(H131&lt;=1264,"zero-run1",IF(H131&lt;=1648,"data2",IF(H131&lt;=2176,"zero-run2",IF(H131&lt;=2192,"FCS","trailing")))))))</f>
        <v/>
      </c>
      <c r="J131">
        <f>IFERROR(IF(AND(H131&lt;&gt;"",H131&gt;=129,H131&lt;=2176),INDEX(Fields!$B$2:$B$206,MATCH(H131-129,Fields!$D$2:$D$206,1)),""),"")</f>
        <v/>
      </c>
      <c r="K131">
        <f>IFERROR(IF(AND(H131&lt;&gt;"",H131&gt;=129,H131&lt;=2176),INDEX(Fields!$C$2:$C$206,MATCH(H131-129,Fields!$D$2:$D$206,1)),""),"")</f>
        <v/>
      </c>
      <c r="L131">
        <f>IFERROR(IF(AND(H131&lt;&gt;"",H131&gt;=129,H131&lt;=2176),INDEX(Fields!$J$2:$J$206,MATCH(H131-129,Fields!$D$2:$D$206,1)),""),"")</f>
        <v/>
      </c>
      <c r="M131">
        <f>IFERROR(IF(AND(H131&lt;&gt;"",H131&gt;=129,H131&lt;=2176),INDEX(Fields!$K$2:$K$206,MATCH(H131-129,Fields!$D$2:$D$206,1)),""),"")</f>
        <v/>
      </c>
    </row>
    <row r="132">
      <c r="A132" t="n">
        <v>130</v>
      </c>
      <c r="B132" t="n">
        <v>0</v>
      </c>
      <c r="C132" t="inlineStr">
        <is>
          <t>No</t>
        </is>
      </c>
      <c r="D132">
        <f>IF(AND(B127=1,B128=1,B129=1,B130=1,B131=1),"Yes","")</f>
        <v/>
      </c>
      <c r="E132" t="inlineStr">
        <is>
          <t>No</t>
        </is>
      </c>
      <c r="F132" t="inlineStr">
        <is>
          <t>No</t>
        </is>
      </c>
      <c r="G132">
        <f>IF(F132="Yes",1-B132,B132)</f>
        <v/>
      </c>
      <c r="H132">
        <f>IF(E132="Yes","",COUNTIFS($E$2:E132,"No"))</f>
        <v/>
      </c>
      <c r="I132">
        <f>IF(H132="","",IF(H132&lt;=128,"address",IF(H132&lt;=600,"data1",IF(H132&lt;=1264,"zero-run1",IF(H132&lt;=1648,"data2",IF(H132&lt;=2176,"zero-run2",IF(H132&lt;=2192,"FCS","trailing")))))))</f>
        <v/>
      </c>
      <c r="J132">
        <f>IFERROR(IF(AND(H132&lt;&gt;"",H132&gt;=129,H132&lt;=2176),INDEX(Fields!$B$2:$B$206,MATCH(H132-129,Fields!$D$2:$D$206,1)),""),"")</f>
        <v/>
      </c>
      <c r="K132">
        <f>IFERROR(IF(AND(H132&lt;&gt;"",H132&gt;=129,H132&lt;=2176),INDEX(Fields!$C$2:$C$206,MATCH(H132-129,Fields!$D$2:$D$206,1)),""),"")</f>
        <v/>
      </c>
      <c r="L132">
        <f>IFERROR(IF(AND(H132&lt;&gt;"",H132&gt;=129,H132&lt;=2176),INDEX(Fields!$J$2:$J$206,MATCH(H132-129,Fields!$D$2:$D$206,1)),""),"")</f>
        <v/>
      </c>
      <c r="M132">
        <f>IFERROR(IF(AND(H132&lt;&gt;"",H132&gt;=129,H132&lt;=2176),INDEX(Fields!$K$2:$K$206,MATCH(H132-129,Fields!$D$2:$D$206,1)),""),"")</f>
        <v/>
      </c>
    </row>
    <row r="133">
      <c r="A133" t="n">
        <v>131</v>
      </c>
      <c r="B133" t="n">
        <v>0</v>
      </c>
      <c r="C133" t="inlineStr">
        <is>
          <t>No</t>
        </is>
      </c>
      <c r="D133">
        <f>IF(AND(B128=1,B129=1,B130=1,B131=1,B132=1),"Yes","")</f>
        <v/>
      </c>
      <c r="E133" t="inlineStr">
        <is>
          <t>No</t>
        </is>
      </c>
      <c r="F133" t="inlineStr">
        <is>
          <t>No</t>
        </is>
      </c>
      <c r="G133">
        <f>IF(F133="Yes",1-B133,B133)</f>
        <v/>
      </c>
      <c r="H133">
        <f>IF(E133="Yes","",COUNTIFS($E$2:E133,"No"))</f>
        <v/>
      </c>
      <c r="I133">
        <f>IF(H133="","",IF(H133&lt;=128,"address",IF(H133&lt;=600,"data1",IF(H133&lt;=1264,"zero-run1",IF(H133&lt;=1648,"data2",IF(H133&lt;=2176,"zero-run2",IF(H133&lt;=2192,"FCS","trailing")))))))</f>
        <v/>
      </c>
      <c r="J133">
        <f>IFERROR(IF(AND(H133&lt;&gt;"",H133&gt;=129,H133&lt;=2176),INDEX(Fields!$B$2:$B$206,MATCH(H133-129,Fields!$D$2:$D$206,1)),""),"")</f>
        <v/>
      </c>
      <c r="K133">
        <f>IFERROR(IF(AND(H133&lt;&gt;"",H133&gt;=129,H133&lt;=2176),INDEX(Fields!$C$2:$C$206,MATCH(H133-129,Fields!$D$2:$D$206,1)),""),"")</f>
        <v/>
      </c>
      <c r="L133">
        <f>IFERROR(IF(AND(H133&lt;&gt;"",H133&gt;=129,H133&lt;=2176),INDEX(Fields!$J$2:$J$206,MATCH(H133-129,Fields!$D$2:$D$206,1)),""),"")</f>
        <v/>
      </c>
      <c r="M133">
        <f>IFERROR(IF(AND(H133&lt;&gt;"",H133&gt;=129,H133&lt;=2176),INDEX(Fields!$K$2:$K$206,MATCH(H133-129,Fields!$D$2:$D$206,1)),""),"")</f>
        <v/>
      </c>
    </row>
    <row r="134">
      <c r="A134" t="n">
        <v>132</v>
      </c>
      <c r="B134" t="n">
        <v>0</v>
      </c>
      <c r="C134" t="inlineStr">
        <is>
          <t>No</t>
        </is>
      </c>
      <c r="D134">
        <f>IF(AND(B129=1,B130=1,B131=1,B132=1,B133=1),"Yes","")</f>
        <v/>
      </c>
      <c r="E134" t="inlineStr">
        <is>
          <t>No</t>
        </is>
      </c>
      <c r="F134" t="inlineStr">
        <is>
          <t>No</t>
        </is>
      </c>
      <c r="G134">
        <f>IF(F134="Yes",1-B134,B134)</f>
        <v/>
      </c>
      <c r="H134">
        <f>IF(E134="Yes","",COUNTIFS($E$2:E134,"No"))</f>
        <v/>
      </c>
      <c r="I134">
        <f>IF(H134="","",IF(H134&lt;=128,"address",IF(H134&lt;=600,"data1",IF(H134&lt;=1264,"zero-run1",IF(H134&lt;=1648,"data2",IF(H134&lt;=2176,"zero-run2",IF(H134&lt;=2192,"FCS","trailing")))))))</f>
        <v/>
      </c>
      <c r="J134">
        <f>IFERROR(IF(AND(H134&lt;&gt;"",H134&gt;=129,H134&lt;=2176),INDEX(Fields!$B$2:$B$206,MATCH(H134-129,Fields!$D$2:$D$206,1)),""),"")</f>
        <v/>
      </c>
      <c r="K134">
        <f>IFERROR(IF(AND(H134&lt;&gt;"",H134&gt;=129,H134&lt;=2176),INDEX(Fields!$C$2:$C$206,MATCH(H134-129,Fields!$D$2:$D$206,1)),""),"")</f>
        <v/>
      </c>
      <c r="L134">
        <f>IFERROR(IF(AND(H134&lt;&gt;"",H134&gt;=129,H134&lt;=2176),INDEX(Fields!$J$2:$J$206,MATCH(H134-129,Fields!$D$2:$D$206,1)),""),"")</f>
        <v/>
      </c>
      <c r="M134">
        <f>IFERROR(IF(AND(H134&lt;&gt;"",H134&gt;=129,H134&lt;=2176),INDEX(Fields!$K$2:$K$206,MATCH(H134-129,Fields!$D$2:$D$206,1)),""),"")</f>
        <v/>
      </c>
    </row>
    <row r="135">
      <c r="A135" t="n">
        <v>133</v>
      </c>
      <c r="B135" t="n">
        <v>0</v>
      </c>
      <c r="C135" t="inlineStr">
        <is>
          <t>No</t>
        </is>
      </c>
      <c r="D135">
        <f>IF(AND(B130=1,B131=1,B132=1,B133=1,B134=1),"Yes","")</f>
        <v/>
      </c>
      <c r="E135" t="inlineStr">
        <is>
          <t>No</t>
        </is>
      </c>
      <c r="F135" t="inlineStr">
        <is>
          <t>No</t>
        </is>
      </c>
      <c r="G135">
        <f>IF(F135="Yes",1-B135,B135)</f>
        <v/>
      </c>
      <c r="H135">
        <f>IF(E135="Yes","",COUNTIFS($E$2:E135,"No"))</f>
        <v/>
      </c>
      <c r="I135">
        <f>IF(H135="","",IF(H135&lt;=128,"address",IF(H135&lt;=600,"data1",IF(H135&lt;=1264,"zero-run1",IF(H135&lt;=1648,"data2",IF(H135&lt;=2176,"zero-run2",IF(H135&lt;=2192,"FCS","trailing")))))))</f>
        <v/>
      </c>
      <c r="J135">
        <f>IFERROR(IF(AND(H135&lt;&gt;"",H135&gt;=129,H135&lt;=2176),INDEX(Fields!$B$2:$B$206,MATCH(H135-129,Fields!$D$2:$D$206,1)),""),"")</f>
        <v/>
      </c>
      <c r="K135">
        <f>IFERROR(IF(AND(H135&lt;&gt;"",H135&gt;=129,H135&lt;=2176),INDEX(Fields!$C$2:$C$206,MATCH(H135-129,Fields!$D$2:$D$206,1)),""),"")</f>
        <v/>
      </c>
      <c r="L135">
        <f>IFERROR(IF(AND(H135&lt;&gt;"",H135&gt;=129,H135&lt;=2176),INDEX(Fields!$J$2:$J$206,MATCH(H135-129,Fields!$D$2:$D$206,1)),""),"")</f>
        <v/>
      </c>
      <c r="M135">
        <f>IFERROR(IF(AND(H135&lt;&gt;"",H135&gt;=129,H135&lt;=2176),INDEX(Fields!$K$2:$K$206,MATCH(H135-129,Fields!$D$2:$D$206,1)),""),"")</f>
        <v/>
      </c>
    </row>
    <row r="136">
      <c r="A136" t="n">
        <v>134</v>
      </c>
      <c r="B136" t="n">
        <v>0</v>
      </c>
      <c r="C136" t="inlineStr">
        <is>
          <t>No</t>
        </is>
      </c>
      <c r="D136">
        <f>IF(AND(B131=1,B132=1,B133=1,B134=1,B135=1),"Yes","")</f>
        <v/>
      </c>
      <c r="E136" t="inlineStr">
        <is>
          <t>No</t>
        </is>
      </c>
      <c r="F136" t="inlineStr">
        <is>
          <t>No</t>
        </is>
      </c>
      <c r="G136">
        <f>IF(F136="Yes",1-B136,B136)</f>
        <v/>
      </c>
      <c r="H136">
        <f>IF(E136="Yes","",COUNTIFS($E$2:E136,"No"))</f>
        <v/>
      </c>
      <c r="I136">
        <f>IF(H136="","",IF(H136&lt;=128,"address",IF(H136&lt;=600,"data1",IF(H136&lt;=1264,"zero-run1",IF(H136&lt;=1648,"data2",IF(H136&lt;=2176,"zero-run2",IF(H136&lt;=2192,"FCS","trailing")))))))</f>
        <v/>
      </c>
      <c r="J136">
        <f>IFERROR(IF(AND(H136&lt;&gt;"",H136&gt;=129,H136&lt;=2176),INDEX(Fields!$B$2:$B$206,MATCH(H136-129,Fields!$D$2:$D$206,1)),""),"")</f>
        <v/>
      </c>
      <c r="K136">
        <f>IFERROR(IF(AND(H136&lt;&gt;"",H136&gt;=129,H136&lt;=2176),INDEX(Fields!$C$2:$C$206,MATCH(H136-129,Fields!$D$2:$D$206,1)),""),"")</f>
        <v/>
      </c>
      <c r="L136">
        <f>IFERROR(IF(AND(H136&lt;&gt;"",H136&gt;=129,H136&lt;=2176),INDEX(Fields!$J$2:$J$206,MATCH(H136-129,Fields!$D$2:$D$206,1)),""),"")</f>
        <v/>
      </c>
      <c r="M136">
        <f>IFERROR(IF(AND(H136&lt;&gt;"",H136&gt;=129,H136&lt;=2176),INDEX(Fields!$K$2:$K$206,MATCH(H136-129,Fields!$D$2:$D$206,1)),""),"")</f>
        <v/>
      </c>
    </row>
    <row r="137">
      <c r="A137" t="n">
        <v>135</v>
      </c>
      <c r="B137" t="n">
        <v>0</v>
      </c>
      <c r="C137" t="inlineStr">
        <is>
          <t>No</t>
        </is>
      </c>
      <c r="D137">
        <f>IF(AND(B132=1,B133=1,B134=1,B135=1,B136=1),"Yes","")</f>
        <v/>
      </c>
      <c r="E137" t="inlineStr">
        <is>
          <t>No</t>
        </is>
      </c>
      <c r="F137" t="inlineStr">
        <is>
          <t>No</t>
        </is>
      </c>
      <c r="G137">
        <f>IF(F137="Yes",1-B137,B137)</f>
        <v/>
      </c>
      <c r="H137">
        <f>IF(E137="Yes","",COUNTIFS($E$2:E137,"No"))</f>
        <v/>
      </c>
      <c r="I137">
        <f>IF(H137="","",IF(H137&lt;=128,"address",IF(H137&lt;=600,"data1",IF(H137&lt;=1264,"zero-run1",IF(H137&lt;=1648,"data2",IF(H137&lt;=2176,"zero-run2",IF(H137&lt;=2192,"FCS","trailing")))))))</f>
        <v/>
      </c>
      <c r="J137">
        <f>IFERROR(IF(AND(H137&lt;&gt;"",H137&gt;=129,H137&lt;=2176),INDEX(Fields!$B$2:$B$206,MATCH(H137-129,Fields!$D$2:$D$206,1)),""),"")</f>
        <v/>
      </c>
      <c r="K137">
        <f>IFERROR(IF(AND(H137&lt;&gt;"",H137&gt;=129,H137&lt;=2176),INDEX(Fields!$C$2:$C$206,MATCH(H137-129,Fields!$D$2:$D$206,1)),""),"")</f>
        <v/>
      </c>
      <c r="L137">
        <f>IFERROR(IF(AND(H137&lt;&gt;"",H137&gt;=129,H137&lt;=2176),INDEX(Fields!$J$2:$J$206,MATCH(H137-129,Fields!$D$2:$D$206,1)),""),"")</f>
        <v/>
      </c>
      <c r="M137">
        <f>IFERROR(IF(AND(H137&lt;&gt;"",H137&gt;=129,H137&lt;=2176),INDEX(Fields!$K$2:$K$206,MATCH(H137-129,Fields!$D$2:$D$206,1)),""),"")</f>
        <v/>
      </c>
    </row>
    <row r="138">
      <c r="A138" t="n">
        <v>136</v>
      </c>
      <c r="B138" t="n">
        <v>0</v>
      </c>
      <c r="C138" t="inlineStr">
        <is>
          <t>No</t>
        </is>
      </c>
      <c r="D138">
        <f>IF(AND(B133=1,B134=1,B135=1,B136=1,B137=1),"Yes","")</f>
        <v/>
      </c>
      <c r="E138" t="inlineStr">
        <is>
          <t>No</t>
        </is>
      </c>
      <c r="F138" t="inlineStr">
        <is>
          <t>No</t>
        </is>
      </c>
      <c r="G138">
        <f>IF(F138="Yes",1-B138,B138)</f>
        <v/>
      </c>
      <c r="H138">
        <f>IF(E138="Yes","",COUNTIFS($E$2:E138,"No"))</f>
        <v/>
      </c>
      <c r="I138">
        <f>IF(H138="","",IF(H138&lt;=128,"address",IF(H138&lt;=600,"data1",IF(H138&lt;=1264,"zero-run1",IF(H138&lt;=1648,"data2",IF(H138&lt;=2176,"zero-run2",IF(H138&lt;=2192,"FCS","trailing")))))))</f>
        <v/>
      </c>
      <c r="J138">
        <f>IFERROR(IF(AND(H138&lt;&gt;"",H138&gt;=129,H138&lt;=2176),INDEX(Fields!$B$2:$B$206,MATCH(H138-129,Fields!$D$2:$D$206,1)),""),"")</f>
        <v/>
      </c>
      <c r="K138">
        <f>IFERROR(IF(AND(H138&lt;&gt;"",H138&gt;=129,H138&lt;=2176),INDEX(Fields!$C$2:$C$206,MATCH(H138-129,Fields!$D$2:$D$206,1)),""),"")</f>
        <v/>
      </c>
      <c r="L138">
        <f>IFERROR(IF(AND(H138&lt;&gt;"",H138&gt;=129,H138&lt;=2176),INDEX(Fields!$J$2:$J$206,MATCH(H138-129,Fields!$D$2:$D$206,1)),""),"")</f>
        <v/>
      </c>
      <c r="M138">
        <f>IFERROR(IF(AND(H138&lt;&gt;"",H138&gt;=129,H138&lt;=2176),INDEX(Fields!$K$2:$K$206,MATCH(H138-129,Fields!$D$2:$D$206,1)),""),"")</f>
        <v/>
      </c>
    </row>
    <row r="139">
      <c r="A139" t="n">
        <v>137</v>
      </c>
      <c r="B139" t="n">
        <v>0</v>
      </c>
      <c r="C139" t="inlineStr">
        <is>
          <t>No</t>
        </is>
      </c>
      <c r="D139">
        <f>IF(AND(B134=1,B135=1,B136=1,B137=1,B138=1),"Yes","")</f>
        <v/>
      </c>
      <c r="E139" t="inlineStr">
        <is>
          <t>No</t>
        </is>
      </c>
      <c r="F139" t="inlineStr">
        <is>
          <t>No</t>
        </is>
      </c>
      <c r="G139">
        <f>IF(F139="Yes",1-B139,B139)</f>
        <v/>
      </c>
      <c r="H139">
        <f>IF(E139="Yes","",COUNTIFS($E$2:E139,"No"))</f>
        <v/>
      </c>
      <c r="I139">
        <f>IF(H139="","",IF(H139&lt;=128,"address",IF(H139&lt;=600,"data1",IF(H139&lt;=1264,"zero-run1",IF(H139&lt;=1648,"data2",IF(H139&lt;=2176,"zero-run2",IF(H139&lt;=2192,"FCS","trailing")))))))</f>
        <v/>
      </c>
      <c r="J139">
        <f>IFERROR(IF(AND(H139&lt;&gt;"",H139&gt;=129,H139&lt;=2176),INDEX(Fields!$B$2:$B$206,MATCH(H139-129,Fields!$D$2:$D$206,1)),""),"")</f>
        <v/>
      </c>
      <c r="K139">
        <f>IFERROR(IF(AND(H139&lt;&gt;"",H139&gt;=129,H139&lt;=2176),INDEX(Fields!$C$2:$C$206,MATCH(H139-129,Fields!$D$2:$D$206,1)),""),"")</f>
        <v/>
      </c>
      <c r="L139">
        <f>IFERROR(IF(AND(H139&lt;&gt;"",H139&gt;=129,H139&lt;=2176),INDEX(Fields!$J$2:$J$206,MATCH(H139-129,Fields!$D$2:$D$206,1)),""),"")</f>
        <v/>
      </c>
      <c r="M139">
        <f>IFERROR(IF(AND(H139&lt;&gt;"",H139&gt;=129,H139&lt;=2176),INDEX(Fields!$K$2:$K$206,MATCH(H139-129,Fields!$D$2:$D$206,1)),""),"")</f>
        <v/>
      </c>
    </row>
    <row r="140">
      <c r="A140" t="n">
        <v>138</v>
      </c>
      <c r="B140" t="n">
        <v>0</v>
      </c>
      <c r="C140" t="inlineStr">
        <is>
          <t>No</t>
        </is>
      </c>
      <c r="D140">
        <f>IF(AND(B135=1,B136=1,B137=1,B138=1,B139=1),"Yes","")</f>
        <v/>
      </c>
      <c r="E140" t="inlineStr">
        <is>
          <t>No</t>
        </is>
      </c>
      <c r="F140" t="inlineStr">
        <is>
          <t>No</t>
        </is>
      </c>
      <c r="G140">
        <f>IF(F140="Yes",1-B140,B140)</f>
        <v/>
      </c>
      <c r="H140">
        <f>IF(E140="Yes","",COUNTIFS($E$2:E140,"No"))</f>
        <v/>
      </c>
      <c r="I140">
        <f>IF(H140="","",IF(H140&lt;=128,"address",IF(H140&lt;=600,"data1",IF(H140&lt;=1264,"zero-run1",IF(H140&lt;=1648,"data2",IF(H140&lt;=2176,"zero-run2",IF(H140&lt;=2192,"FCS","trailing")))))))</f>
        <v/>
      </c>
      <c r="J140">
        <f>IFERROR(IF(AND(H140&lt;&gt;"",H140&gt;=129,H140&lt;=2176),INDEX(Fields!$B$2:$B$206,MATCH(H140-129,Fields!$D$2:$D$206,1)),""),"")</f>
        <v/>
      </c>
      <c r="K140">
        <f>IFERROR(IF(AND(H140&lt;&gt;"",H140&gt;=129,H140&lt;=2176),INDEX(Fields!$C$2:$C$206,MATCH(H140-129,Fields!$D$2:$D$206,1)),""),"")</f>
        <v/>
      </c>
      <c r="L140">
        <f>IFERROR(IF(AND(H140&lt;&gt;"",H140&gt;=129,H140&lt;=2176),INDEX(Fields!$J$2:$J$206,MATCH(H140-129,Fields!$D$2:$D$206,1)),""),"")</f>
        <v/>
      </c>
      <c r="M140">
        <f>IFERROR(IF(AND(H140&lt;&gt;"",H140&gt;=129,H140&lt;=2176),INDEX(Fields!$K$2:$K$206,MATCH(H140-129,Fields!$D$2:$D$206,1)),""),"")</f>
        <v/>
      </c>
    </row>
    <row r="141">
      <c r="A141" t="n">
        <v>139</v>
      </c>
      <c r="B141" t="n">
        <v>0</v>
      </c>
      <c r="C141" t="inlineStr">
        <is>
          <t>No</t>
        </is>
      </c>
      <c r="D141">
        <f>IF(AND(B136=1,B137=1,B138=1,B139=1,B140=1),"Yes","")</f>
        <v/>
      </c>
      <c r="E141" t="inlineStr">
        <is>
          <t>No</t>
        </is>
      </c>
      <c r="F141" t="inlineStr">
        <is>
          <t>No</t>
        </is>
      </c>
      <c r="G141">
        <f>IF(F141="Yes",1-B141,B141)</f>
        <v/>
      </c>
      <c r="H141">
        <f>IF(E141="Yes","",COUNTIFS($E$2:E141,"No"))</f>
        <v/>
      </c>
      <c r="I141">
        <f>IF(H141="","",IF(H141&lt;=128,"address",IF(H141&lt;=600,"data1",IF(H141&lt;=1264,"zero-run1",IF(H141&lt;=1648,"data2",IF(H141&lt;=2176,"zero-run2",IF(H141&lt;=2192,"FCS","trailing")))))))</f>
        <v/>
      </c>
      <c r="J141">
        <f>IFERROR(IF(AND(H141&lt;&gt;"",H141&gt;=129,H141&lt;=2176),INDEX(Fields!$B$2:$B$206,MATCH(H141-129,Fields!$D$2:$D$206,1)),""),"")</f>
        <v/>
      </c>
      <c r="K141">
        <f>IFERROR(IF(AND(H141&lt;&gt;"",H141&gt;=129,H141&lt;=2176),INDEX(Fields!$C$2:$C$206,MATCH(H141-129,Fields!$D$2:$D$206,1)),""),"")</f>
        <v/>
      </c>
      <c r="L141">
        <f>IFERROR(IF(AND(H141&lt;&gt;"",H141&gt;=129,H141&lt;=2176),INDEX(Fields!$J$2:$J$206,MATCH(H141-129,Fields!$D$2:$D$206,1)),""),"")</f>
        <v/>
      </c>
      <c r="M141">
        <f>IFERROR(IF(AND(H141&lt;&gt;"",H141&gt;=129,H141&lt;=2176),INDEX(Fields!$K$2:$K$206,MATCH(H141-129,Fields!$D$2:$D$206,1)),""),"")</f>
        <v/>
      </c>
    </row>
    <row r="142">
      <c r="A142" t="n">
        <v>140</v>
      </c>
      <c r="B142" t="n">
        <v>1</v>
      </c>
      <c r="C142" t="inlineStr">
        <is>
          <t>No</t>
        </is>
      </c>
      <c r="D142">
        <f>IF(AND(B137=1,B138=1,B139=1,B140=1,B141=1),"Yes","")</f>
        <v/>
      </c>
      <c r="E142" t="inlineStr">
        <is>
          <t>No</t>
        </is>
      </c>
      <c r="F142" t="inlineStr">
        <is>
          <t>No</t>
        </is>
      </c>
      <c r="G142">
        <f>IF(F142="Yes",1-B142,B142)</f>
        <v/>
      </c>
      <c r="H142">
        <f>IF(E142="Yes","",COUNTIFS($E$2:E142,"No"))</f>
        <v/>
      </c>
      <c r="I142">
        <f>IF(H142="","",IF(H142&lt;=128,"address",IF(H142&lt;=600,"data1",IF(H142&lt;=1264,"zero-run1",IF(H142&lt;=1648,"data2",IF(H142&lt;=2176,"zero-run2",IF(H142&lt;=2192,"FCS","trailing")))))))</f>
        <v/>
      </c>
      <c r="J142">
        <f>IFERROR(IF(AND(H142&lt;&gt;"",H142&gt;=129,H142&lt;=2176),INDEX(Fields!$B$2:$B$206,MATCH(H142-129,Fields!$D$2:$D$206,1)),""),"")</f>
        <v/>
      </c>
      <c r="K142">
        <f>IFERROR(IF(AND(H142&lt;&gt;"",H142&gt;=129,H142&lt;=2176),INDEX(Fields!$C$2:$C$206,MATCH(H142-129,Fields!$D$2:$D$206,1)),""),"")</f>
        <v/>
      </c>
      <c r="L142">
        <f>IFERROR(IF(AND(H142&lt;&gt;"",H142&gt;=129,H142&lt;=2176),INDEX(Fields!$J$2:$J$206,MATCH(H142-129,Fields!$D$2:$D$206,1)),""),"")</f>
        <v/>
      </c>
      <c r="M142">
        <f>IFERROR(IF(AND(H142&lt;&gt;"",H142&gt;=129,H142&lt;=2176),INDEX(Fields!$K$2:$K$206,MATCH(H142-129,Fields!$D$2:$D$206,1)),""),"")</f>
        <v/>
      </c>
    </row>
    <row r="143">
      <c r="A143" t="n">
        <v>141</v>
      </c>
      <c r="B143" t="n">
        <v>1</v>
      </c>
      <c r="C143" t="inlineStr">
        <is>
          <t>No</t>
        </is>
      </c>
      <c r="D143">
        <f>IF(AND(B138=1,B139=1,B140=1,B141=1,B142=1),"Yes","")</f>
        <v/>
      </c>
      <c r="E143" t="inlineStr">
        <is>
          <t>No</t>
        </is>
      </c>
      <c r="F143" t="inlineStr">
        <is>
          <t>No</t>
        </is>
      </c>
      <c r="G143">
        <f>IF(F143="Yes",1-B143,B143)</f>
        <v/>
      </c>
      <c r="H143">
        <f>IF(E143="Yes","",COUNTIFS($E$2:E143,"No"))</f>
        <v/>
      </c>
      <c r="I143">
        <f>IF(H143="","",IF(H143&lt;=128,"address",IF(H143&lt;=600,"data1",IF(H143&lt;=1264,"zero-run1",IF(H143&lt;=1648,"data2",IF(H143&lt;=2176,"zero-run2",IF(H143&lt;=2192,"FCS","trailing")))))))</f>
        <v/>
      </c>
      <c r="J143">
        <f>IFERROR(IF(AND(H143&lt;&gt;"",H143&gt;=129,H143&lt;=2176),INDEX(Fields!$B$2:$B$206,MATCH(H143-129,Fields!$D$2:$D$206,1)),""),"")</f>
        <v/>
      </c>
      <c r="K143">
        <f>IFERROR(IF(AND(H143&lt;&gt;"",H143&gt;=129,H143&lt;=2176),INDEX(Fields!$C$2:$C$206,MATCH(H143-129,Fields!$D$2:$D$206,1)),""),"")</f>
        <v/>
      </c>
      <c r="L143">
        <f>IFERROR(IF(AND(H143&lt;&gt;"",H143&gt;=129,H143&lt;=2176),INDEX(Fields!$J$2:$J$206,MATCH(H143-129,Fields!$D$2:$D$206,1)),""),"")</f>
        <v/>
      </c>
      <c r="M143">
        <f>IFERROR(IF(AND(H143&lt;&gt;"",H143&gt;=129,H143&lt;=2176),INDEX(Fields!$K$2:$K$206,MATCH(H143-129,Fields!$D$2:$D$206,1)),""),"")</f>
        <v/>
      </c>
    </row>
    <row r="144">
      <c r="A144" t="n">
        <v>142</v>
      </c>
      <c r="B144" t="n">
        <v>1</v>
      </c>
      <c r="C144" t="inlineStr">
        <is>
          <t>No</t>
        </is>
      </c>
      <c r="D144">
        <f>IF(AND(B139=1,B140=1,B141=1,B142=1,B143=1),"Yes","")</f>
        <v/>
      </c>
      <c r="E144" t="inlineStr">
        <is>
          <t>No</t>
        </is>
      </c>
      <c r="F144" t="inlineStr">
        <is>
          <t>No</t>
        </is>
      </c>
      <c r="G144">
        <f>IF(F144="Yes",1-B144,B144)</f>
        <v/>
      </c>
      <c r="H144">
        <f>IF(E144="Yes","",COUNTIFS($E$2:E144,"No"))</f>
        <v/>
      </c>
      <c r="I144">
        <f>IF(H144="","",IF(H144&lt;=128,"address",IF(H144&lt;=600,"data1",IF(H144&lt;=1264,"zero-run1",IF(H144&lt;=1648,"data2",IF(H144&lt;=2176,"zero-run2",IF(H144&lt;=2192,"FCS","trailing")))))))</f>
        <v/>
      </c>
      <c r="J144">
        <f>IFERROR(IF(AND(H144&lt;&gt;"",H144&gt;=129,H144&lt;=2176),INDEX(Fields!$B$2:$B$206,MATCH(H144-129,Fields!$D$2:$D$206,1)),""),"")</f>
        <v/>
      </c>
      <c r="K144">
        <f>IFERROR(IF(AND(H144&lt;&gt;"",H144&gt;=129,H144&lt;=2176),INDEX(Fields!$C$2:$C$206,MATCH(H144-129,Fields!$D$2:$D$206,1)),""),"")</f>
        <v/>
      </c>
      <c r="L144">
        <f>IFERROR(IF(AND(H144&lt;&gt;"",H144&gt;=129,H144&lt;=2176),INDEX(Fields!$J$2:$J$206,MATCH(H144-129,Fields!$D$2:$D$206,1)),""),"")</f>
        <v/>
      </c>
      <c r="M144">
        <f>IFERROR(IF(AND(H144&lt;&gt;"",H144&gt;=129,H144&lt;=2176),INDEX(Fields!$K$2:$K$206,MATCH(H144-129,Fields!$D$2:$D$206,1)),""),"")</f>
        <v/>
      </c>
    </row>
    <row r="145">
      <c r="A145" t="n">
        <v>143</v>
      </c>
      <c r="B145" t="n">
        <v>1</v>
      </c>
      <c r="C145" t="inlineStr">
        <is>
          <t>No</t>
        </is>
      </c>
      <c r="D145">
        <f>IF(AND(B140=1,B141=1,B142=1,B143=1,B144=1),"Yes","")</f>
        <v/>
      </c>
      <c r="E145" t="inlineStr">
        <is>
          <t>No</t>
        </is>
      </c>
      <c r="F145" t="inlineStr">
        <is>
          <t>No</t>
        </is>
      </c>
      <c r="G145">
        <f>IF(F145="Yes",1-B145,B145)</f>
        <v/>
      </c>
      <c r="H145">
        <f>IF(E145="Yes","",COUNTIFS($E$2:E145,"No"))</f>
        <v/>
      </c>
      <c r="I145">
        <f>IF(H145="","",IF(H145&lt;=128,"address",IF(H145&lt;=600,"data1",IF(H145&lt;=1264,"zero-run1",IF(H145&lt;=1648,"data2",IF(H145&lt;=2176,"zero-run2",IF(H145&lt;=2192,"FCS","trailing")))))))</f>
        <v/>
      </c>
      <c r="J145">
        <f>IFERROR(IF(AND(H145&lt;&gt;"",H145&gt;=129,H145&lt;=2176),INDEX(Fields!$B$2:$B$206,MATCH(H145-129,Fields!$D$2:$D$206,1)),""),"")</f>
        <v/>
      </c>
      <c r="K145">
        <f>IFERROR(IF(AND(H145&lt;&gt;"",H145&gt;=129,H145&lt;=2176),INDEX(Fields!$C$2:$C$206,MATCH(H145-129,Fields!$D$2:$D$206,1)),""),"")</f>
        <v/>
      </c>
      <c r="L145">
        <f>IFERROR(IF(AND(H145&lt;&gt;"",H145&gt;=129,H145&lt;=2176),INDEX(Fields!$J$2:$J$206,MATCH(H145-129,Fields!$D$2:$D$206,1)),""),"")</f>
        <v/>
      </c>
      <c r="M145">
        <f>IFERROR(IF(AND(H145&lt;&gt;"",H145&gt;=129,H145&lt;=2176),INDEX(Fields!$K$2:$K$206,MATCH(H145-129,Fields!$D$2:$D$206,1)),""),"")</f>
        <v/>
      </c>
    </row>
    <row r="146">
      <c r="A146" t="n">
        <v>144</v>
      </c>
      <c r="B146" t="n">
        <v>0</v>
      </c>
      <c r="C146" t="inlineStr">
        <is>
          <t>No</t>
        </is>
      </c>
      <c r="D146">
        <f>IF(AND(B141=1,B142=1,B143=1,B144=1,B145=1),"Yes","")</f>
        <v/>
      </c>
      <c r="E146" t="inlineStr">
        <is>
          <t>No</t>
        </is>
      </c>
      <c r="F146" t="inlineStr">
        <is>
          <t>No</t>
        </is>
      </c>
      <c r="G146">
        <f>IF(F146="Yes",1-B146,B146)</f>
        <v/>
      </c>
      <c r="H146">
        <f>IF(E146="Yes","",COUNTIFS($E$2:E146,"No"))</f>
        <v/>
      </c>
      <c r="I146">
        <f>IF(H146="","",IF(H146&lt;=128,"address",IF(H146&lt;=600,"data1",IF(H146&lt;=1264,"zero-run1",IF(H146&lt;=1648,"data2",IF(H146&lt;=2176,"zero-run2",IF(H146&lt;=2192,"FCS","trailing")))))))</f>
        <v/>
      </c>
      <c r="J146">
        <f>IFERROR(IF(AND(H146&lt;&gt;"",H146&gt;=129,H146&lt;=2176),INDEX(Fields!$B$2:$B$206,MATCH(H146-129,Fields!$D$2:$D$206,1)),""),"")</f>
        <v/>
      </c>
      <c r="K146">
        <f>IFERROR(IF(AND(H146&lt;&gt;"",H146&gt;=129,H146&lt;=2176),INDEX(Fields!$C$2:$C$206,MATCH(H146-129,Fields!$D$2:$D$206,1)),""),"")</f>
        <v/>
      </c>
      <c r="L146">
        <f>IFERROR(IF(AND(H146&lt;&gt;"",H146&gt;=129,H146&lt;=2176),INDEX(Fields!$J$2:$J$206,MATCH(H146-129,Fields!$D$2:$D$206,1)),""),"")</f>
        <v/>
      </c>
      <c r="M146">
        <f>IFERROR(IF(AND(H146&lt;&gt;"",H146&gt;=129,H146&lt;=2176),INDEX(Fields!$K$2:$K$206,MATCH(H146-129,Fields!$D$2:$D$206,1)),""),"")</f>
        <v/>
      </c>
    </row>
    <row r="147">
      <c r="A147" t="n">
        <v>145</v>
      </c>
      <c r="B147" t="n">
        <v>0</v>
      </c>
      <c r="C147" t="inlineStr">
        <is>
          <t>No</t>
        </is>
      </c>
      <c r="D147">
        <f>IF(AND(B142=1,B143=1,B144=1,B145=1,B146=1),"Yes","")</f>
        <v/>
      </c>
      <c r="E147" t="inlineStr">
        <is>
          <t>No</t>
        </is>
      </c>
      <c r="F147" t="inlineStr">
        <is>
          <t>No</t>
        </is>
      </c>
      <c r="G147">
        <f>IF(F147="Yes",1-B147,B147)</f>
        <v/>
      </c>
      <c r="H147">
        <f>IF(E147="Yes","",COUNTIFS($E$2:E147,"No"))</f>
        <v/>
      </c>
      <c r="I147">
        <f>IF(H147="","",IF(H147&lt;=128,"address",IF(H147&lt;=600,"data1",IF(H147&lt;=1264,"zero-run1",IF(H147&lt;=1648,"data2",IF(H147&lt;=2176,"zero-run2",IF(H147&lt;=2192,"FCS","trailing")))))))</f>
        <v/>
      </c>
      <c r="J147">
        <f>IFERROR(IF(AND(H147&lt;&gt;"",H147&gt;=129,H147&lt;=2176),INDEX(Fields!$B$2:$B$206,MATCH(H147-129,Fields!$D$2:$D$206,1)),""),"")</f>
        <v/>
      </c>
      <c r="K147">
        <f>IFERROR(IF(AND(H147&lt;&gt;"",H147&gt;=129,H147&lt;=2176),INDEX(Fields!$C$2:$C$206,MATCH(H147-129,Fields!$D$2:$D$206,1)),""),"")</f>
        <v/>
      </c>
      <c r="L147">
        <f>IFERROR(IF(AND(H147&lt;&gt;"",H147&gt;=129,H147&lt;=2176),INDEX(Fields!$J$2:$J$206,MATCH(H147-129,Fields!$D$2:$D$206,1)),""),"")</f>
        <v/>
      </c>
      <c r="M147">
        <f>IFERROR(IF(AND(H147&lt;&gt;"",H147&gt;=129,H147&lt;=2176),INDEX(Fields!$K$2:$K$206,MATCH(H147-129,Fields!$D$2:$D$206,1)),""),"")</f>
        <v/>
      </c>
    </row>
    <row r="148">
      <c r="A148" t="n">
        <v>146</v>
      </c>
      <c r="B148" t="n">
        <v>0</v>
      </c>
      <c r="C148" t="inlineStr">
        <is>
          <t>No</t>
        </is>
      </c>
      <c r="D148">
        <f>IF(AND(B143=1,B144=1,B145=1,B146=1,B147=1),"Yes","")</f>
        <v/>
      </c>
      <c r="E148" t="inlineStr">
        <is>
          <t>No</t>
        </is>
      </c>
      <c r="F148" t="inlineStr">
        <is>
          <t>No</t>
        </is>
      </c>
      <c r="G148">
        <f>IF(F148="Yes",1-B148,B148)</f>
        <v/>
      </c>
      <c r="H148">
        <f>IF(E148="Yes","",COUNTIFS($E$2:E148,"No"))</f>
        <v/>
      </c>
      <c r="I148">
        <f>IF(H148="","",IF(H148&lt;=128,"address",IF(H148&lt;=600,"data1",IF(H148&lt;=1264,"zero-run1",IF(H148&lt;=1648,"data2",IF(H148&lt;=2176,"zero-run2",IF(H148&lt;=2192,"FCS","trailing")))))))</f>
        <v/>
      </c>
      <c r="J148">
        <f>IFERROR(IF(AND(H148&lt;&gt;"",H148&gt;=129,H148&lt;=2176),INDEX(Fields!$B$2:$B$206,MATCH(H148-129,Fields!$D$2:$D$206,1)),""),"")</f>
        <v/>
      </c>
      <c r="K148">
        <f>IFERROR(IF(AND(H148&lt;&gt;"",H148&gt;=129,H148&lt;=2176),INDEX(Fields!$C$2:$C$206,MATCH(H148-129,Fields!$D$2:$D$206,1)),""),"")</f>
        <v/>
      </c>
      <c r="L148">
        <f>IFERROR(IF(AND(H148&lt;&gt;"",H148&gt;=129,H148&lt;=2176),INDEX(Fields!$J$2:$J$206,MATCH(H148-129,Fields!$D$2:$D$206,1)),""),"")</f>
        <v/>
      </c>
      <c r="M148">
        <f>IFERROR(IF(AND(H148&lt;&gt;"",H148&gt;=129,H148&lt;=2176),INDEX(Fields!$K$2:$K$206,MATCH(H148-129,Fields!$D$2:$D$206,1)),""),"")</f>
        <v/>
      </c>
    </row>
    <row r="149">
      <c r="A149" t="n">
        <v>147</v>
      </c>
      <c r="B149" t="n">
        <v>1</v>
      </c>
      <c r="C149" t="inlineStr">
        <is>
          <t>No</t>
        </is>
      </c>
      <c r="D149">
        <f>IF(AND(B144=1,B145=1,B146=1,B147=1,B148=1),"Yes","")</f>
        <v/>
      </c>
      <c r="E149" t="inlineStr">
        <is>
          <t>No</t>
        </is>
      </c>
      <c r="F149" t="inlineStr">
        <is>
          <t>No</t>
        </is>
      </c>
      <c r="G149">
        <f>IF(F149="Yes",1-B149,B149)</f>
        <v/>
      </c>
      <c r="H149">
        <f>IF(E149="Yes","",COUNTIFS($E$2:E149,"No"))</f>
        <v/>
      </c>
      <c r="I149">
        <f>IF(H149="","",IF(H149&lt;=128,"address",IF(H149&lt;=600,"data1",IF(H149&lt;=1264,"zero-run1",IF(H149&lt;=1648,"data2",IF(H149&lt;=2176,"zero-run2",IF(H149&lt;=2192,"FCS","trailing")))))))</f>
        <v/>
      </c>
      <c r="J149">
        <f>IFERROR(IF(AND(H149&lt;&gt;"",H149&gt;=129,H149&lt;=2176),INDEX(Fields!$B$2:$B$206,MATCH(H149-129,Fields!$D$2:$D$206,1)),""),"")</f>
        <v/>
      </c>
      <c r="K149">
        <f>IFERROR(IF(AND(H149&lt;&gt;"",H149&gt;=129,H149&lt;=2176),INDEX(Fields!$C$2:$C$206,MATCH(H149-129,Fields!$D$2:$D$206,1)),""),"")</f>
        <v/>
      </c>
      <c r="L149">
        <f>IFERROR(IF(AND(H149&lt;&gt;"",H149&gt;=129,H149&lt;=2176),INDEX(Fields!$J$2:$J$206,MATCH(H149-129,Fields!$D$2:$D$206,1)),""),"")</f>
        <v/>
      </c>
      <c r="M149">
        <f>IFERROR(IF(AND(H149&lt;&gt;"",H149&gt;=129,H149&lt;=2176),INDEX(Fields!$K$2:$K$206,MATCH(H149-129,Fields!$D$2:$D$206,1)),""),"")</f>
        <v/>
      </c>
    </row>
    <row r="150">
      <c r="A150" t="n">
        <v>148</v>
      </c>
      <c r="B150" t="n">
        <v>0</v>
      </c>
      <c r="C150" t="inlineStr">
        <is>
          <t>No</t>
        </is>
      </c>
      <c r="D150">
        <f>IF(AND(B145=1,B146=1,B147=1,B148=1,B149=1),"Yes","")</f>
        <v/>
      </c>
      <c r="E150" t="inlineStr">
        <is>
          <t>No</t>
        </is>
      </c>
      <c r="F150" t="inlineStr">
        <is>
          <t>No</t>
        </is>
      </c>
      <c r="G150">
        <f>IF(F150="Yes",1-B150,B150)</f>
        <v/>
      </c>
      <c r="H150">
        <f>IF(E150="Yes","",COUNTIFS($E$2:E150,"No"))</f>
        <v/>
      </c>
      <c r="I150">
        <f>IF(H150="","",IF(H150&lt;=128,"address",IF(H150&lt;=600,"data1",IF(H150&lt;=1264,"zero-run1",IF(H150&lt;=1648,"data2",IF(H150&lt;=2176,"zero-run2",IF(H150&lt;=2192,"FCS","trailing")))))))</f>
        <v/>
      </c>
      <c r="J150">
        <f>IFERROR(IF(AND(H150&lt;&gt;"",H150&gt;=129,H150&lt;=2176),INDEX(Fields!$B$2:$B$206,MATCH(H150-129,Fields!$D$2:$D$206,1)),""),"")</f>
        <v/>
      </c>
      <c r="K150">
        <f>IFERROR(IF(AND(H150&lt;&gt;"",H150&gt;=129,H150&lt;=2176),INDEX(Fields!$C$2:$C$206,MATCH(H150-129,Fields!$D$2:$D$206,1)),""),"")</f>
        <v/>
      </c>
      <c r="L150">
        <f>IFERROR(IF(AND(H150&lt;&gt;"",H150&gt;=129,H150&lt;=2176),INDEX(Fields!$J$2:$J$206,MATCH(H150-129,Fields!$D$2:$D$206,1)),""),"")</f>
        <v/>
      </c>
      <c r="M150">
        <f>IFERROR(IF(AND(H150&lt;&gt;"",H150&gt;=129,H150&lt;=2176),INDEX(Fields!$K$2:$K$206,MATCH(H150-129,Fields!$D$2:$D$206,1)),""),"")</f>
        <v/>
      </c>
    </row>
    <row r="151">
      <c r="A151" t="n">
        <v>149</v>
      </c>
      <c r="B151" t="n">
        <v>1</v>
      </c>
      <c r="C151" t="inlineStr">
        <is>
          <t>No</t>
        </is>
      </c>
      <c r="D151">
        <f>IF(AND(B146=1,B147=1,B148=1,B149=1,B150=1),"Yes","")</f>
        <v/>
      </c>
      <c r="E151" t="inlineStr">
        <is>
          <t>No</t>
        </is>
      </c>
      <c r="F151" t="inlineStr">
        <is>
          <t>No</t>
        </is>
      </c>
      <c r="G151">
        <f>IF(F151="Yes",1-B151,B151)</f>
        <v/>
      </c>
      <c r="H151">
        <f>IF(E151="Yes","",COUNTIFS($E$2:E151,"No"))</f>
        <v/>
      </c>
      <c r="I151">
        <f>IF(H151="","",IF(H151&lt;=128,"address",IF(H151&lt;=600,"data1",IF(H151&lt;=1264,"zero-run1",IF(H151&lt;=1648,"data2",IF(H151&lt;=2176,"zero-run2",IF(H151&lt;=2192,"FCS","trailing")))))))</f>
        <v/>
      </c>
      <c r="J151">
        <f>IFERROR(IF(AND(H151&lt;&gt;"",H151&gt;=129,H151&lt;=2176),INDEX(Fields!$B$2:$B$206,MATCH(H151-129,Fields!$D$2:$D$206,1)),""),"")</f>
        <v/>
      </c>
      <c r="K151">
        <f>IFERROR(IF(AND(H151&lt;&gt;"",H151&gt;=129,H151&lt;=2176),INDEX(Fields!$C$2:$C$206,MATCH(H151-129,Fields!$D$2:$D$206,1)),""),"")</f>
        <v/>
      </c>
      <c r="L151">
        <f>IFERROR(IF(AND(H151&lt;&gt;"",H151&gt;=129,H151&lt;=2176),INDEX(Fields!$J$2:$J$206,MATCH(H151-129,Fields!$D$2:$D$206,1)),""),"")</f>
        <v/>
      </c>
      <c r="M151">
        <f>IFERROR(IF(AND(H151&lt;&gt;"",H151&gt;=129,H151&lt;=2176),INDEX(Fields!$K$2:$K$206,MATCH(H151-129,Fields!$D$2:$D$206,1)),""),"")</f>
        <v/>
      </c>
    </row>
    <row r="152">
      <c r="A152" t="n">
        <v>150</v>
      </c>
      <c r="B152" t="n">
        <v>0</v>
      </c>
      <c r="C152" t="inlineStr">
        <is>
          <t>No</t>
        </is>
      </c>
      <c r="D152">
        <f>IF(AND(B147=1,B148=1,B149=1,B150=1,B151=1),"Yes","")</f>
        <v/>
      </c>
      <c r="E152" t="inlineStr">
        <is>
          <t>No</t>
        </is>
      </c>
      <c r="F152" t="inlineStr">
        <is>
          <t>No</t>
        </is>
      </c>
      <c r="G152">
        <f>IF(F152="Yes",1-B152,B152)</f>
        <v/>
      </c>
      <c r="H152">
        <f>IF(E152="Yes","",COUNTIFS($E$2:E152,"No"))</f>
        <v/>
      </c>
      <c r="I152">
        <f>IF(H152="","",IF(H152&lt;=128,"address",IF(H152&lt;=600,"data1",IF(H152&lt;=1264,"zero-run1",IF(H152&lt;=1648,"data2",IF(H152&lt;=2176,"zero-run2",IF(H152&lt;=2192,"FCS","trailing")))))))</f>
        <v/>
      </c>
      <c r="J152">
        <f>IFERROR(IF(AND(H152&lt;&gt;"",H152&gt;=129,H152&lt;=2176),INDEX(Fields!$B$2:$B$206,MATCH(H152-129,Fields!$D$2:$D$206,1)),""),"")</f>
        <v/>
      </c>
      <c r="K152">
        <f>IFERROR(IF(AND(H152&lt;&gt;"",H152&gt;=129,H152&lt;=2176),INDEX(Fields!$C$2:$C$206,MATCH(H152-129,Fields!$D$2:$D$206,1)),""),"")</f>
        <v/>
      </c>
      <c r="L152">
        <f>IFERROR(IF(AND(H152&lt;&gt;"",H152&gt;=129,H152&lt;=2176),INDEX(Fields!$J$2:$J$206,MATCH(H152-129,Fields!$D$2:$D$206,1)),""),"")</f>
        <v/>
      </c>
      <c r="M152">
        <f>IFERROR(IF(AND(H152&lt;&gt;"",H152&gt;=129,H152&lt;=2176),INDEX(Fields!$K$2:$K$206,MATCH(H152-129,Fields!$D$2:$D$206,1)),""),"")</f>
        <v/>
      </c>
    </row>
    <row r="153">
      <c r="A153" t="n">
        <v>151</v>
      </c>
      <c r="B153" t="n">
        <v>0</v>
      </c>
      <c r="C153" t="inlineStr">
        <is>
          <t>No</t>
        </is>
      </c>
      <c r="D153">
        <f>IF(AND(B148=1,B149=1,B150=1,B151=1,B152=1),"Yes","")</f>
        <v/>
      </c>
      <c r="E153" t="inlineStr">
        <is>
          <t>No</t>
        </is>
      </c>
      <c r="F153" t="inlineStr">
        <is>
          <t>No</t>
        </is>
      </c>
      <c r="G153">
        <f>IF(F153="Yes",1-B153,B153)</f>
        <v/>
      </c>
      <c r="H153">
        <f>IF(E153="Yes","",COUNTIFS($E$2:E153,"No"))</f>
        <v/>
      </c>
      <c r="I153">
        <f>IF(H153="","",IF(H153&lt;=128,"address",IF(H153&lt;=600,"data1",IF(H153&lt;=1264,"zero-run1",IF(H153&lt;=1648,"data2",IF(H153&lt;=2176,"zero-run2",IF(H153&lt;=2192,"FCS","trailing")))))))</f>
        <v/>
      </c>
      <c r="J153">
        <f>IFERROR(IF(AND(H153&lt;&gt;"",H153&gt;=129,H153&lt;=2176),INDEX(Fields!$B$2:$B$206,MATCH(H153-129,Fields!$D$2:$D$206,1)),""),"")</f>
        <v/>
      </c>
      <c r="K153">
        <f>IFERROR(IF(AND(H153&lt;&gt;"",H153&gt;=129,H153&lt;=2176),INDEX(Fields!$C$2:$C$206,MATCH(H153-129,Fields!$D$2:$D$206,1)),""),"")</f>
        <v/>
      </c>
      <c r="L153">
        <f>IFERROR(IF(AND(H153&lt;&gt;"",H153&gt;=129,H153&lt;=2176),INDEX(Fields!$J$2:$J$206,MATCH(H153-129,Fields!$D$2:$D$206,1)),""),"")</f>
        <v/>
      </c>
      <c r="M153">
        <f>IFERROR(IF(AND(H153&lt;&gt;"",H153&gt;=129,H153&lt;=2176),INDEX(Fields!$K$2:$K$206,MATCH(H153-129,Fields!$D$2:$D$206,1)),""),"")</f>
        <v/>
      </c>
    </row>
    <row r="154">
      <c r="A154" t="n">
        <v>152</v>
      </c>
      <c r="B154" t="n">
        <v>0</v>
      </c>
      <c r="C154" t="inlineStr">
        <is>
          <t>No</t>
        </is>
      </c>
      <c r="D154">
        <f>IF(AND(B149=1,B150=1,B151=1,B152=1,B153=1),"Yes","")</f>
        <v/>
      </c>
      <c r="E154" t="inlineStr">
        <is>
          <t>No</t>
        </is>
      </c>
      <c r="F154" t="inlineStr">
        <is>
          <t>No</t>
        </is>
      </c>
      <c r="G154">
        <f>IF(F154="Yes",1-B154,B154)</f>
        <v/>
      </c>
      <c r="H154">
        <f>IF(E154="Yes","",COUNTIFS($E$2:E154,"No"))</f>
        <v/>
      </c>
      <c r="I154">
        <f>IF(H154="","",IF(H154&lt;=128,"address",IF(H154&lt;=600,"data1",IF(H154&lt;=1264,"zero-run1",IF(H154&lt;=1648,"data2",IF(H154&lt;=2176,"zero-run2",IF(H154&lt;=2192,"FCS","trailing")))))))</f>
        <v/>
      </c>
      <c r="J154">
        <f>IFERROR(IF(AND(H154&lt;&gt;"",H154&gt;=129,H154&lt;=2176),INDEX(Fields!$B$2:$B$206,MATCH(H154-129,Fields!$D$2:$D$206,1)),""),"")</f>
        <v/>
      </c>
      <c r="K154">
        <f>IFERROR(IF(AND(H154&lt;&gt;"",H154&gt;=129,H154&lt;=2176),INDEX(Fields!$C$2:$C$206,MATCH(H154-129,Fields!$D$2:$D$206,1)),""),"")</f>
        <v/>
      </c>
      <c r="L154">
        <f>IFERROR(IF(AND(H154&lt;&gt;"",H154&gt;=129,H154&lt;=2176),INDEX(Fields!$J$2:$J$206,MATCH(H154-129,Fields!$D$2:$D$206,1)),""),"")</f>
        <v/>
      </c>
      <c r="M154">
        <f>IFERROR(IF(AND(H154&lt;&gt;"",H154&gt;=129,H154&lt;=2176),INDEX(Fields!$K$2:$K$206,MATCH(H154-129,Fields!$D$2:$D$206,1)),""),"")</f>
        <v/>
      </c>
    </row>
    <row r="155">
      <c r="A155" t="n">
        <v>153</v>
      </c>
      <c r="B155" t="n">
        <v>1</v>
      </c>
      <c r="C155" t="inlineStr">
        <is>
          <t>No</t>
        </is>
      </c>
      <c r="D155">
        <f>IF(AND(B150=1,B151=1,B152=1,B153=1,B154=1),"Yes","")</f>
        <v/>
      </c>
      <c r="E155" t="inlineStr">
        <is>
          <t>No</t>
        </is>
      </c>
      <c r="F155" t="inlineStr">
        <is>
          <t>No</t>
        </is>
      </c>
      <c r="G155">
        <f>IF(F155="Yes",1-B155,B155)</f>
        <v/>
      </c>
      <c r="H155">
        <f>IF(E155="Yes","",COUNTIFS($E$2:E155,"No"))</f>
        <v/>
      </c>
      <c r="I155">
        <f>IF(H155="","",IF(H155&lt;=128,"address",IF(H155&lt;=600,"data1",IF(H155&lt;=1264,"zero-run1",IF(H155&lt;=1648,"data2",IF(H155&lt;=2176,"zero-run2",IF(H155&lt;=2192,"FCS","trailing")))))))</f>
        <v/>
      </c>
      <c r="J155">
        <f>IFERROR(IF(AND(H155&lt;&gt;"",H155&gt;=129,H155&lt;=2176),INDEX(Fields!$B$2:$B$206,MATCH(H155-129,Fields!$D$2:$D$206,1)),""),"")</f>
        <v/>
      </c>
      <c r="K155">
        <f>IFERROR(IF(AND(H155&lt;&gt;"",H155&gt;=129,H155&lt;=2176),INDEX(Fields!$C$2:$C$206,MATCH(H155-129,Fields!$D$2:$D$206,1)),""),"")</f>
        <v/>
      </c>
      <c r="L155">
        <f>IFERROR(IF(AND(H155&lt;&gt;"",H155&gt;=129,H155&lt;=2176),INDEX(Fields!$J$2:$J$206,MATCH(H155-129,Fields!$D$2:$D$206,1)),""),"")</f>
        <v/>
      </c>
      <c r="M155">
        <f>IFERROR(IF(AND(H155&lt;&gt;"",H155&gt;=129,H155&lt;=2176),INDEX(Fields!$K$2:$K$206,MATCH(H155-129,Fields!$D$2:$D$206,1)),""),"")</f>
        <v/>
      </c>
    </row>
    <row r="156">
      <c r="A156" t="n">
        <v>154</v>
      </c>
      <c r="B156" t="n">
        <v>1</v>
      </c>
      <c r="C156" t="inlineStr">
        <is>
          <t>No</t>
        </is>
      </c>
      <c r="D156">
        <f>IF(AND(B151=1,B152=1,B153=1,B154=1,B155=1),"Yes","")</f>
        <v/>
      </c>
      <c r="E156" t="inlineStr">
        <is>
          <t>No</t>
        </is>
      </c>
      <c r="F156" t="inlineStr">
        <is>
          <t>No</t>
        </is>
      </c>
      <c r="G156">
        <f>IF(F156="Yes",1-B156,B156)</f>
        <v/>
      </c>
      <c r="H156">
        <f>IF(E156="Yes","",COUNTIFS($E$2:E156,"No"))</f>
        <v/>
      </c>
      <c r="I156">
        <f>IF(H156="","",IF(H156&lt;=128,"address",IF(H156&lt;=600,"data1",IF(H156&lt;=1264,"zero-run1",IF(H156&lt;=1648,"data2",IF(H156&lt;=2176,"zero-run2",IF(H156&lt;=2192,"FCS","trailing")))))))</f>
        <v/>
      </c>
      <c r="J156">
        <f>IFERROR(IF(AND(H156&lt;&gt;"",H156&gt;=129,H156&lt;=2176),INDEX(Fields!$B$2:$B$206,MATCH(H156-129,Fields!$D$2:$D$206,1)),""),"")</f>
        <v/>
      </c>
      <c r="K156">
        <f>IFERROR(IF(AND(H156&lt;&gt;"",H156&gt;=129,H156&lt;=2176),INDEX(Fields!$C$2:$C$206,MATCH(H156-129,Fields!$D$2:$D$206,1)),""),"")</f>
        <v/>
      </c>
      <c r="L156">
        <f>IFERROR(IF(AND(H156&lt;&gt;"",H156&gt;=129,H156&lt;=2176),INDEX(Fields!$J$2:$J$206,MATCH(H156-129,Fields!$D$2:$D$206,1)),""),"")</f>
        <v/>
      </c>
      <c r="M156">
        <f>IFERROR(IF(AND(H156&lt;&gt;"",H156&gt;=129,H156&lt;=2176),INDEX(Fields!$K$2:$K$206,MATCH(H156-129,Fields!$D$2:$D$206,1)),""),"")</f>
        <v/>
      </c>
    </row>
    <row r="157">
      <c r="A157" t="n">
        <v>155</v>
      </c>
      <c r="B157" t="n">
        <v>0</v>
      </c>
      <c r="C157" t="inlineStr">
        <is>
          <t>No</t>
        </is>
      </c>
      <c r="D157">
        <f>IF(AND(B152=1,B153=1,B154=1,B155=1,B156=1),"Yes","")</f>
        <v/>
      </c>
      <c r="E157" t="inlineStr">
        <is>
          <t>No</t>
        </is>
      </c>
      <c r="F157" t="inlineStr">
        <is>
          <t>No</t>
        </is>
      </c>
      <c r="G157">
        <f>IF(F157="Yes",1-B157,B157)</f>
        <v/>
      </c>
      <c r="H157">
        <f>IF(E157="Yes","",COUNTIFS($E$2:E157,"No"))</f>
        <v/>
      </c>
      <c r="I157">
        <f>IF(H157="","",IF(H157&lt;=128,"address",IF(H157&lt;=600,"data1",IF(H157&lt;=1264,"zero-run1",IF(H157&lt;=1648,"data2",IF(H157&lt;=2176,"zero-run2",IF(H157&lt;=2192,"FCS","trailing")))))))</f>
        <v/>
      </c>
      <c r="J157">
        <f>IFERROR(IF(AND(H157&lt;&gt;"",H157&gt;=129,H157&lt;=2176),INDEX(Fields!$B$2:$B$206,MATCH(H157-129,Fields!$D$2:$D$206,1)),""),"")</f>
        <v/>
      </c>
      <c r="K157">
        <f>IFERROR(IF(AND(H157&lt;&gt;"",H157&gt;=129,H157&lt;=2176),INDEX(Fields!$C$2:$C$206,MATCH(H157-129,Fields!$D$2:$D$206,1)),""),"")</f>
        <v/>
      </c>
      <c r="L157">
        <f>IFERROR(IF(AND(H157&lt;&gt;"",H157&gt;=129,H157&lt;=2176),INDEX(Fields!$J$2:$J$206,MATCH(H157-129,Fields!$D$2:$D$206,1)),""),"")</f>
        <v/>
      </c>
      <c r="M157">
        <f>IFERROR(IF(AND(H157&lt;&gt;"",H157&gt;=129,H157&lt;=2176),INDEX(Fields!$K$2:$K$206,MATCH(H157-129,Fields!$D$2:$D$206,1)),""),"")</f>
        <v/>
      </c>
    </row>
    <row r="158">
      <c r="A158" t="n">
        <v>156</v>
      </c>
      <c r="B158" t="n">
        <v>1</v>
      </c>
      <c r="C158" t="inlineStr">
        <is>
          <t>No</t>
        </is>
      </c>
      <c r="D158">
        <f>IF(AND(B153=1,B154=1,B155=1,B156=1,B157=1),"Yes","")</f>
        <v/>
      </c>
      <c r="E158" t="inlineStr">
        <is>
          <t>No</t>
        </is>
      </c>
      <c r="F158" t="inlineStr">
        <is>
          <t>No</t>
        </is>
      </c>
      <c r="G158">
        <f>IF(F158="Yes",1-B158,B158)</f>
        <v/>
      </c>
      <c r="H158">
        <f>IF(E158="Yes","",COUNTIFS($E$2:E158,"No"))</f>
        <v/>
      </c>
      <c r="I158">
        <f>IF(H158="","",IF(H158&lt;=128,"address",IF(H158&lt;=600,"data1",IF(H158&lt;=1264,"zero-run1",IF(H158&lt;=1648,"data2",IF(H158&lt;=2176,"zero-run2",IF(H158&lt;=2192,"FCS","trailing")))))))</f>
        <v/>
      </c>
      <c r="J158">
        <f>IFERROR(IF(AND(H158&lt;&gt;"",H158&gt;=129,H158&lt;=2176),INDEX(Fields!$B$2:$B$206,MATCH(H158-129,Fields!$D$2:$D$206,1)),""),"")</f>
        <v/>
      </c>
      <c r="K158">
        <f>IFERROR(IF(AND(H158&lt;&gt;"",H158&gt;=129,H158&lt;=2176),INDEX(Fields!$C$2:$C$206,MATCH(H158-129,Fields!$D$2:$D$206,1)),""),"")</f>
        <v/>
      </c>
      <c r="L158">
        <f>IFERROR(IF(AND(H158&lt;&gt;"",H158&gt;=129,H158&lt;=2176),INDEX(Fields!$J$2:$J$206,MATCH(H158-129,Fields!$D$2:$D$206,1)),""),"")</f>
        <v/>
      </c>
      <c r="M158">
        <f>IFERROR(IF(AND(H158&lt;&gt;"",H158&gt;=129,H158&lt;=2176),INDEX(Fields!$K$2:$K$206,MATCH(H158-129,Fields!$D$2:$D$206,1)),""),"")</f>
        <v/>
      </c>
    </row>
    <row r="159">
      <c r="A159" t="n">
        <v>157</v>
      </c>
      <c r="B159" t="n">
        <v>1</v>
      </c>
      <c r="C159" t="inlineStr">
        <is>
          <t>No</t>
        </is>
      </c>
      <c r="D159">
        <f>IF(AND(B154=1,B155=1,B156=1,B157=1,B158=1),"Yes","")</f>
        <v/>
      </c>
      <c r="E159" t="inlineStr">
        <is>
          <t>No</t>
        </is>
      </c>
      <c r="F159" t="inlineStr">
        <is>
          <t>No</t>
        </is>
      </c>
      <c r="G159">
        <f>IF(F159="Yes",1-B159,B159)</f>
        <v/>
      </c>
      <c r="H159">
        <f>IF(E159="Yes","",COUNTIFS($E$2:E159,"No"))</f>
        <v/>
      </c>
      <c r="I159">
        <f>IF(H159="","",IF(H159&lt;=128,"address",IF(H159&lt;=600,"data1",IF(H159&lt;=1264,"zero-run1",IF(H159&lt;=1648,"data2",IF(H159&lt;=2176,"zero-run2",IF(H159&lt;=2192,"FCS","trailing")))))))</f>
        <v/>
      </c>
      <c r="J159">
        <f>IFERROR(IF(AND(H159&lt;&gt;"",H159&gt;=129,H159&lt;=2176),INDEX(Fields!$B$2:$B$206,MATCH(H159-129,Fields!$D$2:$D$206,1)),""),"")</f>
        <v/>
      </c>
      <c r="K159">
        <f>IFERROR(IF(AND(H159&lt;&gt;"",H159&gt;=129,H159&lt;=2176),INDEX(Fields!$C$2:$C$206,MATCH(H159-129,Fields!$D$2:$D$206,1)),""),"")</f>
        <v/>
      </c>
      <c r="L159">
        <f>IFERROR(IF(AND(H159&lt;&gt;"",H159&gt;=129,H159&lt;=2176),INDEX(Fields!$J$2:$J$206,MATCH(H159-129,Fields!$D$2:$D$206,1)),""),"")</f>
        <v/>
      </c>
      <c r="M159">
        <f>IFERROR(IF(AND(H159&lt;&gt;"",H159&gt;=129,H159&lt;=2176),INDEX(Fields!$K$2:$K$206,MATCH(H159-129,Fields!$D$2:$D$206,1)),""),"")</f>
        <v/>
      </c>
    </row>
    <row r="160">
      <c r="A160" t="n">
        <v>158</v>
      </c>
      <c r="B160" t="n">
        <v>1</v>
      </c>
      <c r="C160" t="inlineStr">
        <is>
          <t>No</t>
        </is>
      </c>
      <c r="D160">
        <f>IF(AND(B155=1,B156=1,B157=1,B158=1,B159=1),"Yes","")</f>
        <v/>
      </c>
      <c r="E160" t="inlineStr">
        <is>
          <t>No</t>
        </is>
      </c>
      <c r="F160" t="inlineStr">
        <is>
          <t>No</t>
        </is>
      </c>
      <c r="G160">
        <f>IF(F160="Yes",1-B160,B160)</f>
        <v/>
      </c>
      <c r="H160">
        <f>IF(E160="Yes","",COUNTIFS($E$2:E160,"No"))</f>
        <v/>
      </c>
      <c r="I160">
        <f>IF(H160="","",IF(H160&lt;=128,"address",IF(H160&lt;=600,"data1",IF(H160&lt;=1264,"zero-run1",IF(H160&lt;=1648,"data2",IF(H160&lt;=2176,"zero-run2",IF(H160&lt;=2192,"FCS","trailing")))))))</f>
        <v/>
      </c>
      <c r="J160">
        <f>IFERROR(IF(AND(H160&lt;&gt;"",H160&gt;=129,H160&lt;=2176),INDEX(Fields!$B$2:$B$206,MATCH(H160-129,Fields!$D$2:$D$206,1)),""),"")</f>
        <v/>
      </c>
      <c r="K160">
        <f>IFERROR(IF(AND(H160&lt;&gt;"",H160&gt;=129,H160&lt;=2176),INDEX(Fields!$C$2:$C$206,MATCH(H160-129,Fields!$D$2:$D$206,1)),""),"")</f>
        <v/>
      </c>
      <c r="L160">
        <f>IFERROR(IF(AND(H160&lt;&gt;"",H160&gt;=129,H160&lt;=2176),INDEX(Fields!$J$2:$J$206,MATCH(H160-129,Fields!$D$2:$D$206,1)),""),"")</f>
        <v/>
      </c>
      <c r="M160">
        <f>IFERROR(IF(AND(H160&lt;&gt;"",H160&gt;=129,H160&lt;=2176),INDEX(Fields!$K$2:$K$206,MATCH(H160-129,Fields!$D$2:$D$206,1)),""),"")</f>
        <v/>
      </c>
    </row>
    <row r="161">
      <c r="A161" t="n">
        <v>159</v>
      </c>
      <c r="B161" t="n">
        <v>1</v>
      </c>
      <c r="C161" t="inlineStr">
        <is>
          <t>No</t>
        </is>
      </c>
      <c r="D161">
        <f>IF(AND(B156=1,B157=1,B158=1,B159=1,B160=1),"Yes","")</f>
        <v/>
      </c>
      <c r="E161" t="inlineStr">
        <is>
          <t>No</t>
        </is>
      </c>
      <c r="F161" t="inlineStr">
        <is>
          <t>No</t>
        </is>
      </c>
      <c r="G161">
        <f>IF(F161="Yes",1-B161,B161)</f>
        <v/>
      </c>
      <c r="H161">
        <f>IF(E161="Yes","",COUNTIFS($E$2:E161,"No"))</f>
        <v/>
      </c>
      <c r="I161">
        <f>IF(H161="","",IF(H161&lt;=128,"address",IF(H161&lt;=600,"data1",IF(H161&lt;=1264,"zero-run1",IF(H161&lt;=1648,"data2",IF(H161&lt;=2176,"zero-run2",IF(H161&lt;=2192,"FCS","trailing")))))))</f>
        <v/>
      </c>
      <c r="J161">
        <f>IFERROR(IF(AND(H161&lt;&gt;"",H161&gt;=129,H161&lt;=2176),INDEX(Fields!$B$2:$B$206,MATCH(H161-129,Fields!$D$2:$D$206,1)),""),"")</f>
        <v/>
      </c>
      <c r="K161">
        <f>IFERROR(IF(AND(H161&lt;&gt;"",H161&gt;=129,H161&lt;=2176),INDEX(Fields!$C$2:$C$206,MATCH(H161-129,Fields!$D$2:$D$206,1)),""),"")</f>
        <v/>
      </c>
      <c r="L161">
        <f>IFERROR(IF(AND(H161&lt;&gt;"",H161&gt;=129,H161&lt;=2176),INDEX(Fields!$J$2:$J$206,MATCH(H161-129,Fields!$D$2:$D$206,1)),""),"")</f>
        <v/>
      </c>
      <c r="M161">
        <f>IFERROR(IF(AND(H161&lt;&gt;"",H161&gt;=129,H161&lt;=2176),INDEX(Fields!$K$2:$K$206,MATCH(H161-129,Fields!$D$2:$D$206,1)),""),"")</f>
        <v/>
      </c>
    </row>
    <row r="162">
      <c r="A162" t="n">
        <v>160</v>
      </c>
      <c r="B162" t="n">
        <v>0</v>
      </c>
      <c r="C162" t="inlineStr">
        <is>
          <t>No</t>
        </is>
      </c>
      <c r="D162">
        <f>IF(AND(B157=1,B158=1,B159=1,B160=1,B161=1),"Yes","")</f>
        <v/>
      </c>
      <c r="E162" t="inlineStr">
        <is>
          <t>No</t>
        </is>
      </c>
      <c r="F162" t="inlineStr">
        <is>
          <t>No</t>
        </is>
      </c>
      <c r="G162">
        <f>IF(F162="Yes",1-B162,B162)</f>
        <v/>
      </c>
      <c r="H162">
        <f>IF(E162="Yes","",COUNTIFS($E$2:E162,"No"))</f>
        <v/>
      </c>
      <c r="I162">
        <f>IF(H162="","",IF(H162&lt;=128,"address",IF(H162&lt;=600,"data1",IF(H162&lt;=1264,"zero-run1",IF(H162&lt;=1648,"data2",IF(H162&lt;=2176,"zero-run2",IF(H162&lt;=2192,"FCS","trailing")))))))</f>
        <v/>
      </c>
      <c r="J162">
        <f>IFERROR(IF(AND(H162&lt;&gt;"",H162&gt;=129,H162&lt;=2176),INDEX(Fields!$B$2:$B$206,MATCH(H162-129,Fields!$D$2:$D$206,1)),""),"")</f>
        <v/>
      </c>
      <c r="K162">
        <f>IFERROR(IF(AND(H162&lt;&gt;"",H162&gt;=129,H162&lt;=2176),INDEX(Fields!$C$2:$C$206,MATCH(H162-129,Fields!$D$2:$D$206,1)),""),"")</f>
        <v/>
      </c>
      <c r="L162">
        <f>IFERROR(IF(AND(H162&lt;&gt;"",H162&gt;=129,H162&lt;=2176),INDEX(Fields!$J$2:$J$206,MATCH(H162-129,Fields!$D$2:$D$206,1)),""),"")</f>
        <v/>
      </c>
      <c r="M162">
        <f>IFERROR(IF(AND(H162&lt;&gt;"",H162&gt;=129,H162&lt;=2176),INDEX(Fields!$K$2:$K$206,MATCH(H162-129,Fields!$D$2:$D$206,1)),""),"")</f>
        <v/>
      </c>
    </row>
    <row r="163">
      <c r="A163" t="n">
        <v>161</v>
      </c>
      <c r="B163" t="n">
        <v>0</v>
      </c>
      <c r="C163" t="inlineStr">
        <is>
          <t>No</t>
        </is>
      </c>
      <c r="D163">
        <f>IF(AND(B158=1,B159=1,B160=1,B161=1,B162=1),"Yes","")</f>
        <v/>
      </c>
      <c r="E163" t="inlineStr">
        <is>
          <t>No</t>
        </is>
      </c>
      <c r="F163" t="inlineStr">
        <is>
          <t>No</t>
        </is>
      </c>
      <c r="G163">
        <f>IF(F163="Yes",1-B163,B163)</f>
        <v/>
      </c>
      <c r="H163">
        <f>IF(E163="Yes","",COUNTIFS($E$2:E163,"No"))</f>
        <v/>
      </c>
      <c r="I163">
        <f>IF(H163="","",IF(H163&lt;=128,"address",IF(H163&lt;=600,"data1",IF(H163&lt;=1264,"zero-run1",IF(H163&lt;=1648,"data2",IF(H163&lt;=2176,"zero-run2",IF(H163&lt;=2192,"FCS","trailing")))))))</f>
        <v/>
      </c>
      <c r="J163">
        <f>IFERROR(IF(AND(H163&lt;&gt;"",H163&gt;=129,H163&lt;=2176),INDEX(Fields!$B$2:$B$206,MATCH(H163-129,Fields!$D$2:$D$206,1)),""),"")</f>
        <v/>
      </c>
      <c r="K163">
        <f>IFERROR(IF(AND(H163&lt;&gt;"",H163&gt;=129,H163&lt;=2176),INDEX(Fields!$C$2:$C$206,MATCH(H163-129,Fields!$D$2:$D$206,1)),""),"")</f>
        <v/>
      </c>
      <c r="L163">
        <f>IFERROR(IF(AND(H163&lt;&gt;"",H163&gt;=129,H163&lt;=2176),INDEX(Fields!$J$2:$J$206,MATCH(H163-129,Fields!$D$2:$D$206,1)),""),"")</f>
        <v/>
      </c>
      <c r="M163">
        <f>IFERROR(IF(AND(H163&lt;&gt;"",H163&gt;=129,H163&lt;=2176),INDEX(Fields!$K$2:$K$206,MATCH(H163-129,Fields!$D$2:$D$206,1)),""),"")</f>
        <v/>
      </c>
    </row>
    <row r="164">
      <c r="A164" t="n">
        <v>162</v>
      </c>
      <c r="B164" t="n">
        <v>0</v>
      </c>
      <c r="C164" t="inlineStr">
        <is>
          <t>No</t>
        </is>
      </c>
      <c r="D164">
        <f>IF(AND(B159=1,B160=1,B161=1,B162=1,B163=1),"Yes","")</f>
        <v/>
      </c>
      <c r="E164" t="inlineStr">
        <is>
          <t>No</t>
        </is>
      </c>
      <c r="F164" t="inlineStr">
        <is>
          <t>No</t>
        </is>
      </c>
      <c r="G164">
        <f>IF(F164="Yes",1-B164,B164)</f>
        <v/>
      </c>
      <c r="H164">
        <f>IF(E164="Yes","",COUNTIFS($E$2:E164,"No"))</f>
        <v/>
      </c>
      <c r="I164">
        <f>IF(H164="","",IF(H164&lt;=128,"address",IF(H164&lt;=600,"data1",IF(H164&lt;=1264,"zero-run1",IF(H164&lt;=1648,"data2",IF(H164&lt;=2176,"zero-run2",IF(H164&lt;=2192,"FCS","trailing")))))))</f>
        <v/>
      </c>
      <c r="J164">
        <f>IFERROR(IF(AND(H164&lt;&gt;"",H164&gt;=129,H164&lt;=2176),INDEX(Fields!$B$2:$B$206,MATCH(H164-129,Fields!$D$2:$D$206,1)),""),"")</f>
        <v/>
      </c>
      <c r="K164">
        <f>IFERROR(IF(AND(H164&lt;&gt;"",H164&gt;=129,H164&lt;=2176),INDEX(Fields!$C$2:$C$206,MATCH(H164-129,Fields!$D$2:$D$206,1)),""),"")</f>
        <v/>
      </c>
      <c r="L164">
        <f>IFERROR(IF(AND(H164&lt;&gt;"",H164&gt;=129,H164&lt;=2176),INDEX(Fields!$J$2:$J$206,MATCH(H164-129,Fields!$D$2:$D$206,1)),""),"")</f>
        <v/>
      </c>
      <c r="M164">
        <f>IFERROR(IF(AND(H164&lt;&gt;"",H164&gt;=129,H164&lt;=2176),INDEX(Fields!$K$2:$K$206,MATCH(H164-129,Fields!$D$2:$D$206,1)),""),"")</f>
        <v/>
      </c>
    </row>
    <row r="165">
      <c r="A165" t="n">
        <v>163</v>
      </c>
      <c r="B165" t="n">
        <v>0</v>
      </c>
      <c r="C165" t="inlineStr">
        <is>
          <t>No</t>
        </is>
      </c>
      <c r="D165">
        <f>IF(AND(B160=1,B161=1,B162=1,B163=1,B164=1),"Yes","")</f>
        <v/>
      </c>
      <c r="E165" t="inlineStr">
        <is>
          <t>No</t>
        </is>
      </c>
      <c r="F165" t="inlineStr">
        <is>
          <t>No</t>
        </is>
      </c>
      <c r="G165">
        <f>IF(F165="Yes",1-B165,B165)</f>
        <v/>
      </c>
      <c r="H165">
        <f>IF(E165="Yes","",COUNTIFS($E$2:E165,"No"))</f>
        <v/>
      </c>
      <c r="I165">
        <f>IF(H165="","",IF(H165&lt;=128,"address",IF(H165&lt;=600,"data1",IF(H165&lt;=1264,"zero-run1",IF(H165&lt;=1648,"data2",IF(H165&lt;=2176,"zero-run2",IF(H165&lt;=2192,"FCS","trailing")))))))</f>
        <v/>
      </c>
      <c r="J165">
        <f>IFERROR(IF(AND(H165&lt;&gt;"",H165&gt;=129,H165&lt;=2176),INDEX(Fields!$B$2:$B$206,MATCH(H165-129,Fields!$D$2:$D$206,1)),""),"")</f>
        <v/>
      </c>
      <c r="K165">
        <f>IFERROR(IF(AND(H165&lt;&gt;"",H165&gt;=129,H165&lt;=2176),INDEX(Fields!$C$2:$C$206,MATCH(H165-129,Fields!$D$2:$D$206,1)),""),"")</f>
        <v/>
      </c>
      <c r="L165">
        <f>IFERROR(IF(AND(H165&lt;&gt;"",H165&gt;=129,H165&lt;=2176),INDEX(Fields!$J$2:$J$206,MATCH(H165-129,Fields!$D$2:$D$206,1)),""),"")</f>
        <v/>
      </c>
      <c r="M165">
        <f>IFERROR(IF(AND(H165&lt;&gt;"",H165&gt;=129,H165&lt;=2176),INDEX(Fields!$K$2:$K$206,MATCH(H165-129,Fields!$D$2:$D$206,1)),""),"")</f>
        <v/>
      </c>
    </row>
    <row r="166">
      <c r="A166" t="n">
        <v>164</v>
      </c>
      <c r="B166" t="n">
        <v>1</v>
      </c>
      <c r="C166" t="inlineStr">
        <is>
          <t>No</t>
        </is>
      </c>
      <c r="D166">
        <f>IF(AND(B161=1,B162=1,B163=1,B164=1,B165=1),"Yes","")</f>
        <v/>
      </c>
      <c r="E166" t="inlineStr">
        <is>
          <t>No</t>
        </is>
      </c>
      <c r="F166" t="inlineStr">
        <is>
          <t>No</t>
        </is>
      </c>
      <c r="G166">
        <f>IF(F166="Yes",1-B166,B166)</f>
        <v/>
      </c>
      <c r="H166">
        <f>IF(E166="Yes","",COUNTIFS($E$2:E166,"No"))</f>
        <v/>
      </c>
      <c r="I166">
        <f>IF(H166="","",IF(H166&lt;=128,"address",IF(H166&lt;=600,"data1",IF(H166&lt;=1264,"zero-run1",IF(H166&lt;=1648,"data2",IF(H166&lt;=2176,"zero-run2",IF(H166&lt;=2192,"FCS","trailing")))))))</f>
        <v/>
      </c>
      <c r="J166">
        <f>IFERROR(IF(AND(H166&lt;&gt;"",H166&gt;=129,H166&lt;=2176),INDEX(Fields!$B$2:$B$206,MATCH(H166-129,Fields!$D$2:$D$206,1)),""),"")</f>
        <v/>
      </c>
      <c r="K166">
        <f>IFERROR(IF(AND(H166&lt;&gt;"",H166&gt;=129,H166&lt;=2176),INDEX(Fields!$C$2:$C$206,MATCH(H166-129,Fields!$D$2:$D$206,1)),""),"")</f>
        <v/>
      </c>
      <c r="L166">
        <f>IFERROR(IF(AND(H166&lt;&gt;"",H166&gt;=129,H166&lt;=2176),INDEX(Fields!$J$2:$J$206,MATCH(H166-129,Fields!$D$2:$D$206,1)),""),"")</f>
        <v/>
      </c>
      <c r="M166">
        <f>IFERROR(IF(AND(H166&lt;&gt;"",H166&gt;=129,H166&lt;=2176),INDEX(Fields!$K$2:$K$206,MATCH(H166-129,Fields!$D$2:$D$206,1)),""),"")</f>
        <v/>
      </c>
    </row>
    <row r="167">
      <c r="A167" t="n">
        <v>165</v>
      </c>
      <c r="B167" t="n">
        <v>1</v>
      </c>
      <c r="C167" t="inlineStr">
        <is>
          <t>No</t>
        </is>
      </c>
      <c r="D167">
        <f>IF(AND(B162=1,B163=1,B164=1,B165=1,B166=1),"Yes","")</f>
        <v/>
      </c>
      <c r="E167" t="inlineStr">
        <is>
          <t>No</t>
        </is>
      </c>
      <c r="F167" t="inlineStr">
        <is>
          <t>No</t>
        </is>
      </c>
      <c r="G167">
        <f>IF(F167="Yes",1-B167,B167)</f>
        <v/>
      </c>
      <c r="H167">
        <f>IF(E167="Yes","",COUNTIFS($E$2:E167,"No"))</f>
        <v/>
      </c>
      <c r="I167">
        <f>IF(H167="","",IF(H167&lt;=128,"address",IF(H167&lt;=600,"data1",IF(H167&lt;=1264,"zero-run1",IF(H167&lt;=1648,"data2",IF(H167&lt;=2176,"zero-run2",IF(H167&lt;=2192,"FCS","trailing")))))))</f>
        <v/>
      </c>
      <c r="J167">
        <f>IFERROR(IF(AND(H167&lt;&gt;"",H167&gt;=129,H167&lt;=2176),INDEX(Fields!$B$2:$B$206,MATCH(H167-129,Fields!$D$2:$D$206,1)),""),"")</f>
        <v/>
      </c>
      <c r="K167">
        <f>IFERROR(IF(AND(H167&lt;&gt;"",H167&gt;=129,H167&lt;=2176),INDEX(Fields!$C$2:$C$206,MATCH(H167-129,Fields!$D$2:$D$206,1)),""),"")</f>
        <v/>
      </c>
      <c r="L167">
        <f>IFERROR(IF(AND(H167&lt;&gt;"",H167&gt;=129,H167&lt;=2176),INDEX(Fields!$J$2:$J$206,MATCH(H167-129,Fields!$D$2:$D$206,1)),""),"")</f>
        <v/>
      </c>
      <c r="M167">
        <f>IFERROR(IF(AND(H167&lt;&gt;"",H167&gt;=129,H167&lt;=2176),INDEX(Fields!$K$2:$K$206,MATCH(H167-129,Fields!$D$2:$D$206,1)),""),"")</f>
        <v/>
      </c>
    </row>
    <row r="168">
      <c r="A168" t="n">
        <v>166</v>
      </c>
      <c r="B168" t="n">
        <v>0</v>
      </c>
      <c r="C168" t="inlineStr">
        <is>
          <t>No</t>
        </is>
      </c>
      <c r="D168">
        <f>IF(AND(B163=1,B164=1,B165=1,B166=1,B167=1),"Yes","")</f>
        <v/>
      </c>
      <c r="E168" t="inlineStr">
        <is>
          <t>No</t>
        </is>
      </c>
      <c r="F168" t="inlineStr">
        <is>
          <t>No</t>
        </is>
      </c>
      <c r="G168">
        <f>IF(F168="Yes",1-B168,B168)</f>
        <v/>
      </c>
      <c r="H168">
        <f>IF(E168="Yes","",COUNTIFS($E$2:E168,"No"))</f>
        <v/>
      </c>
      <c r="I168">
        <f>IF(H168="","",IF(H168&lt;=128,"address",IF(H168&lt;=600,"data1",IF(H168&lt;=1264,"zero-run1",IF(H168&lt;=1648,"data2",IF(H168&lt;=2176,"zero-run2",IF(H168&lt;=2192,"FCS","trailing")))))))</f>
        <v/>
      </c>
      <c r="J168">
        <f>IFERROR(IF(AND(H168&lt;&gt;"",H168&gt;=129,H168&lt;=2176),INDEX(Fields!$B$2:$B$206,MATCH(H168-129,Fields!$D$2:$D$206,1)),""),"")</f>
        <v/>
      </c>
      <c r="K168">
        <f>IFERROR(IF(AND(H168&lt;&gt;"",H168&gt;=129,H168&lt;=2176),INDEX(Fields!$C$2:$C$206,MATCH(H168-129,Fields!$D$2:$D$206,1)),""),"")</f>
        <v/>
      </c>
      <c r="L168">
        <f>IFERROR(IF(AND(H168&lt;&gt;"",H168&gt;=129,H168&lt;=2176),INDEX(Fields!$J$2:$J$206,MATCH(H168-129,Fields!$D$2:$D$206,1)),""),"")</f>
        <v/>
      </c>
      <c r="M168">
        <f>IFERROR(IF(AND(H168&lt;&gt;"",H168&gt;=129,H168&lt;=2176),INDEX(Fields!$K$2:$K$206,MATCH(H168-129,Fields!$D$2:$D$206,1)),""),"")</f>
        <v/>
      </c>
    </row>
    <row r="169">
      <c r="A169" t="n">
        <v>167</v>
      </c>
      <c r="B169" t="n">
        <v>0</v>
      </c>
      <c r="C169" t="inlineStr">
        <is>
          <t>No</t>
        </is>
      </c>
      <c r="D169">
        <f>IF(AND(B164=1,B165=1,B166=1,B167=1,B168=1),"Yes","")</f>
        <v/>
      </c>
      <c r="E169" t="inlineStr">
        <is>
          <t>No</t>
        </is>
      </c>
      <c r="F169" t="inlineStr">
        <is>
          <t>No</t>
        </is>
      </c>
      <c r="G169">
        <f>IF(F169="Yes",1-B169,B169)</f>
        <v/>
      </c>
      <c r="H169">
        <f>IF(E169="Yes","",COUNTIFS($E$2:E169,"No"))</f>
        <v/>
      </c>
      <c r="I169">
        <f>IF(H169="","",IF(H169&lt;=128,"address",IF(H169&lt;=600,"data1",IF(H169&lt;=1264,"zero-run1",IF(H169&lt;=1648,"data2",IF(H169&lt;=2176,"zero-run2",IF(H169&lt;=2192,"FCS","trailing")))))))</f>
        <v/>
      </c>
      <c r="J169">
        <f>IFERROR(IF(AND(H169&lt;&gt;"",H169&gt;=129,H169&lt;=2176),INDEX(Fields!$B$2:$B$206,MATCH(H169-129,Fields!$D$2:$D$206,1)),""),"")</f>
        <v/>
      </c>
      <c r="K169">
        <f>IFERROR(IF(AND(H169&lt;&gt;"",H169&gt;=129,H169&lt;=2176),INDEX(Fields!$C$2:$C$206,MATCH(H169-129,Fields!$D$2:$D$206,1)),""),"")</f>
        <v/>
      </c>
      <c r="L169">
        <f>IFERROR(IF(AND(H169&lt;&gt;"",H169&gt;=129,H169&lt;=2176),INDEX(Fields!$J$2:$J$206,MATCH(H169-129,Fields!$D$2:$D$206,1)),""),"")</f>
        <v/>
      </c>
      <c r="M169">
        <f>IFERROR(IF(AND(H169&lt;&gt;"",H169&gt;=129,H169&lt;=2176),INDEX(Fields!$K$2:$K$206,MATCH(H169-129,Fields!$D$2:$D$206,1)),""),"")</f>
        <v/>
      </c>
    </row>
    <row r="170">
      <c r="A170" t="n">
        <v>168</v>
      </c>
      <c r="B170" t="n">
        <v>1</v>
      </c>
      <c r="C170" t="inlineStr">
        <is>
          <t>No</t>
        </is>
      </c>
      <c r="D170">
        <f>IF(AND(B165=1,B166=1,B167=1,B168=1,B169=1),"Yes","")</f>
        <v/>
      </c>
      <c r="E170" t="inlineStr">
        <is>
          <t>No</t>
        </is>
      </c>
      <c r="F170" t="inlineStr">
        <is>
          <t>No</t>
        </is>
      </c>
      <c r="G170">
        <f>IF(F170="Yes",1-B170,B170)</f>
        <v/>
      </c>
      <c r="H170">
        <f>IF(E170="Yes","",COUNTIFS($E$2:E170,"No"))</f>
        <v/>
      </c>
      <c r="I170">
        <f>IF(H170="","",IF(H170&lt;=128,"address",IF(H170&lt;=600,"data1",IF(H170&lt;=1264,"zero-run1",IF(H170&lt;=1648,"data2",IF(H170&lt;=2176,"zero-run2",IF(H170&lt;=2192,"FCS","trailing")))))))</f>
        <v/>
      </c>
      <c r="J170">
        <f>IFERROR(IF(AND(H170&lt;&gt;"",H170&gt;=129,H170&lt;=2176),INDEX(Fields!$B$2:$B$206,MATCH(H170-129,Fields!$D$2:$D$206,1)),""),"")</f>
        <v/>
      </c>
      <c r="K170">
        <f>IFERROR(IF(AND(H170&lt;&gt;"",H170&gt;=129,H170&lt;=2176),INDEX(Fields!$C$2:$C$206,MATCH(H170-129,Fields!$D$2:$D$206,1)),""),"")</f>
        <v/>
      </c>
      <c r="L170">
        <f>IFERROR(IF(AND(H170&lt;&gt;"",H170&gt;=129,H170&lt;=2176),INDEX(Fields!$J$2:$J$206,MATCH(H170-129,Fields!$D$2:$D$206,1)),""),"")</f>
        <v/>
      </c>
      <c r="M170">
        <f>IFERROR(IF(AND(H170&lt;&gt;"",H170&gt;=129,H170&lt;=2176),INDEX(Fields!$K$2:$K$206,MATCH(H170-129,Fields!$D$2:$D$206,1)),""),"")</f>
        <v/>
      </c>
    </row>
    <row r="171">
      <c r="A171" t="n">
        <v>169</v>
      </c>
      <c r="B171" t="n">
        <v>1</v>
      </c>
      <c r="C171" t="inlineStr">
        <is>
          <t>No</t>
        </is>
      </c>
      <c r="D171">
        <f>IF(AND(B166=1,B167=1,B168=1,B169=1,B170=1),"Yes","")</f>
        <v/>
      </c>
      <c r="E171" t="inlineStr">
        <is>
          <t>No</t>
        </is>
      </c>
      <c r="F171" t="inlineStr">
        <is>
          <t>No</t>
        </is>
      </c>
      <c r="G171">
        <f>IF(F171="Yes",1-B171,B171)</f>
        <v/>
      </c>
      <c r="H171">
        <f>IF(E171="Yes","",COUNTIFS($E$2:E171,"No"))</f>
        <v/>
      </c>
      <c r="I171">
        <f>IF(H171="","",IF(H171&lt;=128,"address",IF(H171&lt;=600,"data1",IF(H171&lt;=1264,"zero-run1",IF(H171&lt;=1648,"data2",IF(H171&lt;=2176,"zero-run2",IF(H171&lt;=2192,"FCS","trailing")))))))</f>
        <v/>
      </c>
      <c r="J171">
        <f>IFERROR(IF(AND(H171&lt;&gt;"",H171&gt;=129,H171&lt;=2176),INDEX(Fields!$B$2:$B$206,MATCH(H171-129,Fields!$D$2:$D$206,1)),""),"")</f>
        <v/>
      </c>
      <c r="K171">
        <f>IFERROR(IF(AND(H171&lt;&gt;"",H171&gt;=129,H171&lt;=2176),INDEX(Fields!$C$2:$C$206,MATCH(H171-129,Fields!$D$2:$D$206,1)),""),"")</f>
        <v/>
      </c>
      <c r="L171">
        <f>IFERROR(IF(AND(H171&lt;&gt;"",H171&gt;=129,H171&lt;=2176),INDEX(Fields!$J$2:$J$206,MATCH(H171-129,Fields!$D$2:$D$206,1)),""),"")</f>
        <v/>
      </c>
      <c r="M171">
        <f>IFERROR(IF(AND(H171&lt;&gt;"",H171&gt;=129,H171&lt;=2176),INDEX(Fields!$K$2:$K$206,MATCH(H171-129,Fields!$D$2:$D$206,1)),""),"")</f>
        <v/>
      </c>
    </row>
    <row r="172">
      <c r="A172" t="n">
        <v>170</v>
      </c>
      <c r="B172" t="n">
        <v>0</v>
      </c>
      <c r="C172" s="4" t="inlineStr">
        <is>
          <t>Yes</t>
        </is>
      </c>
      <c r="D172">
        <f>IF(AND(B167=1,B168=1,B169=1,B170=1,B171=1),"Yes","")</f>
        <v/>
      </c>
      <c r="E172" t="inlineStr">
        <is>
          <t>No</t>
        </is>
      </c>
      <c r="F172" t="inlineStr">
        <is>
          <t>No</t>
        </is>
      </c>
      <c r="G172">
        <f>IF(F172="Yes",1-B172,B172)</f>
        <v/>
      </c>
      <c r="H172">
        <f>IF(E172="Yes","",COUNTIFS($E$2:E172,"No"))</f>
        <v/>
      </c>
      <c r="I172">
        <f>IF(H172="","",IF(H172&lt;=128,"address",IF(H172&lt;=600,"data1",IF(H172&lt;=1264,"zero-run1",IF(H172&lt;=1648,"data2",IF(H172&lt;=2176,"zero-run2",IF(H172&lt;=2192,"FCS","trailing")))))))</f>
        <v/>
      </c>
      <c r="J172">
        <f>IFERROR(IF(AND(H172&lt;&gt;"",H172&gt;=129,H172&lt;=2176),INDEX(Fields!$B$2:$B$206,MATCH(H172-129,Fields!$D$2:$D$206,1)),""),"")</f>
        <v/>
      </c>
      <c r="K172">
        <f>IFERROR(IF(AND(H172&lt;&gt;"",H172&gt;=129,H172&lt;=2176),INDEX(Fields!$C$2:$C$206,MATCH(H172-129,Fields!$D$2:$D$206,1)),""),"")</f>
        <v/>
      </c>
      <c r="L172">
        <f>IFERROR(IF(AND(H172&lt;&gt;"",H172&gt;=129,H172&lt;=2176),INDEX(Fields!$J$2:$J$206,MATCH(H172-129,Fields!$D$2:$D$206,1)),""),"")</f>
        <v/>
      </c>
      <c r="M172">
        <f>IFERROR(IF(AND(H172&lt;&gt;"",H172&gt;=129,H172&lt;=2176),INDEX(Fields!$K$2:$K$206,MATCH(H172-129,Fields!$D$2:$D$206,1)),""),"")</f>
        <v/>
      </c>
    </row>
    <row r="173">
      <c r="A173" t="n">
        <v>171</v>
      </c>
      <c r="B173" t="n">
        <v>0</v>
      </c>
      <c r="C173" t="inlineStr">
        <is>
          <t>No</t>
        </is>
      </c>
      <c r="D173">
        <f>IF(AND(B168=1,B169=1,B170=1,B171=1,B172=1),"Yes","")</f>
        <v/>
      </c>
      <c r="E173" t="inlineStr">
        <is>
          <t>No</t>
        </is>
      </c>
      <c r="F173" t="inlineStr">
        <is>
          <t>No</t>
        </is>
      </c>
      <c r="G173">
        <f>IF(F173="Yes",1-B173,B173)</f>
        <v/>
      </c>
      <c r="H173">
        <f>IF(E173="Yes","",COUNTIFS($E$2:E173,"No"))</f>
        <v/>
      </c>
      <c r="I173">
        <f>IF(H173="","",IF(H173&lt;=128,"address",IF(H173&lt;=600,"data1",IF(H173&lt;=1264,"zero-run1",IF(H173&lt;=1648,"data2",IF(H173&lt;=2176,"zero-run2",IF(H173&lt;=2192,"FCS","trailing")))))))</f>
        <v/>
      </c>
      <c r="J173">
        <f>IFERROR(IF(AND(H173&lt;&gt;"",H173&gt;=129,H173&lt;=2176),INDEX(Fields!$B$2:$B$206,MATCH(H173-129,Fields!$D$2:$D$206,1)),""),"")</f>
        <v/>
      </c>
      <c r="K173">
        <f>IFERROR(IF(AND(H173&lt;&gt;"",H173&gt;=129,H173&lt;=2176),INDEX(Fields!$C$2:$C$206,MATCH(H173-129,Fields!$D$2:$D$206,1)),""),"")</f>
        <v/>
      </c>
      <c r="L173">
        <f>IFERROR(IF(AND(H173&lt;&gt;"",H173&gt;=129,H173&lt;=2176),INDEX(Fields!$J$2:$J$206,MATCH(H173-129,Fields!$D$2:$D$206,1)),""),"")</f>
        <v/>
      </c>
      <c r="M173">
        <f>IFERROR(IF(AND(H173&lt;&gt;"",H173&gt;=129,H173&lt;=2176),INDEX(Fields!$K$2:$K$206,MATCH(H173-129,Fields!$D$2:$D$206,1)),""),"")</f>
        <v/>
      </c>
    </row>
    <row r="174">
      <c r="A174" t="n">
        <v>172</v>
      </c>
      <c r="B174" t="n">
        <v>0</v>
      </c>
      <c r="C174" t="inlineStr">
        <is>
          <t>No</t>
        </is>
      </c>
      <c r="D174">
        <f>IF(AND(B169=1,B170=1,B171=1,B172=1,B173=1),"Yes","")</f>
        <v/>
      </c>
      <c r="E174" t="inlineStr">
        <is>
          <t>No</t>
        </is>
      </c>
      <c r="F174" t="inlineStr">
        <is>
          <t>No</t>
        </is>
      </c>
      <c r="G174">
        <f>IF(F174="Yes",1-B174,B174)</f>
        <v/>
      </c>
      <c r="H174">
        <f>IF(E174="Yes","",COUNTIFS($E$2:E174,"No"))</f>
        <v/>
      </c>
      <c r="I174">
        <f>IF(H174="","",IF(H174&lt;=128,"address",IF(H174&lt;=600,"data1",IF(H174&lt;=1264,"zero-run1",IF(H174&lt;=1648,"data2",IF(H174&lt;=2176,"zero-run2",IF(H174&lt;=2192,"FCS","trailing")))))))</f>
        <v/>
      </c>
      <c r="J174">
        <f>IFERROR(IF(AND(H174&lt;&gt;"",H174&gt;=129,H174&lt;=2176),INDEX(Fields!$B$2:$B$206,MATCH(H174-129,Fields!$D$2:$D$206,1)),""),"")</f>
        <v/>
      </c>
      <c r="K174">
        <f>IFERROR(IF(AND(H174&lt;&gt;"",H174&gt;=129,H174&lt;=2176),INDEX(Fields!$C$2:$C$206,MATCH(H174-129,Fields!$D$2:$D$206,1)),""),"")</f>
        <v/>
      </c>
      <c r="L174">
        <f>IFERROR(IF(AND(H174&lt;&gt;"",H174&gt;=129,H174&lt;=2176),INDEX(Fields!$J$2:$J$206,MATCH(H174-129,Fields!$D$2:$D$206,1)),""),"")</f>
        <v/>
      </c>
      <c r="M174">
        <f>IFERROR(IF(AND(H174&lt;&gt;"",H174&gt;=129,H174&lt;=2176),INDEX(Fields!$K$2:$K$206,MATCH(H174-129,Fields!$D$2:$D$206,1)),""),"")</f>
        <v/>
      </c>
    </row>
    <row r="175">
      <c r="A175" t="n">
        <v>173</v>
      </c>
      <c r="B175" t="n">
        <v>1</v>
      </c>
      <c r="C175" t="inlineStr">
        <is>
          <t>No</t>
        </is>
      </c>
      <c r="D175">
        <f>IF(AND(B170=1,B171=1,B172=1,B173=1,B174=1),"Yes","")</f>
        <v/>
      </c>
      <c r="E175" t="inlineStr">
        <is>
          <t>No</t>
        </is>
      </c>
      <c r="F175" t="inlineStr">
        <is>
          <t>No</t>
        </is>
      </c>
      <c r="G175">
        <f>IF(F175="Yes",1-B175,B175)</f>
        <v/>
      </c>
      <c r="H175">
        <f>IF(E175="Yes","",COUNTIFS($E$2:E175,"No"))</f>
        <v/>
      </c>
      <c r="I175">
        <f>IF(H175="","",IF(H175&lt;=128,"address",IF(H175&lt;=600,"data1",IF(H175&lt;=1264,"zero-run1",IF(H175&lt;=1648,"data2",IF(H175&lt;=2176,"zero-run2",IF(H175&lt;=2192,"FCS","trailing")))))))</f>
        <v/>
      </c>
      <c r="J175">
        <f>IFERROR(IF(AND(H175&lt;&gt;"",H175&gt;=129,H175&lt;=2176),INDEX(Fields!$B$2:$B$206,MATCH(H175-129,Fields!$D$2:$D$206,1)),""),"")</f>
        <v/>
      </c>
      <c r="K175">
        <f>IFERROR(IF(AND(H175&lt;&gt;"",H175&gt;=129,H175&lt;=2176),INDEX(Fields!$C$2:$C$206,MATCH(H175-129,Fields!$D$2:$D$206,1)),""),"")</f>
        <v/>
      </c>
      <c r="L175">
        <f>IFERROR(IF(AND(H175&lt;&gt;"",H175&gt;=129,H175&lt;=2176),INDEX(Fields!$J$2:$J$206,MATCH(H175-129,Fields!$D$2:$D$206,1)),""),"")</f>
        <v/>
      </c>
      <c r="M175">
        <f>IFERROR(IF(AND(H175&lt;&gt;"",H175&gt;=129,H175&lt;=2176),INDEX(Fields!$K$2:$K$206,MATCH(H175-129,Fields!$D$2:$D$206,1)),""),"")</f>
        <v/>
      </c>
    </row>
    <row r="176">
      <c r="A176" t="n">
        <v>174</v>
      </c>
      <c r="B176" t="n">
        <v>1</v>
      </c>
      <c r="C176" t="inlineStr">
        <is>
          <t>No</t>
        </is>
      </c>
      <c r="D176">
        <f>IF(AND(B171=1,B172=1,B173=1,B174=1,B175=1),"Yes","")</f>
        <v/>
      </c>
      <c r="E176" t="inlineStr">
        <is>
          <t>No</t>
        </is>
      </c>
      <c r="F176" t="inlineStr">
        <is>
          <t>No</t>
        </is>
      </c>
      <c r="G176">
        <f>IF(F176="Yes",1-B176,B176)</f>
        <v/>
      </c>
      <c r="H176">
        <f>IF(E176="Yes","",COUNTIFS($E$2:E176,"No"))</f>
        <v/>
      </c>
      <c r="I176">
        <f>IF(H176="","",IF(H176&lt;=128,"address",IF(H176&lt;=600,"data1",IF(H176&lt;=1264,"zero-run1",IF(H176&lt;=1648,"data2",IF(H176&lt;=2176,"zero-run2",IF(H176&lt;=2192,"FCS","trailing")))))))</f>
        <v/>
      </c>
      <c r="J176">
        <f>IFERROR(IF(AND(H176&lt;&gt;"",H176&gt;=129,H176&lt;=2176),INDEX(Fields!$B$2:$B$206,MATCH(H176-129,Fields!$D$2:$D$206,1)),""),"")</f>
        <v/>
      </c>
      <c r="K176">
        <f>IFERROR(IF(AND(H176&lt;&gt;"",H176&gt;=129,H176&lt;=2176),INDEX(Fields!$C$2:$C$206,MATCH(H176-129,Fields!$D$2:$D$206,1)),""),"")</f>
        <v/>
      </c>
      <c r="L176">
        <f>IFERROR(IF(AND(H176&lt;&gt;"",H176&gt;=129,H176&lt;=2176),INDEX(Fields!$J$2:$J$206,MATCH(H176-129,Fields!$D$2:$D$206,1)),""),"")</f>
        <v/>
      </c>
      <c r="M176">
        <f>IFERROR(IF(AND(H176&lt;&gt;"",H176&gt;=129,H176&lt;=2176),INDEX(Fields!$K$2:$K$206,MATCH(H176-129,Fields!$D$2:$D$206,1)),""),"")</f>
        <v/>
      </c>
    </row>
    <row r="177">
      <c r="A177" t="n">
        <v>175</v>
      </c>
      <c r="B177" t="n">
        <v>0</v>
      </c>
      <c r="C177" t="inlineStr">
        <is>
          <t>No</t>
        </is>
      </c>
      <c r="D177">
        <f>IF(AND(B172=1,B173=1,B174=1,B175=1,B176=1),"Yes","")</f>
        <v/>
      </c>
      <c r="E177" t="inlineStr">
        <is>
          <t>No</t>
        </is>
      </c>
      <c r="F177" t="inlineStr">
        <is>
          <t>No</t>
        </is>
      </c>
      <c r="G177">
        <f>IF(F177="Yes",1-B177,B177)</f>
        <v/>
      </c>
      <c r="H177">
        <f>IF(E177="Yes","",COUNTIFS($E$2:E177,"No"))</f>
        <v/>
      </c>
      <c r="I177">
        <f>IF(H177="","",IF(H177&lt;=128,"address",IF(H177&lt;=600,"data1",IF(H177&lt;=1264,"zero-run1",IF(H177&lt;=1648,"data2",IF(H177&lt;=2176,"zero-run2",IF(H177&lt;=2192,"FCS","trailing")))))))</f>
        <v/>
      </c>
      <c r="J177">
        <f>IFERROR(IF(AND(H177&lt;&gt;"",H177&gt;=129,H177&lt;=2176),INDEX(Fields!$B$2:$B$206,MATCH(H177-129,Fields!$D$2:$D$206,1)),""),"")</f>
        <v/>
      </c>
      <c r="K177">
        <f>IFERROR(IF(AND(H177&lt;&gt;"",H177&gt;=129,H177&lt;=2176),INDEX(Fields!$C$2:$C$206,MATCH(H177-129,Fields!$D$2:$D$206,1)),""),"")</f>
        <v/>
      </c>
      <c r="L177">
        <f>IFERROR(IF(AND(H177&lt;&gt;"",H177&gt;=129,H177&lt;=2176),INDEX(Fields!$J$2:$J$206,MATCH(H177-129,Fields!$D$2:$D$206,1)),""),"")</f>
        <v/>
      </c>
      <c r="M177">
        <f>IFERROR(IF(AND(H177&lt;&gt;"",H177&gt;=129,H177&lt;=2176),INDEX(Fields!$K$2:$K$206,MATCH(H177-129,Fields!$D$2:$D$206,1)),""),"")</f>
        <v/>
      </c>
    </row>
    <row r="178">
      <c r="A178" t="n">
        <v>176</v>
      </c>
      <c r="B178" t="n">
        <v>0</v>
      </c>
      <c r="C178" s="4" t="inlineStr">
        <is>
          <t>Yes</t>
        </is>
      </c>
      <c r="D178">
        <f>IF(AND(B173=1,B174=1,B175=1,B176=1,B177=1),"Yes","")</f>
        <v/>
      </c>
      <c r="E178" t="inlineStr">
        <is>
          <t>No</t>
        </is>
      </c>
      <c r="F178" t="inlineStr">
        <is>
          <t>No</t>
        </is>
      </c>
      <c r="G178">
        <f>IF(F178="Yes",1-B178,B178)</f>
        <v/>
      </c>
      <c r="H178">
        <f>IF(E178="Yes","",COUNTIFS($E$2:E178,"No"))</f>
        <v/>
      </c>
      <c r="I178">
        <f>IF(H178="","",IF(H178&lt;=128,"address",IF(H178&lt;=600,"data1",IF(H178&lt;=1264,"zero-run1",IF(H178&lt;=1648,"data2",IF(H178&lt;=2176,"zero-run2",IF(H178&lt;=2192,"FCS","trailing")))))))</f>
        <v/>
      </c>
      <c r="J178">
        <f>IFERROR(IF(AND(H178&lt;&gt;"",H178&gt;=129,H178&lt;=2176),INDEX(Fields!$B$2:$B$206,MATCH(H178-129,Fields!$D$2:$D$206,1)),""),"")</f>
        <v/>
      </c>
      <c r="K178">
        <f>IFERROR(IF(AND(H178&lt;&gt;"",H178&gt;=129,H178&lt;=2176),INDEX(Fields!$C$2:$C$206,MATCH(H178-129,Fields!$D$2:$D$206,1)),""),"")</f>
        <v/>
      </c>
      <c r="L178">
        <f>IFERROR(IF(AND(H178&lt;&gt;"",H178&gt;=129,H178&lt;=2176),INDEX(Fields!$J$2:$J$206,MATCH(H178-129,Fields!$D$2:$D$206,1)),""),"")</f>
        <v/>
      </c>
      <c r="M178">
        <f>IFERROR(IF(AND(H178&lt;&gt;"",H178&gt;=129,H178&lt;=2176),INDEX(Fields!$K$2:$K$206,MATCH(H178-129,Fields!$D$2:$D$206,1)),""),"")</f>
        <v/>
      </c>
    </row>
    <row r="179">
      <c r="A179" t="n">
        <v>177</v>
      </c>
      <c r="B179" t="n">
        <v>0</v>
      </c>
      <c r="C179" t="inlineStr">
        <is>
          <t>No</t>
        </is>
      </c>
      <c r="D179">
        <f>IF(AND(B174=1,B175=1,B176=1,B177=1,B178=1),"Yes","")</f>
        <v/>
      </c>
      <c r="E179" t="inlineStr">
        <is>
          <t>No</t>
        </is>
      </c>
      <c r="F179" t="inlineStr">
        <is>
          <t>No</t>
        </is>
      </c>
      <c r="G179">
        <f>IF(F179="Yes",1-B179,B179)</f>
        <v/>
      </c>
      <c r="H179">
        <f>IF(E179="Yes","",COUNTIFS($E$2:E179,"No"))</f>
        <v/>
      </c>
      <c r="I179">
        <f>IF(H179="","",IF(H179&lt;=128,"address",IF(H179&lt;=600,"data1",IF(H179&lt;=1264,"zero-run1",IF(H179&lt;=1648,"data2",IF(H179&lt;=2176,"zero-run2",IF(H179&lt;=2192,"FCS","trailing")))))))</f>
        <v/>
      </c>
      <c r="J179">
        <f>IFERROR(IF(AND(H179&lt;&gt;"",H179&gt;=129,H179&lt;=2176),INDEX(Fields!$B$2:$B$206,MATCH(H179-129,Fields!$D$2:$D$206,1)),""),"")</f>
        <v/>
      </c>
      <c r="K179">
        <f>IFERROR(IF(AND(H179&lt;&gt;"",H179&gt;=129,H179&lt;=2176),INDEX(Fields!$C$2:$C$206,MATCH(H179-129,Fields!$D$2:$D$206,1)),""),"")</f>
        <v/>
      </c>
      <c r="L179">
        <f>IFERROR(IF(AND(H179&lt;&gt;"",H179&gt;=129,H179&lt;=2176),INDEX(Fields!$J$2:$J$206,MATCH(H179-129,Fields!$D$2:$D$206,1)),""),"")</f>
        <v/>
      </c>
      <c r="M179">
        <f>IFERROR(IF(AND(H179&lt;&gt;"",H179&gt;=129,H179&lt;=2176),INDEX(Fields!$K$2:$K$206,MATCH(H179-129,Fields!$D$2:$D$206,1)),""),"")</f>
        <v/>
      </c>
    </row>
    <row r="180">
      <c r="A180" t="n">
        <v>178</v>
      </c>
      <c r="B180" t="n">
        <v>1</v>
      </c>
      <c r="C180" t="inlineStr">
        <is>
          <t>No</t>
        </is>
      </c>
      <c r="D180">
        <f>IF(AND(B175=1,B176=1,B177=1,B178=1,B179=1),"Yes","")</f>
        <v/>
      </c>
      <c r="E180" t="inlineStr">
        <is>
          <t>No</t>
        </is>
      </c>
      <c r="F180" t="inlineStr">
        <is>
          <t>No</t>
        </is>
      </c>
      <c r="G180">
        <f>IF(F180="Yes",1-B180,B180)</f>
        <v/>
      </c>
      <c r="H180">
        <f>IF(E180="Yes","",COUNTIFS($E$2:E180,"No"))</f>
        <v/>
      </c>
      <c r="I180">
        <f>IF(H180="","",IF(H180&lt;=128,"address",IF(H180&lt;=600,"data1",IF(H180&lt;=1264,"zero-run1",IF(H180&lt;=1648,"data2",IF(H180&lt;=2176,"zero-run2",IF(H180&lt;=2192,"FCS","trailing")))))))</f>
        <v/>
      </c>
      <c r="J180">
        <f>IFERROR(IF(AND(H180&lt;&gt;"",H180&gt;=129,H180&lt;=2176),INDEX(Fields!$B$2:$B$206,MATCH(H180-129,Fields!$D$2:$D$206,1)),""),"")</f>
        <v/>
      </c>
      <c r="K180">
        <f>IFERROR(IF(AND(H180&lt;&gt;"",H180&gt;=129,H180&lt;=2176),INDEX(Fields!$C$2:$C$206,MATCH(H180-129,Fields!$D$2:$D$206,1)),""),"")</f>
        <v/>
      </c>
      <c r="L180">
        <f>IFERROR(IF(AND(H180&lt;&gt;"",H180&gt;=129,H180&lt;=2176),INDEX(Fields!$J$2:$J$206,MATCH(H180-129,Fields!$D$2:$D$206,1)),""),"")</f>
        <v/>
      </c>
      <c r="M180">
        <f>IFERROR(IF(AND(H180&lt;&gt;"",H180&gt;=129,H180&lt;=2176),INDEX(Fields!$K$2:$K$206,MATCH(H180-129,Fields!$D$2:$D$206,1)),""),"")</f>
        <v/>
      </c>
    </row>
    <row r="181">
      <c r="A181" t="n">
        <v>179</v>
      </c>
      <c r="B181" t="n">
        <v>0</v>
      </c>
      <c r="C181" t="inlineStr">
        <is>
          <t>No</t>
        </is>
      </c>
      <c r="D181">
        <f>IF(AND(B176=1,B177=1,B178=1,B179=1,B180=1),"Yes","")</f>
        <v/>
      </c>
      <c r="E181" t="inlineStr">
        <is>
          <t>No</t>
        </is>
      </c>
      <c r="F181" t="inlineStr">
        <is>
          <t>No</t>
        </is>
      </c>
      <c r="G181">
        <f>IF(F181="Yes",1-B181,B181)</f>
        <v/>
      </c>
      <c r="H181">
        <f>IF(E181="Yes","",COUNTIFS($E$2:E181,"No"))</f>
        <v/>
      </c>
      <c r="I181">
        <f>IF(H181="","",IF(H181&lt;=128,"address",IF(H181&lt;=600,"data1",IF(H181&lt;=1264,"zero-run1",IF(H181&lt;=1648,"data2",IF(H181&lt;=2176,"zero-run2",IF(H181&lt;=2192,"FCS","trailing")))))))</f>
        <v/>
      </c>
      <c r="J181">
        <f>IFERROR(IF(AND(H181&lt;&gt;"",H181&gt;=129,H181&lt;=2176),INDEX(Fields!$B$2:$B$206,MATCH(H181-129,Fields!$D$2:$D$206,1)),""),"")</f>
        <v/>
      </c>
      <c r="K181">
        <f>IFERROR(IF(AND(H181&lt;&gt;"",H181&gt;=129,H181&lt;=2176),INDEX(Fields!$C$2:$C$206,MATCH(H181-129,Fields!$D$2:$D$206,1)),""),"")</f>
        <v/>
      </c>
      <c r="L181">
        <f>IFERROR(IF(AND(H181&lt;&gt;"",H181&gt;=129,H181&lt;=2176),INDEX(Fields!$J$2:$J$206,MATCH(H181-129,Fields!$D$2:$D$206,1)),""),"")</f>
        <v/>
      </c>
      <c r="M181">
        <f>IFERROR(IF(AND(H181&lt;&gt;"",H181&gt;=129,H181&lt;=2176),INDEX(Fields!$K$2:$K$206,MATCH(H181-129,Fields!$D$2:$D$206,1)),""),"")</f>
        <v/>
      </c>
    </row>
    <row r="182">
      <c r="A182" t="n">
        <v>180</v>
      </c>
      <c r="B182" t="n">
        <v>1</v>
      </c>
      <c r="C182" t="inlineStr">
        <is>
          <t>No</t>
        </is>
      </c>
      <c r="D182">
        <f>IF(AND(B177=1,B178=1,B179=1,B180=1,B181=1),"Yes","")</f>
        <v/>
      </c>
      <c r="E182" t="inlineStr">
        <is>
          <t>No</t>
        </is>
      </c>
      <c r="F182" t="inlineStr">
        <is>
          <t>No</t>
        </is>
      </c>
      <c r="G182">
        <f>IF(F182="Yes",1-B182,B182)</f>
        <v/>
      </c>
      <c r="H182">
        <f>IF(E182="Yes","",COUNTIFS($E$2:E182,"No"))</f>
        <v/>
      </c>
      <c r="I182">
        <f>IF(H182="","",IF(H182&lt;=128,"address",IF(H182&lt;=600,"data1",IF(H182&lt;=1264,"zero-run1",IF(H182&lt;=1648,"data2",IF(H182&lt;=2176,"zero-run2",IF(H182&lt;=2192,"FCS","trailing")))))))</f>
        <v/>
      </c>
      <c r="J182">
        <f>IFERROR(IF(AND(H182&lt;&gt;"",H182&gt;=129,H182&lt;=2176),INDEX(Fields!$B$2:$B$206,MATCH(H182-129,Fields!$D$2:$D$206,1)),""),"")</f>
        <v/>
      </c>
      <c r="K182">
        <f>IFERROR(IF(AND(H182&lt;&gt;"",H182&gt;=129,H182&lt;=2176),INDEX(Fields!$C$2:$C$206,MATCH(H182-129,Fields!$D$2:$D$206,1)),""),"")</f>
        <v/>
      </c>
      <c r="L182">
        <f>IFERROR(IF(AND(H182&lt;&gt;"",H182&gt;=129,H182&lt;=2176),INDEX(Fields!$J$2:$J$206,MATCH(H182-129,Fields!$D$2:$D$206,1)),""),"")</f>
        <v/>
      </c>
      <c r="M182">
        <f>IFERROR(IF(AND(H182&lt;&gt;"",H182&gt;=129,H182&lt;=2176),INDEX(Fields!$K$2:$K$206,MATCH(H182-129,Fields!$D$2:$D$206,1)),""),"")</f>
        <v/>
      </c>
    </row>
    <row r="183">
      <c r="A183" t="n">
        <v>181</v>
      </c>
      <c r="B183" t="n">
        <v>0</v>
      </c>
      <c r="C183" t="inlineStr">
        <is>
          <t>No</t>
        </is>
      </c>
      <c r="D183">
        <f>IF(AND(B178=1,B179=1,B180=1,B181=1,B182=1),"Yes","")</f>
        <v/>
      </c>
      <c r="E183" t="inlineStr">
        <is>
          <t>No</t>
        </is>
      </c>
      <c r="F183" t="inlineStr">
        <is>
          <t>No</t>
        </is>
      </c>
      <c r="G183">
        <f>IF(F183="Yes",1-B183,B183)</f>
        <v/>
      </c>
      <c r="H183">
        <f>IF(E183="Yes","",COUNTIFS($E$2:E183,"No"))</f>
        <v/>
      </c>
      <c r="I183">
        <f>IF(H183="","",IF(H183&lt;=128,"address",IF(H183&lt;=600,"data1",IF(H183&lt;=1264,"zero-run1",IF(H183&lt;=1648,"data2",IF(H183&lt;=2176,"zero-run2",IF(H183&lt;=2192,"FCS","trailing")))))))</f>
        <v/>
      </c>
      <c r="J183">
        <f>IFERROR(IF(AND(H183&lt;&gt;"",H183&gt;=129,H183&lt;=2176),INDEX(Fields!$B$2:$B$206,MATCH(H183-129,Fields!$D$2:$D$206,1)),""),"")</f>
        <v/>
      </c>
      <c r="K183">
        <f>IFERROR(IF(AND(H183&lt;&gt;"",H183&gt;=129,H183&lt;=2176),INDEX(Fields!$C$2:$C$206,MATCH(H183-129,Fields!$D$2:$D$206,1)),""),"")</f>
        <v/>
      </c>
      <c r="L183">
        <f>IFERROR(IF(AND(H183&lt;&gt;"",H183&gt;=129,H183&lt;=2176),INDEX(Fields!$J$2:$J$206,MATCH(H183-129,Fields!$D$2:$D$206,1)),""),"")</f>
        <v/>
      </c>
      <c r="M183">
        <f>IFERROR(IF(AND(H183&lt;&gt;"",H183&gt;=129,H183&lt;=2176),INDEX(Fields!$K$2:$K$206,MATCH(H183-129,Fields!$D$2:$D$206,1)),""),"")</f>
        <v/>
      </c>
    </row>
    <row r="184">
      <c r="A184" t="n">
        <v>182</v>
      </c>
      <c r="B184" t="n">
        <v>1</v>
      </c>
      <c r="C184" t="inlineStr">
        <is>
          <t>No</t>
        </is>
      </c>
      <c r="D184">
        <f>IF(AND(B179=1,B180=1,B181=1,B182=1,B183=1),"Yes","")</f>
        <v/>
      </c>
      <c r="E184" t="inlineStr">
        <is>
          <t>No</t>
        </is>
      </c>
      <c r="F184" t="inlineStr">
        <is>
          <t>No</t>
        </is>
      </c>
      <c r="G184">
        <f>IF(F184="Yes",1-B184,B184)</f>
        <v/>
      </c>
      <c r="H184">
        <f>IF(E184="Yes","",COUNTIFS($E$2:E184,"No"))</f>
        <v/>
      </c>
      <c r="I184">
        <f>IF(H184="","",IF(H184&lt;=128,"address",IF(H184&lt;=600,"data1",IF(H184&lt;=1264,"zero-run1",IF(H184&lt;=1648,"data2",IF(H184&lt;=2176,"zero-run2",IF(H184&lt;=2192,"FCS","trailing")))))))</f>
        <v/>
      </c>
      <c r="J184">
        <f>IFERROR(IF(AND(H184&lt;&gt;"",H184&gt;=129,H184&lt;=2176),INDEX(Fields!$B$2:$B$206,MATCH(H184-129,Fields!$D$2:$D$206,1)),""),"")</f>
        <v/>
      </c>
      <c r="K184">
        <f>IFERROR(IF(AND(H184&lt;&gt;"",H184&gt;=129,H184&lt;=2176),INDEX(Fields!$C$2:$C$206,MATCH(H184-129,Fields!$D$2:$D$206,1)),""),"")</f>
        <v/>
      </c>
      <c r="L184">
        <f>IFERROR(IF(AND(H184&lt;&gt;"",H184&gt;=129,H184&lt;=2176),INDEX(Fields!$J$2:$J$206,MATCH(H184-129,Fields!$D$2:$D$206,1)),""),"")</f>
        <v/>
      </c>
      <c r="M184">
        <f>IFERROR(IF(AND(H184&lt;&gt;"",H184&gt;=129,H184&lt;=2176),INDEX(Fields!$K$2:$K$206,MATCH(H184-129,Fields!$D$2:$D$206,1)),""),"")</f>
        <v/>
      </c>
    </row>
    <row r="185">
      <c r="A185" t="n">
        <v>183</v>
      </c>
      <c r="B185" t="n">
        <v>1</v>
      </c>
      <c r="C185" t="inlineStr">
        <is>
          <t>No</t>
        </is>
      </c>
      <c r="D185">
        <f>IF(AND(B180=1,B181=1,B182=1,B183=1,B184=1),"Yes","")</f>
        <v/>
      </c>
      <c r="E185" t="inlineStr">
        <is>
          <t>No</t>
        </is>
      </c>
      <c r="F185" t="inlineStr">
        <is>
          <t>No</t>
        </is>
      </c>
      <c r="G185">
        <f>IF(F185="Yes",1-B185,B185)</f>
        <v/>
      </c>
      <c r="H185">
        <f>IF(E185="Yes","",COUNTIFS($E$2:E185,"No"))</f>
        <v/>
      </c>
      <c r="I185">
        <f>IF(H185="","",IF(H185&lt;=128,"address",IF(H185&lt;=600,"data1",IF(H185&lt;=1264,"zero-run1",IF(H185&lt;=1648,"data2",IF(H185&lt;=2176,"zero-run2",IF(H185&lt;=2192,"FCS","trailing")))))))</f>
        <v/>
      </c>
      <c r="J185">
        <f>IFERROR(IF(AND(H185&lt;&gt;"",H185&gt;=129,H185&lt;=2176),INDEX(Fields!$B$2:$B$206,MATCH(H185-129,Fields!$D$2:$D$206,1)),""),"")</f>
        <v/>
      </c>
      <c r="K185">
        <f>IFERROR(IF(AND(H185&lt;&gt;"",H185&gt;=129,H185&lt;=2176),INDEX(Fields!$C$2:$C$206,MATCH(H185-129,Fields!$D$2:$D$206,1)),""),"")</f>
        <v/>
      </c>
      <c r="L185">
        <f>IFERROR(IF(AND(H185&lt;&gt;"",H185&gt;=129,H185&lt;=2176),INDEX(Fields!$J$2:$J$206,MATCH(H185-129,Fields!$D$2:$D$206,1)),""),"")</f>
        <v/>
      </c>
      <c r="M185">
        <f>IFERROR(IF(AND(H185&lt;&gt;"",H185&gt;=129,H185&lt;=2176),INDEX(Fields!$K$2:$K$206,MATCH(H185-129,Fields!$D$2:$D$206,1)),""),"")</f>
        <v/>
      </c>
    </row>
    <row r="186">
      <c r="A186" t="n">
        <v>184</v>
      </c>
      <c r="B186" t="n">
        <v>0</v>
      </c>
      <c r="C186" t="inlineStr">
        <is>
          <t>No</t>
        </is>
      </c>
      <c r="D186">
        <f>IF(AND(B181=1,B182=1,B183=1,B184=1,B185=1),"Yes","")</f>
        <v/>
      </c>
      <c r="E186" t="inlineStr">
        <is>
          <t>No</t>
        </is>
      </c>
      <c r="F186" t="inlineStr">
        <is>
          <t>No</t>
        </is>
      </c>
      <c r="G186">
        <f>IF(F186="Yes",1-B186,B186)</f>
        <v/>
      </c>
      <c r="H186">
        <f>IF(E186="Yes","",COUNTIFS($E$2:E186,"No"))</f>
        <v/>
      </c>
      <c r="I186">
        <f>IF(H186="","",IF(H186&lt;=128,"address",IF(H186&lt;=600,"data1",IF(H186&lt;=1264,"zero-run1",IF(H186&lt;=1648,"data2",IF(H186&lt;=2176,"zero-run2",IF(H186&lt;=2192,"FCS","trailing")))))))</f>
        <v/>
      </c>
      <c r="J186">
        <f>IFERROR(IF(AND(H186&lt;&gt;"",H186&gt;=129,H186&lt;=2176),INDEX(Fields!$B$2:$B$206,MATCH(H186-129,Fields!$D$2:$D$206,1)),""),"")</f>
        <v/>
      </c>
      <c r="K186">
        <f>IFERROR(IF(AND(H186&lt;&gt;"",H186&gt;=129,H186&lt;=2176),INDEX(Fields!$C$2:$C$206,MATCH(H186-129,Fields!$D$2:$D$206,1)),""),"")</f>
        <v/>
      </c>
      <c r="L186">
        <f>IFERROR(IF(AND(H186&lt;&gt;"",H186&gt;=129,H186&lt;=2176),INDEX(Fields!$J$2:$J$206,MATCH(H186-129,Fields!$D$2:$D$206,1)),""),"")</f>
        <v/>
      </c>
      <c r="M186">
        <f>IFERROR(IF(AND(H186&lt;&gt;"",H186&gt;=129,H186&lt;=2176),INDEX(Fields!$K$2:$K$206,MATCH(H186-129,Fields!$D$2:$D$206,1)),""),"")</f>
        <v/>
      </c>
    </row>
    <row r="187">
      <c r="A187" t="n">
        <v>185</v>
      </c>
      <c r="B187" t="n">
        <v>1</v>
      </c>
      <c r="C187" t="inlineStr">
        <is>
          <t>No</t>
        </is>
      </c>
      <c r="D187">
        <f>IF(AND(B182=1,B183=1,B184=1,B185=1,B186=1),"Yes","")</f>
        <v/>
      </c>
      <c r="E187" t="inlineStr">
        <is>
          <t>No</t>
        </is>
      </c>
      <c r="F187" t="inlineStr">
        <is>
          <t>No</t>
        </is>
      </c>
      <c r="G187">
        <f>IF(F187="Yes",1-B187,B187)</f>
        <v/>
      </c>
      <c r="H187">
        <f>IF(E187="Yes","",COUNTIFS($E$2:E187,"No"))</f>
        <v/>
      </c>
      <c r="I187">
        <f>IF(H187="","",IF(H187&lt;=128,"address",IF(H187&lt;=600,"data1",IF(H187&lt;=1264,"zero-run1",IF(H187&lt;=1648,"data2",IF(H187&lt;=2176,"zero-run2",IF(H187&lt;=2192,"FCS","trailing")))))))</f>
        <v/>
      </c>
      <c r="J187">
        <f>IFERROR(IF(AND(H187&lt;&gt;"",H187&gt;=129,H187&lt;=2176),INDEX(Fields!$B$2:$B$206,MATCH(H187-129,Fields!$D$2:$D$206,1)),""),"")</f>
        <v/>
      </c>
      <c r="K187">
        <f>IFERROR(IF(AND(H187&lt;&gt;"",H187&gt;=129,H187&lt;=2176),INDEX(Fields!$C$2:$C$206,MATCH(H187-129,Fields!$D$2:$D$206,1)),""),"")</f>
        <v/>
      </c>
      <c r="L187">
        <f>IFERROR(IF(AND(H187&lt;&gt;"",H187&gt;=129,H187&lt;=2176),INDEX(Fields!$J$2:$J$206,MATCH(H187-129,Fields!$D$2:$D$206,1)),""),"")</f>
        <v/>
      </c>
      <c r="M187">
        <f>IFERROR(IF(AND(H187&lt;&gt;"",H187&gt;=129,H187&lt;=2176),INDEX(Fields!$K$2:$K$206,MATCH(H187-129,Fields!$D$2:$D$206,1)),""),"")</f>
        <v/>
      </c>
    </row>
    <row r="188">
      <c r="A188" t="n">
        <v>186</v>
      </c>
      <c r="B188" t="n">
        <v>1</v>
      </c>
      <c r="C188" t="inlineStr">
        <is>
          <t>No</t>
        </is>
      </c>
      <c r="D188">
        <f>IF(AND(B183=1,B184=1,B185=1,B186=1,B187=1),"Yes","")</f>
        <v/>
      </c>
      <c r="E188" t="inlineStr">
        <is>
          <t>No</t>
        </is>
      </c>
      <c r="F188" t="inlineStr">
        <is>
          <t>No</t>
        </is>
      </c>
      <c r="G188">
        <f>IF(F188="Yes",1-B188,B188)</f>
        <v/>
      </c>
      <c r="H188">
        <f>IF(E188="Yes","",COUNTIFS($E$2:E188,"No"))</f>
        <v/>
      </c>
      <c r="I188">
        <f>IF(H188="","",IF(H188&lt;=128,"address",IF(H188&lt;=600,"data1",IF(H188&lt;=1264,"zero-run1",IF(H188&lt;=1648,"data2",IF(H188&lt;=2176,"zero-run2",IF(H188&lt;=2192,"FCS","trailing")))))))</f>
        <v/>
      </c>
      <c r="J188">
        <f>IFERROR(IF(AND(H188&lt;&gt;"",H188&gt;=129,H188&lt;=2176),INDEX(Fields!$B$2:$B$206,MATCH(H188-129,Fields!$D$2:$D$206,1)),""),"")</f>
        <v/>
      </c>
      <c r="K188">
        <f>IFERROR(IF(AND(H188&lt;&gt;"",H188&gt;=129,H188&lt;=2176),INDEX(Fields!$C$2:$C$206,MATCH(H188-129,Fields!$D$2:$D$206,1)),""),"")</f>
        <v/>
      </c>
      <c r="L188">
        <f>IFERROR(IF(AND(H188&lt;&gt;"",H188&gt;=129,H188&lt;=2176),INDEX(Fields!$J$2:$J$206,MATCH(H188-129,Fields!$D$2:$D$206,1)),""),"")</f>
        <v/>
      </c>
      <c r="M188">
        <f>IFERROR(IF(AND(H188&lt;&gt;"",H188&gt;=129,H188&lt;=2176),INDEX(Fields!$K$2:$K$206,MATCH(H188-129,Fields!$D$2:$D$206,1)),""),"")</f>
        <v/>
      </c>
    </row>
    <row r="189">
      <c r="A189" t="n">
        <v>187</v>
      </c>
      <c r="B189" t="n">
        <v>1</v>
      </c>
      <c r="C189" t="inlineStr">
        <is>
          <t>No</t>
        </is>
      </c>
      <c r="D189">
        <f>IF(AND(B184=1,B185=1,B186=1,B187=1,B188=1),"Yes","")</f>
        <v/>
      </c>
      <c r="E189" t="inlineStr">
        <is>
          <t>No</t>
        </is>
      </c>
      <c r="F189" t="inlineStr">
        <is>
          <t>No</t>
        </is>
      </c>
      <c r="G189">
        <f>IF(F189="Yes",1-B189,B189)</f>
        <v/>
      </c>
      <c r="H189">
        <f>IF(E189="Yes","",COUNTIFS($E$2:E189,"No"))</f>
        <v/>
      </c>
      <c r="I189">
        <f>IF(H189="","",IF(H189&lt;=128,"address",IF(H189&lt;=600,"data1",IF(H189&lt;=1264,"zero-run1",IF(H189&lt;=1648,"data2",IF(H189&lt;=2176,"zero-run2",IF(H189&lt;=2192,"FCS","trailing")))))))</f>
        <v/>
      </c>
      <c r="J189">
        <f>IFERROR(IF(AND(H189&lt;&gt;"",H189&gt;=129,H189&lt;=2176),INDEX(Fields!$B$2:$B$206,MATCH(H189-129,Fields!$D$2:$D$206,1)),""),"")</f>
        <v/>
      </c>
      <c r="K189">
        <f>IFERROR(IF(AND(H189&lt;&gt;"",H189&gt;=129,H189&lt;=2176),INDEX(Fields!$C$2:$C$206,MATCH(H189-129,Fields!$D$2:$D$206,1)),""),"")</f>
        <v/>
      </c>
      <c r="L189">
        <f>IFERROR(IF(AND(H189&lt;&gt;"",H189&gt;=129,H189&lt;=2176),INDEX(Fields!$J$2:$J$206,MATCH(H189-129,Fields!$D$2:$D$206,1)),""),"")</f>
        <v/>
      </c>
      <c r="M189">
        <f>IFERROR(IF(AND(H189&lt;&gt;"",H189&gt;=129,H189&lt;=2176),INDEX(Fields!$K$2:$K$206,MATCH(H189-129,Fields!$D$2:$D$206,1)),""),"")</f>
        <v/>
      </c>
    </row>
    <row r="190">
      <c r="A190" t="n">
        <v>188</v>
      </c>
      <c r="B190" t="n">
        <v>1</v>
      </c>
      <c r="C190" t="inlineStr">
        <is>
          <t>No</t>
        </is>
      </c>
      <c r="D190">
        <f>IF(AND(B185=1,B186=1,B187=1,B188=1,B189=1),"Yes","")</f>
        <v/>
      </c>
      <c r="E190" t="inlineStr">
        <is>
          <t>No</t>
        </is>
      </c>
      <c r="F190" t="inlineStr">
        <is>
          <t>No</t>
        </is>
      </c>
      <c r="G190">
        <f>IF(F190="Yes",1-B190,B190)</f>
        <v/>
      </c>
      <c r="H190">
        <f>IF(E190="Yes","",COUNTIFS($E$2:E190,"No"))</f>
        <v/>
      </c>
      <c r="I190">
        <f>IF(H190="","",IF(H190&lt;=128,"address",IF(H190&lt;=600,"data1",IF(H190&lt;=1264,"zero-run1",IF(H190&lt;=1648,"data2",IF(H190&lt;=2176,"zero-run2",IF(H190&lt;=2192,"FCS","trailing")))))))</f>
        <v/>
      </c>
      <c r="J190">
        <f>IFERROR(IF(AND(H190&lt;&gt;"",H190&gt;=129,H190&lt;=2176),INDEX(Fields!$B$2:$B$206,MATCH(H190-129,Fields!$D$2:$D$206,1)),""),"")</f>
        <v/>
      </c>
      <c r="K190">
        <f>IFERROR(IF(AND(H190&lt;&gt;"",H190&gt;=129,H190&lt;=2176),INDEX(Fields!$C$2:$C$206,MATCH(H190-129,Fields!$D$2:$D$206,1)),""),"")</f>
        <v/>
      </c>
      <c r="L190">
        <f>IFERROR(IF(AND(H190&lt;&gt;"",H190&gt;=129,H190&lt;=2176),INDEX(Fields!$J$2:$J$206,MATCH(H190-129,Fields!$D$2:$D$206,1)),""),"")</f>
        <v/>
      </c>
      <c r="M190">
        <f>IFERROR(IF(AND(H190&lt;&gt;"",H190&gt;=129,H190&lt;=2176),INDEX(Fields!$K$2:$K$206,MATCH(H190-129,Fields!$D$2:$D$206,1)),""),"")</f>
        <v/>
      </c>
    </row>
    <row r="191">
      <c r="A191" t="n">
        <v>189</v>
      </c>
      <c r="B191" t="n">
        <v>1</v>
      </c>
      <c r="C191" t="inlineStr">
        <is>
          <t>No</t>
        </is>
      </c>
      <c r="D191">
        <f>IF(AND(B186=1,B187=1,B188=1,B189=1,B190=1),"Yes","")</f>
        <v/>
      </c>
      <c r="E191" t="inlineStr">
        <is>
          <t>No</t>
        </is>
      </c>
      <c r="F191" t="inlineStr">
        <is>
          <t>No</t>
        </is>
      </c>
      <c r="G191">
        <f>IF(F191="Yes",1-B191,B191)</f>
        <v/>
      </c>
      <c r="H191">
        <f>IF(E191="Yes","",COUNTIFS($E$2:E191,"No"))</f>
        <v/>
      </c>
      <c r="I191">
        <f>IF(H191="","",IF(H191&lt;=128,"address",IF(H191&lt;=600,"data1",IF(H191&lt;=1264,"zero-run1",IF(H191&lt;=1648,"data2",IF(H191&lt;=2176,"zero-run2",IF(H191&lt;=2192,"FCS","trailing")))))))</f>
        <v/>
      </c>
      <c r="J191">
        <f>IFERROR(IF(AND(H191&lt;&gt;"",H191&gt;=129,H191&lt;=2176),INDEX(Fields!$B$2:$B$206,MATCH(H191-129,Fields!$D$2:$D$206,1)),""),"")</f>
        <v/>
      </c>
      <c r="K191">
        <f>IFERROR(IF(AND(H191&lt;&gt;"",H191&gt;=129,H191&lt;=2176),INDEX(Fields!$C$2:$C$206,MATCH(H191-129,Fields!$D$2:$D$206,1)),""),"")</f>
        <v/>
      </c>
      <c r="L191">
        <f>IFERROR(IF(AND(H191&lt;&gt;"",H191&gt;=129,H191&lt;=2176),INDEX(Fields!$J$2:$J$206,MATCH(H191-129,Fields!$D$2:$D$206,1)),""),"")</f>
        <v/>
      </c>
      <c r="M191">
        <f>IFERROR(IF(AND(H191&lt;&gt;"",H191&gt;=129,H191&lt;=2176),INDEX(Fields!$K$2:$K$206,MATCH(H191-129,Fields!$D$2:$D$206,1)),""),"")</f>
        <v/>
      </c>
    </row>
    <row r="192">
      <c r="A192" t="n">
        <v>190</v>
      </c>
      <c r="B192" t="n">
        <v>0</v>
      </c>
      <c r="C192" t="inlineStr">
        <is>
          <t>No</t>
        </is>
      </c>
      <c r="D192" s="4">
        <f>IF(AND(B187=1,B188=1,B189=1,B190=1,B191=1),"Yes","")</f>
        <v/>
      </c>
      <c r="E192" t="inlineStr">
        <is>
          <t>No</t>
        </is>
      </c>
      <c r="F192" t="inlineStr">
        <is>
          <t>No</t>
        </is>
      </c>
      <c r="G192">
        <f>IF(F192="Yes",1-B192,B192)</f>
        <v/>
      </c>
      <c r="H192">
        <f>IF(E192="Yes","",COUNTIFS($E$2:E192,"No"))</f>
        <v/>
      </c>
      <c r="I192">
        <f>IF(H192="","",IF(H192&lt;=128,"address",IF(H192&lt;=600,"data1",IF(H192&lt;=1264,"zero-run1",IF(H192&lt;=1648,"data2",IF(H192&lt;=2176,"zero-run2",IF(H192&lt;=2192,"FCS","trailing")))))))</f>
        <v/>
      </c>
      <c r="J192">
        <f>IFERROR(IF(AND(H192&lt;&gt;"",H192&gt;=129,H192&lt;=2176),INDEX(Fields!$B$2:$B$206,MATCH(H192-129,Fields!$D$2:$D$206,1)),""),"")</f>
        <v/>
      </c>
      <c r="K192">
        <f>IFERROR(IF(AND(H192&lt;&gt;"",H192&gt;=129,H192&lt;=2176),INDEX(Fields!$C$2:$C$206,MATCH(H192-129,Fields!$D$2:$D$206,1)),""),"")</f>
        <v/>
      </c>
      <c r="L192">
        <f>IFERROR(IF(AND(H192&lt;&gt;"",H192&gt;=129,H192&lt;=2176),INDEX(Fields!$J$2:$J$206,MATCH(H192-129,Fields!$D$2:$D$206,1)),""),"")</f>
        <v/>
      </c>
      <c r="M192">
        <f>IFERROR(IF(AND(H192&lt;&gt;"",H192&gt;=129,H192&lt;=2176),INDEX(Fields!$K$2:$K$206,MATCH(H192-129,Fields!$D$2:$D$206,1)),""),"")</f>
        <v/>
      </c>
    </row>
    <row r="193">
      <c r="A193" t="n">
        <v>191</v>
      </c>
      <c r="B193" t="n">
        <v>1</v>
      </c>
      <c r="C193" t="inlineStr">
        <is>
          <t>No</t>
        </is>
      </c>
      <c r="D193">
        <f>IF(AND(B188=1,B189=1,B190=1,B191=1,B192=1),"Yes","")</f>
        <v/>
      </c>
      <c r="E193" t="inlineStr">
        <is>
          <t>No</t>
        </is>
      </c>
      <c r="F193" t="inlineStr">
        <is>
          <t>No</t>
        </is>
      </c>
      <c r="G193">
        <f>IF(F193="Yes",1-B193,B193)</f>
        <v/>
      </c>
      <c r="H193">
        <f>IF(E193="Yes","",COUNTIFS($E$2:E193,"No"))</f>
        <v/>
      </c>
      <c r="I193">
        <f>IF(H193="","",IF(H193&lt;=128,"address",IF(H193&lt;=600,"data1",IF(H193&lt;=1264,"zero-run1",IF(H193&lt;=1648,"data2",IF(H193&lt;=2176,"zero-run2",IF(H193&lt;=2192,"FCS","trailing")))))))</f>
        <v/>
      </c>
      <c r="J193">
        <f>IFERROR(IF(AND(H193&lt;&gt;"",H193&gt;=129,H193&lt;=2176),INDEX(Fields!$B$2:$B$206,MATCH(H193-129,Fields!$D$2:$D$206,1)),""),"")</f>
        <v/>
      </c>
      <c r="K193">
        <f>IFERROR(IF(AND(H193&lt;&gt;"",H193&gt;=129,H193&lt;=2176),INDEX(Fields!$C$2:$C$206,MATCH(H193-129,Fields!$D$2:$D$206,1)),""),"")</f>
        <v/>
      </c>
      <c r="L193">
        <f>IFERROR(IF(AND(H193&lt;&gt;"",H193&gt;=129,H193&lt;=2176),INDEX(Fields!$J$2:$J$206,MATCH(H193-129,Fields!$D$2:$D$206,1)),""),"")</f>
        <v/>
      </c>
      <c r="M193">
        <f>IFERROR(IF(AND(H193&lt;&gt;"",H193&gt;=129,H193&lt;=2176),INDEX(Fields!$K$2:$K$206,MATCH(H193-129,Fields!$D$2:$D$206,1)),""),"")</f>
        <v/>
      </c>
    </row>
    <row r="194">
      <c r="A194" t="n">
        <v>192</v>
      </c>
      <c r="B194" t="n">
        <v>1</v>
      </c>
      <c r="C194" t="inlineStr">
        <is>
          <t>No</t>
        </is>
      </c>
      <c r="D194">
        <f>IF(AND(B189=1,B190=1,B191=1,B192=1,B193=1),"Yes","")</f>
        <v/>
      </c>
      <c r="E194" t="inlineStr">
        <is>
          <t>No</t>
        </is>
      </c>
      <c r="F194" t="inlineStr">
        <is>
          <t>No</t>
        </is>
      </c>
      <c r="G194">
        <f>IF(F194="Yes",1-B194,B194)</f>
        <v/>
      </c>
      <c r="H194">
        <f>IF(E194="Yes","",COUNTIFS($E$2:E194,"No"))</f>
        <v/>
      </c>
      <c r="I194">
        <f>IF(H194="","",IF(H194&lt;=128,"address",IF(H194&lt;=600,"data1",IF(H194&lt;=1264,"zero-run1",IF(H194&lt;=1648,"data2",IF(H194&lt;=2176,"zero-run2",IF(H194&lt;=2192,"FCS","trailing")))))))</f>
        <v/>
      </c>
      <c r="J194">
        <f>IFERROR(IF(AND(H194&lt;&gt;"",H194&gt;=129,H194&lt;=2176),INDEX(Fields!$B$2:$B$206,MATCH(H194-129,Fields!$D$2:$D$206,1)),""),"")</f>
        <v/>
      </c>
      <c r="K194">
        <f>IFERROR(IF(AND(H194&lt;&gt;"",H194&gt;=129,H194&lt;=2176),INDEX(Fields!$C$2:$C$206,MATCH(H194-129,Fields!$D$2:$D$206,1)),""),"")</f>
        <v/>
      </c>
      <c r="L194">
        <f>IFERROR(IF(AND(H194&lt;&gt;"",H194&gt;=129,H194&lt;=2176),INDEX(Fields!$J$2:$J$206,MATCH(H194-129,Fields!$D$2:$D$206,1)),""),"")</f>
        <v/>
      </c>
      <c r="M194">
        <f>IFERROR(IF(AND(H194&lt;&gt;"",H194&gt;=129,H194&lt;=2176),INDEX(Fields!$K$2:$K$206,MATCH(H194-129,Fields!$D$2:$D$206,1)),""),"")</f>
        <v/>
      </c>
    </row>
    <row r="195">
      <c r="A195" t="n">
        <v>193</v>
      </c>
      <c r="B195" t="n">
        <v>1</v>
      </c>
      <c r="C195" t="inlineStr">
        <is>
          <t>No</t>
        </is>
      </c>
      <c r="D195">
        <f>IF(AND(B190=1,B191=1,B192=1,B193=1,B194=1),"Yes","")</f>
        <v/>
      </c>
      <c r="E195" t="inlineStr">
        <is>
          <t>No</t>
        </is>
      </c>
      <c r="F195" t="inlineStr">
        <is>
          <t>No</t>
        </is>
      </c>
      <c r="G195">
        <f>IF(F195="Yes",1-B195,B195)</f>
        <v/>
      </c>
      <c r="H195">
        <f>IF(E195="Yes","",COUNTIFS($E$2:E195,"No"))</f>
        <v/>
      </c>
      <c r="I195">
        <f>IF(H195="","",IF(H195&lt;=128,"address",IF(H195&lt;=600,"data1",IF(H195&lt;=1264,"zero-run1",IF(H195&lt;=1648,"data2",IF(H195&lt;=2176,"zero-run2",IF(H195&lt;=2192,"FCS","trailing")))))))</f>
        <v/>
      </c>
      <c r="J195">
        <f>IFERROR(IF(AND(H195&lt;&gt;"",H195&gt;=129,H195&lt;=2176),INDEX(Fields!$B$2:$B$206,MATCH(H195-129,Fields!$D$2:$D$206,1)),""),"")</f>
        <v/>
      </c>
      <c r="K195">
        <f>IFERROR(IF(AND(H195&lt;&gt;"",H195&gt;=129,H195&lt;=2176),INDEX(Fields!$C$2:$C$206,MATCH(H195-129,Fields!$D$2:$D$206,1)),""),"")</f>
        <v/>
      </c>
      <c r="L195">
        <f>IFERROR(IF(AND(H195&lt;&gt;"",H195&gt;=129,H195&lt;=2176),INDEX(Fields!$J$2:$J$206,MATCH(H195-129,Fields!$D$2:$D$206,1)),""),"")</f>
        <v/>
      </c>
      <c r="M195">
        <f>IFERROR(IF(AND(H195&lt;&gt;"",H195&gt;=129,H195&lt;=2176),INDEX(Fields!$K$2:$K$206,MATCH(H195-129,Fields!$D$2:$D$206,1)),""),"")</f>
        <v/>
      </c>
    </row>
    <row r="196">
      <c r="A196" t="n">
        <v>194</v>
      </c>
      <c r="B196" t="n">
        <v>0</v>
      </c>
      <c r="C196" t="inlineStr">
        <is>
          <t>No</t>
        </is>
      </c>
      <c r="D196">
        <f>IF(AND(B191=1,B192=1,B193=1,B194=1,B195=1),"Yes","")</f>
        <v/>
      </c>
      <c r="E196" t="inlineStr">
        <is>
          <t>No</t>
        </is>
      </c>
      <c r="F196" t="inlineStr">
        <is>
          <t>No</t>
        </is>
      </c>
      <c r="G196">
        <f>IF(F196="Yes",1-B196,B196)</f>
        <v/>
      </c>
      <c r="H196">
        <f>IF(E196="Yes","",COUNTIFS($E$2:E196,"No"))</f>
        <v/>
      </c>
      <c r="I196">
        <f>IF(H196="","",IF(H196&lt;=128,"address",IF(H196&lt;=600,"data1",IF(H196&lt;=1264,"zero-run1",IF(H196&lt;=1648,"data2",IF(H196&lt;=2176,"zero-run2",IF(H196&lt;=2192,"FCS","trailing")))))))</f>
        <v/>
      </c>
      <c r="J196">
        <f>IFERROR(IF(AND(H196&lt;&gt;"",H196&gt;=129,H196&lt;=2176),INDEX(Fields!$B$2:$B$206,MATCH(H196-129,Fields!$D$2:$D$206,1)),""),"")</f>
        <v/>
      </c>
      <c r="K196">
        <f>IFERROR(IF(AND(H196&lt;&gt;"",H196&gt;=129,H196&lt;=2176),INDEX(Fields!$C$2:$C$206,MATCH(H196-129,Fields!$D$2:$D$206,1)),""),"")</f>
        <v/>
      </c>
      <c r="L196">
        <f>IFERROR(IF(AND(H196&lt;&gt;"",H196&gt;=129,H196&lt;=2176),INDEX(Fields!$J$2:$J$206,MATCH(H196-129,Fields!$D$2:$D$206,1)),""),"")</f>
        <v/>
      </c>
      <c r="M196">
        <f>IFERROR(IF(AND(H196&lt;&gt;"",H196&gt;=129,H196&lt;=2176),INDEX(Fields!$K$2:$K$206,MATCH(H196-129,Fields!$D$2:$D$206,1)),""),"")</f>
        <v/>
      </c>
    </row>
    <row r="197">
      <c r="A197" t="n">
        <v>195</v>
      </c>
      <c r="B197" t="n">
        <v>1</v>
      </c>
      <c r="C197" t="inlineStr">
        <is>
          <t>No</t>
        </is>
      </c>
      <c r="D197">
        <f>IF(AND(B192=1,B193=1,B194=1,B195=1,B196=1),"Yes","")</f>
        <v/>
      </c>
      <c r="E197" t="inlineStr">
        <is>
          <t>No</t>
        </is>
      </c>
      <c r="F197" t="inlineStr">
        <is>
          <t>No</t>
        </is>
      </c>
      <c r="G197">
        <f>IF(F197="Yes",1-B197,B197)</f>
        <v/>
      </c>
      <c r="H197">
        <f>IF(E197="Yes","",COUNTIFS($E$2:E197,"No"))</f>
        <v/>
      </c>
      <c r="I197">
        <f>IF(H197="","",IF(H197&lt;=128,"address",IF(H197&lt;=600,"data1",IF(H197&lt;=1264,"zero-run1",IF(H197&lt;=1648,"data2",IF(H197&lt;=2176,"zero-run2",IF(H197&lt;=2192,"FCS","trailing")))))))</f>
        <v/>
      </c>
      <c r="J197">
        <f>IFERROR(IF(AND(H197&lt;&gt;"",H197&gt;=129,H197&lt;=2176),INDEX(Fields!$B$2:$B$206,MATCH(H197-129,Fields!$D$2:$D$206,1)),""),"")</f>
        <v/>
      </c>
      <c r="K197">
        <f>IFERROR(IF(AND(H197&lt;&gt;"",H197&gt;=129,H197&lt;=2176),INDEX(Fields!$C$2:$C$206,MATCH(H197-129,Fields!$D$2:$D$206,1)),""),"")</f>
        <v/>
      </c>
      <c r="L197">
        <f>IFERROR(IF(AND(H197&lt;&gt;"",H197&gt;=129,H197&lt;=2176),INDEX(Fields!$J$2:$J$206,MATCH(H197-129,Fields!$D$2:$D$206,1)),""),"")</f>
        <v/>
      </c>
      <c r="M197">
        <f>IFERROR(IF(AND(H197&lt;&gt;"",H197&gt;=129,H197&lt;=2176),INDEX(Fields!$K$2:$K$206,MATCH(H197-129,Fields!$D$2:$D$206,1)),""),"")</f>
        <v/>
      </c>
    </row>
    <row r="198">
      <c r="A198" t="n">
        <v>196</v>
      </c>
      <c r="B198" t="n">
        <v>0</v>
      </c>
      <c r="C198" t="inlineStr">
        <is>
          <t>No</t>
        </is>
      </c>
      <c r="D198">
        <f>IF(AND(B193=1,B194=1,B195=1,B196=1,B197=1),"Yes","")</f>
        <v/>
      </c>
      <c r="E198" t="inlineStr">
        <is>
          <t>No</t>
        </is>
      </c>
      <c r="F198" t="inlineStr">
        <is>
          <t>No</t>
        </is>
      </c>
      <c r="G198">
        <f>IF(F198="Yes",1-B198,B198)</f>
        <v/>
      </c>
      <c r="H198">
        <f>IF(E198="Yes","",COUNTIFS($E$2:E198,"No"))</f>
        <v/>
      </c>
      <c r="I198">
        <f>IF(H198="","",IF(H198&lt;=128,"address",IF(H198&lt;=600,"data1",IF(H198&lt;=1264,"zero-run1",IF(H198&lt;=1648,"data2",IF(H198&lt;=2176,"zero-run2",IF(H198&lt;=2192,"FCS","trailing")))))))</f>
        <v/>
      </c>
      <c r="J198">
        <f>IFERROR(IF(AND(H198&lt;&gt;"",H198&gt;=129,H198&lt;=2176),INDEX(Fields!$B$2:$B$206,MATCH(H198-129,Fields!$D$2:$D$206,1)),""),"")</f>
        <v/>
      </c>
      <c r="K198">
        <f>IFERROR(IF(AND(H198&lt;&gt;"",H198&gt;=129,H198&lt;=2176),INDEX(Fields!$C$2:$C$206,MATCH(H198-129,Fields!$D$2:$D$206,1)),""),"")</f>
        <v/>
      </c>
      <c r="L198">
        <f>IFERROR(IF(AND(H198&lt;&gt;"",H198&gt;=129,H198&lt;=2176),INDEX(Fields!$J$2:$J$206,MATCH(H198-129,Fields!$D$2:$D$206,1)),""),"")</f>
        <v/>
      </c>
      <c r="M198">
        <f>IFERROR(IF(AND(H198&lt;&gt;"",H198&gt;=129,H198&lt;=2176),INDEX(Fields!$K$2:$K$206,MATCH(H198-129,Fields!$D$2:$D$206,1)),""),"")</f>
        <v/>
      </c>
    </row>
    <row r="199">
      <c r="A199" t="n">
        <v>197</v>
      </c>
      <c r="B199" t="n">
        <v>0</v>
      </c>
      <c r="C199" t="inlineStr">
        <is>
          <t>No</t>
        </is>
      </c>
      <c r="D199">
        <f>IF(AND(B194=1,B195=1,B196=1,B197=1,B198=1),"Yes","")</f>
        <v/>
      </c>
      <c r="E199" t="inlineStr">
        <is>
          <t>No</t>
        </is>
      </c>
      <c r="F199" t="inlineStr">
        <is>
          <t>No</t>
        </is>
      </c>
      <c r="G199">
        <f>IF(F199="Yes",1-B199,B199)</f>
        <v/>
      </c>
      <c r="H199">
        <f>IF(E199="Yes","",COUNTIFS($E$2:E199,"No"))</f>
        <v/>
      </c>
      <c r="I199">
        <f>IF(H199="","",IF(H199&lt;=128,"address",IF(H199&lt;=600,"data1",IF(H199&lt;=1264,"zero-run1",IF(H199&lt;=1648,"data2",IF(H199&lt;=2176,"zero-run2",IF(H199&lt;=2192,"FCS","trailing")))))))</f>
        <v/>
      </c>
      <c r="J199">
        <f>IFERROR(IF(AND(H199&lt;&gt;"",H199&gt;=129,H199&lt;=2176),INDEX(Fields!$B$2:$B$206,MATCH(H199-129,Fields!$D$2:$D$206,1)),""),"")</f>
        <v/>
      </c>
      <c r="K199">
        <f>IFERROR(IF(AND(H199&lt;&gt;"",H199&gt;=129,H199&lt;=2176),INDEX(Fields!$C$2:$C$206,MATCH(H199-129,Fields!$D$2:$D$206,1)),""),"")</f>
        <v/>
      </c>
      <c r="L199">
        <f>IFERROR(IF(AND(H199&lt;&gt;"",H199&gt;=129,H199&lt;=2176),INDEX(Fields!$J$2:$J$206,MATCH(H199-129,Fields!$D$2:$D$206,1)),""),"")</f>
        <v/>
      </c>
      <c r="M199">
        <f>IFERROR(IF(AND(H199&lt;&gt;"",H199&gt;=129,H199&lt;=2176),INDEX(Fields!$K$2:$K$206,MATCH(H199-129,Fields!$D$2:$D$206,1)),""),"")</f>
        <v/>
      </c>
    </row>
    <row r="200">
      <c r="A200" t="n">
        <v>198</v>
      </c>
      <c r="B200" t="n">
        <v>0</v>
      </c>
      <c r="C200" t="inlineStr">
        <is>
          <t>No</t>
        </is>
      </c>
      <c r="D200">
        <f>IF(AND(B195=1,B196=1,B197=1,B198=1,B199=1),"Yes","")</f>
        <v/>
      </c>
      <c r="E200" t="inlineStr">
        <is>
          <t>No</t>
        </is>
      </c>
      <c r="F200" t="inlineStr">
        <is>
          <t>No</t>
        </is>
      </c>
      <c r="G200">
        <f>IF(F200="Yes",1-B200,B200)</f>
        <v/>
      </c>
      <c r="H200">
        <f>IF(E200="Yes","",COUNTIFS($E$2:E200,"No"))</f>
        <v/>
      </c>
      <c r="I200">
        <f>IF(H200="","",IF(H200&lt;=128,"address",IF(H200&lt;=600,"data1",IF(H200&lt;=1264,"zero-run1",IF(H200&lt;=1648,"data2",IF(H200&lt;=2176,"zero-run2",IF(H200&lt;=2192,"FCS","trailing")))))))</f>
        <v/>
      </c>
      <c r="J200">
        <f>IFERROR(IF(AND(H200&lt;&gt;"",H200&gt;=129,H200&lt;=2176),INDEX(Fields!$B$2:$B$206,MATCH(H200-129,Fields!$D$2:$D$206,1)),""),"")</f>
        <v/>
      </c>
      <c r="K200">
        <f>IFERROR(IF(AND(H200&lt;&gt;"",H200&gt;=129,H200&lt;=2176),INDEX(Fields!$C$2:$C$206,MATCH(H200-129,Fields!$D$2:$D$206,1)),""),"")</f>
        <v/>
      </c>
      <c r="L200">
        <f>IFERROR(IF(AND(H200&lt;&gt;"",H200&gt;=129,H200&lt;=2176),INDEX(Fields!$J$2:$J$206,MATCH(H200-129,Fields!$D$2:$D$206,1)),""),"")</f>
        <v/>
      </c>
      <c r="M200">
        <f>IFERROR(IF(AND(H200&lt;&gt;"",H200&gt;=129,H200&lt;=2176),INDEX(Fields!$K$2:$K$206,MATCH(H200-129,Fields!$D$2:$D$206,1)),""),"")</f>
        <v/>
      </c>
    </row>
    <row r="201">
      <c r="A201" t="n">
        <v>199</v>
      </c>
      <c r="B201" t="n">
        <v>0</v>
      </c>
      <c r="C201" t="inlineStr">
        <is>
          <t>No</t>
        </is>
      </c>
      <c r="D201">
        <f>IF(AND(B196=1,B197=1,B198=1,B199=1,B200=1),"Yes","")</f>
        <v/>
      </c>
      <c r="E201" t="inlineStr">
        <is>
          <t>No</t>
        </is>
      </c>
      <c r="F201" t="inlineStr">
        <is>
          <t>No</t>
        </is>
      </c>
      <c r="G201">
        <f>IF(F201="Yes",1-B201,B201)</f>
        <v/>
      </c>
      <c r="H201">
        <f>IF(E201="Yes","",COUNTIFS($E$2:E201,"No"))</f>
        <v/>
      </c>
      <c r="I201">
        <f>IF(H201="","",IF(H201&lt;=128,"address",IF(H201&lt;=600,"data1",IF(H201&lt;=1264,"zero-run1",IF(H201&lt;=1648,"data2",IF(H201&lt;=2176,"zero-run2",IF(H201&lt;=2192,"FCS","trailing")))))))</f>
        <v/>
      </c>
      <c r="J201">
        <f>IFERROR(IF(AND(H201&lt;&gt;"",H201&gt;=129,H201&lt;=2176),INDEX(Fields!$B$2:$B$206,MATCH(H201-129,Fields!$D$2:$D$206,1)),""),"")</f>
        <v/>
      </c>
      <c r="K201">
        <f>IFERROR(IF(AND(H201&lt;&gt;"",H201&gt;=129,H201&lt;=2176),INDEX(Fields!$C$2:$C$206,MATCH(H201-129,Fields!$D$2:$D$206,1)),""),"")</f>
        <v/>
      </c>
      <c r="L201">
        <f>IFERROR(IF(AND(H201&lt;&gt;"",H201&gt;=129,H201&lt;=2176),INDEX(Fields!$J$2:$J$206,MATCH(H201-129,Fields!$D$2:$D$206,1)),""),"")</f>
        <v/>
      </c>
      <c r="M201">
        <f>IFERROR(IF(AND(H201&lt;&gt;"",H201&gt;=129,H201&lt;=2176),INDEX(Fields!$K$2:$K$206,MATCH(H201-129,Fields!$D$2:$D$206,1)),""),"")</f>
        <v/>
      </c>
    </row>
    <row r="202">
      <c r="A202" t="n">
        <v>200</v>
      </c>
      <c r="B202" t="n">
        <v>0</v>
      </c>
      <c r="C202" t="inlineStr">
        <is>
          <t>No</t>
        </is>
      </c>
      <c r="D202">
        <f>IF(AND(B197=1,B198=1,B199=1,B200=1,B201=1),"Yes","")</f>
        <v/>
      </c>
      <c r="E202" t="inlineStr">
        <is>
          <t>No</t>
        </is>
      </c>
      <c r="F202" t="inlineStr">
        <is>
          <t>No</t>
        </is>
      </c>
      <c r="G202">
        <f>IF(F202="Yes",1-B202,B202)</f>
        <v/>
      </c>
      <c r="H202">
        <f>IF(E202="Yes","",COUNTIFS($E$2:E202,"No"))</f>
        <v/>
      </c>
      <c r="I202">
        <f>IF(H202="","",IF(H202&lt;=128,"address",IF(H202&lt;=600,"data1",IF(H202&lt;=1264,"zero-run1",IF(H202&lt;=1648,"data2",IF(H202&lt;=2176,"zero-run2",IF(H202&lt;=2192,"FCS","trailing")))))))</f>
        <v/>
      </c>
      <c r="J202">
        <f>IFERROR(IF(AND(H202&lt;&gt;"",H202&gt;=129,H202&lt;=2176),INDEX(Fields!$B$2:$B$206,MATCH(H202-129,Fields!$D$2:$D$206,1)),""),"")</f>
        <v/>
      </c>
      <c r="K202">
        <f>IFERROR(IF(AND(H202&lt;&gt;"",H202&gt;=129,H202&lt;=2176),INDEX(Fields!$C$2:$C$206,MATCH(H202-129,Fields!$D$2:$D$206,1)),""),"")</f>
        <v/>
      </c>
      <c r="L202">
        <f>IFERROR(IF(AND(H202&lt;&gt;"",H202&gt;=129,H202&lt;=2176),INDEX(Fields!$J$2:$J$206,MATCH(H202-129,Fields!$D$2:$D$206,1)),""),"")</f>
        <v/>
      </c>
      <c r="M202">
        <f>IFERROR(IF(AND(H202&lt;&gt;"",H202&gt;=129,H202&lt;=2176),INDEX(Fields!$K$2:$K$206,MATCH(H202-129,Fields!$D$2:$D$206,1)),""),"")</f>
        <v/>
      </c>
    </row>
    <row r="203">
      <c r="A203" t="n">
        <v>201</v>
      </c>
      <c r="B203" t="n">
        <v>0</v>
      </c>
      <c r="C203" t="inlineStr">
        <is>
          <t>No</t>
        </is>
      </c>
      <c r="D203">
        <f>IF(AND(B198=1,B199=1,B200=1,B201=1,B202=1),"Yes","")</f>
        <v/>
      </c>
      <c r="E203" t="inlineStr">
        <is>
          <t>No</t>
        </is>
      </c>
      <c r="F203" t="inlineStr">
        <is>
          <t>No</t>
        </is>
      </c>
      <c r="G203">
        <f>IF(F203="Yes",1-B203,B203)</f>
        <v/>
      </c>
      <c r="H203">
        <f>IF(E203="Yes","",COUNTIFS($E$2:E203,"No"))</f>
        <v/>
      </c>
      <c r="I203">
        <f>IF(H203="","",IF(H203&lt;=128,"address",IF(H203&lt;=600,"data1",IF(H203&lt;=1264,"zero-run1",IF(H203&lt;=1648,"data2",IF(H203&lt;=2176,"zero-run2",IF(H203&lt;=2192,"FCS","trailing")))))))</f>
        <v/>
      </c>
      <c r="J203">
        <f>IFERROR(IF(AND(H203&lt;&gt;"",H203&gt;=129,H203&lt;=2176),INDEX(Fields!$B$2:$B$206,MATCH(H203-129,Fields!$D$2:$D$206,1)),""),"")</f>
        <v/>
      </c>
      <c r="K203">
        <f>IFERROR(IF(AND(H203&lt;&gt;"",H203&gt;=129,H203&lt;=2176),INDEX(Fields!$C$2:$C$206,MATCH(H203-129,Fields!$D$2:$D$206,1)),""),"")</f>
        <v/>
      </c>
      <c r="L203">
        <f>IFERROR(IF(AND(H203&lt;&gt;"",H203&gt;=129,H203&lt;=2176),INDEX(Fields!$J$2:$J$206,MATCH(H203-129,Fields!$D$2:$D$206,1)),""),"")</f>
        <v/>
      </c>
      <c r="M203">
        <f>IFERROR(IF(AND(H203&lt;&gt;"",H203&gt;=129,H203&lt;=2176),INDEX(Fields!$K$2:$K$206,MATCH(H203-129,Fields!$D$2:$D$206,1)),""),"")</f>
        <v/>
      </c>
    </row>
    <row r="204">
      <c r="A204" t="n">
        <v>202</v>
      </c>
      <c r="B204" t="n">
        <v>1</v>
      </c>
      <c r="C204" t="inlineStr">
        <is>
          <t>No</t>
        </is>
      </c>
      <c r="D204">
        <f>IF(AND(B199=1,B200=1,B201=1,B202=1,B203=1),"Yes","")</f>
        <v/>
      </c>
      <c r="E204" t="inlineStr">
        <is>
          <t>No</t>
        </is>
      </c>
      <c r="F204" t="inlineStr">
        <is>
          <t>No</t>
        </is>
      </c>
      <c r="G204">
        <f>IF(F204="Yes",1-B204,B204)</f>
        <v/>
      </c>
      <c r="H204">
        <f>IF(E204="Yes","",COUNTIFS($E$2:E204,"No"))</f>
        <v/>
      </c>
      <c r="I204">
        <f>IF(H204="","",IF(H204&lt;=128,"address",IF(H204&lt;=600,"data1",IF(H204&lt;=1264,"zero-run1",IF(H204&lt;=1648,"data2",IF(H204&lt;=2176,"zero-run2",IF(H204&lt;=2192,"FCS","trailing")))))))</f>
        <v/>
      </c>
      <c r="J204">
        <f>IFERROR(IF(AND(H204&lt;&gt;"",H204&gt;=129,H204&lt;=2176),INDEX(Fields!$B$2:$B$206,MATCH(H204-129,Fields!$D$2:$D$206,1)),""),"")</f>
        <v/>
      </c>
      <c r="K204">
        <f>IFERROR(IF(AND(H204&lt;&gt;"",H204&gt;=129,H204&lt;=2176),INDEX(Fields!$C$2:$C$206,MATCH(H204-129,Fields!$D$2:$D$206,1)),""),"")</f>
        <v/>
      </c>
      <c r="L204">
        <f>IFERROR(IF(AND(H204&lt;&gt;"",H204&gt;=129,H204&lt;=2176),INDEX(Fields!$J$2:$J$206,MATCH(H204-129,Fields!$D$2:$D$206,1)),""),"")</f>
        <v/>
      </c>
      <c r="M204">
        <f>IFERROR(IF(AND(H204&lt;&gt;"",H204&gt;=129,H204&lt;=2176),INDEX(Fields!$K$2:$K$206,MATCH(H204-129,Fields!$D$2:$D$206,1)),""),"")</f>
        <v/>
      </c>
    </row>
    <row r="205">
      <c r="A205" t="n">
        <v>203</v>
      </c>
      <c r="B205" t="n">
        <v>0</v>
      </c>
      <c r="C205" t="inlineStr">
        <is>
          <t>No</t>
        </is>
      </c>
      <c r="D205">
        <f>IF(AND(B200=1,B201=1,B202=1,B203=1,B204=1),"Yes","")</f>
        <v/>
      </c>
      <c r="E205" t="inlineStr">
        <is>
          <t>No</t>
        </is>
      </c>
      <c r="F205" t="inlineStr">
        <is>
          <t>No</t>
        </is>
      </c>
      <c r="G205">
        <f>IF(F205="Yes",1-B205,B205)</f>
        <v/>
      </c>
      <c r="H205">
        <f>IF(E205="Yes","",COUNTIFS($E$2:E205,"No"))</f>
        <v/>
      </c>
      <c r="I205">
        <f>IF(H205="","",IF(H205&lt;=128,"address",IF(H205&lt;=600,"data1",IF(H205&lt;=1264,"zero-run1",IF(H205&lt;=1648,"data2",IF(H205&lt;=2176,"zero-run2",IF(H205&lt;=2192,"FCS","trailing")))))))</f>
        <v/>
      </c>
      <c r="J205">
        <f>IFERROR(IF(AND(H205&lt;&gt;"",H205&gt;=129,H205&lt;=2176),INDEX(Fields!$B$2:$B$206,MATCH(H205-129,Fields!$D$2:$D$206,1)),""),"")</f>
        <v/>
      </c>
      <c r="K205">
        <f>IFERROR(IF(AND(H205&lt;&gt;"",H205&gt;=129,H205&lt;=2176),INDEX(Fields!$C$2:$C$206,MATCH(H205-129,Fields!$D$2:$D$206,1)),""),"")</f>
        <v/>
      </c>
      <c r="L205">
        <f>IFERROR(IF(AND(H205&lt;&gt;"",H205&gt;=129,H205&lt;=2176),INDEX(Fields!$J$2:$J$206,MATCH(H205-129,Fields!$D$2:$D$206,1)),""),"")</f>
        <v/>
      </c>
      <c r="M205">
        <f>IFERROR(IF(AND(H205&lt;&gt;"",H205&gt;=129,H205&lt;=2176),INDEX(Fields!$K$2:$K$206,MATCH(H205-129,Fields!$D$2:$D$206,1)),""),"")</f>
        <v/>
      </c>
    </row>
    <row r="206">
      <c r="A206" t="n">
        <v>204</v>
      </c>
      <c r="B206" t="n">
        <v>0</v>
      </c>
      <c r="C206" t="inlineStr">
        <is>
          <t>No</t>
        </is>
      </c>
      <c r="D206">
        <f>IF(AND(B201=1,B202=1,B203=1,B204=1,B205=1),"Yes","")</f>
        <v/>
      </c>
      <c r="E206" t="inlineStr">
        <is>
          <t>No</t>
        </is>
      </c>
      <c r="F206" t="inlineStr">
        <is>
          <t>No</t>
        </is>
      </c>
      <c r="G206">
        <f>IF(F206="Yes",1-B206,B206)</f>
        <v/>
      </c>
      <c r="H206">
        <f>IF(E206="Yes","",COUNTIFS($E$2:E206,"No"))</f>
        <v/>
      </c>
      <c r="I206">
        <f>IF(H206="","",IF(H206&lt;=128,"address",IF(H206&lt;=600,"data1",IF(H206&lt;=1264,"zero-run1",IF(H206&lt;=1648,"data2",IF(H206&lt;=2176,"zero-run2",IF(H206&lt;=2192,"FCS","trailing")))))))</f>
        <v/>
      </c>
      <c r="J206">
        <f>IFERROR(IF(AND(H206&lt;&gt;"",H206&gt;=129,H206&lt;=2176),INDEX(Fields!$B$2:$B$206,MATCH(H206-129,Fields!$D$2:$D$206,1)),""),"")</f>
        <v/>
      </c>
      <c r="K206">
        <f>IFERROR(IF(AND(H206&lt;&gt;"",H206&gt;=129,H206&lt;=2176),INDEX(Fields!$C$2:$C$206,MATCH(H206-129,Fields!$D$2:$D$206,1)),""),"")</f>
        <v/>
      </c>
      <c r="L206">
        <f>IFERROR(IF(AND(H206&lt;&gt;"",H206&gt;=129,H206&lt;=2176),INDEX(Fields!$J$2:$J$206,MATCH(H206-129,Fields!$D$2:$D$206,1)),""),"")</f>
        <v/>
      </c>
      <c r="M206">
        <f>IFERROR(IF(AND(H206&lt;&gt;"",H206&gt;=129,H206&lt;=2176),INDEX(Fields!$K$2:$K$206,MATCH(H206-129,Fields!$D$2:$D$206,1)),""),"")</f>
        <v/>
      </c>
    </row>
    <row r="207">
      <c r="A207" t="n">
        <v>205</v>
      </c>
      <c r="B207" t="n">
        <v>0</v>
      </c>
      <c r="C207" t="inlineStr">
        <is>
          <t>No</t>
        </is>
      </c>
      <c r="D207">
        <f>IF(AND(B202=1,B203=1,B204=1,B205=1,B206=1),"Yes","")</f>
        <v/>
      </c>
      <c r="E207" t="inlineStr">
        <is>
          <t>No</t>
        </is>
      </c>
      <c r="F207" t="inlineStr">
        <is>
          <t>No</t>
        </is>
      </c>
      <c r="G207">
        <f>IF(F207="Yes",1-B207,B207)</f>
        <v/>
      </c>
      <c r="H207">
        <f>IF(E207="Yes","",COUNTIFS($E$2:E207,"No"))</f>
        <v/>
      </c>
      <c r="I207">
        <f>IF(H207="","",IF(H207&lt;=128,"address",IF(H207&lt;=600,"data1",IF(H207&lt;=1264,"zero-run1",IF(H207&lt;=1648,"data2",IF(H207&lt;=2176,"zero-run2",IF(H207&lt;=2192,"FCS","trailing")))))))</f>
        <v/>
      </c>
      <c r="J207">
        <f>IFERROR(IF(AND(H207&lt;&gt;"",H207&gt;=129,H207&lt;=2176),INDEX(Fields!$B$2:$B$206,MATCH(H207-129,Fields!$D$2:$D$206,1)),""),"")</f>
        <v/>
      </c>
      <c r="K207">
        <f>IFERROR(IF(AND(H207&lt;&gt;"",H207&gt;=129,H207&lt;=2176),INDEX(Fields!$C$2:$C$206,MATCH(H207-129,Fields!$D$2:$D$206,1)),""),"")</f>
        <v/>
      </c>
      <c r="L207">
        <f>IFERROR(IF(AND(H207&lt;&gt;"",H207&gt;=129,H207&lt;=2176),INDEX(Fields!$J$2:$J$206,MATCH(H207-129,Fields!$D$2:$D$206,1)),""),"")</f>
        <v/>
      </c>
      <c r="M207">
        <f>IFERROR(IF(AND(H207&lt;&gt;"",H207&gt;=129,H207&lt;=2176),INDEX(Fields!$K$2:$K$206,MATCH(H207-129,Fields!$D$2:$D$206,1)),""),"")</f>
        <v/>
      </c>
    </row>
    <row r="208">
      <c r="A208" t="n">
        <v>206</v>
      </c>
      <c r="B208" t="n">
        <v>0</v>
      </c>
      <c r="C208" t="inlineStr">
        <is>
          <t>No</t>
        </is>
      </c>
      <c r="D208">
        <f>IF(AND(B203=1,B204=1,B205=1,B206=1,B207=1),"Yes","")</f>
        <v/>
      </c>
      <c r="E208" t="inlineStr">
        <is>
          <t>No</t>
        </is>
      </c>
      <c r="F208" t="inlineStr">
        <is>
          <t>No</t>
        </is>
      </c>
      <c r="G208">
        <f>IF(F208="Yes",1-B208,B208)</f>
        <v/>
      </c>
      <c r="H208">
        <f>IF(E208="Yes","",COUNTIFS($E$2:E208,"No"))</f>
        <v/>
      </c>
      <c r="I208">
        <f>IF(H208="","",IF(H208&lt;=128,"address",IF(H208&lt;=600,"data1",IF(H208&lt;=1264,"zero-run1",IF(H208&lt;=1648,"data2",IF(H208&lt;=2176,"zero-run2",IF(H208&lt;=2192,"FCS","trailing")))))))</f>
        <v/>
      </c>
      <c r="J208">
        <f>IFERROR(IF(AND(H208&lt;&gt;"",H208&gt;=129,H208&lt;=2176),INDEX(Fields!$B$2:$B$206,MATCH(H208-129,Fields!$D$2:$D$206,1)),""),"")</f>
        <v/>
      </c>
      <c r="K208">
        <f>IFERROR(IF(AND(H208&lt;&gt;"",H208&gt;=129,H208&lt;=2176),INDEX(Fields!$C$2:$C$206,MATCH(H208-129,Fields!$D$2:$D$206,1)),""),"")</f>
        <v/>
      </c>
      <c r="L208">
        <f>IFERROR(IF(AND(H208&lt;&gt;"",H208&gt;=129,H208&lt;=2176),INDEX(Fields!$J$2:$J$206,MATCH(H208-129,Fields!$D$2:$D$206,1)),""),"")</f>
        <v/>
      </c>
      <c r="M208">
        <f>IFERROR(IF(AND(H208&lt;&gt;"",H208&gt;=129,H208&lt;=2176),INDEX(Fields!$K$2:$K$206,MATCH(H208-129,Fields!$D$2:$D$206,1)),""),"")</f>
        <v/>
      </c>
    </row>
    <row r="209">
      <c r="A209" t="n">
        <v>207</v>
      </c>
      <c r="B209" t="n">
        <v>0</v>
      </c>
      <c r="C209" t="inlineStr">
        <is>
          <t>No</t>
        </is>
      </c>
      <c r="D209">
        <f>IF(AND(B204=1,B205=1,B206=1,B207=1,B208=1),"Yes","")</f>
        <v/>
      </c>
      <c r="E209" t="inlineStr">
        <is>
          <t>No</t>
        </is>
      </c>
      <c r="F209" t="inlineStr">
        <is>
          <t>No</t>
        </is>
      </c>
      <c r="G209">
        <f>IF(F209="Yes",1-B209,B209)</f>
        <v/>
      </c>
      <c r="H209">
        <f>IF(E209="Yes","",COUNTIFS($E$2:E209,"No"))</f>
        <v/>
      </c>
      <c r="I209">
        <f>IF(H209="","",IF(H209&lt;=128,"address",IF(H209&lt;=600,"data1",IF(H209&lt;=1264,"zero-run1",IF(H209&lt;=1648,"data2",IF(H209&lt;=2176,"zero-run2",IF(H209&lt;=2192,"FCS","trailing")))))))</f>
        <v/>
      </c>
      <c r="J209">
        <f>IFERROR(IF(AND(H209&lt;&gt;"",H209&gt;=129,H209&lt;=2176),INDEX(Fields!$B$2:$B$206,MATCH(H209-129,Fields!$D$2:$D$206,1)),""),"")</f>
        <v/>
      </c>
      <c r="K209">
        <f>IFERROR(IF(AND(H209&lt;&gt;"",H209&gt;=129,H209&lt;=2176),INDEX(Fields!$C$2:$C$206,MATCH(H209-129,Fields!$D$2:$D$206,1)),""),"")</f>
        <v/>
      </c>
      <c r="L209">
        <f>IFERROR(IF(AND(H209&lt;&gt;"",H209&gt;=129,H209&lt;=2176),INDEX(Fields!$J$2:$J$206,MATCH(H209-129,Fields!$D$2:$D$206,1)),""),"")</f>
        <v/>
      </c>
      <c r="M209">
        <f>IFERROR(IF(AND(H209&lt;&gt;"",H209&gt;=129,H209&lt;=2176),INDEX(Fields!$K$2:$K$206,MATCH(H209-129,Fields!$D$2:$D$206,1)),""),"")</f>
        <v/>
      </c>
    </row>
    <row r="210">
      <c r="A210" t="n">
        <v>208</v>
      </c>
      <c r="B210" t="n">
        <v>0</v>
      </c>
      <c r="C210" t="inlineStr">
        <is>
          <t>No</t>
        </is>
      </c>
      <c r="D210">
        <f>IF(AND(B205=1,B206=1,B207=1,B208=1,B209=1),"Yes","")</f>
        <v/>
      </c>
      <c r="E210" t="inlineStr">
        <is>
          <t>No</t>
        </is>
      </c>
      <c r="F210" t="inlineStr">
        <is>
          <t>No</t>
        </is>
      </c>
      <c r="G210">
        <f>IF(F210="Yes",1-B210,B210)</f>
        <v/>
      </c>
      <c r="H210">
        <f>IF(E210="Yes","",COUNTIFS($E$2:E210,"No"))</f>
        <v/>
      </c>
      <c r="I210">
        <f>IF(H210="","",IF(H210&lt;=128,"address",IF(H210&lt;=600,"data1",IF(H210&lt;=1264,"zero-run1",IF(H210&lt;=1648,"data2",IF(H210&lt;=2176,"zero-run2",IF(H210&lt;=2192,"FCS","trailing")))))))</f>
        <v/>
      </c>
      <c r="J210">
        <f>IFERROR(IF(AND(H210&lt;&gt;"",H210&gt;=129,H210&lt;=2176),INDEX(Fields!$B$2:$B$206,MATCH(H210-129,Fields!$D$2:$D$206,1)),""),"")</f>
        <v/>
      </c>
      <c r="K210">
        <f>IFERROR(IF(AND(H210&lt;&gt;"",H210&gt;=129,H210&lt;=2176),INDEX(Fields!$C$2:$C$206,MATCH(H210-129,Fields!$D$2:$D$206,1)),""),"")</f>
        <v/>
      </c>
      <c r="L210">
        <f>IFERROR(IF(AND(H210&lt;&gt;"",H210&gt;=129,H210&lt;=2176),INDEX(Fields!$J$2:$J$206,MATCH(H210-129,Fields!$D$2:$D$206,1)),""),"")</f>
        <v/>
      </c>
      <c r="M210">
        <f>IFERROR(IF(AND(H210&lt;&gt;"",H210&gt;=129,H210&lt;=2176),INDEX(Fields!$K$2:$K$206,MATCH(H210-129,Fields!$D$2:$D$206,1)),""),"")</f>
        <v/>
      </c>
    </row>
    <row r="211">
      <c r="A211" t="n">
        <v>209</v>
      </c>
      <c r="B211" t="n">
        <v>0</v>
      </c>
      <c r="C211" t="inlineStr">
        <is>
          <t>No</t>
        </is>
      </c>
      <c r="D211">
        <f>IF(AND(B206=1,B207=1,B208=1,B209=1,B210=1),"Yes","")</f>
        <v/>
      </c>
      <c r="E211" t="inlineStr">
        <is>
          <t>No</t>
        </is>
      </c>
      <c r="F211" t="inlineStr">
        <is>
          <t>No</t>
        </is>
      </c>
      <c r="G211">
        <f>IF(F211="Yes",1-B211,B211)</f>
        <v/>
      </c>
      <c r="H211">
        <f>IF(E211="Yes","",COUNTIFS($E$2:E211,"No"))</f>
        <v/>
      </c>
      <c r="I211">
        <f>IF(H211="","",IF(H211&lt;=128,"address",IF(H211&lt;=600,"data1",IF(H211&lt;=1264,"zero-run1",IF(H211&lt;=1648,"data2",IF(H211&lt;=2176,"zero-run2",IF(H211&lt;=2192,"FCS","trailing")))))))</f>
        <v/>
      </c>
      <c r="J211">
        <f>IFERROR(IF(AND(H211&lt;&gt;"",H211&gt;=129,H211&lt;=2176),INDEX(Fields!$B$2:$B$206,MATCH(H211-129,Fields!$D$2:$D$206,1)),""),"")</f>
        <v/>
      </c>
      <c r="K211">
        <f>IFERROR(IF(AND(H211&lt;&gt;"",H211&gt;=129,H211&lt;=2176),INDEX(Fields!$C$2:$C$206,MATCH(H211-129,Fields!$D$2:$D$206,1)),""),"")</f>
        <v/>
      </c>
      <c r="L211">
        <f>IFERROR(IF(AND(H211&lt;&gt;"",H211&gt;=129,H211&lt;=2176),INDEX(Fields!$J$2:$J$206,MATCH(H211-129,Fields!$D$2:$D$206,1)),""),"")</f>
        <v/>
      </c>
      <c r="M211">
        <f>IFERROR(IF(AND(H211&lt;&gt;"",H211&gt;=129,H211&lt;=2176),INDEX(Fields!$K$2:$K$206,MATCH(H211-129,Fields!$D$2:$D$206,1)),""),"")</f>
        <v/>
      </c>
    </row>
    <row r="212">
      <c r="A212" t="n">
        <v>210</v>
      </c>
      <c r="B212" t="n">
        <v>0</v>
      </c>
      <c r="C212" t="inlineStr">
        <is>
          <t>No</t>
        </is>
      </c>
      <c r="D212">
        <f>IF(AND(B207=1,B208=1,B209=1,B210=1,B211=1),"Yes","")</f>
        <v/>
      </c>
      <c r="E212" t="inlineStr">
        <is>
          <t>No</t>
        </is>
      </c>
      <c r="F212" t="inlineStr">
        <is>
          <t>No</t>
        </is>
      </c>
      <c r="G212">
        <f>IF(F212="Yes",1-B212,B212)</f>
        <v/>
      </c>
      <c r="H212">
        <f>IF(E212="Yes","",COUNTIFS($E$2:E212,"No"))</f>
        <v/>
      </c>
      <c r="I212">
        <f>IF(H212="","",IF(H212&lt;=128,"address",IF(H212&lt;=600,"data1",IF(H212&lt;=1264,"zero-run1",IF(H212&lt;=1648,"data2",IF(H212&lt;=2176,"zero-run2",IF(H212&lt;=2192,"FCS","trailing")))))))</f>
        <v/>
      </c>
      <c r="J212">
        <f>IFERROR(IF(AND(H212&lt;&gt;"",H212&gt;=129,H212&lt;=2176),INDEX(Fields!$B$2:$B$206,MATCH(H212-129,Fields!$D$2:$D$206,1)),""),"")</f>
        <v/>
      </c>
      <c r="K212">
        <f>IFERROR(IF(AND(H212&lt;&gt;"",H212&gt;=129,H212&lt;=2176),INDEX(Fields!$C$2:$C$206,MATCH(H212-129,Fields!$D$2:$D$206,1)),""),"")</f>
        <v/>
      </c>
      <c r="L212">
        <f>IFERROR(IF(AND(H212&lt;&gt;"",H212&gt;=129,H212&lt;=2176),INDEX(Fields!$J$2:$J$206,MATCH(H212-129,Fields!$D$2:$D$206,1)),""),"")</f>
        <v/>
      </c>
      <c r="M212">
        <f>IFERROR(IF(AND(H212&lt;&gt;"",H212&gt;=129,H212&lt;=2176),INDEX(Fields!$K$2:$K$206,MATCH(H212-129,Fields!$D$2:$D$206,1)),""),"")</f>
        <v/>
      </c>
    </row>
    <row r="213">
      <c r="A213" t="n">
        <v>211</v>
      </c>
      <c r="B213" t="n">
        <v>0</v>
      </c>
      <c r="C213" t="inlineStr">
        <is>
          <t>No</t>
        </is>
      </c>
      <c r="D213">
        <f>IF(AND(B208=1,B209=1,B210=1,B211=1,B212=1),"Yes","")</f>
        <v/>
      </c>
      <c r="E213" t="inlineStr">
        <is>
          <t>No</t>
        </is>
      </c>
      <c r="F213" t="inlineStr">
        <is>
          <t>No</t>
        </is>
      </c>
      <c r="G213">
        <f>IF(F213="Yes",1-B213,B213)</f>
        <v/>
      </c>
      <c r="H213">
        <f>IF(E213="Yes","",COUNTIFS($E$2:E213,"No"))</f>
        <v/>
      </c>
      <c r="I213">
        <f>IF(H213="","",IF(H213&lt;=128,"address",IF(H213&lt;=600,"data1",IF(H213&lt;=1264,"zero-run1",IF(H213&lt;=1648,"data2",IF(H213&lt;=2176,"zero-run2",IF(H213&lt;=2192,"FCS","trailing")))))))</f>
        <v/>
      </c>
      <c r="J213">
        <f>IFERROR(IF(AND(H213&lt;&gt;"",H213&gt;=129,H213&lt;=2176),INDEX(Fields!$B$2:$B$206,MATCH(H213-129,Fields!$D$2:$D$206,1)),""),"")</f>
        <v/>
      </c>
      <c r="K213">
        <f>IFERROR(IF(AND(H213&lt;&gt;"",H213&gt;=129,H213&lt;=2176),INDEX(Fields!$C$2:$C$206,MATCH(H213-129,Fields!$D$2:$D$206,1)),""),"")</f>
        <v/>
      </c>
      <c r="L213">
        <f>IFERROR(IF(AND(H213&lt;&gt;"",H213&gt;=129,H213&lt;=2176),INDEX(Fields!$J$2:$J$206,MATCH(H213-129,Fields!$D$2:$D$206,1)),""),"")</f>
        <v/>
      </c>
      <c r="M213">
        <f>IFERROR(IF(AND(H213&lt;&gt;"",H213&gt;=129,H213&lt;=2176),INDEX(Fields!$K$2:$K$206,MATCH(H213-129,Fields!$D$2:$D$206,1)),""),"")</f>
        <v/>
      </c>
    </row>
    <row r="214">
      <c r="A214" t="n">
        <v>212</v>
      </c>
      <c r="B214" t="n">
        <v>0</v>
      </c>
      <c r="C214" t="inlineStr">
        <is>
          <t>No</t>
        </is>
      </c>
      <c r="D214">
        <f>IF(AND(B209=1,B210=1,B211=1,B212=1,B213=1),"Yes","")</f>
        <v/>
      </c>
      <c r="E214" t="inlineStr">
        <is>
          <t>No</t>
        </is>
      </c>
      <c r="F214" t="inlineStr">
        <is>
          <t>No</t>
        </is>
      </c>
      <c r="G214">
        <f>IF(F214="Yes",1-B214,B214)</f>
        <v/>
      </c>
      <c r="H214">
        <f>IF(E214="Yes","",COUNTIFS($E$2:E214,"No"))</f>
        <v/>
      </c>
      <c r="I214">
        <f>IF(H214="","",IF(H214&lt;=128,"address",IF(H214&lt;=600,"data1",IF(H214&lt;=1264,"zero-run1",IF(H214&lt;=1648,"data2",IF(H214&lt;=2176,"zero-run2",IF(H214&lt;=2192,"FCS","trailing")))))))</f>
        <v/>
      </c>
      <c r="J214">
        <f>IFERROR(IF(AND(H214&lt;&gt;"",H214&gt;=129,H214&lt;=2176),INDEX(Fields!$B$2:$B$206,MATCH(H214-129,Fields!$D$2:$D$206,1)),""),"")</f>
        <v/>
      </c>
      <c r="K214">
        <f>IFERROR(IF(AND(H214&lt;&gt;"",H214&gt;=129,H214&lt;=2176),INDEX(Fields!$C$2:$C$206,MATCH(H214-129,Fields!$D$2:$D$206,1)),""),"")</f>
        <v/>
      </c>
      <c r="L214">
        <f>IFERROR(IF(AND(H214&lt;&gt;"",H214&gt;=129,H214&lt;=2176),INDEX(Fields!$J$2:$J$206,MATCH(H214-129,Fields!$D$2:$D$206,1)),""),"")</f>
        <v/>
      </c>
      <c r="M214">
        <f>IFERROR(IF(AND(H214&lt;&gt;"",H214&gt;=129,H214&lt;=2176),INDEX(Fields!$K$2:$K$206,MATCH(H214-129,Fields!$D$2:$D$206,1)),""),"")</f>
        <v/>
      </c>
    </row>
    <row r="215">
      <c r="A215" t="n">
        <v>213</v>
      </c>
      <c r="B215" t="n">
        <v>0</v>
      </c>
      <c r="C215" t="inlineStr">
        <is>
          <t>No</t>
        </is>
      </c>
      <c r="D215">
        <f>IF(AND(B210=1,B211=1,B212=1,B213=1,B214=1),"Yes","")</f>
        <v/>
      </c>
      <c r="E215" t="inlineStr">
        <is>
          <t>No</t>
        </is>
      </c>
      <c r="F215" t="inlineStr">
        <is>
          <t>No</t>
        </is>
      </c>
      <c r="G215">
        <f>IF(F215="Yes",1-B215,B215)</f>
        <v/>
      </c>
      <c r="H215">
        <f>IF(E215="Yes","",COUNTIFS($E$2:E215,"No"))</f>
        <v/>
      </c>
      <c r="I215">
        <f>IF(H215="","",IF(H215&lt;=128,"address",IF(H215&lt;=600,"data1",IF(H215&lt;=1264,"zero-run1",IF(H215&lt;=1648,"data2",IF(H215&lt;=2176,"zero-run2",IF(H215&lt;=2192,"FCS","trailing")))))))</f>
        <v/>
      </c>
      <c r="J215">
        <f>IFERROR(IF(AND(H215&lt;&gt;"",H215&gt;=129,H215&lt;=2176),INDEX(Fields!$B$2:$B$206,MATCH(H215-129,Fields!$D$2:$D$206,1)),""),"")</f>
        <v/>
      </c>
      <c r="K215">
        <f>IFERROR(IF(AND(H215&lt;&gt;"",H215&gt;=129,H215&lt;=2176),INDEX(Fields!$C$2:$C$206,MATCH(H215-129,Fields!$D$2:$D$206,1)),""),"")</f>
        <v/>
      </c>
      <c r="L215">
        <f>IFERROR(IF(AND(H215&lt;&gt;"",H215&gt;=129,H215&lt;=2176),INDEX(Fields!$J$2:$J$206,MATCH(H215-129,Fields!$D$2:$D$206,1)),""),"")</f>
        <v/>
      </c>
      <c r="M215">
        <f>IFERROR(IF(AND(H215&lt;&gt;"",H215&gt;=129,H215&lt;=2176),INDEX(Fields!$K$2:$K$206,MATCH(H215-129,Fields!$D$2:$D$206,1)),""),"")</f>
        <v/>
      </c>
    </row>
    <row r="216">
      <c r="A216" t="n">
        <v>214</v>
      </c>
      <c r="B216" t="n">
        <v>0</v>
      </c>
      <c r="C216" t="inlineStr">
        <is>
          <t>No</t>
        </is>
      </c>
      <c r="D216">
        <f>IF(AND(B211=1,B212=1,B213=1,B214=1,B215=1),"Yes","")</f>
        <v/>
      </c>
      <c r="E216" t="inlineStr">
        <is>
          <t>No</t>
        </is>
      </c>
      <c r="F216" t="inlineStr">
        <is>
          <t>No</t>
        </is>
      </c>
      <c r="G216">
        <f>IF(F216="Yes",1-B216,B216)</f>
        <v/>
      </c>
      <c r="H216">
        <f>IF(E216="Yes","",COUNTIFS($E$2:E216,"No"))</f>
        <v/>
      </c>
      <c r="I216">
        <f>IF(H216="","",IF(H216&lt;=128,"address",IF(H216&lt;=600,"data1",IF(H216&lt;=1264,"zero-run1",IF(H216&lt;=1648,"data2",IF(H216&lt;=2176,"zero-run2",IF(H216&lt;=2192,"FCS","trailing")))))))</f>
        <v/>
      </c>
      <c r="J216">
        <f>IFERROR(IF(AND(H216&lt;&gt;"",H216&gt;=129,H216&lt;=2176),INDEX(Fields!$B$2:$B$206,MATCH(H216-129,Fields!$D$2:$D$206,1)),""),"")</f>
        <v/>
      </c>
      <c r="K216">
        <f>IFERROR(IF(AND(H216&lt;&gt;"",H216&gt;=129,H216&lt;=2176),INDEX(Fields!$C$2:$C$206,MATCH(H216-129,Fields!$D$2:$D$206,1)),""),"")</f>
        <v/>
      </c>
      <c r="L216">
        <f>IFERROR(IF(AND(H216&lt;&gt;"",H216&gt;=129,H216&lt;=2176),INDEX(Fields!$J$2:$J$206,MATCH(H216-129,Fields!$D$2:$D$206,1)),""),"")</f>
        <v/>
      </c>
      <c r="M216">
        <f>IFERROR(IF(AND(H216&lt;&gt;"",H216&gt;=129,H216&lt;=2176),INDEX(Fields!$K$2:$K$206,MATCH(H216-129,Fields!$D$2:$D$206,1)),""),"")</f>
        <v/>
      </c>
    </row>
    <row r="217">
      <c r="A217" t="n">
        <v>215</v>
      </c>
      <c r="B217" t="n">
        <v>0</v>
      </c>
      <c r="C217" t="inlineStr">
        <is>
          <t>No</t>
        </is>
      </c>
      <c r="D217">
        <f>IF(AND(B212=1,B213=1,B214=1,B215=1,B216=1),"Yes","")</f>
        <v/>
      </c>
      <c r="E217" t="inlineStr">
        <is>
          <t>No</t>
        </is>
      </c>
      <c r="F217" t="inlineStr">
        <is>
          <t>No</t>
        </is>
      </c>
      <c r="G217">
        <f>IF(F217="Yes",1-B217,B217)</f>
        <v/>
      </c>
      <c r="H217">
        <f>IF(E217="Yes","",COUNTIFS($E$2:E217,"No"))</f>
        <v/>
      </c>
      <c r="I217">
        <f>IF(H217="","",IF(H217&lt;=128,"address",IF(H217&lt;=600,"data1",IF(H217&lt;=1264,"zero-run1",IF(H217&lt;=1648,"data2",IF(H217&lt;=2176,"zero-run2",IF(H217&lt;=2192,"FCS","trailing")))))))</f>
        <v/>
      </c>
      <c r="J217">
        <f>IFERROR(IF(AND(H217&lt;&gt;"",H217&gt;=129,H217&lt;=2176),INDEX(Fields!$B$2:$B$206,MATCH(H217-129,Fields!$D$2:$D$206,1)),""),"")</f>
        <v/>
      </c>
      <c r="K217">
        <f>IFERROR(IF(AND(H217&lt;&gt;"",H217&gt;=129,H217&lt;=2176),INDEX(Fields!$C$2:$C$206,MATCH(H217-129,Fields!$D$2:$D$206,1)),""),"")</f>
        <v/>
      </c>
      <c r="L217">
        <f>IFERROR(IF(AND(H217&lt;&gt;"",H217&gt;=129,H217&lt;=2176),INDEX(Fields!$J$2:$J$206,MATCH(H217-129,Fields!$D$2:$D$206,1)),""),"")</f>
        <v/>
      </c>
      <c r="M217">
        <f>IFERROR(IF(AND(H217&lt;&gt;"",H217&gt;=129,H217&lt;=2176),INDEX(Fields!$K$2:$K$206,MATCH(H217-129,Fields!$D$2:$D$206,1)),""),"")</f>
        <v/>
      </c>
    </row>
    <row r="218">
      <c r="A218" t="n">
        <v>216</v>
      </c>
      <c r="B218" t="n">
        <v>0</v>
      </c>
      <c r="C218" t="inlineStr">
        <is>
          <t>No</t>
        </is>
      </c>
      <c r="D218">
        <f>IF(AND(B213=1,B214=1,B215=1,B216=1,B217=1),"Yes","")</f>
        <v/>
      </c>
      <c r="E218" t="inlineStr">
        <is>
          <t>No</t>
        </is>
      </c>
      <c r="F218" t="inlineStr">
        <is>
          <t>No</t>
        </is>
      </c>
      <c r="G218">
        <f>IF(F218="Yes",1-B218,B218)</f>
        <v/>
      </c>
      <c r="H218">
        <f>IF(E218="Yes","",COUNTIFS($E$2:E218,"No"))</f>
        <v/>
      </c>
      <c r="I218">
        <f>IF(H218="","",IF(H218&lt;=128,"address",IF(H218&lt;=600,"data1",IF(H218&lt;=1264,"zero-run1",IF(H218&lt;=1648,"data2",IF(H218&lt;=2176,"zero-run2",IF(H218&lt;=2192,"FCS","trailing")))))))</f>
        <v/>
      </c>
      <c r="J218">
        <f>IFERROR(IF(AND(H218&lt;&gt;"",H218&gt;=129,H218&lt;=2176),INDEX(Fields!$B$2:$B$206,MATCH(H218-129,Fields!$D$2:$D$206,1)),""),"")</f>
        <v/>
      </c>
      <c r="K218">
        <f>IFERROR(IF(AND(H218&lt;&gt;"",H218&gt;=129,H218&lt;=2176),INDEX(Fields!$C$2:$C$206,MATCH(H218-129,Fields!$D$2:$D$206,1)),""),"")</f>
        <v/>
      </c>
      <c r="L218">
        <f>IFERROR(IF(AND(H218&lt;&gt;"",H218&gt;=129,H218&lt;=2176),INDEX(Fields!$J$2:$J$206,MATCH(H218-129,Fields!$D$2:$D$206,1)),""),"")</f>
        <v/>
      </c>
      <c r="M218">
        <f>IFERROR(IF(AND(H218&lt;&gt;"",H218&gt;=129,H218&lt;=2176),INDEX(Fields!$K$2:$K$206,MATCH(H218-129,Fields!$D$2:$D$206,1)),""),"")</f>
        <v/>
      </c>
    </row>
    <row r="219">
      <c r="A219" t="n">
        <v>217</v>
      </c>
      <c r="B219" t="n">
        <v>0</v>
      </c>
      <c r="C219" t="inlineStr">
        <is>
          <t>No</t>
        </is>
      </c>
      <c r="D219">
        <f>IF(AND(B214=1,B215=1,B216=1,B217=1,B218=1),"Yes","")</f>
        <v/>
      </c>
      <c r="E219" t="inlineStr">
        <is>
          <t>No</t>
        </is>
      </c>
      <c r="F219" t="inlineStr">
        <is>
          <t>No</t>
        </is>
      </c>
      <c r="G219">
        <f>IF(F219="Yes",1-B219,B219)</f>
        <v/>
      </c>
      <c r="H219">
        <f>IF(E219="Yes","",COUNTIFS($E$2:E219,"No"))</f>
        <v/>
      </c>
      <c r="I219">
        <f>IF(H219="","",IF(H219&lt;=128,"address",IF(H219&lt;=600,"data1",IF(H219&lt;=1264,"zero-run1",IF(H219&lt;=1648,"data2",IF(H219&lt;=2176,"zero-run2",IF(H219&lt;=2192,"FCS","trailing")))))))</f>
        <v/>
      </c>
      <c r="J219">
        <f>IFERROR(IF(AND(H219&lt;&gt;"",H219&gt;=129,H219&lt;=2176),INDEX(Fields!$B$2:$B$206,MATCH(H219-129,Fields!$D$2:$D$206,1)),""),"")</f>
        <v/>
      </c>
      <c r="K219">
        <f>IFERROR(IF(AND(H219&lt;&gt;"",H219&gt;=129,H219&lt;=2176),INDEX(Fields!$C$2:$C$206,MATCH(H219-129,Fields!$D$2:$D$206,1)),""),"")</f>
        <v/>
      </c>
      <c r="L219">
        <f>IFERROR(IF(AND(H219&lt;&gt;"",H219&gt;=129,H219&lt;=2176),INDEX(Fields!$J$2:$J$206,MATCH(H219-129,Fields!$D$2:$D$206,1)),""),"")</f>
        <v/>
      </c>
      <c r="M219">
        <f>IFERROR(IF(AND(H219&lt;&gt;"",H219&gt;=129,H219&lt;=2176),INDEX(Fields!$K$2:$K$206,MATCH(H219-129,Fields!$D$2:$D$206,1)),""),"")</f>
        <v/>
      </c>
    </row>
    <row r="220">
      <c r="A220" t="n">
        <v>218</v>
      </c>
      <c r="B220" t="n">
        <v>0</v>
      </c>
      <c r="C220" t="inlineStr">
        <is>
          <t>No</t>
        </is>
      </c>
      <c r="D220">
        <f>IF(AND(B215=1,B216=1,B217=1,B218=1,B219=1),"Yes","")</f>
        <v/>
      </c>
      <c r="E220" t="inlineStr">
        <is>
          <t>No</t>
        </is>
      </c>
      <c r="F220" t="inlineStr">
        <is>
          <t>No</t>
        </is>
      </c>
      <c r="G220">
        <f>IF(F220="Yes",1-B220,B220)</f>
        <v/>
      </c>
      <c r="H220">
        <f>IF(E220="Yes","",COUNTIFS($E$2:E220,"No"))</f>
        <v/>
      </c>
      <c r="I220">
        <f>IF(H220="","",IF(H220&lt;=128,"address",IF(H220&lt;=600,"data1",IF(H220&lt;=1264,"zero-run1",IF(H220&lt;=1648,"data2",IF(H220&lt;=2176,"zero-run2",IF(H220&lt;=2192,"FCS","trailing")))))))</f>
        <v/>
      </c>
      <c r="J220">
        <f>IFERROR(IF(AND(H220&lt;&gt;"",H220&gt;=129,H220&lt;=2176),INDEX(Fields!$B$2:$B$206,MATCH(H220-129,Fields!$D$2:$D$206,1)),""),"")</f>
        <v/>
      </c>
      <c r="K220">
        <f>IFERROR(IF(AND(H220&lt;&gt;"",H220&gt;=129,H220&lt;=2176),INDEX(Fields!$C$2:$C$206,MATCH(H220-129,Fields!$D$2:$D$206,1)),""),"")</f>
        <v/>
      </c>
      <c r="L220">
        <f>IFERROR(IF(AND(H220&lt;&gt;"",H220&gt;=129,H220&lt;=2176),INDEX(Fields!$J$2:$J$206,MATCH(H220-129,Fields!$D$2:$D$206,1)),""),"")</f>
        <v/>
      </c>
      <c r="M220">
        <f>IFERROR(IF(AND(H220&lt;&gt;"",H220&gt;=129,H220&lt;=2176),INDEX(Fields!$K$2:$K$206,MATCH(H220-129,Fields!$D$2:$D$206,1)),""),"")</f>
        <v/>
      </c>
    </row>
    <row r="221">
      <c r="A221" t="n">
        <v>219</v>
      </c>
      <c r="B221" t="n">
        <v>0</v>
      </c>
      <c r="C221" t="inlineStr">
        <is>
          <t>No</t>
        </is>
      </c>
      <c r="D221">
        <f>IF(AND(B216=1,B217=1,B218=1,B219=1,B220=1),"Yes","")</f>
        <v/>
      </c>
      <c r="E221" t="inlineStr">
        <is>
          <t>No</t>
        </is>
      </c>
      <c r="F221" t="inlineStr">
        <is>
          <t>No</t>
        </is>
      </c>
      <c r="G221">
        <f>IF(F221="Yes",1-B221,B221)</f>
        <v/>
      </c>
      <c r="H221">
        <f>IF(E221="Yes","",COUNTIFS($E$2:E221,"No"))</f>
        <v/>
      </c>
      <c r="I221">
        <f>IF(H221="","",IF(H221&lt;=128,"address",IF(H221&lt;=600,"data1",IF(H221&lt;=1264,"zero-run1",IF(H221&lt;=1648,"data2",IF(H221&lt;=2176,"zero-run2",IF(H221&lt;=2192,"FCS","trailing")))))))</f>
        <v/>
      </c>
      <c r="J221">
        <f>IFERROR(IF(AND(H221&lt;&gt;"",H221&gt;=129,H221&lt;=2176),INDEX(Fields!$B$2:$B$206,MATCH(H221-129,Fields!$D$2:$D$206,1)),""),"")</f>
        <v/>
      </c>
      <c r="K221">
        <f>IFERROR(IF(AND(H221&lt;&gt;"",H221&gt;=129,H221&lt;=2176),INDEX(Fields!$C$2:$C$206,MATCH(H221-129,Fields!$D$2:$D$206,1)),""),"")</f>
        <v/>
      </c>
      <c r="L221">
        <f>IFERROR(IF(AND(H221&lt;&gt;"",H221&gt;=129,H221&lt;=2176),INDEX(Fields!$J$2:$J$206,MATCH(H221-129,Fields!$D$2:$D$206,1)),""),"")</f>
        <v/>
      </c>
      <c r="M221">
        <f>IFERROR(IF(AND(H221&lt;&gt;"",H221&gt;=129,H221&lt;=2176),INDEX(Fields!$K$2:$K$206,MATCH(H221-129,Fields!$D$2:$D$206,1)),""),"")</f>
        <v/>
      </c>
    </row>
    <row r="222">
      <c r="A222" t="n">
        <v>220</v>
      </c>
      <c r="B222" t="n">
        <v>0</v>
      </c>
      <c r="C222" t="inlineStr">
        <is>
          <t>No</t>
        </is>
      </c>
      <c r="D222">
        <f>IF(AND(B217=1,B218=1,B219=1,B220=1,B221=1),"Yes","")</f>
        <v/>
      </c>
      <c r="E222" t="inlineStr">
        <is>
          <t>No</t>
        </is>
      </c>
      <c r="F222" t="inlineStr">
        <is>
          <t>No</t>
        </is>
      </c>
      <c r="G222">
        <f>IF(F222="Yes",1-B222,B222)</f>
        <v/>
      </c>
      <c r="H222">
        <f>IF(E222="Yes","",COUNTIFS($E$2:E222,"No"))</f>
        <v/>
      </c>
      <c r="I222">
        <f>IF(H222="","",IF(H222&lt;=128,"address",IF(H222&lt;=600,"data1",IF(H222&lt;=1264,"zero-run1",IF(H222&lt;=1648,"data2",IF(H222&lt;=2176,"zero-run2",IF(H222&lt;=2192,"FCS","trailing")))))))</f>
        <v/>
      </c>
      <c r="J222">
        <f>IFERROR(IF(AND(H222&lt;&gt;"",H222&gt;=129,H222&lt;=2176),INDEX(Fields!$B$2:$B$206,MATCH(H222-129,Fields!$D$2:$D$206,1)),""),"")</f>
        <v/>
      </c>
      <c r="K222">
        <f>IFERROR(IF(AND(H222&lt;&gt;"",H222&gt;=129,H222&lt;=2176),INDEX(Fields!$C$2:$C$206,MATCH(H222-129,Fields!$D$2:$D$206,1)),""),"")</f>
        <v/>
      </c>
      <c r="L222">
        <f>IFERROR(IF(AND(H222&lt;&gt;"",H222&gt;=129,H222&lt;=2176),INDEX(Fields!$J$2:$J$206,MATCH(H222-129,Fields!$D$2:$D$206,1)),""),"")</f>
        <v/>
      </c>
      <c r="M222">
        <f>IFERROR(IF(AND(H222&lt;&gt;"",H222&gt;=129,H222&lt;=2176),INDEX(Fields!$K$2:$K$206,MATCH(H222-129,Fields!$D$2:$D$206,1)),""),"")</f>
        <v/>
      </c>
    </row>
    <row r="223">
      <c r="A223" t="n">
        <v>221</v>
      </c>
      <c r="B223" t="n">
        <v>0</v>
      </c>
      <c r="C223" t="inlineStr">
        <is>
          <t>No</t>
        </is>
      </c>
      <c r="D223">
        <f>IF(AND(B218=1,B219=1,B220=1,B221=1,B222=1),"Yes","")</f>
        <v/>
      </c>
      <c r="E223" t="inlineStr">
        <is>
          <t>No</t>
        </is>
      </c>
      <c r="F223" t="inlineStr">
        <is>
          <t>No</t>
        </is>
      </c>
      <c r="G223">
        <f>IF(F223="Yes",1-B223,B223)</f>
        <v/>
      </c>
      <c r="H223">
        <f>IF(E223="Yes","",COUNTIFS($E$2:E223,"No"))</f>
        <v/>
      </c>
      <c r="I223">
        <f>IF(H223="","",IF(H223&lt;=128,"address",IF(H223&lt;=600,"data1",IF(H223&lt;=1264,"zero-run1",IF(H223&lt;=1648,"data2",IF(H223&lt;=2176,"zero-run2",IF(H223&lt;=2192,"FCS","trailing")))))))</f>
        <v/>
      </c>
      <c r="J223">
        <f>IFERROR(IF(AND(H223&lt;&gt;"",H223&gt;=129,H223&lt;=2176),INDEX(Fields!$B$2:$B$206,MATCH(H223-129,Fields!$D$2:$D$206,1)),""),"")</f>
        <v/>
      </c>
      <c r="K223">
        <f>IFERROR(IF(AND(H223&lt;&gt;"",H223&gt;=129,H223&lt;=2176),INDEX(Fields!$C$2:$C$206,MATCH(H223-129,Fields!$D$2:$D$206,1)),""),"")</f>
        <v/>
      </c>
      <c r="L223">
        <f>IFERROR(IF(AND(H223&lt;&gt;"",H223&gt;=129,H223&lt;=2176),INDEX(Fields!$J$2:$J$206,MATCH(H223-129,Fields!$D$2:$D$206,1)),""),"")</f>
        <v/>
      </c>
      <c r="M223">
        <f>IFERROR(IF(AND(H223&lt;&gt;"",H223&gt;=129,H223&lt;=2176),INDEX(Fields!$K$2:$K$206,MATCH(H223-129,Fields!$D$2:$D$206,1)),""),"")</f>
        <v/>
      </c>
    </row>
    <row r="224">
      <c r="A224" t="n">
        <v>222</v>
      </c>
      <c r="B224" t="n">
        <v>0</v>
      </c>
      <c r="C224" t="inlineStr">
        <is>
          <t>No</t>
        </is>
      </c>
      <c r="D224">
        <f>IF(AND(B219=1,B220=1,B221=1,B222=1,B223=1),"Yes","")</f>
        <v/>
      </c>
      <c r="E224" t="inlineStr">
        <is>
          <t>No</t>
        </is>
      </c>
      <c r="F224" t="inlineStr">
        <is>
          <t>No</t>
        </is>
      </c>
      <c r="G224">
        <f>IF(F224="Yes",1-B224,B224)</f>
        <v/>
      </c>
      <c r="H224">
        <f>IF(E224="Yes","",COUNTIFS($E$2:E224,"No"))</f>
        <v/>
      </c>
      <c r="I224">
        <f>IF(H224="","",IF(H224&lt;=128,"address",IF(H224&lt;=600,"data1",IF(H224&lt;=1264,"zero-run1",IF(H224&lt;=1648,"data2",IF(H224&lt;=2176,"zero-run2",IF(H224&lt;=2192,"FCS","trailing")))))))</f>
        <v/>
      </c>
      <c r="J224">
        <f>IFERROR(IF(AND(H224&lt;&gt;"",H224&gt;=129,H224&lt;=2176),INDEX(Fields!$B$2:$B$206,MATCH(H224-129,Fields!$D$2:$D$206,1)),""),"")</f>
        <v/>
      </c>
      <c r="K224">
        <f>IFERROR(IF(AND(H224&lt;&gt;"",H224&gt;=129,H224&lt;=2176),INDEX(Fields!$C$2:$C$206,MATCH(H224-129,Fields!$D$2:$D$206,1)),""),"")</f>
        <v/>
      </c>
      <c r="L224">
        <f>IFERROR(IF(AND(H224&lt;&gt;"",H224&gt;=129,H224&lt;=2176),INDEX(Fields!$J$2:$J$206,MATCH(H224-129,Fields!$D$2:$D$206,1)),""),"")</f>
        <v/>
      </c>
      <c r="M224">
        <f>IFERROR(IF(AND(H224&lt;&gt;"",H224&gt;=129,H224&lt;=2176),INDEX(Fields!$K$2:$K$206,MATCH(H224-129,Fields!$D$2:$D$206,1)),""),"")</f>
        <v/>
      </c>
    </row>
    <row r="225">
      <c r="A225" t="n">
        <v>223</v>
      </c>
      <c r="B225" t="n">
        <v>0</v>
      </c>
      <c r="C225" t="inlineStr">
        <is>
          <t>No</t>
        </is>
      </c>
      <c r="D225">
        <f>IF(AND(B220=1,B221=1,B222=1,B223=1,B224=1),"Yes","")</f>
        <v/>
      </c>
      <c r="E225" t="inlineStr">
        <is>
          <t>No</t>
        </is>
      </c>
      <c r="F225" t="inlineStr">
        <is>
          <t>No</t>
        </is>
      </c>
      <c r="G225">
        <f>IF(F225="Yes",1-B225,B225)</f>
        <v/>
      </c>
      <c r="H225">
        <f>IF(E225="Yes","",COUNTIFS($E$2:E225,"No"))</f>
        <v/>
      </c>
      <c r="I225">
        <f>IF(H225="","",IF(H225&lt;=128,"address",IF(H225&lt;=600,"data1",IF(H225&lt;=1264,"zero-run1",IF(H225&lt;=1648,"data2",IF(H225&lt;=2176,"zero-run2",IF(H225&lt;=2192,"FCS","trailing")))))))</f>
        <v/>
      </c>
      <c r="J225">
        <f>IFERROR(IF(AND(H225&lt;&gt;"",H225&gt;=129,H225&lt;=2176),INDEX(Fields!$B$2:$B$206,MATCH(H225-129,Fields!$D$2:$D$206,1)),""),"")</f>
        <v/>
      </c>
      <c r="K225">
        <f>IFERROR(IF(AND(H225&lt;&gt;"",H225&gt;=129,H225&lt;=2176),INDEX(Fields!$C$2:$C$206,MATCH(H225-129,Fields!$D$2:$D$206,1)),""),"")</f>
        <v/>
      </c>
      <c r="L225">
        <f>IFERROR(IF(AND(H225&lt;&gt;"",H225&gt;=129,H225&lt;=2176),INDEX(Fields!$J$2:$J$206,MATCH(H225-129,Fields!$D$2:$D$206,1)),""),"")</f>
        <v/>
      </c>
      <c r="M225">
        <f>IFERROR(IF(AND(H225&lt;&gt;"",H225&gt;=129,H225&lt;=2176),INDEX(Fields!$K$2:$K$206,MATCH(H225-129,Fields!$D$2:$D$206,1)),""),"")</f>
        <v/>
      </c>
    </row>
    <row r="226">
      <c r="A226" t="n">
        <v>224</v>
      </c>
      <c r="B226" t="n">
        <v>0</v>
      </c>
      <c r="C226" t="inlineStr">
        <is>
          <t>No</t>
        </is>
      </c>
      <c r="D226">
        <f>IF(AND(B221=1,B222=1,B223=1,B224=1,B225=1),"Yes","")</f>
        <v/>
      </c>
      <c r="E226" t="inlineStr">
        <is>
          <t>No</t>
        </is>
      </c>
      <c r="F226" t="inlineStr">
        <is>
          <t>No</t>
        </is>
      </c>
      <c r="G226">
        <f>IF(F226="Yes",1-B226,B226)</f>
        <v/>
      </c>
      <c r="H226">
        <f>IF(E226="Yes","",COUNTIFS($E$2:E226,"No"))</f>
        <v/>
      </c>
      <c r="I226">
        <f>IF(H226="","",IF(H226&lt;=128,"address",IF(H226&lt;=600,"data1",IF(H226&lt;=1264,"zero-run1",IF(H226&lt;=1648,"data2",IF(H226&lt;=2176,"zero-run2",IF(H226&lt;=2192,"FCS","trailing")))))))</f>
        <v/>
      </c>
      <c r="J226">
        <f>IFERROR(IF(AND(H226&lt;&gt;"",H226&gt;=129,H226&lt;=2176),INDEX(Fields!$B$2:$B$206,MATCH(H226-129,Fields!$D$2:$D$206,1)),""),"")</f>
        <v/>
      </c>
      <c r="K226">
        <f>IFERROR(IF(AND(H226&lt;&gt;"",H226&gt;=129,H226&lt;=2176),INDEX(Fields!$C$2:$C$206,MATCH(H226-129,Fields!$D$2:$D$206,1)),""),"")</f>
        <v/>
      </c>
      <c r="L226">
        <f>IFERROR(IF(AND(H226&lt;&gt;"",H226&gt;=129,H226&lt;=2176),INDEX(Fields!$J$2:$J$206,MATCH(H226-129,Fields!$D$2:$D$206,1)),""),"")</f>
        <v/>
      </c>
      <c r="M226">
        <f>IFERROR(IF(AND(H226&lt;&gt;"",H226&gt;=129,H226&lt;=2176),INDEX(Fields!$K$2:$K$206,MATCH(H226-129,Fields!$D$2:$D$206,1)),""),"")</f>
        <v/>
      </c>
    </row>
    <row r="227">
      <c r="A227" t="n">
        <v>225</v>
      </c>
      <c r="B227" t="n">
        <v>0</v>
      </c>
      <c r="C227" t="inlineStr">
        <is>
          <t>No</t>
        </is>
      </c>
      <c r="D227">
        <f>IF(AND(B222=1,B223=1,B224=1,B225=1,B226=1),"Yes","")</f>
        <v/>
      </c>
      <c r="E227" t="inlineStr">
        <is>
          <t>No</t>
        </is>
      </c>
      <c r="F227" t="inlineStr">
        <is>
          <t>No</t>
        </is>
      </c>
      <c r="G227">
        <f>IF(F227="Yes",1-B227,B227)</f>
        <v/>
      </c>
      <c r="H227">
        <f>IF(E227="Yes","",COUNTIFS($E$2:E227,"No"))</f>
        <v/>
      </c>
      <c r="I227">
        <f>IF(H227="","",IF(H227&lt;=128,"address",IF(H227&lt;=600,"data1",IF(H227&lt;=1264,"zero-run1",IF(H227&lt;=1648,"data2",IF(H227&lt;=2176,"zero-run2",IF(H227&lt;=2192,"FCS","trailing")))))))</f>
        <v/>
      </c>
      <c r="J227">
        <f>IFERROR(IF(AND(H227&lt;&gt;"",H227&gt;=129,H227&lt;=2176),INDEX(Fields!$B$2:$B$206,MATCH(H227-129,Fields!$D$2:$D$206,1)),""),"")</f>
        <v/>
      </c>
      <c r="K227">
        <f>IFERROR(IF(AND(H227&lt;&gt;"",H227&gt;=129,H227&lt;=2176),INDEX(Fields!$C$2:$C$206,MATCH(H227-129,Fields!$D$2:$D$206,1)),""),"")</f>
        <v/>
      </c>
      <c r="L227">
        <f>IFERROR(IF(AND(H227&lt;&gt;"",H227&gt;=129,H227&lt;=2176),INDEX(Fields!$J$2:$J$206,MATCH(H227-129,Fields!$D$2:$D$206,1)),""),"")</f>
        <v/>
      </c>
      <c r="M227">
        <f>IFERROR(IF(AND(H227&lt;&gt;"",H227&gt;=129,H227&lt;=2176),INDEX(Fields!$K$2:$K$206,MATCH(H227-129,Fields!$D$2:$D$206,1)),""),"")</f>
        <v/>
      </c>
    </row>
    <row r="228">
      <c r="A228" t="n">
        <v>226</v>
      </c>
      <c r="B228" t="n">
        <v>0</v>
      </c>
      <c r="C228" t="inlineStr">
        <is>
          <t>No</t>
        </is>
      </c>
      <c r="D228">
        <f>IF(AND(B223=1,B224=1,B225=1,B226=1,B227=1),"Yes","")</f>
        <v/>
      </c>
      <c r="E228" t="inlineStr">
        <is>
          <t>No</t>
        </is>
      </c>
      <c r="F228" t="inlineStr">
        <is>
          <t>No</t>
        </is>
      </c>
      <c r="G228">
        <f>IF(F228="Yes",1-B228,B228)</f>
        <v/>
      </c>
      <c r="H228">
        <f>IF(E228="Yes","",COUNTIFS($E$2:E228,"No"))</f>
        <v/>
      </c>
      <c r="I228">
        <f>IF(H228="","",IF(H228&lt;=128,"address",IF(H228&lt;=600,"data1",IF(H228&lt;=1264,"zero-run1",IF(H228&lt;=1648,"data2",IF(H228&lt;=2176,"zero-run2",IF(H228&lt;=2192,"FCS","trailing")))))))</f>
        <v/>
      </c>
      <c r="J228">
        <f>IFERROR(IF(AND(H228&lt;&gt;"",H228&gt;=129,H228&lt;=2176),INDEX(Fields!$B$2:$B$206,MATCH(H228-129,Fields!$D$2:$D$206,1)),""),"")</f>
        <v/>
      </c>
      <c r="K228">
        <f>IFERROR(IF(AND(H228&lt;&gt;"",H228&gt;=129,H228&lt;=2176),INDEX(Fields!$C$2:$C$206,MATCH(H228-129,Fields!$D$2:$D$206,1)),""),"")</f>
        <v/>
      </c>
      <c r="L228">
        <f>IFERROR(IF(AND(H228&lt;&gt;"",H228&gt;=129,H228&lt;=2176),INDEX(Fields!$J$2:$J$206,MATCH(H228-129,Fields!$D$2:$D$206,1)),""),"")</f>
        <v/>
      </c>
      <c r="M228">
        <f>IFERROR(IF(AND(H228&lt;&gt;"",H228&gt;=129,H228&lt;=2176),INDEX(Fields!$K$2:$K$206,MATCH(H228-129,Fields!$D$2:$D$206,1)),""),"")</f>
        <v/>
      </c>
    </row>
    <row r="229">
      <c r="A229" t="n">
        <v>227</v>
      </c>
      <c r="B229" t="n">
        <v>0</v>
      </c>
      <c r="C229" t="inlineStr">
        <is>
          <t>No</t>
        </is>
      </c>
      <c r="D229">
        <f>IF(AND(B224=1,B225=1,B226=1,B227=1,B228=1),"Yes","")</f>
        <v/>
      </c>
      <c r="E229" t="inlineStr">
        <is>
          <t>No</t>
        </is>
      </c>
      <c r="F229" t="inlineStr">
        <is>
          <t>No</t>
        </is>
      </c>
      <c r="G229">
        <f>IF(F229="Yes",1-B229,B229)</f>
        <v/>
      </c>
      <c r="H229">
        <f>IF(E229="Yes","",COUNTIFS($E$2:E229,"No"))</f>
        <v/>
      </c>
      <c r="I229">
        <f>IF(H229="","",IF(H229&lt;=128,"address",IF(H229&lt;=600,"data1",IF(H229&lt;=1264,"zero-run1",IF(H229&lt;=1648,"data2",IF(H229&lt;=2176,"zero-run2",IF(H229&lt;=2192,"FCS","trailing")))))))</f>
        <v/>
      </c>
      <c r="J229">
        <f>IFERROR(IF(AND(H229&lt;&gt;"",H229&gt;=129,H229&lt;=2176),INDEX(Fields!$B$2:$B$206,MATCH(H229-129,Fields!$D$2:$D$206,1)),""),"")</f>
        <v/>
      </c>
      <c r="K229">
        <f>IFERROR(IF(AND(H229&lt;&gt;"",H229&gt;=129,H229&lt;=2176),INDEX(Fields!$C$2:$C$206,MATCH(H229-129,Fields!$D$2:$D$206,1)),""),"")</f>
        <v/>
      </c>
      <c r="L229">
        <f>IFERROR(IF(AND(H229&lt;&gt;"",H229&gt;=129,H229&lt;=2176),INDEX(Fields!$J$2:$J$206,MATCH(H229-129,Fields!$D$2:$D$206,1)),""),"")</f>
        <v/>
      </c>
      <c r="M229">
        <f>IFERROR(IF(AND(H229&lt;&gt;"",H229&gt;=129,H229&lt;=2176),INDEX(Fields!$K$2:$K$206,MATCH(H229-129,Fields!$D$2:$D$206,1)),""),"")</f>
        <v/>
      </c>
    </row>
    <row r="230">
      <c r="A230" t="n">
        <v>228</v>
      </c>
      <c r="B230" t="n">
        <v>0</v>
      </c>
      <c r="C230" t="inlineStr">
        <is>
          <t>No</t>
        </is>
      </c>
      <c r="D230">
        <f>IF(AND(B225=1,B226=1,B227=1,B228=1,B229=1),"Yes","")</f>
        <v/>
      </c>
      <c r="E230" t="inlineStr">
        <is>
          <t>No</t>
        </is>
      </c>
      <c r="F230" t="inlineStr">
        <is>
          <t>No</t>
        </is>
      </c>
      <c r="G230">
        <f>IF(F230="Yes",1-B230,B230)</f>
        <v/>
      </c>
      <c r="H230">
        <f>IF(E230="Yes","",COUNTIFS($E$2:E230,"No"))</f>
        <v/>
      </c>
      <c r="I230">
        <f>IF(H230="","",IF(H230&lt;=128,"address",IF(H230&lt;=600,"data1",IF(H230&lt;=1264,"zero-run1",IF(H230&lt;=1648,"data2",IF(H230&lt;=2176,"zero-run2",IF(H230&lt;=2192,"FCS","trailing")))))))</f>
        <v/>
      </c>
      <c r="J230">
        <f>IFERROR(IF(AND(H230&lt;&gt;"",H230&gt;=129,H230&lt;=2176),INDEX(Fields!$B$2:$B$206,MATCH(H230-129,Fields!$D$2:$D$206,1)),""),"")</f>
        <v/>
      </c>
      <c r="K230">
        <f>IFERROR(IF(AND(H230&lt;&gt;"",H230&gt;=129,H230&lt;=2176),INDEX(Fields!$C$2:$C$206,MATCH(H230-129,Fields!$D$2:$D$206,1)),""),"")</f>
        <v/>
      </c>
      <c r="L230">
        <f>IFERROR(IF(AND(H230&lt;&gt;"",H230&gt;=129,H230&lt;=2176),INDEX(Fields!$J$2:$J$206,MATCH(H230-129,Fields!$D$2:$D$206,1)),""),"")</f>
        <v/>
      </c>
      <c r="M230">
        <f>IFERROR(IF(AND(H230&lt;&gt;"",H230&gt;=129,H230&lt;=2176),INDEX(Fields!$K$2:$K$206,MATCH(H230-129,Fields!$D$2:$D$206,1)),""),"")</f>
        <v/>
      </c>
    </row>
    <row r="231">
      <c r="A231" t="n">
        <v>229</v>
      </c>
      <c r="B231" t="n">
        <v>0</v>
      </c>
      <c r="C231" t="inlineStr">
        <is>
          <t>No</t>
        </is>
      </c>
      <c r="D231">
        <f>IF(AND(B226=1,B227=1,B228=1,B229=1,B230=1),"Yes","")</f>
        <v/>
      </c>
      <c r="E231" t="inlineStr">
        <is>
          <t>No</t>
        </is>
      </c>
      <c r="F231" t="inlineStr">
        <is>
          <t>No</t>
        </is>
      </c>
      <c r="G231">
        <f>IF(F231="Yes",1-B231,B231)</f>
        <v/>
      </c>
      <c r="H231">
        <f>IF(E231="Yes","",COUNTIFS($E$2:E231,"No"))</f>
        <v/>
      </c>
      <c r="I231">
        <f>IF(H231="","",IF(H231&lt;=128,"address",IF(H231&lt;=600,"data1",IF(H231&lt;=1264,"zero-run1",IF(H231&lt;=1648,"data2",IF(H231&lt;=2176,"zero-run2",IF(H231&lt;=2192,"FCS","trailing")))))))</f>
        <v/>
      </c>
      <c r="J231">
        <f>IFERROR(IF(AND(H231&lt;&gt;"",H231&gt;=129,H231&lt;=2176),INDEX(Fields!$B$2:$B$206,MATCH(H231-129,Fields!$D$2:$D$206,1)),""),"")</f>
        <v/>
      </c>
      <c r="K231">
        <f>IFERROR(IF(AND(H231&lt;&gt;"",H231&gt;=129,H231&lt;=2176),INDEX(Fields!$C$2:$C$206,MATCH(H231-129,Fields!$D$2:$D$206,1)),""),"")</f>
        <v/>
      </c>
      <c r="L231">
        <f>IFERROR(IF(AND(H231&lt;&gt;"",H231&gt;=129,H231&lt;=2176),INDEX(Fields!$J$2:$J$206,MATCH(H231-129,Fields!$D$2:$D$206,1)),""),"")</f>
        <v/>
      </c>
      <c r="M231">
        <f>IFERROR(IF(AND(H231&lt;&gt;"",H231&gt;=129,H231&lt;=2176),INDEX(Fields!$K$2:$K$206,MATCH(H231-129,Fields!$D$2:$D$206,1)),""),"")</f>
        <v/>
      </c>
    </row>
    <row r="232">
      <c r="A232" t="n">
        <v>230</v>
      </c>
      <c r="B232" t="n">
        <v>0</v>
      </c>
      <c r="C232" t="inlineStr">
        <is>
          <t>No</t>
        </is>
      </c>
      <c r="D232">
        <f>IF(AND(B227=1,B228=1,B229=1,B230=1,B231=1),"Yes","")</f>
        <v/>
      </c>
      <c r="E232" t="inlineStr">
        <is>
          <t>No</t>
        </is>
      </c>
      <c r="F232" t="inlineStr">
        <is>
          <t>No</t>
        </is>
      </c>
      <c r="G232">
        <f>IF(F232="Yes",1-B232,B232)</f>
        <v/>
      </c>
      <c r="H232">
        <f>IF(E232="Yes","",COUNTIFS($E$2:E232,"No"))</f>
        <v/>
      </c>
      <c r="I232">
        <f>IF(H232="","",IF(H232&lt;=128,"address",IF(H232&lt;=600,"data1",IF(H232&lt;=1264,"zero-run1",IF(H232&lt;=1648,"data2",IF(H232&lt;=2176,"zero-run2",IF(H232&lt;=2192,"FCS","trailing")))))))</f>
        <v/>
      </c>
      <c r="J232">
        <f>IFERROR(IF(AND(H232&lt;&gt;"",H232&gt;=129,H232&lt;=2176),INDEX(Fields!$B$2:$B$206,MATCH(H232-129,Fields!$D$2:$D$206,1)),""),"")</f>
        <v/>
      </c>
      <c r="K232">
        <f>IFERROR(IF(AND(H232&lt;&gt;"",H232&gt;=129,H232&lt;=2176),INDEX(Fields!$C$2:$C$206,MATCH(H232-129,Fields!$D$2:$D$206,1)),""),"")</f>
        <v/>
      </c>
      <c r="L232">
        <f>IFERROR(IF(AND(H232&lt;&gt;"",H232&gt;=129,H232&lt;=2176),INDEX(Fields!$J$2:$J$206,MATCH(H232-129,Fields!$D$2:$D$206,1)),""),"")</f>
        <v/>
      </c>
      <c r="M232">
        <f>IFERROR(IF(AND(H232&lt;&gt;"",H232&gt;=129,H232&lt;=2176),INDEX(Fields!$K$2:$K$206,MATCH(H232-129,Fields!$D$2:$D$206,1)),""),"")</f>
        <v/>
      </c>
    </row>
    <row r="233">
      <c r="A233" t="n">
        <v>231</v>
      </c>
      <c r="B233" t="n">
        <v>0</v>
      </c>
      <c r="C233" t="inlineStr">
        <is>
          <t>No</t>
        </is>
      </c>
      <c r="D233">
        <f>IF(AND(B228=1,B229=1,B230=1,B231=1,B232=1),"Yes","")</f>
        <v/>
      </c>
      <c r="E233" t="inlineStr">
        <is>
          <t>No</t>
        </is>
      </c>
      <c r="F233" t="inlineStr">
        <is>
          <t>No</t>
        </is>
      </c>
      <c r="G233">
        <f>IF(F233="Yes",1-B233,B233)</f>
        <v/>
      </c>
      <c r="H233">
        <f>IF(E233="Yes","",COUNTIFS($E$2:E233,"No"))</f>
        <v/>
      </c>
      <c r="I233">
        <f>IF(H233="","",IF(H233&lt;=128,"address",IF(H233&lt;=600,"data1",IF(H233&lt;=1264,"zero-run1",IF(H233&lt;=1648,"data2",IF(H233&lt;=2176,"zero-run2",IF(H233&lt;=2192,"FCS","trailing")))))))</f>
        <v/>
      </c>
      <c r="J233">
        <f>IFERROR(IF(AND(H233&lt;&gt;"",H233&gt;=129,H233&lt;=2176),INDEX(Fields!$B$2:$B$206,MATCH(H233-129,Fields!$D$2:$D$206,1)),""),"")</f>
        <v/>
      </c>
      <c r="K233">
        <f>IFERROR(IF(AND(H233&lt;&gt;"",H233&gt;=129,H233&lt;=2176),INDEX(Fields!$C$2:$C$206,MATCH(H233-129,Fields!$D$2:$D$206,1)),""),"")</f>
        <v/>
      </c>
      <c r="L233">
        <f>IFERROR(IF(AND(H233&lt;&gt;"",H233&gt;=129,H233&lt;=2176),INDEX(Fields!$J$2:$J$206,MATCH(H233-129,Fields!$D$2:$D$206,1)),""),"")</f>
        <v/>
      </c>
      <c r="M233">
        <f>IFERROR(IF(AND(H233&lt;&gt;"",H233&gt;=129,H233&lt;=2176),INDEX(Fields!$K$2:$K$206,MATCH(H233-129,Fields!$D$2:$D$206,1)),""),"")</f>
        <v/>
      </c>
    </row>
    <row r="234">
      <c r="A234" t="n">
        <v>232</v>
      </c>
      <c r="B234" t="n">
        <v>0</v>
      </c>
      <c r="C234" t="inlineStr">
        <is>
          <t>No</t>
        </is>
      </c>
      <c r="D234">
        <f>IF(AND(B229=1,B230=1,B231=1,B232=1,B233=1),"Yes","")</f>
        <v/>
      </c>
      <c r="E234" t="inlineStr">
        <is>
          <t>No</t>
        </is>
      </c>
      <c r="F234" t="inlineStr">
        <is>
          <t>No</t>
        </is>
      </c>
      <c r="G234">
        <f>IF(F234="Yes",1-B234,B234)</f>
        <v/>
      </c>
      <c r="H234">
        <f>IF(E234="Yes","",COUNTIFS($E$2:E234,"No"))</f>
        <v/>
      </c>
      <c r="I234">
        <f>IF(H234="","",IF(H234&lt;=128,"address",IF(H234&lt;=600,"data1",IF(H234&lt;=1264,"zero-run1",IF(H234&lt;=1648,"data2",IF(H234&lt;=2176,"zero-run2",IF(H234&lt;=2192,"FCS","trailing")))))))</f>
        <v/>
      </c>
      <c r="J234">
        <f>IFERROR(IF(AND(H234&lt;&gt;"",H234&gt;=129,H234&lt;=2176),INDEX(Fields!$B$2:$B$206,MATCH(H234-129,Fields!$D$2:$D$206,1)),""),"")</f>
        <v/>
      </c>
      <c r="K234">
        <f>IFERROR(IF(AND(H234&lt;&gt;"",H234&gt;=129,H234&lt;=2176),INDEX(Fields!$C$2:$C$206,MATCH(H234-129,Fields!$D$2:$D$206,1)),""),"")</f>
        <v/>
      </c>
      <c r="L234">
        <f>IFERROR(IF(AND(H234&lt;&gt;"",H234&gt;=129,H234&lt;=2176),INDEX(Fields!$J$2:$J$206,MATCH(H234-129,Fields!$D$2:$D$206,1)),""),"")</f>
        <v/>
      </c>
      <c r="M234">
        <f>IFERROR(IF(AND(H234&lt;&gt;"",H234&gt;=129,H234&lt;=2176),INDEX(Fields!$K$2:$K$206,MATCH(H234-129,Fields!$D$2:$D$206,1)),""),"")</f>
        <v/>
      </c>
    </row>
    <row r="235">
      <c r="A235" t="n">
        <v>233</v>
      </c>
      <c r="B235" t="n">
        <v>0</v>
      </c>
      <c r="C235" t="inlineStr">
        <is>
          <t>No</t>
        </is>
      </c>
      <c r="D235">
        <f>IF(AND(B230=1,B231=1,B232=1,B233=1,B234=1),"Yes","")</f>
        <v/>
      </c>
      <c r="E235" t="inlineStr">
        <is>
          <t>No</t>
        </is>
      </c>
      <c r="F235" t="inlineStr">
        <is>
          <t>No</t>
        </is>
      </c>
      <c r="G235">
        <f>IF(F235="Yes",1-B235,B235)</f>
        <v/>
      </c>
      <c r="H235">
        <f>IF(E235="Yes","",COUNTIFS($E$2:E235,"No"))</f>
        <v/>
      </c>
      <c r="I235">
        <f>IF(H235="","",IF(H235&lt;=128,"address",IF(H235&lt;=600,"data1",IF(H235&lt;=1264,"zero-run1",IF(H235&lt;=1648,"data2",IF(H235&lt;=2176,"zero-run2",IF(H235&lt;=2192,"FCS","trailing")))))))</f>
        <v/>
      </c>
      <c r="J235">
        <f>IFERROR(IF(AND(H235&lt;&gt;"",H235&gt;=129,H235&lt;=2176),INDEX(Fields!$B$2:$B$206,MATCH(H235-129,Fields!$D$2:$D$206,1)),""),"")</f>
        <v/>
      </c>
      <c r="K235">
        <f>IFERROR(IF(AND(H235&lt;&gt;"",H235&gt;=129,H235&lt;=2176),INDEX(Fields!$C$2:$C$206,MATCH(H235-129,Fields!$D$2:$D$206,1)),""),"")</f>
        <v/>
      </c>
      <c r="L235">
        <f>IFERROR(IF(AND(H235&lt;&gt;"",H235&gt;=129,H235&lt;=2176),INDEX(Fields!$J$2:$J$206,MATCH(H235-129,Fields!$D$2:$D$206,1)),""),"")</f>
        <v/>
      </c>
      <c r="M235">
        <f>IFERROR(IF(AND(H235&lt;&gt;"",H235&gt;=129,H235&lt;=2176),INDEX(Fields!$K$2:$K$206,MATCH(H235-129,Fields!$D$2:$D$206,1)),""),"")</f>
        <v/>
      </c>
    </row>
    <row r="236">
      <c r="A236" t="n">
        <v>234</v>
      </c>
      <c r="B236" t="n">
        <v>0</v>
      </c>
      <c r="C236" t="inlineStr">
        <is>
          <t>No</t>
        </is>
      </c>
      <c r="D236">
        <f>IF(AND(B231=1,B232=1,B233=1,B234=1,B235=1),"Yes","")</f>
        <v/>
      </c>
      <c r="E236" t="inlineStr">
        <is>
          <t>No</t>
        </is>
      </c>
      <c r="F236" t="inlineStr">
        <is>
          <t>No</t>
        </is>
      </c>
      <c r="G236">
        <f>IF(F236="Yes",1-B236,B236)</f>
        <v/>
      </c>
      <c r="H236">
        <f>IF(E236="Yes","",COUNTIFS($E$2:E236,"No"))</f>
        <v/>
      </c>
      <c r="I236">
        <f>IF(H236="","",IF(H236&lt;=128,"address",IF(H236&lt;=600,"data1",IF(H236&lt;=1264,"zero-run1",IF(H236&lt;=1648,"data2",IF(H236&lt;=2176,"zero-run2",IF(H236&lt;=2192,"FCS","trailing")))))))</f>
        <v/>
      </c>
      <c r="J236">
        <f>IFERROR(IF(AND(H236&lt;&gt;"",H236&gt;=129,H236&lt;=2176),INDEX(Fields!$B$2:$B$206,MATCH(H236-129,Fields!$D$2:$D$206,1)),""),"")</f>
        <v/>
      </c>
      <c r="K236">
        <f>IFERROR(IF(AND(H236&lt;&gt;"",H236&gt;=129,H236&lt;=2176),INDEX(Fields!$C$2:$C$206,MATCH(H236-129,Fields!$D$2:$D$206,1)),""),"")</f>
        <v/>
      </c>
      <c r="L236">
        <f>IFERROR(IF(AND(H236&lt;&gt;"",H236&gt;=129,H236&lt;=2176),INDEX(Fields!$J$2:$J$206,MATCH(H236-129,Fields!$D$2:$D$206,1)),""),"")</f>
        <v/>
      </c>
      <c r="M236">
        <f>IFERROR(IF(AND(H236&lt;&gt;"",H236&gt;=129,H236&lt;=2176),INDEX(Fields!$K$2:$K$206,MATCH(H236-129,Fields!$D$2:$D$206,1)),""),"")</f>
        <v/>
      </c>
    </row>
    <row r="237">
      <c r="A237" t="n">
        <v>235</v>
      </c>
      <c r="B237" t="n">
        <v>0</v>
      </c>
      <c r="C237" t="inlineStr">
        <is>
          <t>No</t>
        </is>
      </c>
      <c r="D237">
        <f>IF(AND(B232=1,B233=1,B234=1,B235=1,B236=1),"Yes","")</f>
        <v/>
      </c>
      <c r="E237" t="inlineStr">
        <is>
          <t>No</t>
        </is>
      </c>
      <c r="F237" t="inlineStr">
        <is>
          <t>No</t>
        </is>
      </c>
      <c r="G237">
        <f>IF(F237="Yes",1-B237,B237)</f>
        <v/>
      </c>
      <c r="H237">
        <f>IF(E237="Yes","",COUNTIFS($E$2:E237,"No"))</f>
        <v/>
      </c>
      <c r="I237">
        <f>IF(H237="","",IF(H237&lt;=128,"address",IF(H237&lt;=600,"data1",IF(H237&lt;=1264,"zero-run1",IF(H237&lt;=1648,"data2",IF(H237&lt;=2176,"zero-run2",IF(H237&lt;=2192,"FCS","trailing")))))))</f>
        <v/>
      </c>
      <c r="J237">
        <f>IFERROR(IF(AND(H237&lt;&gt;"",H237&gt;=129,H237&lt;=2176),INDEX(Fields!$B$2:$B$206,MATCH(H237-129,Fields!$D$2:$D$206,1)),""),"")</f>
        <v/>
      </c>
      <c r="K237">
        <f>IFERROR(IF(AND(H237&lt;&gt;"",H237&gt;=129,H237&lt;=2176),INDEX(Fields!$C$2:$C$206,MATCH(H237-129,Fields!$D$2:$D$206,1)),""),"")</f>
        <v/>
      </c>
      <c r="L237">
        <f>IFERROR(IF(AND(H237&lt;&gt;"",H237&gt;=129,H237&lt;=2176),INDEX(Fields!$J$2:$J$206,MATCH(H237-129,Fields!$D$2:$D$206,1)),""),"")</f>
        <v/>
      </c>
      <c r="M237">
        <f>IFERROR(IF(AND(H237&lt;&gt;"",H237&gt;=129,H237&lt;=2176),INDEX(Fields!$K$2:$K$206,MATCH(H237-129,Fields!$D$2:$D$206,1)),""),"")</f>
        <v/>
      </c>
    </row>
    <row r="238">
      <c r="A238" t="n">
        <v>236</v>
      </c>
      <c r="B238" t="n">
        <v>0</v>
      </c>
      <c r="C238" t="inlineStr">
        <is>
          <t>No</t>
        </is>
      </c>
      <c r="D238">
        <f>IF(AND(B233=1,B234=1,B235=1,B236=1,B237=1),"Yes","")</f>
        <v/>
      </c>
      <c r="E238" t="inlineStr">
        <is>
          <t>No</t>
        </is>
      </c>
      <c r="F238" t="inlineStr">
        <is>
          <t>No</t>
        </is>
      </c>
      <c r="G238">
        <f>IF(F238="Yes",1-B238,B238)</f>
        <v/>
      </c>
      <c r="H238">
        <f>IF(E238="Yes","",COUNTIFS($E$2:E238,"No"))</f>
        <v/>
      </c>
      <c r="I238">
        <f>IF(H238="","",IF(H238&lt;=128,"address",IF(H238&lt;=600,"data1",IF(H238&lt;=1264,"zero-run1",IF(H238&lt;=1648,"data2",IF(H238&lt;=2176,"zero-run2",IF(H238&lt;=2192,"FCS","trailing")))))))</f>
        <v/>
      </c>
      <c r="J238">
        <f>IFERROR(IF(AND(H238&lt;&gt;"",H238&gt;=129,H238&lt;=2176),INDEX(Fields!$B$2:$B$206,MATCH(H238-129,Fields!$D$2:$D$206,1)),""),"")</f>
        <v/>
      </c>
      <c r="K238">
        <f>IFERROR(IF(AND(H238&lt;&gt;"",H238&gt;=129,H238&lt;=2176),INDEX(Fields!$C$2:$C$206,MATCH(H238-129,Fields!$D$2:$D$206,1)),""),"")</f>
        <v/>
      </c>
      <c r="L238">
        <f>IFERROR(IF(AND(H238&lt;&gt;"",H238&gt;=129,H238&lt;=2176),INDEX(Fields!$J$2:$J$206,MATCH(H238-129,Fields!$D$2:$D$206,1)),""),"")</f>
        <v/>
      </c>
      <c r="M238">
        <f>IFERROR(IF(AND(H238&lt;&gt;"",H238&gt;=129,H238&lt;=2176),INDEX(Fields!$K$2:$K$206,MATCH(H238-129,Fields!$D$2:$D$206,1)),""),"")</f>
        <v/>
      </c>
    </row>
    <row r="239">
      <c r="A239" t="n">
        <v>237</v>
      </c>
      <c r="B239" t="n">
        <v>0</v>
      </c>
      <c r="C239" t="inlineStr">
        <is>
          <t>No</t>
        </is>
      </c>
      <c r="D239">
        <f>IF(AND(B234=1,B235=1,B236=1,B237=1,B238=1),"Yes","")</f>
        <v/>
      </c>
      <c r="E239" t="inlineStr">
        <is>
          <t>No</t>
        </is>
      </c>
      <c r="F239" t="inlineStr">
        <is>
          <t>No</t>
        </is>
      </c>
      <c r="G239">
        <f>IF(F239="Yes",1-B239,B239)</f>
        <v/>
      </c>
      <c r="H239">
        <f>IF(E239="Yes","",COUNTIFS($E$2:E239,"No"))</f>
        <v/>
      </c>
      <c r="I239">
        <f>IF(H239="","",IF(H239&lt;=128,"address",IF(H239&lt;=600,"data1",IF(H239&lt;=1264,"zero-run1",IF(H239&lt;=1648,"data2",IF(H239&lt;=2176,"zero-run2",IF(H239&lt;=2192,"FCS","trailing")))))))</f>
        <v/>
      </c>
      <c r="J239">
        <f>IFERROR(IF(AND(H239&lt;&gt;"",H239&gt;=129,H239&lt;=2176),INDEX(Fields!$B$2:$B$206,MATCH(H239-129,Fields!$D$2:$D$206,1)),""),"")</f>
        <v/>
      </c>
      <c r="K239">
        <f>IFERROR(IF(AND(H239&lt;&gt;"",H239&gt;=129,H239&lt;=2176),INDEX(Fields!$C$2:$C$206,MATCH(H239-129,Fields!$D$2:$D$206,1)),""),"")</f>
        <v/>
      </c>
      <c r="L239">
        <f>IFERROR(IF(AND(H239&lt;&gt;"",H239&gt;=129,H239&lt;=2176),INDEX(Fields!$J$2:$J$206,MATCH(H239-129,Fields!$D$2:$D$206,1)),""),"")</f>
        <v/>
      </c>
      <c r="M239">
        <f>IFERROR(IF(AND(H239&lt;&gt;"",H239&gt;=129,H239&lt;=2176),INDEX(Fields!$K$2:$K$206,MATCH(H239-129,Fields!$D$2:$D$206,1)),""),"")</f>
        <v/>
      </c>
    </row>
    <row r="240">
      <c r="A240" t="n">
        <v>238</v>
      </c>
      <c r="B240" t="n">
        <v>0</v>
      </c>
      <c r="C240" t="inlineStr">
        <is>
          <t>No</t>
        </is>
      </c>
      <c r="D240">
        <f>IF(AND(B235=1,B236=1,B237=1,B238=1,B239=1),"Yes","")</f>
        <v/>
      </c>
      <c r="E240" t="inlineStr">
        <is>
          <t>No</t>
        </is>
      </c>
      <c r="F240" t="inlineStr">
        <is>
          <t>No</t>
        </is>
      </c>
      <c r="G240">
        <f>IF(F240="Yes",1-B240,B240)</f>
        <v/>
      </c>
      <c r="H240">
        <f>IF(E240="Yes","",COUNTIFS($E$2:E240,"No"))</f>
        <v/>
      </c>
      <c r="I240">
        <f>IF(H240="","",IF(H240&lt;=128,"address",IF(H240&lt;=600,"data1",IF(H240&lt;=1264,"zero-run1",IF(H240&lt;=1648,"data2",IF(H240&lt;=2176,"zero-run2",IF(H240&lt;=2192,"FCS","trailing")))))))</f>
        <v/>
      </c>
      <c r="J240">
        <f>IFERROR(IF(AND(H240&lt;&gt;"",H240&gt;=129,H240&lt;=2176),INDEX(Fields!$B$2:$B$206,MATCH(H240-129,Fields!$D$2:$D$206,1)),""),"")</f>
        <v/>
      </c>
      <c r="K240">
        <f>IFERROR(IF(AND(H240&lt;&gt;"",H240&gt;=129,H240&lt;=2176),INDEX(Fields!$C$2:$C$206,MATCH(H240-129,Fields!$D$2:$D$206,1)),""),"")</f>
        <v/>
      </c>
      <c r="L240">
        <f>IFERROR(IF(AND(H240&lt;&gt;"",H240&gt;=129,H240&lt;=2176),INDEX(Fields!$J$2:$J$206,MATCH(H240-129,Fields!$D$2:$D$206,1)),""),"")</f>
        <v/>
      </c>
      <c r="M240">
        <f>IFERROR(IF(AND(H240&lt;&gt;"",H240&gt;=129,H240&lt;=2176),INDEX(Fields!$K$2:$K$206,MATCH(H240-129,Fields!$D$2:$D$206,1)),""),"")</f>
        <v/>
      </c>
    </row>
    <row r="241">
      <c r="A241" t="n">
        <v>239</v>
      </c>
      <c r="B241" t="n">
        <v>0</v>
      </c>
      <c r="C241" t="inlineStr">
        <is>
          <t>No</t>
        </is>
      </c>
      <c r="D241">
        <f>IF(AND(B236=1,B237=1,B238=1,B239=1,B240=1),"Yes","")</f>
        <v/>
      </c>
      <c r="E241" t="inlineStr">
        <is>
          <t>No</t>
        </is>
      </c>
      <c r="F241" t="inlineStr">
        <is>
          <t>No</t>
        </is>
      </c>
      <c r="G241">
        <f>IF(F241="Yes",1-B241,B241)</f>
        <v/>
      </c>
      <c r="H241">
        <f>IF(E241="Yes","",COUNTIFS($E$2:E241,"No"))</f>
        <v/>
      </c>
      <c r="I241">
        <f>IF(H241="","",IF(H241&lt;=128,"address",IF(H241&lt;=600,"data1",IF(H241&lt;=1264,"zero-run1",IF(H241&lt;=1648,"data2",IF(H241&lt;=2176,"zero-run2",IF(H241&lt;=2192,"FCS","trailing")))))))</f>
        <v/>
      </c>
      <c r="J241">
        <f>IFERROR(IF(AND(H241&lt;&gt;"",H241&gt;=129,H241&lt;=2176),INDEX(Fields!$B$2:$B$206,MATCH(H241-129,Fields!$D$2:$D$206,1)),""),"")</f>
        <v/>
      </c>
      <c r="K241">
        <f>IFERROR(IF(AND(H241&lt;&gt;"",H241&gt;=129,H241&lt;=2176),INDEX(Fields!$C$2:$C$206,MATCH(H241-129,Fields!$D$2:$D$206,1)),""),"")</f>
        <v/>
      </c>
      <c r="L241">
        <f>IFERROR(IF(AND(H241&lt;&gt;"",H241&gt;=129,H241&lt;=2176),INDEX(Fields!$J$2:$J$206,MATCH(H241-129,Fields!$D$2:$D$206,1)),""),"")</f>
        <v/>
      </c>
      <c r="M241">
        <f>IFERROR(IF(AND(H241&lt;&gt;"",H241&gt;=129,H241&lt;=2176),INDEX(Fields!$K$2:$K$206,MATCH(H241-129,Fields!$D$2:$D$206,1)),""),"")</f>
        <v/>
      </c>
    </row>
    <row r="242">
      <c r="A242" t="n">
        <v>240</v>
      </c>
      <c r="B242" t="n">
        <v>0</v>
      </c>
      <c r="C242" t="inlineStr">
        <is>
          <t>No</t>
        </is>
      </c>
      <c r="D242">
        <f>IF(AND(B237=1,B238=1,B239=1,B240=1,B241=1),"Yes","")</f>
        <v/>
      </c>
      <c r="E242" t="inlineStr">
        <is>
          <t>No</t>
        </is>
      </c>
      <c r="F242" t="inlineStr">
        <is>
          <t>No</t>
        </is>
      </c>
      <c r="G242">
        <f>IF(F242="Yes",1-B242,B242)</f>
        <v/>
      </c>
      <c r="H242">
        <f>IF(E242="Yes","",COUNTIFS($E$2:E242,"No"))</f>
        <v/>
      </c>
      <c r="I242">
        <f>IF(H242="","",IF(H242&lt;=128,"address",IF(H242&lt;=600,"data1",IF(H242&lt;=1264,"zero-run1",IF(H242&lt;=1648,"data2",IF(H242&lt;=2176,"zero-run2",IF(H242&lt;=2192,"FCS","trailing")))))))</f>
        <v/>
      </c>
      <c r="J242">
        <f>IFERROR(IF(AND(H242&lt;&gt;"",H242&gt;=129,H242&lt;=2176),INDEX(Fields!$B$2:$B$206,MATCH(H242-129,Fields!$D$2:$D$206,1)),""),"")</f>
        <v/>
      </c>
      <c r="K242">
        <f>IFERROR(IF(AND(H242&lt;&gt;"",H242&gt;=129,H242&lt;=2176),INDEX(Fields!$C$2:$C$206,MATCH(H242-129,Fields!$D$2:$D$206,1)),""),"")</f>
        <v/>
      </c>
      <c r="L242">
        <f>IFERROR(IF(AND(H242&lt;&gt;"",H242&gt;=129,H242&lt;=2176),INDEX(Fields!$J$2:$J$206,MATCH(H242-129,Fields!$D$2:$D$206,1)),""),"")</f>
        <v/>
      </c>
      <c r="M242">
        <f>IFERROR(IF(AND(H242&lt;&gt;"",H242&gt;=129,H242&lt;=2176),INDEX(Fields!$K$2:$K$206,MATCH(H242-129,Fields!$D$2:$D$206,1)),""),"")</f>
        <v/>
      </c>
    </row>
    <row r="243">
      <c r="A243" t="n">
        <v>241</v>
      </c>
      <c r="B243" t="n">
        <v>0</v>
      </c>
      <c r="C243" t="inlineStr">
        <is>
          <t>No</t>
        </is>
      </c>
      <c r="D243">
        <f>IF(AND(B238=1,B239=1,B240=1,B241=1,B242=1),"Yes","")</f>
        <v/>
      </c>
      <c r="E243" t="inlineStr">
        <is>
          <t>No</t>
        </is>
      </c>
      <c r="F243" t="inlineStr">
        <is>
          <t>No</t>
        </is>
      </c>
      <c r="G243">
        <f>IF(F243="Yes",1-B243,B243)</f>
        <v/>
      </c>
      <c r="H243">
        <f>IF(E243="Yes","",COUNTIFS($E$2:E243,"No"))</f>
        <v/>
      </c>
      <c r="I243">
        <f>IF(H243="","",IF(H243&lt;=128,"address",IF(H243&lt;=600,"data1",IF(H243&lt;=1264,"zero-run1",IF(H243&lt;=1648,"data2",IF(H243&lt;=2176,"zero-run2",IF(H243&lt;=2192,"FCS","trailing")))))))</f>
        <v/>
      </c>
      <c r="J243">
        <f>IFERROR(IF(AND(H243&lt;&gt;"",H243&gt;=129,H243&lt;=2176),INDEX(Fields!$B$2:$B$206,MATCH(H243-129,Fields!$D$2:$D$206,1)),""),"")</f>
        <v/>
      </c>
      <c r="K243">
        <f>IFERROR(IF(AND(H243&lt;&gt;"",H243&gt;=129,H243&lt;=2176),INDEX(Fields!$C$2:$C$206,MATCH(H243-129,Fields!$D$2:$D$206,1)),""),"")</f>
        <v/>
      </c>
      <c r="L243">
        <f>IFERROR(IF(AND(H243&lt;&gt;"",H243&gt;=129,H243&lt;=2176),INDEX(Fields!$J$2:$J$206,MATCH(H243-129,Fields!$D$2:$D$206,1)),""),"")</f>
        <v/>
      </c>
      <c r="M243">
        <f>IFERROR(IF(AND(H243&lt;&gt;"",H243&gt;=129,H243&lt;=2176),INDEX(Fields!$K$2:$K$206,MATCH(H243-129,Fields!$D$2:$D$206,1)),""),"")</f>
        <v/>
      </c>
    </row>
    <row r="244">
      <c r="A244" t="n">
        <v>242</v>
      </c>
      <c r="B244" t="n">
        <v>0</v>
      </c>
      <c r="C244" t="inlineStr">
        <is>
          <t>No</t>
        </is>
      </c>
      <c r="D244">
        <f>IF(AND(B239=1,B240=1,B241=1,B242=1,B243=1),"Yes","")</f>
        <v/>
      </c>
      <c r="E244" t="inlineStr">
        <is>
          <t>No</t>
        </is>
      </c>
      <c r="F244" t="inlineStr">
        <is>
          <t>No</t>
        </is>
      </c>
      <c r="G244">
        <f>IF(F244="Yes",1-B244,B244)</f>
        <v/>
      </c>
      <c r="H244">
        <f>IF(E244="Yes","",COUNTIFS($E$2:E244,"No"))</f>
        <v/>
      </c>
      <c r="I244">
        <f>IF(H244="","",IF(H244&lt;=128,"address",IF(H244&lt;=600,"data1",IF(H244&lt;=1264,"zero-run1",IF(H244&lt;=1648,"data2",IF(H244&lt;=2176,"zero-run2",IF(H244&lt;=2192,"FCS","trailing")))))))</f>
        <v/>
      </c>
      <c r="J244">
        <f>IFERROR(IF(AND(H244&lt;&gt;"",H244&gt;=129,H244&lt;=2176),INDEX(Fields!$B$2:$B$206,MATCH(H244-129,Fields!$D$2:$D$206,1)),""),"")</f>
        <v/>
      </c>
      <c r="K244">
        <f>IFERROR(IF(AND(H244&lt;&gt;"",H244&gt;=129,H244&lt;=2176),INDEX(Fields!$C$2:$C$206,MATCH(H244-129,Fields!$D$2:$D$206,1)),""),"")</f>
        <v/>
      </c>
      <c r="L244">
        <f>IFERROR(IF(AND(H244&lt;&gt;"",H244&gt;=129,H244&lt;=2176),INDEX(Fields!$J$2:$J$206,MATCH(H244-129,Fields!$D$2:$D$206,1)),""),"")</f>
        <v/>
      </c>
      <c r="M244">
        <f>IFERROR(IF(AND(H244&lt;&gt;"",H244&gt;=129,H244&lt;=2176),INDEX(Fields!$K$2:$K$206,MATCH(H244-129,Fields!$D$2:$D$206,1)),""),"")</f>
        <v/>
      </c>
    </row>
    <row r="245">
      <c r="A245" t="n">
        <v>243</v>
      </c>
      <c r="B245" t="n">
        <v>0</v>
      </c>
      <c r="C245" t="inlineStr">
        <is>
          <t>No</t>
        </is>
      </c>
      <c r="D245">
        <f>IF(AND(B240=1,B241=1,B242=1,B243=1,B244=1),"Yes","")</f>
        <v/>
      </c>
      <c r="E245" t="inlineStr">
        <is>
          <t>No</t>
        </is>
      </c>
      <c r="F245" t="inlineStr">
        <is>
          <t>No</t>
        </is>
      </c>
      <c r="G245">
        <f>IF(F245="Yes",1-B245,B245)</f>
        <v/>
      </c>
      <c r="H245">
        <f>IF(E245="Yes","",COUNTIFS($E$2:E245,"No"))</f>
        <v/>
      </c>
      <c r="I245">
        <f>IF(H245="","",IF(H245&lt;=128,"address",IF(H245&lt;=600,"data1",IF(H245&lt;=1264,"zero-run1",IF(H245&lt;=1648,"data2",IF(H245&lt;=2176,"zero-run2",IF(H245&lt;=2192,"FCS","trailing")))))))</f>
        <v/>
      </c>
      <c r="J245">
        <f>IFERROR(IF(AND(H245&lt;&gt;"",H245&gt;=129,H245&lt;=2176),INDEX(Fields!$B$2:$B$206,MATCH(H245-129,Fields!$D$2:$D$206,1)),""),"")</f>
        <v/>
      </c>
      <c r="K245">
        <f>IFERROR(IF(AND(H245&lt;&gt;"",H245&gt;=129,H245&lt;=2176),INDEX(Fields!$C$2:$C$206,MATCH(H245-129,Fields!$D$2:$D$206,1)),""),"")</f>
        <v/>
      </c>
      <c r="L245">
        <f>IFERROR(IF(AND(H245&lt;&gt;"",H245&gt;=129,H245&lt;=2176),INDEX(Fields!$J$2:$J$206,MATCH(H245-129,Fields!$D$2:$D$206,1)),""),"")</f>
        <v/>
      </c>
      <c r="M245">
        <f>IFERROR(IF(AND(H245&lt;&gt;"",H245&gt;=129,H245&lt;=2176),INDEX(Fields!$K$2:$K$206,MATCH(H245-129,Fields!$D$2:$D$206,1)),""),"")</f>
        <v/>
      </c>
    </row>
    <row r="246">
      <c r="A246" t="n">
        <v>244</v>
      </c>
      <c r="B246" t="n">
        <v>0</v>
      </c>
      <c r="C246" t="inlineStr">
        <is>
          <t>No</t>
        </is>
      </c>
      <c r="D246">
        <f>IF(AND(B241=1,B242=1,B243=1,B244=1,B245=1),"Yes","")</f>
        <v/>
      </c>
      <c r="E246" t="inlineStr">
        <is>
          <t>No</t>
        </is>
      </c>
      <c r="F246" t="inlineStr">
        <is>
          <t>No</t>
        </is>
      </c>
      <c r="G246">
        <f>IF(F246="Yes",1-B246,B246)</f>
        <v/>
      </c>
      <c r="H246">
        <f>IF(E246="Yes","",COUNTIFS($E$2:E246,"No"))</f>
        <v/>
      </c>
      <c r="I246">
        <f>IF(H246="","",IF(H246&lt;=128,"address",IF(H246&lt;=600,"data1",IF(H246&lt;=1264,"zero-run1",IF(H246&lt;=1648,"data2",IF(H246&lt;=2176,"zero-run2",IF(H246&lt;=2192,"FCS","trailing")))))))</f>
        <v/>
      </c>
      <c r="J246">
        <f>IFERROR(IF(AND(H246&lt;&gt;"",H246&gt;=129,H246&lt;=2176),INDEX(Fields!$B$2:$B$206,MATCH(H246-129,Fields!$D$2:$D$206,1)),""),"")</f>
        <v/>
      </c>
      <c r="K246">
        <f>IFERROR(IF(AND(H246&lt;&gt;"",H246&gt;=129,H246&lt;=2176),INDEX(Fields!$C$2:$C$206,MATCH(H246-129,Fields!$D$2:$D$206,1)),""),"")</f>
        <v/>
      </c>
      <c r="L246">
        <f>IFERROR(IF(AND(H246&lt;&gt;"",H246&gt;=129,H246&lt;=2176),INDEX(Fields!$J$2:$J$206,MATCH(H246-129,Fields!$D$2:$D$206,1)),""),"")</f>
        <v/>
      </c>
      <c r="M246">
        <f>IFERROR(IF(AND(H246&lt;&gt;"",H246&gt;=129,H246&lt;=2176),INDEX(Fields!$K$2:$K$206,MATCH(H246-129,Fields!$D$2:$D$206,1)),""),"")</f>
        <v/>
      </c>
    </row>
    <row r="247">
      <c r="A247" t="n">
        <v>245</v>
      </c>
      <c r="B247" t="n">
        <v>0</v>
      </c>
      <c r="C247" t="inlineStr">
        <is>
          <t>No</t>
        </is>
      </c>
      <c r="D247">
        <f>IF(AND(B242=1,B243=1,B244=1,B245=1,B246=1),"Yes","")</f>
        <v/>
      </c>
      <c r="E247" t="inlineStr">
        <is>
          <t>No</t>
        </is>
      </c>
      <c r="F247" t="inlineStr">
        <is>
          <t>No</t>
        </is>
      </c>
      <c r="G247">
        <f>IF(F247="Yes",1-B247,B247)</f>
        <v/>
      </c>
      <c r="H247">
        <f>IF(E247="Yes","",COUNTIFS($E$2:E247,"No"))</f>
        <v/>
      </c>
      <c r="I247">
        <f>IF(H247="","",IF(H247&lt;=128,"address",IF(H247&lt;=600,"data1",IF(H247&lt;=1264,"zero-run1",IF(H247&lt;=1648,"data2",IF(H247&lt;=2176,"zero-run2",IF(H247&lt;=2192,"FCS","trailing")))))))</f>
        <v/>
      </c>
      <c r="J247">
        <f>IFERROR(IF(AND(H247&lt;&gt;"",H247&gt;=129,H247&lt;=2176),INDEX(Fields!$B$2:$B$206,MATCH(H247-129,Fields!$D$2:$D$206,1)),""),"")</f>
        <v/>
      </c>
      <c r="K247">
        <f>IFERROR(IF(AND(H247&lt;&gt;"",H247&gt;=129,H247&lt;=2176),INDEX(Fields!$C$2:$C$206,MATCH(H247-129,Fields!$D$2:$D$206,1)),""),"")</f>
        <v/>
      </c>
      <c r="L247">
        <f>IFERROR(IF(AND(H247&lt;&gt;"",H247&gt;=129,H247&lt;=2176),INDEX(Fields!$J$2:$J$206,MATCH(H247-129,Fields!$D$2:$D$206,1)),""),"")</f>
        <v/>
      </c>
      <c r="M247">
        <f>IFERROR(IF(AND(H247&lt;&gt;"",H247&gt;=129,H247&lt;=2176),INDEX(Fields!$K$2:$K$206,MATCH(H247-129,Fields!$D$2:$D$206,1)),""),"")</f>
        <v/>
      </c>
    </row>
    <row r="248">
      <c r="A248" t="n">
        <v>246</v>
      </c>
      <c r="B248" t="n">
        <v>0</v>
      </c>
      <c r="C248" t="inlineStr">
        <is>
          <t>No</t>
        </is>
      </c>
      <c r="D248">
        <f>IF(AND(B243=1,B244=1,B245=1,B246=1,B247=1),"Yes","")</f>
        <v/>
      </c>
      <c r="E248" t="inlineStr">
        <is>
          <t>No</t>
        </is>
      </c>
      <c r="F248" t="inlineStr">
        <is>
          <t>No</t>
        </is>
      </c>
      <c r="G248">
        <f>IF(F248="Yes",1-B248,B248)</f>
        <v/>
      </c>
      <c r="H248">
        <f>IF(E248="Yes","",COUNTIFS($E$2:E248,"No"))</f>
        <v/>
      </c>
      <c r="I248">
        <f>IF(H248="","",IF(H248&lt;=128,"address",IF(H248&lt;=600,"data1",IF(H248&lt;=1264,"zero-run1",IF(H248&lt;=1648,"data2",IF(H248&lt;=2176,"zero-run2",IF(H248&lt;=2192,"FCS","trailing")))))))</f>
        <v/>
      </c>
      <c r="J248">
        <f>IFERROR(IF(AND(H248&lt;&gt;"",H248&gt;=129,H248&lt;=2176),INDEX(Fields!$B$2:$B$206,MATCH(H248-129,Fields!$D$2:$D$206,1)),""),"")</f>
        <v/>
      </c>
      <c r="K248">
        <f>IFERROR(IF(AND(H248&lt;&gt;"",H248&gt;=129,H248&lt;=2176),INDEX(Fields!$C$2:$C$206,MATCH(H248-129,Fields!$D$2:$D$206,1)),""),"")</f>
        <v/>
      </c>
      <c r="L248">
        <f>IFERROR(IF(AND(H248&lt;&gt;"",H248&gt;=129,H248&lt;=2176),INDEX(Fields!$J$2:$J$206,MATCH(H248-129,Fields!$D$2:$D$206,1)),""),"")</f>
        <v/>
      </c>
      <c r="M248">
        <f>IFERROR(IF(AND(H248&lt;&gt;"",H248&gt;=129,H248&lt;=2176),INDEX(Fields!$K$2:$K$206,MATCH(H248-129,Fields!$D$2:$D$206,1)),""),"")</f>
        <v/>
      </c>
    </row>
    <row r="249">
      <c r="A249" t="n">
        <v>247</v>
      </c>
      <c r="B249" t="n">
        <v>0</v>
      </c>
      <c r="C249" t="inlineStr">
        <is>
          <t>No</t>
        </is>
      </c>
      <c r="D249">
        <f>IF(AND(B244=1,B245=1,B246=1,B247=1,B248=1),"Yes","")</f>
        <v/>
      </c>
      <c r="E249" t="inlineStr">
        <is>
          <t>No</t>
        </is>
      </c>
      <c r="F249" t="inlineStr">
        <is>
          <t>No</t>
        </is>
      </c>
      <c r="G249">
        <f>IF(F249="Yes",1-B249,B249)</f>
        <v/>
      </c>
      <c r="H249">
        <f>IF(E249="Yes","",COUNTIFS($E$2:E249,"No"))</f>
        <v/>
      </c>
      <c r="I249">
        <f>IF(H249="","",IF(H249&lt;=128,"address",IF(H249&lt;=600,"data1",IF(H249&lt;=1264,"zero-run1",IF(H249&lt;=1648,"data2",IF(H249&lt;=2176,"zero-run2",IF(H249&lt;=2192,"FCS","trailing")))))))</f>
        <v/>
      </c>
      <c r="J249">
        <f>IFERROR(IF(AND(H249&lt;&gt;"",H249&gt;=129,H249&lt;=2176),INDEX(Fields!$B$2:$B$206,MATCH(H249-129,Fields!$D$2:$D$206,1)),""),"")</f>
        <v/>
      </c>
      <c r="K249">
        <f>IFERROR(IF(AND(H249&lt;&gt;"",H249&gt;=129,H249&lt;=2176),INDEX(Fields!$C$2:$C$206,MATCH(H249-129,Fields!$D$2:$D$206,1)),""),"")</f>
        <v/>
      </c>
      <c r="L249">
        <f>IFERROR(IF(AND(H249&lt;&gt;"",H249&gt;=129,H249&lt;=2176),INDEX(Fields!$J$2:$J$206,MATCH(H249-129,Fields!$D$2:$D$206,1)),""),"")</f>
        <v/>
      </c>
      <c r="M249">
        <f>IFERROR(IF(AND(H249&lt;&gt;"",H249&gt;=129,H249&lt;=2176),INDEX(Fields!$K$2:$K$206,MATCH(H249-129,Fields!$D$2:$D$206,1)),""),"")</f>
        <v/>
      </c>
    </row>
    <row r="250">
      <c r="A250" t="n">
        <v>248</v>
      </c>
      <c r="B250" t="n">
        <v>0</v>
      </c>
      <c r="C250" t="inlineStr">
        <is>
          <t>No</t>
        </is>
      </c>
      <c r="D250">
        <f>IF(AND(B245=1,B246=1,B247=1,B248=1,B249=1),"Yes","")</f>
        <v/>
      </c>
      <c r="E250" t="inlineStr">
        <is>
          <t>No</t>
        </is>
      </c>
      <c r="F250" t="inlineStr">
        <is>
          <t>No</t>
        </is>
      </c>
      <c r="G250">
        <f>IF(F250="Yes",1-B250,B250)</f>
        <v/>
      </c>
      <c r="H250">
        <f>IF(E250="Yes","",COUNTIFS($E$2:E250,"No"))</f>
        <v/>
      </c>
      <c r="I250">
        <f>IF(H250="","",IF(H250&lt;=128,"address",IF(H250&lt;=600,"data1",IF(H250&lt;=1264,"zero-run1",IF(H250&lt;=1648,"data2",IF(H250&lt;=2176,"zero-run2",IF(H250&lt;=2192,"FCS","trailing")))))))</f>
        <v/>
      </c>
      <c r="J250">
        <f>IFERROR(IF(AND(H250&lt;&gt;"",H250&gt;=129,H250&lt;=2176),INDEX(Fields!$B$2:$B$206,MATCH(H250-129,Fields!$D$2:$D$206,1)),""),"")</f>
        <v/>
      </c>
      <c r="K250">
        <f>IFERROR(IF(AND(H250&lt;&gt;"",H250&gt;=129,H250&lt;=2176),INDEX(Fields!$C$2:$C$206,MATCH(H250-129,Fields!$D$2:$D$206,1)),""),"")</f>
        <v/>
      </c>
      <c r="L250">
        <f>IFERROR(IF(AND(H250&lt;&gt;"",H250&gt;=129,H250&lt;=2176),INDEX(Fields!$J$2:$J$206,MATCH(H250-129,Fields!$D$2:$D$206,1)),""),"")</f>
        <v/>
      </c>
      <c r="M250">
        <f>IFERROR(IF(AND(H250&lt;&gt;"",H250&gt;=129,H250&lt;=2176),INDEX(Fields!$K$2:$K$206,MATCH(H250-129,Fields!$D$2:$D$206,1)),""),"")</f>
        <v/>
      </c>
    </row>
    <row r="251">
      <c r="A251" t="n">
        <v>249</v>
      </c>
      <c r="B251" t="n">
        <v>0</v>
      </c>
      <c r="C251" t="inlineStr">
        <is>
          <t>No</t>
        </is>
      </c>
      <c r="D251">
        <f>IF(AND(B246=1,B247=1,B248=1,B249=1,B250=1),"Yes","")</f>
        <v/>
      </c>
      <c r="E251" t="inlineStr">
        <is>
          <t>No</t>
        </is>
      </c>
      <c r="F251" t="inlineStr">
        <is>
          <t>No</t>
        </is>
      </c>
      <c r="G251">
        <f>IF(F251="Yes",1-B251,B251)</f>
        <v/>
      </c>
      <c r="H251">
        <f>IF(E251="Yes","",COUNTIFS($E$2:E251,"No"))</f>
        <v/>
      </c>
      <c r="I251">
        <f>IF(H251="","",IF(H251&lt;=128,"address",IF(H251&lt;=600,"data1",IF(H251&lt;=1264,"zero-run1",IF(H251&lt;=1648,"data2",IF(H251&lt;=2176,"zero-run2",IF(H251&lt;=2192,"FCS","trailing")))))))</f>
        <v/>
      </c>
      <c r="J251">
        <f>IFERROR(IF(AND(H251&lt;&gt;"",H251&gt;=129,H251&lt;=2176),INDEX(Fields!$B$2:$B$206,MATCH(H251-129,Fields!$D$2:$D$206,1)),""),"")</f>
        <v/>
      </c>
      <c r="K251">
        <f>IFERROR(IF(AND(H251&lt;&gt;"",H251&gt;=129,H251&lt;=2176),INDEX(Fields!$C$2:$C$206,MATCH(H251-129,Fields!$D$2:$D$206,1)),""),"")</f>
        <v/>
      </c>
      <c r="L251">
        <f>IFERROR(IF(AND(H251&lt;&gt;"",H251&gt;=129,H251&lt;=2176),INDEX(Fields!$J$2:$J$206,MATCH(H251-129,Fields!$D$2:$D$206,1)),""),"")</f>
        <v/>
      </c>
      <c r="M251">
        <f>IFERROR(IF(AND(H251&lt;&gt;"",H251&gt;=129,H251&lt;=2176),INDEX(Fields!$K$2:$K$206,MATCH(H251-129,Fields!$D$2:$D$206,1)),""),"")</f>
        <v/>
      </c>
    </row>
    <row r="252">
      <c r="A252" t="n">
        <v>250</v>
      </c>
      <c r="B252" t="n">
        <v>0</v>
      </c>
      <c r="C252" t="inlineStr">
        <is>
          <t>No</t>
        </is>
      </c>
      <c r="D252">
        <f>IF(AND(B247=1,B248=1,B249=1,B250=1,B251=1),"Yes","")</f>
        <v/>
      </c>
      <c r="E252" t="inlineStr">
        <is>
          <t>No</t>
        </is>
      </c>
      <c r="F252" t="inlineStr">
        <is>
          <t>No</t>
        </is>
      </c>
      <c r="G252">
        <f>IF(F252="Yes",1-B252,B252)</f>
        <v/>
      </c>
      <c r="H252">
        <f>IF(E252="Yes","",COUNTIFS($E$2:E252,"No"))</f>
        <v/>
      </c>
      <c r="I252">
        <f>IF(H252="","",IF(H252&lt;=128,"address",IF(H252&lt;=600,"data1",IF(H252&lt;=1264,"zero-run1",IF(H252&lt;=1648,"data2",IF(H252&lt;=2176,"zero-run2",IF(H252&lt;=2192,"FCS","trailing")))))))</f>
        <v/>
      </c>
      <c r="J252">
        <f>IFERROR(IF(AND(H252&lt;&gt;"",H252&gt;=129,H252&lt;=2176),INDEX(Fields!$B$2:$B$206,MATCH(H252-129,Fields!$D$2:$D$206,1)),""),"")</f>
        <v/>
      </c>
      <c r="K252">
        <f>IFERROR(IF(AND(H252&lt;&gt;"",H252&gt;=129,H252&lt;=2176),INDEX(Fields!$C$2:$C$206,MATCH(H252-129,Fields!$D$2:$D$206,1)),""),"")</f>
        <v/>
      </c>
      <c r="L252">
        <f>IFERROR(IF(AND(H252&lt;&gt;"",H252&gt;=129,H252&lt;=2176),INDEX(Fields!$J$2:$J$206,MATCH(H252-129,Fields!$D$2:$D$206,1)),""),"")</f>
        <v/>
      </c>
      <c r="M252">
        <f>IFERROR(IF(AND(H252&lt;&gt;"",H252&gt;=129,H252&lt;=2176),INDEX(Fields!$K$2:$K$206,MATCH(H252-129,Fields!$D$2:$D$206,1)),""),"")</f>
        <v/>
      </c>
    </row>
    <row r="253">
      <c r="A253" t="n">
        <v>251</v>
      </c>
      <c r="B253" t="n">
        <v>0</v>
      </c>
      <c r="C253" t="inlineStr">
        <is>
          <t>No</t>
        </is>
      </c>
      <c r="D253">
        <f>IF(AND(B248=1,B249=1,B250=1,B251=1,B252=1),"Yes","")</f>
        <v/>
      </c>
      <c r="E253" t="inlineStr">
        <is>
          <t>No</t>
        </is>
      </c>
      <c r="F253" t="inlineStr">
        <is>
          <t>No</t>
        </is>
      </c>
      <c r="G253">
        <f>IF(F253="Yes",1-B253,B253)</f>
        <v/>
      </c>
      <c r="H253">
        <f>IF(E253="Yes","",COUNTIFS($E$2:E253,"No"))</f>
        <v/>
      </c>
      <c r="I253">
        <f>IF(H253="","",IF(H253&lt;=128,"address",IF(H253&lt;=600,"data1",IF(H253&lt;=1264,"zero-run1",IF(H253&lt;=1648,"data2",IF(H253&lt;=2176,"zero-run2",IF(H253&lt;=2192,"FCS","trailing")))))))</f>
        <v/>
      </c>
      <c r="J253">
        <f>IFERROR(IF(AND(H253&lt;&gt;"",H253&gt;=129,H253&lt;=2176),INDEX(Fields!$B$2:$B$206,MATCH(H253-129,Fields!$D$2:$D$206,1)),""),"")</f>
        <v/>
      </c>
      <c r="K253">
        <f>IFERROR(IF(AND(H253&lt;&gt;"",H253&gt;=129,H253&lt;=2176),INDEX(Fields!$C$2:$C$206,MATCH(H253-129,Fields!$D$2:$D$206,1)),""),"")</f>
        <v/>
      </c>
      <c r="L253">
        <f>IFERROR(IF(AND(H253&lt;&gt;"",H253&gt;=129,H253&lt;=2176),INDEX(Fields!$J$2:$J$206,MATCH(H253-129,Fields!$D$2:$D$206,1)),""),"")</f>
        <v/>
      </c>
      <c r="M253">
        <f>IFERROR(IF(AND(H253&lt;&gt;"",H253&gt;=129,H253&lt;=2176),INDEX(Fields!$K$2:$K$206,MATCH(H253-129,Fields!$D$2:$D$206,1)),""),"")</f>
        <v/>
      </c>
    </row>
    <row r="254">
      <c r="A254" t="n">
        <v>252</v>
      </c>
      <c r="B254" t="n">
        <v>0</v>
      </c>
      <c r="C254" t="inlineStr">
        <is>
          <t>No</t>
        </is>
      </c>
      <c r="D254">
        <f>IF(AND(B249=1,B250=1,B251=1,B252=1,B253=1),"Yes","")</f>
        <v/>
      </c>
      <c r="E254" t="inlineStr">
        <is>
          <t>No</t>
        </is>
      </c>
      <c r="F254" t="inlineStr">
        <is>
          <t>No</t>
        </is>
      </c>
      <c r="G254">
        <f>IF(F254="Yes",1-B254,B254)</f>
        <v/>
      </c>
      <c r="H254">
        <f>IF(E254="Yes","",COUNTIFS($E$2:E254,"No"))</f>
        <v/>
      </c>
      <c r="I254">
        <f>IF(H254="","",IF(H254&lt;=128,"address",IF(H254&lt;=600,"data1",IF(H254&lt;=1264,"zero-run1",IF(H254&lt;=1648,"data2",IF(H254&lt;=2176,"zero-run2",IF(H254&lt;=2192,"FCS","trailing")))))))</f>
        <v/>
      </c>
      <c r="J254">
        <f>IFERROR(IF(AND(H254&lt;&gt;"",H254&gt;=129,H254&lt;=2176),INDEX(Fields!$B$2:$B$206,MATCH(H254-129,Fields!$D$2:$D$206,1)),""),"")</f>
        <v/>
      </c>
      <c r="K254">
        <f>IFERROR(IF(AND(H254&lt;&gt;"",H254&gt;=129,H254&lt;=2176),INDEX(Fields!$C$2:$C$206,MATCH(H254-129,Fields!$D$2:$D$206,1)),""),"")</f>
        <v/>
      </c>
      <c r="L254">
        <f>IFERROR(IF(AND(H254&lt;&gt;"",H254&gt;=129,H254&lt;=2176),INDEX(Fields!$J$2:$J$206,MATCH(H254-129,Fields!$D$2:$D$206,1)),""),"")</f>
        <v/>
      </c>
      <c r="M254">
        <f>IFERROR(IF(AND(H254&lt;&gt;"",H254&gt;=129,H254&lt;=2176),INDEX(Fields!$K$2:$K$206,MATCH(H254-129,Fields!$D$2:$D$206,1)),""),"")</f>
        <v/>
      </c>
    </row>
    <row r="255">
      <c r="A255" t="n">
        <v>253</v>
      </c>
      <c r="B255" t="n">
        <v>1</v>
      </c>
      <c r="C255" t="inlineStr">
        <is>
          <t>No</t>
        </is>
      </c>
      <c r="D255">
        <f>IF(AND(B250=1,B251=1,B252=1,B253=1,B254=1),"Yes","")</f>
        <v/>
      </c>
      <c r="E255" t="inlineStr">
        <is>
          <t>No</t>
        </is>
      </c>
      <c r="F255" t="inlineStr">
        <is>
          <t>No</t>
        </is>
      </c>
      <c r="G255">
        <f>IF(F255="Yes",1-B255,B255)</f>
        <v/>
      </c>
      <c r="H255">
        <f>IF(E255="Yes","",COUNTIFS($E$2:E255,"No"))</f>
        <v/>
      </c>
      <c r="I255">
        <f>IF(H255="","",IF(H255&lt;=128,"address",IF(H255&lt;=600,"data1",IF(H255&lt;=1264,"zero-run1",IF(H255&lt;=1648,"data2",IF(H255&lt;=2176,"zero-run2",IF(H255&lt;=2192,"FCS","trailing")))))))</f>
        <v/>
      </c>
      <c r="J255">
        <f>IFERROR(IF(AND(H255&lt;&gt;"",H255&gt;=129,H255&lt;=2176),INDEX(Fields!$B$2:$B$206,MATCH(H255-129,Fields!$D$2:$D$206,1)),""),"")</f>
        <v/>
      </c>
      <c r="K255">
        <f>IFERROR(IF(AND(H255&lt;&gt;"",H255&gt;=129,H255&lt;=2176),INDEX(Fields!$C$2:$C$206,MATCH(H255-129,Fields!$D$2:$D$206,1)),""),"")</f>
        <v/>
      </c>
      <c r="L255">
        <f>IFERROR(IF(AND(H255&lt;&gt;"",H255&gt;=129,H255&lt;=2176),INDEX(Fields!$J$2:$J$206,MATCH(H255-129,Fields!$D$2:$D$206,1)),""),"")</f>
        <v/>
      </c>
      <c r="M255">
        <f>IFERROR(IF(AND(H255&lt;&gt;"",H255&gt;=129,H255&lt;=2176),INDEX(Fields!$K$2:$K$206,MATCH(H255-129,Fields!$D$2:$D$206,1)),""),"")</f>
        <v/>
      </c>
    </row>
    <row r="256">
      <c r="A256" t="n">
        <v>254</v>
      </c>
      <c r="B256" t="n">
        <v>0</v>
      </c>
      <c r="C256" t="inlineStr">
        <is>
          <t>No</t>
        </is>
      </c>
      <c r="D256">
        <f>IF(AND(B251=1,B252=1,B253=1,B254=1,B255=1),"Yes","")</f>
        <v/>
      </c>
      <c r="E256" t="inlineStr">
        <is>
          <t>No</t>
        </is>
      </c>
      <c r="F256" t="inlineStr">
        <is>
          <t>No</t>
        </is>
      </c>
      <c r="G256">
        <f>IF(F256="Yes",1-B256,B256)</f>
        <v/>
      </c>
      <c r="H256">
        <f>IF(E256="Yes","",COUNTIFS($E$2:E256,"No"))</f>
        <v/>
      </c>
      <c r="I256">
        <f>IF(H256="","",IF(H256&lt;=128,"address",IF(H256&lt;=600,"data1",IF(H256&lt;=1264,"zero-run1",IF(H256&lt;=1648,"data2",IF(H256&lt;=2176,"zero-run2",IF(H256&lt;=2192,"FCS","trailing")))))))</f>
        <v/>
      </c>
      <c r="J256">
        <f>IFERROR(IF(AND(H256&lt;&gt;"",H256&gt;=129,H256&lt;=2176),INDEX(Fields!$B$2:$B$206,MATCH(H256-129,Fields!$D$2:$D$206,1)),""),"")</f>
        <v/>
      </c>
      <c r="K256">
        <f>IFERROR(IF(AND(H256&lt;&gt;"",H256&gt;=129,H256&lt;=2176),INDEX(Fields!$C$2:$C$206,MATCH(H256-129,Fields!$D$2:$D$206,1)),""),"")</f>
        <v/>
      </c>
      <c r="L256">
        <f>IFERROR(IF(AND(H256&lt;&gt;"",H256&gt;=129,H256&lt;=2176),INDEX(Fields!$J$2:$J$206,MATCH(H256-129,Fields!$D$2:$D$206,1)),""),"")</f>
        <v/>
      </c>
      <c r="M256">
        <f>IFERROR(IF(AND(H256&lt;&gt;"",H256&gt;=129,H256&lt;=2176),INDEX(Fields!$K$2:$K$206,MATCH(H256-129,Fields!$D$2:$D$206,1)),""),"")</f>
        <v/>
      </c>
    </row>
    <row r="257">
      <c r="A257" t="n">
        <v>255</v>
      </c>
      <c r="B257" t="n">
        <v>0</v>
      </c>
      <c r="C257" t="inlineStr">
        <is>
          <t>No</t>
        </is>
      </c>
      <c r="D257">
        <f>IF(AND(B252=1,B253=1,B254=1,B255=1,B256=1),"Yes","")</f>
        <v/>
      </c>
      <c r="E257" t="inlineStr">
        <is>
          <t>No</t>
        </is>
      </c>
      <c r="F257" t="inlineStr">
        <is>
          <t>No</t>
        </is>
      </c>
      <c r="G257">
        <f>IF(F257="Yes",1-B257,B257)</f>
        <v/>
      </c>
      <c r="H257">
        <f>IF(E257="Yes","",COUNTIFS($E$2:E257,"No"))</f>
        <v/>
      </c>
      <c r="I257">
        <f>IF(H257="","",IF(H257&lt;=128,"address",IF(H257&lt;=600,"data1",IF(H257&lt;=1264,"zero-run1",IF(H257&lt;=1648,"data2",IF(H257&lt;=2176,"zero-run2",IF(H257&lt;=2192,"FCS","trailing")))))))</f>
        <v/>
      </c>
      <c r="J257">
        <f>IFERROR(IF(AND(H257&lt;&gt;"",H257&gt;=129,H257&lt;=2176),INDEX(Fields!$B$2:$B$206,MATCH(H257-129,Fields!$D$2:$D$206,1)),""),"")</f>
        <v/>
      </c>
      <c r="K257">
        <f>IFERROR(IF(AND(H257&lt;&gt;"",H257&gt;=129,H257&lt;=2176),INDEX(Fields!$C$2:$C$206,MATCH(H257-129,Fields!$D$2:$D$206,1)),""),"")</f>
        <v/>
      </c>
      <c r="L257">
        <f>IFERROR(IF(AND(H257&lt;&gt;"",H257&gt;=129,H257&lt;=2176),INDEX(Fields!$J$2:$J$206,MATCH(H257-129,Fields!$D$2:$D$206,1)),""),"")</f>
        <v/>
      </c>
      <c r="M257">
        <f>IFERROR(IF(AND(H257&lt;&gt;"",H257&gt;=129,H257&lt;=2176),INDEX(Fields!$K$2:$K$206,MATCH(H257-129,Fields!$D$2:$D$206,1)),""),"")</f>
        <v/>
      </c>
    </row>
    <row r="258">
      <c r="A258" t="n">
        <v>256</v>
      </c>
      <c r="B258" t="n">
        <v>0</v>
      </c>
      <c r="C258" s="4" t="inlineStr">
        <is>
          <t>Yes</t>
        </is>
      </c>
      <c r="D258">
        <f>IF(AND(B253=1,B254=1,B255=1,B256=1,B257=1),"Yes","")</f>
        <v/>
      </c>
      <c r="E258" t="inlineStr">
        <is>
          <t>No</t>
        </is>
      </c>
      <c r="F258" t="inlineStr">
        <is>
          <t>No</t>
        </is>
      </c>
      <c r="G258">
        <f>IF(F258="Yes",1-B258,B258)</f>
        <v/>
      </c>
      <c r="H258">
        <f>IF(E258="Yes","",COUNTIFS($E$2:E258,"No"))</f>
        <v/>
      </c>
      <c r="I258">
        <f>IF(H258="","",IF(H258&lt;=128,"address",IF(H258&lt;=600,"data1",IF(H258&lt;=1264,"zero-run1",IF(H258&lt;=1648,"data2",IF(H258&lt;=2176,"zero-run2",IF(H258&lt;=2192,"FCS","trailing")))))))</f>
        <v/>
      </c>
      <c r="J258">
        <f>IFERROR(IF(AND(H258&lt;&gt;"",H258&gt;=129,H258&lt;=2176),INDEX(Fields!$B$2:$B$206,MATCH(H258-129,Fields!$D$2:$D$206,1)),""),"")</f>
        <v/>
      </c>
      <c r="K258">
        <f>IFERROR(IF(AND(H258&lt;&gt;"",H258&gt;=129,H258&lt;=2176),INDEX(Fields!$C$2:$C$206,MATCH(H258-129,Fields!$D$2:$D$206,1)),""),"")</f>
        <v/>
      </c>
      <c r="L258">
        <f>IFERROR(IF(AND(H258&lt;&gt;"",H258&gt;=129,H258&lt;=2176),INDEX(Fields!$J$2:$J$206,MATCH(H258-129,Fields!$D$2:$D$206,1)),""),"")</f>
        <v/>
      </c>
      <c r="M258">
        <f>IFERROR(IF(AND(H258&lt;&gt;"",H258&gt;=129,H258&lt;=2176),INDEX(Fields!$K$2:$K$206,MATCH(H258-129,Fields!$D$2:$D$206,1)),""),"")</f>
        <v/>
      </c>
    </row>
    <row r="259">
      <c r="A259" t="n">
        <v>257</v>
      </c>
      <c r="B259" t="n">
        <v>1</v>
      </c>
      <c r="C259" t="inlineStr">
        <is>
          <t>No</t>
        </is>
      </c>
      <c r="D259">
        <f>IF(AND(B254=1,B255=1,B256=1,B257=1,B258=1),"Yes","")</f>
        <v/>
      </c>
      <c r="E259" t="inlineStr">
        <is>
          <t>No</t>
        </is>
      </c>
      <c r="F259" t="inlineStr">
        <is>
          <t>No</t>
        </is>
      </c>
      <c r="G259">
        <f>IF(F259="Yes",1-B259,B259)</f>
        <v/>
      </c>
      <c r="H259">
        <f>IF(E259="Yes","",COUNTIFS($E$2:E259,"No"))</f>
        <v/>
      </c>
      <c r="I259">
        <f>IF(H259="","",IF(H259&lt;=128,"address",IF(H259&lt;=600,"data1",IF(H259&lt;=1264,"zero-run1",IF(H259&lt;=1648,"data2",IF(H259&lt;=2176,"zero-run2",IF(H259&lt;=2192,"FCS","trailing")))))))</f>
        <v/>
      </c>
      <c r="J259">
        <f>IFERROR(IF(AND(H259&lt;&gt;"",H259&gt;=129,H259&lt;=2176),INDEX(Fields!$B$2:$B$206,MATCH(H259-129,Fields!$D$2:$D$206,1)),""),"")</f>
        <v/>
      </c>
      <c r="K259">
        <f>IFERROR(IF(AND(H259&lt;&gt;"",H259&gt;=129,H259&lt;=2176),INDEX(Fields!$C$2:$C$206,MATCH(H259-129,Fields!$D$2:$D$206,1)),""),"")</f>
        <v/>
      </c>
      <c r="L259">
        <f>IFERROR(IF(AND(H259&lt;&gt;"",H259&gt;=129,H259&lt;=2176),INDEX(Fields!$J$2:$J$206,MATCH(H259-129,Fields!$D$2:$D$206,1)),""),"")</f>
        <v/>
      </c>
      <c r="M259">
        <f>IFERROR(IF(AND(H259&lt;&gt;"",H259&gt;=129,H259&lt;=2176),INDEX(Fields!$K$2:$K$206,MATCH(H259-129,Fields!$D$2:$D$206,1)),""),"")</f>
        <v/>
      </c>
    </row>
    <row r="260">
      <c r="A260" t="n">
        <v>258</v>
      </c>
      <c r="B260" t="n">
        <v>1</v>
      </c>
      <c r="C260" t="inlineStr">
        <is>
          <t>No</t>
        </is>
      </c>
      <c r="D260">
        <f>IF(AND(B255=1,B256=1,B257=1,B258=1,B259=1),"Yes","")</f>
        <v/>
      </c>
      <c r="E260" t="inlineStr">
        <is>
          <t>No</t>
        </is>
      </c>
      <c r="F260" t="inlineStr">
        <is>
          <t>No</t>
        </is>
      </c>
      <c r="G260">
        <f>IF(F260="Yes",1-B260,B260)</f>
        <v/>
      </c>
      <c r="H260">
        <f>IF(E260="Yes","",COUNTIFS($E$2:E260,"No"))</f>
        <v/>
      </c>
      <c r="I260">
        <f>IF(H260="","",IF(H260&lt;=128,"address",IF(H260&lt;=600,"data1",IF(H260&lt;=1264,"zero-run1",IF(H260&lt;=1648,"data2",IF(H260&lt;=2176,"zero-run2",IF(H260&lt;=2192,"FCS","trailing")))))))</f>
        <v/>
      </c>
      <c r="J260">
        <f>IFERROR(IF(AND(H260&lt;&gt;"",H260&gt;=129,H260&lt;=2176),INDEX(Fields!$B$2:$B$206,MATCH(H260-129,Fields!$D$2:$D$206,1)),""),"")</f>
        <v/>
      </c>
      <c r="K260">
        <f>IFERROR(IF(AND(H260&lt;&gt;"",H260&gt;=129,H260&lt;=2176),INDEX(Fields!$C$2:$C$206,MATCH(H260-129,Fields!$D$2:$D$206,1)),""),"")</f>
        <v/>
      </c>
      <c r="L260">
        <f>IFERROR(IF(AND(H260&lt;&gt;"",H260&gt;=129,H260&lt;=2176),INDEX(Fields!$J$2:$J$206,MATCH(H260-129,Fields!$D$2:$D$206,1)),""),"")</f>
        <v/>
      </c>
      <c r="M260">
        <f>IFERROR(IF(AND(H260&lt;&gt;"",H260&gt;=129,H260&lt;=2176),INDEX(Fields!$K$2:$K$206,MATCH(H260-129,Fields!$D$2:$D$206,1)),""),"")</f>
        <v/>
      </c>
    </row>
    <row r="261">
      <c r="A261" t="n">
        <v>259</v>
      </c>
      <c r="B261" t="n">
        <v>0</v>
      </c>
      <c r="C261" t="inlineStr">
        <is>
          <t>No</t>
        </is>
      </c>
      <c r="D261">
        <f>IF(AND(B256=1,B257=1,B258=1,B259=1,B260=1),"Yes","")</f>
        <v/>
      </c>
      <c r="E261" t="inlineStr">
        <is>
          <t>No</t>
        </is>
      </c>
      <c r="F261" t="inlineStr">
        <is>
          <t>No</t>
        </is>
      </c>
      <c r="G261">
        <f>IF(F261="Yes",1-B261,B261)</f>
        <v/>
      </c>
      <c r="H261">
        <f>IF(E261="Yes","",COUNTIFS($E$2:E261,"No"))</f>
        <v/>
      </c>
      <c r="I261">
        <f>IF(H261="","",IF(H261&lt;=128,"address",IF(H261&lt;=600,"data1",IF(H261&lt;=1264,"zero-run1",IF(H261&lt;=1648,"data2",IF(H261&lt;=2176,"zero-run2",IF(H261&lt;=2192,"FCS","trailing")))))))</f>
        <v/>
      </c>
      <c r="J261">
        <f>IFERROR(IF(AND(H261&lt;&gt;"",H261&gt;=129,H261&lt;=2176),INDEX(Fields!$B$2:$B$206,MATCH(H261-129,Fields!$D$2:$D$206,1)),""),"")</f>
        <v/>
      </c>
      <c r="K261">
        <f>IFERROR(IF(AND(H261&lt;&gt;"",H261&gt;=129,H261&lt;=2176),INDEX(Fields!$C$2:$C$206,MATCH(H261-129,Fields!$D$2:$D$206,1)),""),"")</f>
        <v/>
      </c>
      <c r="L261">
        <f>IFERROR(IF(AND(H261&lt;&gt;"",H261&gt;=129,H261&lt;=2176),INDEX(Fields!$J$2:$J$206,MATCH(H261-129,Fields!$D$2:$D$206,1)),""),"")</f>
        <v/>
      </c>
      <c r="M261">
        <f>IFERROR(IF(AND(H261&lt;&gt;"",H261&gt;=129,H261&lt;=2176),INDEX(Fields!$K$2:$K$206,MATCH(H261-129,Fields!$D$2:$D$206,1)),""),"")</f>
        <v/>
      </c>
    </row>
    <row r="262">
      <c r="A262" t="n">
        <v>260</v>
      </c>
      <c r="B262" t="n">
        <v>0</v>
      </c>
      <c r="C262" t="inlineStr">
        <is>
          <t>No</t>
        </is>
      </c>
      <c r="D262">
        <f>IF(AND(B257=1,B258=1,B259=1,B260=1,B261=1),"Yes","")</f>
        <v/>
      </c>
      <c r="E262" t="inlineStr">
        <is>
          <t>No</t>
        </is>
      </c>
      <c r="F262" t="inlineStr">
        <is>
          <t>No</t>
        </is>
      </c>
      <c r="G262">
        <f>IF(F262="Yes",1-B262,B262)</f>
        <v/>
      </c>
      <c r="H262">
        <f>IF(E262="Yes","",COUNTIFS($E$2:E262,"No"))</f>
        <v/>
      </c>
      <c r="I262">
        <f>IF(H262="","",IF(H262&lt;=128,"address",IF(H262&lt;=600,"data1",IF(H262&lt;=1264,"zero-run1",IF(H262&lt;=1648,"data2",IF(H262&lt;=2176,"zero-run2",IF(H262&lt;=2192,"FCS","trailing")))))))</f>
        <v/>
      </c>
      <c r="J262">
        <f>IFERROR(IF(AND(H262&lt;&gt;"",H262&gt;=129,H262&lt;=2176),INDEX(Fields!$B$2:$B$206,MATCH(H262-129,Fields!$D$2:$D$206,1)),""),"")</f>
        <v/>
      </c>
      <c r="K262">
        <f>IFERROR(IF(AND(H262&lt;&gt;"",H262&gt;=129,H262&lt;=2176),INDEX(Fields!$C$2:$C$206,MATCH(H262-129,Fields!$D$2:$D$206,1)),""),"")</f>
        <v/>
      </c>
      <c r="L262">
        <f>IFERROR(IF(AND(H262&lt;&gt;"",H262&gt;=129,H262&lt;=2176),INDEX(Fields!$J$2:$J$206,MATCH(H262-129,Fields!$D$2:$D$206,1)),""),"")</f>
        <v/>
      </c>
      <c r="M262">
        <f>IFERROR(IF(AND(H262&lt;&gt;"",H262&gt;=129,H262&lt;=2176),INDEX(Fields!$K$2:$K$206,MATCH(H262-129,Fields!$D$2:$D$206,1)),""),"")</f>
        <v/>
      </c>
    </row>
    <row r="263">
      <c r="A263" t="n">
        <v>261</v>
      </c>
      <c r="B263" t="n">
        <v>0</v>
      </c>
      <c r="C263" t="inlineStr">
        <is>
          <t>No</t>
        </is>
      </c>
      <c r="D263">
        <f>IF(AND(B258=1,B259=1,B260=1,B261=1,B262=1),"Yes","")</f>
        <v/>
      </c>
      <c r="E263" t="inlineStr">
        <is>
          <t>No</t>
        </is>
      </c>
      <c r="F263" t="inlineStr">
        <is>
          <t>No</t>
        </is>
      </c>
      <c r="G263">
        <f>IF(F263="Yes",1-B263,B263)</f>
        <v/>
      </c>
      <c r="H263">
        <f>IF(E263="Yes","",COUNTIFS($E$2:E263,"No"))</f>
        <v/>
      </c>
      <c r="I263">
        <f>IF(H263="","",IF(H263&lt;=128,"address",IF(H263&lt;=600,"data1",IF(H263&lt;=1264,"zero-run1",IF(H263&lt;=1648,"data2",IF(H263&lt;=2176,"zero-run2",IF(H263&lt;=2192,"FCS","trailing")))))))</f>
        <v/>
      </c>
      <c r="J263">
        <f>IFERROR(IF(AND(H263&lt;&gt;"",H263&gt;=129,H263&lt;=2176),INDEX(Fields!$B$2:$B$206,MATCH(H263-129,Fields!$D$2:$D$206,1)),""),"")</f>
        <v/>
      </c>
      <c r="K263">
        <f>IFERROR(IF(AND(H263&lt;&gt;"",H263&gt;=129,H263&lt;=2176),INDEX(Fields!$C$2:$C$206,MATCH(H263-129,Fields!$D$2:$D$206,1)),""),"")</f>
        <v/>
      </c>
      <c r="L263">
        <f>IFERROR(IF(AND(H263&lt;&gt;"",H263&gt;=129,H263&lt;=2176),INDEX(Fields!$J$2:$J$206,MATCH(H263-129,Fields!$D$2:$D$206,1)),""),"")</f>
        <v/>
      </c>
      <c r="M263">
        <f>IFERROR(IF(AND(H263&lt;&gt;"",H263&gt;=129,H263&lt;=2176),INDEX(Fields!$K$2:$K$206,MATCH(H263-129,Fields!$D$2:$D$206,1)),""),"")</f>
        <v/>
      </c>
    </row>
    <row r="264">
      <c r="A264" t="n">
        <v>262</v>
      </c>
      <c r="B264" t="n">
        <v>0</v>
      </c>
      <c r="C264" t="inlineStr">
        <is>
          <t>No</t>
        </is>
      </c>
      <c r="D264">
        <f>IF(AND(B259=1,B260=1,B261=1,B262=1,B263=1),"Yes","")</f>
        <v/>
      </c>
      <c r="E264" t="inlineStr">
        <is>
          <t>No</t>
        </is>
      </c>
      <c r="F264" t="inlineStr">
        <is>
          <t>No</t>
        </is>
      </c>
      <c r="G264">
        <f>IF(F264="Yes",1-B264,B264)</f>
        <v/>
      </c>
      <c r="H264">
        <f>IF(E264="Yes","",COUNTIFS($E$2:E264,"No"))</f>
        <v/>
      </c>
      <c r="I264">
        <f>IF(H264="","",IF(H264&lt;=128,"address",IF(H264&lt;=600,"data1",IF(H264&lt;=1264,"zero-run1",IF(H264&lt;=1648,"data2",IF(H264&lt;=2176,"zero-run2",IF(H264&lt;=2192,"FCS","trailing")))))))</f>
        <v/>
      </c>
      <c r="J264">
        <f>IFERROR(IF(AND(H264&lt;&gt;"",H264&gt;=129,H264&lt;=2176),INDEX(Fields!$B$2:$B$206,MATCH(H264-129,Fields!$D$2:$D$206,1)),""),"")</f>
        <v/>
      </c>
      <c r="K264">
        <f>IFERROR(IF(AND(H264&lt;&gt;"",H264&gt;=129,H264&lt;=2176),INDEX(Fields!$C$2:$C$206,MATCH(H264-129,Fields!$D$2:$D$206,1)),""),"")</f>
        <v/>
      </c>
      <c r="L264">
        <f>IFERROR(IF(AND(H264&lt;&gt;"",H264&gt;=129,H264&lt;=2176),INDEX(Fields!$J$2:$J$206,MATCH(H264-129,Fields!$D$2:$D$206,1)),""),"")</f>
        <v/>
      </c>
      <c r="M264">
        <f>IFERROR(IF(AND(H264&lt;&gt;"",H264&gt;=129,H264&lt;=2176),INDEX(Fields!$K$2:$K$206,MATCH(H264-129,Fields!$D$2:$D$206,1)),""),"")</f>
        <v/>
      </c>
    </row>
    <row r="265">
      <c r="A265" t="n">
        <v>263</v>
      </c>
      <c r="B265" t="n">
        <v>0</v>
      </c>
      <c r="C265" t="inlineStr">
        <is>
          <t>No</t>
        </is>
      </c>
      <c r="D265">
        <f>IF(AND(B260=1,B261=1,B262=1,B263=1,B264=1),"Yes","")</f>
        <v/>
      </c>
      <c r="E265" t="inlineStr">
        <is>
          <t>No</t>
        </is>
      </c>
      <c r="F265" t="inlineStr">
        <is>
          <t>No</t>
        </is>
      </c>
      <c r="G265">
        <f>IF(F265="Yes",1-B265,B265)</f>
        <v/>
      </c>
      <c r="H265">
        <f>IF(E265="Yes","",COUNTIFS($E$2:E265,"No"))</f>
        <v/>
      </c>
      <c r="I265">
        <f>IF(H265="","",IF(H265&lt;=128,"address",IF(H265&lt;=600,"data1",IF(H265&lt;=1264,"zero-run1",IF(H265&lt;=1648,"data2",IF(H265&lt;=2176,"zero-run2",IF(H265&lt;=2192,"FCS","trailing")))))))</f>
        <v/>
      </c>
      <c r="J265">
        <f>IFERROR(IF(AND(H265&lt;&gt;"",H265&gt;=129,H265&lt;=2176),INDEX(Fields!$B$2:$B$206,MATCH(H265-129,Fields!$D$2:$D$206,1)),""),"")</f>
        <v/>
      </c>
      <c r="K265">
        <f>IFERROR(IF(AND(H265&lt;&gt;"",H265&gt;=129,H265&lt;=2176),INDEX(Fields!$C$2:$C$206,MATCH(H265-129,Fields!$D$2:$D$206,1)),""),"")</f>
        <v/>
      </c>
      <c r="L265">
        <f>IFERROR(IF(AND(H265&lt;&gt;"",H265&gt;=129,H265&lt;=2176),INDEX(Fields!$J$2:$J$206,MATCH(H265-129,Fields!$D$2:$D$206,1)),""),"")</f>
        <v/>
      </c>
      <c r="M265">
        <f>IFERROR(IF(AND(H265&lt;&gt;"",H265&gt;=129,H265&lt;=2176),INDEX(Fields!$K$2:$K$206,MATCH(H265-129,Fields!$D$2:$D$206,1)),""),"")</f>
        <v/>
      </c>
    </row>
    <row r="266">
      <c r="A266" t="n">
        <v>264</v>
      </c>
      <c r="B266" t="n">
        <v>0</v>
      </c>
      <c r="C266" t="inlineStr">
        <is>
          <t>No</t>
        </is>
      </c>
      <c r="D266">
        <f>IF(AND(B261=1,B262=1,B263=1,B264=1,B265=1),"Yes","")</f>
        <v/>
      </c>
      <c r="E266" t="inlineStr">
        <is>
          <t>No</t>
        </is>
      </c>
      <c r="F266" t="inlineStr">
        <is>
          <t>No</t>
        </is>
      </c>
      <c r="G266">
        <f>IF(F266="Yes",1-B266,B266)</f>
        <v/>
      </c>
      <c r="H266">
        <f>IF(E266="Yes","",COUNTIFS($E$2:E266,"No"))</f>
        <v/>
      </c>
      <c r="I266">
        <f>IF(H266="","",IF(H266&lt;=128,"address",IF(H266&lt;=600,"data1",IF(H266&lt;=1264,"zero-run1",IF(H266&lt;=1648,"data2",IF(H266&lt;=2176,"zero-run2",IF(H266&lt;=2192,"FCS","trailing")))))))</f>
        <v/>
      </c>
      <c r="J266">
        <f>IFERROR(IF(AND(H266&lt;&gt;"",H266&gt;=129,H266&lt;=2176),INDEX(Fields!$B$2:$B$206,MATCH(H266-129,Fields!$D$2:$D$206,1)),""),"")</f>
        <v/>
      </c>
      <c r="K266">
        <f>IFERROR(IF(AND(H266&lt;&gt;"",H266&gt;=129,H266&lt;=2176),INDEX(Fields!$C$2:$C$206,MATCH(H266-129,Fields!$D$2:$D$206,1)),""),"")</f>
        <v/>
      </c>
      <c r="L266">
        <f>IFERROR(IF(AND(H266&lt;&gt;"",H266&gt;=129,H266&lt;=2176),INDEX(Fields!$J$2:$J$206,MATCH(H266-129,Fields!$D$2:$D$206,1)),""),"")</f>
        <v/>
      </c>
      <c r="M266">
        <f>IFERROR(IF(AND(H266&lt;&gt;"",H266&gt;=129,H266&lt;=2176),INDEX(Fields!$K$2:$K$206,MATCH(H266-129,Fields!$D$2:$D$206,1)),""),"")</f>
        <v/>
      </c>
    </row>
    <row r="267">
      <c r="A267" t="n">
        <v>265</v>
      </c>
      <c r="B267" t="n">
        <v>0</v>
      </c>
      <c r="C267" t="inlineStr">
        <is>
          <t>No</t>
        </is>
      </c>
      <c r="D267">
        <f>IF(AND(B262=1,B263=1,B264=1,B265=1,B266=1),"Yes","")</f>
        <v/>
      </c>
      <c r="E267" t="inlineStr">
        <is>
          <t>No</t>
        </is>
      </c>
      <c r="F267" t="inlineStr">
        <is>
          <t>No</t>
        </is>
      </c>
      <c r="G267">
        <f>IF(F267="Yes",1-B267,B267)</f>
        <v/>
      </c>
      <c r="H267">
        <f>IF(E267="Yes","",COUNTIFS($E$2:E267,"No"))</f>
        <v/>
      </c>
      <c r="I267">
        <f>IF(H267="","",IF(H267&lt;=128,"address",IF(H267&lt;=600,"data1",IF(H267&lt;=1264,"zero-run1",IF(H267&lt;=1648,"data2",IF(H267&lt;=2176,"zero-run2",IF(H267&lt;=2192,"FCS","trailing")))))))</f>
        <v/>
      </c>
      <c r="J267">
        <f>IFERROR(IF(AND(H267&lt;&gt;"",H267&gt;=129,H267&lt;=2176),INDEX(Fields!$B$2:$B$206,MATCH(H267-129,Fields!$D$2:$D$206,1)),""),"")</f>
        <v/>
      </c>
      <c r="K267">
        <f>IFERROR(IF(AND(H267&lt;&gt;"",H267&gt;=129,H267&lt;=2176),INDEX(Fields!$C$2:$C$206,MATCH(H267-129,Fields!$D$2:$D$206,1)),""),"")</f>
        <v/>
      </c>
      <c r="L267">
        <f>IFERROR(IF(AND(H267&lt;&gt;"",H267&gt;=129,H267&lt;=2176),INDEX(Fields!$J$2:$J$206,MATCH(H267-129,Fields!$D$2:$D$206,1)),""),"")</f>
        <v/>
      </c>
      <c r="M267">
        <f>IFERROR(IF(AND(H267&lt;&gt;"",H267&gt;=129,H267&lt;=2176),INDEX(Fields!$K$2:$K$206,MATCH(H267-129,Fields!$D$2:$D$206,1)),""),"")</f>
        <v/>
      </c>
    </row>
    <row r="268">
      <c r="A268" t="n">
        <v>266</v>
      </c>
      <c r="B268" t="n">
        <v>0</v>
      </c>
      <c r="C268" t="inlineStr">
        <is>
          <t>No</t>
        </is>
      </c>
      <c r="D268">
        <f>IF(AND(B263=1,B264=1,B265=1,B266=1,B267=1),"Yes","")</f>
        <v/>
      </c>
      <c r="E268" t="inlineStr">
        <is>
          <t>No</t>
        </is>
      </c>
      <c r="F268" t="inlineStr">
        <is>
          <t>No</t>
        </is>
      </c>
      <c r="G268">
        <f>IF(F268="Yes",1-B268,B268)</f>
        <v/>
      </c>
      <c r="H268">
        <f>IF(E268="Yes","",COUNTIFS($E$2:E268,"No"))</f>
        <v/>
      </c>
      <c r="I268">
        <f>IF(H268="","",IF(H268&lt;=128,"address",IF(H268&lt;=600,"data1",IF(H268&lt;=1264,"zero-run1",IF(H268&lt;=1648,"data2",IF(H268&lt;=2176,"zero-run2",IF(H268&lt;=2192,"FCS","trailing")))))))</f>
        <v/>
      </c>
      <c r="J268">
        <f>IFERROR(IF(AND(H268&lt;&gt;"",H268&gt;=129,H268&lt;=2176),INDEX(Fields!$B$2:$B$206,MATCH(H268-129,Fields!$D$2:$D$206,1)),""),"")</f>
        <v/>
      </c>
      <c r="K268">
        <f>IFERROR(IF(AND(H268&lt;&gt;"",H268&gt;=129,H268&lt;=2176),INDEX(Fields!$C$2:$C$206,MATCH(H268-129,Fields!$D$2:$D$206,1)),""),"")</f>
        <v/>
      </c>
      <c r="L268">
        <f>IFERROR(IF(AND(H268&lt;&gt;"",H268&gt;=129,H268&lt;=2176),INDEX(Fields!$J$2:$J$206,MATCH(H268-129,Fields!$D$2:$D$206,1)),""),"")</f>
        <v/>
      </c>
      <c r="M268">
        <f>IFERROR(IF(AND(H268&lt;&gt;"",H268&gt;=129,H268&lt;=2176),INDEX(Fields!$K$2:$K$206,MATCH(H268-129,Fields!$D$2:$D$206,1)),""),"")</f>
        <v/>
      </c>
    </row>
    <row r="269">
      <c r="A269" t="n">
        <v>267</v>
      </c>
      <c r="B269" t="n">
        <v>0</v>
      </c>
      <c r="C269" t="inlineStr">
        <is>
          <t>No</t>
        </is>
      </c>
      <c r="D269">
        <f>IF(AND(B264=1,B265=1,B266=1,B267=1,B268=1),"Yes","")</f>
        <v/>
      </c>
      <c r="E269" t="inlineStr">
        <is>
          <t>No</t>
        </is>
      </c>
      <c r="F269" t="inlineStr">
        <is>
          <t>No</t>
        </is>
      </c>
      <c r="G269">
        <f>IF(F269="Yes",1-B269,B269)</f>
        <v/>
      </c>
      <c r="H269">
        <f>IF(E269="Yes","",COUNTIFS($E$2:E269,"No"))</f>
        <v/>
      </c>
      <c r="I269">
        <f>IF(H269="","",IF(H269&lt;=128,"address",IF(H269&lt;=600,"data1",IF(H269&lt;=1264,"zero-run1",IF(H269&lt;=1648,"data2",IF(H269&lt;=2176,"zero-run2",IF(H269&lt;=2192,"FCS","trailing")))))))</f>
        <v/>
      </c>
      <c r="J269">
        <f>IFERROR(IF(AND(H269&lt;&gt;"",H269&gt;=129,H269&lt;=2176),INDEX(Fields!$B$2:$B$206,MATCH(H269-129,Fields!$D$2:$D$206,1)),""),"")</f>
        <v/>
      </c>
      <c r="K269">
        <f>IFERROR(IF(AND(H269&lt;&gt;"",H269&gt;=129,H269&lt;=2176),INDEX(Fields!$C$2:$C$206,MATCH(H269-129,Fields!$D$2:$D$206,1)),""),"")</f>
        <v/>
      </c>
      <c r="L269">
        <f>IFERROR(IF(AND(H269&lt;&gt;"",H269&gt;=129,H269&lt;=2176),INDEX(Fields!$J$2:$J$206,MATCH(H269-129,Fields!$D$2:$D$206,1)),""),"")</f>
        <v/>
      </c>
      <c r="M269">
        <f>IFERROR(IF(AND(H269&lt;&gt;"",H269&gt;=129,H269&lt;=2176),INDEX(Fields!$K$2:$K$206,MATCH(H269-129,Fields!$D$2:$D$206,1)),""),"")</f>
        <v/>
      </c>
    </row>
    <row r="270">
      <c r="A270" t="n">
        <v>268</v>
      </c>
      <c r="B270" t="n">
        <v>0</v>
      </c>
      <c r="C270" t="inlineStr">
        <is>
          <t>No</t>
        </is>
      </c>
      <c r="D270">
        <f>IF(AND(B265=1,B266=1,B267=1,B268=1,B269=1),"Yes","")</f>
        <v/>
      </c>
      <c r="E270" t="inlineStr">
        <is>
          <t>No</t>
        </is>
      </c>
      <c r="F270" t="inlineStr">
        <is>
          <t>No</t>
        </is>
      </c>
      <c r="G270">
        <f>IF(F270="Yes",1-B270,B270)</f>
        <v/>
      </c>
      <c r="H270">
        <f>IF(E270="Yes","",COUNTIFS($E$2:E270,"No"))</f>
        <v/>
      </c>
      <c r="I270">
        <f>IF(H270="","",IF(H270&lt;=128,"address",IF(H270&lt;=600,"data1",IF(H270&lt;=1264,"zero-run1",IF(H270&lt;=1648,"data2",IF(H270&lt;=2176,"zero-run2",IF(H270&lt;=2192,"FCS","trailing")))))))</f>
        <v/>
      </c>
      <c r="J270">
        <f>IFERROR(IF(AND(H270&lt;&gt;"",H270&gt;=129,H270&lt;=2176),INDEX(Fields!$B$2:$B$206,MATCH(H270-129,Fields!$D$2:$D$206,1)),""),"")</f>
        <v/>
      </c>
      <c r="K270">
        <f>IFERROR(IF(AND(H270&lt;&gt;"",H270&gt;=129,H270&lt;=2176),INDEX(Fields!$C$2:$C$206,MATCH(H270-129,Fields!$D$2:$D$206,1)),""),"")</f>
        <v/>
      </c>
      <c r="L270">
        <f>IFERROR(IF(AND(H270&lt;&gt;"",H270&gt;=129,H270&lt;=2176),INDEX(Fields!$J$2:$J$206,MATCH(H270-129,Fields!$D$2:$D$206,1)),""),"")</f>
        <v/>
      </c>
      <c r="M270">
        <f>IFERROR(IF(AND(H270&lt;&gt;"",H270&gt;=129,H270&lt;=2176),INDEX(Fields!$K$2:$K$206,MATCH(H270-129,Fields!$D$2:$D$206,1)),""),"")</f>
        <v/>
      </c>
    </row>
    <row r="271">
      <c r="A271" t="n">
        <v>269</v>
      </c>
      <c r="B271" t="n">
        <v>0</v>
      </c>
      <c r="C271" t="inlineStr">
        <is>
          <t>No</t>
        </is>
      </c>
      <c r="D271">
        <f>IF(AND(B266=1,B267=1,B268=1,B269=1,B270=1),"Yes","")</f>
        <v/>
      </c>
      <c r="E271" t="inlineStr">
        <is>
          <t>No</t>
        </is>
      </c>
      <c r="F271" t="inlineStr">
        <is>
          <t>No</t>
        </is>
      </c>
      <c r="G271">
        <f>IF(F271="Yes",1-B271,B271)</f>
        <v/>
      </c>
      <c r="H271">
        <f>IF(E271="Yes","",COUNTIFS($E$2:E271,"No"))</f>
        <v/>
      </c>
      <c r="I271">
        <f>IF(H271="","",IF(H271&lt;=128,"address",IF(H271&lt;=600,"data1",IF(H271&lt;=1264,"zero-run1",IF(H271&lt;=1648,"data2",IF(H271&lt;=2176,"zero-run2",IF(H271&lt;=2192,"FCS","trailing")))))))</f>
        <v/>
      </c>
      <c r="J271">
        <f>IFERROR(IF(AND(H271&lt;&gt;"",H271&gt;=129,H271&lt;=2176),INDEX(Fields!$B$2:$B$206,MATCH(H271-129,Fields!$D$2:$D$206,1)),""),"")</f>
        <v/>
      </c>
      <c r="K271">
        <f>IFERROR(IF(AND(H271&lt;&gt;"",H271&gt;=129,H271&lt;=2176),INDEX(Fields!$C$2:$C$206,MATCH(H271-129,Fields!$D$2:$D$206,1)),""),"")</f>
        <v/>
      </c>
      <c r="L271">
        <f>IFERROR(IF(AND(H271&lt;&gt;"",H271&gt;=129,H271&lt;=2176),INDEX(Fields!$J$2:$J$206,MATCH(H271-129,Fields!$D$2:$D$206,1)),""),"")</f>
        <v/>
      </c>
      <c r="M271">
        <f>IFERROR(IF(AND(H271&lt;&gt;"",H271&gt;=129,H271&lt;=2176),INDEX(Fields!$K$2:$K$206,MATCH(H271-129,Fields!$D$2:$D$206,1)),""),"")</f>
        <v/>
      </c>
    </row>
    <row r="272">
      <c r="A272" t="n">
        <v>270</v>
      </c>
      <c r="B272" t="n">
        <v>0</v>
      </c>
      <c r="C272" t="inlineStr">
        <is>
          <t>No</t>
        </is>
      </c>
      <c r="D272">
        <f>IF(AND(B267=1,B268=1,B269=1,B270=1,B271=1),"Yes","")</f>
        <v/>
      </c>
      <c r="E272" t="inlineStr">
        <is>
          <t>No</t>
        </is>
      </c>
      <c r="F272" t="inlineStr">
        <is>
          <t>No</t>
        </is>
      </c>
      <c r="G272">
        <f>IF(F272="Yes",1-B272,B272)</f>
        <v/>
      </c>
      <c r="H272">
        <f>IF(E272="Yes","",COUNTIFS($E$2:E272,"No"))</f>
        <v/>
      </c>
      <c r="I272">
        <f>IF(H272="","",IF(H272&lt;=128,"address",IF(H272&lt;=600,"data1",IF(H272&lt;=1264,"zero-run1",IF(H272&lt;=1648,"data2",IF(H272&lt;=2176,"zero-run2",IF(H272&lt;=2192,"FCS","trailing")))))))</f>
        <v/>
      </c>
      <c r="J272">
        <f>IFERROR(IF(AND(H272&lt;&gt;"",H272&gt;=129,H272&lt;=2176),INDEX(Fields!$B$2:$B$206,MATCH(H272-129,Fields!$D$2:$D$206,1)),""),"")</f>
        <v/>
      </c>
      <c r="K272">
        <f>IFERROR(IF(AND(H272&lt;&gt;"",H272&gt;=129,H272&lt;=2176),INDEX(Fields!$C$2:$C$206,MATCH(H272-129,Fields!$D$2:$D$206,1)),""),"")</f>
        <v/>
      </c>
      <c r="L272">
        <f>IFERROR(IF(AND(H272&lt;&gt;"",H272&gt;=129,H272&lt;=2176),INDEX(Fields!$J$2:$J$206,MATCH(H272-129,Fields!$D$2:$D$206,1)),""),"")</f>
        <v/>
      </c>
      <c r="M272">
        <f>IFERROR(IF(AND(H272&lt;&gt;"",H272&gt;=129,H272&lt;=2176),INDEX(Fields!$K$2:$K$206,MATCH(H272-129,Fields!$D$2:$D$206,1)),""),"")</f>
        <v/>
      </c>
    </row>
    <row r="273">
      <c r="A273" t="n">
        <v>271</v>
      </c>
      <c r="B273" t="n">
        <v>0</v>
      </c>
      <c r="C273" t="inlineStr">
        <is>
          <t>No</t>
        </is>
      </c>
      <c r="D273">
        <f>IF(AND(B268=1,B269=1,B270=1,B271=1,B272=1),"Yes","")</f>
        <v/>
      </c>
      <c r="E273" t="inlineStr">
        <is>
          <t>No</t>
        </is>
      </c>
      <c r="F273" t="inlineStr">
        <is>
          <t>No</t>
        </is>
      </c>
      <c r="G273">
        <f>IF(F273="Yes",1-B273,B273)</f>
        <v/>
      </c>
      <c r="H273">
        <f>IF(E273="Yes","",COUNTIFS($E$2:E273,"No"))</f>
        <v/>
      </c>
      <c r="I273">
        <f>IF(H273="","",IF(H273&lt;=128,"address",IF(H273&lt;=600,"data1",IF(H273&lt;=1264,"zero-run1",IF(H273&lt;=1648,"data2",IF(H273&lt;=2176,"zero-run2",IF(H273&lt;=2192,"FCS","trailing")))))))</f>
        <v/>
      </c>
      <c r="J273">
        <f>IFERROR(IF(AND(H273&lt;&gt;"",H273&gt;=129,H273&lt;=2176),INDEX(Fields!$B$2:$B$206,MATCH(H273-129,Fields!$D$2:$D$206,1)),""),"")</f>
        <v/>
      </c>
      <c r="K273">
        <f>IFERROR(IF(AND(H273&lt;&gt;"",H273&gt;=129,H273&lt;=2176),INDEX(Fields!$C$2:$C$206,MATCH(H273-129,Fields!$D$2:$D$206,1)),""),"")</f>
        <v/>
      </c>
      <c r="L273">
        <f>IFERROR(IF(AND(H273&lt;&gt;"",H273&gt;=129,H273&lt;=2176),INDEX(Fields!$J$2:$J$206,MATCH(H273-129,Fields!$D$2:$D$206,1)),""),"")</f>
        <v/>
      </c>
      <c r="M273">
        <f>IFERROR(IF(AND(H273&lt;&gt;"",H273&gt;=129,H273&lt;=2176),INDEX(Fields!$K$2:$K$206,MATCH(H273-129,Fields!$D$2:$D$206,1)),""),"")</f>
        <v/>
      </c>
    </row>
    <row r="274">
      <c r="A274" t="n">
        <v>272</v>
      </c>
      <c r="B274" t="n">
        <v>0</v>
      </c>
      <c r="C274" t="inlineStr">
        <is>
          <t>No</t>
        </is>
      </c>
      <c r="D274">
        <f>IF(AND(B269=1,B270=1,B271=1,B272=1,B273=1),"Yes","")</f>
        <v/>
      </c>
      <c r="E274" t="inlineStr">
        <is>
          <t>No</t>
        </is>
      </c>
      <c r="F274" t="inlineStr">
        <is>
          <t>No</t>
        </is>
      </c>
      <c r="G274">
        <f>IF(F274="Yes",1-B274,B274)</f>
        <v/>
      </c>
      <c r="H274">
        <f>IF(E274="Yes","",COUNTIFS($E$2:E274,"No"))</f>
        <v/>
      </c>
      <c r="I274">
        <f>IF(H274="","",IF(H274&lt;=128,"address",IF(H274&lt;=600,"data1",IF(H274&lt;=1264,"zero-run1",IF(H274&lt;=1648,"data2",IF(H274&lt;=2176,"zero-run2",IF(H274&lt;=2192,"FCS","trailing")))))))</f>
        <v/>
      </c>
      <c r="J274">
        <f>IFERROR(IF(AND(H274&lt;&gt;"",H274&gt;=129,H274&lt;=2176),INDEX(Fields!$B$2:$B$206,MATCH(H274-129,Fields!$D$2:$D$206,1)),""),"")</f>
        <v/>
      </c>
      <c r="K274">
        <f>IFERROR(IF(AND(H274&lt;&gt;"",H274&gt;=129,H274&lt;=2176),INDEX(Fields!$C$2:$C$206,MATCH(H274-129,Fields!$D$2:$D$206,1)),""),"")</f>
        <v/>
      </c>
      <c r="L274">
        <f>IFERROR(IF(AND(H274&lt;&gt;"",H274&gt;=129,H274&lt;=2176),INDEX(Fields!$J$2:$J$206,MATCH(H274-129,Fields!$D$2:$D$206,1)),""),"")</f>
        <v/>
      </c>
      <c r="M274">
        <f>IFERROR(IF(AND(H274&lt;&gt;"",H274&gt;=129,H274&lt;=2176),INDEX(Fields!$K$2:$K$206,MATCH(H274-129,Fields!$D$2:$D$206,1)),""),"")</f>
        <v/>
      </c>
    </row>
    <row r="275">
      <c r="A275" t="n">
        <v>273</v>
      </c>
      <c r="B275" t="n">
        <v>0</v>
      </c>
      <c r="C275" t="inlineStr">
        <is>
          <t>No</t>
        </is>
      </c>
      <c r="D275">
        <f>IF(AND(B270=1,B271=1,B272=1,B273=1,B274=1),"Yes","")</f>
        <v/>
      </c>
      <c r="E275" t="inlineStr">
        <is>
          <t>No</t>
        </is>
      </c>
      <c r="F275" t="inlineStr">
        <is>
          <t>No</t>
        </is>
      </c>
      <c r="G275">
        <f>IF(F275="Yes",1-B275,B275)</f>
        <v/>
      </c>
      <c r="H275">
        <f>IF(E275="Yes","",COUNTIFS($E$2:E275,"No"))</f>
        <v/>
      </c>
      <c r="I275">
        <f>IF(H275="","",IF(H275&lt;=128,"address",IF(H275&lt;=600,"data1",IF(H275&lt;=1264,"zero-run1",IF(H275&lt;=1648,"data2",IF(H275&lt;=2176,"zero-run2",IF(H275&lt;=2192,"FCS","trailing")))))))</f>
        <v/>
      </c>
      <c r="J275">
        <f>IFERROR(IF(AND(H275&lt;&gt;"",H275&gt;=129,H275&lt;=2176),INDEX(Fields!$B$2:$B$206,MATCH(H275-129,Fields!$D$2:$D$206,1)),""),"")</f>
        <v/>
      </c>
      <c r="K275">
        <f>IFERROR(IF(AND(H275&lt;&gt;"",H275&gt;=129,H275&lt;=2176),INDEX(Fields!$C$2:$C$206,MATCH(H275-129,Fields!$D$2:$D$206,1)),""),"")</f>
        <v/>
      </c>
      <c r="L275">
        <f>IFERROR(IF(AND(H275&lt;&gt;"",H275&gt;=129,H275&lt;=2176),INDEX(Fields!$J$2:$J$206,MATCH(H275-129,Fields!$D$2:$D$206,1)),""),"")</f>
        <v/>
      </c>
      <c r="M275">
        <f>IFERROR(IF(AND(H275&lt;&gt;"",H275&gt;=129,H275&lt;=2176),INDEX(Fields!$K$2:$K$206,MATCH(H275-129,Fields!$D$2:$D$206,1)),""),"")</f>
        <v/>
      </c>
    </row>
    <row r="276">
      <c r="A276" t="n">
        <v>274</v>
      </c>
      <c r="B276" t="n">
        <v>0</v>
      </c>
      <c r="C276" t="inlineStr">
        <is>
          <t>No</t>
        </is>
      </c>
      <c r="D276">
        <f>IF(AND(B271=1,B272=1,B273=1,B274=1,B275=1),"Yes","")</f>
        <v/>
      </c>
      <c r="E276" t="inlineStr">
        <is>
          <t>No</t>
        </is>
      </c>
      <c r="F276" t="inlineStr">
        <is>
          <t>No</t>
        </is>
      </c>
      <c r="G276">
        <f>IF(F276="Yes",1-B276,B276)</f>
        <v/>
      </c>
      <c r="H276">
        <f>IF(E276="Yes","",COUNTIFS($E$2:E276,"No"))</f>
        <v/>
      </c>
      <c r="I276">
        <f>IF(H276="","",IF(H276&lt;=128,"address",IF(H276&lt;=600,"data1",IF(H276&lt;=1264,"zero-run1",IF(H276&lt;=1648,"data2",IF(H276&lt;=2176,"zero-run2",IF(H276&lt;=2192,"FCS","trailing")))))))</f>
        <v/>
      </c>
      <c r="J276">
        <f>IFERROR(IF(AND(H276&lt;&gt;"",H276&gt;=129,H276&lt;=2176),INDEX(Fields!$B$2:$B$206,MATCH(H276-129,Fields!$D$2:$D$206,1)),""),"")</f>
        <v/>
      </c>
      <c r="K276">
        <f>IFERROR(IF(AND(H276&lt;&gt;"",H276&gt;=129,H276&lt;=2176),INDEX(Fields!$C$2:$C$206,MATCH(H276-129,Fields!$D$2:$D$206,1)),""),"")</f>
        <v/>
      </c>
      <c r="L276">
        <f>IFERROR(IF(AND(H276&lt;&gt;"",H276&gt;=129,H276&lt;=2176),INDEX(Fields!$J$2:$J$206,MATCH(H276-129,Fields!$D$2:$D$206,1)),""),"")</f>
        <v/>
      </c>
      <c r="M276">
        <f>IFERROR(IF(AND(H276&lt;&gt;"",H276&gt;=129,H276&lt;=2176),INDEX(Fields!$K$2:$K$206,MATCH(H276-129,Fields!$D$2:$D$206,1)),""),"")</f>
        <v/>
      </c>
    </row>
    <row r="277">
      <c r="A277" t="n">
        <v>275</v>
      </c>
      <c r="B277" t="n">
        <v>0</v>
      </c>
      <c r="C277" t="inlineStr">
        <is>
          <t>No</t>
        </is>
      </c>
      <c r="D277">
        <f>IF(AND(B272=1,B273=1,B274=1,B275=1,B276=1),"Yes","")</f>
        <v/>
      </c>
      <c r="E277" t="inlineStr">
        <is>
          <t>No</t>
        </is>
      </c>
      <c r="F277" t="inlineStr">
        <is>
          <t>No</t>
        </is>
      </c>
      <c r="G277">
        <f>IF(F277="Yes",1-B277,B277)</f>
        <v/>
      </c>
      <c r="H277">
        <f>IF(E277="Yes","",COUNTIFS($E$2:E277,"No"))</f>
        <v/>
      </c>
      <c r="I277">
        <f>IF(H277="","",IF(H277&lt;=128,"address",IF(H277&lt;=600,"data1",IF(H277&lt;=1264,"zero-run1",IF(H277&lt;=1648,"data2",IF(H277&lt;=2176,"zero-run2",IF(H277&lt;=2192,"FCS","trailing")))))))</f>
        <v/>
      </c>
      <c r="J277">
        <f>IFERROR(IF(AND(H277&lt;&gt;"",H277&gt;=129,H277&lt;=2176),INDEX(Fields!$B$2:$B$206,MATCH(H277-129,Fields!$D$2:$D$206,1)),""),"")</f>
        <v/>
      </c>
      <c r="K277">
        <f>IFERROR(IF(AND(H277&lt;&gt;"",H277&gt;=129,H277&lt;=2176),INDEX(Fields!$C$2:$C$206,MATCH(H277-129,Fields!$D$2:$D$206,1)),""),"")</f>
        <v/>
      </c>
      <c r="L277">
        <f>IFERROR(IF(AND(H277&lt;&gt;"",H277&gt;=129,H277&lt;=2176),INDEX(Fields!$J$2:$J$206,MATCH(H277-129,Fields!$D$2:$D$206,1)),""),"")</f>
        <v/>
      </c>
      <c r="M277">
        <f>IFERROR(IF(AND(H277&lt;&gt;"",H277&gt;=129,H277&lt;=2176),INDEX(Fields!$K$2:$K$206,MATCH(H277-129,Fields!$D$2:$D$206,1)),""),"")</f>
        <v/>
      </c>
    </row>
    <row r="278">
      <c r="A278" t="n">
        <v>276</v>
      </c>
      <c r="B278" t="n">
        <v>0</v>
      </c>
      <c r="C278" t="inlineStr">
        <is>
          <t>No</t>
        </is>
      </c>
      <c r="D278">
        <f>IF(AND(B273=1,B274=1,B275=1,B276=1,B277=1),"Yes","")</f>
        <v/>
      </c>
      <c r="E278" t="inlineStr">
        <is>
          <t>No</t>
        </is>
      </c>
      <c r="F278" t="inlineStr">
        <is>
          <t>No</t>
        </is>
      </c>
      <c r="G278">
        <f>IF(F278="Yes",1-B278,B278)</f>
        <v/>
      </c>
      <c r="H278">
        <f>IF(E278="Yes","",COUNTIFS($E$2:E278,"No"))</f>
        <v/>
      </c>
      <c r="I278">
        <f>IF(H278="","",IF(H278&lt;=128,"address",IF(H278&lt;=600,"data1",IF(H278&lt;=1264,"zero-run1",IF(H278&lt;=1648,"data2",IF(H278&lt;=2176,"zero-run2",IF(H278&lt;=2192,"FCS","trailing")))))))</f>
        <v/>
      </c>
      <c r="J278">
        <f>IFERROR(IF(AND(H278&lt;&gt;"",H278&gt;=129,H278&lt;=2176),INDEX(Fields!$B$2:$B$206,MATCH(H278-129,Fields!$D$2:$D$206,1)),""),"")</f>
        <v/>
      </c>
      <c r="K278">
        <f>IFERROR(IF(AND(H278&lt;&gt;"",H278&gt;=129,H278&lt;=2176),INDEX(Fields!$C$2:$C$206,MATCH(H278-129,Fields!$D$2:$D$206,1)),""),"")</f>
        <v/>
      </c>
      <c r="L278">
        <f>IFERROR(IF(AND(H278&lt;&gt;"",H278&gt;=129,H278&lt;=2176),INDEX(Fields!$J$2:$J$206,MATCH(H278-129,Fields!$D$2:$D$206,1)),""),"")</f>
        <v/>
      </c>
      <c r="M278">
        <f>IFERROR(IF(AND(H278&lt;&gt;"",H278&gt;=129,H278&lt;=2176),INDEX(Fields!$K$2:$K$206,MATCH(H278-129,Fields!$D$2:$D$206,1)),""),"")</f>
        <v/>
      </c>
    </row>
    <row r="279">
      <c r="A279" t="n">
        <v>277</v>
      </c>
      <c r="B279" t="n">
        <v>0</v>
      </c>
      <c r="C279" t="inlineStr">
        <is>
          <t>No</t>
        </is>
      </c>
      <c r="D279">
        <f>IF(AND(B274=1,B275=1,B276=1,B277=1,B278=1),"Yes","")</f>
        <v/>
      </c>
      <c r="E279" t="inlineStr">
        <is>
          <t>No</t>
        </is>
      </c>
      <c r="F279" t="inlineStr">
        <is>
          <t>No</t>
        </is>
      </c>
      <c r="G279">
        <f>IF(F279="Yes",1-B279,B279)</f>
        <v/>
      </c>
      <c r="H279">
        <f>IF(E279="Yes","",COUNTIFS($E$2:E279,"No"))</f>
        <v/>
      </c>
      <c r="I279">
        <f>IF(H279="","",IF(H279&lt;=128,"address",IF(H279&lt;=600,"data1",IF(H279&lt;=1264,"zero-run1",IF(H279&lt;=1648,"data2",IF(H279&lt;=2176,"zero-run2",IF(H279&lt;=2192,"FCS","trailing")))))))</f>
        <v/>
      </c>
      <c r="J279">
        <f>IFERROR(IF(AND(H279&lt;&gt;"",H279&gt;=129,H279&lt;=2176),INDEX(Fields!$B$2:$B$206,MATCH(H279-129,Fields!$D$2:$D$206,1)),""),"")</f>
        <v/>
      </c>
      <c r="K279">
        <f>IFERROR(IF(AND(H279&lt;&gt;"",H279&gt;=129,H279&lt;=2176),INDEX(Fields!$C$2:$C$206,MATCH(H279-129,Fields!$D$2:$D$206,1)),""),"")</f>
        <v/>
      </c>
      <c r="L279">
        <f>IFERROR(IF(AND(H279&lt;&gt;"",H279&gt;=129,H279&lt;=2176),INDEX(Fields!$J$2:$J$206,MATCH(H279-129,Fields!$D$2:$D$206,1)),""),"")</f>
        <v/>
      </c>
      <c r="M279">
        <f>IFERROR(IF(AND(H279&lt;&gt;"",H279&gt;=129,H279&lt;=2176),INDEX(Fields!$K$2:$K$206,MATCH(H279-129,Fields!$D$2:$D$206,1)),""),"")</f>
        <v/>
      </c>
    </row>
    <row r="280">
      <c r="A280" t="n">
        <v>278</v>
      </c>
      <c r="B280" t="n">
        <v>0</v>
      </c>
      <c r="C280" t="inlineStr">
        <is>
          <t>No</t>
        </is>
      </c>
      <c r="D280">
        <f>IF(AND(B275=1,B276=1,B277=1,B278=1,B279=1),"Yes","")</f>
        <v/>
      </c>
      <c r="E280" t="inlineStr">
        <is>
          <t>No</t>
        </is>
      </c>
      <c r="F280" t="inlineStr">
        <is>
          <t>No</t>
        </is>
      </c>
      <c r="G280">
        <f>IF(F280="Yes",1-B280,B280)</f>
        <v/>
      </c>
      <c r="H280">
        <f>IF(E280="Yes","",COUNTIFS($E$2:E280,"No"))</f>
        <v/>
      </c>
      <c r="I280">
        <f>IF(H280="","",IF(H280&lt;=128,"address",IF(H280&lt;=600,"data1",IF(H280&lt;=1264,"zero-run1",IF(H280&lt;=1648,"data2",IF(H280&lt;=2176,"zero-run2",IF(H280&lt;=2192,"FCS","trailing")))))))</f>
        <v/>
      </c>
      <c r="J280">
        <f>IFERROR(IF(AND(H280&lt;&gt;"",H280&gt;=129,H280&lt;=2176),INDEX(Fields!$B$2:$B$206,MATCH(H280-129,Fields!$D$2:$D$206,1)),""),"")</f>
        <v/>
      </c>
      <c r="K280">
        <f>IFERROR(IF(AND(H280&lt;&gt;"",H280&gt;=129,H280&lt;=2176),INDEX(Fields!$C$2:$C$206,MATCH(H280-129,Fields!$D$2:$D$206,1)),""),"")</f>
        <v/>
      </c>
      <c r="L280">
        <f>IFERROR(IF(AND(H280&lt;&gt;"",H280&gt;=129,H280&lt;=2176),INDEX(Fields!$J$2:$J$206,MATCH(H280-129,Fields!$D$2:$D$206,1)),""),"")</f>
        <v/>
      </c>
      <c r="M280">
        <f>IFERROR(IF(AND(H280&lt;&gt;"",H280&gt;=129,H280&lt;=2176),INDEX(Fields!$K$2:$K$206,MATCH(H280-129,Fields!$D$2:$D$206,1)),""),"")</f>
        <v/>
      </c>
    </row>
    <row r="281">
      <c r="A281" t="n">
        <v>279</v>
      </c>
      <c r="B281" t="n">
        <v>0</v>
      </c>
      <c r="C281" t="inlineStr">
        <is>
          <t>No</t>
        </is>
      </c>
      <c r="D281">
        <f>IF(AND(B276=1,B277=1,B278=1,B279=1,B280=1),"Yes","")</f>
        <v/>
      </c>
      <c r="E281" t="inlineStr">
        <is>
          <t>No</t>
        </is>
      </c>
      <c r="F281" t="inlineStr">
        <is>
          <t>No</t>
        </is>
      </c>
      <c r="G281">
        <f>IF(F281="Yes",1-B281,B281)</f>
        <v/>
      </c>
      <c r="H281">
        <f>IF(E281="Yes","",COUNTIFS($E$2:E281,"No"))</f>
        <v/>
      </c>
      <c r="I281">
        <f>IF(H281="","",IF(H281&lt;=128,"address",IF(H281&lt;=600,"data1",IF(H281&lt;=1264,"zero-run1",IF(H281&lt;=1648,"data2",IF(H281&lt;=2176,"zero-run2",IF(H281&lt;=2192,"FCS","trailing")))))))</f>
        <v/>
      </c>
      <c r="J281">
        <f>IFERROR(IF(AND(H281&lt;&gt;"",H281&gt;=129,H281&lt;=2176),INDEX(Fields!$B$2:$B$206,MATCH(H281-129,Fields!$D$2:$D$206,1)),""),"")</f>
        <v/>
      </c>
      <c r="K281">
        <f>IFERROR(IF(AND(H281&lt;&gt;"",H281&gt;=129,H281&lt;=2176),INDEX(Fields!$C$2:$C$206,MATCH(H281-129,Fields!$D$2:$D$206,1)),""),"")</f>
        <v/>
      </c>
      <c r="L281">
        <f>IFERROR(IF(AND(H281&lt;&gt;"",H281&gt;=129,H281&lt;=2176),INDEX(Fields!$J$2:$J$206,MATCH(H281-129,Fields!$D$2:$D$206,1)),""),"")</f>
        <v/>
      </c>
      <c r="M281">
        <f>IFERROR(IF(AND(H281&lt;&gt;"",H281&gt;=129,H281&lt;=2176),INDEX(Fields!$K$2:$K$206,MATCH(H281-129,Fields!$D$2:$D$206,1)),""),"")</f>
        <v/>
      </c>
    </row>
    <row r="282">
      <c r="A282" t="n">
        <v>280</v>
      </c>
      <c r="B282" t="n">
        <v>0</v>
      </c>
      <c r="C282" t="inlineStr">
        <is>
          <t>No</t>
        </is>
      </c>
      <c r="D282">
        <f>IF(AND(B277=1,B278=1,B279=1,B280=1,B281=1),"Yes","")</f>
        <v/>
      </c>
      <c r="E282" t="inlineStr">
        <is>
          <t>No</t>
        </is>
      </c>
      <c r="F282" t="inlineStr">
        <is>
          <t>No</t>
        </is>
      </c>
      <c r="G282">
        <f>IF(F282="Yes",1-B282,B282)</f>
        <v/>
      </c>
      <c r="H282">
        <f>IF(E282="Yes","",COUNTIFS($E$2:E282,"No"))</f>
        <v/>
      </c>
      <c r="I282">
        <f>IF(H282="","",IF(H282&lt;=128,"address",IF(H282&lt;=600,"data1",IF(H282&lt;=1264,"zero-run1",IF(H282&lt;=1648,"data2",IF(H282&lt;=2176,"zero-run2",IF(H282&lt;=2192,"FCS","trailing")))))))</f>
        <v/>
      </c>
      <c r="J282">
        <f>IFERROR(IF(AND(H282&lt;&gt;"",H282&gt;=129,H282&lt;=2176),INDEX(Fields!$B$2:$B$206,MATCH(H282-129,Fields!$D$2:$D$206,1)),""),"")</f>
        <v/>
      </c>
      <c r="K282">
        <f>IFERROR(IF(AND(H282&lt;&gt;"",H282&gt;=129,H282&lt;=2176),INDEX(Fields!$C$2:$C$206,MATCH(H282-129,Fields!$D$2:$D$206,1)),""),"")</f>
        <v/>
      </c>
      <c r="L282">
        <f>IFERROR(IF(AND(H282&lt;&gt;"",H282&gt;=129,H282&lt;=2176),INDEX(Fields!$J$2:$J$206,MATCH(H282-129,Fields!$D$2:$D$206,1)),""),"")</f>
        <v/>
      </c>
      <c r="M282">
        <f>IFERROR(IF(AND(H282&lt;&gt;"",H282&gt;=129,H282&lt;=2176),INDEX(Fields!$K$2:$K$206,MATCH(H282-129,Fields!$D$2:$D$206,1)),""),"")</f>
        <v/>
      </c>
    </row>
    <row r="283">
      <c r="A283" t="n">
        <v>281</v>
      </c>
      <c r="B283" t="n">
        <v>0</v>
      </c>
      <c r="C283" t="inlineStr">
        <is>
          <t>No</t>
        </is>
      </c>
      <c r="D283">
        <f>IF(AND(B278=1,B279=1,B280=1,B281=1,B282=1),"Yes","")</f>
        <v/>
      </c>
      <c r="E283" t="inlineStr">
        <is>
          <t>No</t>
        </is>
      </c>
      <c r="F283" t="inlineStr">
        <is>
          <t>No</t>
        </is>
      </c>
      <c r="G283">
        <f>IF(F283="Yes",1-B283,B283)</f>
        <v/>
      </c>
      <c r="H283">
        <f>IF(E283="Yes","",COUNTIFS($E$2:E283,"No"))</f>
        <v/>
      </c>
      <c r="I283">
        <f>IF(H283="","",IF(H283&lt;=128,"address",IF(H283&lt;=600,"data1",IF(H283&lt;=1264,"zero-run1",IF(H283&lt;=1648,"data2",IF(H283&lt;=2176,"zero-run2",IF(H283&lt;=2192,"FCS","trailing")))))))</f>
        <v/>
      </c>
      <c r="J283">
        <f>IFERROR(IF(AND(H283&lt;&gt;"",H283&gt;=129,H283&lt;=2176),INDEX(Fields!$B$2:$B$206,MATCH(H283-129,Fields!$D$2:$D$206,1)),""),"")</f>
        <v/>
      </c>
      <c r="K283">
        <f>IFERROR(IF(AND(H283&lt;&gt;"",H283&gt;=129,H283&lt;=2176),INDEX(Fields!$C$2:$C$206,MATCH(H283-129,Fields!$D$2:$D$206,1)),""),"")</f>
        <v/>
      </c>
      <c r="L283">
        <f>IFERROR(IF(AND(H283&lt;&gt;"",H283&gt;=129,H283&lt;=2176),INDEX(Fields!$J$2:$J$206,MATCH(H283-129,Fields!$D$2:$D$206,1)),""),"")</f>
        <v/>
      </c>
      <c r="M283">
        <f>IFERROR(IF(AND(H283&lt;&gt;"",H283&gt;=129,H283&lt;=2176),INDEX(Fields!$K$2:$K$206,MATCH(H283-129,Fields!$D$2:$D$206,1)),""),"")</f>
        <v/>
      </c>
    </row>
    <row r="284">
      <c r="A284" t="n">
        <v>282</v>
      </c>
      <c r="B284" t="n">
        <v>1</v>
      </c>
      <c r="C284" t="inlineStr">
        <is>
          <t>No</t>
        </is>
      </c>
      <c r="D284">
        <f>IF(AND(B279=1,B280=1,B281=1,B282=1,B283=1),"Yes","")</f>
        <v/>
      </c>
      <c r="E284" t="inlineStr">
        <is>
          <t>No</t>
        </is>
      </c>
      <c r="F284" t="inlineStr">
        <is>
          <t>No</t>
        </is>
      </c>
      <c r="G284">
        <f>IF(F284="Yes",1-B284,B284)</f>
        <v/>
      </c>
      <c r="H284">
        <f>IF(E284="Yes","",COUNTIFS($E$2:E284,"No"))</f>
        <v/>
      </c>
      <c r="I284">
        <f>IF(H284="","",IF(H284&lt;=128,"address",IF(H284&lt;=600,"data1",IF(H284&lt;=1264,"zero-run1",IF(H284&lt;=1648,"data2",IF(H284&lt;=2176,"zero-run2",IF(H284&lt;=2192,"FCS","trailing")))))))</f>
        <v/>
      </c>
      <c r="J284">
        <f>IFERROR(IF(AND(H284&lt;&gt;"",H284&gt;=129,H284&lt;=2176),INDEX(Fields!$B$2:$B$206,MATCH(H284-129,Fields!$D$2:$D$206,1)),""),"")</f>
        <v/>
      </c>
      <c r="K284">
        <f>IFERROR(IF(AND(H284&lt;&gt;"",H284&gt;=129,H284&lt;=2176),INDEX(Fields!$C$2:$C$206,MATCH(H284-129,Fields!$D$2:$D$206,1)),""),"")</f>
        <v/>
      </c>
      <c r="L284">
        <f>IFERROR(IF(AND(H284&lt;&gt;"",H284&gt;=129,H284&lt;=2176),INDEX(Fields!$J$2:$J$206,MATCH(H284-129,Fields!$D$2:$D$206,1)),""),"")</f>
        <v/>
      </c>
      <c r="M284">
        <f>IFERROR(IF(AND(H284&lt;&gt;"",H284&gt;=129,H284&lt;=2176),INDEX(Fields!$K$2:$K$206,MATCH(H284-129,Fields!$D$2:$D$206,1)),""),"")</f>
        <v/>
      </c>
    </row>
    <row r="285">
      <c r="A285" t="n">
        <v>283</v>
      </c>
      <c r="B285" t="n">
        <v>1</v>
      </c>
      <c r="C285" t="inlineStr">
        <is>
          <t>No</t>
        </is>
      </c>
      <c r="D285">
        <f>IF(AND(B280=1,B281=1,B282=1,B283=1,B284=1),"Yes","")</f>
        <v/>
      </c>
      <c r="E285" t="inlineStr">
        <is>
          <t>No</t>
        </is>
      </c>
      <c r="F285" t="inlineStr">
        <is>
          <t>No</t>
        </is>
      </c>
      <c r="G285">
        <f>IF(F285="Yes",1-B285,B285)</f>
        <v/>
      </c>
      <c r="H285">
        <f>IF(E285="Yes","",COUNTIFS($E$2:E285,"No"))</f>
        <v/>
      </c>
      <c r="I285">
        <f>IF(H285="","",IF(H285&lt;=128,"address",IF(H285&lt;=600,"data1",IF(H285&lt;=1264,"zero-run1",IF(H285&lt;=1648,"data2",IF(H285&lt;=2176,"zero-run2",IF(H285&lt;=2192,"FCS","trailing")))))))</f>
        <v/>
      </c>
      <c r="J285">
        <f>IFERROR(IF(AND(H285&lt;&gt;"",H285&gt;=129,H285&lt;=2176),INDEX(Fields!$B$2:$B$206,MATCH(H285-129,Fields!$D$2:$D$206,1)),""),"")</f>
        <v/>
      </c>
      <c r="K285">
        <f>IFERROR(IF(AND(H285&lt;&gt;"",H285&gt;=129,H285&lt;=2176),INDEX(Fields!$C$2:$C$206,MATCH(H285-129,Fields!$D$2:$D$206,1)),""),"")</f>
        <v/>
      </c>
      <c r="L285">
        <f>IFERROR(IF(AND(H285&lt;&gt;"",H285&gt;=129,H285&lt;=2176),INDEX(Fields!$J$2:$J$206,MATCH(H285-129,Fields!$D$2:$D$206,1)),""),"")</f>
        <v/>
      </c>
      <c r="M285">
        <f>IFERROR(IF(AND(H285&lt;&gt;"",H285&gt;=129,H285&lt;=2176),INDEX(Fields!$K$2:$K$206,MATCH(H285-129,Fields!$D$2:$D$206,1)),""),"")</f>
        <v/>
      </c>
    </row>
    <row r="286">
      <c r="A286" t="n">
        <v>284</v>
      </c>
      <c r="B286" t="n">
        <v>1</v>
      </c>
      <c r="C286" t="inlineStr">
        <is>
          <t>No</t>
        </is>
      </c>
      <c r="D286">
        <f>IF(AND(B281=1,B282=1,B283=1,B284=1,B285=1),"Yes","")</f>
        <v/>
      </c>
      <c r="E286" t="inlineStr">
        <is>
          <t>No</t>
        </is>
      </c>
      <c r="F286" t="inlineStr">
        <is>
          <t>No</t>
        </is>
      </c>
      <c r="G286">
        <f>IF(F286="Yes",1-B286,B286)</f>
        <v/>
      </c>
      <c r="H286">
        <f>IF(E286="Yes","",COUNTIFS($E$2:E286,"No"))</f>
        <v/>
      </c>
      <c r="I286">
        <f>IF(H286="","",IF(H286&lt;=128,"address",IF(H286&lt;=600,"data1",IF(H286&lt;=1264,"zero-run1",IF(H286&lt;=1648,"data2",IF(H286&lt;=2176,"zero-run2",IF(H286&lt;=2192,"FCS","trailing")))))))</f>
        <v/>
      </c>
      <c r="J286">
        <f>IFERROR(IF(AND(H286&lt;&gt;"",H286&gt;=129,H286&lt;=2176),INDEX(Fields!$B$2:$B$206,MATCH(H286-129,Fields!$D$2:$D$206,1)),""),"")</f>
        <v/>
      </c>
      <c r="K286">
        <f>IFERROR(IF(AND(H286&lt;&gt;"",H286&gt;=129,H286&lt;=2176),INDEX(Fields!$C$2:$C$206,MATCH(H286-129,Fields!$D$2:$D$206,1)),""),"")</f>
        <v/>
      </c>
      <c r="L286">
        <f>IFERROR(IF(AND(H286&lt;&gt;"",H286&gt;=129,H286&lt;=2176),INDEX(Fields!$J$2:$J$206,MATCH(H286-129,Fields!$D$2:$D$206,1)),""),"")</f>
        <v/>
      </c>
      <c r="M286">
        <f>IFERROR(IF(AND(H286&lt;&gt;"",H286&gt;=129,H286&lt;=2176),INDEX(Fields!$K$2:$K$206,MATCH(H286-129,Fields!$D$2:$D$206,1)),""),"")</f>
        <v/>
      </c>
    </row>
    <row r="287">
      <c r="A287" t="n">
        <v>285</v>
      </c>
      <c r="B287" t="n">
        <v>1</v>
      </c>
      <c r="C287" t="inlineStr">
        <is>
          <t>No</t>
        </is>
      </c>
      <c r="D287">
        <f>IF(AND(B282=1,B283=1,B284=1,B285=1,B286=1),"Yes","")</f>
        <v/>
      </c>
      <c r="E287" t="inlineStr">
        <is>
          <t>No</t>
        </is>
      </c>
      <c r="F287" t="inlineStr">
        <is>
          <t>No</t>
        </is>
      </c>
      <c r="G287">
        <f>IF(F287="Yes",1-B287,B287)</f>
        <v/>
      </c>
      <c r="H287">
        <f>IF(E287="Yes","",COUNTIFS($E$2:E287,"No"))</f>
        <v/>
      </c>
      <c r="I287">
        <f>IF(H287="","",IF(H287&lt;=128,"address",IF(H287&lt;=600,"data1",IF(H287&lt;=1264,"zero-run1",IF(H287&lt;=1648,"data2",IF(H287&lt;=2176,"zero-run2",IF(H287&lt;=2192,"FCS","trailing")))))))</f>
        <v/>
      </c>
      <c r="J287">
        <f>IFERROR(IF(AND(H287&lt;&gt;"",H287&gt;=129,H287&lt;=2176),INDEX(Fields!$B$2:$B$206,MATCH(H287-129,Fields!$D$2:$D$206,1)),""),"")</f>
        <v/>
      </c>
      <c r="K287">
        <f>IFERROR(IF(AND(H287&lt;&gt;"",H287&gt;=129,H287&lt;=2176),INDEX(Fields!$C$2:$C$206,MATCH(H287-129,Fields!$D$2:$D$206,1)),""),"")</f>
        <v/>
      </c>
      <c r="L287">
        <f>IFERROR(IF(AND(H287&lt;&gt;"",H287&gt;=129,H287&lt;=2176),INDEX(Fields!$J$2:$J$206,MATCH(H287-129,Fields!$D$2:$D$206,1)),""),"")</f>
        <v/>
      </c>
      <c r="M287">
        <f>IFERROR(IF(AND(H287&lt;&gt;"",H287&gt;=129,H287&lt;=2176),INDEX(Fields!$K$2:$K$206,MATCH(H287-129,Fields!$D$2:$D$206,1)),""),"")</f>
        <v/>
      </c>
    </row>
    <row r="288">
      <c r="A288" t="n">
        <v>286</v>
      </c>
      <c r="B288" t="n">
        <v>1</v>
      </c>
      <c r="C288" t="inlineStr">
        <is>
          <t>No</t>
        </is>
      </c>
      <c r="D288">
        <f>IF(AND(B283=1,B284=1,B285=1,B286=1,B287=1),"Yes","")</f>
        <v/>
      </c>
      <c r="E288" t="inlineStr">
        <is>
          <t>No</t>
        </is>
      </c>
      <c r="F288" t="inlineStr">
        <is>
          <t>No</t>
        </is>
      </c>
      <c r="G288">
        <f>IF(F288="Yes",1-B288,B288)</f>
        <v/>
      </c>
      <c r="H288">
        <f>IF(E288="Yes","",COUNTIFS($E$2:E288,"No"))</f>
        <v/>
      </c>
      <c r="I288">
        <f>IF(H288="","",IF(H288&lt;=128,"address",IF(H288&lt;=600,"data1",IF(H288&lt;=1264,"zero-run1",IF(H288&lt;=1648,"data2",IF(H288&lt;=2176,"zero-run2",IF(H288&lt;=2192,"FCS","trailing")))))))</f>
        <v/>
      </c>
      <c r="J288">
        <f>IFERROR(IF(AND(H288&lt;&gt;"",H288&gt;=129,H288&lt;=2176),INDEX(Fields!$B$2:$B$206,MATCH(H288-129,Fields!$D$2:$D$206,1)),""),"")</f>
        <v/>
      </c>
      <c r="K288">
        <f>IFERROR(IF(AND(H288&lt;&gt;"",H288&gt;=129,H288&lt;=2176),INDEX(Fields!$C$2:$C$206,MATCH(H288-129,Fields!$D$2:$D$206,1)),""),"")</f>
        <v/>
      </c>
      <c r="L288">
        <f>IFERROR(IF(AND(H288&lt;&gt;"",H288&gt;=129,H288&lt;=2176),INDEX(Fields!$J$2:$J$206,MATCH(H288-129,Fields!$D$2:$D$206,1)),""),"")</f>
        <v/>
      </c>
      <c r="M288">
        <f>IFERROR(IF(AND(H288&lt;&gt;"",H288&gt;=129,H288&lt;=2176),INDEX(Fields!$K$2:$K$206,MATCH(H288-129,Fields!$D$2:$D$206,1)),""),"")</f>
        <v/>
      </c>
    </row>
    <row r="289">
      <c r="A289" t="n">
        <v>287</v>
      </c>
      <c r="B289" t="n">
        <v>1</v>
      </c>
      <c r="C289" t="inlineStr">
        <is>
          <t>No</t>
        </is>
      </c>
      <c r="D289" s="4">
        <f>IF(AND(B284=1,B285=1,B286=1,B287=1,B288=1),"Yes","")</f>
        <v/>
      </c>
      <c r="E289" t="inlineStr">
        <is>
          <t>No</t>
        </is>
      </c>
      <c r="F289" t="inlineStr">
        <is>
          <t>No</t>
        </is>
      </c>
      <c r="G289">
        <f>IF(F289="Yes",1-B289,B289)</f>
        <v/>
      </c>
      <c r="H289">
        <f>IF(E289="Yes","",COUNTIFS($E$2:E289,"No"))</f>
        <v/>
      </c>
      <c r="I289">
        <f>IF(H289="","",IF(H289&lt;=128,"address",IF(H289&lt;=600,"data1",IF(H289&lt;=1264,"zero-run1",IF(H289&lt;=1648,"data2",IF(H289&lt;=2176,"zero-run2",IF(H289&lt;=2192,"FCS","trailing")))))))</f>
        <v/>
      </c>
      <c r="J289">
        <f>IFERROR(IF(AND(H289&lt;&gt;"",H289&gt;=129,H289&lt;=2176),INDEX(Fields!$B$2:$B$206,MATCH(H289-129,Fields!$D$2:$D$206,1)),""),"")</f>
        <v/>
      </c>
      <c r="K289">
        <f>IFERROR(IF(AND(H289&lt;&gt;"",H289&gt;=129,H289&lt;=2176),INDEX(Fields!$C$2:$C$206,MATCH(H289-129,Fields!$D$2:$D$206,1)),""),"")</f>
        <v/>
      </c>
      <c r="L289">
        <f>IFERROR(IF(AND(H289&lt;&gt;"",H289&gt;=129,H289&lt;=2176),INDEX(Fields!$J$2:$J$206,MATCH(H289-129,Fields!$D$2:$D$206,1)),""),"")</f>
        <v/>
      </c>
      <c r="M289">
        <f>IFERROR(IF(AND(H289&lt;&gt;"",H289&gt;=129,H289&lt;=2176),INDEX(Fields!$K$2:$K$206,MATCH(H289-129,Fields!$D$2:$D$206,1)),""),"")</f>
        <v/>
      </c>
    </row>
    <row r="290">
      <c r="A290" t="n">
        <v>288</v>
      </c>
      <c r="B290" t="n">
        <v>1</v>
      </c>
      <c r="C290" t="inlineStr">
        <is>
          <t>No</t>
        </is>
      </c>
      <c r="D290" s="4">
        <f>IF(AND(B285=1,B286=1,B287=1,B288=1,B289=1),"Yes","")</f>
        <v/>
      </c>
      <c r="E290" t="inlineStr">
        <is>
          <t>No</t>
        </is>
      </c>
      <c r="F290" t="inlineStr">
        <is>
          <t>No</t>
        </is>
      </c>
      <c r="G290">
        <f>IF(F290="Yes",1-B290,B290)</f>
        <v/>
      </c>
      <c r="H290">
        <f>IF(E290="Yes","",COUNTIFS($E$2:E290,"No"))</f>
        <v/>
      </c>
      <c r="I290">
        <f>IF(H290="","",IF(H290&lt;=128,"address",IF(H290&lt;=600,"data1",IF(H290&lt;=1264,"zero-run1",IF(H290&lt;=1648,"data2",IF(H290&lt;=2176,"zero-run2",IF(H290&lt;=2192,"FCS","trailing")))))))</f>
        <v/>
      </c>
      <c r="J290">
        <f>IFERROR(IF(AND(H290&lt;&gt;"",H290&gt;=129,H290&lt;=2176),INDEX(Fields!$B$2:$B$206,MATCH(H290-129,Fields!$D$2:$D$206,1)),""),"")</f>
        <v/>
      </c>
      <c r="K290">
        <f>IFERROR(IF(AND(H290&lt;&gt;"",H290&gt;=129,H290&lt;=2176),INDEX(Fields!$C$2:$C$206,MATCH(H290-129,Fields!$D$2:$D$206,1)),""),"")</f>
        <v/>
      </c>
      <c r="L290">
        <f>IFERROR(IF(AND(H290&lt;&gt;"",H290&gt;=129,H290&lt;=2176),INDEX(Fields!$J$2:$J$206,MATCH(H290-129,Fields!$D$2:$D$206,1)),""),"")</f>
        <v/>
      </c>
      <c r="M290">
        <f>IFERROR(IF(AND(H290&lt;&gt;"",H290&gt;=129,H290&lt;=2176),INDEX(Fields!$K$2:$K$206,MATCH(H290-129,Fields!$D$2:$D$206,1)),""),"")</f>
        <v/>
      </c>
    </row>
    <row r="291">
      <c r="A291" t="n">
        <v>289</v>
      </c>
      <c r="B291" t="n">
        <v>1</v>
      </c>
      <c r="C291" s="4" t="inlineStr">
        <is>
          <t>Yes</t>
        </is>
      </c>
      <c r="D291" s="4">
        <f>IF(AND(B286=1,B287=1,B288=1,B289=1,B290=1),"Yes","")</f>
        <v/>
      </c>
      <c r="E291" t="inlineStr">
        <is>
          <t>No</t>
        </is>
      </c>
      <c r="F291" t="inlineStr">
        <is>
          <t>No</t>
        </is>
      </c>
      <c r="G291">
        <f>IF(F291="Yes",1-B291,B291)</f>
        <v/>
      </c>
      <c r="H291">
        <f>IF(E291="Yes","",COUNTIFS($E$2:E291,"No"))</f>
        <v/>
      </c>
      <c r="I291">
        <f>IF(H291="","",IF(H291&lt;=128,"address",IF(H291&lt;=600,"data1",IF(H291&lt;=1264,"zero-run1",IF(H291&lt;=1648,"data2",IF(H291&lt;=2176,"zero-run2",IF(H291&lt;=2192,"FCS","trailing")))))))</f>
        <v/>
      </c>
      <c r="J291">
        <f>IFERROR(IF(AND(H291&lt;&gt;"",H291&gt;=129,H291&lt;=2176),INDEX(Fields!$B$2:$B$206,MATCH(H291-129,Fields!$D$2:$D$206,1)),""),"")</f>
        <v/>
      </c>
      <c r="K291">
        <f>IFERROR(IF(AND(H291&lt;&gt;"",H291&gt;=129,H291&lt;=2176),INDEX(Fields!$C$2:$C$206,MATCH(H291-129,Fields!$D$2:$D$206,1)),""),"")</f>
        <v/>
      </c>
      <c r="L291">
        <f>IFERROR(IF(AND(H291&lt;&gt;"",H291&gt;=129,H291&lt;=2176),INDEX(Fields!$J$2:$J$206,MATCH(H291-129,Fields!$D$2:$D$206,1)),""),"")</f>
        <v/>
      </c>
      <c r="M291">
        <f>IFERROR(IF(AND(H291&lt;&gt;"",H291&gt;=129,H291&lt;=2176),INDEX(Fields!$K$2:$K$206,MATCH(H291-129,Fields!$D$2:$D$206,1)),""),"")</f>
        <v/>
      </c>
    </row>
    <row r="292">
      <c r="A292" t="n">
        <v>290</v>
      </c>
      <c r="B292" t="n">
        <v>0</v>
      </c>
      <c r="C292" t="inlineStr">
        <is>
          <t>No</t>
        </is>
      </c>
      <c r="D292" s="4">
        <f>IF(AND(B287=1,B288=1,B289=1,B290=1,B291=1),"Yes","")</f>
        <v/>
      </c>
      <c r="E292" t="inlineStr">
        <is>
          <t>No</t>
        </is>
      </c>
      <c r="F292" t="inlineStr">
        <is>
          <t>No</t>
        </is>
      </c>
      <c r="G292">
        <f>IF(F292="Yes",1-B292,B292)</f>
        <v/>
      </c>
      <c r="H292">
        <f>IF(E292="Yes","",COUNTIFS($E$2:E292,"No"))</f>
        <v/>
      </c>
      <c r="I292">
        <f>IF(H292="","",IF(H292&lt;=128,"address",IF(H292&lt;=600,"data1",IF(H292&lt;=1264,"zero-run1",IF(H292&lt;=1648,"data2",IF(H292&lt;=2176,"zero-run2",IF(H292&lt;=2192,"FCS","trailing")))))))</f>
        <v/>
      </c>
      <c r="J292">
        <f>IFERROR(IF(AND(H292&lt;&gt;"",H292&gt;=129,H292&lt;=2176),INDEX(Fields!$B$2:$B$206,MATCH(H292-129,Fields!$D$2:$D$206,1)),""),"")</f>
        <v/>
      </c>
      <c r="K292">
        <f>IFERROR(IF(AND(H292&lt;&gt;"",H292&gt;=129,H292&lt;=2176),INDEX(Fields!$C$2:$C$206,MATCH(H292-129,Fields!$D$2:$D$206,1)),""),"")</f>
        <v/>
      </c>
      <c r="L292">
        <f>IFERROR(IF(AND(H292&lt;&gt;"",H292&gt;=129,H292&lt;=2176),INDEX(Fields!$J$2:$J$206,MATCH(H292-129,Fields!$D$2:$D$206,1)),""),"")</f>
        <v/>
      </c>
      <c r="M292">
        <f>IFERROR(IF(AND(H292&lt;&gt;"",H292&gt;=129,H292&lt;=2176),INDEX(Fields!$K$2:$K$206,MATCH(H292-129,Fields!$D$2:$D$206,1)),""),"")</f>
        <v/>
      </c>
    </row>
    <row r="293">
      <c r="A293" t="n">
        <v>291</v>
      </c>
      <c r="B293" t="n">
        <v>0</v>
      </c>
      <c r="C293" t="inlineStr">
        <is>
          <t>No</t>
        </is>
      </c>
      <c r="D293">
        <f>IF(AND(B288=1,B289=1,B290=1,B291=1,B292=1),"Yes","")</f>
        <v/>
      </c>
      <c r="E293" t="inlineStr">
        <is>
          <t>No</t>
        </is>
      </c>
      <c r="F293" t="inlineStr">
        <is>
          <t>No</t>
        </is>
      </c>
      <c r="G293">
        <f>IF(F293="Yes",1-B293,B293)</f>
        <v/>
      </c>
      <c r="H293">
        <f>IF(E293="Yes","",COUNTIFS($E$2:E293,"No"))</f>
        <v/>
      </c>
      <c r="I293">
        <f>IF(H293="","",IF(H293&lt;=128,"address",IF(H293&lt;=600,"data1",IF(H293&lt;=1264,"zero-run1",IF(H293&lt;=1648,"data2",IF(H293&lt;=2176,"zero-run2",IF(H293&lt;=2192,"FCS","trailing")))))))</f>
        <v/>
      </c>
      <c r="J293">
        <f>IFERROR(IF(AND(H293&lt;&gt;"",H293&gt;=129,H293&lt;=2176),INDEX(Fields!$B$2:$B$206,MATCH(H293-129,Fields!$D$2:$D$206,1)),""),"")</f>
        <v/>
      </c>
      <c r="K293">
        <f>IFERROR(IF(AND(H293&lt;&gt;"",H293&gt;=129,H293&lt;=2176),INDEX(Fields!$C$2:$C$206,MATCH(H293-129,Fields!$D$2:$D$206,1)),""),"")</f>
        <v/>
      </c>
      <c r="L293">
        <f>IFERROR(IF(AND(H293&lt;&gt;"",H293&gt;=129,H293&lt;=2176),INDEX(Fields!$J$2:$J$206,MATCH(H293-129,Fields!$D$2:$D$206,1)),""),"")</f>
        <v/>
      </c>
      <c r="M293">
        <f>IFERROR(IF(AND(H293&lt;&gt;"",H293&gt;=129,H293&lt;=2176),INDEX(Fields!$K$2:$K$206,MATCH(H293-129,Fields!$D$2:$D$206,1)),""),"")</f>
        <v/>
      </c>
    </row>
    <row r="294">
      <c r="A294" t="n">
        <v>292</v>
      </c>
      <c r="B294" t="n">
        <v>0</v>
      </c>
      <c r="C294" t="inlineStr">
        <is>
          <t>No</t>
        </is>
      </c>
      <c r="D294">
        <f>IF(AND(B289=1,B290=1,B291=1,B292=1,B293=1),"Yes","")</f>
        <v/>
      </c>
      <c r="E294" t="inlineStr">
        <is>
          <t>No</t>
        </is>
      </c>
      <c r="F294" t="inlineStr">
        <is>
          <t>No</t>
        </is>
      </c>
      <c r="G294">
        <f>IF(F294="Yes",1-B294,B294)</f>
        <v/>
      </c>
      <c r="H294">
        <f>IF(E294="Yes","",COUNTIFS($E$2:E294,"No"))</f>
        <v/>
      </c>
      <c r="I294">
        <f>IF(H294="","",IF(H294&lt;=128,"address",IF(H294&lt;=600,"data1",IF(H294&lt;=1264,"zero-run1",IF(H294&lt;=1648,"data2",IF(H294&lt;=2176,"zero-run2",IF(H294&lt;=2192,"FCS","trailing")))))))</f>
        <v/>
      </c>
      <c r="J294">
        <f>IFERROR(IF(AND(H294&lt;&gt;"",H294&gt;=129,H294&lt;=2176),INDEX(Fields!$B$2:$B$206,MATCH(H294-129,Fields!$D$2:$D$206,1)),""),"")</f>
        <v/>
      </c>
      <c r="K294">
        <f>IFERROR(IF(AND(H294&lt;&gt;"",H294&gt;=129,H294&lt;=2176),INDEX(Fields!$C$2:$C$206,MATCH(H294-129,Fields!$D$2:$D$206,1)),""),"")</f>
        <v/>
      </c>
      <c r="L294">
        <f>IFERROR(IF(AND(H294&lt;&gt;"",H294&gt;=129,H294&lt;=2176),INDEX(Fields!$J$2:$J$206,MATCH(H294-129,Fields!$D$2:$D$206,1)),""),"")</f>
        <v/>
      </c>
      <c r="M294">
        <f>IFERROR(IF(AND(H294&lt;&gt;"",H294&gt;=129,H294&lt;=2176),INDEX(Fields!$K$2:$K$206,MATCH(H294-129,Fields!$D$2:$D$206,1)),""),"")</f>
        <v/>
      </c>
    </row>
    <row r="295">
      <c r="A295" t="n">
        <v>293</v>
      </c>
      <c r="B295" t="n">
        <v>1</v>
      </c>
      <c r="C295" t="inlineStr">
        <is>
          <t>No</t>
        </is>
      </c>
      <c r="D295">
        <f>IF(AND(B290=1,B291=1,B292=1,B293=1,B294=1),"Yes","")</f>
        <v/>
      </c>
      <c r="E295" t="inlineStr">
        <is>
          <t>No</t>
        </is>
      </c>
      <c r="F295" t="inlineStr">
        <is>
          <t>No</t>
        </is>
      </c>
      <c r="G295">
        <f>IF(F295="Yes",1-B295,B295)</f>
        <v/>
      </c>
      <c r="H295">
        <f>IF(E295="Yes","",COUNTIFS($E$2:E295,"No"))</f>
        <v/>
      </c>
      <c r="I295">
        <f>IF(H295="","",IF(H295&lt;=128,"address",IF(H295&lt;=600,"data1",IF(H295&lt;=1264,"zero-run1",IF(H295&lt;=1648,"data2",IF(H295&lt;=2176,"zero-run2",IF(H295&lt;=2192,"FCS","trailing")))))))</f>
        <v/>
      </c>
      <c r="J295">
        <f>IFERROR(IF(AND(H295&lt;&gt;"",H295&gt;=129,H295&lt;=2176),INDEX(Fields!$B$2:$B$206,MATCH(H295-129,Fields!$D$2:$D$206,1)),""),"")</f>
        <v/>
      </c>
      <c r="K295">
        <f>IFERROR(IF(AND(H295&lt;&gt;"",H295&gt;=129,H295&lt;=2176),INDEX(Fields!$C$2:$C$206,MATCH(H295-129,Fields!$D$2:$D$206,1)),""),"")</f>
        <v/>
      </c>
      <c r="L295">
        <f>IFERROR(IF(AND(H295&lt;&gt;"",H295&gt;=129,H295&lt;=2176),INDEX(Fields!$J$2:$J$206,MATCH(H295-129,Fields!$D$2:$D$206,1)),""),"")</f>
        <v/>
      </c>
      <c r="M295">
        <f>IFERROR(IF(AND(H295&lt;&gt;"",H295&gt;=129,H295&lt;=2176),INDEX(Fields!$K$2:$K$206,MATCH(H295-129,Fields!$D$2:$D$206,1)),""),"")</f>
        <v/>
      </c>
    </row>
    <row r="296">
      <c r="A296" t="n">
        <v>294</v>
      </c>
      <c r="B296" t="n">
        <v>1</v>
      </c>
      <c r="C296" t="inlineStr">
        <is>
          <t>No</t>
        </is>
      </c>
      <c r="D296">
        <f>IF(AND(B291=1,B292=1,B293=1,B294=1,B295=1),"Yes","")</f>
        <v/>
      </c>
      <c r="E296" t="inlineStr">
        <is>
          <t>No</t>
        </is>
      </c>
      <c r="F296" t="inlineStr">
        <is>
          <t>No</t>
        </is>
      </c>
      <c r="G296">
        <f>IF(F296="Yes",1-B296,B296)</f>
        <v/>
      </c>
      <c r="H296">
        <f>IF(E296="Yes","",COUNTIFS($E$2:E296,"No"))</f>
        <v/>
      </c>
      <c r="I296">
        <f>IF(H296="","",IF(H296&lt;=128,"address",IF(H296&lt;=600,"data1",IF(H296&lt;=1264,"zero-run1",IF(H296&lt;=1648,"data2",IF(H296&lt;=2176,"zero-run2",IF(H296&lt;=2192,"FCS","trailing")))))))</f>
        <v/>
      </c>
      <c r="J296">
        <f>IFERROR(IF(AND(H296&lt;&gt;"",H296&gt;=129,H296&lt;=2176),INDEX(Fields!$B$2:$B$206,MATCH(H296-129,Fields!$D$2:$D$206,1)),""),"")</f>
        <v/>
      </c>
      <c r="K296">
        <f>IFERROR(IF(AND(H296&lt;&gt;"",H296&gt;=129,H296&lt;=2176),INDEX(Fields!$C$2:$C$206,MATCH(H296-129,Fields!$D$2:$D$206,1)),""),"")</f>
        <v/>
      </c>
      <c r="L296">
        <f>IFERROR(IF(AND(H296&lt;&gt;"",H296&gt;=129,H296&lt;=2176),INDEX(Fields!$J$2:$J$206,MATCH(H296-129,Fields!$D$2:$D$206,1)),""),"")</f>
        <v/>
      </c>
      <c r="M296">
        <f>IFERROR(IF(AND(H296&lt;&gt;"",H296&gt;=129,H296&lt;=2176),INDEX(Fields!$K$2:$K$206,MATCH(H296-129,Fields!$D$2:$D$206,1)),""),"")</f>
        <v/>
      </c>
    </row>
    <row r="297">
      <c r="A297" t="n">
        <v>295</v>
      </c>
      <c r="B297" t="n">
        <v>0</v>
      </c>
      <c r="C297" s="4" t="inlineStr">
        <is>
          <t>Yes</t>
        </is>
      </c>
      <c r="D297">
        <f>IF(AND(B292=1,B293=1,B294=1,B295=1,B296=1),"Yes","")</f>
        <v/>
      </c>
      <c r="E297" t="inlineStr">
        <is>
          <t>No</t>
        </is>
      </c>
      <c r="F297" t="inlineStr">
        <is>
          <t>No</t>
        </is>
      </c>
      <c r="G297">
        <f>IF(F297="Yes",1-B297,B297)</f>
        <v/>
      </c>
      <c r="H297">
        <f>IF(E297="Yes","",COUNTIFS($E$2:E297,"No"))</f>
        <v/>
      </c>
      <c r="I297">
        <f>IF(H297="","",IF(H297&lt;=128,"address",IF(H297&lt;=600,"data1",IF(H297&lt;=1264,"zero-run1",IF(H297&lt;=1648,"data2",IF(H297&lt;=2176,"zero-run2",IF(H297&lt;=2192,"FCS","trailing")))))))</f>
        <v/>
      </c>
      <c r="J297">
        <f>IFERROR(IF(AND(H297&lt;&gt;"",H297&gt;=129,H297&lt;=2176),INDEX(Fields!$B$2:$B$206,MATCH(H297-129,Fields!$D$2:$D$206,1)),""),"")</f>
        <v/>
      </c>
      <c r="K297">
        <f>IFERROR(IF(AND(H297&lt;&gt;"",H297&gt;=129,H297&lt;=2176),INDEX(Fields!$C$2:$C$206,MATCH(H297-129,Fields!$D$2:$D$206,1)),""),"")</f>
        <v/>
      </c>
      <c r="L297">
        <f>IFERROR(IF(AND(H297&lt;&gt;"",H297&gt;=129,H297&lt;=2176),INDEX(Fields!$J$2:$J$206,MATCH(H297-129,Fields!$D$2:$D$206,1)),""),"")</f>
        <v/>
      </c>
      <c r="M297">
        <f>IFERROR(IF(AND(H297&lt;&gt;"",H297&gt;=129,H297&lt;=2176),INDEX(Fields!$K$2:$K$206,MATCH(H297-129,Fields!$D$2:$D$206,1)),""),"")</f>
        <v/>
      </c>
    </row>
    <row r="298">
      <c r="A298" t="n">
        <v>296</v>
      </c>
      <c r="B298" t="n">
        <v>0</v>
      </c>
      <c r="C298" t="inlineStr">
        <is>
          <t>No</t>
        </is>
      </c>
      <c r="D298">
        <f>IF(AND(B293=1,B294=1,B295=1,B296=1,B297=1),"Yes","")</f>
        <v/>
      </c>
      <c r="E298" t="inlineStr">
        <is>
          <t>No</t>
        </is>
      </c>
      <c r="F298" t="inlineStr">
        <is>
          <t>No</t>
        </is>
      </c>
      <c r="G298">
        <f>IF(F298="Yes",1-B298,B298)</f>
        <v/>
      </c>
      <c r="H298">
        <f>IF(E298="Yes","",COUNTIFS($E$2:E298,"No"))</f>
        <v/>
      </c>
      <c r="I298">
        <f>IF(H298="","",IF(H298&lt;=128,"address",IF(H298&lt;=600,"data1",IF(H298&lt;=1264,"zero-run1",IF(H298&lt;=1648,"data2",IF(H298&lt;=2176,"zero-run2",IF(H298&lt;=2192,"FCS","trailing")))))))</f>
        <v/>
      </c>
      <c r="J298">
        <f>IFERROR(IF(AND(H298&lt;&gt;"",H298&gt;=129,H298&lt;=2176),INDEX(Fields!$B$2:$B$206,MATCH(H298-129,Fields!$D$2:$D$206,1)),""),"")</f>
        <v/>
      </c>
      <c r="K298">
        <f>IFERROR(IF(AND(H298&lt;&gt;"",H298&gt;=129,H298&lt;=2176),INDEX(Fields!$C$2:$C$206,MATCH(H298-129,Fields!$D$2:$D$206,1)),""),"")</f>
        <v/>
      </c>
      <c r="L298">
        <f>IFERROR(IF(AND(H298&lt;&gt;"",H298&gt;=129,H298&lt;=2176),INDEX(Fields!$J$2:$J$206,MATCH(H298-129,Fields!$D$2:$D$206,1)),""),"")</f>
        <v/>
      </c>
      <c r="M298">
        <f>IFERROR(IF(AND(H298&lt;&gt;"",H298&gt;=129,H298&lt;=2176),INDEX(Fields!$K$2:$K$206,MATCH(H298-129,Fields!$D$2:$D$206,1)),""),"")</f>
        <v/>
      </c>
    </row>
    <row r="299">
      <c r="A299" t="n">
        <v>297</v>
      </c>
      <c r="B299" t="n">
        <v>1</v>
      </c>
      <c r="C299" t="inlineStr">
        <is>
          <t>No</t>
        </is>
      </c>
      <c r="D299">
        <f>IF(AND(B294=1,B295=1,B296=1,B297=1,B298=1),"Yes","")</f>
        <v/>
      </c>
      <c r="E299" t="inlineStr">
        <is>
          <t>No</t>
        </is>
      </c>
      <c r="F299" t="inlineStr">
        <is>
          <t>No</t>
        </is>
      </c>
      <c r="G299">
        <f>IF(F299="Yes",1-B299,B299)</f>
        <v/>
      </c>
      <c r="H299">
        <f>IF(E299="Yes","",COUNTIFS($E$2:E299,"No"))</f>
        <v/>
      </c>
      <c r="I299">
        <f>IF(H299="","",IF(H299&lt;=128,"address",IF(H299&lt;=600,"data1",IF(H299&lt;=1264,"zero-run1",IF(H299&lt;=1648,"data2",IF(H299&lt;=2176,"zero-run2",IF(H299&lt;=2192,"FCS","trailing")))))))</f>
        <v/>
      </c>
      <c r="J299">
        <f>IFERROR(IF(AND(H299&lt;&gt;"",H299&gt;=129,H299&lt;=2176),INDEX(Fields!$B$2:$B$206,MATCH(H299-129,Fields!$D$2:$D$206,1)),""),"")</f>
        <v/>
      </c>
      <c r="K299">
        <f>IFERROR(IF(AND(H299&lt;&gt;"",H299&gt;=129,H299&lt;=2176),INDEX(Fields!$C$2:$C$206,MATCH(H299-129,Fields!$D$2:$D$206,1)),""),"")</f>
        <v/>
      </c>
      <c r="L299">
        <f>IFERROR(IF(AND(H299&lt;&gt;"",H299&gt;=129,H299&lt;=2176),INDEX(Fields!$J$2:$J$206,MATCH(H299-129,Fields!$D$2:$D$206,1)),""),"")</f>
        <v/>
      </c>
      <c r="M299">
        <f>IFERROR(IF(AND(H299&lt;&gt;"",H299&gt;=129,H299&lt;=2176),INDEX(Fields!$K$2:$K$206,MATCH(H299-129,Fields!$D$2:$D$206,1)),""),"")</f>
        <v/>
      </c>
    </row>
    <row r="300">
      <c r="A300" t="n">
        <v>298</v>
      </c>
      <c r="B300" t="n">
        <v>1</v>
      </c>
      <c r="C300" t="inlineStr">
        <is>
          <t>No</t>
        </is>
      </c>
      <c r="D300">
        <f>IF(AND(B295=1,B296=1,B297=1,B298=1,B299=1),"Yes","")</f>
        <v/>
      </c>
      <c r="E300" t="inlineStr">
        <is>
          <t>No</t>
        </is>
      </c>
      <c r="F300" t="inlineStr">
        <is>
          <t>No</t>
        </is>
      </c>
      <c r="G300">
        <f>IF(F300="Yes",1-B300,B300)</f>
        <v/>
      </c>
      <c r="H300">
        <f>IF(E300="Yes","",COUNTIFS($E$2:E300,"No"))</f>
        <v/>
      </c>
      <c r="I300">
        <f>IF(H300="","",IF(H300&lt;=128,"address",IF(H300&lt;=600,"data1",IF(H300&lt;=1264,"zero-run1",IF(H300&lt;=1648,"data2",IF(H300&lt;=2176,"zero-run2",IF(H300&lt;=2192,"FCS","trailing")))))))</f>
        <v/>
      </c>
      <c r="J300">
        <f>IFERROR(IF(AND(H300&lt;&gt;"",H300&gt;=129,H300&lt;=2176),INDEX(Fields!$B$2:$B$206,MATCH(H300-129,Fields!$D$2:$D$206,1)),""),"")</f>
        <v/>
      </c>
      <c r="K300">
        <f>IFERROR(IF(AND(H300&lt;&gt;"",H300&gt;=129,H300&lt;=2176),INDEX(Fields!$C$2:$C$206,MATCH(H300-129,Fields!$D$2:$D$206,1)),""),"")</f>
        <v/>
      </c>
      <c r="L300">
        <f>IFERROR(IF(AND(H300&lt;&gt;"",H300&gt;=129,H300&lt;=2176),INDEX(Fields!$J$2:$J$206,MATCH(H300-129,Fields!$D$2:$D$206,1)),""),"")</f>
        <v/>
      </c>
      <c r="M300">
        <f>IFERROR(IF(AND(H300&lt;&gt;"",H300&gt;=129,H300&lt;=2176),INDEX(Fields!$K$2:$K$206,MATCH(H300-129,Fields!$D$2:$D$206,1)),""),"")</f>
        <v/>
      </c>
    </row>
    <row r="301">
      <c r="A301" t="n">
        <v>299</v>
      </c>
      <c r="B301" t="n">
        <v>1</v>
      </c>
      <c r="C301" t="inlineStr">
        <is>
          <t>No</t>
        </is>
      </c>
      <c r="D301">
        <f>IF(AND(B296=1,B297=1,B298=1,B299=1,B300=1),"Yes","")</f>
        <v/>
      </c>
      <c r="E301" t="inlineStr">
        <is>
          <t>No</t>
        </is>
      </c>
      <c r="F301" t="inlineStr">
        <is>
          <t>No</t>
        </is>
      </c>
      <c r="G301">
        <f>IF(F301="Yes",1-B301,B301)</f>
        <v/>
      </c>
      <c r="H301">
        <f>IF(E301="Yes","",COUNTIFS($E$2:E301,"No"))</f>
        <v/>
      </c>
      <c r="I301">
        <f>IF(H301="","",IF(H301&lt;=128,"address",IF(H301&lt;=600,"data1",IF(H301&lt;=1264,"zero-run1",IF(H301&lt;=1648,"data2",IF(H301&lt;=2176,"zero-run2",IF(H301&lt;=2192,"FCS","trailing")))))))</f>
        <v/>
      </c>
      <c r="J301">
        <f>IFERROR(IF(AND(H301&lt;&gt;"",H301&gt;=129,H301&lt;=2176),INDEX(Fields!$B$2:$B$206,MATCH(H301-129,Fields!$D$2:$D$206,1)),""),"")</f>
        <v/>
      </c>
      <c r="K301">
        <f>IFERROR(IF(AND(H301&lt;&gt;"",H301&gt;=129,H301&lt;=2176),INDEX(Fields!$C$2:$C$206,MATCH(H301-129,Fields!$D$2:$D$206,1)),""),"")</f>
        <v/>
      </c>
      <c r="L301">
        <f>IFERROR(IF(AND(H301&lt;&gt;"",H301&gt;=129,H301&lt;=2176),INDEX(Fields!$J$2:$J$206,MATCH(H301-129,Fields!$D$2:$D$206,1)),""),"")</f>
        <v/>
      </c>
      <c r="M301">
        <f>IFERROR(IF(AND(H301&lt;&gt;"",H301&gt;=129,H301&lt;=2176),INDEX(Fields!$K$2:$K$206,MATCH(H301-129,Fields!$D$2:$D$206,1)),""),"")</f>
        <v/>
      </c>
    </row>
    <row r="302">
      <c r="A302" t="n">
        <v>300</v>
      </c>
      <c r="B302" t="n">
        <v>0</v>
      </c>
      <c r="C302" t="inlineStr">
        <is>
          <t>No</t>
        </is>
      </c>
      <c r="D302">
        <f>IF(AND(B297=1,B298=1,B299=1,B300=1,B301=1),"Yes","")</f>
        <v/>
      </c>
      <c r="E302" t="inlineStr">
        <is>
          <t>No</t>
        </is>
      </c>
      <c r="F302" t="inlineStr">
        <is>
          <t>No</t>
        </is>
      </c>
      <c r="G302">
        <f>IF(F302="Yes",1-B302,B302)</f>
        <v/>
      </c>
      <c r="H302">
        <f>IF(E302="Yes","",COUNTIFS($E$2:E302,"No"))</f>
        <v/>
      </c>
      <c r="I302">
        <f>IF(H302="","",IF(H302&lt;=128,"address",IF(H302&lt;=600,"data1",IF(H302&lt;=1264,"zero-run1",IF(H302&lt;=1648,"data2",IF(H302&lt;=2176,"zero-run2",IF(H302&lt;=2192,"FCS","trailing")))))))</f>
        <v/>
      </c>
      <c r="J302">
        <f>IFERROR(IF(AND(H302&lt;&gt;"",H302&gt;=129,H302&lt;=2176),INDEX(Fields!$B$2:$B$206,MATCH(H302-129,Fields!$D$2:$D$206,1)),""),"")</f>
        <v/>
      </c>
      <c r="K302">
        <f>IFERROR(IF(AND(H302&lt;&gt;"",H302&gt;=129,H302&lt;=2176),INDEX(Fields!$C$2:$C$206,MATCH(H302-129,Fields!$D$2:$D$206,1)),""),"")</f>
        <v/>
      </c>
      <c r="L302">
        <f>IFERROR(IF(AND(H302&lt;&gt;"",H302&gt;=129,H302&lt;=2176),INDEX(Fields!$J$2:$J$206,MATCH(H302-129,Fields!$D$2:$D$206,1)),""),"")</f>
        <v/>
      </c>
      <c r="M302">
        <f>IFERROR(IF(AND(H302&lt;&gt;"",H302&gt;=129,H302&lt;=2176),INDEX(Fields!$K$2:$K$206,MATCH(H302-129,Fields!$D$2:$D$206,1)),""),"")</f>
        <v/>
      </c>
    </row>
    <row r="303">
      <c r="A303" t="n">
        <v>301</v>
      </c>
      <c r="B303" t="n">
        <v>1</v>
      </c>
      <c r="C303" t="inlineStr">
        <is>
          <t>No</t>
        </is>
      </c>
      <c r="D303">
        <f>IF(AND(B298=1,B299=1,B300=1,B301=1,B302=1),"Yes","")</f>
        <v/>
      </c>
      <c r="E303" t="inlineStr">
        <is>
          <t>No</t>
        </is>
      </c>
      <c r="F303" t="inlineStr">
        <is>
          <t>No</t>
        </is>
      </c>
      <c r="G303">
        <f>IF(F303="Yes",1-B303,B303)</f>
        <v/>
      </c>
      <c r="H303">
        <f>IF(E303="Yes","",COUNTIFS($E$2:E303,"No"))</f>
        <v/>
      </c>
      <c r="I303">
        <f>IF(H303="","",IF(H303&lt;=128,"address",IF(H303&lt;=600,"data1",IF(H303&lt;=1264,"zero-run1",IF(H303&lt;=1648,"data2",IF(H303&lt;=2176,"zero-run2",IF(H303&lt;=2192,"FCS","trailing")))))))</f>
        <v/>
      </c>
      <c r="J303">
        <f>IFERROR(IF(AND(H303&lt;&gt;"",H303&gt;=129,H303&lt;=2176),INDEX(Fields!$B$2:$B$206,MATCH(H303-129,Fields!$D$2:$D$206,1)),""),"")</f>
        <v/>
      </c>
      <c r="K303">
        <f>IFERROR(IF(AND(H303&lt;&gt;"",H303&gt;=129,H303&lt;=2176),INDEX(Fields!$C$2:$C$206,MATCH(H303-129,Fields!$D$2:$D$206,1)),""),"")</f>
        <v/>
      </c>
      <c r="L303">
        <f>IFERROR(IF(AND(H303&lt;&gt;"",H303&gt;=129,H303&lt;=2176),INDEX(Fields!$J$2:$J$206,MATCH(H303-129,Fields!$D$2:$D$206,1)),""),"")</f>
        <v/>
      </c>
      <c r="M303">
        <f>IFERROR(IF(AND(H303&lt;&gt;"",H303&gt;=129,H303&lt;=2176),INDEX(Fields!$K$2:$K$206,MATCH(H303-129,Fields!$D$2:$D$206,1)),""),"")</f>
        <v/>
      </c>
    </row>
    <row r="304">
      <c r="A304" t="n">
        <v>302</v>
      </c>
      <c r="B304" t="n">
        <v>1</v>
      </c>
      <c r="C304" t="inlineStr">
        <is>
          <t>No</t>
        </is>
      </c>
      <c r="D304">
        <f>IF(AND(B299=1,B300=1,B301=1,B302=1,B303=1),"Yes","")</f>
        <v/>
      </c>
      <c r="E304" t="inlineStr">
        <is>
          <t>No</t>
        </is>
      </c>
      <c r="F304" t="inlineStr">
        <is>
          <t>No</t>
        </is>
      </c>
      <c r="G304">
        <f>IF(F304="Yes",1-B304,B304)</f>
        <v/>
      </c>
      <c r="H304">
        <f>IF(E304="Yes","",COUNTIFS($E$2:E304,"No"))</f>
        <v/>
      </c>
      <c r="I304">
        <f>IF(H304="","",IF(H304&lt;=128,"address",IF(H304&lt;=600,"data1",IF(H304&lt;=1264,"zero-run1",IF(H304&lt;=1648,"data2",IF(H304&lt;=2176,"zero-run2",IF(H304&lt;=2192,"FCS","trailing")))))))</f>
        <v/>
      </c>
      <c r="J304">
        <f>IFERROR(IF(AND(H304&lt;&gt;"",H304&gt;=129,H304&lt;=2176),INDEX(Fields!$B$2:$B$206,MATCH(H304-129,Fields!$D$2:$D$206,1)),""),"")</f>
        <v/>
      </c>
      <c r="K304">
        <f>IFERROR(IF(AND(H304&lt;&gt;"",H304&gt;=129,H304&lt;=2176),INDEX(Fields!$C$2:$C$206,MATCH(H304-129,Fields!$D$2:$D$206,1)),""),"")</f>
        <v/>
      </c>
      <c r="L304">
        <f>IFERROR(IF(AND(H304&lt;&gt;"",H304&gt;=129,H304&lt;=2176),INDEX(Fields!$J$2:$J$206,MATCH(H304-129,Fields!$D$2:$D$206,1)),""),"")</f>
        <v/>
      </c>
      <c r="M304">
        <f>IFERROR(IF(AND(H304&lt;&gt;"",H304&gt;=129,H304&lt;=2176),INDEX(Fields!$K$2:$K$206,MATCH(H304-129,Fields!$D$2:$D$206,1)),""),"")</f>
        <v/>
      </c>
    </row>
    <row r="305">
      <c r="A305" t="n">
        <v>303</v>
      </c>
      <c r="B305" t="n">
        <v>1</v>
      </c>
      <c r="C305" t="inlineStr">
        <is>
          <t>No</t>
        </is>
      </c>
      <c r="D305">
        <f>IF(AND(B300=1,B301=1,B302=1,B303=1,B304=1),"Yes","")</f>
        <v/>
      </c>
      <c r="E305" t="inlineStr">
        <is>
          <t>No</t>
        </is>
      </c>
      <c r="F305" t="inlineStr">
        <is>
          <t>No</t>
        </is>
      </c>
      <c r="G305">
        <f>IF(F305="Yes",1-B305,B305)</f>
        <v/>
      </c>
      <c r="H305">
        <f>IF(E305="Yes","",COUNTIFS($E$2:E305,"No"))</f>
        <v/>
      </c>
      <c r="I305">
        <f>IF(H305="","",IF(H305&lt;=128,"address",IF(H305&lt;=600,"data1",IF(H305&lt;=1264,"zero-run1",IF(H305&lt;=1648,"data2",IF(H305&lt;=2176,"zero-run2",IF(H305&lt;=2192,"FCS","trailing")))))))</f>
        <v/>
      </c>
      <c r="J305">
        <f>IFERROR(IF(AND(H305&lt;&gt;"",H305&gt;=129,H305&lt;=2176),INDEX(Fields!$B$2:$B$206,MATCH(H305-129,Fields!$D$2:$D$206,1)),""),"")</f>
        <v/>
      </c>
      <c r="K305">
        <f>IFERROR(IF(AND(H305&lt;&gt;"",H305&gt;=129,H305&lt;=2176),INDEX(Fields!$C$2:$C$206,MATCH(H305-129,Fields!$D$2:$D$206,1)),""),"")</f>
        <v/>
      </c>
      <c r="L305">
        <f>IFERROR(IF(AND(H305&lt;&gt;"",H305&gt;=129,H305&lt;=2176),INDEX(Fields!$J$2:$J$206,MATCH(H305-129,Fields!$D$2:$D$206,1)),""),"")</f>
        <v/>
      </c>
      <c r="M305">
        <f>IFERROR(IF(AND(H305&lt;&gt;"",H305&gt;=129,H305&lt;=2176),INDEX(Fields!$K$2:$K$206,MATCH(H305-129,Fields!$D$2:$D$206,1)),""),"")</f>
        <v/>
      </c>
    </row>
    <row r="306">
      <c r="A306" t="n">
        <v>304</v>
      </c>
      <c r="B306" t="n">
        <v>0</v>
      </c>
      <c r="C306" t="inlineStr">
        <is>
          <t>No</t>
        </is>
      </c>
      <c r="D306">
        <f>IF(AND(B301=1,B302=1,B303=1,B304=1,B305=1),"Yes","")</f>
        <v/>
      </c>
      <c r="E306" t="inlineStr">
        <is>
          <t>No</t>
        </is>
      </c>
      <c r="F306" t="inlineStr">
        <is>
          <t>No</t>
        </is>
      </c>
      <c r="G306">
        <f>IF(F306="Yes",1-B306,B306)</f>
        <v/>
      </c>
      <c r="H306">
        <f>IF(E306="Yes","",COUNTIFS($E$2:E306,"No"))</f>
        <v/>
      </c>
      <c r="I306">
        <f>IF(H306="","",IF(H306&lt;=128,"address",IF(H306&lt;=600,"data1",IF(H306&lt;=1264,"zero-run1",IF(H306&lt;=1648,"data2",IF(H306&lt;=2176,"zero-run2",IF(H306&lt;=2192,"FCS","trailing")))))))</f>
        <v/>
      </c>
      <c r="J306">
        <f>IFERROR(IF(AND(H306&lt;&gt;"",H306&gt;=129,H306&lt;=2176),INDEX(Fields!$B$2:$B$206,MATCH(H306-129,Fields!$D$2:$D$206,1)),""),"")</f>
        <v/>
      </c>
      <c r="K306">
        <f>IFERROR(IF(AND(H306&lt;&gt;"",H306&gt;=129,H306&lt;=2176),INDEX(Fields!$C$2:$C$206,MATCH(H306-129,Fields!$D$2:$D$206,1)),""),"")</f>
        <v/>
      </c>
      <c r="L306">
        <f>IFERROR(IF(AND(H306&lt;&gt;"",H306&gt;=129,H306&lt;=2176),INDEX(Fields!$J$2:$J$206,MATCH(H306-129,Fields!$D$2:$D$206,1)),""),"")</f>
        <v/>
      </c>
      <c r="M306">
        <f>IFERROR(IF(AND(H306&lt;&gt;"",H306&gt;=129,H306&lt;=2176),INDEX(Fields!$K$2:$K$206,MATCH(H306-129,Fields!$D$2:$D$206,1)),""),"")</f>
        <v/>
      </c>
    </row>
    <row r="307">
      <c r="A307" t="n">
        <v>305</v>
      </c>
      <c r="B307" t="n">
        <v>0</v>
      </c>
      <c r="C307" t="inlineStr">
        <is>
          <t>No</t>
        </is>
      </c>
      <c r="D307">
        <f>IF(AND(B302=1,B303=1,B304=1,B305=1,B306=1),"Yes","")</f>
        <v/>
      </c>
      <c r="E307" t="inlineStr">
        <is>
          <t>No</t>
        </is>
      </c>
      <c r="F307" t="inlineStr">
        <is>
          <t>No</t>
        </is>
      </c>
      <c r="G307">
        <f>IF(F307="Yes",1-B307,B307)</f>
        <v/>
      </c>
      <c r="H307">
        <f>IF(E307="Yes","",COUNTIFS($E$2:E307,"No"))</f>
        <v/>
      </c>
      <c r="I307">
        <f>IF(H307="","",IF(H307&lt;=128,"address",IF(H307&lt;=600,"data1",IF(H307&lt;=1264,"zero-run1",IF(H307&lt;=1648,"data2",IF(H307&lt;=2176,"zero-run2",IF(H307&lt;=2192,"FCS","trailing")))))))</f>
        <v/>
      </c>
      <c r="J307">
        <f>IFERROR(IF(AND(H307&lt;&gt;"",H307&gt;=129,H307&lt;=2176),INDEX(Fields!$B$2:$B$206,MATCH(H307-129,Fields!$D$2:$D$206,1)),""),"")</f>
        <v/>
      </c>
      <c r="K307">
        <f>IFERROR(IF(AND(H307&lt;&gt;"",H307&gt;=129,H307&lt;=2176),INDEX(Fields!$C$2:$C$206,MATCH(H307-129,Fields!$D$2:$D$206,1)),""),"")</f>
        <v/>
      </c>
      <c r="L307">
        <f>IFERROR(IF(AND(H307&lt;&gt;"",H307&gt;=129,H307&lt;=2176),INDEX(Fields!$J$2:$J$206,MATCH(H307-129,Fields!$D$2:$D$206,1)),""),"")</f>
        <v/>
      </c>
      <c r="M307">
        <f>IFERROR(IF(AND(H307&lt;&gt;"",H307&gt;=129,H307&lt;=2176),INDEX(Fields!$K$2:$K$206,MATCH(H307-129,Fields!$D$2:$D$206,1)),""),"")</f>
        <v/>
      </c>
    </row>
    <row r="308">
      <c r="A308" t="n">
        <v>306</v>
      </c>
      <c r="B308" t="n">
        <v>0</v>
      </c>
      <c r="C308" t="inlineStr">
        <is>
          <t>No</t>
        </is>
      </c>
      <c r="D308">
        <f>IF(AND(B303=1,B304=1,B305=1,B306=1,B307=1),"Yes","")</f>
        <v/>
      </c>
      <c r="E308" t="inlineStr">
        <is>
          <t>No</t>
        </is>
      </c>
      <c r="F308" t="inlineStr">
        <is>
          <t>No</t>
        </is>
      </c>
      <c r="G308">
        <f>IF(F308="Yes",1-B308,B308)</f>
        <v/>
      </c>
      <c r="H308">
        <f>IF(E308="Yes","",COUNTIFS($E$2:E308,"No"))</f>
        <v/>
      </c>
      <c r="I308">
        <f>IF(H308="","",IF(H308&lt;=128,"address",IF(H308&lt;=600,"data1",IF(H308&lt;=1264,"zero-run1",IF(H308&lt;=1648,"data2",IF(H308&lt;=2176,"zero-run2",IF(H308&lt;=2192,"FCS","trailing")))))))</f>
        <v/>
      </c>
      <c r="J308">
        <f>IFERROR(IF(AND(H308&lt;&gt;"",H308&gt;=129,H308&lt;=2176),INDEX(Fields!$B$2:$B$206,MATCH(H308-129,Fields!$D$2:$D$206,1)),""),"")</f>
        <v/>
      </c>
      <c r="K308">
        <f>IFERROR(IF(AND(H308&lt;&gt;"",H308&gt;=129,H308&lt;=2176),INDEX(Fields!$C$2:$C$206,MATCH(H308-129,Fields!$D$2:$D$206,1)),""),"")</f>
        <v/>
      </c>
      <c r="L308">
        <f>IFERROR(IF(AND(H308&lt;&gt;"",H308&gt;=129,H308&lt;=2176),INDEX(Fields!$J$2:$J$206,MATCH(H308-129,Fields!$D$2:$D$206,1)),""),"")</f>
        <v/>
      </c>
      <c r="M308">
        <f>IFERROR(IF(AND(H308&lt;&gt;"",H308&gt;=129,H308&lt;=2176),INDEX(Fields!$K$2:$K$206,MATCH(H308-129,Fields!$D$2:$D$206,1)),""),"")</f>
        <v/>
      </c>
    </row>
    <row r="309">
      <c r="A309" t="n">
        <v>307</v>
      </c>
      <c r="B309" t="n">
        <v>1</v>
      </c>
      <c r="C309" t="inlineStr">
        <is>
          <t>No</t>
        </is>
      </c>
      <c r="D309">
        <f>IF(AND(B304=1,B305=1,B306=1,B307=1,B308=1),"Yes","")</f>
        <v/>
      </c>
      <c r="E309" t="inlineStr">
        <is>
          <t>No</t>
        </is>
      </c>
      <c r="F309" t="inlineStr">
        <is>
          <t>No</t>
        </is>
      </c>
      <c r="G309">
        <f>IF(F309="Yes",1-B309,B309)</f>
        <v/>
      </c>
      <c r="H309">
        <f>IF(E309="Yes","",COUNTIFS($E$2:E309,"No"))</f>
        <v/>
      </c>
      <c r="I309">
        <f>IF(H309="","",IF(H309&lt;=128,"address",IF(H309&lt;=600,"data1",IF(H309&lt;=1264,"zero-run1",IF(H309&lt;=1648,"data2",IF(H309&lt;=2176,"zero-run2",IF(H309&lt;=2192,"FCS","trailing")))))))</f>
        <v/>
      </c>
      <c r="J309">
        <f>IFERROR(IF(AND(H309&lt;&gt;"",H309&gt;=129,H309&lt;=2176),INDEX(Fields!$B$2:$B$206,MATCH(H309-129,Fields!$D$2:$D$206,1)),""),"")</f>
        <v/>
      </c>
      <c r="K309">
        <f>IFERROR(IF(AND(H309&lt;&gt;"",H309&gt;=129,H309&lt;=2176),INDEX(Fields!$C$2:$C$206,MATCH(H309-129,Fields!$D$2:$D$206,1)),""),"")</f>
        <v/>
      </c>
      <c r="L309">
        <f>IFERROR(IF(AND(H309&lt;&gt;"",H309&gt;=129,H309&lt;=2176),INDEX(Fields!$J$2:$J$206,MATCH(H309-129,Fields!$D$2:$D$206,1)),""),"")</f>
        <v/>
      </c>
      <c r="M309">
        <f>IFERROR(IF(AND(H309&lt;&gt;"",H309&gt;=129,H309&lt;=2176),INDEX(Fields!$K$2:$K$206,MATCH(H309-129,Fields!$D$2:$D$206,1)),""),"")</f>
        <v/>
      </c>
    </row>
    <row r="310">
      <c r="A310" t="n">
        <v>308</v>
      </c>
      <c r="B310" t="n">
        <v>1</v>
      </c>
      <c r="C310" s="4" t="inlineStr">
        <is>
          <t>Yes</t>
        </is>
      </c>
      <c r="D310">
        <f>IF(AND(B305=1,B306=1,B307=1,B308=1,B309=1),"Yes","")</f>
        <v/>
      </c>
      <c r="E310" t="inlineStr">
        <is>
          <t>No</t>
        </is>
      </c>
      <c r="F310" t="inlineStr">
        <is>
          <t>No</t>
        </is>
      </c>
      <c r="G310">
        <f>IF(F310="Yes",1-B310,B310)</f>
        <v/>
      </c>
      <c r="H310">
        <f>IF(E310="Yes","",COUNTIFS($E$2:E310,"No"))</f>
        <v/>
      </c>
      <c r="I310">
        <f>IF(H310="","",IF(H310&lt;=128,"address",IF(H310&lt;=600,"data1",IF(H310&lt;=1264,"zero-run1",IF(H310&lt;=1648,"data2",IF(H310&lt;=2176,"zero-run2",IF(H310&lt;=2192,"FCS","trailing")))))))</f>
        <v/>
      </c>
      <c r="J310">
        <f>IFERROR(IF(AND(H310&lt;&gt;"",H310&gt;=129,H310&lt;=2176),INDEX(Fields!$B$2:$B$206,MATCH(H310-129,Fields!$D$2:$D$206,1)),""),"")</f>
        <v/>
      </c>
      <c r="K310">
        <f>IFERROR(IF(AND(H310&lt;&gt;"",H310&gt;=129,H310&lt;=2176),INDEX(Fields!$C$2:$C$206,MATCH(H310-129,Fields!$D$2:$D$206,1)),""),"")</f>
        <v/>
      </c>
      <c r="L310">
        <f>IFERROR(IF(AND(H310&lt;&gt;"",H310&gt;=129,H310&lt;=2176),INDEX(Fields!$J$2:$J$206,MATCH(H310-129,Fields!$D$2:$D$206,1)),""),"")</f>
        <v/>
      </c>
      <c r="M310">
        <f>IFERROR(IF(AND(H310&lt;&gt;"",H310&gt;=129,H310&lt;=2176),INDEX(Fields!$K$2:$K$206,MATCH(H310-129,Fields!$D$2:$D$206,1)),""),"")</f>
        <v/>
      </c>
    </row>
    <row r="311">
      <c r="A311" t="n">
        <v>309</v>
      </c>
      <c r="B311" t="n">
        <v>1</v>
      </c>
      <c r="C311" t="inlineStr">
        <is>
          <t>No</t>
        </is>
      </c>
      <c r="D311">
        <f>IF(AND(B306=1,B307=1,B308=1,B309=1,B310=1),"Yes","")</f>
        <v/>
      </c>
      <c r="E311" t="inlineStr">
        <is>
          <t>No</t>
        </is>
      </c>
      <c r="F311" t="inlineStr">
        <is>
          <t>No</t>
        </is>
      </c>
      <c r="G311">
        <f>IF(F311="Yes",1-B311,B311)</f>
        <v/>
      </c>
      <c r="H311">
        <f>IF(E311="Yes","",COUNTIFS($E$2:E311,"No"))</f>
        <v/>
      </c>
      <c r="I311">
        <f>IF(H311="","",IF(H311&lt;=128,"address",IF(H311&lt;=600,"data1",IF(H311&lt;=1264,"zero-run1",IF(H311&lt;=1648,"data2",IF(H311&lt;=2176,"zero-run2",IF(H311&lt;=2192,"FCS","trailing")))))))</f>
        <v/>
      </c>
      <c r="J311">
        <f>IFERROR(IF(AND(H311&lt;&gt;"",H311&gt;=129,H311&lt;=2176),INDEX(Fields!$B$2:$B$206,MATCH(H311-129,Fields!$D$2:$D$206,1)),""),"")</f>
        <v/>
      </c>
      <c r="K311">
        <f>IFERROR(IF(AND(H311&lt;&gt;"",H311&gt;=129,H311&lt;=2176),INDEX(Fields!$C$2:$C$206,MATCH(H311-129,Fields!$D$2:$D$206,1)),""),"")</f>
        <v/>
      </c>
      <c r="L311">
        <f>IFERROR(IF(AND(H311&lt;&gt;"",H311&gt;=129,H311&lt;=2176),INDEX(Fields!$J$2:$J$206,MATCH(H311-129,Fields!$D$2:$D$206,1)),""),"")</f>
        <v/>
      </c>
      <c r="M311">
        <f>IFERROR(IF(AND(H311&lt;&gt;"",H311&gt;=129,H311&lt;=2176),INDEX(Fields!$K$2:$K$206,MATCH(H311-129,Fields!$D$2:$D$206,1)),""),"")</f>
        <v/>
      </c>
    </row>
    <row r="312">
      <c r="A312" t="n">
        <v>310</v>
      </c>
      <c r="B312" t="n">
        <v>0</v>
      </c>
      <c r="C312" t="inlineStr">
        <is>
          <t>No</t>
        </is>
      </c>
      <c r="D312">
        <f>IF(AND(B307=1,B308=1,B309=1,B310=1,B311=1),"Yes","")</f>
        <v/>
      </c>
      <c r="E312" t="inlineStr">
        <is>
          <t>No</t>
        </is>
      </c>
      <c r="F312" t="inlineStr">
        <is>
          <t>No</t>
        </is>
      </c>
      <c r="G312">
        <f>IF(F312="Yes",1-B312,B312)</f>
        <v/>
      </c>
      <c r="H312">
        <f>IF(E312="Yes","",COUNTIFS($E$2:E312,"No"))</f>
        <v/>
      </c>
      <c r="I312">
        <f>IF(H312="","",IF(H312&lt;=128,"address",IF(H312&lt;=600,"data1",IF(H312&lt;=1264,"zero-run1",IF(H312&lt;=1648,"data2",IF(H312&lt;=2176,"zero-run2",IF(H312&lt;=2192,"FCS","trailing")))))))</f>
        <v/>
      </c>
      <c r="J312">
        <f>IFERROR(IF(AND(H312&lt;&gt;"",H312&gt;=129,H312&lt;=2176),INDEX(Fields!$B$2:$B$206,MATCH(H312-129,Fields!$D$2:$D$206,1)),""),"")</f>
        <v/>
      </c>
      <c r="K312">
        <f>IFERROR(IF(AND(H312&lt;&gt;"",H312&gt;=129,H312&lt;=2176),INDEX(Fields!$C$2:$C$206,MATCH(H312-129,Fields!$D$2:$D$206,1)),""),"")</f>
        <v/>
      </c>
      <c r="L312">
        <f>IFERROR(IF(AND(H312&lt;&gt;"",H312&gt;=129,H312&lt;=2176),INDEX(Fields!$J$2:$J$206,MATCH(H312-129,Fields!$D$2:$D$206,1)),""),"")</f>
        <v/>
      </c>
      <c r="M312">
        <f>IFERROR(IF(AND(H312&lt;&gt;"",H312&gt;=129,H312&lt;=2176),INDEX(Fields!$K$2:$K$206,MATCH(H312-129,Fields!$D$2:$D$206,1)),""),"")</f>
        <v/>
      </c>
    </row>
    <row r="313">
      <c r="A313" t="n">
        <v>311</v>
      </c>
      <c r="B313" t="n">
        <v>1</v>
      </c>
      <c r="C313" t="inlineStr">
        <is>
          <t>No</t>
        </is>
      </c>
      <c r="D313">
        <f>IF(AND(B308=1,B309=1,B310=1,B311=1,B312=1),"Yes","")</f>
        <v/>
      </c>
      <c r="E313" t="inlineStr">
        <is>
          <t>No</t>
        </is>
      </c>
      <c r="F313" t="inlineStr">
        <is>
          <t>No</t>
        </is>
      </c>
      <c r="G313">
        <f>IF(F313="Yes",1-B313,B313)</f>
        <v/>
      </c>
      <c r="H313">
        <f>IF(E313="Yes","",COUNTIFS($E$2:E313,"No"))</f>
        <v/>
      </c>
      <c r="I313">
        <f>IF(H313="","",IF(H313&lt;=128,"address",IF(H313&lt;=600,"data1",IF(H313&lt;=1264,"zero-run1",IF(H313&lt;=1648,"data2",IF(H313&lt;=2176,"zero-run2",IF(H313&lt;=2192,"FCS","trailing")))))))</f>
        <v/>
      </c>
      <c r="J313">
        <f>IFERROR(IF(AND(H313&lt;&gt;"",H313&gt;=129,H313&lt;=2176),INDEX(Fields!$B$2:$B$206,MATCH(H313-129,Fields!$D$2:$D$206,1)),""),"")</f>
        <v/>
      </c>
      <c r="K313">
        <f>IFERROR(IF(AND(H313&lt;&gt;"",H313&gt;=129,H313&lt;=2176),INDEX(Fields!$C$2:$C$206,MATCH(H313-129,Fields!$D$2:$D$206,1)),""),"")</f>
        <v/>
      </c>
      <c r="L313">
        <f>IFERROR(IF(AND(H313&lt;&gt;"",H313&gt;=129,H313&lt;=2176),INDEX(Fields!$J$2:$J$206,MATCH(H313-129,Fields!$D$2:$D$206,1)),""),"")</f>
        <v/>
      </c>
      <c r="M313">
        <f>IFERROR(IF(AND(H313&lt;&gt;"",H313&gt;=129,H313&lt;=2176),INDEX(Fields!$K$2:$K$206,MATCH(H313-129,Fields!$D$2:$D$206,1)),""),"")</f>
        <v/>
      </c>
    </row>
    <row r="314">
      <c r="A314" t="n">
        <v>312</v>
      </c>
      <c r="B314" t="n">
        <v>1</v>
      </c>
      <c r="C314" t="inlineStr">
        <is>
          <t>No</t>
        </is>
      </c>
      <c r="D314">
        <f>IF(AND(B309=1,B310=1,B311=1,B312=1,B313=1),"Yes","")</f>
        <v/>
      </c>
      <c r="E314" t="inlineStr">
        <is>
          <t>No</t>
        </is>
      </c>
      <c r="F314" t="inlineStr">
        <is>
          <t>No</t>
        </is>
      </c>
      <c r="G314">
        <f>IF(F314="Yes",1-B314,B314)</f>
        <v/>
      </c>
      <c r="H314">
        <f>IF(E314="Yes","",COUNTIFS($E$2:E314,"No"))</f>
        <v/>
      </c>
      <c r="I314">
        <f>IF(H314="","",IF(H314&lt;=128,"address",IF(H314&lt;=600,"data1",IF(H314&lt;=1264,"zero-run1",IF(H314&lt;=1648,"data2",IF(H314&lt;=2176,"zero-run2",IF(H314&lt;=2192,"FCS","trailing")))))))</f>
        <v/>
      </c>
      <c r="J314">
        <f>IFERROR(IF(AND(H314&lt;&gt;"",H314&gt;=129,H314&lt;=2176),INDEX(Fields!$B$2:$B$206,MATCH(H314-129,Fields!$D$2:$D$206,1)),""),"")</f>
        <v/>
      </c>
      <c r="K314">
        <f>IFERROR(IF(AND(H314&lt;&gt;"",H314&gt;=129,H314&lt;=2176),INDEX(Fields!$C$2:$C$206,MATCH(H314-129,Fields!$D$2:$D$206,1)),""),"")</f>
        <v/>
      </c>
      <c r="L314">
        <f>IFERROR(IF(AND(H314&lt;&gt;"",H314&gt;=129,H314&lt;=2176),INDEX(Fields!$J$2:$J$206,MATCH(H314-129,Fields!$D$2:$D$206,1)),""),"")</f>
        <v/>
      </c>
      <c r="M314">
        <f>IFERROR(IF(AND(H314&lt;&gt;"",H314&gt;=129,H314&lt;=2176),INDEX(Fields!$K$2:$K$206,MATCH(H314-129,Fields!$D$2:$D$206,1)),""),"")</f>
        <v/>
      </c>
    </row>
    <row r="315">
      <c r="A315" t="n">
        <v>313</v>
      </c>
      <c r="B315" t="n">
        <v>0</v>
      </c>
      <c r="C315" t="inlineStr">
        <is>
          <t>No</t>
        </is>
      </c>
      <c r="D315">
        <f>IF(AND(B310=1,B311=1,B312=1,B313=1,B314=1),"Yes","")</f>
        <v/>
      </c>
      <c r="E315" t="inlineStr">
        <is>
          <t>No</t>
        </is>
      </c>
      <c r="F315" t="inlineStr">
        <is>
          <t>No</t>
        </is>
      </c>
      <c r="G315">
        <f>IF(F315="Yes",1-B315,B315)</f>
        <v/>
      </c>
      <c r="H315">
        <f>IF(E315="Yes","",COUNTIFS($E$2:E315,"No"))</f>
        <v/>
      </c>
      <c r="I315">
        <f>IF(H315="","",IF(H315&lt;=128,"address",IF(H315&lt;=600,"data1",IF(H315&lt;=1264,"zero-run1",IF(H315&lt;=1648,"data2",IF(H315&lt;=2176,"zero-run2",IF(H315&lt;=2192,"FCS","trailing")))))))</f>
        <v/>
      </c>
      <c r="J315">
        <f>IFERROR(IF(AND(H315&lt;&gt;"",H315&gt;=129,H315&lt;=2176),INDEX(Fields!$B$2:$B$206,MATCH(H315-129,Fields!$D$2:$D$206,1)),""),"")</f>
        <v/>
      </c>
      <c r="K315">
        <f>IFERROR(IF(AND(H315&lt;&gt;"",H315&gt;=129,H315&lt;=2176),INDEX(Fields!$C$2:$C$206,MATCH(H315-129,Fields!$D$2:$D$206,1)),""),"")</f>
        <v/>
      </c>
      <c r="L315">
        <f>IFERROR(IF(AND(H315&lt;&gt;"",H315&gt;=129,H315&lt;=2176),INDEX(Fields!$J$2:$J$206,MATCH(H315-129,Fields!$D$2:$D$206,1)),""),"")</f>
        <v/>
      </c>
      <c r="M315">
        <f>IFERROR(IF(AND(H315&lt;&gt;"",H315&gt;=129,H315&lt;=2176),INDEX(Fields!$K$2:$K$206,MATCH(H315-129,Fields!$D$2:$D$206,1)),""),"")</f>
        <v/>
      </c>
    </row>
    <row r="316">
      <c r="A316" t="n">
        <v>314</v>
      </c>
      <c r="B316" t="n">
        <v>0</v>
      </c>
      <c r="C316" t="inlineStr">
        <is>
          <t>No</t>
        </is>
      </c>
      <c r="D316">
        <f>IF(AND(B311=1,B312=1,B313=1,B314=1,B315=1),"Yes","")</f>
        <v/>
      </c>
      <c r="E316" t="inlineStr">
        <is>
          <t>No</t>
        </is>
      </c>
      <c r="F316" t="inlineStr">
        <is>
          <t>No</t>
        </is>
      </c>
      <c r="G316">
        <f>IF(F316="Yes",1-B316,B316)</f>
        <v/>
      </c>
      <c r="H316">
        <f>IF(E316="Yes","",COUNTIFS($E$2:E316,"No"))</f>
        <v/>
      </c>
      <c r="I316">
        <f>IF(H316="","",IF(H316&lt;=128,"address",IF(H316&lt;=600,"data1",IF(H316&lt;=1264,"zero-run1",IF(H316&lt;=1648,"data2",IF(H316&lt;=2176,"zero-run2",IF(H316&lt;=2192,"FCS","trailing")))))))</f>
        <v/>
      </c>
      <c r="J316">
        <f>IFERROR(IF(AND(H316&lt;&gt;"",H316&gt;=129,H316&lt;=2176),INDEX(Fields!$B$2:$B$206,MATCH(H316-129,Fields!$D$2:$D$206,1)),""),"")</f>
        <v/>
      </c>
      <c r="K316">
        <f>IFERROR(IF(AND(H316&lt;&gt;"",H316&gt;=129,H316&lt;=2176),INDEX(Fields!$C$2:$C$206,MATCH(H316-129,Fields!$D$2:$D$206,1)),""),"")</f>
        <v/>
      </c>
      <c r="L316">
        <f>IFERROR(IF(AND(H316&lt;&gt;"",H316&gt;=129,H316&lt;=2176),INDEX(Fields!$J$2:$J$206,MATCH(H316-129,Fields!$D$2:$D$206,1)),""),"")</f>
        <v/>
      </c>
      <c r="M316">
        <f>IFERROR(IF(AND(H316&lt;&gt;"",H316&gt;=129,H316&lt;=2176),INDEX(Fields!$K$2:$K$206,MATCH(H316-129,Fields!$D$2:$D$206,1)),""),"")</f>
        <v/>
      </c>
    </row>
    <row r="317">
      <c r="A317" t="n">
        <v>315</v>
      </c>
      <c r="B317" t="n">
        <v>0</v>
      </c>
      <c r="C317" t="inlineStr">
        <is>
          <t>No</t>
        </is>
      </c>
      <c r="D317">
        <f>IF(AND(B312=1,B313=1,B314=1,B315=1,B316=1),"Yes","")</f>
        <v/>
      </c>
      <c r="E317" t="inlineStr">
        <is>
          <t>No</t>
        </is>
      </c>
      <c r="F317" t="inlineStr">
        <is>
          <t>No</t>
        </is>
      </c>
      <c r="G317">
        <f>IF(F317="Yes",1-B317,B317)</f>
        <v/>
      </c>
      <c r="H317">
        <f>IF(E317="Yes","",COUNTIFS($E$2:E317,"No"))</f>
        <v/>
      </c>
      <c r="I317">
        <f>IF(H317="","",IF(H317&lt;=128,"address",IF(H317&lt;=600,"data1",IF(H317&lt;=1264,"zero-run1",IF(H317&lt;=1648,"data2",IF(H317&lt;=2176,"zero-run2",IF(H317&lt;=2192,"FCS","trailing")))))))</f>
        <v/>
      </c>
      <c r="J317">
        <f>IFERROR(IF(AND(H317&lt;&gt;"",H317&gt;=129,H317&lt;=2176),INDEX(Fields!$B$2:$B$206,MATCH(H317-129,Fields!$D$2:$D$206,1)),""),"")</f>
        <v/>
      </c>
      <c r="K317">
        <f>IFERROR(IF(AND(H317&lt;&gt;"",H317&gt;=129,H317&lt;=2176),INDEX(Fields!$C$2:$C$206,MATCH(H317-129,Fields!$D$2:$D$206,1)),""),"")</f>
        <v/>
      </c>
      <c r="L317">
        <f>IFERROR(IF(AND(H317&lt;&gt;"",H317&gt;=129,H317&lt;=2176),INDEX(Fields!$J$2:$J$206,MATCH(H317-129,Fields!$D$2:$D$206,1)),""),"")</f>
        <v/>
      </c>
      <c r="M317">
        <f>IFERROR(IF(AND(H317&lt;&gt;"",H317&gt;=129,H317&lt;=2176),INDEX(Fields!$K$2:$K$206,MATCH(H317-129,Fields!$D$2:$D$206,1)),""),"")</f>
        <v/>
      </c>
    </row>
    <row r="318">
      <c r="A318" t="n">
        <v>316</v>
      </c>
      <c r="B318" t="n">
        <v>0</v>
      </c>
      <c r="C318" t="inlineStr">
        <is>
          <t>No</t>
        </is>
      </c>
      <c r="D318">
        <f>IF(AND(B313=1,B314=1,B315=1,B316=1,B317=1),"Yes","")</f>
        <v/>
      </c>
      <c r="E318" t="inlineStr">
        <is>
          <t>No</t>
        </is>
      </c>
      <c r="F318" t="inlineStr">
        <is>
          <t>No</t>
        </is>
      </c>
      <c r="G318">
        <f>IF(F318="Yes",1-B318,B318)</f>
        <v/>
      </c>
      <c r="H318">
        <f>IF(E318="Yes","",COUNTIFS($E$2:E318,"No"))</f>
        <v/>
      </c>
      <c r="I318">
        <f>IF(H318="","",IF(H318&lt;=128,"address",IF(H318&lt;=600,"data1",IF(H318&lt;=1264,"zero-run1",IF(H318&lt;=1648,"data2",IF(H318&lt;=2176,"zero-run2",IF(H318&lt;=2192,"FCS","trailing")))))))</f>
        <v/>
      </c>
      <c r="J318">
        <f>IFERROR(IF(AND(H318&lt;&gt;"",H318&gt;=129,H318&lt;=2176),INDEX(Fields!$B$2:$B$206,MATCH(H318-129,Fields!$D$2:$D$206,1)),""),"")</f>
        <v/>
      </c>
      <c r="K318">
        <f>IFERROR(IF(AND(H318&lt;&gt;"",H318&gt;=129,H318&lt;=2176),INDEX(Fields!$C$2:$C$206,MATCH(H318-129,Fields!$D$2:$D$206,1)),""),"")</f>
        <v/>
      </c>
      <c r="L318">
        <f>IFERROR(IF(AND(H318&lt;&gt;"",H318&gt;=129,H318&lt;=2176),INDEX(Fields!$J$2:$J$206,MATCH(H318-129,Fields!$D$2:$D$206,1)),""),"")</f>
        <v/>
      </c>
      <c r="M318">
        <f>IFERROR(IF(AND(H318&lt;&gt;"",H318&gt;=129,H318&lt;=2176),INDEX(Fields!$K$2:$K$206,MATCH(H318-129,Fields!$D$2:$D$206,1)),""),"")</f>
        <v/>
      </c>
    </row>
    <row r="319">
      <c r="A319" t="n">
        <v>317</v>
      </c>
      <c r="B319" t="n">
        <v>0</v>
      </c>
      <c r="C319" t="inlineStr">
        <is>
          <t>No</t>
        </is>
      </c>
      <c r="D319">
        <f>IF(AND(B314=1,B315=1,B316=1,B317=1,B318=1),"Yes","")</f>
        <v/>
      </c>
      <c r="E319" t="inlineStr">
        <is>
          <t>No</t>
        </is>
      </c>
      <c r="F319" t="inlineStr">
        <is>
          <t>No</t>
        </is>
      </c>
      <c r="G319">
        <f>IF(F319="Yes",1-B319,B319)</f>
        <v/>
      </c>
      <c r="H319">
        <f>IF(E319="Yes","",COUNTIFS($E$2:E319,"No"))</f>
        <v/>
      </c>
      <c r="I319">
        <f>IF(H319="","",IF(H319&lt;=128,"address",IF(H319&lt;=600,"data1",IF(H319&lt;=1264,"zero-run1",IF(H319&lt;=1648,"data2",IF(H319&lt;=2176,"zero-run2",IF(H319&lt;=2192,"FCS","trailing")))))))</f>
        <v/>
      </c>
      <c r="J319">
        <f>IFERROR(IF(AND(H319&lt;&gt;"",H319&gt;=129,H319&lt;=2176),INDEX(Fields!$B$2:$B$206,MATCH(H319-129,Fields!$D$2:$D$206,1)),""),"")</f>
        <v/>
      </c>
      <c r="K319">
        <f>IFERROR(IF(AND(H319&lt;&gt;"",H319&gt;=129,H319&lt;=2176),INDEX(Fields!$C$2:$C$206,MATCH(H319-129,Fields!$D$2:$D$206,1)),""),"")</f>
        <v/>
      </c>
      <c r="L319">
        <f>IFERROR(IF(AND(H319&lt;&gt;"",H319&gt;=129,H319&lt;=2176),INDEX(Fields!$J$2:$J$206,MATCH(H319-129,Fields!$D$2:$D$206,1)),""),"")</f>
        <v/>
      </c>
      <c r="M319">
        <f>IFERROR(IF(AND(H319&lt;&gt;"",H319&gt;=129,H319&lt;=2176),INDEX(Fields!$K$2:$K$206,MATCH(H319-129,Fields!$D$2:$D$206,1)),""),"")</f>
        <v/>
      </c>
    </row>
    <row r="320">
      <c r="A320" t="n">
        <v>318</v>
      </c>
      <c r="B320" t="n">
        <v>0</v>
      </c>
      <c r="C320" t="inlineStr">
        <is>
          <t>No</t>
        </is>
      </c>
      <c r="D320">
        <f>IF(AND(B315=1,B316=1,B317=1,B318=1,B319=1),"Yes","")</f>
        <v/>
      </c>
      <c r="E320" t="inlineStr">
        <is>
          <t>No</t>
        </is>
      </c>
      <c r="F320" t="inlineStr">
        <is>
          <t>No</t>
        </is>
      </c>
      <c r="G320">
        <f>IF(F320="Yes",1-B320,B320)</f>
        <v/>
      </c>
      <c r="H320">
        <f>IF(E320="Yes","",COUNTIFS($E$2:E320,"No"))</f>
        <v/>
      </c>
      <c r="I320">
        <f>IF(H320="","",IF(H320&lt;=128,"address",IF(H320&lt;=600,"data1",IF(H320&lt;=1264,"zero-run1",IF(H320&lt;=1648,"data2",IF(H320&lt;=2176,"zero-run2",IF(H320&lt;=2192,"FCS","trailing")))))))</f>
        <v/>
      </c>
      <c r="J320">
        <f>IFERROR(IF(AND(H320&lt;&gt;"",H320&gt;=129,H320&lt;=2176),INDEX(Fields!$B$2:$B$206,MATCH(H320-129,Fields!$D$2:$D$206,1)),""),"")</f>
        <v/>
      </c>
      <c r="K320">
        <f>IFERROR(IF(AND(H320&lt;&gt;"",H320&gt;=129,H320&lt;=2176),INDEX(Fields!$C$2:$C$206,MATCH(H320-129,Fields!$D$2:$D$206,1)),""),"")</f>
        <v/>
      </c>
      <c r="L320">
        <f>IFERROR(IF(AND(H320&lt;&gt;"",H320&gt;=129,H320&lt;=2176),INDEX(Fields!$J$2:$J$206,MATCH(H320-129,Fields!$D$2:$D$206,1)),""),"")</f>
        <v/>
      </c>
      <c r="M320">
        <f>IFERROR(IF(AND(H320&lt;&gt;"",H320&gt;=129,H320&lt;=2176),INDEX(Fields!$K$2:$K$206,MATCH(H320-129,Fields!$D$2:$D$206,1)),""),"")</f>
        <v/>
      </c>
    </row>
    <row r="321">
      <c r="A321" t="n">
        <v>319</v>
      </c>
      <c r="B321" t="n">
        <v>0</v>
      </c>
      <c r="C321" t="inlineStr">
        <is>
          <t>No</t>
        </is>
      </c>
      <c r="D321">
        <f>IF(AND(B316=1,B317=1,B318=1,B319=1,B320=1),"Yes","")</f>
        <v/>
      </c>
      <c r="E321" t="inlineStr">
        <is>
          <t>No</t>
        </is>
      </c>
      <c r="F321" t="inlineStr">
        <is>
          <t>No</t>
        </is>
      </c>
      <c r="G321">
        <f>IF(F321="Yes",1-B321,B321)</f>
        <v/>
      </c>
      <c r="H321">
        <f>IF(E321="Yes","",COUNTIFS($E$2:E321,"No"))</f>
        <v/>
      </c>
      <c r="I321">
        <f>IF(H321="","",IF(H321&lt;=128,"address",IF(H321&lt;=600,"data1",IF(H321&lt;=1264,"zero-run1",IF(H321&lt;=1648,"data2",IF(H321&lt;=2176,"zero-run2",IF(H321&lt;=2192,"FCS","trailing")))))))</f>
        <v/>
      </c>
      <c r="J321">
        <f>IFERROR(IF(AND(H321&lt;&gt;"",H321&gt;=129,H321&lt;=2176),INDEX(Fields!$B$2:$B$206,MATCH(H321-129,Fields!$D$2:$D$206,1)),""),"")</f>
        <v/>
      </c>
      <c r="K321">
        <f>IFERROR(IF(AND(H321&lt;&gt;"",H321&gt;=129,H321&lt;=2176),INDEX(Fields!$C$2:$C$206,MATCH(H321-129,Fields!$D$2:$D$206,1)),""),"")</f>
        <v/>
      </c>
      <c r="L321">
        <f>IFERROR(IF(AND(H321&lt;&gt;"",H321&gt;=129,H321&lt;=2176),INDEX(Fields!$J$2:$J$206,MATCH(H321-129,Fields!$D$2:$D$206,1)),""),"")</f>
        <v/>
      </c>
      <c r="M321">
        <f>IFERROR(IF(AND(H321&lt;&gt;"",H321&gt;=129,H321&lt;=2176),INDEX(Fields!$K$2:$K$206,MATCH(H321-129,Fields!$D$2:$D$206,1)),""),"")</f>
        <v/>
      </c>
    </row>
    <row r="322">
      <c r="A322" t="n">
        <v>320</v>
      </c>
      <c r="B322" t="n">
        <v>0</v>
      </c>
      <c r="C322" t="inlineStr">
        <is>
          <t>No</t>
        </is>
      </c>
      <c r="D322">
        <f>IF(AND(B317=1,B318=1,B319=1,B320=1,B321=1),"Yes","")</f>
        <v/>
      </c>
      <c r="E322" t="inlineStr">
        <is>
          <t>No</t>
        </is>
      </c>
      <c r="F322" t="inlineStr">
        <is>
          <t>No</t>
        </is>
      </c>
      <c r="G322">
        <f>IF(F322="Yes",1-B322,B322)</f>
        <v/>
      </c>
      <c r="H322">
        <f>IF(E322="Yes","",COUNTIFS($E$2:E322,"No"))</f>
        <v/>
      </c>
      <c r="I322">
        <f>IF(H322="","",IF(H322&lt;=128,"address",IF(H322&lt;=600,"data1",IF(H322&lt;=1264,"zero-run1",IF(H322&lt;=1648,"data2",IF(H322&lt;=2176,"zero-run2",IF(H322&lt;=2192,"FCS","trailing")))))))</f>
        <v/>
      </c>
      <c r="J322">
        <f>IFERROR(IF(AND(H322&lt;&gt;"",H322&gt;=129,H322&lt;=2176),INDEX(Fields!$B$2:$B$206,MATCH(H322-129,Fields!$D$2:$D$206,1)),""),"")</f>
        <v/>
      </c>
      <c r="K322">
        <f>IFERROR(IF(AND(H322&lt;&gt;"",H322&gt;=129,H322&lt;=2176),INDEX(Fields!$C$2:$C$206,MATCH(H322-129,Fields!$D$2:$D$206,1)),""),"")</f>
        <v/>
      </c>
      <c r="L322">
        <f>IFERROR(IF(AND(H322&lt;&gt;"",H322&gt;=129,H322&lt;=2176),INDEX(Fields!$J$2:$J$206,MATCH(H322-129,Fields!$D$2:$D$206,1)),""),"")</f>
        <v/>
      </c>
      <c r="M322">
        <f>IFERROR(IF(AND(H322&lt;&gt;"",H322&gt;=129,H322&lt;=2176),INDEX(Fields!$K$2:$K$206,MATCH(H322-129,Fields!$D$2:$D$206,1)),""),"")</f>
        <v/>
      </c>
    </row>
    <row r="323">
      <c r="A323" t="n">
        <v>321</v>
      </c>
      <c r="B323" t="n">
        <v>0</v>
      </c>
      <c r="C323" t="inlineStr">
        <is>
          <t>No</t>
        </is>
      </c>
      <c r="D323">
        <f>IF(AND(B318=1,B319=1,B320=1,B321=1,B322=1),"Yes","")</f>
        <v/>
      </c>
      <c r="E323" t="inlineStr">
        <is>
          <t>No</t>
        </is>
      </c>
      <c r="F323" t="inlineStr">
        <is>
          <t>No</t>
        </is>
      </c>
      <c r="G323">
        <f>IF(F323="Yes",1-B323,B323)</f>
        <v/>
      </c>
      <c r="H323">
        <f>IF(E323="Yes","",COUNTIFS($E$2:E323,"No"))</f>
        <v/>
      </c>
      <c r="I323">
        <f>IF(H323="","",IF(H323&lt;=128,"address",IF(H323&lt;=600,"data1",IF(H323&lt;=1264,"zero-run1",IF(H323&lt;=1648,"data2",IF(H323&lt;=2176,"zero-run2",IF(H323&lt;=2192,"FCS","trailing")))))))</f>
        <v/>
      </c>
      <c r="J323">
        <f>IFERROR(IF(AND(H323&lt;&gt;"",H323&gt;=129,H323&lt;=2176),INDEX(Fields!$B$2:$B$206,MATCH(H323-129,Fields!$D$2:$D$206,1)),""),"")</f>
        <v/>
      </c>
      <c r="K323">
        <f>IFERROR(IF(AND(H323&lt;&gt;"",H323&gt;=129,H323&lt;=2176),INDEX(Fields!$C$2:$C$206,MATCH(H323-129,Fields!$D$2:$D$206,1)),""),"")</f>
        <v/>
      </c>
      <c r="L323">
        <f>IFERROR(IF(AND(H323&lt;&gt;"",H323&gt;=129,H323&lt;=2176),INDEX(Fields!$J$2:$J$206,MATCH(H323-129,Fields!$D$2:$D$206,1)),""),"")</f>
        <v/>
      </c>
      <c r="M323">
        <f>IFERROR(IF(AND(H323&lt;&gt;"",H323&gt;=129,H323&lt;=2176),INDEX(Fields!$K$2:$K$206,MATCH(H323-129,Fields!$D$2:$D$206,1)),""),"")</f>
        <v/>
      </c>
    </row>
    <row r="324">
      <c r="A324" t="n">
        <v>322</v>
      </c>
      <c r="B324" t="n">
        <v>0</v>
      </c>
      <c r="C324" t="inlineStr">
        <is>
          <t>No</t>
        </is>
      </c>
      <c r="D324">
        <f>IF(AND(B319=1,B320=1,B321=1,B322=1,B323=1),"Yes","")</f>
        <v/>
      </c>
      <c r="E324" t="inlineStr">
        <is>
          <t>No</t>
        </is>
      </c>
      <c r="F324" t="inlineStr">
        <is>
          <t>No</t>
        </is>
      </c>
      <c r="G324">
        <f>IF(F324="Yes",1-B324,B324)</f>
        <v/>
      </c>
      <c r="H324">
        <f>IF(E324="Yes","",COUNTIFS($E$2:E324,"No"))</f>
        <v/>
      </c>
      <c r="I324">
        <f>IF(H324="","",IF(H324&lt;=128,"address",IF(H324&lt;=600,"data1",IF(H324&lt;=1264,"zero-run1",IF(H324&lt;=1648,"data2",IF(H324&lt;=2176,"zero-run2",IF(H324&lt;=2192,"FCS","trailing")))))))</f>
        <v/>
      </c>
      <c r="J324">
        <f>IFERROR(IF(AND(H324&lt;&gt;"",H324&gt;=129,H324&lt;=2176),INDEX(Fields!$B$2:$B$206,MATCH(H324-129,Fields!$D$2:$D$206,1)),""),"")</f>
        <v/>
      </c>
      <c r="K324">
        <f>IFERROR(IF(AND(H324&lt;&gt;"",H324&gt;=129,H324&lt;=2176),INDEX(Fields!$C$2:$C$206,MATCH(H324-129,Fields!$D$2:$D$206,1)),""),"")</f>
        <v/>
      </c>
      <c r="L324">
        <f>IFERROR(IF(AND(H324&lt;&gt;"",H324&gt;=129,H324&lt;=2176),INDEX(Fields!$J$2:$J$206,MATCH(H324-129,Fields!$D$2:$D$206,1)),""),"")</f>
        <v/>
      </c>
      <c r="M324">
        <f>IFERROR(IF(AND(H324&lt;&gt;"",H324&gt;=129,H324&lt;=2176),INDEX(Fields!$K$2:$K$206,MATCH(H324-129,Fields!$D$2:$D$206,1)),""),"")</f>
        <v/>
      </c>
    </row>
    <row r="325">
      <c r="A325" t="n">
        <v>323</v>
      </c>
      <c r="B325" t="n">
        <v>0</v>
      </c>
      <c r="C325" t="inlineStr">
        <is>
          <t>No</t>
        </is>
      </c>
      <c r="D325">
        <f>IF(AND(B320=1,B321=1,B322=1,B323=1,B324=1),"Yes","")</f>
        <v/>
      </c>
      <c r="E325" t="inlineStr">
        <is>
          <t>No</t>
        </is>
      </c>
      <c r="F325" t="inlineStr">
        <is>
          <t>No</t>
        </is>
      </c>
      <c r="G325">
        <f>IF(F325="Yes",1-B325,B325)</f>
        <v/>
      </c>
      <c r="H325">
        <f>IF(E325="Yes","",COUNTIFS($E$2:E325,"No"))</f>
        <v/>
      </c>
      <c r="I325">
        <f>IF(H325="","",IF(H325&lt;=128,"address",IF(H325&lt;=600,"data1",IF(H325&lt;=1264,"zero-run1",IF(H325&lt;=1648,"data2",IF(H325&lt;=2176,"zero-run2",IF(H325&lt;=2192,"FCS","trailing")))))))</f>
        <v/>
      </c>
      <c r="J325">
        <f>IFERROR(IF(AND(H325&lt;&gt;"",H325&gt;=129,H325&lt;=2176),INDEX(Fields!$B$2:$B$206,MATCH(H325-129,Fields!$D$2:$D$206,1)),""),"")</f>
        <v/>
      </c>
      <c r="K325">
        <f>IFERROR(IF(AND(H325&lt;&gt;"",H325&gt;=129,H325&lt;=2176),INDEX(Fields!$C$2:$C$206,MATCH(H325-129,Fields!$D$2:$D$206,1)),""),"")</f>
        <v/>
      </c>
      <c r="L325">
        <f>IFERROR(IF(AND(H325&lt;&gt;"",H325&gt;=129,H325&lt;=2176),INDEX(Fields!$J$2:$J$206,MATCH(H325-129,Fields!$D$2:$D$206,1)),""),"")</f>
        <v/>
      </c>
      <c r="M325">
        <f>IFERROR(IF(AND(H325&lt;&gt;"",H325&gt;=129,H325&lt;=2176),INDEX(Fields!$K$2:$K$206,MATCH(H325-129,Fields!$D$2:$D$206,1)),""),"")</f>
        <v/>
      </c>
    </row>
    <row r="326">
      <c r="A326" t="n">
        <v>324</v>
      </c>
      <c r="B326" t="n">
        <v>0</v>
      </c>
      <c r="C326" t="inlineStr">
        <is>
          <t>No</t>
        </is>
      </c>
      <c r="D326">
        <f>IF(AND(B321=1,B322=1,B323=1,B324=1,B325=1),"Yes","")</f>
        <v/>
      </c>
      <c r="E326" t="inlineStr">
        <is>
          <t>No</t>
        </is>
      </c>
      <c r="F326" t="inlineStr">
        <is>
          <t>No</t>
        </is>
      </c>
      <c r="G326">
        <f>IF(F326="Yes",1-B326,B326)</f>
        <v/>
      </c>
      <c r="H326">
        <f>IF(E326="Yes","",COUNTIFS($E$2:E326,"No"))</f>
        <v/>
      </c>
      <c r="I326">
        <f>IF(H326="","",IF(H326&lt;=128,"address",IF(H326&lt;=600,"data1",IF(H326&lt;=1264,"zero-run1",IF(H326&lt;=1648,"data2",IF(H326&lt;=2176,"zero-run2",IF(H326&lt;=2192,"FCS","trailing")))))))</f>
        <v/>
      </c>
      <c r="J326">
        <f>IFERROR(IF(AND(H326&lt;&gt;"",H326&gt;=129,H326&lt;=2176),INDEX(Fields!$B$2:$B$206,MATCH(H326-129,Fields!$D$2:$D$206,1)),""),"")</f>
        <v/>
      </c>
      <c r="K326">
        <f>IFERROR(IF(AND(H326&lt;&gt;"",H326&gt;=129,H326&lt;=2176),INDEX(Fields!$C$2:$C$206,MATCH(H326-129,Fields!$D$2:$D$206,1)),""),"")</f>
        <v/>
      </c>
      <c r="L326">
        <f>IFERROR(IF(AND(H326&lt;&gt;"",H326&gt;=129,H326&lt;=2176),INDEX(Fields!$J$2:$J$206,MATCH(H326-129,Fields!$D$2:$D$206,1)),""),"")</f>
        <v/>
      </c>
      <c r="M326">
        <f>IFERROR(IF(AND(H326&lt;&gt;"",H326&gt;=129,H326&lt;=2176),INDEX(Fields!$K$2:$K$206,MATCH(H326-129,Fields!$D$2:$D$206,1)),""),"")</f>
        <v/>
      </c>
    </row>
    <row r="327">
      <c r="A327" t="n">
        <v>325</v>
      </c>
      <c r="B327" t="n">
        <v>0</v>
      </c>
      <c r="C327" t="inlineStr">
        <is>
          <t>No</t>
        </is>
      </c>
      <c r="D327">
        <f>IF(AND(B322=1,B323=1,B324=1,B325=1,B326=1),"Yes","")</f>
        <v/>
      </c>
      <c r="E327" t="inlineStr">
        <is>
          <t>No</t>
        </is>
      </c>
      <c r="F327" t="inlineStr">
        <is>
          <t>No</t>
        </is>
      </c>
      <c r="G327">
        <f>IF(F327="Yes",1-B327,B327)</f>
        <v/>
      </c>
      <c r="H327">
        <f>IF(E327="Yes","",COUNTIFS($E$2:E327,"No"))</f>
        <v/>
      </c>
      <c r="I327">
        <f>IF(H327="","",IF(H327&lt;=128,"address",IF(H327&lt;=600,"data1",IF(H327&lt;=1264,"zero-run1",IF(H327&lt;=1648,"data2",IF(H327&lt;=2176,"zero-run2",IF(H327&lt;=2192,"FCS","trailing")))))))</f>
        <v/>
      </c>
      <c r="J327">
        <f>IFERROR(IF(AND(H327&lt;&gt;"",H327&gt;=129,H327&lt;=2176),INDEX(Fields!$B$2:$B$206,MATCH(H327-129,Fields!$D$2:$D$206,1)),""),"")</f>
        <v/>
      </c>
      <c r="K327">
        <f>IFERROR(IF(AND(H327&lt;&gt;"",H327&gt;=129,H327&lt;=2176),INDEX(Fields!$C$2:$C$206,MATCH(H327-129,Fields!$D$2:$D$206,1)),""),"")</f>
        <v/>
      </c>
      <c r="L327">
        <f>IFERROR(IF(AND(H327&lt;&gt;"",H327&gt;=129,H327&lt;=2176),INDEX(Fields!$J$2:$J$206,MATCH(H327-129,Fields!$D$2:$D$206,1)),""),"")</f>
        <v/>
      </c>
      <c r="M327">
        <f>IFERROR(IF(AND(H327&lt;&gt;"",H327&gt;=129,H327&lt;=2176),INDEX(Fields!$K$2:$K$206,MATCH(H327-129,Fields!$D$2:$D$206,1)),""),"")</f>
        <v/>
      </c>
    </row>
    <row r="328">
      <c r="A328" t="n">
        <v>326</v>
      </c>
      <c r="B328" t="n">
        <v>0</v>
      </c>
      <c r="C328" t="inlineStr">
        <is>
          <t>No</t>
        </is>
      </c>
      <c r="D328">
        <f>IF(AND(B323=1,B324=1,B325=1,B326=1,B327=1),"Yes","")</f>
        <v/>
      </c>
      <c r="E328" t="inlineStr">
        <is>
          <t>No</t>
        </is>
      </c>
      <c r="F328" t="inlineStr">
        <is>
          <t>No</t>
        </is>
      </c>
      <c r="G328">
        <f>IF(F328="Yes",1-B328,B328)</f>
        <v/>
      </c>
      <c r="H328">
        <f>IF(E328="Yes","",COUNTIFS($E$2:E328,"No"))</f>
        <v/>
      </c>
      <c r="I328">
        <f>IF(H328="","",IF(H328&lt;=128,"address",IF(H328&lt;=600,"data1",IF(H328&lt;=1264,"zero-run1",IF(H328&lt;=1648,"data2",IF(H328&lt;=2176,"zero-run2",IF(H328&lt;=2192,"FCS","trailing")))))))</f>
        <v/>
      </c>
      <c r="J328">
        <f>IFERROR(IF(AND(H328&lt;&gt;"",H328&gt;=129,H328&lt;=2176),INDEX(Fields!$B$2:$B$206,MATCH(H328-129,Fields!$D$2:$D$206,1)),""),"")</f>
        <v/>
      </c>
      <c r="K328">
        <f>IFERROR(IF(AND(H328&lt;&gt;"",H328&gt;=129,H328&lt;=2176),INDEX(Fields!$C$2:$C$206,MATCH(H328-129,Fields!$D$2:$D$206,1)),""),"")</f>
        <v/>
      </c>
      <c r="L328">
        <f>IFERROR(IF(AND(H328&lt;&gt;"",H328&gt;=129,H328&lt;=2176),INDEX(Fields!$J$2:$J$206,MATCH(H328-129,Fields!$D$2:$D$206,1)),""),"")</f>
        <v/>
      </c>
      <c r="M328">
        <f>IFERROR(IF(AND(H328&lt;&gt;"",H328&gt;=129,H328&lt;=2176),INDEX(Fields!$K$2:$K$206,MATCH(H328-129,Fields!$D$2:$D$206,1)),""),"")</f>
        <v/>
      </c>
    </row>
    <row r="329">
      <c r="A329" t="n">
        <v>327</v>
      </c>
      <c r="B329" t="n">
        <v>0</v>
      </c>
      <c r="C329" t="inlineStr">
        <is>
          <t>No</t>
        </is>
      </c>
      <c r="D329">
        <f>IF(AND(B324=1,B325=1,B326=1,B327=1,B328=1),"Yes","")</f>
        <v/>
      </c>
      <c r="E329" t="inlineStr">
        <is>
          <t>No</t>
        </is>
      </c>
      <c r="F329" t="inlineStr">
        <is>
          <t>No</t>
        </is>
      </c>
      <c r="G329">
        <f>IF(F329="Yes",1-B329,B329)</f>
        <v/>
      </c>
      <c r="H329">
        <f>IF(E329="Yes","",COUNTIFS($E$2:E329,"No"))</f>
        <v/>
      </c>
      <c r="I329">
        <f>IF(H329="","",IF(H329&lt;=128,"address",IF(H329&lt;=600,"data1",IF(H329&lt;=1264,"zero-run1",IF(H329&lt;=1648,"data2",IF(H329&lt;=2176,"zero-run2",IF(H329&lt;=2192,"FCS","trailing")))))))</f>
        <v/>
      </c>
      <c r="J329">
        <f>IFERROR(IF(AND(H329&lt;&gt;"",H329&gt;=129,H329&lt;=2176),INDEX(Fields!$B$2:$B$206,MATCH(H329-129,Fields!$D$2:$D$206,1)),""),"")</f>
        <v/>
      </c>
      <c r="K329">
        <f>IFERROR(IF(AND(H329&lt;&gt;"",H329&gt;=129,H329&lt;=2176),INDEX(Fields!$C$2:$C$206,MATCH(H329-129,Fields!$D$2:$D$206,1)),""),"")</f>
        <v/>
      </c>
      <c r="L329">
        <f>IFERROR(IF(AND(H329&lt;&gt;"",H329&gt;=129,H329&lt;=2176),INDEX(Fields!$J$2:$J$206,MATCH(H329-129,Fields!$D$2:$D$206,1)),""),"")</f>
        <v/>
      </c>
      <c r="M329">
        <f>IFERROR(IF(AND(H329&lt;&gt;"",H329&gt;=129,H329&lt;=2176),INDEX(Fields!$K$2:$K$206,MATCH(H329-129,Fields!$D$2:$D$206,1)),""),"")</f>
        <v/>
      </c>
    </row>
    <row r="330">
      <c r="A330" t="n">
        <v>328</v>
      </c>
      <c r="B330" t="n">
        <v>0</v>
      </c>
      <c r="C330" t="inlineStr">
        <is>
          <t>No</t>
        </is>
      </c>
      <c r="D330">
        <f>IF(AND(B325=1,B326=1,B327=1,B328=1,B329=1),"Yes","")</f>
        <v/>
      </c>
      <c r="E330" t="inlineStr">
        <is>
          <t>No</t>
        </is>
      </c>
      <c r="F330" t="inlineStr">
        <is>
          <t>No</t>
        </is>
      </c>
      <c r="G330">
        <f>IF(F330="Yes",1-B330,B330)</f>
        <v/>
      </c>
      <c r="H330">
        <f>IF(E330="Yes","",COUNTIFS($E$2:E330,"No"))</f>
        <v/>
      </c>
      <c r="I330">
        <f>IF(H330="","",IF(H330&lt;=128,"address",IF(H330&lt;=600,"data1",IF(H330&lt;=1264,"zero-run1",IF(H330&lt;=1648,"data2",IF(H330&lt;=2176,"zero-run2",IF(H330&lt;=2192,"FCS","trailing")))))))</f>
        <v/>
      </c>
      <c r="J330">
        <f>IFERROR(IF(AND(H330&lt;&gt;"",H330&gt;=129,H330&lt;=2176),INDEX(Fields!$B$2:$B$206,MATCH(H330-129,Fields!$D$2:$D$206,1)),""),"")</f>
        <v/>
      </c>
      <c r="K330">
        <f>IFERROR(IF(AND(H330&lt;&gt;"",H330&gt;=129,H330&lt;=2176),INDEX(Fields!$C$2:$C$206,MATCH(H330-129,Fields!$D$2:$D$206,1)),""),"")</f>
        <v/>
      </c>
      <c r="L330">
        <f>IFERROR(IF(AND(H330&lt;&gt;"",H330&gt;=129,H330&lt;=2176),INDEX(Fields!$J$2:$J$206,MATCH(H330-129,Fields!$D$2:$D$206,1)),""),"")</f>
        <v/>
      </c>
      <c r="M330">
        <f>IFERROR(IF(AND(H330&lt;&gt;"",H330&gt;=129,H330&lt;=2176),INDEX(Fields!$K$2:$K$206,MATCH(H330-129,Fields!$D$2:$D$206,1)),""),"")</f>
        <v/>
      </c>
    </row>
    <row r="331">
      <c r="A331" t="n">
        <v>329</v>
      </c>
      <c r="B331" t="n">
        <v>0</v>
      </c>
      <c r="C331" t="inlineStr">
        <is>
          <t>No</t>
        </is>
      </c>
      <c r="D331">
        <f>IF(AND(B326=1,B327=1,B328=1,B329=1,B330=1),"Yes","")</f>
        <v/>
      </c>
      <c r="E331" t="inlineStr">
        <is>
          <t>No</t>
        </is>
      </c>
      <c r="F331" t="inlineStr">
        <is>
          <t>No</t>
        </is>
      </c>
      <c r="G331">
        <f>IF(F331="Yes",1-B331,B331)</f>
        <v/>
      </c>
      <c r="H331">
        <f>IF(E331="Yes","",COUNTIFS($E$2:E331,"No"))</f>
        <v/>
      </c>
      <c r="I331">
        <f>IF(H331="","",IF(H331&lt;=128,"address",IF(H331&lt;=600,"data1",IF(H331&lt;=1264,"zero-run1",IF(H331&lt;=1648,"data2",IF(H331&lt;=2176,"zero-run2",IF(H331&lt;=2192,"FCS","trailing")))))))</f>
        <v/>
      </c>
      <c r="J331">
        <f>IFERROR(IF(AND(H331&lt;&gt;"",H331&gt;=129,H331&lt;=2176),INDEX(Fields!$B$2:$B$206,MATCH(H331-129,Fields!$D$2:$D$206,1)),""),"")</f>
        <v/>
      </c>
      <c r="K331">
        <f>IFERROR(IF(AND(H331&lt;&gt;"",H331&gt;=129,H331&lt;=2176),INDEX(Fields!$C$2:$C$206,MATCH(H331-129,Fields!$D$2:$D$206,1)),""),"")</f>
        <v/>
      </c>
      <c r="L331">
        <f>IFERROR(IF(AND(H331&lt;&gt;"",H331&gt;=129,H331&lt;=2176),INDEX(Fields!$J$2:$J$206,MATCH(H331-129,Fields!$D$2:$D$206,1)),""),"")</f>
        <v/>
      </c>
      <c r="M331">
        <f>IFERROR(IF(AND(H331&lt;&gt;"",H331&gt;=129,H331&lt;=2176),INDEX(Fields!$K$2:$K$206,MATCH(H331-129,Fields!$D$2:$D$206,1)),""),"")</f>
        <v/>
      </c>
    </row>
    <row r="332">
      <c r="A332" t="n">
        <v>330</v>
      </c>
      <c r="B332" t="n">
        <v>0</v>
      </c>
      <c r="C332" t="inlineStr">
        <is>
          <t>No</t>
        </is>
      </c>
      <c r="D332">
        <f>IF(AND(B327=1,B328=1,B329=1,B330=1,B331=1),"Yes","")</f>
        <v/>
      </c>
      <c r="E332" t="inlineStr">
        <is>
          <t>No</t>
        </is>
      </c>
      <c r="F332" t="inlineStr">
        <is>
          <t>No</t>
        </is>
      </c>
      <c r="G332">
        <f>IF(F332="Yes",1-B332,B332)</f>
        <v/>
      </c>
      <c r="H332">
        <f>IF(E332="Yes","",COUNTIFS($E$2:E332,"No"))</f>
        <v/>
      </c>
      <c r="I332">
        <f>IF(H332="","",IF(H332&lt;=128,"address",IF(H332&lt;=600,"data1",IF(H332&lt;=1264,"zero-run1",IF(H332&lt;=1648,"data2",IF(H332&lt;=2176,"zero-run2",IF(H332&lt;=2192,"FCS","trailing")))))))</f>
        <v/>
      </c>
      <c r="J332">
        <f>IFERROR(IF(AND(H332&lt;&gt;"",H332&gt;=129,H332&lt;=2176),INDEX(Fields!$B$2:$B$206,MATCH(H332-129,Fields!$D$2:$D$206,1)),""),"")</f>
        <v/>
      </c>
      <c r="K332">
        <f>IFERROR(IF(AND(H332&lt;&gt;"",H332&gt;=129,H332&lt;=2176),INDEX(Fields!$C$2:$C$206,MATCH(H332-129,Fields!$D$2:$D$206,1)),""),"")</f>
        <v/>
      </c>
      <c r="L332">
        <f>IFERROR(IF(AND(H332&lt;&gt;"",H332&gt;=129,H332&lt;=2176),INDEX(Fields!$J$2:$J$206,MATCH(H332-129,Fields!$D$2:$D$206,1)),""),"")</f>
        <v/>
      </c>
      <c r="M332">
        <f>IFERROR(IF(AND(H332&lt;&gt;"",H332&gt;=129,H332&lt;=2176),INDEX(Fields!$K$2:$K$206,MATCH(H332-129,Fields!$D$2:$D$206,1)),""),"")</f>
        <v/>
      </c>
    </row>
    <row r="333">
      <c r="A333" t="n">
        <v>331</v>
      </c>
      <c r="B333" t="n">
        <v>0</v>
      </c>
      <c r="C333" s="4" t="inlineStr">
        <is>
          <t>Yes</t>
        </is>
      </c>
      <c r="D333">
        <f>IF(AND(B328=1,B329=1,B330=1,B331=1,B332=1),"Yes","")</f>
        <v/>
      </c>
      <c r="E333" t="inlineStr">
        <is>
          <t>No</t>
        </is>
      </c>
      <c r="F333" t="inlineStr">
        <is>
          <t>No</t>
        </is>
      </c>
      <c r="G333">
        <f>IF(F333="Yes",1-B333,B333)</f>
        <v/>
      </c>
      <c r="H333">
        <f>IF(E333="Yes","",COUNTIFS($E$2:E333,"No"))</f>
        <v/>
      </c>
      <c r="I333">
        <f>IF(H333="","",IF(H333&lt;=128,"address",IF(H333&lt;=600,"data1",IF(H333&lt;=1264,"zero-run1",IF(H333&lt;=1648,"data2",IF(H333&lt;=2176,"zero-run2",IF(H333&lt;=2192,"FCS","trailing")))))))</f>
        <v/>
      </c>
      <c r="J333">
        <f>IFERROR(IF(AND(H333&lt;&gt;"",H333&gt;=129,H333&lt;=2176),INDEX(Fields!$B$2:$B$206,MATCH(H333-129,Fields!$D$2:$D$206,1)),""),"")</f>
        <v/>
      </c>
      <c r="K333">
        <f>IFERROR(IF(AND(H333&lt;&gt;"",H333&gt;=129,H333&lt;=2176),INDEX(Fields!$C$2:$C$206,MATCH(H333-129,Fields!$D$2:$D$206,1)),""),"")</f>
        <v/>
      </c>
      <c r="L333">
        <f>IFERROR(IF(AND(H333&lt;&gt;"",H333&gt;=129,H333&lt;=2176),INDEX(Fields!$J$2:$J$206,MATCH(H333-129,Fields!$D$2:$D$206,1)),""),"")</f>
        <v/>
      </c>
      <c r="M333">
        <f>IFERROR(IF(AND(H333&lt;&gt;"",H333&gt;=129,H333&lt;=2176),INDEX(Fields!$K$2:$K$206,MATCH(H333-129,Fields!$D$2:$D$206,1)),""),"")</f>
        <v/>
      </c>
    </row>
    <row r="334">
      <c r="A334" t="n">
        <v>332</v>
      </c>
      <c r="B334" t="n">
        <v>0</v>
      </c>
      <c r="C334" t="inlineStr">
        <is>
          <t>No</t>
        </is>
      </c>
      <c r="D334">
        <f>IF(AND(B329=1,B330=1,B331=1,B332=1,B333=1),"Yes","")</f>
        <v/>
      </c>
      <c r="E334" t="inlineStr">
        <is>
          <t>No</t>
        </is>
      </c>
      <c r="F334" t="inlineStr">
        <is>
          <t>No</t>
        </is>
      </c>
      <c r="G334">
        <f>IF(F334="Yes",1-B334,B334)</f>
        <v/>
      </c>
      <c r="H334">
        <f>IF(E334="Yes","",COUNTIFS($E$2:E334,"No"))</f>
        <v/>
      </c>
      <c r="I334">
        <f>IF(H334="","",IF(H334&lt;=128,"address",IF(H334&lt;=600,"data1",IF(H334&lt;=1264,"zero-run1",IF(H334&lt;=1648,"data2",IF(H334&lt;=2176,"zero-run2",IF(H334&lt;=2192,"FCS","trailing")))))))</f>
        <v/>
      </c>
      <c r="J334">
        <f>IFERROR(IF(AND(H334&lt;&gt;"",H334&gt;=129,H334&lt;=2176),INDEX(Fields!$B$2:$B$206,MATCH(H334-129,Fields!$D$2:$D$206,1)),""),"")</f>
        <v/>
      </c>
      <c r="K334">
        <f>IFERROR(IF(AND(H334&lt;&gt;"",H334&gt;=129,H334&lt;=2176),INDEX(Fields!$C$2:$C$206,MATCH(H334-129,Fields!$D$2:$D$206,1)),""),"")</f>
        <v/>
      </c>
      <c r="L334">
        <f>IFERROR(IF(AND(H334&lt;&gt;"",H334&gt;=129,H334&lt;=2176),INDEX(Fields!$J$2:$J$206,MATCH(H334-129,Fields!$D$2:$D$206,1)),""),"")</f>
        <v/>
      </c>
      <c r="M334">
        <f>IFERROR(IF(AND(H334&lt;&gt;"",H334&gt;=129,H334&lt;=2176),INDEX(Fields!$K$2:$K$206,MATCH(H334-129,Fields!$D$2:$D$206,1)),""),"")</f>
        <v/>
      </c>
    </row>
    <row r="335">
      <c r="A335" t="n">
        <v>333</v>
      </c>
      <c r="B335" t="n">
        <v>0</v>
      </c>
      <c r="C335" t="inlineStr">
        <is>
          <t>No</t>
        </is>
      </c>
      <c r="D335">
        <f>IF(AND(B330=1,B331=1,B332=1,B333=1,B334=1),"Yes","")</f>
        <v/>
      </c>
      <c r="E335" t="inlineStr">
        <is>
          <t>No</t>
        </is>
      </c>
      <c r="F335" t="inlineStr">
        <is>
          <t>No</t>
        </is>
      </c>
      <c r="G335">
        <f>IF(F335="Yes",1-B335,B335)</f>
        <v/>
      </c>
      <c r="H335">
        <f>IF(E335="Yes","",COUNTIFS($E$2:E335,"No"))</f>
        <v/>
      </c>
      <c r="I335">
        <f>IF(H335="","",IF(H335&lt;=128,"address",IF(H335&lt;=600,"data1",IF(H335&lt;=1264,"zero-run1",IF(H335&lt;=1648,"data2",IF(H335&lt;=2176,"zero-run2",IF(H335&lt;=2192,"FCS","trailing")))))))</f>
        <v/>
      </c>
      <c r="J335">
        <f>IFERROR(IF(AND(H335&lt;&gt;"",H335&gt;=129,H335&lt;=2176),INDEX(Fields!$B$2:$B$206,MATCH(H335-129,Fields!$D$2:$D$206,1)),""),"")</f>
        <v/>
      </c>
      <c r="K335">
        <f>IFERROR(IF(AND(H335&lt;&gt;"",H335&gt;=129,H335&lt;=2176),INDEX(Fields!$C$2:$C$206,MATCH(H335-129,Fields!$D$2:$D$206,1)),""),"")</f>
        <v/>
      </c>
      <c r="L335">
        <f>IFERROR(IF(AND(H335&lt;&gt;"",H335&gt;=129,H335&lt;=2176),INDEX(Fields!$J$2:$J$206,MATCH(H335-129,Fields!$D$2:$D$206,1)),""),"")</f>
        <v/>
      </c>
      <c r="M335">
        <f>IFERROR(IF(AND(H335&lt;&gt;"",H335&gt;=129,H335&lt;=2176),INDEX(Fields!$K$2:$K$206,MATCH(H335-129,Fields!$D$2:$D$206,1)),""),"")</f>
        <v/>
      </c>
    </row>
    <row r="336">
      <c r="A336" t="n">
        <v>334</v>
      </c>
      <c r="B336" t="n">
        <v>0</v>
      </c>
      <c r="C336" t="inlineStr">
        <is>
          <t>No</t>
        </is>
      </c>
      <c r="D336">
        <f>IF(AND(B331=1,B332=1,B333=1,B334=1,B335=1),"Yes","")</f>
        <v/>
      </c>
      <c r="E336" t="inlineStr">
        <is>
          <t>No</t>
        </is>
      </c>
      <c r="F336" t="inlineStr">
        <is>
          <t>No</t>
        </is>
      </c>
      <c r="G336">
        <f>IF(F336="Yes",1-B336,B336)</f>
        <v/>
      </c>
      <c r="H336">
        <f>IF(E336="Yes","",COUNTIFS($E$2:E336,"No"))</f>
        <v/>
      </c>
      <c r="I336">
        <f>IF(H336="","",IF(H336&lt;=128,"address",IF(H336&lt;=600,"data1",IF(H336&lt;=1264,"zero-run1",IF(H336&lt;=1648,"data2",IF(H336&lt;=2176,"zero-run2",IF(H336&lt;=2192,"FCS","trailing")))))))</f>
        <v/>
      </c>
      <c r="J336">
        <f>IFERROR(IF(AND(H336&lt;&gt;"",H336&gt;=129,H336&lt;=2176),INDEX(Fields!$B$2:$B$206,MATCH(H336-129,Fields!$D$2:$D$206,1)),""),"")</f>
        <v/>
      </c>
      <c r="K336">
        <f>IFERROR(IF(AND(H336&lt;&gt;"",H336&gt;=129,H336&lt;=2176),INDEX(Fields!$C$2:$C$206,MATCH(H336-129,Fields!$D$2:$D$206,1)),""),"")</f>
        <v/>
      </c>
      <c r="L336">
        <f>IFERROR(IF(AND(H336&lt;&gt;"",H336&gt;=129,H336&lt;=2176),INDEX(Fields!$J$2:$J$206,MATCH(H336-129,Fields!$D$2:$D$206,1)),""),"")</f>
        <v/>
      </c>
      <c r="M336">
        <f>IFERROR(IF(AND(H336&lt;&gt;"",H336&gt;=129,H336&lt;=2176),INDEX(Fields!$K$2:$K$206,MATCH(H336-129,Fields!$D$2:$D$206,1)),""),"")</f>
        <v/>
      </c>
    </row>
    <row r="337">
      <c r="A337" t="n">
        <v>335</v>
      </c>
      <c r="B337" t="n">
        <v>0</v>
      </c>
      <c r="C337" t="inlineStr">
        <is>
          <t>No</t>
        </is>
      </c>
      <c r="D337">
        <f>IF(AND(B332=1,B333=1,B334=1,B335=1,B336=1),"Yes","")</f>
        <v/>
      </c>
      <c r="E337" t="inlineStr">
        <is>
          <t>No</t>
        </is>
      </c>
      <c r="F337" t="inlineStr">
        <is>
          <t>No</t>
        </is>
      </c>
      <c r="G337">
        <f>IF(F337="Yes",1-B337,B337)</f>
        <v/>
      </c>
      <c r="H337">
        <f>IF(E337="Yes","",COUNTIFS($E$2:E337,"No"))</f>
        <v/>
      </c>
      <c r="I337">
        <f>IF(H337="","",IF(H337&lt;=128,"address",IF(H337&lt;=600,"data1",IF(H337&lt;=1264,"zero-run1",IF(H337&lt;=1648,"data2",IF(H337&lt;=2176,"zero-run2",IF(H337&lt;=2192,"FCS","trailing")))))))</f>
        <v/>
      </c>
      <c r="J337">
        <f>IFERROR(IF(AND(H337&lt;&gt;"",H337&gt;=129,H337&lt;=2176),INDEX(Fields!$B$2:$B$206,MATCH(H337-129,Fields!$D$2:$D$206,1)),""),"")</f>
        <v/>
      </c>
      <c r="K337">
        <f>IFERROR(IF(AND(H337&lt;&gt;"",H337&gt;=129,H337&lt;=2176),INDEX(Fields!$C$2:$C$206,MATCH(H337-129,Fields!$D$2:$D$206,1)),""),"")</f>
        <v/>
      </c>
      <c r="L337">
        <f>IFERROR(IF(AND(H337&lt;&gt;"",H337&gt;=129,H337&lt;=2176),INDEX(Fields!$J$2:$J$206,MATCH(H337-129,Fields!$D$2:$D$206,1)),""),"")</f>
        <v/>
      </c>
      <c r="M337">
        <f>IFERROR(IF(AND(H337&lt;&gt;"",H337&gt;=129,H337&lt;=2176),INDEX(Fields!$K$2:$K$206,MATCH(H337-129,Fields!$D$2:$D$206,1)),""),"")</f>
        <v/>
      </c>
    </row>
    <row r="338">
      <c r="A338" t="n">
        <v>336</v>
      </c>
      <c r="B338" t="n">
        <v>0</v>
      </c>
      <c r="C338" t="inlineStr">
        <is>
          <t>No</t>
        </is>
      </c>
      <c r="D338">
        <f>IF(AND(B333=1,B334=1,B335=1,B336=1,B337=1),"Yes","")</f>
        <v/>
      </c>
      <c r="E338" t="inlineStr">
        <is>
          <t>No</t>
        </is>
      </c>
      <c r="F338" t="inlineStr">
        <is>
          <t>No</t>
        </is>
      </c>
      <c r="G338">
        <f>IF(F338="Yes",1-B338,B338)</f>
        <v/>
      </c>
      <c r="H338">
        <f>IF(E338="Yes","",COUNTIFS($E$2:E338,"No"))</f>
        <v/>
      </c>
      <c r="I338">
        <f>IF(H338="","",IF(H338&lt;=128,"address",IF(H338&lt;=600,"data1",IF(H338&lt;=1264,"zero-run1",IF(H338&lt;=1648,"data2",IF(H338&lt;=2176,"zero-run2",IF(H338&lt;=2192,"FCS","trailing")))))))</f>
        <v/>
      </c>
      <c r="J338">
        <f>IFERROR(IF(AND(H338&lt;&gt;"",H338&gt;=129,H338&lt;=2176),INDEX(Fields!$B$2:$B$206,MATCH(H338-129,Fields!$D$2:$D$206,1)),""),"")</f>
        <v/>
      </c>
      <c r="K338">
        <f>IFERROR(IF(AND(H338&lt;&gt;"",H338&gt;=129,H338&lt;=2176),INDEX(Fields!$C$2:$C$206,MATCH(H338-129,Fields!$D$2:$D$206,1)),""),"")</f>
        <v/>
      </c>
      <c r="L338">
        <f>IFERROR(IF(AND(H338&lt;&gt;"",H338&gt;=129,H338&lt;=2176),INDEX(Fields!$J$2:$J$206,MATCH(H338-129,Fields!$D$2:$D$206,1)),""),"")</f>
        <v/>
      </c>
      <c r="M338">
        <f>IFERROR(IF(AND(H338&lt;&gt;"",H338&gt;=129,H338&lt;=2176),INDEX(Fields!$K$2:$K$206,MATCH(H338-129,Fields!$D$2:$D$206,1)),""),"")</f>
        <v/>
      </c>
    </row>
    <row r="339">
      <c r="A339" t="n">
        <v>337</v>
      </c>
      <c r="B339" t="n">
        <v>0</v>
      </c>
      <c r="C339" t="inlineStr">
        <is>
          <t>No</t>
        </is>
      </c>
      <c r="D339">
        <f>IF(AND(B334=1,B335=1,B336=1,B337=1,B338=1),"Yes","")</f>
        <v/>
      </c>
      <c r="E339" t="inlineStr">
        <is>
          <t>No</t>
        </is>
      </c>
      <c r="F339" t="inlineStr">
        <is>
          <t>No</t>
        </is>
      </c>
      <c r="G339">
        <f>IF(F339="Yes",1-B339,B339)</f>
        <v/>
      </c>
      <c r="H339">
        <f>IF(E339="Yes","",COUNTIFS($E$2:E339,"No"))</f>
        <v/>
      </c>
      <c r="I339">
        <f>IF(H339="","",IF(H339&lt;=128,"address",IF(H339&lt;=600,"data1",IF(H339&lt;=1264,"zero-run1",IF(H339&lt;=1648,"data2",IF(H339&lt;=2176,"zero-run2",IF(H339&lt;=2192,"FCS","trailing")))))))</f>
        <v/>
      </c>
      <c r="J339">
        <f>IFERROR(IF(AND(H339&lt;&gt;"",H339&gt;=129,H339&lt;=2176),INDEX(Fields!$B$2:$B$206,MATCH(H339-129,Fields!$D$2:$D$206,1)),""),"")</f>
        <v/>
      </c>
      <c r="K339">
        <f>IFERROR(IF(AND(H339&lt;&gt;"",H339&gt;=129,H339&lt;=2176),INDEX(Fields!$C$2:$C$206,MATCH(H339-129,Fields!$D$2:$D$206,1)),""),"")</f>
        <v/>
      </c>
      <c r="L339">
        <f>IFERROR(IF(AND(H339&lt;&gt;"",H339&gt;=129,H339&lt;=2176),INDEX(Fields!$J$2:$J$206,MATCH(H339-129,Fields!$D$2:$D$206,1)),""),"")</f>
        <v/>
      </c>
      <c r="M339">
        <f>IFERROR(IF(AND(H339&lt;&gt;"",H339&gt;=129,H339&lt;=2176),INDEX(Fields!$K$2:$K$206,MATCH(H339-129,Fields!$D$2:$D$206,1)),""),"")</f>
        <v/>
      </c>
    </row>
    <row r="340">
      <c r="A340" t="n">
        <v>338</v>
      </c>
      <c r="B340" t="n">
        <v>0</v>
      </c>
      <c r="C340" t="inlineStr">
        <is>
          <t>No</t>
        </is>
      </c>
      <c r="D340">
        <f>IF(AND(B335=1,B336=1,B337=1,B338=1,B339=1),"Yes","")</f>
        <v/>
      </c>
      <c r="E340" t="inlineStr">
        <is>
          <t>No</t>
        </is>
      </c>
      <c r="F340" t="inlineStr">
        <is>
          <t>No</t>
        </is>
      </c>
      <c r="G340">
        <f>IF(F340="Yes",1-B340,B340)</f>
        <v/>
      </c>
      <c r="H340">
        <f>IF(E340="Yes","",COUNTIFS($E$2:E340,"No"))</f>
        <v/>
      </c>
      <c r="I340">
        <f>IF(H340="","",IF(H340&lt;=128,"address",IF(H340&lt;=600,"data1",IF(H340&lt;=1264,"zero-run1",IF(H340&lt;=1648,"data2",IF(H340&lt;=2176,"zero-run2",IF(H340&lt;=2192,"FCS","trailing")))))))</f>
        <v/>
      </c>
      <c r="J340">
        <f>IFERROR(IF(AND(H340&lt;&gt;"",H340&gt;=129,H340&lt;=2176),INDEX(Fields!$B$2:$B$206,MATCH(H340-129,Fields!$D$2:$D$206,1)),""),"")</f>
        <v/>
      </c>
      <c r="K340">
        <f>IFERROR(IF(AND(H340&lt;&gt;"",H340&gt;=129,H340&lt;=2176),INDEX(Fields!$C$2:$C$206,MATCH(H340-129,Fields!$D$2:$D$206,1)),""),"")</f>
        <v/>
      </c>
      <c r="L340">
        <f>IFERROR(IF(AND(H340&lt;&gt;"",H340&gt;=129,H340&lt;=2176),INDEX(Fields!$J$2:$J$206,MATCH(H340-129,Fields!$D$2:$D$206,1)),""),"")</f>
        <v/>
      </c>
      <c r="M340">
        <f>IFERROR(IF(AND(H340&lt;&gt;"",H340&gt;=129,H340&lt;=2176),INDEX(Fields!$K$2:$K$206,MATCH(H340-129,Fields!$D$2:$D$206,1)),""),"")</f>
        <v/>
      </c>
    </row>
    <row r="341">
      <c r="A341" t="n">
        <v>339</v>
      </c>
      <c r="B341" t="n">
        <v>0</v>
      </c>
      <c r="C341" t="inlineStr">
        <is>
          <t>No</t>
        </is>
      </c>
      <c r="D341">
        <f>IF(AND(B336=1,B337=1,B338=1,B339=1,B340=1),"Yes","")</f>
        <v/>
      </c>
      <c r="E341" t="inlineStr">
        <is>
          <t>No</t>
        </is>
      </c>
      <c r="F341" t="inlineStr">
        <is>
          <t>No</t>
        </is>
      </c>
      <c r="G341">
        <f>IF(F341="Yes",1-B341,B341)</f>
        <v/>
      </c>
      <c r="H341">
        <f>IF(E341="Yes","",COUNTIFS($E$2:E341,"No"))</f>
        <v/>
      </c>
      <c r="I341">
        <f>IF(H341="","",IF(H341&lt;=128,"address",IF(H341&lt;=600,"data1",IF(H341&lt;=1264,"zero-run1",IF(H341&lt;=1648,"data2",IF(H341&lt;=2176,"zero-run2",IF(H341&lt;=2192,"FCS","trailing")))))))</f>
        <v/>
      </c>
      <c r="J341">
        <f>IFERROR(IF(AND(H341&lt;&gt;"",H341&gt;=129,H341&lt;=2176),INDEX(Fields!$B$2:$B$206,MATCH(H341-129,Fields!$D$2:$D$206,1)),""),"")</f>
        <v/>
      </c>
      <c r="K341">
        <f>IFERROR(IF(AND(H341&lt;&gt;"",H341&gt;=129,H341&lt;=2176),INDEX(Fields!$C$2:$C$206,MATCH(H341-129,Fields!$D$2:$D$206,1)),""),"")</f>
        <v/>
      </c>
      <c r="L341">
        <f>IFERROR(IF(AND(H341&lt;&gt;"",H341&gt;=129,H341&lt;=2176),INDEX(Fields!$J$2:$J$206,MATCH(H341-129,Fields!$D$2:$D$206,1)),""),"")</f>
        <v/>
      </c>
      <c r="M341">
        <f>IFERROR(IF(AND(H341&lt;&gt;"",H341&gt;=129,H341&lt;=2176),INDEX(Fields!$K$2:$K$206,MATCH(H341-129,Fields!$D$2:$D$206,1)),""),"")</f>
        <v/>
      </c>
    </row>
    <row r="342">
      <c r="A342" t="n">
        <v>340</v>
      </c>
      <c r="B342" t="n">
        <v>0</v>
      </c>
      <c r="C342" t="inlineStr">
        <is>
          <t>No</t>
        </is>
      </c>
      <c r="D342">
        <f>IF(AND(B337=1,B338=1,B339=1,B340=1,B341=1),"Yes","")</f>
        <v/>
      </c>
      <c r="E342" t="inlineStr">
        <is>
          <t>No</t>
        </is>
      </c>
      <c r="F342" t="inlineStr">
        <is>
          <t>No</t>
        </is>
      </c>
      <c r="G342">
        <f>IF(F342="Yes",1-B342,B342)</f>
        <v/>
      </c>
      <c r="H342">
        <f>IF(E342="Yes","",COUNTIFS($E$2:E342,"No"))</f>
        <v/>
      </c>
      <c r="I342">
        <f>IF(H342="","",IF(H342&lt;=128,"address",IF(H342&lt;=600,"data1",IF(H342&lt;=1264,"zero-run1",IF(H342&lt;=1648,"data2",IF(H342&lt;=2176,"zero-run2",IF(H342&lt;=2192,"FCS","trailing")))))))</f>
        <v/>
      </c>
      <c r="J342">
        <f>IFERROR(IF(AND(H342&lt;&gt;"",H342&gt;=129,H342&lt;=2176),INDEX(Fields!$B$2:$B$206,MATCH(H342-129,Fields!$D$2:$D$206,1)),""),"")</f>
        <v/>
      </c>
      <c r="K342">
        <f>IFERROR(IF(AND(H342&lt;&gt;"",H342&gt;=129,H342&lt;=2176),INDEX(Fields!$C$2:$C$206,MATCH(H342-129,Fields!$D$2:$D$206,1)),""),"")</f>
        <v/>
      </c>
      <c r="L342">
        <f>IFERROR(IF(AND(H342&lt;&gt;"",H342&gt;=129,H342&lt;=2176),INDEX(Fields!$J$2:$J$206,MATCH(H342-129,Fields!$D$2:$D$206,1)),""),"")</f>
        <v/>
      </c>
      <c r="M342">
        <f>IFERROR(IF(AND(H342&lt;&gt;"",H342&gt;=129,H342&lt;=2176),INDEX(Fields!$K$2:$K$206,MATCH(H342-129,Fields!$D$2:$D$206,1)),""),"")</f>
        <v/>
      </c>
    </row>
    <row r="343">
      <c r="A343" t="n">
        <v>341</v>
      </c>
      <c r="B343" t="n">
        <v>0</v>
      </c>
      <c r="C343" t="inlineStr">
        <is>
          <t>No</t>
        </is>
      </c>
      <c r="D343">
        <f>IF(AND(B338=1,B339=1,B340=1,B341=1,B342=1),"Yes","")</f>
        <v/>
      </c>
      <c r="E343" t="inlineStr">
        <is>
          <t>No</t>
        </is>
      </c>
      <c r="F343" t="inlineStr">
        <is>
          <t>No</t>
        </is>
      </c>
      <c r="G343">
        <f>IF(F343="Yes",1-B343,B343)</f>
        <v/>
      </c>
      <c r="H343">
        <f>IF(E343="Yes","",COUNTIFS($E$2:E343,"No"))</f>
        <v/>
      </c>
      <c r="I343">
        <f>IF(H343="","",IF(H343&lt;=128,"address",IF(H343&lt;=600,"data1",IF(H343&lt;=1264,"zero-run1",IF(H343&lt;=1648,"data2",IF(H343&lt;=2176,"zero-run2",IF(H343&lt;=2192,"FCS","trailing")))))))</f>
        <v/>
      </c>
      <c r="J343">
        <f>IFERROR(IF(AND(H343&lt;&gt;"",H343&gt;=129,H343&lt;=2176),INDEX(Fields!$B$2:$B$206,MATCH(H343-129,Fields!$D$2:$D$206,1)),""),"")</f>
        <v/>
      </c>
      <c r="K343">
        <f>IFERROR(IF(AND(H343&lt;&gt;"",H343&gt;=129,H343&lt;=2176),INDEX(Fields!$C$2:$C$206,MATCH(H343-129,Fields!$D$2:$D$206,1)),""),"")</f>
        <v/>
      </c>
      <c r="L343">
        <f>IFERROR(IF(AND(H343&lt;&gt;"",H343&gt;=129,H343&lt;=2176),INDEX(Fields!$J$2:$J$206,MATCH(H343-129,Fields!$D$2:$D$206,1)),""),"")</f>
        <v/>
      </c>
      <c r="M343">
        <f>IFERROR(IF(AND(H343&lt;&gt;"",H343&gt;=129,H343&lt;=2176),INDEX(Fields!$K$2:$K$206,MATCH(H343-129,Fields!$D$2:$D$206,1)),""),"")</f>
        <v/>
      </c>
    </row>
    <row r="344">
      <c r="A344" t="n">
        <v>342</v>
      </c>
      <c r="B344" t="n">
        <v>0</v>
      </c>
      <c r="C344" t="inlineStr">
        <is>
          <t>No</t>
        </is>
      </c>
      <c r="D344">
        <f>IF(AND(B339=1,B340=1,B341=1,B342=1,B343=1),"Yes","")</f>
        <v/>
      </c>
      <c r="E344" t="inlineStr">
        <is>
          <t>No</t>
        </is>
      </c>
      <c r="F344" t="inlineStr">
        <is>
          <t>No</t>
        </is>
      </c>
      <c r="G344">
        <f>IF(F344="Yes",1-B344,B344)</f>
        <v/>
      </c>
      <c r="H344">
        <f>IF(E344="Yes","",COUNTIFS($E$2:E344,"No"))</f>
        <v/>
      </c>
      <c r="I344">
        <f>IF(H344="","",IF(H344&lt;=128,"address",IF(H344&lt;=600,"data1",IF(H344&lt;=1264,"zero-run1",IF(H344&lt;=1648,"data2",IF(H344&lt;=2176,"zero-run2",IF(H344&lt;=2192,"FCS","trailing")))))))</f>
        <v/>
      </c>
      <c r="J344">
        <f>IFERROR(IF(AND(H344&lt;&gt;"",H344&gt;=129,H344&lt;=2176),INDEX(Fields!$B$2:$B$206,MATCH(H344-129,Fields!$D$2:$D$206,1)),""),"")</f>
        <v/>
      </c>
      <c r="K344">
        <f>IFERROR(IF(AND(H344&lt;&gt;"",H344&gt;=129,H344&lt;=2176),INDEX(Fields!$C$2:$C$206,MATCH(H344-129,Fields!$D$2:$D$206,1)),""),"")</f>
        <v/>
      </c>
      <c r="L344">
        <f>IFERROR(IF(AND(H344&lt;&gt;"",H344&gt;=129,H344&lt;=2176),INDEX(Fields!$J$2:$J$206,MATCH(H344-129,Fields!$D$2:$D$206,1)),""),"")</f>
        <v/>
      </c>
      <c r="M344">
        <f>IFERROR(IF(AND(H344&lt;&gt;"",H344&gt;=129,H344&lt;=2176),INDEX(Fields!$K$2:$K$206,MATCH(H344-129,Fields!$D$2:$D$206,1)),""),"")</f>
        <v/>
      </c>
    </row>
    <row r="345">
      <c r="A345" t="n">
        <v>343</v>
      </c>
      <c r="B345" t="n">
        <v>0</v>
      </c>
      <c r="C345" t="inlineStr">
        <is>
          <t>No</t>
        </is>
      </c>
      <c r="D345">
        <f>IF(AND(B340=1,B341=1,B342=1,B343=1,B344=1),"Yes","")</f>
        <v/>
      </c>
      <c r="E345" t="inlineStr">
        <is>
          <t>No</t>
        </is>
      </c>
      <c r="F345" t="inlineStr">
        <is>
          <t>No</t>
        </is>
      </c>
      <c r="G345">
        <f>IF(F345="Yes",1-B345,B345)</f>
        <v/>
      </c>
      <c r="H345">
        <f>IF(E345="Yes","",COUNTIFS($E$2:E345,"No"))</f>
        <v/>
      </c>
      <c r="I345">
        <f>IF(H345="","",IF(H345&lt;=128,"address",IF(H345&lt;=600,"data1",IF(H345&lt;=1264,"zero-run1",IF(H345&lt;=1648,"data2",IF(H345&lt;=2176,"zero-run2",IF(H345&lt;=2192,"FCS","trailing")))))))</f>
        <v/>
      </c>
      <c r="J345">
        <f>IFERROR(IF(AND(H345&lt;&gt;"",H345&gt;=129,H345&lt;=2176),INDEX(Fields!$B$2:$B$206,MATCH(H345-129,Fields!$D$2:$D$206,1)),""),"")</f>
        <v/>
      </c>
      <c r="K345">
        <f>IFERROR(IF(AND(H345&lt;&gt;"",H345&gt;=129,H345&lt;=2176),INDEX(Fields!$C$2:$C$206,MATCH(H345-129,Fields!$D$2:$D$206,1)),""),"")</f>
        <v/>
      </c>
      <c r="L345">
        <f>IFERROR(IF(AND(H345&lt;&gt;"",H345&gt;=129,H345&lt;=2176),INDEX(Fields!$J$2:$J$206,MATCH(H345-129,Fields!$D$2:$D$206,1)),""),"")</f>
        <v/>
      </c>
      <c r="M345">
        <f>IFERROR(IF(AND(H345&lt;&gt;"",H345&gt;=129,H345&lt;=2176),INDEX(Fields!$K$2:$K$206,MATCH(H345-129,Fields!$D$2:$D$206,1)),""),"")</f>
        <v/>
      </c>
    </row>
    <row r="346">
      <c r="A346" t="n">
        <v>344</v>
      </c>
      <c r="B346" t="n">
        <v>0</v>
      </c>
      <c r="C346" t="inlineStr">
        <is>
          <t>No</t>
        </is>
      </c>
      <c r="D346">
        <f>IF(AND(B341=1,B342=1,B343=1,B344=1,B345=1),"Yes","")</f>
        <v/>
      </c>
      <c r="E346" t="inlineStr">
        <is>
          <t>No</t>
        </is>
      </c>
      <c r="F346" t="inlineStr">
        <is>
          <t>No</t>
        </is>
      </c>
      <c r="G346">
        <f>IF(F346="Yes",1-B346,B346)</f>
        <v/>
      </c>
      <c r="H346">
        <f>IF(E346="Yes","",COUNTIFS($E$2:E346,"No"))</f>
        <v/>
      </c>
      <c r="I346">
        <f>IF(H346="","",IF(H346&lt;=128,"address",IF(H346&lt;=600,"data1",IF(H346&lt;=1264,"zero-run1",IF(H346&lt;=1648,"data2",IF(H346&lt;=2176,"zero-run2",IF(H346&lt;=2192,"FCS","trailing")))))))</f>
        <v/>
      </c>
      <c r="J346">
        <f>IFERROR(IF(AND(H346&lt;&gt;"",H346&gt;=129,H346&lt;=2176),INDEX(Fields!$B$2:$B$206,MATCH(H346-129,Fields!$D$2:$D$206,1)),""),"")</f>
        <v/>
      </c>
      <c r="K346">
        <f>IFERROR(IF(AND(H346&lt;&gt;"",H346&gt;=129,H346&lt;=2176),INDEX(Fields!$C$2:$C$206,MATCH(H346-129,Fields!$D$2:$D$206,1)),""),"")</f>
        <v/>
      </c>
      <c r="L346">
        <f>IFERROR(IF(AND(H346&lt;&gt;"",H346&gt;=129,H346&lt;=2176),INDEX(Fields!$J$2:$J$206,MATCH(H346-129,Fields!$D$2:$D$206,1)),""),"")</f>
        <v/>
      </c>
      <c r="M346">
        <f>IFERROR(IF(AND(H346&lt;&gt;"",H346&gt;=129,H346&lt;=2176),INDEX(Fields!$K$2:$K$206,MATCH(H346-129,Fields!$D$2:$D$206,1)),""),"")</f>
        <v/>
      </c>
    </row>
    <row r="347">
      <c r="A347" t="n">
        <v>345</v>
      </c>
      <c r="B347" t="n">
        <v>0</v>
      </c>
      <c r="C347" t="inlineStr">
        <is>
          <t>No</t>
        </is>
      </c>
      <c r="D347">
        <f>IF(AND(B342=1,B343=1,B344=1,B345=1,B346=1),"Yes","")</f>
        <v/>
      </c>
      <c r="E347" t="inlineStr">
        <is>
          <t>No</t>
        </is>
      </c>
      <c r="F347" t="inlineStr">
        <is>
          <t>No</t>
        </is>
      </c>
      <c r="G347">
        <f>IF(F347="Yes",1-B347,B347)</f>
        <v/>
      </c>
      <c r="H347">
        <f>IF(E347="Yes","",COUNTIFS($E$2:E347,"No"))</f>
        <v/>
      </c>
      <c r="I347">
        <f>IF(H347="","",IF(H347&lt;=128,"address",IF(H347&lt;=600,"data1",IF(H347&lt;=1264,"zero-run1",IF(H347&lt;=1648,"data2",IF(H347&lt;=2176,"zero-run2",IF(H347&lt;=2192,"FCS","trailing")))))))</f>
        <v/>
      </c>
      <c r="J347">
        <f>IFERROR(IF(AND(H347&lt;&gt;"",H347&gt;=129,H347&lt;=2176),INDEX(Fields!$B$2:$B$206,MATCH(H347-129,Fields!$D$2:$D$206,1)),""),"")</f>
        <v/>
      </c>
      <c r="K347">
        <f>IFERROR(IF(AND(H347&lt;&gt;"",H347&gt;=129,H347&lt;=2176),INDEX(Fields!$C$2:$C$206,MATCH(H347-129,Fields!$D$2:$D$206,1)),""),"")</f>
        <v/>
      </c>
      <c r="L347">
        <f>IFERROR(IF(AND(H347&lt;&gt;"",H347&gt;=129,H347&lt;=2176),INDEX(Fields!$J$2:$J$206,MATCH(H347-129,Fields!$D$2:$D$206,1)),""),"")</f>
        <v/>
      </c>
      <c r="M347">
        <f>IFERROR(IF(AND(H347&lt;&gt;"",H347&gt;=129,H347&lt;=2176),INDEX(Fields!$K$2:$K$206,MATCH(H347-129,Fields!$D$2:$D$206,1)),""),"")</f>
        <v/>
      </c>
    </row>
    <row r="348">
      <c r="A348" t="n">
        <v>346</v>
      </c>
      <c r="B348" t="n">
        <v>0</v>
      </c>
      <c r="C348" t="inlineStr">
        <is>
          <t>No</t>
        </is>
      </c>
      <c r="D348">
        <f>IF(AND(B343=1,B344=1,B345=1,B346=1,B347=1),"Yes","")</f>
        <v/>
      </c>
      <c r="E348" t="inlineStr">
        <is>
          <t>No</t>
        </is>
      </c>
      <c r="F348" t="inlineStr">
        <is>
          <t>No</t>
        </is>
      </c>
      <c r="G348">
        <f>IF(F348="Yes",1-B348,B348)</f>
        <v/>
      </c>
      <c r="H348">
        <f>IF(E348="Yes","",COUNTIFS($E$2:E348,"No"))</f>
        <v/>
      </c>
      <c r="I348">
        <f>IF(H348="","",IF(H348&lt;=128,"address",IF(H348&lt;=600,"data1",IF(H348&lt;=1264,"zero-run1",IF(H348&lt;=1648,"data2",IF(H348&lt;=2176,"zero-run2",IF(H348&lt;=2192,"FCS","trailing")))))))</f>
        <v/>
      </c>
      <c r="J348">
        <f>IFERROR(IF(AND(H348&lt;&gt;"",H348&gt;=129,H348&lt;=2176),INDEX(Fields!$B$2:$B$206,MATCH(H348-129,Fields!$D$2:$D$206,1)),""),"")</f>
        <v/>
      </c>
      <c r="K348">
        <f>IFERROR(IF(AND(H348&lt;&gt;"",H348&gt;=129,H348&lt;=2176),INDEX(Fields!$C$2:$C$206,MATCH(H348-129,Fields!$D$2:$D$206,1)),""),"")</f>
        <v/>
      </c>
      <c r="L348">
        <f>IFERROR(IF(AND(H348&lt;&gt;"",H348&gt;=129,H348&lt;=2176),INDEX(Fields!$J$2:$J$206,MATCH(H348-129,Fields!$D$2:$D$206,1)),""),"")</f>
        <v/>
      </c>
      <c r="M348">
        <f>IFERROR(IF(AND(H348&lt;&gt;"",H348&gt;=129,H348&lt;=2176),INDEX(Fields!$K$2:$K$206,MATCH(H348-129,Fields!$D$2:$D$206,1)),""),"")</f>
        <v/>
      </c>
    </row>
    <row r="349">
      <c r="A349" t="n">
        <v>347</v>
      </c>
      <c r="B349" t="n">
        <v>0</v>
      </c>
      <c r="C349" t="inlineStr">
        <is>
          <t>No</t>
        </is>
      </c>
      <c r="D349">
        <f>IF(AND(B344=1,B345=1,B346=1,B347=1,B348=1),"Yes","")</f>
        <v/>
      </c>
      <c r="E349" t="inlineStr">
        <is>
          <t>No</t>
        </is>
      </c>
      <c r="F349" t="inlineStr">
        <is>
          <t>No</t>
        </is>
      </c>
      <c r="G349">
        <f>IF(F349="Yes",1-B349,B349)</f>
        <v/>
      </c>
      <c r="H349">
        <f>IF(E349="Yes","",COUNTIFS($E$2:E349,"No"))</f>
        <v/>
      </c>
      <c r="I349">
        <f>IF(H349="","",IF(H349&lt;=128,"address",IF(H349&lt;=600,"data1",IF(H349&lt;=1264,"zero-run1",IF(H349&lt;=1648,"data2",IF(H349&lt;=2176,"zero-run2",IF(H349&lt;=2192,"FCS","trailing")))))))</f>
        <v/>
      </c>
      <c r="J349">
        <f>IFERROR(IF(AND(H349&lt;&gt;"",H349&gt;=129,H349&lt;=2176),INDEX(Fields!$B$2:$B$206,MATCH(H349-129,Fields!$D$2:$D$206,1)),""),"")</f>
        <v/>
      </c>
      <c r="K349">
        <f>IFERROR(IF(AND(H349&lt;&gt;"",H349&gt;=129,H349&lt;=2176),INDEX(Fields!$C$2:$C$206,MATCH(H349-129,Fields!$D$2:$D$206,1)),""),"")</f>
        <v/>
      </c>
      <c r="L349">
        <f>IFERROR(IF(AND(H349&lt;&gt;"",H349&gt;=129,H349&lt;=2176),INDEX(Fields!$J$2:$J$206,MATCH(H349-129,Fields!$D$2:$D$206,1)),""),"")</f>
        <v/>
      </c>
      <c r="M349">
        <f>IFERROR(IF(AND(H349&lt;&gt;"",H349&gt;=129,H349&lt;=2176),INDEX(Fields!$K$2:$K$206,MATCH(H349-129,Fields!$D$2:$D$206,1)),""),"")</f>
        <v/>
      </c>
    </row>
    <row r="350">
      <c r="A350" t="n">
        <v>348</v>
      </c>
      <c r="B350" t="n">
        <v>0</v>
      </c>
      <c r="C350" t="inlineStr">
        <is>
          <t>No</t>
        </is>
      </c>
      <c r="D350">
        <f>IF(AND(B345=1,B346=1,B347=1,B348=1,B349=1),"Yes","")</f>
        <v/>
      </c>
      <c r="E350" t="inlineStr">
        <is>
          <t>No</t>
        </is>
      </c>
      <c r="F350" t="inlineStr">
        <is>
          <t>No</t>
        </is>
      </c>
      <c r="G350">
        <f>IF(F350="Yes",1-B350,B350)</f>
        <v/>
      </c>
      <c r="H350">
        <f>IF(E350="Yes","",COUNTIFS($E$2:E350,"No"))</f>
        <v/>
      </c>
      <c r="I350">
        <f>IF(H350="","",IF(H350&lt;=128,"address",IF(H350&lt;=600,"data1",IF(H350&lt;=1264,"zero-run1",IF(H350&lt;=1648,"data2",IF(H350&lt;=2176,"zero-run2",IF(H350&lt;=2192,"FCS","trailing")))))))</f>
        <v/>
      </c>
      <c r="J350">
        <f>IFERROR(IF(AND(H350&lt;&gt;"",H350&gt;=129,H350&lt;=2176),INDEX(Fields!$B$2:$B$206,MATCH(H350-129,Fields!$D$2:$D$206,1)),""),"")</f>
        <v/>
      </c>
      <c r="K350">
        <f>IFERROR(IF(AND(H350&lt;&gt;"",H350&gt;=129,H350&lt;=2176),INDEX(Fields!$C$2:$C$206,MATCH(H350-129,Fields!$D$2:$D$206,1)),""),"")</f>
        <v/>
      </c>
      <c r="L350">
        <f>IFERROR(IF(AND(H350&lt;&gt;"",H350&gt;=129,H350&lt;=2176),INDEX(Fields!$J$2:$J$206,MATCH(H350-129,Fields!$D$2:$D$206,1)),""),"")</f>
        <v/>
      </c>
      <c r="M350">
        <f>IFERROR(IF(AND(H350&lt;&gt;"",H350&gt;=129,H350&lt;=2176),INDEX(Fields!$K$2:$K$206,MATCH(H350-129,Fields!$D$2:$D$206,1)),""),"")</f>
        <v/>
      </c>
    </row>
    <row r="351">
      <c r="A351" t="n">
        <v>349</v>
      </c>
      <c r="B351" t="n">
        <v>0</v>
      </c>
      <c r="C351" t="inlineStr">
        <is>
          <t>No</t>
        </is>
      </c>
      <c r="D351">
        <f>IF(AND(B346=1,B347=1,B348=1,B349=1,B350=1),"Yes","")</f>
        <v/>
      </c>
      <c r="E351" t="inlineStr">
        <is>
          <t>No</t>
        </is>
      </c>
      <c r="F351" t="inlineStr">
        <is>
          <t>No</t>
        </is>
      </c>
      <c r="G351">
        <f>IF(F351="Yes",1-B351,B351)</f>
        <v/>
      </c>
      <c r="H351">
        <f>IF(E351="Yes","",COUNTIFS($E$2:E351,"No"))</f>
        <v/>
      </c>
      <c r="I351">
        <f>IF(H351="","",IF(H351&lt;=128,"address",IF(H351&lt;=600,"data1",IF(H351&lt;=1264,"zero-run1",IF(H351&lt;=1648,"data2",IF(H351&lt;=2176,"zero-run2",IF(H351&lt;=2192,"FCS","trailing")))))))</f>
        <v/>
      </c>
      <c r="J351">
        <f>IFERROR(IF(AND(H351&lt;&gt;"",H351&gt;=129,H351&lt;=2176),INDEX(Fields!$B$2:$B$206,MATCH(H351-129,Fields!$D$2:$D$206,1)),""),"")</f>
        <v/>
      </c>
      <c r="K351">
        <f>IFERROR(IF(AND(H351&lt;&gt;"",H351&gt;=129,H351&lt;=2176),INDEX(Fields!$C$2:$C$206,MATCH(H351-129,Fields!$D$2:$D$206,1)),""),"")</f>
        <v/>
      </c>
      <c r="L351">
        <f>IFERROR(IF(AND(H351&lt;&gt;"",H351&gt;=129,H351&lt;=2176),INDEX(Fields!$J$2:$J$206,MATCH(H351-129,Fields!$D$2:$D$206,1)),""),"")</f>
        <v/>
      </c>
      <c r="M351">
        <f>IFERROR(IF(AND(H351&lt;&gt;"",H351&gt;=129,H351&lt;=2176),INDEX(Fields!$K$2:$K$206,MATCH(H351-129,Fields!$D$2:$D$206,1)),""),"")</f>
        <v/>
      </c>
    </row>
    <row r="352">
      <c r="A352" t="n">
        <v>350</v>
      </c>
      <c r="B352" t="n">
        <v>0</v>
      </c>
      <c r="C352" t="inlineStr">
        <is>
          <t>No</t>
        </is>
      </c>
      <c r="D352">
        <f>IF(AND(B347=1,B348=1,B349=1,B350=1,B351=1),"Yes","")</f>
        <v/>
      </c>
      <c r="E352" t="inlineStr">
        <is>
          <t>No</t>
        </is>
      </c>
      <c r="F352" t="inlineStr">
        <is>
          <t>No</t>
        </is>
      </c>
      <c r="G352">
        <f>IF(F352="Yes",1-B352,B352)</f>
        <v/>
      </c>
      <c r="H352">
        <f>IF(E352="Yes","",COUNTIFS($E$2:E352,"No"))</f>
        <v/>
      </c>
      <c r="I352">
        <f>IF(H352="","",IF(H352&lt;=128,"address",IF(H352&lt;=600,"data1",IF(H352&lt;=1264,"zero-run1",IF(H352&lt;=1648,"data2",IF(H352&lt;=2176,"zero-run2",IF(H352&lt;=2192,"FCS","trailing")))))))</f>
        <v/>
      </c>
      <c r="J352">
        <f>IFERROR(IF(AND(H352&lt;&gt;"",H352&gt;=129,H352&lt;=2176),INDEX(Fields!$B$2:$B$206,MATCH(H352-129,Fields!$D$2:$D$206,1)),""),"")</f>
        <v/>
      </c>
      <c r="K352">
        <f>IFERROR(IF(AND(H352&lt;&gt;"",H352&gt;=129,H352&lt;=2176),INDEX(Fields!$C$2:$C$206,MATCH(H352-129,Fields!$D$2:$D$206,1)),""),"")</f>
        <v/>
      </c>
      <c r="L352">
        <f>IFERROR(IF(AND(H352&lt;&gt;"",H352&gt;=129,H352&lt;=2176),INDEX(Fields!$J$2:$J$206,MATCH(H352-129,Fields!$D$2:$D$206,1)),""),"")</f>
        <v/>
      </c>
      <c r="M352">
        <f>IFERROR(IF(AND(H352&lt;&gt;"",H352&gt;=129,H352&lt;=2176),INDEX(Fields!$K$2:$K$206,MATCH(H352-129,Fields!$D$2:$D$206,1)),""),"")</f>
        <v/>
      </c>
    </row>
    <row r="353">
      <c r="A353" t="n">
        <v>351</v>
      </c>
      <c r="B353" t="n">
        <v>0</v>
      </c>
      <c r="C353" t="inlineStr">
        <is>
          <t>No</t>
        </is>
      </c>
      <c r="D353">
        <f>IF(AND(B348=1,B349=1,B350=1,B351=1,B352=1),"Yes","")</f>
        <v/>
      </c>
      <c r="E353" t="inlineStr">
        <is>
          <t>No</t>
        </is>
      </c>
      <c r="F353" t="inlineStr">
        <is>
          <t>No</t>
        </is>
      </c>
      <c r="G353">
        <f>IF(F353="Yes",1-B353,B353)</f>
        <v/>
      </c>
      <c r="H353">
        <f>IF(E353="Yes","",COUNTIFS($E$2:E353,"No"))</f>
        <v/>
      </c>
      <c r="I353">
        <f>IF(H353="","",IF(H353&lt;=128,"address",IF(H353&lt;=600,"data1",IF(H353&lt;=1264,"zero-run1",IF(H353&lt;=1648,"data2",IF(H353&lt;=2176,"zero-run2",IF(H353&lt;=2192,"FCS","trailing")))))))</f>
        <v/>
      </c>
      <c r="J353">
        <f>IFERROR(IF(AND(H353&lt;&gt;"",H353&gt;=129,H353&lt;=2176),INDEX(Fields!$B$2:$B$206,MATCH(H353-129,Fields!$D$2:$D$206,1)),""),"")</f>
        <v/>
      </c>
      <c r="K353">
        <f>IFERROR(IF(AND(H353&lt;&gt;"",H353&gt;=129,H353&lt;=2176),INDEX(Fields!$C$2:$C$206,MATCH(H353-129,Fields!$D$2:$D$206,1)),""),"")</f>
        <v/>
      </c>
      <c r="L353">
        <f>IFERROR(IF(AND(H353&lt;&gt;"",H353&gt;=129,H353&lt;=2176),INDEX(Fields!$J$2:$J$206,MATCH(H353-129,Fields!$D$2:$D$206,1)),""),"")</f>
        <v/>
      </c>
      <c r="M353">
        <f>IFERROR(IF(AND(H353&lt;&gt;"",H353&gt;=129,H353&lt;=2176),INDEX(Fields!$K$2:$K$206,MATCH(H353-129,Fields!$D$2:$D$206,1)),""),"")</f>
        <v/>
      </c>
    </row>
    <row r="354">
      <c r="A354" t="n">
        <v>352</v>
      </c>
      <c r="B354" t="n">
        <v>0</v>
      </c>
      <c r="C354" t="inlineStr">
        <is>
          <t>No</t>
        </is>
      </c>
      <c r="D354">
        <f>IF(AND(B349=1,B350=1,B351=1,B352=1,B353=1),"Yes","")</f>
        <v/>
      </c>
      <c r="E354" t="inlineStr">
        <is>
          <t>No</t>
        </is>
      </c>
      <c r="F354" t="inlineStr">
        <is>
          <t>No</t>
        </is>
      </c>
      <c r="G354">
        <f>IF(F354="Yes",1-B354,B354)</f>
        <v/>
      </c>
      <c r="H354">
        <f>IF(E354="Yes","",COUNTIFS($E$2:E354,"No"))</f>
        <v/>
      </c>
      <c r="I354">
        <f>IF(H354="","",IF(H354&lt;=128,"address",IF(H354&lt;=600,"data1",IF(H354&lt;=1264,"zero-run1",IF(H354&lt;=1648,"data2",IF(H354&lt;=2176,"zero-run2",IF(H354&lt;=2192,"FCS","trailing")))))))</f>
        <v/>
      </c>
      <c r="J354">
        <f>IFERROR(IF(AND(H354&lt;&gt;"",H354&gt;=129,H354&lt;=2176),INDEX(Fields!$B$2:$B$206,MATCH(H354-129,Fields!$D$2:$D$206,1)),""),"")</f>
        <v/>
      </c>
      <c r="K354">
        <f>IFERROR(IF(AND(H354&lt;&gt;"",H354&gt;=129,H354&lt;=2176),INDEX(Fields!$C$2:$C$206,MATCH(H354-129,Fields!$D$2:$D$206,1)),""),"")</f>
        <v/>
      </c>
      <c r="L354">
        <f>IFERROR(IF(AND(H354&lt;&gt;"",H354&gt;=129,H354&lt;=2176),INDEX(Fields!$J$2:$J$206,MATCH(H354-129,Fields!$D$2:$D$206,1)),""),"")</f>
        <v/>
      </c>
      <c r="M354">
        <f>IFERROR(IF(AND(H354&lt;&gt;"",H354&gt;=129,H354&lt;=2176),INDEX(Fields!$K$2:$K$206,MATCH(H354-129,Fields!$D$2:$D$206,1)),""),"")</f>
        <v/>
      </c>
    </row>
    <row r="355">
      <c r="A355" t="n">
        <v>353</v>
      </c>
      <c r="B355" t="n">
        <v>0</v>
      </c>
      <c r="C355" t="inlineStr">
        <is>
          <t>No</t>
        </is>
      </c>
      <c r="D355">
        <f>IF(AND(B350=1,B351=1,B352=1,B353=1,B354=1),"Yes","")</f>
        <v/>
      </c>
      <c r="E355" t="inlineStr">
        <is>
          <t>No</t>
        </is>
      </c>
      <c r="F355" t="inlineStr">
        <is>
          <t>No</t>
        </is>
      </c>
      <c r="G355">
        <f>IF(F355="Yes",1-B355,B355)</f>
        <v/>
      </c>
      <c r="H355">
        <f>IF(E355="Yes","",COUNTIFS($E$2:E355,"No"))</f>
        <v/>
      </c>
      <c r="I355">
        <f>IF(H355="","",IF(H355&lt;=128,"address",IF(H355&lt;=600,"data1",IF(H355&lt;=1264,"zero-run1",IF(H355&lt;=1648,"data2",IF(H355&lt;=2176,"zero-run2",IF(H355&lt;=2192,"FCS","trailing")))))))</f>
        <v/>
      </c>
      <c r="J355">
        <f>IFERROR(IF(AND(H355&lt;&gt;"",H355&gt;=129,H355&lt;=2176),INDEX(Fields!$B$2:$B$206,MATCH(H355-129,Fields!$D$2:$D$206,1)),""),"")</f>
        <v/>
      </c>
      <c r="K355">
        <f>IFERROR(IF(AND(H355&lt;&gt;"",H355&gt;=129,H355&lt;=2176),INDEX(Fields!$C$2:$C$206,MATCH(H355-129,Fields!$D$2:$D$206,1)),""),"")</f>
        <v/>
      </c>
      <c r="L355">
        <f>IFERROR(IF(AND(H355&lt;&gt;"",H355&gt;=129,H355&lt;=2176),INDEX(Fields!$J$2:$J$206,MATCH(H355-129,Fields!$D$2:$D$206,1)),""),"")</f>
        <v/>
      </c>
      <c r="M355">
        <f>IFERROR(IF(AND(H355&lt;&gt;"",H355&gt;=129,H355&lt;=2176),INDEX(Fields!$K$2:$K$206,MATCH(H355-129,Fields!$D$2:$D$206,1)),""),"")</f>
        <v/>
      </c>
    </row>
    <row r="356">
      <c r="A356" t="n">
        <v>354</v>
      </c>
      <c r="B356" t="n">
        <v>0</v>
      </c>
      <c r="C356" t="inlineStr">
        <is>
          <t>No</t>
        </is>
      </c>
      <c r="D356">
        <f>IF(AND(B351=1,B352=1,B353=1,B354=1,B355=1),"Yes","")</f>
        <v/>
      </c>
      <c r="E356" t="inlineStr">
        <is>
          <t>No</t>
        </is>
      </c>
      <c r="F356" t="inlineStr">
        <is>
          <t>No</t>
        </is>
      </c>
      <c r="G356">
        <f>IF(F356="Yes",1-B356,B356)</f>
        <v/>
      </c>
      <c r="H356">
        <f>IF(E356="Yes","",COUNTIFS($E$2:E356,"No"))</f>
        <v/>
      </c>
      <c r="I356">
        <f>IF(H356="","",IF(H356&lt;=128,"address",IF(H356&lt;=600,"data1",IF(H356&lt;=1264,"zero-run1",IF(H356&lt;=1648,"data2",IF(H356&lt;=2176,"zero-run2",IF(H356&lt;=2192,"FCS","trailing")))))))</f>
        <v/>
      </c>
      <c r="J356">
        <f>IFERROR(IF(AND(H356&lt;&gt;"",H356&gt;=129,H356&lt;=2176),INDEX(Fields!$B$2:$B$206,MATCH(H356-129,Fields!$D$2:$D$206,1)),""),"")</f>
        <v/>
      </c>
      <c r="K356">
        <f>IFERROR(IF(AND(H356&lt;&gt;"",H356&gt;=129,H356&lt;=2176),INDEX(Fields!$C$2:$C$206,MATCH(H356-129,Fields!$D$2:$D$206,1)),""),"")</f>
        <v/>
      </c>
      <c r="L356">
        <f>IFERROR(IF(AND(H356&lt;&gt;"",H356&gt;=129,H356&lt;=2176),INDEX(Fields!$J$2:$J$206,MATCH(H356-129,Fields!$D$2:$D$206,1)),""),"")</f>
        <v/>
      </c>
      <c r="M356">
        <f>IFERROR(IF(AND(H356&lt;&gt;"",H356&gt;=129,H356&lt;=2176),INDEX(Fields!$K$2:$K$206,MATCH(H356-129,Fields!$D$2:$D$206,1)),""),"")</f>
        <v/>
      </c>
    </row>
    <row r="357">
      <c r="A357" t="n">
        <v>355</v>
      </c>
      <c r="B357" t="n">
        <v>0</v>
      </c>
      <c r="C357" t="inlineStr">
        <is>
          <t>No</t>
        </is>
      </c>
      <c r="D357">
        <f>IF(AND(B352=1,B353=1,B354=1,B355=1,B356=1),"Yes","")</f>
        <v/>
      </c>
      <c r="E357" t="inlineStr">
        <is>
          <t>No</t>
        </is>
      </c>
      <c r="F357" t="inlineStr">
        <is>
          <t>No</t>
        </is>
      </c>
      <c r="G357">
        <f>IF(F357="Yes",1-B357,B357)</f>
        <v/>
      </c>
      <c r="H357">
        <f>IF(E357="Yes","",COUNTIFS($E$2:E357,"No"))</f>
        <v/>
      </c>
      <c r="I357">
        <f>IF(H357="","",IF(H357&lt;=128,"address",IF(H357&lt;=600,"data1",IF(H357&lt;=1264,"zero-run1",IF(H357&lt;=1648,"data2",IF(H357&lt;=2176,"zero-run2",IF(H357&lt;=2192,"FCS","trailing")))))))</f>
        <v/>
      </c>
      <c r="J357">
        <f>IFERROR(IF(AND(H357&lt;&gt;"",H357&gt;=129,H357&lt;=2176),INDEX(Fields!$B$2:$B$206,MATCH(H357-129,Fields!$D$2:$D$206,1)),""),"")</f>
        <v/>
      </c>
      <c r="K357">
        <f>IFERROR(IF(AND(H357&lt;&gt;"",H357&gt;=129,H357&lt;=2176),INDEX(Fields!$C$2:$C$206,MATCH(H357-129,Fields!$D$2:$D$206,1)),""),"")</f>
        <v/>
      </c>
      <c r="L357">
        <f>IFERROR(IF(AND(H357&lt;&gt;"",H357&gt;=129,H357&lt;=2176),INDEX(Fields!$J$2:$J$206,MATCH(H357-129,Fields!$D$2:$D$206,1)),""),"")</f>
        <v/>
      </c>
      <c r="M357">
        <f>IFERROR(IF(AND(H357&lt;&gt;"",H357&gt;=129,H357&lt;=2176),INDEX(Fields!$K$2:$K$206,MATCH(H357-129,Fields!$D$2:$D$206,1)),""),"")</f>
        <v/>
      </c>
    </row>
    <row r="358">
      <c r="A358" t="n">
        <v>356</v>
      </c>
      <c r="B358" t="n">
        <v>0</v>
      </c>
      <c r="C358" t="inlineStr">
        <is>
          <t>No</t>
        </is>
      </c>
      <c r="D358">
        <f>IF(AND(B353=1,B354=1,B355=1,B356=1,B357=1),"Yes","")</f>
        <v/>
      </c>
      <c r="E358" t="inlineStr">
        <is>
          <t>No</t>
        </is>
      </c>
      <c r="F358" t="inlineStr">
        <is>
          <t>No</t>
        </is>
      </c>
      <c r="G358">
        <f>IF(F358="Yes",1-B358,B358)</f>
        <v/>
      </c>
      <c r="H358">
        <f>IF(E358="Yes","",COUNTIFS($E$2:E358,"No"))</f>
        <v/>
      </c>
      <c r="I358">
        <f>IF(H358="","",IF(H358&lt;=128,"address",IF(H358&lt;=600,"data1",IF(H358&lt;=1264,"zero-run1",IF(H358&lt;=1648,"data2",IF(H358&lt;=2176,"zero-run2",IF(H358&lt;=2192,"FCS","trailing")))))))</f>
        <v/>
      </c>
      <c r="J358">
        <f>IFERROR(IF(AND(H358&lt;&gt;"",H358&gt;=129,H358&lt;=2176),INDEX(Fields!$B$2:$B$206,MATCH(H358-129,Fields!$D$2:$D$206,1)),""),"")</f>
        <v/>
      </c>
      <c r="K358">
        <f>IFERROR(IF(AND(H358&lt;&gt;"",H358&gt;=129,H358&lt;=2176),INDEX(Fields!$C$2:$C$206,MATCH(H358-129,Fields!$D$2:$D$206,1)),""),"")</f>
        <v/>
      </c>
      <c r="L358">
        <f>IFERROR(IF(AND(H358&lt;&gt;"",H358&gt;=129,H358&lt;=2176),INDEX(Fields!$J$2:$J$206,MATCH(H358-129,Fields!$D$2:$D$206,1)),""),"")</f>
        <v/>
      </c>
      <c r="M358">
        <f>IFERROR(IF(AND(H358&lt;&gt;"",H358&gt;=129,H358&lt;=2176),INDEX(Fields!$K$2:$K$206,MATCH(H358-129,Fields!$D$2:$D$206,1)),""),"")</f>
        <v/>
      </c>
    </row>
    <row r="359">
      <c r="A359" t="n">
        <v>357</v>
      </c>
      <c r="B359" t="n">
        <v>0</v>
      </c>
      <c r="C359" t="inlineStr">
        <is>
          <t>No</t>
        </is>
      </c>
      <c r="D359">
        <f>IF(AND(B354=1,B355=1,B356=1,B357=1,B358=1),"Yes","")</f>
        <v/>
      </c>
      <c r="E359" t="inlineStr">
        <is>
          <t>No</t>
        </is>
      </c>
      <c r="F359" t="inlineStr">
        <is>
          <t>No</t>
        </is>
      </c>
      <c r="G359">
        <f>IF(F359="Yes",1-B359,B359)</f>
        <v/>
      </c>
      <c r="H359">
        <f>IF(E359="Yes","",COUNTIFS($E$2:E359,"No"))</f>
        <v/>
      </c>
      <c r="I359">
        <f>IF(H359="","",IF(H359&lt;=128,"address",IF(H359&lt;=600,"data1",IF(H359&lt;=1264,"zero-run1",IF(H359&lt;=1648,"data2",IF(H359&lt;=2176,"zero-run2",IF(H359&lt;=2192,"FCS","trailing")))))))</f>
        <v/>
      </c>
      <c r="J359">
        <f>IFERROR(IF(AND(H359&lt;&gt;"",H359&gt;=129,H359&lt;=2176),INDEX(Fields!$B$2:$B$206,MATCH(H359-129,Fields!$D$2:$D$206,1)),""),"")</f>
        <v/>
      </c>
      <c r="K359">
        <f>IFERROR(IF(AND(H359&lt;&gt;"",H359&gt;=129,H359&lt;=2176),INDEX(Fields!$C$2:$C$206,MATCH(H359-129,Fields!$D$2:$D$206,1)),""),"")</f>
        <v/>
      </c>
      <c r="L359">
        <f>IFERROR(IF(AND(H359&lt;&gt;"",H359&gt;=129,H359&lt;=2176),INDEX(Fields!$J$2:$J$206,MATCH(H359-129,Fields!$D$2:$D$206,1)),""),"")</f>
        <v/>
      </c>
      <c r="M359">
        <f>IFERROR(IF(AND(H359&lt;&gt;"",H359&gt;=129,H359&lt;=2176),INDEX(Fields!$K$2:$K$206,MATCH(H359-129,Fields!$D$2:$D$206,1)),""),"")</f>
        <v/>
      </c>
    </row>
    <row r="360">
      <c r="A360" t="n">
        <v>358</v>
      </c>
      <c r="B360" t="n">
        <v>0</v>
      </c>
      <c r="C360" t="inlineStr">
        <is>
          <t>No</t>
        </is>
      </c>
      <c r="D360">
        <f>IF(AND(B355=1,B356=1,B357=1,B358=1,B359=1),"Yes","")</f>
        <v/>
      </c>
      <c r="E360" t="inlineStr">
        <is>
          <t>No</t>
        </is>
      </c>
      <c r="F360" t="inlineStr">
        <is>
          <t>No</t>
        </is>
      </c>
      <c r="G360">
        <f>IF(F360="Yes",1-B360,B360)</f>
        <v/>
      </c>
      <c r="H360">
        <f>IF(E360="Yes","",COUNTIFS($E$2:E360,"No"))</f>
        <v/>
      </c>
      <c r="I360">
        <f>IF(H360="","",IF(H360&lt;=128,"address",IF(H360&lt;=600,"data1",IF(H360&lt;=1264,"zero-run1",IF(H360&lt;=1648,"data2",IF(H360&lt;=2176,"zero-run2",IF(H360&lt;=2192,"FCS","trailing")))))))</f>
        <v/>
      </c>
      <c r="J360">
        <f>IFERROR(IF(AND(H360&lt;&gt;"",H360&gt;=129,H360&lt;=2176),INDEX(Fields!$B$2:$B$206,MATCH(H360-129,Fields!$D$2:$D$206,1)),""),"")</f>
        <v/>
      </c>
      <c r="K360">
        <f>IFERROR(IF(AND(H360&lt;&gt;"",H360&gt;=129,H360&lt;=2176),INDEX(Fields!$C$2:$C$206,MATCH(H360-129,Fields!$D$2:$D$206,1)),""),"")</f>
        <v/>
      </c>
      <c r="L360">
        <f>IFERROR(IF(AND(H360&lt;&gt;"",H360&gt;=129,H360&lt;=2176),INDEX(Fields!$J$2:$J$206,MATCH(H360-129,Fields!$D$2:$D$206,1)),""),"")</f>
        <v/>
      </c>
      <c r="M360">
        <f>IFERROR(IF(AND(H360&lt;&gt;"",H360&gt;=129,H360&lt;=2176),INDEX(Fields!$K$2:$K$206,MATCH(H360-129,Fields!$D$2:$D$206,1)),""),"")</f>
        <v/>
      </c>
    </row>
    <row r="361">
      <c r="A361" t="n">
        <v>359</v>
      </c>
      <c r="B361" t="n">
        <v>0</v>
      </c>
      <c r="C361" t="inlineStr">
        <is>
          <t>No</t>
        </is>
      </c>
      <c r="D361">
        <f>IF(AND(B356=1,B357=1,B358=1,B359=1,B360=1),"Yes","")</f>
        <v/>
      </c>
      <c r="E361" t="inlineStr">
        <is>
          <t>No</t>
        </is>
      </c>
      <c r="F361" t="inlineStr">
        <is>
          <t>No</t>
        </is>
      </c>
      <c r="G361">
        <f>IF(F361="Yes",1-B361,B361)</f>
        <v/>
      </c>
      <c r="H361">
        <f>IF(E361="Yes","",COUNTIFS($E$2:E361,"No"))</f>
        <v/>
      </c>
      <c r="I361">
        <f>IF(H361="","",IF(H361&lt;=128,"address",IF(H361&lt;=600,"data1",IF(H361&lt;=1264,"zero-run1",IF(H361&lt;=1648,"data2",IF(H361&lt;=2176,"zero-run2",IF(H361&lt;=2192,"FCS","trailing")))))))</f>
        <v/>
      </c>
      <c r="J361">
        <f>IFERROR(IF(AND(H361&lt;&gt;"",H361&gt;=129,H361&lt;=2176),INDEX(Fields!$B$2:$B$206,MATCH(H361-129,Fields!$D$2:$D$206,1)),""),"")</f>
        <v/>
      </c>
      <c r="K361">
        <f>IFERROR(IF(AND(H361&lt;&gt;"",H361&gt;=129,H361&lt;=2176),INDEX(Fields!$C$2:$C$206,MATCH(H361-129,Fields!$D$2:$D$206,1)),""),"")</f>
        <v/>
      </c>
      <c r="L361">
        <f>IFERROR(IF(AND(H361&lt;&gt;"",H361&gt;=129,H361&lt;=2176),INDEX(Fields!$J$2:$J$206,MATCH(H361-129,Fields!$D$2:$D$206,1)),""),"")</f>
        <v/>
      </c>
      <c r="M361">
        <f>IFERROR(IF(AND(H361&lt;&gt;"",H361&gt;=129,H361&lt;=2176),INDEX(Fields!$K$2:$K$206,MATCH(H361-129,Fields!$D$2:$D$206,1)),""),"")</f>
        <v/>
      </c>
    </row>
    <row r="362">
      <c r="A362" t="n">
        <v>360</v>
      </c>
      <c r="B362" t="n">
        <v>0</v>
      </c>
      <c r="C362" t="inlineStr">
        <is>
          <t>No</t>
        </is>
      </c>
      <c r="D362">
        <f>IF(AND(B357=1,B358=1,B359=1,B360=1,B361=1),"Yes","")</f>
        <v/>
      </c>
      <c r="E362" t="inlineStr">
        <is>
          <t>No</t>
        </is>
      </c>
      <c r="F362" t="inlineStr">
        <is>
          <t>No</t>
        </is>
      </c>
      <c r="G362">
        <f>IF(F362="Yes",1-B362,B362)</f>
        <v/>
      </c>
      <c r="H362">
        <f>IF(E362="Yes","",COUNTIFS($E$2:E362,"No"))</f>
        <v/>
      </c>
      <c r="I362">
        <f>IF(H362="","",IF(H362&lt;=128,"address",IF(H362&lt;=600,"data1",IF(H362&lt;=1264,"zero-run1",IF(H362&lt;=1648,"data2",IF(H362&lt;=2176,"zero-run2",IF(H362&lt;=2192,"FCS","trailing")))))))</f>
        <v/>
      </c>
      <c r="J362">
        <f>IFERROR(IF(AND(H362&lt;&gt;"",H362&gt;=129,H362&lt;=2176),INDEX(Fields!$B$2:$B$206,MATCH(H362-129,Fields!$D$2:$D$206,1)),""),"")</f>
        <v/>
      </c>
      <c r="K362">
        <f>IFERROR(IF(AND(H362&lt;&gt;"",H362&gt;=129,H362&lt;=2176),INDEX(Fields!$C$2:$C$206,MATCH(H362-129,Fields!$D$2:$D$206,1)),""),"")</f>
        <v/>
      </c>
      <c r="L362">
        <f>IFERROR(IF(AND(H362&lt;&gt;"",H362&gt;=129,H362&lt;=2176),INDEX(Fields!$J$2:$J$206,MATCH(H362-129,Fields!$D$2:$D$206,1)),""),"")</f>
        <v/>
      </c>
      <c r="M362">
        <f>IFERROR(IF(AND(H362&lt;&gt;"",H362&gt;=129,H362&lt;=2176),INDEX(Fields!$K$2:$K$206,MATCH(H362-129,Fields!$D$2:$D$206,1)),""),"")</f>
        <v/>
      </c>
    </row>
    <row r="363">
      <c r="A363" t="n">
        <v>361</v>
      </c>
      <c r="B363" t="n">
        <v>0</v>
      </c>
      <c r="C363" t="inlineStr">
        <is>
          <t>No</t>
        </is>
      </c>
      <c r="D363">
        <f>IF(AND(B358=1,B359=1,B360=1,B361=1,B362=1),"Yes","")</f>
        <v/>
      </c>
      <c r="E363" t="inlineStr">
        <is>
          <t>No</t>
        </is>
      </c>
      <c r="F363" t="inlineStr">
        <is>
          <t>No</t>
        </is>
      </c>
      <c r="G363">
        <f>IF(F363="Yes",1-B363,B363)</f>
        <v/>
      </c>
      <c r="H363">
        <f>IF(E363="Yes","",COUNTIFS($E$2:E363,"No"))</f>
        <v/>
      </c>
      <c r="I363">
        <f>IF(H363="","",IF(H363&lt;=128,"address",IF(H363&lt;=600,"data1",IF(H363&lt;=1264,"zero-run1",IF(H363&lt;=1648,"data2",IF(H363&lt;=2176,"zero-run2",IF(H363&lt;=2192,"FCS","trailing")))))))</f>
        <v/>
      </c>
      <c r="J363">
        <f>IFERROR(IF(AND(H363&lt;&gt;"",H363&gt;=129,H363&lt;=2176),INDEX(Fields!$B$2:$B$206,MATCH(H363-129,Fields!$D$2:$D$206,1)),""),"")</f>
        <v/>
      </c>
      <c r="K363">
        <f>IFERROR(IF(AND(H363&lt;&gt;"",H363&gt;=129,H363&lt;=2176),INDEX(Fields!$C$2:$C$206,MATCH(H363-129,Fields!$D$2:$D$206,1)),""),"")</f>
        <v/>
      </c>
      <c r="L363">
        <f>IFERROR(IF(AND(H363&lt;&gt;"",H363&gt;=129,H363&lt;=2176),INDEX(Fields!$J$2:$J$206,MATCH(H363-129,Fields!$D$2:$D$206,1)),""),"")</f>
        <v/>
      </c>
      <c r="M363">
        <f>IFERROR(IF(AND(H363&lt;&gt;"",H363&gt;=129,H363&lt;=2176),INDEX(Fields!$K$2:$K$206,MATCH(H363-129,Fields!$D$2:$D$206,1)),""),"")</f>
        <v/>
      </c>
    </row>
    <row r="364">
      <c r="A364" t="n">
        <v>362</v>
      </c>
      <c r="B364" t="n">
        <v>0</v>
      </c>
      <c r="C364" t="inlineStr">
        <is>
          <t>No</t>
        </is>
      </c>
      <c r="D364">
        <f>IF(AND(B359=1,B360=1,B361=1,B362=1,B363=1),"Yes","")</f>
        <v/>
      </c>
      <c r="E364" t="inlineStr">
        <is>
          <t>No</t>
        </is>
      </c>
      <c r="F364" t="inlineStr">
        <is>
          <t>No</t>
        </is>
      </c>
      <c r="G364">
        <f>IF(F364="Yes",1-B364,B364)</f>
        <v/>
      </c>
      <c r="H364">
        <f>IF(E364="Yes","",COUNTIFS($E$2:E364,"No"))</f>
        <v/>
      </c>
      <c r="I364">
        <f>IF(H364="","",IF(H364&lt;=128,"address",IF(H364&lt;=600,"data1",IF(H364&lt;=1264,"zero-run1",IF(H364&lt;=1648,"data2",IF(H364&lt;=2176,"zero-run2",IF(H364&lt;=2192,"FCS","trailing")))))))</f>
        <v/>
      </c>
      <c r="J364">
        <f>IFERROR(IF(AND(H364&lt;&gt;"",H364&gt;=129,H364&lt;=2176),INDEX(Fields!$B$2:$B$206,MATCH(H364-129,Fields!$D$2:$D$206,1)),""),"")</f>
        <v/>
      </c>
      <c r="K364">
        <f>IFERROR(IF(AND(H364&lt;&gt;"",H364&gt;=129,H364&lt;=2176),INDEX(Fields!$C$2:$C$206,MATCH(H364-129,Fields!$D$2:$D$206,1)),""),"")</f>
        <v/>
      </c>
      <c r="L364">
        <f>IFERROR(IF(AND(H364&lt;&gt;"",H364&gt;=129,H364&lt;=2176),INDEX(Fields!$J$2:$J$206,MATCH(H364-129,Fields!$D$2:$D$206,1)),""),"")</f>
        <v/>
      </c>
      <c r="M364">
        <f>IFERROR(IF(AND(H364&lt;&gt;"",H364&gt;=129,H364&lt;=2176),INDEX(Fields!$K$2:$K$206,MATCH(H364-129,Fields!$D$2:$D$206,1)),""),"")</f>
        <v/>
      </c>
    </row>
    <row r="365">
      <c r="A365" t="n">
        <v>363</v>
      </c>
      <c r="B365" t="n">
        <v>1</v>
      </c>
      <c r="C365" t="inlineStr">
        <is>
          <t>No</t>
        </is>
      </c>
      <c r="D365">
        <f>IF(AND(B360=1,B361=1,B362=1,B363=1,B364=1),"Yes","")</f>
        <v/>
      </c>
      <c r="E365" t="inlineStr">
        <is>
          <t>No</t>
        </is>
      </c>
      <c r="F365" t="inlineStr">
        <is>
          <t>No</t>
        </is>
      </c>
      <c r="G365">
        <f>IF(F365="Yes",1-B365,B365)</f>
        <v/>
      </c>
      <c r="H365">
        <f>IF(E365="Yes","",COUNTIFS($E$2:E365,"No"))</f>
        <v/>
      </c>
      <c r="I365">
        <f>IF(H365="","",IF(H365&lt;=128,"address",IF(H365&lt;=600,"data1",IF(H365&lt;=1264,"zero-run1",IF(H365&lt;=1648,"data2",IF(H365&lt;=2176,"zero-run2",IF(H365&lt;=2192,"FCS","trailing")))))))</f>
        <v/>
      </c>
      <c r="J365">
        <f>IFERROR(IF(AND(H365&lt;&gt;"",H365&gt;=129,H365&lt;=2176),INDEX(Fields!$B$2:$B$206,MATCH(H365-129,Fields!$D$2:$D$206,1)),""),"")</f>
        <v/>
      </c>
      <c r="K365">
        <f>IFERROR(IF(AND(H365&lt;&gt;"",H365&gt;=129,H365&lt;=2176),INDEX(Fields!$C$2:$C$206,MATCH(H365-129,Fields!$D$2:$D$206,1)),""),"")</f>
        <v/>
      </c>
      <c r="L365">
        <f>IFERROR(IF(AND(H365&lt;&gt;"",H365&gt;=129,H365&lt;=2176),INDEX(Fields!$J$2:$J$206,MATCH(H365-129,Fields!$D$2:$D$206,1)),""),"")</f>
        <v/>
      </c>
      <c r="M365">
        <f>IFERROR(IF(AND(H365&lt;&gt;"",H365&gt;=129,H365&lt;=2176),INDEX(Fields!$K$2:$K$206,MATCH(H365-129,Fields!$D$2:$D$206,1)),""),"")</f>
        <v/>
      </c>
    </row>
    <row r="366">
      <c r="A366" t="n">
        <v>364</v>
      </c>
      <c r="B366" t="n">
        <v>0</v>
      </c>
      <c r="C366" t="inlineStr">
        <is>
          <t>No</t>
        </is>
      </c>
      <c r="D366">
        <f>IF(AND(B361=1,B362=1,B363=1,B364=1,B365=1),"Yes","")</f>
        <v/>
      </c>
      <c r="E366" t="inlineStr">
        <is>
          <t>No</t>
        </is>
      </c>
      <c r="F366" t="inlineStr">
        <is>
          <t>No</t>
        </is>
      </c>
      <c r="G366">
        <f>IF(F366="Yes",1-B366,B366)</f>
        <v/>
      </c>
      <c r="H366">
        <f>IF(E366="Yes","",COUNTIFS($E$2:E366,"No"))</f>
        <v/>
      </c>
      <c r="I366">
        <f>IF(H366="","",IF(H366&lt;=128,"address",IF(H366&lt;=600,"data1",IF(H366&lt;=1264,"zero-run1",IF(H366&lt;=1648,"data2",IF(H366&lt;=2176,"zero-run2",IF(H366&lt;=2192,"FCS","trailing")))))))</f>
        <v/>
      </c>
      <c r="J366">
        <f>IFERROR(IF(AND(H366&lt;&gt;"",H366&gt;=129,H366&lt;=2176),INDEX(Fields!$B$2:$B$206,MATCH(H366-129,Fields!$D$2:$D$206,1)),""),"")</f>
        <v/>
      </c>
      <c r="K366">
        <f>IFERROR(IF(AND(H366&lt;&gt;"",H366&gt;=129,H366&lt;=2176),INDEX(Fields!$C$2:$C$206,MATCH(H366-129,Fields!$D$2:$D$206,1)),""),"")</f>
        <v/>
      </c>
      <c r="L366">
        <f>IFERROR(IF(AND(H366&lt;&gt;"",H366&gt;=129,H366&lt;=2176),INDEX(Fields!$J$2:$J$206,MATCH(H366-129,Fields!$D$2:$D$206,1)),""),"")</f>
        <v/>
      </c>
      <c r="M366">
        <f>IFERROR(IF(AND(H366&lt;&gt;"",H366&gt;=129,H366&lt;=2176),INDEX(Fields!$K$2:$K$206,MATCH(H366-129,Fields!$D$2:$D$206,1)),""),"")</f>
        <v/>
      </c>
    </row>
    <row r="367">
      <c r="A367" t="n">
        <v>365</v>
      </c>
      <c r="B367" t="n">
        <v>0</v>
      </c>
      <c r="C367" t="inlineStr">
        <is>
          <t>No</t>
        </is>
      </c>
      <c r="D367">
        <f>IF(AND(B362=1,B363=1,B364=1,B365=1,B366=1),"Yes","")</f>
        <v/>
      </c>
      <c r="E367" t="inlineStr">
        <is>
          <t>No</t>
        </is>
      </c>
      <c r="F367" t="inlineStr">
        <is>
          <t>No</t>
        </is>
      </c>
      <c r="G367">
        <f>IF(F367="Yes",1-B367,B367)</f>
        <v/>
      </c>
      <c r="H367">
        <f>IF(E367="Yes","",COUNTIFS($E$2:E367,"No"))</f>
        <v/>
      </c>
      <c r="I367">
        <f>IF(H367="","",IF(H367&lt;=128,"address",IF(H367&lt;=600,"data1",IF(H367&lt;=1264,"zero-run1",IF(H367&lt;=1648,"data2",IF(H367&lt;=2176,"zero-run2",IF(H367&lt;=2192,"FCS","trailing")))))))</f>
        <v/>
      </c>
      <c r="J367">
        <f>IFERROR(IF(AND(H367&lt;&gt;"",H367&gt;=129,H367&lt;=2176),INDEX(Fields!$B$2:$B$206,MATCH(H367-129,Fields!$D$2:$D$206,1)),""),"")</f>
        <v/>
      </c>
      <c r="K367">
        <f>IFERROR(IF(AND(H367&lt;&gt;"",H367&gt;=129,H367&lt;=2176),INDEX(Fields!$C$2:$C$206,MATCH(H367-129,Fields!$D$2:$D$206,1)),""),"")</f>
        <v/>
      </c>
      <c r="L367">
        <f>IFERROR(IF(AND(H367&lt;&gt;"",H367&gt;=129,H367&lt;=2176),INDEX(Fields!$J$2:$J$206,MATCH(H367-129,Fields!$D$2:$D$206,1)),""),"")</f>
        <v/>
      </c>
      <c r="M367">
        <f>IFERROR(IF(AND(H367&lt;&gt;"",H367&gt;=129,H367&lt;=2176),INDEX(Fields!$K$2:$K$206,MATCH(H367-129,Fields!$D$2:$D$206,1)),""),"")</f>
        <v/>
      </c>
    </row>
    <row r="368">
      <c r="A368" t="n">
        <v>366</v>
      </c>
      <c r="B368" t="n">
        <v>0</v>
      </c>
      <c r="C368" t="inlineStr">
        <is>
          <t>No</t>
        </is>
      </c>
      <c r="D368">
        <f>IF(AND(B363=1,B364=1,B365=1,B366=1,B367=1),"Yes","")</f>
        <v/>
      </c>
      <c r="E368" t="inlineStr">
        <is>
          <t>No</t>
        </is>
      </c>
      <c r="F368" t="inlineStr">
        <is>
          <t>No</t>
        </is>
      </c>
      <c r="G368">
        <f>IF(F368="Yes",1-B368,B368)</f>
        <v/>
      </c>
      <c r="H368">
        <f>IF(E368="Yes","",COUNTIFS($E$2:E368,"No"))</f>
        <v/>
      </c>
      <c r="I368">
        <f>IF(H368="","",IF(H368&lt;=128,"address",IF(H368&lt;=600,"data1",IF(H368&lt;=1264,"zero-run1",IF(H368&lt;=1648,"data2",IF(H368&lt;=2176,"zero-run2",IF(H368&lt;=2192,"FCS","trailing")))))))</f>
        <v/>
      </c>
      <c r="J368">
        <f>IFERROR(IF(AND(H368&lt;&gt;"",H368&gt;=129,H368&lt;=2176),INDEX(Fields!$B$2:$B$206,MATCH(H368-129,Fields!$D$2:$D$206,1)),""),"")</f>
        <v/>
      </c>
      <c r="K368">
        <f>IFERROR(IF(AND(H368&lt;&gt;"",H368&gt;=129,H368&lt;=2176),INDEX(Fields!$C$2:$C$206,MATCH(H368-129,Fields!$D$2:$D$206,1)),""),"")</f>
        <v/>
      </c>
      <c r="L368">
        <f>IFERROR(IF(AND(H368&lt;&gt;"",H368&gt;=129,H368&lt;=2176),INDEX(Fields!$J$2:$J$206,MATCH(H368-129,Fields!$D$2:$D$206,1)),""),"")</f>
        <v/>
      </c>
      <c r="M368">
        <f>IFERROR(IF(AND(H368&lt;&gt;"",H368&gt;=129,H368&lt;=2176),INDEX(Fields!$K$2:$K$206,MATCH(H368-129,Fields!$D$2:$D$206,1)),""),"")</f>
        <v/>
      </c>
    </row>
    <row r="369">
      <c r="A369" t="n">
        <v>367</v>
      </c>
      <c r="B369" t="n">
        <v>0</v>
      </c>
      <c r="C369" t="inlineStr">
        <is>
          <t>No</t>
        </is>
      </c>
      <c r="D369">
        <f>IF(AND(B364=1,B365=1,B366=1,B367=1,B368=1),"Yes","")</f>
        <v/>
      </c>
      <c r="E369" t="inlineStr">
        <is>
          <t>No</t>
        </is>
      </c>
      <c r="F369" t="inlineStr">
        <is>
          <t>No</t>
        </is>
      </c>
      <c r="G369">
        <f>IF(F369="Yes",1-B369,B369)</f>
        <v/>
      </c>
      <c r="H369">
        <f>IF(E369="Yes","",COUNTIFS($E$2:E369,"No"))</f>
        <v/>
      </c>
      <c r="I369">
        <f>IF(H369="","",IF(H369&lt;=128,"address",IF(H369&lt;=600,"data1",IF(H369&lt;=1264,"zero-run1",IF(H369&lt;=1648,"data2",IF(H369&lt;=2176,"zero-run2",IF(H369&lt;=2192,"FCS","trailing")))))))</f>
        <v/>
      </c>
      <c r="J369">
        <f>IFERROR(IF(AND(H369&lt;&gt;"",H369&gt;=129,H369&lt;=2176),INDEX(Fields!$B$2:$B$206,MATCH(H369-129,Fields!$D$2:$D$206,1)),""),"")</f>
        <v/>
      </c>
      <c r="K369">
        <f>IFERROR(IF(AND(H369&lt;&gt;"",H369&gt;=129,H369&lt;=2176),INDEX(Fields!$C$2:$C$206,MATCH(H369-129,Fields!$D$2:$D$206,1)),""),"")</f>
        <v/>
      </c>
      <c r="L369">
        <f>IFERROR(IF(AND(H369&lt;&gt;"",H369&gt;=129,H369&lt;=2176),INDEX(Fields!$J$2:$J$206,MATCH(H369-129,Fields!$D$2:$D$206,1)),""),"")</f>
        <v/>
      </c>
      <c r="M369">
        <f>IFERROR(IF(AND(H369&lt;&gt;"",H369&gt;=129,H369&lt;=2176),INDEX(Fields!$K$2:$K$206,MATCH(H369-129,Fields!$D$2:$D$206,1)),""),"")</f>
        <v/>
      </c>
    </row>
    <row r="370">
      <c r="A370" t="n">
        <v>368</v>
      </c>
      <c r="B370" t="n">
        <v>0</v>
      </c>
      <c r="C370" t="inlineStr">
        <is>
          <t>No</t>
        </is>
      </c>
      <c r="D370">
        <f>IF(AND(B365=1,B366=1,B367=1,B368=1,B369=1),"Yes","")</f>
        <v/>
      </c>
      <c r="E370" t="inlineStr">
        <is>
          <t>No</t>
        </is>
      </c>
      <c r="F370" t="inlineStr">
        <is>
          <t>No</t>
        </is>
      </c>
      <c r="G370">
        <f>IF(F370="Yes",1-B370,B370)</f>
        <v/>
      </c>
      <c r="H370">
        <f>IF(E370="Yes","",COUNTIFS($E$2:E370,"No"))</f>
        <v/>
      </c>
      <c r="I370">
        <f>IF(H370="","",IF(H370&lt;=128,"address",IF(H370&lt;=600,"data1",IF(H370&lt;=1264,"zero-run1",IF(H370&lt;=1648,"data2",IF(H370&lt;=2176,"zero-run2",IF(H370&lt;=2192,"FCS","trailing")))))))</f>
        <v/>
      </c>
      <c r="J370">
        <f>IFERROR(IF(AND(H370&lt;&gt;"",H370&gt;=129,H370&lt;=2176),INDEX(Fields!$B$2:$B$206,MATCH(H370-129,Fields!$D$2:$D$206,1)),""),"")</f>
        <v/>
      </c>
      <c r="K370">
        <f>IFERROR(IF(AND(H370&lt;&gt;"",H370&gt;=129,H370&lt;=2176),INDEX(Fields!$C$2:$C$206,MATCH(H370-129,Fields!$D$2:$D$206,1)),""),"")</f>
        <v/>
      </c>
      <c r="L370">
        <f>IFERROR(IF(AND(H370&lt;&gt;"",H370&gt;=129,H370&lt;=2176),INDEX(Fields!$J$2:$J$206,MATCH(H370-129,Fields!$D$2:$D$206,1)),""),"")</f>
        <v/>
      </c>
      <c r="M370">
        <f>IFERROR(IF(AND(H370&lt;&gt;"",H370&gt;=129,H370&lt;=2176),INDEX(Fields!$K$2:$K$206,MATCH(H370-129,Fields!$D$2:$D$206,1)),""),"")</f>
        <v/>
      </c>
    </row>
    <row r="371">
      <c r="A371" t="n">
        <v>369</v>
      </c>
      <c r="B371" t="n">
        <v>0</v>
      </c>
      <c r="C371" t="inlineStr">
        <is>
          <t>No</t>
        </is>
      </c>
      <c r="D371">
        <f>IF(AND(B366=1,B367=1,B368=1,B369=1,B370=1),"Yes","")</f>
        <v/>
      </c>
      <c r="E371" t="inlineStr">
        <is>
          <t>No</t>
        </is>
      </c>
      <c r="F371" t="inlineStr">
        <is>
          <t>No</t>
        </is>
      </c>
      <c r="G371">
        <f>IF(F371="Yes",1-B371,B371)</f>
        <v/>
      </c>
      <c r="H371">
        <f>IF(E371="Yes","",COUNTIFS($E$2:E371,"No"))</f>
        <v/>
      </c>
      <c r="I371">
        <f>IF(H371="","",IF(H371&lt;=128,"address",IF(H371&lt;=600,"data1",IF(H371&lt;=1264,"zero-run1",IF(H371&lt;=1648,"data2",IF(H371&lt;=2176,"zero-run2",IF(H371&lt;=2192,"FCS","trailing")))))))</f>
        <v/>
      </c>
      <c r="J371">
        <f>IFERROR(IF(AND(H371&lt;&gt;"",H371&gt;=129,H371&lt;=2176),INDEX(Fields!$B$2:$B$206,MATCH(H371-129,Fields!$D$2:$D$206,1)),""),"")</f>
        <v/>
      </c>
      <c r="K371">
        <f>IFERROR(IF(AND(H371&lt;&gt;"",H371&gt;=129,H371&lt;=2176),INDEX(Fields!$C$2:$C$206,MATCH(H371-129,Fields!$D$2:$D$206,1)),""),"")</f>
        <v/>
      </c>
      <c r="L371">
        <f>IFERROR(IF(AND(H371&lt;&gt;"",H371&gt;=129,H371&lt;=2176),INDEX(Fields!$J$2:$J$206,MATCH(H371-129,Fields!$D$2:$D$206,1)),""),"")</f>
        <v/>
      </c>
      <c r="M371">
        <f>IFERROR(IF(AND(H371&lt;&gt;"",H371&gt;=129,H371&lt;=2176),INDEX(Fields!$K$2:$K$206,MATCH(H371-129,Fields!$D$2:$D$206,1)),""),"")</f>
        <v/>
      </c>
    </row>
    <row r="372">
      <c r="A372" t="n">
        <v>370</v>
      </c>
      <c r="B372" t="n">
        <v>0</v>
      </c>
      <c r="C372" t="inlineStr">
        <is>
          <t>No</t>
        </is>
      </c>
      <c r="D372">
        <f>IF(AND(B367=1,B368=1,B369=1,B370=1,B371=1),"Yes","")</f>
        <v/>
      </c>
      <c r="E372" t="inlineStr">
        <is>
          <t>No</t>
        </is>
      </c>
      <c r="F372" t="inlineStr">
        <is>
          <t>No</t>
        </is>
      </c>
      <c r="G372">
        <f>IF(F372="Yes",1-B372,B372)</f>
        <v/>
      </c>
      <c r="H372">
        <f>IF(E372="Yes","",COUNTIFS($E$2:E372,"No"))</f>
        <v/>
      </c>
      <c r="I372">
        <f>IF(H372="","",IF(H372&lt;=128,"address",IF(H372&lt;=600,"data1",IF(H372&lt;=1264,"zero-run1",IF(H372&lt;=1648,"data2",IF(H372&lt;=2176,"zero-run2",IF(H372&lt;=2192,"FCS","trailing")))))))</f>
        <v/>
      </c>
      <c r="J372">
        <f>IFERROR(IF(AND(H372&lt;&gt;"",H372&gt;=129,H372&lt;=2176),INDEX(Fields!$B$2:$B$206,MATCH(H372-129,Fields!$D$2:$D$206,1)),""),"")</f>
        <v/>
      </c>
      <c r="K372">
        <f>IFERROR(IF(AND(H372&lt;&gt;"",H372&gt;=129,H372&lt;=2176),INDEX(Fields!$C$2:$C$206,MATCH(H372-129,Fields!$D$2:$D$206,1)),""),"")</f>
        <v/>
      </c>
      <c r="L372">
        <f>IFERROR(IF(AND(H372&lt;&gt;"",H372&gt;=129,H372&lt;=2176),INDEX(Fields!$J$2:$J$206,MATCH(H372-129,Fields!$D$2:$D$206,1)),""),"")</f>
        <v/>
      </c>
      <c r="M372">
        <f>IFERROR(IF(AND(H372&lt;&gt;"",H372&gt;=129,H372&lt;=2176),INDEX(Fields!$K$2:$K$206,MATCH(H372-129,Fields!$D$2:$D$206,1)),""),"")</f>
        <v/>
      </c>
    </row>
    <row r="373">
      <c r="A373" t="n">
        <v>371</v>
      </c>
      <c r="B373" t="n">
        <v>1</v>
      </c>
      <c r="C373" t="inlineStr">
        <is>
          <t>No</t>
        </is>
      </c>
      <c r="D373">
        <f>IF(AND(B368=1,B369=1,B370=1,B371=1,B372=1),"Yes","")</f>
        <v/>
      </c>
      <c r="E373" t="inlineStr">
        <is>
          <t>No</t>
        </is>
      </c>
      <c r="F373" t="inlineStr">
        <is>
          <t>No</t>
        </is>
      </c>
      <c r="G373">
        <f>IF(F373="Yes",1-B373,B373)</f>
        <v/>
      </c>
      <c r="H373">
        <f>IF(E373="Yes","",COUNTIFS($E$2:E373,"No"))</f>
        <v/>
      </c>
      <c r="I373">
        <f>IF(H373="","",IF(H373&lt;=128,"address",IF(H373&lt;=600,"data1",IF(H373&lt;=1264,"zero-run1",IF(H373&lt;=1648,"data2",IF(H373&lt;=2176,"zero-run2",IF(H373&lt;=2192,"FCS","trailing")))))))</f>
        <v/>
      </c>
      <c r="J373">
        <f>IFERROR(IF(AND(H373&lt;&gt;"",H373&gt;=129,H373&lt;=2176),INDEX(Fields!$B$2:$B$206,MATCH(H373-129,Fields!$D$2:$D$206,1)),""),"")</f>
        <v/>
      </c>
      <c r="K373">
        <f>IFERROR(IF(AND(H373&lt;&gt;"",H373&gt;=129,H373&lt;=2176),INDEX(Fields!$C$2:$C$206,MATCH(H373-129,Fields!$D$2:$D$206,1)),""),"")</f>
        <v/>
      </c>
      <c r="L373">
        <f>IFERROR(IF(AND(H373&lt;&gt;"",H373&gt;=129,H373&lt;=2176),INDEX(Fields!$J$2:$J$206,MATCH(H373-129,Fields!$D$2:$D$206,1)),""),"")</f>
        <v/>
      </c>
      <c r="M373">
        <f>IFERROR(IF(AND(H373&lt;&gt;"",H373&gt;=129,H373&lt;=2176),INDEX(Fields!$K$2:$K$206,MATCH(H373-129,Fields!$D$2:$D$206,1)),""),"")</f>
        <v/>
      </c>
    </row>
    <row r="374">
      <c r="A374" t="n">
        <v>372</v>
      </c>
      <c r="B374" t="n">
        <v>0</v>
      </c>
      <c r="C374" t="inlineStr">
        <is>
          <t>No</t>
        </is>
      </c>
      <c r="D374">
        <f>IF(AND(B369=1,B370=1,B371=1,B372=1,B373=1),"Yes","")</f>
        <v/>
      </c>
      <c r="E374" t="inlineStr">
        <is>
          <t>No</t>
        </is>
      </c>
      <c r="F374" t="inlineStr">
        <is>
          <t>No</t>
        </is>
      </c>
      <c r="G374">
        <f>IF(F374="Yes",1-B374,B374)</f>
        <v/>
      </c>
      <c r="H374">
        <f>IF(E374="Yes","",COUNTIFS($E$2:E374,"No"))</f>
        <v/>
      </c>
      <c r="I374">
        <f>IF(H374="","",IF(H374&lt;=128,"address",IF(H374&lt;=600,"data1",IF(H374&lt;=1264,"zero-run1",IF(H374&lt;=1648,"data2",IF(H374&lt;=2176,"zero-run2",IF(H374&lt;=2192,"FCS","trailing")))))))</f>
        <v/>
      </c>
      <c r="J374">
        <f>IFERROR(IF(AND(H374&lt;&gt;"",H374&gt;=129,H374&lt;=2176),INDEX(Fields!$B$2:$B$206,MATCH(H374-129,Fields!$D$2:$D$206,1)),""),"")</f>
        <v/>
      </c>
      <c r="K374">
        <f>IFERROR(IF(AND(H374&lt;&gt;"",H374&gt;=129,H374&lt;=2176),INDEX(Fields!$C$2:$C$206,MATCH(H374-129,Fields!$D$2:$D$206,1)),""),"")</f>
        <v/>
      </c>
      <c r="L374">
        <f>IFERROR(IF(AND(H374&lt;&gt;"",H374&gt;=129,H374&lt;=2176),INDEX(Fields!$J$2:$J$206,MATCH(H374-129,Fields!$D$2:$D$206,1)),""),"")</f>
        <v/>
      </c>
      <c r="M374">
        <f>IFERROR(IF(AND(H374&lt;&gt;"",H374&gt;=129,H374&lt;=2176),INDEX(Fields!$K$2:$K$206,MATCH(H374-129,Fields!$D$2:$D$206,1)),""),"")</f>
        <v/>
      </c>
    </row>
    <row r="375">
      <c r="A375" t="n">
        <v>373</v>
      </c>
      <c r="B375" t="n">
        <v>0</v>
      </c>
      <c r="C375" t="inlineStr">
        <is>
          <t>No</t>
        </is>
      </c>
      <c r="D375">
        <f>IF(AND(B370=1,B371=1,B372=1,B373=1,B374=1),"Yes","")</f>
        <v/>
      </c>
      <c r="E375" t="inlineStr">
        <is>
          <t>No</t>
        </is>
      </c>
      <c r="F375" t="inlineStr">
        <is>
          <t>No</t>
        </is>
      </c>
      <c r="G375">
        <f>IF(F375="Yes",1-B375,B375)</f>
        <v/>
      </c>
      <c r="H375">
        <f>IF(E375="Yes","",COUNTIFS($E$2:E375,"No"))</f>
        <v/>
      </c>
      <c r="I375">
        <f>IF(H375="","",IF(H375&lt;=128,"address",IF(H375&lt;=600,"data1",IF(H375&lt;=1264,"zero-run1",IF(H375&lt;=1648,"data2",IF(H375&lt;=2176,"zero-run2",IF(H375&lt;=2192,"FCS","trailing")))))))</f>
        <v/>
      </c>
      <c r="J375">
        <f>IFERROR(IF(AND(H375&lt;&gt;"",H375&gt;=129,H375&lt;=2176),INDEX(Fields!$B$2:$B$206,MATCH(H375-129,Fields!$D$2:$D$206,1)),""),"")</f>
        <v/>
      </c>
      <c r="K375">
        <f>IFERROR(IF(AND(H375&lt;&gt;"",H375&gt;=129,H375&lt;=2176),INDEX(Fields!$C$2:$C$206,MATCH(H375-129,Fields!$D$2:$D$206,1)),""),"")</f>
        <v/>
      </c>
      <c r="L375">
        <f>IFERROR(IF(AND(H375&lt;&gt;"",H375&gt;=129,H375&lt;=2176),INDEX(Fields!$J$2:$J$206,MATCH(H375-129,Fields!$D$2:$D$206,1)),""),"")</f>
        <v/>
      </c>
      <c r="M375">
        <f>IFERROR(IF(AND(H375&lt;&gt;"",H375&gt;=129,H375&lt;=2176),INDEX(Fields!$K$2:$K$206,MATCH(H375-129,Fields!$D$2:$D$206,1)),""),"")</f>
        <v/>
      </c>
    </row>
    <row r="376">
      <c r="A376" t="n">
        <v>374</v>
      </c>
      <c r="B376" t="n">
        <v>0</v>
      </c>
      <c r="C376" t="inlineStr">
        <is>
          <t>No</t>
        </is>
      </c>
      <c r="D376">
        <f>IF(AND(B371=1,B372=1,B373=1,B374=1,B375=1),"Yes","")</f>
        <v/>
      </c>
      <c r="E376" t="inlineStr">
        <is>
          <t>No</t>
        </is>
      </c>
      <c r="F376" t="inlineStr">
        <is>
          <t>No</t>
        </is>
      </c>
      <c r="G376">
        <f>IF(F376="Yes",1-B376,B376)</f>
        <v/>
      </c>
      <c r="H376">
        <f>IF(E376="Yes","",COUNTIFS($E$2:E376,"No"))</f>
        <v/>
      </c>
      <c r="I376">
        <f>IF(H376="","",IF(H376&lt;=128,"address",IF(H376&lt;=600,"data1",IF(H376&lt;=1264,"zero-run1",IF(H376&lt;=1648,"data2",IF(H376&lt;=2176,"zero-run2",IF(H376&lt;=2192,"FCS","trailing")))))))</f>
        <v/>
      </c>
      <c r="J376">
        <f>IFERROR(IF(AND(H376&lt;&gt;"",H376&gt;=129,H376&lt;=2176),INDEX(Fields!$B$2:$B$206,MATCH(H376-129,Fields!$D$2:$D$206,1)),""),"")</f>
        <v/>
      </c>
      <c r="K376">
        <f>IFERROR(IF(AND(H376&lt;&gt;"",H376&gt;=129,H376&lt;=2176),INDEX(Fields!$C$2:$C$206,MATCH(H376-129,Fields!$D$2:$D$206,1)),""),"")</f>
        <v/>
      </c>
      <c r="L376">
        <f>IFERROR(IF(AND(H376&lt;&gt;"",H376&gt;=129,H376&lt;=2176),INDEX(Fields!$J$2:$J$206,MATCH(H376-129,Fields!$D$2:$D$206,1)),""),"")</f>
        <v/>
      </c>
      <c r="M376">
        <f>IFERROR(IF(AND(H376&lt;&gt;"",H376&gt;=129,H376&lt;=2176),INDEX(Fields!$K$2:$K$206,MATCH(H376-129,Fields!$D$2:$D$206,1)),""),"")</f>
        <v/>
      </c>
    </row>
    <row r="377">
      <c r="A377" t="n">
        <v>375</v>
      </c>
      <c r="B377" t="n">
        <v>0</v>
      </c>
      <c r="C377" t="inlineStr">
        <is>
          <t>No</t>
        </is>
      </c>
      <c r="D377">
        <f>IF(AND(B372=1,B373=1,B374=1,B375=1,B376=1),"Yes","")</f>
        <v/>
      </c>
      <c r="E377" t="inlineStr">
        <is>
          <t>No</t>
        </is>
      </c>
      <c r="F377" t="inlineStr">
        <is>
          <t>No</t>
        </is>
      </c>
      <c r="G377">
        <f>IF(F377="Yes",1-B377,B377)</f>
        <v/>
      </c>
      <c r="H377">
        <f>IF(E377="Yes","",COUNTIFS($E$2:E377,"No"))</f>
        <v/>
      </c>
      <c r="I377">
        <f>IF(H377="","",IF(H377&lt;=128,"address",IF(H377&lt;=600,"data1",IF(H377&lt;=1264,"zero-run1",IF(H377&lt;=1648,"data2",IF(H377&lt;=2176,"zero-run2",IF(H377&lt;=2192,"FCS","trailing")))))))</f>
        <v/>
      </c>
      <c r="J377">
        <f>IFERROR(IF(AND(H377&lt;&gt;"",H377&gt;=129,H377&lt;=2176),INDEX(Fields!$B$2:$B$206,MATCH(H377-129,Fields!$D$2:$D$206,1)),""),"")</f>
        <v/>
      </c>
      <c r="K377">
        <f>IFERROR(IF(AND(H377&lt;&gt;"",H377&gt;=129,H377&lt;=2176),INDEX(Fields!$C$2:$C$206,MATCH(H377-129,Fields!$D$2:$D$206,1)),""),"")</f>
        <v/>
      </c>
      <c r="L377">
        <f>IFERROR(IF(AND(H377&lt;&gt;"",H377&gt;=129,H377&lt;=2176),INDEX(Fields!$J$2:$J$206,MATCH(H377-129,Fields!$D$2:$D$206,1)),""),"")</f>
        <v/>
      </c>
      <c r="M377">
        <f>IFERROR(IF(AND(H377&lt;&gt;"",H377&gt;=129,H377&lt;=2176),INDEX(Fields!$K$2:$K$206,MATCH(H377-129,Fields!$D$2:$D$206,1)),""),"")</f>
        <v/>
      </c>
    </row>
    <row r="378">
      <c r="A378" t="n">
        <v>376</v>
      </c>
      <c r="B378" t="n">
        <v>0</v>
      </c>
      <c r="C378" t="inlineStr">
        <is>
          <t>No</t>
        </is>
      </c>
      <c r="D378">
        <f>IF(AND(B373=1,B374=1,B375=1,B376=1,B377=1),"Yes","")</f>
        <v/>
      </c>
      <c r="E378" t="inlineStr">
        <is>
          <t>No</t>
        </is>
      </c>
      <c r="F378" t="inlineStr">
        <is>
          <t>No</t>
        </is>
      </c>
      <c r="G378">
        <f>IF(F378="Yes",1-B378,B378)</f>
        <v/>
      </c>
      <c r="H378">
        <f>IF(E378="Yes","",COUNTIFS($E$2:E378,"No"))</f>
        <v/>
      </c>
      <c r="I378">
        <f>IF(H378="","",IF(H378&lt;=128,"address",IF(H378&lt;=600,"data1",IF(H378&lt;=1264,"zero-run1",IF(H378&lt;=1648,"data2",IF(H378&lt;=2176,"zero-run2",IF(H378&lt;=2192,"FCS","trailing")))))))</f>
        <v/>
      </c>
      <c r="J378">
        <f>IFERROR(IF(AND(H378&lt;&gt;"",H378&gt;=129,H378&lt;=2176),INDEX(Fields!$B$2:$B$206,MATCH(H378-129,Fields!$D$2:$D$206,1)),""),"")</f>
        <v/>
      </c>
      <c r="K378">
        <f>IFERROR(IF(AND(H378&lt;&gt;"",H378&gt;=129,H378&lt;=2176),INDEX(Fields!$C$2:$C$206,MATCH(H378-129,Fields!$D$2:$D$206,1)),""),"")</f>
        <v/>
      </c>
      <c r="L378">
        <f>IFERROR(IF(AND(H378&lt;&gt;"",H378&gt;=129,H378&lt;=2176),INDEX(Fields!$J$2:$J$206,MATCH(H378-129,Fields!$D$2:$D$206,1)),""),"")</f>
        <v/>
      </c>
      <c r="M378">
        <f>IFERROR(IF(AND(H378&lt;&gt;"",H378&gt;=129,H378&lt;=2176),INDEX(Fields!$K$2:$K$206,MATCH(H378-129,Fields!$D$2:$D$206,1)),""),"")</f>
        <v/>
      </c>
    </row>
    <row r="379">
      <c r="A379" t="n">
        <v>377</v>
      </c>
      <c r="B379" t="n">
        <v>0</v>
      </c>
      <c r="C379" t="inlineStr">
        <is>
          <t>No</t>
        </is>
      </c>
      <c r="D379">
        <f>IF(AND(B374=1,B375=1,B376=1,B377=1,B378=1),"Yes","")</f>
        <v/>
      </c>
      <c r="E379" t="inlineStr">
        <is>
          <t>No</t>
        </is>
      </c>
      <c r="F379" t="inlineStr">
        <is>
          <t>No</t>
        </is>
      </c>
      <c r="G379">
        <f>IF(F379="Yes",1-B379,B379)</f>
        <v/>
      </c>
      <c r="H379">
        <f>IF(E379="Yes","",COUNTIFS($E$2:E379,"No"))</f>
        <v/>
      </c>
      <c r="I379">
        <f>IF(H379="","",IF(H379&lt;=128,"address",IF(H379&lt;=600,"data1",IF(H379&lt;=1264,"zero-run1",IF(H379&lt;=1648,"data2",IF(H379&lt;=2176,"zero-run2",IF(H379&lt;=2192,"FCS","trailing")))))))</f>
        <v/>
      </c>
      <c r="J379">
        <f>IFERROR(IF(AND(H379&lt;&gt;"",H379&gt;=129,H379&lt;=2176),INDEX(Fields!$B$2:$B$206,MATCH(H379-129,Fields!$D$2:$D$206,1)),""),"")</f>
        <v/>
      </c>
      <c r="K379">
        <f>IFERROR(IF(AND(H379&lt;&gt;"",H379&gt;=129,H379&lt;=2176),INDEX(Fields!$C$2:$C$206,MATCH(H379-129,Fields!$D$2:$D$206,1)),""),"")</f>
        <v/>
      </c>
      <c r="L379">
        <f>IFERROR(IF(AND(H379&lt;&gt;"",H379&gt;=129,H379&lt;=2176),INDEX(Fields!$J$2:$J$206,MATCH(H379-129,Fields!$D$2:$D$206,1)),""),"")</f>
        <v/>
      </c>
      <c r="M379">
        <f>IFERROR(IF(AND(H379&lt;&gt;"",H379&gt;=129,H379&lt;=2176),INDEX(Fields!$K$2:$K$206,MATCH(H379-129,Fields!$D$2:$D$206,1)),""),"")</f>
        <v/>
      </c>
    </row>
    <row r="380">
      <c r="A380" t="n">
        <v>378</v>
      </c>
      <c r="B380" t="n">
        <v>0</v>
      </c>
      <c r="C380" t="inlineStr">
        <is>
          <t>No</t>
        </is>
      </c>
      <c r="D380">
        <f>IF(AND(B375=1,B376=1,B377=1,B378=1,B379=1),"Yes","")</f>
        <v/>
      </c>
      <c r="E380" t="inlineStr">
        <is>
          <t>No</t>
        </is>
      </c>
      <c r="F380" t="inlineStr">
        <is>
          <t>No</t>
        </is>
      </c>
      <c r="G380">
        <f>IF(F380="Yes",1-B380,B380)</f>
        <v/>
      </c>
      <c r="H380">
        <f>IF(E380="Yes","",COUNTIFS($E$2:E380,"No"))</f>
        <v/>
      </c>
      <c r="I380">
        <f>IF(H380="","",IF(H380&lt;=128,"address",IF(H380&lt;=600,"data1",IF(H380&lt;=1264,"zero-run1",IF(H380&lt;=1648,"data2",IF(H380&lt;=2176,"zero-run2",IF(H380&lt;=2192,"FCS","trailing")))))))</f>
        <v/>
      </c>
      <c r="J380">
        <f>IFERROR(IF(AND(H380&lt;&gt;"",H380&gt;=129,H380&lt;=2176),INDEX(Fields!$B$2:$B$206,MATCH(H380-129,Fields!$D$2:$D$206,1)),""),"")</f>
        <v/>
      </c>
      <c r="K380">
        <f>IFERROR(IF(AND(H380&lt;&gt;"",H380&gt;=129,H380&lt;=2176),INDEX(Fields!$C$2:$C$206,MATCH(H380-129,Fields!$D$2:$D$206,1)),""),"")</f>
        <v/>
      </c>
      <c r="L380">
        <f>IFERROR(IF(AND(H380&lt;&gt;"",H380&gt;=129,H380&lt;=2176),INDEX(Fields!$J$2:$J$206,MATCH(H380-129,Fields!$D$2:$D$206,1)),""),"")</f>
        <v/>
      </c>
      <c r="M380">
        <f>IFERROR(IF(AND(H380&lt;&gt;"",H380&gt;=129,H380&lt;=2176),INDEX(Fields!$K$2:$K$206,MATCH(H380-129,Fields!$D$2:$D$206,1)),""),"")</f>
        <v/>
      </c>
    </row>
    <row r="381">
      <c r="A381" t="n">
        <v>379</v>
      </c>
      <c r="B381" t="n">
        <v>0</v>
      </c>
      <c r="C381" t="inlineStr">
        <is>
          <t>No</t>
        </is>
      </c>
      <c r="D381">
        <f>IF(AND(B376=1,B377=1,B378=1,B379=1,B380=1),"Yes","")</f>
        <v/>
      </c>
      <c r="E381" t="inlineStr">
        <is>
          <t>No</t>
        </is>
      </c>
      <c r="F381" t="inlineStr">
        <is>
          <t>No</t>
        </is>
      </c>
      <c r="G381">
        <f>IF(F381="Yes",1-B381,B381)</f>
        <v/>
      </c>
      <c r="H381">
        <f>IF(E381="Yes","",COUNTIFS($E$2:E381,"No"))</f>
        <v/>
      </c>
      <c r="I381">
        <f>IF(H381="","",IF(H381&lt;=128,"address",IF(H381&lt;=600,"data1",IF(H381&lt;=1264,"zero-run1",IF(H381&lt;=1648,"data2",IF(H381&lt;=2176,"zero-run2",IF(H381&lt;=2192,"FCS","trailing")))))))</f>
        <v/>
      </c>
      <c r="J381">
        <f>IFERROR(IF(AND(H381&lt;&gt;"",H381&gt;=129,H381&lt;=2176),INDEX(Fields!$B$2:$B$206,MATCH(H381-129,Fields!$D$2:$D$206,1)),""),"")</f>
        <v/>
      </c>
      <c r="K381">
        <f>IFERROR(IF(AND(H381&lt;&gt;"",H381&gt;=129,H381&lt;=2176),INDEX(Fields!$C$2:$C$206,MATCH(H381-129,Fields!$D$2:$D$206,1)),""),"")</f>
        <v/>
      </c>
      <c r="L381">
        <f>IFERROR(IF(AND(H381&lt;&gt;"",H381&gt;=129,H381&lt;=2176),INDEX(Fields!$J$2:$J$206,MATCH(H381-129,Fields!$D$2:$D$206,1)),""),"")</f>
        <v/>
      </c>
      <c r="M381">
        <f>IFERROR(IF(AND(H381&lt;&gt;"",H381&gt;=129,H381&lt;=2176),INDEX(Fields!$K$2:$K$206,MATCH(H381-129,Fields!$D$2:$D$206,1)),""),"")</f>
        <v/>
      </c>
    </row>
    <row r="382">
      <c r="A382" t="n">
        <v>380</v>
      </c>
      <c r="B382" t="n">
        <v>0</v>
      </c>
      <c r="C382" t="inlineStr">
        <is>
          <t>No</t>
        </is>
      </c>
      <c r="D382">
        <f>IF(AND(B377=1,B378=1,B379=1,B380=1,B381=1),"Yes","")</f>
        <v/>
      </c>
      <c r="E382" t="inlineStr">
        <is>
          <t>No</t>
        </is>
      </c>
      <c r="F382" t="inlineStr">
        <is>
          <t>No</t>
        </is>
      </c>
      <c r="G382">
        <f>IF(F382="Yes",1-B382,B382)</f>
        <v/>
      </c>
      <c r="H382">
        <f>IF(E382="Yes","",COUNTIFS($E$2:E382,"No"))</f>
        <v/>
      </c>
      <c r="I382">
        <f>IF(H382="","",IF(H382&lt;=128,"address",IF(H382&lt;=600,"data1",IF(H382&lt;=1264,"zero-run1",IF(H382&lt;=1648,"data2",IF(H382&lt;=2176,"zero-run2",IF(H382&lt;=2192,"FCS","trailing")))))))</f>
        <v/>
      </c>
      <c r="J382">
        <f>IFERROR(IF(AND(H382&lt;&gt;"",H382&gt;=129,H382&lt;=2176),INDEX(Fields!$B$2:$B$206,MATCH(H382-129,Fields!$D$2:$D$206,1)),""),"")</f>
        <v/>
      </c>
      <c r="K382">
        <f>IFERROR(IF(AND(H382&lt;&gt;"",H382&gt;=129,H382&lt;=2176),INDEX(Fields!$C$2:$C$206,MATCH(H382-129,Fields!$D$2:$D$206,1)),""),"")</f>
        <v/>
      </c>
      <c r="L382">
        <f>IFERROR(IF(AND(H382&lt;&gt;"",H382&gt;=129,H382&lt;=2176),INDEX(Fields!$J$2:$J$206,MATCH(H382-129,Fields!$D$2:$D$206,1)),""),"")</f>
        <v/>
      </c>
      <c r="M382">
        <f>IFERROR(IF(AND(H382&lt;&gt;"",H382&gt;=129,H382&lt;=2176),INDEX(Fields!$K$2:$K$206,MATCH(H382-129,Fields!$D$2:$D$206,1)),""),"")</f>
        <v/>
      </c>
    </row>
    <row r="383">
      <c r="A383" t="n">
        <v>381</v>
      </c>
      <c r="B383" t="n">
        <v>0</v>
      </c>
      <c r="C383" t="inlineStr">
        <is>
          <t>No</t>
        </is>
      </c>
      <c r="D383">
        <f>IF(AND(B378=1,B379=1,B380=1,B381=1,B382=1),"Yes","")</f>
        <v/>
      </c>
      <c r="E383" t="inlineStr">
        <is>
          <t>No</t>
        </is>
      </c>
      <c r="F383" t="inlineStr">
        <is>
          <t>No</t>
        </is>
      </c>
      <c r="G383">
        <f>IF(F383="Yes",1-B383,B383)</f>
        <v/>
      </c>
      <c r="H383">
        <f>IF(E383="Yes","",COUNTIFS($E$2:E383,"No"))</f>
        <v/>
      </c>
      <c r="I383">
        <f>IF(H383="","",IF(H383&lt;=128,"address",IF(H383&lt;=600,"data1",IF(H383&lt;=1264,"zero-run1",IF(H383&lt;=1648,"data2",IF(H383&lt;=2176,"zero-run2",IF(H383&lt;=2192,"FCS","trailing")))))))</f>
        <v/>
      </c>
      <c r="J383">
        <f>IFERROR(IF(AND(H383&lt;&gt;"",H383&gt;=129,H383&lt;=2176),INDEX(Fields!$B$2:$B$206,MATCH(H383-129,Fields!$D$2:$D$206,1)),""),"")</f>
        <v/>
      </c>
      <c r="K383">
        <f>IFERROR(IF(AND(H383&lt;&gt;"",H383&gt;=129,H383&lt;=2176),INDEX(Fields!$C$2:$C$206,MATCH(H383-129,Fields!$D$2:$D$206,1)),""),"")</f>
        <v/>
      </c>
      <c r="L383">
        <f>IFERROR(IF(AND(H383&lt;&gt;"",H383&gt;=129,H383&lt;=2176),INDEX(Fields!$J$2:$J$206,MATCH(H383-129,Fields!$D$2:$D$206,1)),""),"")</f>
        <v/>
      </c>
      <c r="M383">
        <f>IFERROR(IF(AND(H383&lt;&gt;"",H383&gt;=129,H383&lt;=2176),INDEX(Fields!$K$2:$K$206,MATCH(H383-129,Fields!$D$2:$D$206,1)),""),"")</f>
        <v/>
      </c>
    </row>
    <row r="384">
      <c r="A384" t="n">
        <v>382</v>
      </c>
      <c r="B384" t="n">
        <v>0</v>
      </c>
      <c r="C384" t="inlineStr">
        <is>
          <t>No</t>
        </is>
      </c>
      <c r="D384">
        <f>IF(AND(B379=1,B380=1,B381=1,B382=1,B383=1),"Yes","")</f>
        <v/>
      </c>
      <c r="E384" t="inlineStr">
        <is>
          <t>No</t>
        </is>
      </c>
      <c r="F384" t="inlineStr">
        <is>
          <t>No</t>
        </is>
      </c>
      <c r="G384">
        <f>IF(F384="Yes",1-B384,B384)</f>
        <v/>
      </c>
      <c r="H384">
        <f>IF(E384="Yes","",COUNTIFS($E$2:E384,"No"))</f>
        <v/>
      </c>
      <c r="I384">
        <f>IF(H384="","",IF(H384&lt;=128,"address",IF(H384&lt;=600,"data1",IF(H384&lt;=1264,"zero-run1",IF(H384&lt;=1648,"data2",IF(H384&lt;=2176,"zero-run2",IF(H384&lt;=2192,"FCS","trailing")))))))</f>
        <v/>
      </c>
      <c r="J384">
        <f>IFERROR(IF(AND(H384&lt;&gt;"",H384&gt;=129,H384&lt;=2176),INDEX(Fields!$B$2:$B$206,MATCH(H384-129,Fields!$D$2:$D$206,1)),""),"")</f>
        <v/>
      </c>
      <c r="K384">
        <f>IFERROR(IF(AND(H384&lt;&gt;"",H384&gt;=129,H384&lt;=2176),INDEX(Fields!$C$2:$C$206,MATCH(H384-129,Fields!$D$2:$D$206,1)),""),"")</f>
        <v/>
      </c>
      <c r="L384">
        <f>IFERROR(IF(AND(H384&lt;&gt;"",H384&gt;=129,H384&lt;=2176),INDEX(Fields!$J$2:$J$206,MATCH(H384-129,Fields!$D$2:$D$206,1)),""),"")</f>
        <v/>
      </c>
      <c r="M384">
        <f>IFERROR(IF(AND(H384&lt;&gt;"",H384&gt;=129,H384&lt;=2176),INDEX(Fields!$K$2:$K$206,MATCH(H384-129,Fields!$D$2:$D$206,1)),""),"")</f>
        <v/>
      </c>
    </row>
    <row r="385">
      <c r="A385" t="n">
        <v>383</v>
      </c>
      <c r="B385" t="n">
        <v>0</v>
      </c>
      <c r="C385" t="inlineStr">
        <is>
          <t>No</t>
        </is>
      </c>
      <c r="D385">
        <f>IF(AND(B380=1,B381=1,B382=1,B383=1,B384=1),"Yes","")</f>
        <v/>
      </c>
      <c r="E385" t="inlineStr">
        <is>
          <t>No</t>
        </is>
      </c>
      <c r="F385" t="inlineStr">
        <is>
          <t>No</t>
        </is>
      </c>
      <c r="G385">
        <f>IF(F385="Yes",1-B385,B385)</f>
        <v/>
      </c>
      <c r="H385">
        <f>IF(E385="Yes","",COUNTIFS($E$2:E385,"No"))</f>
        <v/>
      </c>
      <c r="I385">
        <f>IF(H385="","",IF(H385&lt;=128,"address",IF(H385&lt;=600,"data1",IF(H385&lt;=1264,"zero-run1",IF(H385&lt;=1648,"data2",IF(H385&lt;=2176,"zero-run2",IF(H385&lt;=2192,"FCS","trailing")))))))</f>
        <v/>
      </c>
      <c r="J385">
        <f>IFERROR(IF(AND(H385&lt;&gt;"",H385&gt;=129,H385&lt;=2176),INDEX(Fields!$B$2:$B$206,MATCH(H385-129,Fields!$D$2:$D$206,1)),""),"")</f>
        <v/>
      </c>
      <c r="K385">
        <f>IFERROR(IF(AND(H385&lt;&gt;"",H385&gt;=129,H385&lt;=2176),INDEX(Fields!$C$2:$C$206,MATCH(H385-129,Fields!$D$2:$D$206,1)),""),"")</f>
        <v/>
      </c>
      <c r="L385">
        <f>IFERROR(IF(AND(H385&lt;&gt;"",H385&gt;=129,H385&lt;=2176),INDEX(Fields!$J$2:$J$206,MATCH(H385-129,Fields!$D$2:$D$206,1)),""),"")</f>
        <v/>
      </c>
      <c r="M385">
        <f>IFERROR(IF(AND(H385&lt;&gt;"",H385&gt;=129,H385&lt;=2176),INDEX(Fields!$K$2:$K$206,MATCH(H385-129,Fields!$D$2:$D$206,1)),""),"")</f>
        <v/>
      </c>
    </row>
    <row r="386">
      <c r="A386" t="n">
        <v>384</v>
      </c>
      <c r="B386" t="n">
        <v>0</v>
      </c>
      <c r="C386" s="4" t="inlineStr">
        <is>
          <t>Yes</t>
        </is>
      </c>
      <c r="D386">
        <f>IF(AND(B381=1,B382=1,B383=1,B384=1,B385=1),"Yes","")</f>
        <v/>
      </c>
      <c r="E386" t="inlineStr">
        <is>
          <t>No</t>
        </is>
      </c>
      <c r="F386" t="inlineStr">
        <is>
          <t>No</t>
        </is>
      </c>
      <c r="G386">
        <f>IF(F386="Yes",1-B386,B386)</f>
        <v/>
      </c>
      <c r="H386">
        <f>IF(E386="Yes","",COUNTIFS($E$2:E386,"No"))</f>
        <v/>
      </c>
      <c r="I386">
        <f>IF(H386="","",IF(H386&lt;=128,"address",IF(H386&lt;=600,"data1",IF(H386&lt;=1264,"zero-run1",IF(H386&lt;=1648,"data2",IF(H386&lt;=2176,"zero-run2",IF(H386&lt;=2192,"FCS","trailing")))))))</f>
        <v/>
      </c>
      <c r="J386">
        <f>IFERROR(IF(AND(H386&lt;&gt;"",H386&gt;=129,H386&lt;=2176),INDEX(Fields!$B$2:$B$206,MATCH(H386-129,Fields!$D$2:$D$206,1)),""),"")</f>
        <v/>
      </c>
      <c r="K386">
        <f>IFERROR(IF(AND(H386&lt;&gt;"",H386&gt;=129,H386&lt;=2176),INDEX(Fields!$C$2:$C$206,MATCH(H386-129,Fields!$D$2:$D$206,1)),""),"")</f>
        <v/>
      </c>
      <c r="L386">
        <f>IFERROR(IF(AND(H386&lt;&gt;"",H386&gt;=129,H386&lt;=2176),INDEX(Fields!$J$2:$J$206,MATCH(H386-129,Fields!$D$2:$D$206,1)),""),"")</f>
        <v/>
      </c>
      <c r="M386">
        <f>IFERROR(IF(AND(H386&lt;&gt;"",H386&gt;=129,H386&lt;=2176),INDEX(Fields!$K$2:$K$206,MATCH(H386-129,Fields!$D$2:$D$206,1)),""),"")</f>
        <v/>
      </c>
    </row>
    <row r="387">
      <c r="A387" t="n">
        <v>385</v>
      </c>
      <c r="B387" t="n">
        <v>0</v>
      </c>
      <c r="C387" t="inlineStr">
        <is>
          <t>No</t>
        </is>
      </c>
      <c r="D387">
        <f>IF(AND(B382=1,B383=1,B384=1,B385=1,B386=1),"Yes","")</f>
        <v/>
      </c>
      <c r="E387" t="inlineStr">
        <is>
          <t>No</t>
        </is>
      </c>
      <c r="F387" t="inlineStr">
        <is>
          <t>No</t>
        </is>
      </c>
      <c r="G387">
        <f>IF(F387="Yes",1-B387,B387)</f>
        <v/>
      </c>
      <c r="H387">
        <f>IF(E387="Yes","",COUNTIFS($E$2:E387,"No"))</f>
        <v/>
      </c>
      <c r="I387">
        <f>IF(H387="","",IF(H387&lt;=128,"address",IF(H387&lt;=600,"data1",IF(H387&lt;=1264,"zero-run1",IF(H387&lt;=1648,"data2",IF(H387&lt;=2176,"zero-run2",IF(H387&lt;=2192,"FCS","trailing")))))))</f>
        <v/>
      </c>
      <c r="J387">
        <f>IFERROR(IF(AND(H387&lt;&gt;"",H387&gt;=129,H387&lt;=2176),INDEX(Fields!$B$2:$B$206,MATCH(H387-129,Fields!$D$2:$D$206,1)),""),"")</f>
        <v/>
      </c>
      <c r="K387">
        <f>IFERROR(IF(AND(H387&lt;&gt;"",H387&gt;=129,H387&lt;=2176),INDEX(Fields!$C$2:$C$206,MATCH(H387-129,Fields!$D$2:$D$206,1)),""),"")</f>
        <v/>
      </c>
      <c r="L387">
        <f>IFERROR(IF(AND(H387&lt;&gt;"",H387&gt;=129,H387&lt;=2176),INDEX(Fields!$J$2:$J$206,MATCH(H387-129,Fields!$D$2:$D$206,1)),""),"")</f>
        <v/>
      </c>
      <c r="M387">
        <f>IFERROR(IF(AND(H387&lt;&gt;"",H387&gt;=129,H387&lt;=2176),INDEX(Fields!$K$2:$K$206,MATCH(H387-129,Fields!$D$2:$D$206,1)),""),"")</f>
        <v/>
      </c>
    </row>
    <row r="388">
      <c r="A388" t="n">
        <v>386</v>
      </c>
      <c r="B388" t="n">
        <v>0</v>
      </c>
      <c r="C388" t="inlineStr">
        <is>
          <t>No</t>
        </is>
      </c>
      <c r="D388">
        <f>IF(AND(B383=1,B384=1,B385=1,B386=1,B387=1),"Yes","")</f>
        <v/>
      </c>
      <c r="E388" t="inlineStr">
        <is>
          <t>No</t>
        </is>
      </c>
      <c r="F388" t="inlineStr">
        <is>
          <t>No</t>
        </is>
      </c>
      <c r="G388">
        <f>IF(F388="Yes",1-B388,B388)</f>
        <v/>
      </c>
      <c r="H388">
        <f>IF(E388="Yes","",COUNTIFS($E$2:E388,"No"))</f>
        <v/>
      </c>
      <c r="I388">
        <f>IF(H388="","",IF(H388&lt;=128,"address",IF(H388&lt;=600,"data1",IF(H388&lt;=1264,"zero-run1",IF(H388&lt;=1648,"data2",IF(H388&lt;=2176,"zero-run2",IF(H388&lt;=2192,"FCS","trailing")))))))</f>
        <v/>
      </c>
      <c r="J388">
        <f>IFERROR(IF(AND(H388&lt;&gt;"",H388&gt;=129,H388&lt;=2176),INDEX(Fields!$B$2:$B$206,MATCH(H388-129,Fields!$D$2:$D$206,1)),""),"")</f>
        <v/>
      </c>
      <c r="K388">
        <f>IFERROR(IF(AND(H388&lt;&gt;"",H388&gt;=129,H388&lt;=2176),INDEX(Fields!$C$2:$C$206,MATCH(H388-129,Fields!$D$2:$D$206,1)),""),"")</f>
        <v/>
      </c>
      <c r="L388">
        <f>IFERROR(IF(AND(H388&lt;&gt;"",H388&gt;=129,H388&lt;=2176),INDEX(Fields!$J$2:$J$206,MATCH(H388-129,Fields!$D$2:$D$206,1)),""),"")</f>
        <v/>
      </c>
      <c r="M388">
        <f>IFERROR(IF(AND(H388&lt;&gt;"",H388&gt;=129,H388&lt;=2176),INDEX(Fields!$K$2:$K$206,MATCH(H388-129,Fields!$D$2:$D$206,1)),""),"")</f>
        <v/>
      </c>
    </row>
    <row r="389">
      <c r="A389" t="n">
        <v>387</v>
      </c>
      <c r="B389" t="n">
        <v>0</v>
      </c>
      <c r="C389" t="inlineStr">
        <is>
          <t>No</t>
        </is>
      </c>
      <c r="D389">
        <f>IF(AND(B384=1,B385=1,B386=1,B387=1,B388=1),"Yes","")</f>
        <v/>
      </c>
      <c r="E389" t="inlineStr">
        <is>
          <t>No</t>
        </is>
      </c>
      <c r="F389" t="inlineStr">
        <is>
          <t>No</t>
        </is>
      </c>
      <c r="G389">
        <f>IF(F389="Yes",1-B389,B389)</f>
        <v/>
      </c>
      <c r="H389">
        <f>IF(E389="Yes","",COUNTIFS($E$2:E389,"No"))</f>
        <v/>
      </c>
      <c r="I389">
        <f>IF(H389="","",IF(H389&lt;=128,"address",IF(H389&lt;=600,"data1",IF(H389&lt;=1264,"zero-run1",IF(H389&lt;=1648,"data2",IF(H389&lt;=2176,"zero-run2",IF(H389&lt;=2192,"FCS","trailing")))))))</f>
        <v/>
      </c>
      <c r="J389">
        <f>IFERROR(IF(AND(H389&lt;&gt;"",H389&gt;=129,H389&lt;=2176),INDEX(Fields!$B$2:$B$206,MATCH(H389-129,Fields!$D$2:$D$206,1)),""),"")</f>
        <v/>
      </c>
      <c r="K389">
        <f>IFERROR(IF(AND(H389&lt;&gt;"",H389&gt;=129,H389&lt;=2176),INDEX(Fields!$C$2:$C$206,MATCH(H389-129,Fields!$D$2:$D$206,1)),""),"")</f>
        <v/>
      </c>
      <c r="L389">
        <f>IFERROR(IF(AND(H389&lt;&gt;"",H389&gt;=129,H389&lt;=2176),INDEX(Fields!$J$2:$J$206,MATCH(H389-129,Fields!$D$2:$D$206,1)),""),"")</f>
        <v/>
      </c>
      <c r="M389">
        <f>IFERROR(IF(AND(H389&lt;&gt;"",H389&gt;=129,H389&lt;=2176),INDEX(Fields!$K$2:$K$206,MATCH(H389-129,Fields!$D$2:$D$206,1)),""),"")</f>
        <v/>
      </c>
    </row>
    <row r="390">
      <c r="A390" t="n">
        <v>388</v>
      </c>
      <c r="B390" t="n">
        <v>0</v>
      </c>
      <c r="C390" t="inlineStr">
        <is>
          <t>No</t>
        </is>
      </c>
      <c r="D390">
        <f>IF(AND(B385=1,B386=1,B387=1,B388=1,B389=1),"Yes","")</f>
        <v/>
      </c>
      <c r="E390" t="inlineStr">
        <is>
          <t>No</t>
        </is>
      </c>
      <c r="F390" t="inlineStr">
        <is>
          <t>No</t>
        </is>
      </c>
      <c r="G390">
        <f>IF(F390="Yes",1-B390,B390)</f>
        <v/>
      </c>
      <c r="H390">
        <f>IF(E390="Yes","",COUNTIFS($E$2:E390,"No"))</f>
        <v/>
      </c>
      <c r="I390">
        <f>IF(H390="","",IF(H390&lt;=128,"address",IF(H390&lt;=600,"data1",IF(H390&lt;=1264,"zero-run1",IF(H390&lt;=1648,"data2",IF(H390&lt;=2176,"zero-run2",IF(H390&lt;=2192,"FCS","trailing")))))))</f>
        <v/>
      </c>
      <c r="J390">
        <f>IFERROR(IF(AND(H390&lt;&gt;"",H390&gt;=129,H390&lt;=2176),INDEX(Fields!$B$2:$B$206,MATCH(H390-129,Fields!$D$2:$D$206,1)),""),"")</f>
        <v/>
      </c>
      <c r="K390">
        <f>IFERROR(IF(AND(H390&lt;&gt;"",H390&gt;=129,H390&lt;=2176),INDEX(Fields!$C$2:$C$206,MATCH(H390-129,Fields!$D$2:$D$206,1)),""),"")</f>
        <v/>
      </c>
      <c r="L390">
        <f>IFERROR(IF(AND(H390&lt;&gt;"",H390&gt;=129,H390&lt;=2176),INDEX(Fields!$J$2:$J$206,MATCH(H390-129,Fields!$D$2:$D$206,1)),""),"")</f>
        <v/>
      </c>
      <c r="M390">
        <f>IFERROR(IF(AND(H390&lt;&gt;"",H390&gt;=129,H390&lt;=2176),INDEX(Fields!$K$2:$K$206,MATCH(H390-129,Fields!$D$2:$D$206,1)),""),"")</f>
        <v/>
      </c>
    </row>
    <row r="391">
      <c r="A391" t="n">
        <v>389</v>
      </c>
      <c r="B391" t="n">
        <v>0</v>
      </c>
      <c r="C391" t="inlineStr">
        <is>
          <t>No</t>
        </is>
      </c>
      <c r="D391">
        <f>IF(AND(B386=1,B387=1,B388=1,B389=1,B390=1),"Yes","")</f>
        <v/>
      </c>
      <c r="E391" t="inlineStr">
        <is>
          <t>No</t>
        </is>
      </c>
      <c r="F391" t="inlineStr">
        <is>
          <t>No</t>
        </is>
      </c>
      <c r="G391">
        <f>IF(F391="Yes",1-B391,B391)</f>
        <v/>
      </c>
      <c r="H391">
        <f>IF(E391="Yes","",COUNTIFS($E$2:E391,"No"))</f>
        <v/>
      </c>
      <c r="I391">
        <f>IF(H391="","",IF(H391&lt;=128,"address",IF(H391&lt;=600,"data1",IF(H391&lt;=1264,"zero-run1",IF(H391&lt;=1648,"data2",IF(H391&lt;=2176,"zero-run2",IF(H391&lt;=2192,"FCS","trailing")))))))</f>
        <v/>
      </c>
      <c r="J391">
        <f>IFERROR(IF(AND(H391&lt;&gt;"",H391&gt;=129,H391&lt;=2176),INDEX(Fields!$B$2:$B$206,MATCH(H391-129,Fields!$D$2:$D$206,1)),""),"")</f>
        <v/>
      </c>
      <c r="K391">
        <f>IFERROR(IF(AND(H391&lt;&gt;"",H391&gt;=129,H391&lt;=2176),INDEX(Fields!$C$2:$C$206,MATCH(H391-129,Fields!$D$2:$D$206,1)),""),"")</f>
        <v/>
      </c>
      <c r="L391">
        <f>IFERROR(IF(AND(H391&lt;&gt;"",H391&gt;=129,H391&lt;=2176),INDEX(Fields!$J$2:$J$206,MATCH(H391-129,Fields!$D$2:$D$206,1)),""),"")</f>
        <v/>
      </c>
      <c r="M391">
        <f>IFERROR(IF(AND(H391&lt;&gt;"",H391&gt;=129,H391&lt;=2176),INDEX(Fields!$K$2:$K$206,MATCH(H391-129,Fields!$D$2:$D$206,1)),""),"")</f>
        <v/>
      </c>
    </row>
    <row r="392">
      <c r="A392" t="n">
        <v>390</v>
      </c>
      <c r="B392" t="n">
        <v>0</v>
      </c>
      <c r="C392" t="inlineStr">
        <is>
          <t>No</t>
        </is>
      </c>
      <c r="D392">
        <f>IF(AND(B387=1,B388=1,B389=1,B390=1,B391=1),"Yes","")</f>
        <v/>
      </c>
      <c r="E392" t="inlineStr">
        <is>
          <t>No</t>
        </is>
      </c>
      <c r="F392" t="inlineStr">
        <is>
          <t>No</t>
        </is>
      </c>
      <c r="G392">
        <f>IF(F392="Yes",1-B392,B392)</f>
        <v/>
      </c>
      <c r="H392">
        <f>IF(E392="Yes","",COUNTIFS($E$2:E392,"No"))</f>
        <v/>
      </c>
      <c r="I392">
        <f>IF(H392="","",IF(H392&lt;=128,"address",IF(H392&lt;=600,"data1",IF(H392&lt;=1264,"zero-run1",IF(H392&lt;=1648,"data2",IF(H392&lt;=2176,"zero-run2",IF(H392&lt;=2192,"FCS","trailing")))))))</f>
        <v/>
      </c>
      <c r="J392">
        <f>IFERROR(IF(AND(H392&lt;&gt;"",H392&gt;=129,H392&lt;=2176),INDEX(Fields!$B$2:$B$206,MATCH(H392-129,Fields!$D$2:$D$206,1)),""),"")</f>
        <v/>
      </c>
      <c r="K392">
        <f>IFERROR(IF(AND(H392&lt;&gt;"",H392&gt;=129,H392&lt;=2176),INDEX(Fields!$C$2:$C$206,MATCH(H392-129,Fields!$D$2:$D$206,1)),""),"")</f>
        <v/>
      </c>
      <c r="L392">
        <f>IFERROR(IF(AND(H392&lt;&gt;"",H392&gt;=129,H392&lt;=2176),INDEX(Fields!$J$2:$J$206,MATCH(H392-129,Fields!$D$2:$D$206,1)),""),"")</f>
        <v/>
      </c>
      <c r="M392">
        <f>IFERROR(IF(AND(H392&lt;&gt;"",H392&gt;=129,H392&lt;=2176),INDEX(Fields!$K$2:$K$206,MATCH(H392-129,Fields!$D$2:$D$206,1)),""),"")</f>
        <v/>
      </c>
    </row>
    <row r="393">
      <c r="A393" t="n">
        <v>391</v>
      </c>
      <c r="B393" t="n">
        <v>0</v>
      </c>
      <c r="C393" t="inlineStr">
        <is>
          <t>No</t>
        </is>
      </c>
      <c r="D393">
        <f>IF(AND(B388=1,B389=1,B390=1,B391=1,B392=1),"Yes","")</f>
        <v/>
      </c>
      <c r="E393" t="inlineStr">
        <is>
          <t>No</t>
        </is>
      </c>
      <c r="F393" t="inlineStr">
        <is>
          <t>No</t>
        </is>
      </c>
      <c r="G393">
        <f>IF(F393="Yes",1-B393,B393)</f>
        <v/>
      </c>
      <c r="H393">
        <f>IF(E393="Yes","",COUNTIFS($E$2:E393,"No"))</f>
        <v/>
      </c>
      <c r="I393">
        <f>IF(H393="","",IF(H393&lt;=128,"address",IF(H393&lt;=600,"data1",IF(H393&lt;=1264,"zero-run1",IF(H393&lt;=1648,"data2",IF(H393&lt;=2176,"zero-run2",IF(H393&lt;=2192,"FCS","trailing")))))))</f>
        <v/>
      </c>
      <c r="J393">
        <f>IFERROR(IF(AND(H393&lt;&gt;"",H393&gt;=129,H393&lt;=2176),INDEX(Fields!$B$2:$B$206,MATCH(H393-129,Fields!$D$2:$D$206,1)),""),"")</f>
        <v/>
      </c>
      <c r="K393">
        <f>IFERROR(IF(AND(H393&lt;&gt;"",H393&gt;=129,H393&lt;=2176),INDEX(Fields!$C$2:$C$206,MATCH(H393-129,Fields!$D$2:$D$206,1)),""),"")</f>
        <v/>
      </c>
      <c r="L393">
        <f>IFERROR(IF(AND(H393&lt;&gt;"",H393&gt;=129,H393&lt;=2176),INDEX(Fields!$J$2:$J$206,MATCH(H393-129,Fields!$D$2:$D$206,1)),""),"")</f>
        <v/>
      </c>
      <c r="M393">
        <f>IFERROR(IF(AND(H393&lt;&gt;"",H393&gt;=129,H393&lt;=2176),INDEX(Fields!$K$2:$K$206,MATCH(H393-129,Fields!$D$2:$D$206,1)),""),"")</f>
        <v/>
      </c>
    </row>
    <row r="394">
      <c r="A394" t="n">
        <v>392</v>
      </c>
      <c r="B394" t="n">
        <v>0</v>
      </c>
      <c r="C394" t="inlineStr">
        <is>
          <t>No</t>
        </is>
      </c>
      <c r="D394">
        <f>IF(AND(B389=1,B390=1,B391=1,B392=1,B393=1),"Yes","")</f>
        <v/>
      </c>
      <c r="E394" t="inlineStr">
        <is>
          <t>No</t>
        </is>
      </c>
      <c r="F394" t="inlineStr">
        <is>
          <t>No</t>
        </is>
      </c>
      <c r="G394">
        <f>IF(F394="Yes",1-B394,B394)</f>
        <v/>
      </c>
      <c r="H394">
        <f>IF(E394="Yes","",COUNTIFS($E$2:E394,"No"))</f>
        <v/>
      </c>
      <c r="I394">
        <f>IF(H394="","",IF(H394&lt;=128,"address",IF(H394&lt;=600,"data1",IF(H394&lt;=1264,"zero-run1",IF(H394&lt;=1648,"data2",IF(H394&lt;=2176,"zero-run2",IF(H394&lt;=2192,"FCS","trailing")))))))</f>
        <v/>
      </c>
      <c r="J394">
        <f>IFERROR(IF(AND(H394&lt;&gt;"",H394&gt;=129,H394&lt;=2176),INDEX(Fields!$B$2:$B$206,MATCH(H394-129,Fields!$D$2:$D$206,1)),""),"")</f>
        <v/>
      </c>
      <c r="K394">
        <f>IFERROR(IF(AND(H394&lt;&gt;"",H394&gt;=129,H394&lt;=2176),INDEX(Fields!$C$2:$C$206,MATCH(H394-129,Fields!$D$2:$D$206,1)),""),"")</f>
        <v/>
      </c>
      <c r="L394">
        <f>IFERROR(IF(AND(H394&lt;&gt;"",H394&gt;=129,H394&lt;=2176),INDEX(Fields!$J$2:$J$206,MATCH(H394-129,Fields!$D$2:$D$206,1)),""),"")</f>
        <v/>
      </c>
      <c r="M394">
        <f>IFERROR(IF(AND(H394&lt;&gt;"",H394&gt;=129,H394&lt;=2176),INDEX(Fields!$K$2:$K$206,MATCH(H394-129,Fields!$D$2:$D$206,1)),""),"")</f>
        <v/>
      </c>
    </row>
    <row r="395">
      <c r="A395" t="n">
        <v>393</v>
      </c>
      <c r="B395" t="n">
        <v>0</v>
      </c>
      <c r="C395" t="inlineStr">
        <is>
          <t>No</t>
        </is>
      </c>
      <c r="D395">
        <f>IF(AND(B390=1,B391=1,B392=1,B393=1,B394=1),"Yes","")</f>
        <v/>
      </c>
      <c r="E395" t="inlineStr">
        <is>
          <t>No</t>
        </is>
      </c>
      <c r="F395" t="inlineStr">
        <is>
          <t>No</t>
        </is>
      </c>
      <c r="G395">
        <f>IF(F395="Yes",1-B395,B395)</f>
        <v/>
      </c>
      <c r="H395">
        <f>IF(E395="Yes","",COUNTIFS($E$2:E395,"No"))</f>
        <v/>
      </c>
      <c r="I395">
        <f>IF(H395="","",IF(H395&lt;=128,"address",IF(H395&lt;=600,"data1",IF(H395&lt;=1264,"zero-run1",IF(H395&lt;=1648,"data2",IF(H395&lt;=2176,"zero-run2",IF(H395&lt;=2192,"FCS","trailing")))))))</f>
        <v/>
      </c>
      <c r="J395">
        <f>IFERROR(IF(AND(H395&lt;&gt;"",H395&gt;=129,H395&lt;=2176),INDEX(Fields!$B$2:$B$206,MATCH(H395-129,Fields!$D$2:$D$206,1)),""),"")</f>
        <v/>
      </c>
      <c r="K395">
        <f>IFERROR(IF(AND(H395&lt;&gt;"",H395&gt;=129,H395&lt;=2176),INDEX(Fields!$C$2:$C$206,MATCH(H395-129,Fields!$D$2:$D$206,1)),""),"")</f>
        <v/>
      </c>
      <c r="L395">
        <f>IFERROR(IF(AND(H395&lt;&gt;"",H395&gt;=129,H395&lt;=2176),INDEX(Fields!$J$2:$J$206,MATCH(H395-129,Fields!$D$2:$D$206,1)),""),"")</f>
        <v/>
      </c>
      <c r="M395">
        <f>IFERROR(IF(AND(H395&lt;&gt;"",H395&gt;=129,H395&lt;=2176),INDEX(Fields!$K$2:$K$206,MATCH(H395-129,Fields!$D$2:$D$206,1)),""),"")</f>
        <v/>
      </c>
    </row>
    <row r="396">
      <c r="A396" t="n">
        <v>394</v>
      </c>
      <c r="B396" t="n">
        <v>1</v>
      </c>
      <c r="C396" t="inlineStr">
        <is>
          <t>No</t>
        </is>
      </c>
      <c r="D396">
        <f>IF(AND(B391=1,B392=1,B393=1,B394=1,B395=1),"Yes","")</f>
        <v/>
      </c>
      <c r="E396" t="inlineStr">
        <is>
          <t>No</t>
        </is>
      </c>
      <c r="F396" t="inlineStr">
        <is>
          <t>No</t>
        </is>
      </c>
      <c r="G396">
        <f>IF(F396="Yes",1-B396,B396)</f>
        <v/>
      </c>
      <c r="H396">
        <f>IF(E396="Yes","",COUNTIFS($E$2:E396,"No"))</f>
        <v/>
      </c>
      <c r="I396">
        <f>IF(H396="","",IF(H396&lt;=128,"address",IF(H396&lt;=600,"data1",IF(H396&lt;=1264,"zero-run1",IF(H396&lt;=1648,"data2",IF(H396&lt;=2176,"zero-run2",IF(H396&lt;=2192,"FCS","trailing")))))))</f>
        <v/>
      </c>
      <c r="J396">
        <f>IFERROR(IF(AND(H396&lt;&gt;"",H396&gt;=129,H396&lt;=2176),INDEX(Fields!$B$2:$B$206,MATCH(H396-129,Fields!$D$2:$D$206,1)),""),"")</f>
        <v/>
      </c>
      <c r="K396">
        <f>IFERROR(IF(AND(H396&lt;&gt;"",H396&gt;=129,H396&lt;=2176),INDEX(Fields!$C$2:$C$206,MATCH(H396-129,Fields!$D$2:$D$206,1)),""),"")</f>
        <v/>
      </c>
      <c r="L396">
        <f>IFERROR(IF(AND(H396&lt;&gt;"",H396&gt;=129,H396&lt;=2176),INDEX(Fields!$J$2:$J$206,MATCH(H396-129,Fields!$D$2:$D$206,1)),""),"")</f>
        <v/>
      </c>
      <c r="M396">
        <f>IFERROR(IF(AND(H396&lt;&gt;"",H396&gt;=129,H396&lt;=2176),INDEX(Fields!$K$2:$K$206,MATCH(H396-129,Fields!$D$2:$D$206,1)),""),"")</f>
        <v/>
      </c>
    </row>
    <row r="397">
      <c r="A397" t="n">
        <v>395</v>
      </c>
      <c r="B397" t="n">
        <v>0</v>
      </c>
      <c r="C397" t="inlineStr">
        <is>
          <t>No</t>
        </is>
      </c>
      <c r="D397">
        <f>IF(AND(B392=1,B393=1,B394=1,B395=1,B396=1),"Yes","")</f>
        <v/>
      </c>
      <c r="E397" t="inlineStr">
        <is>
          <t>No</t>
        </is>
      </c>
      <c r="F397" t="inlineStr">
        <is>
          <t>No</t>
        </is>
      </c>
      <c r="G397">
        <f>IF(F397="Yes",1-B397,B397)</f>
        <v/>
      </c>
      <c r="H397">
        <f>IF(E397="Yes","",COUNTIFS($E$2:E397,"No"))</f>
        <v/>
      </c>
      <c r="I397">
        <f>IF(H397="","",IF(H397&lt;=128,"address",IF(H397&lt;=600,"data1",IF(H397&lt;=1264,"zero-run1",IF(H397&lt;=1648,"data2",IF(H397&lt;=2176,"zero-run2",IF(H397&lt;=2192,"FCS","trailing")))))))</f>
        <v/>
      </c>
      <c r="J397">
        <f>IFERROR(IF(AND(H397&lt;&gt;"",H397&gt;=129,H397&lt;=2176),INDEX(Fields!$B$2:$B$206,MATCH(H397-129,Fields!$D$2:$D$206,1)),""),"")</f>
        <v/>
      </c>
      <c r="K397">
        <f>IFERROR(IF(AND(H397&lt;&gt;"",H397&gt;=129,H397&lt;=2176),INDEX(Fields!$C$2:$C$206,MATCH(H397-129,Fields!$D$2:$D$206,1)),""),"")</f>
        <v/>
      </c>
      <c r="L397">
        <f>IFERROR(IF(AND(H397&lt;&gt;"",H397&gt;=129,H397&lt;=2176),INDEX(Fields!$J$2:$J$206,MATCH(H397-129,Fields!$D$2:$D$206,1)),""),"")</f>
        <v/>
      </c>
      <c r="M397">
        <f>IFERROR(IF(AND(H397&lt;&gt;"",H397&gt;=129,H397&lt;=2176),INDEX(Fields!$K$2:$K$206,MATCH(H397-129,Fields!$D$2:$D$206,1)),""),"")</f>
        <v/>
      </c>
    </row>
    <row r="398">
      <c r="A398" t="n">
        <v>396</v>
      </c>
      <c r="B398" t="n">
        <v>0</v>
      </c>
      <c r="C398" t="inlineStr">
        <is>
          <t>No</t>
        </is>
      </c>
      <c r="D398">
        <f>IF(AND(B393=1,B394=1,B395=1,B396=1,B397=1),"Yes","")</f>
        <v/>
      </c>
      <c r="E398" t="inlineStr">
        <is>
          <t>No</t>
        </is>
      </c>
      <c r="F398" t="inlineStr">
        <is>
          <t>No</t>
        </is>
      </c>
      <c r="G398">
        <f>IF(F398="Yes",1-B398,B398)</f>
        <v/>
      </c>
      <c r="H398">
        <f>IF(E398="Yes","",COUNTIFS($E$2:E398,"No"))</f>
        <v/>
      </c>
      <c r="I398">
        <f>IF(H398="","",IF(H398&lt;=128,"address",IF(H398&lt;=600,"data1",IF(H398&lt;=1264,"zero-run1",IF(H398&lt;=1648,"data2",IF(H398&lt;=2176,"zero-run2",IF(H398&lt;=2192,"FCS","trailing")))))))</f>
        <v/>
      </c>
      <c r="J398">
        <f>IFERROR(IF(AND(H398&lt;&gt;"",H398&gt;=129,H398&lt;=2176),INDEX(Fields!$B$2:$B$206,MATCH(H398-129,Fields!$D$2:$D$206,1)),""),"")</f>
        <v/>
      </c>
      <c r="K398">
        <f>IFERROR(IF(AND(H398&lt;&gt;"",H398&gt;=129,H398&lt;=2176),INDEX(Fields!$C$2:$C$206,MATCH(H398-129,Fields!$D$2:$D$206,1)),""),"")</f>
        <v/>
      </c>
      <c r="L398">
        <f>IFERROR(IF(AND(H398&lt;&gt;"",H398&gt;=129,H398&lt;=2176),INDEX(Fields!$J$2:$J$206,MATCH(H398-129,Fields!$D$2:$D$206,1)),""),"")</f>
        <v/>
      </c>
      <c r="M398">
        <f>IFERROR(IF(AND(H398&lt;&gt;"",H398&gt;=129,H398&lt;=2176),INDEX(Fields!$K$2:$K$206,MATCH(H398-129,Fields!$D$2:$D$206,1)),""),"")</f>
        <v/>
      </c>
    </row>
    <row r="399">
      <c r="A399" t="n">
        <v>397</v>
      </c>
      <c r="B399" t="n">
        <v>0</v>
      </c>
      <c r="C399" s="4" t="inlineStr">
        <is>
          <t>Yes</t>
        </is>
      </c>
      <c r="D399">
        <f>IF(AND(B394=1,B395=1,B396=1,B397=1,B398=1),"Yes","")</f>
        <v/>
      </c>
      <c r="E399" t="inlineStr">
        <is>
          <t>No</t>
        </is>
      </c>
      <c r="F399" t="inlineStr">
        <is>
          <t>No</t>
        </is>
      </c>
      <c r="G399">
        <f>IF(F399="Yes",1-B399,B399)</f>
        <v/>
      </c>
      <c r="H399">
        <f>IF(E399="Yes","",COUNTIFS($E$2:E399,"No"))</f>
        <v/>
      </c>
      <c r="I399">
        <f>IF(H399="","",IF(H399&lt;=128,"address",IF(H399&lt;=600,"data1",IF(H399&lt;=1264,"zero-run1",IF(H399&lt;=1648,"data2",IF(H399&lt;=2176,"zero-run2",IF(H399&lt;=2192,"FCS","trailing")))))))</f>
        <v/>
      </c>
      <c r="J399">
        <f>IFERROR(IF(AND(H399&lt;&gt;"",H399&gt;=129,H399&lt;=2176),INDEX(Fields!$B$2:$B$206,MATCH(H399-129,Fields!$D$2:$D$206,1)),""),"")</f>
        <v/>
      </c>
      <c r="K399">
        <f>IFERROR(IF(AND(H399&lt;&gt;"",H399&gt;=129,H399&lt;=2176),INDEX(Fields!$C$2:$C$206,MATCH(H399-129,Fields!$D$2:$D$206,1)),""),"")</f>
        <v/>
      </c>
      <c r="L399">
        <f>IFERROR(IF(AND(H399&lt;&gt;"",H399&gt;=129,H399&lt;=2176),INDEX(Fields!$J$2:$J$206,MATCH(H399-129,Fields!$D$2:$D$206,1)),""),"")</f>
        <v/>
      </c>
      <c r="M399">
        <f>IFERROR(IF(AND(H399&lt;&gt;"",H399&gt;=129,H399&lt;=2176),INDEX(Fields!$K$2:$K$206,MATCH(H399-129,Fields!$D$2:$D$206,1)),""),"")</f>
        <v/>
      </c>
    </row>
    <row r="400">
      <c r="A400" t="n">
        <v>398</v>
      </c>
      <c r="B400" t="n">
        <v>1</v>
      </c>
      <c r="C400" t="inlineStr">
        <is>
          <t>No</t>
        </is>
      </c>
      <c r="D400">
        <f>IF(AND(B395=1,B396=1,B397=1,B398=1,B399=1),"Yes","")</f>
        <v/>
      </c>
      <c r="E400" t="inlineStr">
        <is>
          <t>No</t>
        </is>
      </c>
      <c r="F400" t="inlineStr">
        <is>
          <t>No</t>
        </is>
      </c>
      <c r="G400">
        <f>IF(F400="Yes",1-B400,B400)</f>
        <v/>
      </c>
      <c r="H400">
        <f>IF(E400="Yes","",COUNTIFS($E$2:E400,"No"))</f>
        <v/>
      </c>
      <c r="I400">
        <f>IF(H400="","",IF(H400&lt;=128,"address",IF(H400&lt;=600,"data1",IF(H400&lt;=1264,"zero-run1",IF(H400&lt;=1648,"data2",IF(H400&lt;=2176,"zero-run2",IF(H400&lt;=2192,"FCS","trailing")))))))</f>
        <v/>
      </c>
      <c r="J400">
        <f>IFERROR(IF(AND(H400&lt;&gt;"",H400&gt;=129,H400&lt;=2176),INDEX(Fields!$B$2:$B$206,MATCH(H400-129,Fields!$D$2:$D$206,1)),""),"")</f>
        <v/>
      </c>
      <c r="K400">
        <f>IFERROR(IF(AND(H400&lt;&gt;"",H400&gt;=129,H400&lt;=2176),INDEX(Fields!$C$2:$C$206,MATCH(H400-129,Fields!$D$2:$D$206,1)),""),"")</f>
        <v/>
      </c>
      <c r="L400">
        <f>IFERROR(IF(AND(H400&lt;&gt;"",H400&gt;=129,H400&lt;=2176),INDEX(Fields!$J$2:$J$206,MATCH(H400-129,Fields!$D$2:$D$206,1)),""),"")</f>
        <v/>
      </c>
      <c r="M400">
        <f>IFERROR(IF(AND(H400&lt;&gt;"",H400&gt;=129,H400&lt;=2176),INDEX(Fields!$K$2:$K$206,MATCH(H400-129,Fields!$D$2:$D$206,1)),""),"")</f>
        <v/>
      </c>
    </row>
    <row r="401">
      <c r="A401" t="n">
        <v>399</v>
      </c>
      <c r="B401" t="n">
        <v>0</v>
      </c>
      <c r="C401" t="inlineStr">
        <is>
          <t>No</t>
        </is>
      </c>
      <c r="D401">
        <f>IF(AND(B396=1,B397=1,B398=1,B399=1,B400=1),"Yes","")</f>
        <v/>
      </c>
      <c r="E401" t="inlineStr">
        <is>
          <t>No</t>
        </is>
      </c>
      <c r="F401" t="inlineStr">
        <is>
          <t>No</t>
        </is>
      </c>
      <c r="G401">
        <f>IF(F401="Yes",1-B401,B401)</f>
        <v/>
      </c>
      <c r="H401">
        <f>IF(E401="Yes","",COUNTIFS($E$2:E401,"No"))</f>
        <v/>
      </c>
      <c r="I401">
        <f>IF(H401="","",IF(H401&lt;=128,"address",IF(H401&lt;=600,"data1",IF(H401&lt;=1264,"zero-run1",IF(H401&lt;=1648,"data2",IF(H401&lt;=2176,"zero-run2",IF(H401&lt;=2192,"FCS","trailing")))))))</f>
        <v/>
      </c>
      <c r="J401">
        <f>IFERROR(IF(AND(H401&lt;&gt;"",H401&gt;=129,H401&lt;=2176),INDEX(Fields!$B$2:$B$206,MATCH(H401-129,Fields!$D$2:$D$206,1)),""),"")</f>
        <v/>
      </c>
      <c r="K401">
        <f>IFERROR(IF(AND(H401&lt;&gt;"",H401&gt;=129,H401&lt;=2176),INDEX(Fields!$C$2:$C$206,MATCH(H401-129,Fields!$D$2:$D$206,1)),""),"")</f>
        <v/>
      </c>
      <c r="L401">
        <f>IFERROR(IF(AND(H401&lt;&gt;"",H401&gt;=129,H401&lt;=2176),INDEX(Fields!$J$2:$J$206,MATCH(H401-129,Fields!$D$2:$D$206,1)),""),"")</f>
        <v/>
      </c>
      <c r="M401">
        <f>IFERROR(IF(AND(H401&lt;&gt;"",H401&gt;=129,H401&lt;=2176),INDEX(Fields!$K$2:$K$206,MATCH(H401-129,Fields!$D$2:$D$206,1)),""),"")</f>
        <v/>
      </c>
    </row>
    <row r="402">
      <c r="A402" t="n">
        <v>400</v>
      </c>
      <c r="B402" t="n">
        <v>0</v>
      </c>
      <c r="C402" t="inlineStr">
        <is>
          <t>No</t>
        </is>
      </c>
      <c r="D402">
        <f>IF(AND(B397=1,B398=1,B399=1,B400=1,B401=1),"Yes","")</f>
        <v/>
      </c>
      <c r="E402" t="inlineStr">
        <is>
          <t>No</t>
        </is>
      </c>
      <c r="F402" t="inlineStr">
        <is>
          <t>No</t>
        </is>
      </c>
      <c r="G402">
        <f>IF(F402="Yes",1-B402,B402)</f>
        <v/>
      </c>
      <c r="H402">
        <f>IF(E402="Yes","",COUNTIFS($E$2:E402,"No"))</f>
        <v/>
      </c>
      <c r="I402">
        <f>IF(H402="","",IF(H402&lt;=128,"address",IF(H402&lt;=600,"data1",IF(H402&lt;=1264,"zero-run1",IF(H402&lt;=1648,"data2",IF(H402&lt;=2176,"zero-run2",IF(H402&lt;=2192,"FCS","trailing")))))))</f>
        <v/>
      </c>
      <c r="J402">
        <f>IFERROR(IF(AND(H402&lt;&gt;"",H402&gt;=129,H402&lt;=2176),INDEX(Fields!$B$2:$B$206,MATCH(H402-129,Fields!$D$2:$D$206,1)),""),"")</f>
        <v/>
      </c>
      <c r="K402">
        <f>IFERROR(IF(AND(H402&lt;&gt;"",H402&gt;=129,H402&lt;=2176),INDEX(Fields!$C$2:$C$206,MATCH(H402-129,Fields!$D$2:$D$206,1)),""),"")</f>
        <v/>
      </c>
      <c r="L402">
        <f>IFERROR(IF(AND(H402&lt;&gt;"",H402&gt;=129,H402&lt;=2176),INDEX(Fields!$J$2:$J$206,MATCH(H402-129,Fields!$D$2:$D$206,1)),""),"")</f>
        <v/>
      </c>
      <c r="M402">
        <f>IFERROR(IF(AND(H402&lt;&gt;"",H402&gt;=129,H402&lt;=2176),INDEX(Fields!$K$2:$K$206,MATCH(H402-129,Fields!$D$2:$D$206,1)),""),"")</f>
        <v/>
      </c>
    </row>
    <row r="403">
      <c r="A403" t="n">
        <v>401</v>
      </c>
      <c r="B403" t="n">
        <v>0</v>
      </c>
      <c r="C403" t="inlineStr">
        <is>
          <t>No</t>
        </is>
      </c>
      <c r="D403">
        <f>IF(AND(B398=1,B399=1,B400=1,B401=1,B402=1),"Yes","")</f>
        <v/>
      </c>
      <c r="E403" t="inlineStr">
        <is>
          <t>No</t>
        </is>
      </c>
      <c r="F403" t="inlineStr">
        <is>
          <t>No</t>
        </is>
      </c>
      <c r="G403">
        <f>IF(F403="Yes",1-B403,B403)</f>
        <v/>
      </c>
      <c r="H403">
        <f>IF(E403="Yes","",COUNTIFS($E$2:E403,"No"))</f>
        <v/>
      </c>
      <c r="I403">
        <f>IF(H403="","",IF(H403&lt;=128,"address",IF(H403&lt;=600,"data1",IF(H403&lt;=1264,"zero-run1",IF(H403&lt;=1648,"data2",IF(H403&lt;=2176,"zero-run2",IF(H403&lt;=2192,"FCS","trailing")))))))</f>
        <v/>
      </c>
      <c r="J403">
        <f>IFERROR(IF(AND(H403&lt;&gt;"",H403&gt;=129,H403&lt;=2176),INDEX(Fields!$B$2:$B$206,MATCH(H403-129,Fields!$D$2:$D$206,1)),""),"")</f>
        <v/>
      </c>
      <c r="K403">
        <f>IFERROR(IF(AND(H403&lt;&gt;"",H403&gt;=129,H403&lt;=2176),INDEX(Fields!$C$2:$C$206,MATCH(H403-129,Fields!$D$2:$D$206,1)),""),"")</f>
        <v/>
      </c>
      <c r="L403">
        <f>IFERROR(IF(AND(H403&lt;&gt;"",H403&gt;=129,H403&lt;=2176),INDEX(Fields!$J$2:$J$206,MATCH(H403-129,Fields!$D$2:$D$206,1)),""),"")</f>
        <v/>
      </c>
      <c r="M403">
        <f>IFERROR(IF(AND(H403&lt;&gt;"",H403&gt;=129,H403&lt;=2176),INDEX(Fields!$K$2:$K$206,MATCH(H403-129,Fields!$D$2:$D$206,1)),""),"")</f>
        <v/>
      </c>
    </row>
    <row r="404">
      <c r="A404" t="n">
        <v>402</v>
      </c>
      <c r="B404" t="n">
        <v>1</v>
      </c>
      <c r="C404" t="inlineStr">
        <is>
          <t>No</t>
        </is>
      </c>
      <c r="D404">
        <f>IF(AND(B399=1,B400=1,B401=1,B402=1,B403=1),"Yes","")</f>
        <v/>
      </c>
      <c r="E404" t="inlineStr">
        <is>
          <t>No</t>
        </is>
      </c>
      <c r="F404" t="inlineStr">
        <is>
          <t>No</t>
        </is>
      </c>
      <c r="G404">
        <f>IF(F404="Yes",1-B404,B404)</f>
        <v/>
      </c>
      <c r="H404">
        <f>IF(E404="Yes","",COUNTIFS($E$2:E404,"No"))</f>
        <v/>
      </c>
      <c r="I404">
        <f>IF(H404="","",IF(H404&lt;=128,"address",IF(H404&lt;=600,"data1",IF(H404&lt;=1264,"zero-run1",IF(H404&lt;=1648,"data2",IF(H404&lt;=2176,"zero-run2",IF(H404&lt;=2192,"FCS","trailing")))))))</f>
        <v/>
      </c>
      <c r="J404">
        <f>IFERROR(IF(AND(H404&lt;&gt;"",H404&gt;=129,H404&lt;=2176),INDEX(Fields!$B$2:$B$206,MATCH(H404-129,Fields!$D$2:$D$206,1)),""),"")</f>
        <v/>
      </c>
      <c r="K404">
        <f>IFERROR(IF(AND(H404&lt;&gt;"",H404&gt;=129,H404&lt;=2176),INDEX(Fields!$C$2:$C$206,MATCH(H404-129,Fields!$D$2:$D$206,1)),""),"")</f>
        <v/>
      </c>
      <c r="L404">
        <f>IFERROR(IF(AND(H404&lt;&gt;"",H404&gt;=129,H404&lt;=2176),INDEX(Fields!$J$2:$J$206,MATCH(H404-129,Fields!$D$2:$D$206,1)),""),"")</f>
        <v/>
      </c>
      <c r="M404">
        <f>IFERROR(IF(AND(H404&lt;&gt;"",H404&gt;=129,H404&lt;=2176),INDEX(Fields!$K$2:$K$206,MATCH(H404-129,Fields!$D$2:$D$206,1)),""),"")</f>
        <v/>
      </c>
    </row>
    <row r="405">
      <c r="A405" t="n">
        <v>403</v>
      </c>
      <c r="B405" t="n">
        <v>1</v>
      </c>
      <c r="C405" t="inlineStr">
        <is>
          <t>No</t>
        </is>
      </c>
      <c r="D405">
        <f>IF(AND(B400=1,B401=1,B402=1,B403=1,B404=1),"Yes","")</f>
        <v/>
      </c>
      <c r="E405" t="inlineStr">
        <is>
          <t>No</t>
        </is>
      </c>
      <c r="F405" t="inlineStr">
        <is>
          <t>No</t>
        </is>
      </c>
      <c r="G405">
        <f>IF(F405="Yes",1-B405,B405)</f>
        <v/>
      </c>
      <c r="H405">
        <f>IF(E405="Yes","",COUNTIFS($E$2:E405,"No"))</f>
        <v/>
      </c>
      <c r="I405">
        <f>IF(H405="","",IF(H405&lt;=128,"address",IF(H405&lt;=600,"data1",IF(H405&lt;=1264,"zero-run1",IF(H405&lt;=1648,"data2",IF(H405&lt;=2176,"zero-run2",IF(H405&lt;=2192,"FCS","trailing")))))))</f>
        <v/>
      </c>
      <c r="J405">
        <f>IFERROR(IF(AND(H405&lt;&gt;"",H405&gt;=129,H405&lt;=2176),INDEX(Fields!$B$2:$B$206,MATCH(H405-129,Fields!$D$2:$D$206,1)),""),"")</f>
        <v/>
      </c>
      <c r="K405">
        <f>IFERROR(IF(AND(H405&lt;&gt;"",H405&gt;=129,H405&lt;=2176),INDEX(Fields!$C$2:$C$206,MATCH(H405-129,Fields!$D$2:$D$206,1)),""),"")</f>
        <v/>
      </c>
      <c r="L405">
        <f>IFERROR(IF(AND(H405&lt;&gt;"",H405&gt;=129,H405&lt;=2176),INDEX(Fields!$J$2:$J$206,MATCH(H405-129,Fields!$D$2:$D$206,1)),""),"")</f>
        <v/>
      </c>
      <c r="M405">
        <f>IFERROR(IF(AND(H405&lt;&gt;"",H405&gt;=129,H405&lt;=2176),INDEX(Fields!$K$2:$K$206,MATCH(H405-129,Fields!$D$2:$D$206,1)),""),"")</f>
        <v/>
      </c>
    </row>
    <row r="406">
      <c r="A406" t="n">
        <v>404</v>
      </c>
      <c r="B406" t="n">
        <v>0</v>
      </c>
      <c r="C406" t="inlineStr">
        <is>
          <t>No</t>
        </is>
      </c>
      <c r="D406">
        <f>IF(AND(B401=1,B402=1,B403=1,B404=1,B405=1),"Yes","")</f>
        <v/>
      </c>
      <c r="E406" t="inlineStr">
        <is>
          <t>No</t>
        </is>
      </c>
      <c r="F406" t="inlineStr">
        <is>
          <t>No</t>
        </is>
      </c>
      <c r="G406">
        <f>IF(F406="Yes",1-B406,B406)</f>
        <v/>
      </c>
      <c r="H406">
        <f>IF(E406="Yes","",COUNTIFS($E$2:E406,"No"))</f>
        <v/>
      </c>
      <c r="I406">
        <f>IF(H406="","",IF(H406&lt;=128,"address",IF(H406&lt;=600,"data1",IF(H406&lt;=1264,"zero-run1",IF(H406&lt;=1648,"data2",IF(H406&lt;=2176,"zero-run2",IF(H406&lt;=2192,"FCS","trailing")))))))</f>
        <v/>
      </c>
      <c r="J406">
        <f>IFERROR(IF(AND(H406&lt;&gt;"",H406&gt;=129,H406&lt;=2176),INDEX(Fields!$B$2:$B$206,MATCH(H406-129,Fields!$D$2:$D$206,1)),""),"")</f>
        <v/>
      </c>
      <c r="K406">
        <f>IFERROR(IF(AND(H406&lt;&gt;"",H406&gt;=129,H406&lt;=2176),INDEX(Fields!$C$2:$C$206,MATCH(H406-129,Fields!$D$2:$D$206,1)),""),"")</f>
        <v/>
      </c>
      <c r="L406">
        <f>IFERROR(IF(AND(H406&lt;&gt;"",H406&gt;=129,H406&lt;=2176),INDEX(Fields!$J$2:$J$206,MATCH(H406-129,Fields!$D$2:$D$206,1)),""),"")</f>
        <v/>
      </c>
      <c r="M406">
        <f>IFERROR(IF(AND(H406&lt;&gt;"",H406&gt;=129,H406&lt;=2176),INDEX(Fields!$K$2:$K$206,MATCH(H406-129,Fields!$D$2:$D$206,1)),""),"")</f>
        <v/>
      </c>
    </row>
    <row r="407">
      <c r="A407" t="n">
        <v>405</v>
      </c>
      <c r="B407" t="n">
        <v>1</v>
      </c>
      <c r="C407" t="inlineStr">
        <is>
          <t>No</t>
        </is>
      </c>
      <c r="D407">
        <f>IF(AND(B402=1,B403=1,B404=1,B405=1,B406=1),"Yes","")</f>
        <v/>
      </c>
      <c r="E407" t="inlineStr">
        <is>
          <t>No</t>
        </is>
      </c>
      <c r="F407" t="inlineStr">
        <is>
          <t>No</t>
        </is>
      </c>
      <c r="G407">
        <f>IF(F407="Yes",1-B407,B407)</f>
        <v/>
      </c>
      <c r="H407">
        <f>IF(E407="Yes","",COUNTIFS($E$2:E407,"No"))</f>
        <v/>
      </c>
      <c r="I407">
        <f>IF(H407="","",IF(H407&lt;=128,"address",IF(H407&lt;=600,"data1",IF(H407&lt;=1264,"zero-run1",IF(H407&lt;=1648,"data2",IF(H407&lt;=2176,"zero-run2",IF(H407&lt;=2192,"FCS","trailing")))))))</f>
        <v/>
      </c>
      <c r="J407">
        <f>IFERROR(IF(AND(H407&lt;&gt;"",H407&gt;=129,H407&lt;=2176),INDEX(Fields!$B$2:$B$206,MATCH(H407-129,Fields!$D$2:$D$206,1)),""),"")</f>
        <v/>
      </c>
      <c r="K407">
        <f>IFERROR(IF(AND(H407&lt;&gt;"",H407&gt;=129,H407&lt;=2176),INDEX(Fields!$C$2:$C$206,MATCH(H407-129,Fields!$D$2:$D$206,1)),""),"")</f>
        <v/>
      </c>
      <c r="L407">
        <f>IFERROR(IF(AND(H407&lt;&gt;"",H407&gt;=129,H407&lt;=2176),INDEX(Fields!$J$2:$J$206,MATCH(H407-129,Fields!$D$2:$D$206,1)),""),"")</f>
        <v/>
      </c>
      <c r="M407">
        <f>IFERROR(IF(AND(H407&lt;&gt;"",H407&gt;=129,H407&lt;=2176),INDEX(Fields!$K$2:$K$206,MATCH(H407-129,Fields!$D$2:$D$206,1)),""),"")</f>
        <v/>
      </c>
    </row>
    <row r="408">
      <c r="A408" t="n">
        <v>406</v>
      </c>
      <c r="B408" t="n">
        <v>0</v>
      </c>
      <c r="C408" t="inlineStr">
        <is>
          <t>No</t>
        </is>
      </c>
      <c r="D408">
        <f>IF(AND(B403=1,B404=1,B405=1,B406=1,B407=1),"Yes","")</f>
        <v/>
      </c>
      <c r="E408" t="inlineStr">
        <is>
          <t>No</t>
        </is>
      </c>
      <c r="F408" t="inlineStr">
        <is>
          <t>No</t>
        </is>
      </c>
      <c r="G408">
        <f>IF(F408="Yes",1-B408,B408)</f>
        <v/>
      </c>
      <c r="H408">
        <f>IF(E408="Yes","",COUNTIFS($E$2:E408,"No"))</f>
        <v/>
      </c>
      <c r="I408">
        <f>IF(H408="","",IF(H408&lt;=128,"address",IF(H408&lt;=600,"data1",IF(H408&lt;=1264,"zero-run1",IF(H408&lt;=1648,"data2",IF(H408&lt;=2176,"zero-run2",IF(H408&lt;=2192,"FCS","trailing")))))))</f>
        <v/>
      </c>
      <c r="J408">
        <f>IFERROR(IF(AND(H408&lt;&gt;"",H408&gt;=129,H408&lt;=2176),INDEX(Fields!$B$2:$B$206,MATCH(H408-129,Fields!$D$2:$D$206,1)),""),"")</f>
        <v/>
      </c>
      <c r="K408">
        <f>IFERROR(IF(AND(H408&lt;&gt;"",H408&gt;=129,H408&lt;=2176),INDEX(Fields!$C$2:$C$206,MATCH(H408-129,Fields!$D$2:$D$206,1)),""),"")</f>
        <v/>
      </c>
      <c r="L408">
        <f>IFERROR(IF(AND(H408&lt;&gt;"",H408&gt;=129,H408&lt;=2176),INDEX(Fields!$J$2:$J$206,MATCH(H408-129,Fields!$D$2:$D$206,1)),""),"")</f>
        <v/>
      </c>
      <c r="M408">
        <f>IFERROR(IF(AND(H408&lt;&gt;"",H408&gt;=129,H408&lt;=2176),INDEX(Fields!$K$2:$K$206,MATCH(H408-129,Fields!$D$2:$D$206,1)),""),"")</f>
        <v/>
      </c>
    </row>
    <row r="409">
      <c r="A409" t="n">
        <v>407</v>
      </c>
      <c r="B409" t="n">
        <v>0</v>
      </c>
      <c r="C409" t="inlineStr">
        <is>
          <t>No</t>
        </is>
      </c>
      <c r="D409">
        <f>IF(AND(B404=1,B405=1,B406=1,B407=1,B408=1),"Yes","")</f>
        <v/>
      </c>
      <c r="E409" t="inlineStr">
        <is>
          <t>No</t>
        </is>
      </c>
      <c r="F409" t="inlineStr">
        <is>
          <t>No</t>
        </is>
      </c>
      <c r="G409">
        <f>IF(F409="Yes",1-B409,B409)</f>
        <v/>
      </c>
      <c r="H409">
        <f>IF(E409="Yes","",COUNTIFS($E$2:E409,"No"))</f>
        <v/>
      </c>
      <c r="I409">
        <f>IF(H409="","",IF(H409&lt;=128,"address",IF(H409&lt;=600,"data1",IF(H409&lt;=1264,"zero-run1",IF(H409&lt;=1648,"data2",IF(H409&lt;=2176,"zero-run2",IF(H409&lt;=2192,"FCS","trailing")))))))</f>
        <v/>
      </c>
      <c r="J409">
        <f>IFERROR(IF(AND(H409&lt;&gt;"",H409&gt;=129,H409&lt;=2176),INDEX(Fields!$B$2:$B$206,MATCH(H409-129,Fields!$D$2:$D$206,1)),""),"")</f>
        <v/>
      </c>
      <c r="K409">
        <f>IFERROR(IF(AND(H409&lt;&gt;"",H409&gt;=129,H409&lt;=2176),INDEX(Fields!$C$2:$C$206,MATCH(H409-129,Fields!$D$2:$D$206,1)),""),"")</f>
        <v/>
      </c>
      <c r="L409">
        <f>IFERROR(IF(AND(H409&lt;&gt;"",H409&gt;=129,H409&lt;=2176),INDEX(Fields!$J$2:$J$206,MATCH(H409-129,Fields!$D$2:$D$206,1)),""),"")</f>
        <v/>
      </c>
      <c r="M409">
        <f>IFERROR(IF(AND(H409&lt;&gt;"",H409&gt;=129,H409&lt;=2176),INDEX(Fields!$K$2:$K$206,MATCH(H409-129,Fields!$D$2:$D$206,1)),""),"")</f>
        <v/>
      </c>
    </row>
    <row r="410">
      <c r="A410" t="n">
        <v>408</v>
      </c>
      <c r="B410" t="n">
        <v>0</v>
      </c>
      <c r="C410" t="inlineStr">
        <is>
          <t>No</t>
        </is>
      </c>
      <c r="D410">
        <f>IF(AND(B405=1,B406=1,B407=1,B408=1,B409=1),"Yes","")</f>
        <v/>
      </c>
      <c r="E410" t="inlineStr">
        <is>
          <t>No</t>
        </is>
      </c>
      <c r="F410" t="inlineStr">
        <is>
          <t>No</t>
        </is>
      </c>
      <c r="G410">
        <f>IF(F410="Yes",1-B410,B410)</f>
        <v/>
      </c>
      <c r="H410">
        <f>IF(E410="Yes","",COUNTIFS($E$2:E410,"No"))</f>
        <v/>
      </c>
      <c r="I410">
        <f>IF(H410="","",IF(H410&lt;=128,"address",IF(H410&lt;=600,"data1",IF(H410&lt;=1264,"zero-run1",IF(H410&lt;=1648,"data2",IF(H410&lt;=2176,"zero-run2",IF(H410&lt;=2192,"FCS","trailing")))))))</f>
        <v/>
      </c>
      <c r="J410">
        <f>IFERROR(IF(AND(H410&lt;&gt;"",H410&gt;=129,H410&lt;=2176),INDEX(Fields!$B$2:$B$206,MATCH(H410-129,Fields!$D$2:$D$206,1)),""),"")</f>
        <v/>
      </c>
      <c r="K410">
        <f>IFERROR(IF(AND(H410&lt;&gt;"",H410&gt;=129,H410&lt;=2176),INDEX(Fields!$C$2:$C$206,MATCH(H410-129,Fields!$D$2:$D$206,1)),""),"")</f>
        <v/>
      </c>
      <c r="L410">
        <f>IFERROR(IF(AND(H410&lt;&gt;"",H410&gt;=129,H410&lt;=2176),INDEX(Fields!$J$2:$J$206,MATCH(H410-129,Fields!$D$2:$D$206,1)),""),"")</f>
        <v/>
      </c>
      <c r="M410">
        <f>IFERROR(IF(AND(H410&lt;&gt;"",H410&gt;=129,H410&lt;=2176),INDEX(Fields!$K$2:$K$206,MATCH(H410-129,Fields!$D$2:$D$206,1)),""),"")</f>
        <v/>
      </c>
    </row>
    <row r="411">
      <c r="A411" t="n">
        <v>409</v>
      </c>
      <c r="B411" t="n">
        <v>0</v>
      </c>
      <c r="C411" t="inlineStr">
        <is>
          <t>No</t>
        </is>
      </c>
      <c r="D411">
        <f>IF(AND(B406=1,B407=1,B408=1,B409=1,B410=1),"Yes","")</f>
        <v/>
      </c>
      <c r="E411" t="inlineStr">
        <is>
          <t>No</t>
        </is>
      </c>
      <c r="F411" t="inlineStr">
        <is>
          <t>No</t>
        </is>
      </c>
      <c r="G411">
        <f>IF(F411="Yes",1-B411,B411)</f>
        <v/>
      </c>
      <c r="H411">
        <f>IF(E411="Yes","",COUNTIFS($E$2:E411,"No"))</f>
        <v/>
      </c>
      <c r="I411">
        <f>IF(H411="","",IF(H411&lt;=128,"address",IF(H411&lt;=600,"data1",IF(H411&lt;=1264,"zero-run1",IF(H411&lt;=1648,"data2",IF(H411&lt;=2176,"zero-run2",IF(H411&lt;=2192,"FCS","trailing")))))))</f>
        <v/>
      </c>
      <c r="J411">
        <f>IFERROR(IF(AND(H411&lt;&gt;"",H411&gt;=129,H411&lt;=2176),INDEX(Fields!$B$2:$B$206,MATCH(H411-129,Fields!$D$2:$D$206,1)),""),"")</f>
        <v/>
      </c>
      <c r="K411">
        <f>IFERROR(IF(AND(H411&lt;&gt;"",H411&gt;=129,H411&lt;=2176),INDEX(Fields!$C$2:$C$206,MATCH(H411-129,Fields!$D$2:$D$206,1)),""),"")</f>
        <v/>
      </c>
      <c r="L411">
        <f>IFERROR(IF(AND(H411&lt;&gt;"",H411&gt;=129,H411&lt;=2176),INDEX(Fields!$J$2:$J$206,MATCH(H411-129,Fields!$D$2:$D$206,1)),""),"")</f>
        <v/>
      </c>
      <c r="M411">
        <f>IFERROR(IF(AND(H411&lt;&gt;"",H411&gt;=129,H411&lt;=2176),INDEX(Fields!$K$2:$K$206,MATCH(H411-129,Fields!$D$2:$D$206,1)),""),"")</f>
        <v/>
      </c>
    </row>
    <row r="412">
      <c r="A412" t="n">
        <v>410</v>
      </c>
      <c r="B412" t="n">
        <v>0</v>
      </c>
      <c r="C412" t="inlineStr">
        <is>
          <t>No</t>
        </is>
      </c>
      <c r="D412">
        <f>IF(AND(B407=1,B408=1,B409=1,B410=1,B411=1),"Yes","")</f>
        <v/>
      </c>
      <c r="E412" t="inlineStr">
        <is>
          <t>No</t>
        </is>
      </c>
      <c r="F412" t="inlineStr">
        <is>
          <t>No</t>
        </is>
      </c>
      <c r="G412">
        <f>IF(F412="Yes",1-B412,B412)</f>
        <v/>
      </c>
      <c r="H412">
        <f>IF(E412="Yes","",COUNTIFS($E$2:E412,"No"))</f>
        <v/>
      </c>
      <c r="I412">
        <f>IF(H412="","",IF(H412&lt;=128,"address",IF(H412&lt;=600,"data1",IF(H412&lt;=1264,"zero-run1",IF(H412&lt;=1648,"data2",IF(H412&lt;=2176,"zero-run2",IF(H412&lt;=2192,"FCS","trailing")))))))</f>
        <v/>
      </c>
      <c r="J412">
        <f>IFERROR(IF(AND(H412&lt;&gt;"",H412&gt;=129,H412&lt;=2176),INDEX(Fields!$B$2:$B$206,MATCH(H412-129,Fields!$D$2:$D$206,1)),""),"")</f>
        <v/>
      </c>
      <c r="K412">
        <f>IFERROR(IF(AND(H412&lt;&gt;"",H412&gt;=129,H412&lt;=2176),INDEX(Fields!$C$2:$C$206,MATCH(H412-129,Fields!$D$2:$D$206,1)),""),"")</f>
        <v/>
      </c>
      <c r="L412">
        <f>IFERROR(IF(AND(H412&lt;&gt;"",H412&gt;=129,H412&lt;=2176),INDEX(Fields!$J$2:$J$206,MATCH(H412-129,Fields!$D$2:$D$206,1)),""),"")</f>
        <v/>
      </c>
      <c r="M412">
        <f>IFERROR(IF(AND(H412&lt;&gt;"",H412&gt;=129,H412&lt;=2176),INDEX(Fields!$K$2:$K$206,MATCH(H412-129,Fields!$D$2:$D$206,1)),""),"")</f>
        <v/>
      </c>
    </row>
    <row r="413">
      <c r="A413" t="n">
        <v>411</v>
      </c>
      <c r="B413" t="n">
        <v>0</v>
      </c>
      <c r="C413" t="inlineStr">
        <is>
          <t>No</t>
        </is>
      </c>
      <c r="D413">
        <f>IF(AND(B408=1,B409=1,B410=1,B411=1,B412=1),"Yes","")</f>
        <v/>
      </c>
      <c r="E413" t="inlineStr">
        <is>
          <t>No</t>
        </is>
      </c>
      <c r="F413" t="inlineStr">
        <is>
          <t>No</t>
        </is>
      </c>
      <c r="G413">
        <f>IF(F413="Yes",1-B413,B413)</f>
        <v/>
      </c>
      <c r="H413">
        <f>IF(E413="Yes","",COUNTIFS($E$2:E413,"No"))</f>
        <v/>
      </c>
      <c r="I413">
        <f>IF(H413="","",IF(H413&lt;=128,"address",IF(H413&lt;=600,"data1",IF(H413&lt;=1264,"zero-run1",IF(H413&lt;=1648,"data2",IF(H413&lt;=2176,"zero-run2",IF(H413&lt;=2192,"FCS","trailing")))))))</f>
        <v/>
      </c>
      <c r="J413">
        <f>IFERROR(IF(AND(H413&lt;&gt;"",H413&gt;=129,H413&lt;=2176),INDEX(Fields!$B$2:$B$206,MATCH(H413-129,Fields!$D$2:$D$206,1)),""),"")</f>
        <v/>
      </c>
      <c r="K413">
        <f>IFERROR(IF(AND(H413&lt;&gt;"",H413&gt;=129,H413&lt;=2176),INDEX(Fields!$C$2:$C$206,MATCH(H413-129,Fields!$D$2:$D$206,1)),""),"")</f>
        <v/>
      </c>
      <c r="L413">
        <f>IFERROR(IF(AND(H413&lt;&gt;"",H413&gt;=129,H413&lt;=2176),INDEX(Fields!$J$2:$J$206,MATCH(H413-129,Fields!$D$2:$D$206,1)),""),"")</f>
        <v/>
      </c>
      <c r="M413">
        <f>IFERROR(IF(AND(H413&lt;&gt;"",H413&gt;=129,H413&lt;=2176),INDEX(Fields!$K$2:$K$206,MATCH(H413-129,Fields!$D$2:$D$206,1)),""),"")</f>
        <v/>
      </c>
    </row>
    <row r="414">
      <c r="A414" t="n">
        <v>412</v>
      </c>
      <c r="B414" t="n">
        <v>0</v>
      </c>
      <c r="C414" t="inlineStr">
        <is>
          <t>No</t>
        </is>
      </c>
      <c r="D414">
        <f>IF(AND(B409=1,B410=1,B411=1,B412=1,B413=1),"Yes","")</f>
        <v/>
      </c>
      <c r="E414" t="inlineStr">
        <is>
          <t>No</t>
        </is>
      </c>
      <c r="F414" t="inlineStr">
        <is>
          <t>No</t>
        </is>
      </c>
      <c r="G414">
        <f>IF(F414="Yes",1-B414,B414)</f>
        <v/>
      </c>
      <c r="H414">
        <f>IF(E414="Yes","",COUNTIFS($E$2:E414,"No"))</f>
        <v/>
      </c>
      <c r="I414">
        <f>IF(H414="","",IF(H414&lt;=128,"address",IF(H414&lt;=600,"data1",IF(H414&lt;=1264,"zero-run1",IF(H414&lt;=1648,"data2",IF(H414&lt;=2176,"zero-run2",IF(H414&lt;=2192,"FCS","trailing")))))))</f>
        <v/>
      </c>
      <c r="J414">
        <f>IFERROR(IF(AND(H414&lt;&gt;"",H414&gt;=129,H414&lt;=2176),INDEX(Fields!$B$2:$B$206,MATCH(H414-129,Fields!$D$2:$D$206,1)),""),"")</f>
        <v/>
      </c>
      <c r="K414">
        <f>IFERROR(IF(AND(H414&lt;&gt;"",H414&gt;=129,H414&lt;=2176),INDEX(Fields!$C$2:$C$206,MATCH(H414-129,Fields!$D$2:$D$206,1)),""),"")</f>
        <v/>
      </c>
      <c r="L414">
        <f>IFERROR(IF(AND(H414&lt;&gt;"",H414&gt;=129,H414&lt;=2176),INDEX(Fields!$J$2:$J$206,MATCH(H414-129,Fields!$D$2:$D$206,1)),""),"")</f>
        <v/>
      </c>
      <c r="M414">
        <f>IFERROR(IF(AND(H414&lt;&gt;"",H414&gt;=129,H414&lt;=2176),INDEX(Fields!$K$2:$K$206,MATCH(H414-129,Fields!$D$2:$D$206,1)),""),"")</f>
        <v/>
      </c>
    </row>
    <row r="415">
      <c r="A415" t="n">
        <v>413</v>
      </c>
      <c r="B415" t="n">
        <v>0</v>
      </c>
      <c r="C415" t="inlineStr">
        <is>
          <t>No</t>
        </is>
      </c>
      <c r="D415">
        <f>IF(AND(B410=1,B411=1,B412=1,B413=1,B414=1),"Yes","")</f>
        <v/>
      </c>
      <c r="E415" t="inlineStr">
        <is>
          <t>No</t>
        </is>
      </c>
      <c r="F415" t="inlineStr">
        <is>
          <t>No</t>
        </is>
      </c>
      <c r="G415">
        <f>IF(F415="Yes",1-B415,B415)</f>
        <v/>
      </c>
      <c r="H415">
        <f>IF(E415="Yes","",COUNTIFS($E$2:E415,"No"))</f>
        <v/>
      </c>
      <c r="I415">
        <f>IF(H415="","",IF(H415&lt;=128,"address",IF(H415&lt;=600,"data1",IF(H415&lt;=1264,"zero-run1",IF(H415&lt;=1648,"data2",IF(H415&lt;=2176,"zero-run2",IF(H415&lt;=2192,"FCS","trailing")))))))</f>
        <v/>
      </c>
      <c r="J415">
        <f>IFERROR(IF(AND(H415&lt;&gt;"",H415&gt;=129,H415&lt;=2176),INDEX(Fields!$B$2:$B$206,MATCH(H415-129,Fields!$D$2:$D$206,1)),""),"")</f>
        <v/>
      </c>
      <c r="K415">
        <f>IFERROR(IF(AND(H415&lt;&gt;"",H415&gt;=129,H415&lt;=2176),INDEX(Fields!$C$2:$C$206,MATCH(H415-129,Fields!$D$2:$D$206,1)),""),"")</f>
        <v/>
      </c>
      <c r="L415">
        <f>IFERROR(IF(AND(H415&lt;&gt;"",H415&gt;=129,H415&lt;=2176),INDEX(Fields!$J$2:$J$206,MATCH(H415-129,Fields!$D$2:$D$206,1)),""),"")</f>
        <v/>
      </c>
      <c r="M415">
        <f>IFERROR(IF(AND(H415&lt;&gt;"",H415&gt;=129,H415&lt;=2176),INDEX(Fields!$K$2:$K$206,MATCH(H415-129,Fields!$D$2:$D$206,1)),""),"")</f>
        <v/>
      </c>
    </row>
    <row r="416">
      <c r="A416" t="n">
        <v>414</v>
      </c>
      <c r="B416" t="n">
        <v>0</v>
      </c>
      <c r="C416" t="inlineStr">
        <is>
          <t>No</t>
        </is>
      </c>
      <c r="D416">
        <f>IF(AND(B411=1,B412=1,B413=1,B414=1,B415=1),"Yes","")</f>
        <v/>
      </c>
      <c r="E416" t="inlineStr">
        <is>
          <t>No</t>
        </is>
      </c>
      <c r="F416" t="inlineStr">
        <is>
          <t>No</t>
        </is>
      </c>
      <c r="G416">
        <f>IF(F416="Yes",1-B416,B416)</f>
        <v/>
      </c>
      <c r="H416">
        <f>IF(E416="Yes","",COUNTIFS($E$2:E416,"No"))</f>
        <v/>
      </c>
      <c r="I416">
        <f>IF(H416="","",IF(H416&lt;=128,"address",IF(H416&lt;=600,"data1",IF(H416&lt;=1264,"zero-run1",IF(H416&lt;=1648,"data2",IF(H416&lt;=2176,"zero-run2",IF(H416&lt;=2192,"FCS","trailing")))))))</f>
        <v/>
      </c>
      <c r="J416">
        <f>IFERROR(IF(AND(H416&lt;&gt;"",H416&gt;=129,H416&lt;=2176),INDEX(Fields!$B$2:$B$206,MATCH(H416-129,Fields!$D$2:$D$206,1)),""),"")</f>
        <v/>
      </c>
      <c r="K416">
        <f>IFERROR(IF(AND(H416&lt;&gt;"",H416&gt;=129,H416&lt;=2176),INDEX(Fields!$C$2:$C$206,MATCH(H416-129,Fields!$D$2:$D$206,1)),""),"")</f>
        <v/>
      </c>
      <c r="L416">
        <f>IFERROR(IF(AND(H416&lt;&gt;"",H416&gt;=129,H416&lt;=2176),INDEX(Fields!$J$2:$J$206,MATCH(H416-129,Fields!$D$2:$D$206,1)),""),"")</f>
        <v/>
      </c>
      <c r="M416">
        <f>IFERROR(IF(AND(H416&lt;&gt;"",H416&gt;=129,H416&lt;=2176),INDEX(Fields!$K$2:$K$206,MATCH(H416-129,Fields!$D$2:$D$206,1)),""),"")</f>
        <v/>
      </c>
    </row>
    <row r="417">
      <c r="A417" t="n">
        <v>415</v>
      </c>
      <c r="B417" t="n">
        <v>0</v>
      </c>
      <c r="C417" t="inlineStr">
        <is>
          <t>No</t>
        </is>
      </c>
      <c r="D417">
        <f>IF(AND(B412=1,B413=1,B414=1,B415=1,B416=1),"Yes","")</f>
        <v/>
      </c>
      <c r="E417" t="inlineStr">
        <is>
          <t>No</t>
        </is>
      </c>
      <c r="F417" t="inlineStr">
        <is>
          <t>No</t>
        </is>
      </c>
      <c r="G417">
        <f>IF(F417="Yes",1-B417,B417)</f>
        <v/>
      </c>
      <c r="H417">
        <f>IF(E417="Yes","",COUNTIFS($E$2:E417,"No"))</f>
        <v/>
      </c>
      <c r="I417">
        <f>IF(H417="","",IF(H417&lt;=128,"address",IF(H417&lt;=600,"data1",IF(H417&lt;=1264,"zero-run1",IF(H417&lt;=1648,"data2",IF(H417&lt;=2176,"zero-run2",IF(H417&lt;=2192,"FCS","trailing")))))))</f>
        <v/>
      </c>
      <c r="J417">
        <f>IFERROR(IF(AND(H417&lt;&gt;"",H417&gt;=129,H417&lt;=2176),INDEX(Fields!$B$2:$B$206,MATCH(H417-129,Fields!$D$2:$D$206,1)),""),"")</f>
        <v/>
      </c>
      <c r="K417">
        <f>IFERROR(IF(AND(H417&lt;&gt;"",H417&gt;=129,H417&lt;=2176),INDEX(Fields!$C$2:$C$206,MATCH(H417-129,Fields!$D$2:$D$206,1)),""),"")</f>
        <v/>
      </c>
      <c r="L417">
        <f>IFERROR(IF(AND(H417&lt;&gt;"",H417&gt;=129,H417&lt;=2176),INDEX(Fields!$J$2:$J$206,MATCH(H417-129,Fields!$D$2:$D$206,1)),""),"")</f>
        <v/>
      </c>
      <c r="M417">
        <f>IFERROR(IF(AND(H417&lt;&gt;"",H417&gt;=129,H417&lt;=2176),INDEX(Fields!$K$2:$K$206,MATCH(H417-129,Fields!$D$2:$D$206,1)),""),"")</f>
        <v/>
      </c>
    </row>
    <row r="418">
      <c r="A418" t="n">
        <v>416</v>
      </c>
      <c r="B418" t="n">
        <v>0</v>
      </c>
      <c r="C418" t="inlineStr">
        <is>
          <t>No</t>
        </is>
      </c>
      <c r="D418">
        <f>IF(AND(B413=1,B414=1,B415=1,B416=1,B417=1),"Yes","")</f>
        <v/>
      </c>
      <c r="E418" t="inlineStr">
        <is>
          <t>No</t>
        </is>
      </c>
      <c r="F418" t="inlineStr">
        <is>
          <t>No</t>
        </is>
      </c>
      <c r="G418">
        <f>IF(F418="Yes",1-B418,B418)</f>
        <v/>
      </c>
      <c r="H418">
        <f>IF(E418="Yes","",COUNTIFS($E$2:E418,"No"))</f>
        <v/>
      </c>
      <c r="I418">
        <f>IF(H418="","",IF(H418&lt;=128,"address",IF(H418&lt;=600,"data1",IF(H418&lt;=1264,"zero-run1",IF(H418&lt;=1648,"data2",IF(H418&lt;=2176,"zero-run2",IF(H418&lt;=2192,"FCS","trailing")))))))</f>
        <v/>
      </c>
      <c r="J418">
        <f>IFERROR(IF(AND(H418&lt;&gt;"",H418&gt;=129,H418&lt;=2176),INDEX(Fields!$B$2:$B$206,MATCH(H418-129,Fields!$D$2:$D$206,1)),""),"")</f>
        <v/>
      </c>
      <c r="K418">
        <f>IFERROR(IF(AND(H418&lt;&gt;"",H418&gt;=129,H418&lt;=2176),INDEX(Fields!$C$2:$C$206,MATCH(H418-129,Fields!$D$2:$D$206,1)),""),"")</f>
        <v/>
      </c>
      <c r="L418">
        <f>IFERROR(IF(AND(H418&lt;&gt;"",H418&gt;=129,H418&lt;=2176),INDEX(Fields!$J$2:$J$206,MATCH(H418-129,Fields!$D$2:$D$206,1)),""),"")</f>
        <v/>
      </c>
      <c r="M418">
        <f>IFERROR(IF(AND(H418&lt;&gt;"",H418&gt;=129,H418&lt;=2176),INDEX(Fields!$K$2:$K$206,MATCH(H418-129,Fields!$D$2:$D$206,1)),""),"")</f>
        <v/>
      </c>
    </row>
    <row r="419">
      <c r="A419" t="n">
        <v>417</v>
      </c>
      <c r="B419" t="n">
        <v>0</v>
      </c>
      <c r="C419" t="inlineStr">
        <is>
          <t>No</t>
        </is>
      </c>
      <c r="D419">
        <f>IF(AND(B414=1,B415=1,B416=1,B417=1,B418=1),"Yes","")</f>
        <v/>
      </c>
      <c r="E419" t="inlineStr">
        <is>
          <t>No</t>
        </is>
      </c>
      <c r="F419" t="inlineStr">
        <is>
          <t>No</t>
        </is>
      </c>
      <c r="G419">
        <f>IF(F419="Yes",1-B419,B419)</f>
        <v/>
      </c>
      <c r="H419">
        <f>IF(E419="Yes","",COUNTIFS($E$2:E419,"No"))</f>
        <v/>
      </c>
      <c r="I419">
        <f>IF(H419="","",IF(H419&lt;=128,"address",IF(H419&lt;=600,"data1",IF(H419&lt;=1264,"zero-run1",IF(H419&lt;=1648,"data2",IF(H419&lt;=2176,"zero-run2",IF(H419&lt;=2192,"FCS","trailing")))))))</f>
        <v/>
      </c>
      <c r="J419">
        <f>IFERROR(IF(AND(H419&lt;&gt;"",H419&gt;=129,H419&lt;=2176),INDEX(Fields!$B$2:$B$206,MATCH(H419-129,Fields!$D$2:$D$206,1)),""),"")</f>
        <v/>
      </c>
      <c r="K419">
        <f>IFERROR(IF(AND(H419&lt;&gt;"",H419&gt;=129,H419&lt;=2176),INDEX(Fields!$C$2:$C$206,MATCH(H419-129,Fields!$D$2:$D$206,1)),""),"")</f>
        <v/>
      </c>
      <c r="L419">
        <f>IFERROR(IF(AND(H419&lt;&gt;"",H419&gt;=129,H419&lt;=2176),INDEX(Fields!$J$2:$J$206,MATCH(H419-129,Fields!$D$2:$D$206,1)),""),"")</f>
        <v/>
      </c>
      <c r="M419">
        <f>IFERROR(IF(AND(H419&lt;&gt;"",H419&gt;=129,H419&lt;=2176),INDEX(Fields!$K$2:$K$206,MATCH(H419-129,Fields!$D$2:$D$206,1)),""),"")</f>
        <v/>
      </c>
    </row>
    <row r="420">
      <c r="A420" t="n">
        <v>418</v>
      </c>
      <c r="B420" t="n">
        <v>0</v>
      </c>
      <c r="C420" t="inlineStr">
        <is>
          <t>No</t>
        </is>
      </c>
      <c r="D420">
        <f>IF(AND(B415=1,B416=1,B417=1,B418=1,B419=1),"Yes","")</f>
        <v/>
      </c>
      <c r="E420" t="inlineStr">
        <is>
          <t>No</t>
        </is>
      </c>
      <c r="F420" t="inlineStr">
        <is>
          <t>No</t>
        </is>
      </c>
      <c r="G420">
        <f>IF(F420="Yes",1-B420,B420)</f>
        <v/>
      </c>
      <c r="H420">
        <f>IF(E420="Yes","",COUNTIFS($E$2:E420,"No"))</f>
        <v/>
      </c>
      <c r="I420">
        <f>IF(H420="","",IF(H420&lt;=128,"address",IF(H420&lt;=600,"data1",IF(H420&lt;=1264,"zero-run1",IF(H420&lt;=1648,"data2",IF(H420&lt;=2176,"zero-run2",IF(H420&lt;=2192,"FCS","trailing")))))))</f>
        <v/>
      </c>
      <c r="J420">
        <f>IFERROR(IF(AND(H420&lt;&gt;"",H420&gt;=129,H420&lt;=2176),INDEX(Fields!$B$2:$B$206,MATCH(H420-129,Fields!$D$2:$D$206,1)),""),"")</f>
        <v/>
      </c>
      <c r="K420">
        <f>IFERROR(IF(AND(H420&lt;&gt;"",H420&gt;=129,H420&lt;=2176),INDEX(Fields!$C$2:$C$206,MATCH(H420-129,Fields!$D$2:$D$206,1)),""),"")</f>
        <v/>
      </c>
      <c r="L420">
        <f>IFERROR(IF(AND(H420&lt;&gt;"",H420&gt;=129,H420&lt;=2176),INDEX(Fields!$J$2:$J$206,MATCH(H420-129,Fields!$D$2:$D$206,1)),""),"")</f>
        <v/>
      </c>
      <c r="M420">
        <f>IFERROR(IF(AND(H420&lt;&gt;"",H420&gt;=129,H420&lt;=2176),INDEX(Fields!$K$2:$K$206,MATCH(H420-129,Fields!$D$2:$D$206,1)),""),"")</f>
        <v/>
      </c>
    </row>
    <row r="421">
      <c r="A421" t="n">
        <v>419</v>
      </c>
      <c r="B421" t="n">
        <v>0</v>
      </c>
      <c r="C421" t="inlineStr">
        <is>
          <t>No</t>
        </is>
      </c>
      <c r="D421">
        <f>IF(AND(B416=1,B417=1,B418=1,B419=1,B420=1),"Yes","")</f>
        <v/>
      </c>
      <c r="E421" t="inlineStr">
        <is>
          <t>No</t>
        </is>
      </c>
      <c r="F421" t="inlineStr">
        <is>
          <t>No</t>
        </is>
      </c>
      <c r="G421">
        <f>IF(F421="Yes",1-B421,B421)</f>
        <v/>
      </c>
      <c r="H421">
        <f>IF(E421="Yes","",COUNTIFS($E$2:E421,"No"))</f>
        <v/>
      </c>
      <c r="I421">
        <f>IF(H421="","",IF(H421&lt;=128,"address",IF(H421&lt;=600,"data1",IF(H421&lt;=1264,"zero-run1",IF(H421&lt;=1648,"data2",IF(H421&lt;=2176,"zero-run2",IF(H421&lt;=2192,"FCS","trailing")))))))</f>
        <v/>
      </c>
      <c r="J421">
        <f>IFERROR(IF(AND(H421&lt;&gt;"",H421&gt;=129,H421&lt;=2176),INDEX(Fields!$B$2:$B$206,MATCH(H421-129,Fields!$D$2:$D$206,1)),""),"")</f>
        <v/>
      </c>
      <c r="K421">
        <f>IFERROR(IF(AND(H421&lt;&gt;"",H421&gt;=129,H421&lt;=2176),INDEX(Fields!$C$2:$C$206,MATCH(H421-129,Fields!$D$2:$D$206,1)),""),"")</f>
        <v/>
      </c>
      <c r="L421">
        <f>IFERROR(IF(AND(H421&lt;&gt;"",H421&gt;=129,H421&lt;=2176),INDEX(Fields!$J$2:$J$206,MATCH(H421-129,Fields!$D$2:$D$206,1)),""),"")</f>
        <v/>
      </c>
      <c r="M421">
        <f>IFERROR(IF(AND(H421&lt;&gt;"",H421&gt;=129,H421&lt;=2176),INDEX(Fields!$K$2:$K$206,MATCH(H421-129,Fields!$D$2:$D$206,1)),""),"")</f>
        <v/>
      </c>
    </row>
    <row r="422">
      <c r="A422" t="n">
        <v>420</v>
      </c>
      <c r="B422" t="n">
        <v>0</v>
      </c>
      <c r="C422" t="inlineStr">
        <is>
          <t>No</t>
        </is>
      </c>
      <c r="D422">
        <f>IF(AND(B417=1,B418=1,B419=1,B420=1,B421=1),"Yes","")</f>
        <v/>
      </c>
      <c r="E422" t="inlineStr">
        <is>
          <t>No</t>
        </is>
      </c>
      <c r="F422" t="inlineStr">
        <is>
          <t>No</t>
        </is>
      </c>
      <c r="G422">
        <f>IF(F422="Yes",1-B422,B422)</f>
        <v/>
      </c>
      <c r="H422">
        <f>IF(E422="Yes","",COUNTIFS($E$2:E422,"No"))</f>
        <v/>
      </c>
      <c r="I422">
        <f>IF(H422="","",IF(H422&lt;=128,"address",IF(H422&lt;=600,"data1",IF(H422&lt;=1264,"zero-run1",IF(H422&lt;=1648,"data2",IF(H422&lt;=2176,"zero-run2",IF(H422&lt;=2192,"FCS","trailing")))))))</f>
        <v/>
      </c>
      <c r="J422">
        <f>IFERROR(IF(AND(H422&lt;&gt;"",H422&gt;=129,H422&lt;=2176),INDEX(Fields!$B$2:$B$206,MATCH(H422-129,Fields!$D$2:$D$206,1)),""),"")</f>
        <v/>
      </c>
      <c r="K422">
        <f>IFERROR(IF(AND(H422&lt;&gt;"",H422&gt;=129,H422&lt;=2176),INDEX(Fields!$C$2:$C$206,MATCH(H422-129,Fields!$D$2:$D$206,1)),""),"")</f>
        <v/>
      </c>
      <c r="L422">
        <f>IFERROR(IF(AND(H422&lt;&gt;"",H422&gt;=129,H422&lt;=2176),INDEX(Fields!$J$2:$J$206,MATCH(H422-129,Fields!$D$2:$D$206,1)),""),"")</f>
        <v/>
      </c>
      <c r="M422">
        <f>IFERROR(IF(AND(H422&lt;&gt;"",H422&gt;=129,H422&lt;=2176),INDEX(Fields!$K$2:$K$206,MATCH(H422-129,Fields!$D$2:$D$206,1)),""),"")</f>
        <v/>
      </c>
    </row>
    <row r="423">
      <c r="A423" t="n">
        <v>421</v>
      </c>
      <c r="B423" t="n">
        <v>1</v>
      </c>
      <c r="C423" t="inlineStr">
        <is>
          <t>No</t>
        </is>
      </c>
      <c r="D423">
        <f>IF(AND(B418=1,B419=1,B420=1,B421=1,B422=1),"Yes","")</f>
        <v/>
      </c>
      <c r="E423" t="inlineStr">
        <is>
          <t>No</t>
        </is>
      </c>
      <c r="F423" t="inlineStr">
        <is>
          <t>No</t>
        </is>
      </c>
      <c r="G423">
        <f>IF(F423="Yes",1-B423,B423)</f>
        <v/>
      </c>
      <c r="H423">
        <f>IF(E423="Yes","",COUNTIFS($E$2:E423,"No"))</f>
        <v/>
      </c>
      <c r="I423">
        <f>IF(H423="","",IF(H423&lt;=128,"address",IF(H423&lt;=600,"data1",IF(H423&lt;=1264,"zero-run1",IF(H423&lt;=1648,"data2",IF(H423&lt;=2176,"zero-run2",IF(H423&lt;=2192,"FCS","trailing")))))))</f>
        <v/>
      </c>
      <c r="J423">
        <f>IFERROR(IF(AND(H423&lt;&gt;"",H423&gt;=129,H423&lt;=2176),INDEX(Fields!$B$2:$B$206,MATCH(H423-129,Fields!$D$2:$D$206,1)),""),"")</f>
        <v/>
      </c>
      <c r="K423">
        <f>IFERROR(IF(AND(H423&lt;&gt;"",H423&gt;=129,H423&lt;=2176),INDEX(Fields!$C$2:$C$206,MATCH(H423-129,Fields!$D$2:$D$206,1)),""),"")</f>
        <v/>
      </c>
      <c r="L423">
        <f>IFERROR(IF(AND(H423&lt;&gt;"",H423&gt;=129,H423&lt;=2176),INDEX(Fields!$J$2:$J$206,MATCH(H423-129,Fields!$D$2:$D$206,1)),""),"")</f>
        <v/>
      </c>
      <c r="M423">
        <f>IFERROR(IF(AND(H423&lt;&gt;"",H423&gt;=129,H423&lt;=2176),INDEX(Fields!$K$2:$K$206,MATCH(H423-129,Fields!$D$2:$D$206,1)),""),"")</f>
        <v/>
      </c>
    </row>
    <row r="424">
      <c r="A424" t="n">
        <v>422</v>
      </c>
      <c r="B424" t="n">
        <v>0</v>
      </c>
      <c r="C424" s="4" t="inlineStr">
        <is>
          <t>Yes</t>
        </is>
      </c>
      <c r="D424">
        <f>IF(AND(B419=1,B420=1,B421=1,B422=1,B423=1),"Yes","")</f>
        <v/>
      </c>
      <c r="E424" t="inlineStr">
        <is>
          <t>No</t>
        </is>
      </c>
      <c r="F424" t="inlineStr">
        <is>
          <t>No</t>
        </is>
      </c>
      <c r="G424">
        <f>IF(F424="Yes",1-B424,B424)</f>
        <v/>
      </c>
      <c r="H424">
        <f>IF(E424="Yes","",COUNTIFS($E$2:E424,"No"))</f>
        <v/>
      </c>
      <c r="I424">
        <f>IF(H424="","",IF(H424&lt;=128,"address",IF(H424&lt;=600,"data1",IF(H424&lt;=1264,"zero-run1",IF(H424&lt;=1648,"data2",IF(H424&lt;=2176,"zero-run2",IF(H424&lt;=2192,"FCS","trailing")))))))</f>
        <v/>
      </c>
      <c r="J424">
        <f>IFERROR(IF(AND(H424&lt;&gt;"",H424&gt;=129,H424&lt;=2176),INDEX(Fields!$B$2:$B$206,MATCH(H424-129,Fields!$D$2:$D$206,1)),""),"")</f>
        <v/>
      </c>
      <c r="K424">
        <f>IFERROR(IF(AND(H424&lt;&gt;"",H424&gt;=129,H424&lt;=2176),INDEX(Fields!$C$2:$C$206,MATCH(H424-129,Fields!$D$2:$D$206,1)),""),"")</f>
        <v/>
      </c>
      <c r="L424">
        <f>IFERROR(IF(AND(H424&lt;&gt;"",H424&gt;=129,H424&lt;=2176),INDEX(Fields!$J$2:$J$206,MATCH(H424-129,Fields!$D$2:$D$206,1)),""),"")</f>
        <v/>
      </c>
      <c r="M424">
        <f>IFERROR(IF(AND(H424&lt;&gt;"",H424&gt;=129,H424&lt;=2176),INDEX(Fields!$K$2:$K$206,MATCH(H424-129,Fields!$D$2:$D$206,1)),""),"")</f>
        <v/>
      </c>
    </row>
    <row r="425">
      <c r="A425" t="n">
        <v>423</v>
      </c>
      <c r="B425" t="n">
        <v>0</v>
      </c>
      <c r="C425" t="inlineStr">
        <is>
          <t>No</t>
        </is>
      </c>
      <c r="D425">
        <f>IF(AND(B420=1,B421=1,B422=1,B423=1,B424=1),"Yes","")</f>
        <v/>
      </c>
      <c r="E425" t="inlineStr">
        <is>
          <t>No</t>
        </is>
      </c>
      <c r="F425" t="inlineStr">
        <is>
          <t>No</t>
        </is>
      </c>
      <c r="G425">
        <f>IF(F425="Yes",1-B425,B425)</f>
        <v/>
      </c>
      <c r="H425">
        <f>IF(E425="Yes","",COUNTIFS($E$2:E425,"No"))</f>
        <v/>
      </c>
      <c r="I425">
        <f>IF(H425="","",IF(H425&lt;=128,"address",IF(H425&lt;=600,"data1",IF(H425&lt;=1264,"zero-run1",IF(H425&lt;=1648,"data2",IF(H425&lt;=2176,"zero-run2",IF(H425&lt;=2192,"FCS","trailing")))))))</f>
        <v/>
      </c>
      <c r="J425">
        <f>IFERROR(IF(AND(H425&lt;&gt;"",H425&gt;=129,H425&lt;=2176),INDEX(Fields!$B$2:$B$206,MATCH(H425-129,Fields!$D$2:$D$206,1)),""),"")</f>
        <v/>
      </c>
      <c r="K425">
        <f>IFERROR(IF(AND(H425&lt;&gt;"",H425&gt;=129,H425&lt;=2176),INDEX(Fields!$C$2:$C$206,MATCH(H425-129,Fields!$D$2:$D$206,1)),""),"")</f>
        <v/>
      </c>
      <c r="L425">
        <f>IFERROR(IF(AND(H425&lt;&gt;"",H425&gt;=129,H425&lt;=2176),INDEX(Fields!$J$2:$J$206,MATCH(H425-129,Fields!$D$2:$D$206,1)),""),"")</f>
        <v/>
      </c>
      <c r="M425">
        <f>IFERROR(IF(AND(H425&lt;&gt;"",H425&gt;=129,H425&lt;=2176),INDEX(Fields!$K$2:$K$206,MATCH(H425-129,Fields!$D$2:$D$206,1)),""),"")</f>
        <v/>
      </c>
    </row>
    <row r="426">
      <c r="A426" t="n">
        <v>424</v>
      </c>
      <c r="B426" t="n">
        <v>0</v>
      </c>
      <c r="C426" t="inlineStr">
        <is>
          <t>No</t>
        </is>
      </c>
      <c r="D426">
        <f>IF(AND(B421=1,B422=1,B423=1,B424=1,B425=1),"Yes","")</f>
        <v/>
      </c>
      <c r="E426" t="inlineStr">
        <is>
          <t>No</t>
        </is>
      </c>
      <c r="F426" t="inlineStr">
        <is>
          <t>No</t>
        </is>
      </c>
      <c r="G426">
        <f>IF(F426="Yes",1-B426,B426)</f>
        <v/>
      </c>
      <c r="H426">
        <f>IF(E426="Yes","",COUNTIFS($E$2:E426,"No"))</f>
        <v/>
      </c>
      <c r="I426">
        <f>IF(H426="","",IF(H426&lt;=128,"address",IF(H426&lt;=600,"data1",IF(H426&lt;=1264,"zero-run1",IF(H426&lt;=1648,"data2",IF(H426&lt;=2176,"zero-run2",IF(H426&lt;=2192,"FCS","trailing")))))))</f>
        <v/>
      </c>
      <c r="J426">
        <f>IFERROR(IF(AND(H426&lt;&gt;"",H426&gt;=129,H426&lt;=2176),INDEX(Fields!$B$2:$B$206,MATCH(H426-129,Fields!$D$2:$D$206,1)),""),"")</f>
        <v/>
      </c>
      <c r="K426">
        <f>IFERROR(IF(AND(H426&lt;&gt;"",H426&gt;=129,H426&lt;=2176),INDEX(Fields!$C$2:$C$206,MATCH(H426-129,Fields!$D$2:$D$206,1)),""),"")</f>
        <v/>
      </c>
      <c r="L426">
        <f>IFERROR(IF(AND(H426&lt;&gt;"",H426&gt;=129,H426&lt;=2176),INDEX(Fields!$J$2:$J$206,MATCH(H426-129,Fields!$D$2:$D$206,1)),""),"")</f>
        <v/>
      </c>
      <c r="M426">
        <f>IFERROR(IF(AND(H426&lt;&gt;"",H426&gt;=129,H426&lt;=2176),INDEX(Fields!$K$2:$K$206,MATCH(H426-129,Fields!$D$2:$D$206,1)),""),"")</f>
        <v/>
      </c>
    </row>
    <row r="427">
      <c r="A427" t="n">
        <v>425</v>
      </c>
      <c r="B427" t="n">
        <v>1</v>
      </c>
      <c r="C427" t="inlineStr">
        <is>
          <t>No</t>
        </is>
      </c>
      <c r="D427">
        <f>IF(AND(B422=1,B423=1,B424=1,B425=1,B426=1),"Yes","")</f>
        <v/>
      </c>
      <c r="E427" t="inlineStr">
        <is>
          <t>No</t>
        </is>
      </c>
      <c r="F427" t="inlineStr">
        <is>
          <t>No</t>
        </is>
      </c>
      <c r="G427">
        <f>IF(F427="Yes",1-B427,B427)</f>
        <v/>
      </c>
      <c r="H427">
        <f>IF(E427="Yes","",COUNTIFS($E$2:E427,"No"))</f>
        <v/>
      </c>
      <c r="I427">
        <f>IF(H427="","",IF(H427&lt;=128,"address",IF(H427&lt;=600,"data1",IF(H427&lt;=1264,"zero-run1",IF(H427&lt;=1648,"data2",IF(H427&lt;=2176,"zero-run2",IF(H427&lt;=2192,"FCS","trailing")))))))</f>
        <v/>
      </c>
      <c r="J427">
        <f>IFERROR(IF(AND(H427&lt;&gt;"",H427&gt;=129,H427&lt;=2176),INDEX(Fields!$B$2:$B$206,MATCH(H427-129,Fields!$D$2:$D$206,1)),""),"")</f>
        <v/>
      </c>
      <c r="K427">
        <f>IFERROR(IF(AND(H427&lt;&gt;"",H427&gt;=129,H427&lt;=2176),INDEX(Fields!$C$2:$C$206,MATCH(H427-129,Fields!$D$2:$D$206,1)),""),"")</f>
        <v/>
      </c>
      <c r="L427">
        <f>IFERROR(IF(AND(H427&lt;&gt;"",H427&gt;=129,H427&lt;=2176),INDEX(Fields!$J$2:$J$206,MATCH(H427-129,Fields!$D$2:$D$206,1)),""),"")</f>
        <v/>
      </c>
      <c r="M427">
        <f>IFERROR(IF(AND(H427&lt;&gt;"",H427&gt;=129,H427&lt;=2176),INDEX(Fields!$K$2:$K$206,MATCH(H427-129,Fields!$D$2:$D$206,1)),""),"")</f>
        <v/>
      </c>
    </row>
    <row r="428">
      <c r="A428" t="n">
        <v>426</v>
      </c>
      <c r="B428" t="n">
        <v>1</v>
      </c>
      <c r="C428" t="inlineStr">
        <is>
          <t>No</t>
        </is>
      </c>
      <c r="D428">
        <f>IF(AND(B423=1,B424=1,B425=1,B426=1,B427=1),"Yes","")</f>
        <v/>
      </c>
      <c r="E428" t="inlineStr">
        <is>
          <t>No</t>
        </is>
      </c>
      <c r="F428" t="inlineStr">
        <is>
          <t>No</t>
        </is>
      </c>
      <c r="G428">
        <f>IF(F428="Yes",1-B428,B428)</f>
        <v/>
      </c>
      <c r="H428">
        <f>IF(E428="Yes","",COUNTIFS($E$2:E428,"No"))</f>
        <v/>
      </c>
      <c r="I428">
        <f>IF(H428="","",IF(H428&lt;=128,"address",IF(H428&lt;=600,"data1",IF(H428&lt;=1264,"zero-run1",IF(H428&lt;=1648,"data2",IF(H428&lt;=2176,"zero-run2",IF(H428&lt;=2192,"FCS","trailing")))))))</f>
        <v/>
      </c>
      <c r="J428">
        <f>IFERROR(IF(AND(H428&lt;&gt;"",H428&gt;=129,H428&lt;=2176),INDEX(Fields!$B$2:$B$206,MATCH(H428-129,Fields!$D$2:$D$206,1)),""),"")</f>
        <v/>
      </c>
      <c r="K428">
        <f>IFERROR(IF(AND(H428&lt;&gt;"",H428&gt;=129,H428&lt;=2176),INDEX(Fields!$C$2:$C$206,MATCH(H428-129,Fields!$D$2:$D$206,1)),""),"")</f>
        <v/>
      </c>
      <c r="L428">
        <f>IFERROR(IF(AND(H428&lt;&gt;"",H428&gt;=129,H428&lt;=2176),INDEX(Fields!$J$2:$J$206,MATCH(H428-129,Fields!$D$2:$D$206,1)),""),"")</f>
        <v/>
      </c>
      <c r="M428">
        <f>IFERROR(IF(AND(H428&lt;&gt;"",H428&gt;=129,H428&lt;=2176),INDEX(Fields!$K$2:$K$206,MATCH(H428-129,Fields!$D$2:$D$206,1)),""),"")</f>
        <v/>
      </c>
    </row>
    <row r="429">
      <c r="A429" t="n">
        <v>427</v>
      </c>
      <c r="B429" t="n">
        <v>0</v>
      </c>
      <c r="C429" t="inlineStr">
        <is>
          <t>No</t>
        </is>
      </c>
      <c r="D429">
        <f>IF(AND(B424=1,B425=1,B426=1,B427=1,B428=1),"Yes","")</f>
        <v/>
      </c>
      <c r="E429" t="inlineStr">
        <is>
          <t>No</t>
        </is>
      </c>
      <c r="F429" t="inlineStr">
        <is>
          <t>No</t>
        </is>
      </c>
      <c r="G429">
        <f>IF(F429="Yes",1-B429,B429)</f>
        <v/>
      </c>
      <c r="H429">
        <f>IF(E429="Yes","",COUNTIFS($E$2:E429,"No"))</f>
        <v/>
      </c>
      <c r="I429">
        <f>IF(H429="","",IF(H429&lt;=128,"address",IF(H429&lt;=600,"data1",IF(H429&lt;=1264,"zero-run1",IF(H429&lt;=1648,"data2",IF(H429&lt;=2176,"zero-run2",IF(H429&lt;=2192,"FCS","trailing")))))))</f>
        <v/>
      </c>
      <c r="J429">
        <f>IFERROR(IF(AND(H429&lt;&gt;"",H429&gt;=129,H429&lt;=2176),INDEX(Fields!$B$2:$B$206,MATCH(H429-129,Fields!$D$2:$D$206,1)),""),"")</f>
        <v/>
      </c>
      <c r="K429">
        <f>IFERROR(IF(AND(H429&lt;&gt;"",H429&gt;=129,H429&lt;=2176),INDEX(Fields!$C$2:$C$206,MATCH(H429-129,Fields!$D$2:$D$206,1)),""),"")</f>
        <v/>
      </c>
      <c r="L429">
        <f>IFERROR(IF(AND(H429&lt;&gt;"",H429&gt;=129,H429&lt;=2176),INDEX(Fields!$J$2:$J$206,MATCH(H429-129,Fields!$D$2:$D$206,1)),""),"")</f>
        <v/>
      </c>
      <c r="M429">
        <f>IFERROR(IF(AND(H429&lt;&gt;"",H429&gt;=129,H429&lt;=2176),INDEX(Fields!$K$2:$K$206,MATCH(H429-129,Fields!$D$2:$D$206,1)),""),"")</f>
        <v/>
      </c>
    </row>
    <row r="430">
      <c r="A430" t="n">
        <v>428</v>
      </c>
      <c r="B430" t="n">
        <v>0</v>
      </c>
      <c r="C430" t="inlineStr">
        <is>
          <t>No</t>
        </is>
      </c>
      <c r="D430">
        <f>IF(AND(B425=1,B426=1,B427=1,B428=1,B429=1),"Yes","")</f>
        <v/>
      </c>
      <c r="E430" t="inlineStr">
        <is>
          <t>No</t>
        </is>
      </c>
      <c r="F430" t="inlineStr">
        <is>
          <t>No</t>
        </is>
      </c>
      <c r="G430">
        <f>IF(F430="Yes",1-B430,B430)</f>
        <v/>
      </c>
      <c r="H430">
        <f>IF(E430="Yes","",COUNTIFS($E$2:E430,"No"))</f>
        <v/>
      </c>
      <c r="I430">
        <f>IF(H430="","",IF(H430&lt;=128,"address",IF(H430&lt;=600,"data1",IF(H430&lt;=1264,"zero-run1",IF(H430&lt;=1648,"data2",IF(H430&lt;=2176,"zero-run2",IF(H430&lt;=2192,"FCS","trailing")))))))</f>
        <v/>
      </c>
      <c r="J430">
        <f>IFERROR(IF(AND(H430&lt;&gt;"",H430&gt;=129,H430&lt;=2176),INDEX(Fields!$B$2:$B$206,MATCH(H430-129,Fields!$D$2:$D$206,1)),""),"")</f>
        <v/>
      </c>
      <c r="K430">
        <f>IFERROR(IF(AND(H430&lt;&gt;"",H430&gt;=129,H430&lt;=2176),INDEX(Fields!$C$2:$C$206,MATCH(H430-129,Fields!$D$2:$D$206,1)),""),"")</f>
        <v/>
      </c>
      <c r="L430">
        <f>IFERROR(IF(AND(H430&lt;&gt;"",H430&gt;=129,H430&lt;=2176),INDEX(Fields!$J$2:$J$206,MATCH(H430-129,Fields!$D$2:$D$206,1)),""),"")</f>
        <v/>
      </c>
      <c r="M430">
        <f>IFERROR(IF(AND(H430&lt;&gt;"",H430&gt;=129,H430&lt;=2176),INDEX(Fields!$K$2:$K$206,MATCH(H430-129,Fields!$D$2:$D$206,1)),""),"")</f>
        <v/>
      </c>
    </row>
    <row r="431">
      <c r="A431" t="n">
        <v>429</v>
      </c>
      <c r="B431" t="n">
        <v>0</v>
      </c>
      <c r="C431" t="inlineStr">
        <is>
          <t>No</t>
        </is>
      </c>
      <c r="D431">
        <f>IF(AND(B426=1,B427=1,B428=1,B429=1,B430=1),"Yes","")</f>
        <v/>
      </c>
      <c r="E431" t="inlineStr">
        <is>
          <t>No</t>
        </is>
      </c>
      <c r="F431" t="inlineStr">
        <is>
          <t>No</t>
        </is>
      </c>
      <c r="G431">
        <f>IF(F431="Yes",1-B431,B431)</f>
        <v/>
      </c>
      <c r="H431">
        <f>IF(E431="Yes","",COUNTIFS($E$2:E431,"No"))</f>
        <v/>
      </c>
      <c r="I431">
        <f>IF(H431="","",IF(H431&lt;=128,"address",IF(H431&lt;=600,"data1",IF(H431&lt;=1264,"zero-run1",IF(H431&lt;=1648,"data2",IF(H431&lt;=2176,"zero-run2",IF(H431&lt;=2192,"FCS","trailing")))))))</f>
        <v/>
      </c>
      <c r="J431">
        <f>IFERROR(IF(AND(H431&lt;&gt;"",H431&gt;=129,H431&lt;=2176),INDEX(Fields!$B$2:$B$206,MATCH(H431-129,Fields!$D$2:$D$206,1)),""),"")</f>
        <v/>
      </c>
      <c r="K431">
        <f>IFERROR(IF(AND(H431&lt;&gt;"",H431&gt;=129,H431&lt;=2176),INDEX(Fields!$C$2:$C$206,MATCH(H431-129,Fields!$D$2:$D$206,1)),""),"")</f>
        <v/>
      </c>
      <c r="L431">
        <f>IFERROR(IF(AND(H431&lt;&gt;"",H431&gt;=129,H431&lt;=2176),INDEX(Fields!$J$2:$J$206,MATCH(H431-129,Fields!$D$2:$D$206,1)),""),"")</f>
        <v/>
      </c>
      <c r="M431">
        <f>IFERROR(IF(AND(H431&lt;&gt;"",H431&gt;=129,H431&lt;=2176),INDEX(Fields!$K$2:$K$206,MATCH(H431-129,Fields!$D$2:$D$206,1)),""),"")</f>
        <v/>
      </c>
    </row>
    <row r="432">
      <c r="A432" t="n">
        <v>430</v>
      </c>
      <c r="B432" t="n">
        <v>1</v>
      </c>
      <c r="C432" t="inlineStr">
        <is>
          <t>No</t>
        </is>
      </c>
      <c r="D432">
        <f>IF(AND(B427=1,B428=1,B429=1,B430=1,B431=1),"Yes","")</f>
        <v/>
      </c>
      <c r="E432" t="inlineStr">
        <is>
          <t>No</t>
        </is>
      </c>
      <c r="F432" t="inlineStr">
        <is>
          <t>No</t>
        </is>
      </c>
      <c r="G432">
        <f>IF(F432="Yes",1-B432,B432)</f>
        <v/>
      </c>
      <c r="H432">
        <f>IF(E432="Yes","",COUNTIFS($E$2:E432,"No"))</f>
        <v/>
      </c>
      <c r="I432">
        <f>IF(H432="","",IF(H432&lt;=128,"address",IF(H432&lt;=600,"data1",IF(H432&lt;=1264,"zero-run1",IF(H432&lt;=1648,"data2",IF(H432&lt;=2176,"zero-run2",IF(H432&lt;=2192,"FCS","trailing")))))))</f>
        <v/>
      </c>
      <c r="J432">
        <f>IFERROR(IF(AND(H432&lt;&gt;"",H432&gt;=129,H432&lt;=2176),INDEX(Fields!$B$2:$B$206,MATCH(H432-129,Fields!$D$2:$D$206,1)),""),"")</f>
        <v/>
      </c>
      <c r="K432">
        <f>IFERROR(IF(AND(H432&lt;&gt;"",H432&gt;=129,H432&lt;=2176),INDEX(Fields!$C$2:$C$206,MATCH(H432-129,Fields!$D$2:$D$206,1)),""),"")</f>
        <v/>
      </c>
      <c r="L432">
        <f>IFERROR(IF(AND(H432&lt;&gt;"",H432&gt;=129,H432&lt;=2176),INDEX(Fields!$J$2:$J$206,MATCH(H432-129,Fields!$D$2:$D$206,1)),""),"")</f>
        <v/>
      </c>
      <c r="M432">
        <f>IFERROR(IF(AND(H432&lt;&gt;"",H432&gt;=129,H432&lt;=2176),INDEX(Fields!$K$2:$K$206,MATCH(H432-129,Fields!$D$2:$D$206,1)),""),"")</f>
        <v/>
      </c>
    </row>
    <row r="433">
      <c r="A433" t="n">
        <v>431</v>
      </c>
      <c r="B433" t="n">
        <v>0</v>
      </c>
      <c r="C433" t="inlineStr">
        <is>
          <t>No</t>
        </is>
      </c>
      <c r="D433">
        <f>IF(AND(B428=1,B429=1,B430=1,B431=1,B432=1),"Yes","")</f>
        <v/>
      </c>
      <c r="E433" t="inlineStr">
        <is>
          <t>No</t>
        </is>
      </c>
      <c r="F433" t="inlineStr">
        <is>
          <t>No</t>
        </is>
      </c>
      <c r="G433">
        <f>IF(F433="Yes",1-B433,B433)</f>
        <v/>
      </c>
      <c r="H433">
        <f>IF(E433="Yes","",COUNTIFS($E$2:E433,"No"))</f>
        <v/>
      </c>
      <c r="I433">
        <f>IF(H433="","",IF(H433&lt;=128,"address",IF(H433&lt;=600,"data1",IF(H433&lt;=1264,"zero-run1",IF(H433&lt;=1648,"data2",IF(H433&lt;=2176,"zero-run2",IF(H433&lt;=2192,"FCS","trailing")))))))</f>
        <v/>
      </c>
      <c r="J433">
        <f>IFERROR(IF(AND(H433&lt;&gt;"",H433&gt;=129,H433&lt;=2176),INDEX(Fields!$B$2:$B$206,MATCH(H433-129,Fields!$D$2:$D$206,1)),""),"")</f>
        <v/>
      </c>
      <c r="K433">
        <f>IFERROR(IF(AND(H433&lt;&gt;"",H433&gt;=129,H433&lt;=2176),INDEX(Fields!$C$2:$C$206,MATCH(H433-129,Fields!$D$2:$D$206,1)),""),"")</f>
        <v/>
      </c>
      <c r="L433">
        <f>IFERROR(IF(AND(H433&lt;&gt;"",H433&gt;=129,H433&lt;=2176),INDEX(Fields!$J$2:$J$206,MATCH(H433-129,Fields!$D$2:$D$206,1)),""),"")</f>
        <v/>
      </c>
      <c r="M433">
        <f>IFERROR(IF(AND(H433&lt;&gt;"",H433&gt;=129,H433&lt;=2176),INDEX(Fields!$K$2:$K$206,MATCH(H433-129,Fields!$D$2:$D$206,1)),""),"")</f>
        <v/>
      </c>
    </row>
    <row r="434">
      <c r="A434" t="n">
        <v>432</v>
      </c>
      <c r="B434" t="n">
        <v>0</v>
      </c>
      <c r="C434" t="inlineStr">
        <is>
          <t>No</t>
        </is>
      </c>
      <c r="D434">
        <f>IF(AND(B429=1,B430=1,B431=1,B432=1,B433=1),"Yes","")</f>
        <v/>
      </c>
      <c r="E434" t="inlineStr">
        <is>
          <t>No</t>
        </is>
      </c>
      <c r="F434" t="inlineStr">
        <is>
          <t>No</t>
        </is>
      </c>
      <c r="G434">
        <f>IF(F434="Yes",1-B434,B434)</f>
        <v/>
      </c>
      <c r="H434">
        <f>IF(E434="Yes","",COUNTIFS($E$2:E434,"No"))</f>
        <v/>
      </c>
      <c r="I434">
        <f>IF(H434="","",IF(H434&lt;=128,"address",IF(H434&lt;=600,"data1",IF(H434&lt;=1264,"zero-run1",IF(H434&lt;=1648,"data2",IF(H434&lt;=2176,"zero-run2",IF(H434&lt;=2192,"FCS","trailing")))))))</f>
        <v/>
      </c>
      <c r="J434">
        <f>IFERROR(IF(AND(H434&lt;&gt;"",H434&gt;=129,H434&lt;=2176),INDEX(Fields!$B$2:$B$206,MATCH(H434-129,Fields!$D$2:$D$206,1)),""),"")</f>
        <v/>
      </c>
      <c r="K434">
        <f>IFERROR(IF(AND(H434&lt;&gt;"",H434&gt;=129,H434&lt;=2176),INDEX(Fields!$C$2:$C$206,MATCH(H434-129,Fields!$D$2:$D$206,1)),""),"")</f>
        <v/>
      </c>
      <c r="L434">
        <f>IFERROR(IF(AND(H434&lt;&gt;"",H434&gt;=129,H434&lt;=2176),INDEX(Fields!$J$2:$J$206,MATCH(H434-129,Fields!$D$2:$D$206,1)),""),"")</f>
        <v/>
      </c>
      <c r="M434">
        <f>IFERROR(IF(AND(H434&lt;&gt;"",H434&gt;=129,H434&lt;=2176),INDEX(Fields!$K$2:$K$206,MATCH(H434-129,Fields!$D$2:$D$206,1)),""),"")</f>
        <v/>
      </c>
    </row>
    <row r="435">
      <c r="A435" t="n">
        <v>433</v>
      </c>
      <c r="B435" t="n">
        <v>0</v>
      </c>
      <c r="C435" t="inlineStr">
        <is>
          <t>No</t>
        </is>
      </c>
      <c r="D435">
        <f>IF(AND(B430=1,B431=1,B432=1,B433=1,B434=1),"Yes","")</f>
        <v/>
      </c>
      <c r="E435" t="inlineStr">
        <is>
          <t>No</t>
        </is>
      </c>
      <c r="F435" t="inlineStr">
        <is>
          <t>No</t>
        </is>
      </c>
      <c r="G435">
        <f>IF(F435="Yes",1-B435,B435)</f>
        <v/>
      </c>
      <c r="H435">
        <f>IF(E435="Yes","",COUNTIFS($E$2:E435,"No"))</f>
        <v/>
      </c>
      <c r="I435">
        <f>IF(H435="","",IF(H435&lt;=128,"address",IF(H435&lt;=600,"data1",IF(H435&lt;=1264,"zero-run1",IF(H435&lt;=1648,"data2",IF(H435&lt;=2176,"zero-run2",IF(H435&lt;=2192,"FCS","trailing")))))))</f>
        <v/>
      </c>
      <c r="J435">
        <f>IFERROR(IF(AND(H435&lt;&gt;"",H435&gt;=129,H435&lt;=2176),INDEX(Fields!$B$2:$B$206,MATCH(H435-129,Fields!$D$2:$D$206,1)),""),"")</f>
        <v/>
      </c>
      <c r="K435">
        <f>IFERROR(IF(AND(H435&lt;&gt;"",H435&gt;=129,H435&lt;=2176),INDEX(Fields!$C$2:$C$206,MATCH(H435-129,Fields!$D$2:$D$206,1)),""),"")</f>
        <v/>
      </c>
      <c r="L435">
        <f>IFERROR(IF(AND(H435&lt;&gt;"",H435&gt;=129,H435&lt;=2176),INDEX(Fields!$J$2:$J$206,MATCH(H435-129,Fields!$D$2:$D$206,1)),""),"")</f>
        <v/>
      </c>
      <c r="M435">
        <f>IFERROR(IF(AND(H435&lt;&gt;"",H435&gt;=129,H435&lt;=2176),INDEX(Fields!$K$2:$K$206,MATCH(H435-129,Fields!$D$2:$D$206,1)),""),"")</f>
        <v/>
      </c>
    </row>
    <row r="436">
      <c r="A436" t="n">
        <v>434</v>
      </c>
      <c r="B436" t="n">
        <v>0</v>
      </c>
      <c r="C436" t="inlineStr">
        <is>
          <t>No</t>
        </is>
      </c>
      <c r="D436">
        <f>IF(AND(B431=1,B432=1,B433=1,B434=1,B435=1),"Yes","")</f>
        <v/>
      </c>
      <c r="E436" t="inlineStr">
        <is>
          <t>No</t>
        </is>
      </c>
      <c r="F436" t="inlineStr">
        <is>
          <t>No</t>
        </is>
      </c>
      <c r="G436">
        <f>IF(F436="Yes",1-B436,B436)</f>
        <v/>
      </c>
      <c r="H436">
        <f>IF(E436="Yes","",COUNTIFS($E$2:E436,"No"))</f>
        <v/>
      </c>
      <c r="I436">
        <f>IF(H436="","",IF(H436&lt;=128,"address",IF(H436&lt;=600,"data1",IF(H436&lt;=1264,"zero-run1",IF(H436&lt;=1648,"data2",IF(H436&lt;=2176,"zero-run2",IF(H436&lt;=2192,"FCS","trailing")))))))</f>
        <v/>
      </c>
      <c r="J436">
        <f>IFERROR(IF(AND(H436&lt;&gt;"",H436&gt;=129,H436&lt;=2176),INDEX(Fields!$B$2:$B$206,MATCH(H436-129,Fields!$D$2:$D$206,1)),""),"")</f>
        <v/>
      </c>
      <c r="K436">
        <f>IFERROR(IF(AND(H436&lt;&gt;"",H436&gt;=129,H436&lt;=2176),INDEX(Fields!$C$2:$C$206,MATCH(H436-129,Fields!$D$2:$D$206,1)),""),"")</f>
        <v/>
      </c>
      <c r="L436">
        <f>IFERROR(IF(AND(H436&lt;&gt;"",H436&gt;=129,H436&lt;=2176),INDEX(Fields!$J$2:$J$206,MATCH(H436-129,Fields!$D$2:$D$206,1)),""),"")</f>
        <v/>
      </c>
      <c r="M436">
        <f>IFERROR(IF(AND(H436&lt;&gt;"",H436&gt;=129,H436&lt;=2176),INDEX(Fields!$K$2:$K$206,MATCH(H436-129,Fields!$D$2:$D$206,1)),""),"")</f>
        <v/>
      </c>
    </row>
    <row r="437">
      <c r="A437" t="n">
        <v>435</v>
      </c>
      <c r="B437" t="n">
        <v>0</v>
      </c>
      <c r="C437" t="inlineStr">
        <is>
          <t>No</t>
        </is>
      </c>
      <c r="D437">
        <f>IF(AND(B432=1,B433=1,B434=1,B435=1,B436=1),"Yes","")</f>
        <v/>
      </c>
      <c r="E437" t="inlineStr">
        <is>
          <t>No</t>
        </is>
      </c>
      <c r="F437" t="inlineStr">
        <is>
          <t>No</t>
        </is>
      </c>
      <c r="G437">
        <f>IF(F437="Yes",1-B437,B437)</f>
        <v/>
      </c>
      <c r="H437">
        <f>IF(E437="Yes","",COUNTIFS($E$2:E437,"No"))</f>
        <v/>
      </c>
      <c r="I437">
        <f>IF(H437="","",IF(H437&lt;=128,"address",IF(H437&lt;=600,"data1",IF(H437&lt;=1264,"zero-run1",IF(H437&lt;=1648,"data2",IF(H437&lt;=2176,"zero-run2",IF(H437&lt;=2192,"FCS","trailing")))))))</f>
        <v/>
      </c>
      <c r="J437">
        <f>IFERROR(IF(AND(H437&lt;&gt;"",H437&gt;=129,H437&lt;=2176),INDEX(Fields!$B$2:$B$206,MATCH(H437-129,Fields!$D$2:$D$206,1)),""),"")</f>
        <v/>
      </c>
      <c r="K437">
        <f>IFERROR(IF(AND(H437&lt;&gt;"",H437&gt;=129,H437&lt;=2176),INDEX(Fields!$C$2:$C$206,MATCH(H437-129,Fields!$D$2:$D$206,1)),""),"")</f>
        <v/>
      </c>
      <c r="L437">
        <f>IFERROR(IF(AND(H437&lt;&gt;"",H437&gt;=129,H437&lt;=2176),INDEX(Fields!$J$2:$J$206,MATCH(H437-129,Fields!$D$2:$D$206,1)),""),"")</f>
        <v/>
      </c>
      <c r="M437">
        <f>IFERROR(IF(AND(H437&lt;&gt;"",H437&gt;=129,H437&lt;=2176),INDEX(Fields!$K$2:$K$206,MATCH(H437-129,Fields!$D$2:$D$206,1)),""),"")</f>
        <v/>
      </c>
    </row>
    <row r="438">
      <c r="A438" t="n">
        <v>436</v>
      </c>
      <c r="B438" t="n">
        <v>0</v>
      </c>
      <c r="C438" t="inlineStr">
        <is>
          <t>No</t>
        </is>
      </c>
      <c r="D438">
        <f>IF(AND(B433=1,B434=1,B435=1,B436=1,B437=1),"Yes","")</f>
        <v/>
      </c>
      <c r="E438" t="inlineStr">
        <is>
          <t>No</t>
        </is>
      </c>
      <c r="F438" t="inlineStr">
        <is>
          <t>No</t>
        </is>
      </c>
      <c r="G438">
        <f>IF(F438="Yes",1-B438,B438)</f>
        <v/>
      </c>
      <c r="H438">
        <f>IF(E438="Yes","",COUNTIFS($E$2:E438,"No"))</f>
        <v/>
      </c>
      <c r="I438">
        <f>IF(H438="","",IF(H438&lt;=128,"address",IF(H438&lt;=600,"data1",IF(H438&lt;=1264,"zero-run1",IF(H438&lt;=1648,"data2",IF(H438&lt;=2176,"zero-run2",IF(H438&lt;=2192,"FCS","trailing")))))))</f>
        <v/>
      </c>
      <c r="J438">
        <f>IFERROR(IF(AND(H438&lt;&gt;"",H438&gt;=129,H438&lt;=2176),INDEX(Fields!$B$2:$B$206,MATCH(H438-129,Fields!$D$2:$D$206,1)),""),"")</f>
        <v/>
      </c>
      <c r="K438">
        <f>IFERROR(IF(AND(H438&lt;&gt;"",H438&gt;=129,H438&lt;=2176),INDEX(Fields!$C$2:$C$206,MATCH(H438-129,Fields!$D$2:$D$206,1)),""),"")</f>
        <v/>
      </c>
      <c r="L438">
        <f>IFERROR(IF(AND(H438&lt;&gt;"",H438&gt;=129,H438&lt;=2176),INDEX(Fields!$J$2:$J$206,MATCH(H438-129,Fields!$D$2:$D$206,1)),""),"")</f>
        <v/>
      </c>
      <c r="M438">
        <f>IFERROR(IF(AND(H438&lt;&gt;"",H438&gt;=129,H438&lt;=2176),INDEX(Fields!$K$2:$K$206,MATCH(H438-129,Fields!$D$2:$D$206,1)),""),"")</f>
        <v/>
      </c>
    </row>
    <row r="439">
      <c r="A439" t="n">
        <v>437</v>
      </c>
      <c r="B439" t="n">
        <v>0</v>
      </c>
      <c r="C439" t="inlineStr">
        <is>
          <t>No</t>
        </is>
      </c>
      <c r="D439">
        <f>IF(AND(B434=1,B435=1,B436=1,B437=1,B438=1),"Yes","")</f>
        <v/>
      </c>
      <c r="E439" t="inlineStr">
        <is>
          <t>No</t>
        </is>
      </c>
      <c r="F439" t="inlineStr">
        <is>
          <t>No</t>
        </is>
      </c>
      <c r="G439">
        <f>IF(F439="Yes",1-B439,B439)</f>
        <v/>
      </c>
      <c r="H439">
        <f>IF(E439="Yes","",COUNTIFS($E$2:E439,"No"))</f>
        <v/>
      </c>
      <c r="I439">
        <f>IF(H439="","",IF(H439&lt;=128,"address",IF(H439&lt;=600,"data1",IF(H439&lt;=1264,"zero-run1",IF(H439&lt;=1648,"data2",IF(H439&lt;=2176,"zero-run2",IF(H439&lt;=2192,"FCS","trailing")))))))</f>
        <v/>
      </c>
      <c r="J439">
        <f>IFERROR(IF(AND(H439&lt;&gt;"",H439&gt;=129,H439&lt;=2176),INDEX(Fields!$B$2:$B$206,MATCH(H439-129,Fields!$D$2:$D$206,1)),""),"")</f>
        <v/>
      </c>
      <c r="K439">
        <f>IFERROR(IF(AND(H439&lt;&gt;"",H439&gt;=129,H439&lt;=2176),INDEX(Fields!$C$2:$C$206,MATCH(H439-129,Fields!$D$2:$D$206,1)),""),"")</f>
        <v/>
      </c>
      <c r="L439">
        <f>IFERROR(IF(AND(H439&lt;&gt;"",H439&gt;=129,H439&lt;=2176),INDEX(Fields!$J$2:$J$206,MATCH(H439-129,Fields!$D$2:$D$206,1)),""),"")</f>
        <v/>
      </c>
      <c r="M439">
        <f>IFERROR(IF(AND(H439&lt;&gt;"",H439&gt;=129,H439&lt;=2176),INDEX(Fields!$K$2:$K$206,MATCH(H439-129,Fields!$D$2:$D$206,1)),""),"")</f>
        <v/>
      </c>
    </row>
    <row r="440">
      <c r="A440" t="n">
        <v>438</v>
      </c>
      <c r="B440" t="n">
        <v>0</v>
      </c>
      <c r="C440" t="inlineStr">
        <is>
          <t>No</t>
        </is>
      </c>
      <c r="D440">
        <f>IF(AND(B435=1,B436=1,B437=1,B438=1,B439=1),"Yes","")</f>
        <v/>
      </c>
      <c r="E440" t="inlineStr">
        <is>
          <t>No</t>
        </is>
      </c>
      <c r="F440" t="inlineStr">
        <is>
          <t>No</t>
        </is>
      </c>
      <c r="G440">
        <f>IF(F440="Yes",1-B440,B440)</f>
        <v/>
      </c>
      <c r="H440">
        <f>IF(E440="Yes","",COUNTIFS($E$2:E440,"No"))</f>
        <v/>
      </c>
      <c r="I440">
        <f>IF(H440="","",IF(H440&lt;=128,"address",IF(H440&lt;=600,"data1",IF(H440&lt;=1264,"zero-run1",IF(H440&lt;=1648,"data2",IF(H440&lt;=2176,"zero-run2",IF(H440&lt;=2192,"FCS","trailing")))))))</f>
        <v/>
      </c>
      <c r="J440">
        <f>IFERROR(IF(AND(H440&lt;&gt;"",H440&gt;=129,H440&lt;=2176),INDEX(Fields!$B$2:$B$206,MATCH(H440-129,Fields!$D$2:$D$206,1)),""),"")</f>
        <v/>
      </c>
      <c r="K440">
        <f>IFERROR(IF(AND(H440&lt;&gt;"",H440&gt;=129,H440&lt;=2176),INDEX(Fields!$C$2:$C$206,MATCH(H440-129,Fields!$D$2:$D$206,1)),""),"")</f>
        <v/>
      </c>
      <c r="L440">
        <f>IFERROR(IF(AND(H440&lt;&gt;"",H440&gt;=129,H440&lt;=2176),INDEX(Fields!$J$2:$J$206,MATCH(H440-129,Fields!$D$2:$D$206,1)),""),"")</f>
        <v/>
      </c>
      <c r="M440">
        <f>IFERROR(IF(AND(H440&lt;&gt;"",H440&gt;=129,H440&lt;=2176),INDEX(Fields!$K$2:$K$206,MATCH(H440-129,Fields!$D$2:$D$206,1)),""),"")</f>
        <v/>
      </c>
    </row>
    <row r="441">
      <c r="A441" t="n">
        <v>439</v>
      </c>
      <c r="B441" t="n">
        <v>0</v>
      </c>
      <c r="C441" t="inlineStr">
        <is>
          <t>No</t>
        </is>
      </c>
      <c r="D441">
        <f>IF(AND(B436=1,B437=1,B438=1,B439=1,B440=1),"Yes","")</f>
        <v/>
      </c>
      <c r="E441" t="inlineStr">
        <is>
          <t>No</t>
        </is>
      </c>
      <c r="F441" t="inlineStr">
        <is>
          <t>No</t>
        </is>
      </c>
      <c r="G441">
        <f>IF(F441="Yes",1-B441,B441)</f>
        <v/>
      </c>
      <c r="H441">
        <f>IF(E441="Yes","",COUNTIFS($E$2:E441,"No"))</f>
        <v/>
      </c>
      <c r="I441">
        <f>IF(H441="","",IF(H441&lt;=128,"address",IF(H441&lt;=600,"data1",IF(H441&lt;=1264,"zero-run1",IF(H441&lt;=1648,"data2",IF(H441&lt;=2176,"zero-run2",IF(H441&lt;=2192,"FCS","trailing")))))))</f>
        <v/>
      </c>
      <c r="J441">
        <f>IFERROR(IF(AND(H441&lt;&gt;"",H441&gt;=129,H441&lt;=2176),INDEX(Fields!$B$2:$B$206,MATCH(H441-129,Fields!$D$2:$D$206,1)),""),"")</f>
        <v/>
      </c>
      <c r="K441">
        <f>IFERROR(IF(AND(H441&lt;&gt;"",H441&gt;=129,H441&lt;=2176),INDEX(Fields!$C$2:$C$206,MATCH(H441-129,Fields!$D$2:$D$206,1)),""),"")</f>
        <v/>
      </c>
      <c r="L441">
        <f>IFERROR(IF(AND(H441&lt;&gt;"",H441&gt;=129,H441&lt;=2176),INDEX(Fields!$J$2:$J$206,MATCH(H441-129,Fields!$D$2:$D$206,1)),""),"")</f>
        <v/>
      </c>
      <c r="M441">
        <f>IFERROR(IF(AND(H441&lt;&gt;"",H441&gt;=129,H441&lt;=2176),INDEX(Fields!$K$2:$K$206,MATCH(H441-129,Fields!$D$2:$D$206,1)),""),"")</f>
        <v/>
      </c>
    </row>
    <row r="442">
      <c r="A442" t="n">
        <v>440</v>
      </c>
      <c r="B442" t="n">
        <v>0</v>
      </c>
      <c r="C442" t="inlineStr">
        <is>
          <t>No</t>
        </is>
      </c>
      <c r="D442">
        <f>IF(AND(B437=1,B438=1,B439=1,B440=1,B441=1),"Yes","")</f>
        <v/>
      </c>
      <c r="E442" t="inlineStr">
        <is>
          <t>No</t>
        </is>
      </c>
      <c r="F442" t="inlineStr">
        <is>
          <t>No</t>
        </is>
      </c>
      <c r="G442">
        <f>IF(F442="Yes",1-B442,B442)</f>
        <v/>
      </c>
      <c r="H442">
        <f>IF(E442="Yes","",COUNTIFS($E$2:E442,"No"))</f>
        <v/>
      </c>
      <c r="I442">
        <f>IF(H442="","",IF(H442&lt;=128,"address",IF(H442&lt;=600,"data1",IF(H442&lt;=1264,"zero-run1",IF(H442&lt;=1648,"data2",IF(H442&lt;=2176,"zero-run2",IF(H442&lt;=2192,"FCS","trailing")))))))</f>
        <v/>
      </c>
      <c r="J442">
        <f>IFERROR(IF(AND(H442&lt;&gt;"",H442&gt;=129,H442&lt;=2176),INDEX(Fields!$B$2:$B$206,MATCH(H442-129,Fields!$D$2:$D$206,1)),""),"")</f>
        <v/>
      </c>
      <c r="K442">
        <f>IFERROR(IF(AND(H442&lt;&gt;"",H442&gt;=129,H442&lt;=2176),INDEX(Fields!$C$2:$C$206,MATCH(H442-129,Fields!$D$2:$D$206,1)),""),"")</f>
        <v/>
      </c>
      <c r="L442">
        <f>IFERROR(IF(AND(H442&lt;&gt;"",H442&gt;=129,H442&lt;=2176),INDEX(Fields!$J$2:$J$206,MATCH(H442-129,Fields!$D$2:$D$206,1)),""),"")</f>
        <v/>
      </c>
      <c r="M442">
        <f>IFERROR(IF(AND(H442&lt;&gt;"",H442&gt;=129,H442&lt;=2176),INDEX(Fields!$K$2:$K$206,MATCH(H442-129,Fields!$D$2:$D$206,1)),""),"")</f>
        <v/>
      </c>
    </row>
    <row r="443">
      <c r="A443" t="n">
        <v>441</v>
      </c>
      <c r="B443" t="n">
        <v>0</v>
      </c>
      <c r="C443" t="inlineStr">
        <is>
          <t>No</t>
        </is>
      </c>
      <c r="D443">
        <f>IF(AND(B438=1,B439=1,B440=1,B441=1,B442=1),"Yes","")</f>
        <v/>
      </c>
      <c r="E443" t="inlineStr">
        <is>
          <t>No</t>
        </is>
      </c>
      <c r="F443" t="inlineStr">
        <is>
          <t>No</t>
        </is>
      </c>
      <c r="G443">
        <f>IF(F443="Yes",1-B443,B443)</f>
        <v/>
      </c>
      <c r="H443">
        <f>IF(E443="Yes","",COUNTIFS($E$2:E443,"No"))</f>
        <v/>
      </c>
      <c r="I443">
        <f>IF(H443="","",IF(H443&lt;=128,"address",IF(H443&lt;=600,"data1",IF(H443&lt;=1264,"zero-run1",IF(H443&lt;=1648,"data2",IF(H443&lt;=2176,"zero-run2",IF(H443&lt;=2192,"FCS","trailing")))))))</f>
        <v/>
      </c>
      <c r="J443">
        <f>IFERROR(IF(AND(H443&lt;&gt;"",H443&gt;=129,H443&lt;=2176),INDEX(Fields!$B$2:$B$206,MATCH(H443-129,Fields!$D$2:$D$206,1)),""),"")</f>
        <v/>
      </c>
      <c r="K443">
        <f>IFERROR(IF(AND(H443&lt;&gt;"",H443&gt;=129,H443&lt;=2176),INDEX(Fields!$C$2:$C$206,MATCH(H443-129,Fields!$D$2:$D$206,1)),""),"")</f>
        <v/>
      </c>
      <c r="L443">
        <f>IFERROR(IF(AND(H443&lt;&gt;"",H443&gt;=129,H443&lt;=2176),INDEX(Fields!$J$2:$J$206,MATCH(H443-129,Fields!$D$2:$D$206,1)),""),"")</f>
        <v/>
      </c>
      <c r="M443">
        <f>IFERROR(IF(AND(H443&lt;&gt;"",H443&gt;=129,H443&lt;=2176),INDEX(Fields!$K$2:$K$206,MATCH(H443-129,Fields!$D$2:$D$206,1)),""),"")</f>
        <v/>
      </c>
    </row>
    <row r="444">
      <c r="A444" t="n">
        <v>442</v>
      </c>
      <c r="B444" t="n">
        <v>0</v>
      </c>
      <c r="C444" t="inlineStr">
        <is>
          <t>No</t>
        </is>
      </c>
      <c r="D444">
        <f>IF(AND(B439=1,B440=1,B441=1,B442=1,B443=1),"Yes","")</f>
        <v/>
      </c>
      <c r="E444" t="inlineStr">
        <is>
          <t>No</t>
        </is>
      </c>
      <c r="F444" t="inlineStr">
        <is>
          <t>No</t>
        </is>
      </c>
      <c r="G444">
        <f>IF(F444="Yes",1-B444,B444)</f>
        <v/>
      </c>
      <c r="H444">
        <f>IF(E444="Yes","",COUNTIFS($E$2:E444,"No"))</f>
        <v/>
      </c>
      <c r="I444">
        <f>IF(H444="","",IF(H444&lt;=128,"address",IF(H444&lt;=600,"data1",IF(H444&lt;=1264,"zero-run1",IF(H444&lt;=1648,"data2",IF(H444&lt;=2176,"zero-run2",IF(H444&lt;=2192,"FCS","trailing")))))))</f>
        <v/>
      </c>
      <c r="J444">
        <f>IFERROR(IF(AND(H444&lt;&gt;"",H444&gt;=129,H444&lt;=2176),INDEX(Fields!$B$2:$B$206,MATCH(H444-129,Fields!$D$2:$D$206,1)),""),"")</f>
        <v/>
      </c>
      <c r="K444">
        <f>IFERROR(IF(AND(H444&lt;&gt;"",H444&gt;=129,H444&lt;=2176),INDEX(Fields!$C$2:$C$206,MATCH(H444-129,Fields!$D$2:$D$206,1)),""),"")</f>
        <v/>
      </c>
      <c r="L444">
        <f>IFERROR(IF(AND(H444&lt;&gt;"",H444&gt;=129,H444&lt;=2176),INDEX(Fields!$J$2:$J$206,MATCH(H444-129,Fields!$D$2:$D$206,1)),""),"")</f>
        <v/>
      </c>
      <c r="M444">
        <f>IFERROR(IF(AND(H444&lt;&gt;"",H444&gt;=129,H444&lt;=2176),INDEX(Fields!$K$2:$K$206,MATCH(H444-129,Fields!$D$2:$D$206,1)),""),"")</f>
        <v/>
      </c>
    </row>
    <row r="445">
      <c r="A445" t="n">
        <v>443</v>
      </c>
      <c r="B445" t="n">
        <v>0</v>
      </c>
      <c r="C445" t="inlineStr">
        <is>
          <t>No</t>
        </is>
      </c>
      <c r="D445">
        <f>IF(AND(B440=1,B441=1,B442=1,B443=1,B444=1),"Yes","")</f>
        <v/>
      </c>
      <c r="E445" t="inlineStr">
        <is>
          <t>No</t>
        </is>
      </c>
      <c r="F445" t="inlineStr">
        <is>
          <t>No</t>
        </is>
      </c>
      <c r="G445">
        <f>IF(F445="Yes",1-B445,B445)</f>
        <v/>
      </c>
      <c r="H445">
        <f>IF(E445="Yes","",COUNTIFS($E$2:E445,"No"))</f>
        <v/>
      </c>
      <c r="I445">
        <f>IF(H445="","",IF(H445&lt;=128,"address",IF(H445&lt;=600,"data1",IF(H445&lt;=1264,"zero-run1",IF(H445&lt;=1648,"data2",IF(H445&lt;=2176,"zero-run2",IF(H445&lt;=2192,"FCS","trailing")))))))</f>
        <v/>
      </c>
      <c r="J445">
        <f>IFERROR(IF(AND(H445&lt;&gt;"",H445&gt;=129,H445&lt;=2176),INDEX(Fields!$B$2:$B$206,MATCH(H445-129,Fields!$D$2:$D$206,1)),""),"")</f>
        <v/>
      </c>
      <c r="K445">
        <f>IFERROR(IF(AND(H445&lt;&gt;"",H445&gt;=129,H445&lt;=2176),INDEX(Fields!$C$2:$C$206,MATCH(H445-129,Fields!$D$2:$D$206,1)),""),"")</f>
        <v/>
      </c>
      <c r="L445">
        <f>IFERROR(IF(AND(H445&lt;&gt;"",H445&gt;=129,H445&lt;=2176),INDEX(Fields!$J$2:$J$206,MATCH(H445-129,Fields!$D$2:$D$206,1)),""),"")</f>
        <v/>
      </c>
      <c r="M445">
        <f>IFERROR(IF(AND(H445&lt;&gt;"",H445&gt;=129,H445&lt;=2176),INDEX(Fields!$K$2:$K$206,MATCH(H445-129,Fields!$D$2:$D$206,1)),""),"")</f>
        <v/>
      </c>
    </row>
    <row r="446">
      <c r="A446" t="n">
        <v>444</v>
      </c>
      <c r="B446" t="n">
        <v>0</v>
      </c>
      <c r="C446" t="inlineStr">
        <is>
          <t>No</t>
        </is>
      </c>
      <c r="D446">
        <f>IF(AND(B441=1,B442=1,B443=1,B444=1,B445=1),"Yes","")</f>
        <v/>
      </c>
      <c r="E446" t="inlineStr">
        <is>
          <t>No</t>
        </is>
      </c>
      <c r="F446" t="inlineStr">
        <is>
          <t>No</t>
        </is>
      </c>
      <c r="G446">
        <f>IF(F446="Yes",1-B446,B446)</f>
        <v/>
      </c>
      <c r="H446">
        <f>IF(E446="Yes","",COUNTIFS($E$2:E446,"No"))</f>
        <v/>
      </c>
      <c r="I446">
        <f>IF(H446="","",IF(H446&lt;=128,"address",IF(H446&lt;=600,"data1",IF(H446&lt;=1264,"zero-run1",IF(H446&lt;=1648,"data2",IF(H446&lt;=2176,"zero-run2",IF(H446&lt;=2192,"FCS","trailing")))))))</f>
        <v/>
      </c>
      <c r="J446">
        <f>IFERROR(IF(AND(H446&lt;&gt;"",H446&gt;=129,H446&lt;=2176),INDEX(Fields!$B$2:$B$206,MATCH(H446-129,Fields!$D$2:$D$206,1)),""),"")</f>
        <v/>
      </c>
      <c r="K446">
        <f>IFERROR(IF(AND(H446&lt;&gt;"",H446&gt;=129,H446&lt;=2176),INDEX(Fields!$C$2:$C$206,MATCH(H446-129,Fields!$D$2:$D$206,1)),""),"")</f>
        <v/>
      </c>
      <c r="L446">
        <f>IFERROR(IF(AND(H446&lt;&gt;"",H446&gt;=129,H446&lt;=2176),INDEX(Fields!$J$2:$J$206,MATCH(H446-129,Fields!$D$2:$D$206,1)),""),"")</f>
        <v/>
      </c>
      <c r="M446">
        <f>IFERROR(IF(AND(H446&lt;&gt;"",H446&gt;=129,H446&lt;=2176),INDEX(Fields!$K$2:$K$206,MATCH(H446-129,Fields!$D$2:$D$206,1)),""),"")</f>
        <v/>
      </c>
    </row>
    <row r="447">
      <c r="A447" t="n">
        <v>445</v>
      </c>
      <c r="B447" t="n">
        <v>0</v>
      </c>
      <c r="C447" t="inlineStr">
        <is>
          <t>No</t>
        </is>
      </c>
      <c r="D447">
        <f>IF(AND(B442=1,B443=1,B444=1,B445=1,B446=1),"Yes","")</f>
        <v/>
      </c>
      <c r="E447" t="inlineStr">
        <is>
          <t>No</t>
        </is>
      </c>
      <c r="F447" t="inlineStr">
        <is>
          <t>No</t>
        </is>
      </c>
      <c r="G447">
        <f>IF(F447="Yes",1-B447,B447)</f>
        <v/>
      </c>
      <c r="H447">
        <f>IF(E447="Yes","",COUNTIFS($E$2:E447,"No"))</f>
        <v/>
      </c>
      <c r="I447">
        <f>IF(H447="","",IF(H447&lt;=128,"address",IF(H447&lt;=600,"data1",IF(H447&lt;=1264,"zero-run1",IF(H447&lt;=1648,"data2",IF(H447&lt;=2176,"zero-run2",IF(H447&lt;=2192,"FCS","trailing")))))))</f>
        <v/>
      </c>
      <c r="J447">
        <f>IFERROR(IF(AND(H447&lt;&gt;"",H447&gt;=129,H447&lt;=2176),INDEX(Fields!$B$2:$B$206,MATCH(H447-129,Fields!$D$2:$D$206,1)),""),"")</f>
        <v/>
      </c>
      <c r="K447">
        <f>IFERROR(IF(AND(H447&lt;&gt;"",H447&gt;=129,H447&lt;=2176),INDEX(Fields!$C$2:$C$206,MATCH(H447-129,Fields!$D$2:$D$206,1)),""),"")</f>
        <v/>
      </c>
      <c r="L447">
        <f>IFERROR(IF(AND(H447&lt;&gt;"",H447&gt;=129,H447&lt;=2176),INDEX(Fields!$J$2:$J$206,MATCH(H447-129,Fields!$D$2:$D$206,1)),""),"")</f>
        <v/>
      </c>
      <c r="M447">
        <f>IFERROR(IF(AND(H447&lt;&gt;"",H447&gt;=129,H447&lt;=2176),INDEX(Fields!$K$2:$K$206,MATCH(H447-129,Fields!$D$2:$D$206,1)),""),"")</f>
        <v/>
      </c>
    </row>
    <row r="448">
      <c r="A448" t="n">
        <v>446</v>
      </c>
      <c r="B448" t="n">
        <v>0</v>
      </c>
      <c r="C448" t="inlineStr">
        <is>
          <t>No</t>
        </is>
      </c>
      <c r="D448">
        <f>IF(AND(B443=1,B444=1,B445=1,B446=1,B447=1),"Yes","")</f>
        <v/>
      </c>
      <c r="E448" t="inlineStr">
        <is>
          <t>No</t>
        </is>
      </c>
      <c r="F448" t="inlineStr">
        <is>
          <t>No</t>
        </is>
      </c>
      <c r="G448">
        <f>IF(F448="Yes",1-B448,B448)</f>
        <v/>
      </c>
      <c r="H448">
        <f>IF(E448="Yes","",COUNTIFS($E$2:E448,"No"))</f>
        <v/>
      </c>
      <c r="I448">
        <f>IF(H448="","",IF(H448&lt;=128,"address",IF(H448&lt;=600,"data1",IF(H448&lt;=1264,"zero-run1",IF(H448&lt;=1648,"data2",IF(H448&lt;=2176,"zero-run2",IF(H448&lt;=2192,"FCS","trailing")))))))</f>
        <v/>
      </c>
      <c r="J448">
        <f>IFERROR(IF(AND(H448&lt;&gt;"",H448&gt;=129,H448&lt;=2176),INDEX(Fields!$B$2:$B$206,MATCH(H448-129,Fields!$D$2:$D$206,1)),""),"")</f>
        <v/>
      </c>
      <c r="K448">
        <f>IFERROR(IF(AND(H448&lt;&gt;"",H448&gt;=129,H448&lt;=2176),INDEX(Fields!$C$2:$C$206,MATCH(H448-129,Fields!$D$2:$D$206,1)),""),"")</f>
        <v/>
      </c>
      <c r="L448">
        <f>IFERROR(IF(AND(H448&lt;&gt;"",H448&gt;=129,H448&lt;=2176),INDEX(Fields!$J$2:$J$206,MATCH(H448-129,Fields!$D$2:$D$206,1)),""),"")</f>
        <v/>
      </c>
      <c r="M448">
        <f>IFERROR(IF(AND(H448&lt;&gt;"",H448&gt;=129,H448&lt;=2176),INDEX(Fields!$K$2:$K$206,MATCH(H448-129,Fields!$D$2:$D$206,1)),""),"")</f>
        <v/>
      </c>
    </row>
    <row r="449">
      <c r="A449" t="n">
        <v>447</v>
      </c>
      <c r="B449" t="n">
        <v>0</v>
      </c>
      <c r="C449" t="inlineStr">
        <is>
          <t>No</t>
        </is>
      </c>
      <c r="D449">
        <f>IF(AND(B444=1,B445=1,B446=1,B447=1,B448=1),"Yes","")</f>
        <v/>
      </c>
      <c r="E449" t="inlineStr">
        <is>
          <t>No</t>
        </is>
      </c>
      <c r="F449" t="inlineStr">
        <is>
          <t>No</t>
        </is>
      </c>
      <c r="G449">
        <f>IF(F449="Yes",1-B449,B449)</f>
        <v/>
      </c>
      <c r="H449">
        <f>IF(E449="Yes","",COUNTIFS($E$2:E449,"No"))</f>
        <v/>
      </c>
      <c r="I449">
        <f>IF(H449="","",IF(H449&lt;=128,"address",IF(H449&lt;=600,"data1",IF(H449&lt;=1264,"zero-run1",IF(H449&lt;=1648,"data2",IF(H449&lt;=2176,"zero-run2",IF(H449&lt;=2192,"FCS","trailing")))))))</f>
        <v/>
      </c>
      <c r="J449">
        <f>IFERROR(IF(AND(H449&lt;&gt;"",H449&gt;=129,H449&lt;=2176),INDEX(Fields!$B$2:$B$206,MATCH(H449-129,Fields!$D$2:$D$206,1)),""),"")</f>
        <v/>
      </c>
      <c r="K449">
        <f>IFERROR(IF(AND(H449&lt;&gt;"",H449&gt;=129,H449&lt;=2176),INDEX(Fields!$C$2:$C$206,MATCH(H449-129,Fields!$D$2:$D$206,1)),""),"")</f>
        <v/>
      </c>
      <c r="L449">
        <f>IFERROR(IF(AND(H449&lt;&gt;"",H449&gt;=129,H449&lt;=2176),INDEX(Fields!$J$2:$J$206,MATCH(H449-129,Fields!$D$2:$D$206,1)),""),"")</f>
        <v/>
      </c>
      <c r="M449">
        <f>IFERROR(IF(AND(H449&lt;&gt;"",H449&gt;=129,H449&lt;=2176),INDEX(Fields!$K$2:$K$206,MATCH(H449-129,Fields!$D$2:$D$206,1)),""),"")</f>
        <v/>
      </c>
    </row>
    <row r="450">
      <c r="A450" t="n">
        <v>448</v>
      </c>
      <c r="B450" t="n">
        <v>0</v>
      </c>
      <c r="C450" t="inlineStr">
        <is>
          <t>No</t>
        </is>
      </c>
      <c r="D450">
        <f>IF(AND(B445=1,B446=1,B447=1,B448=1,B449=1),"Yes","")</f>
        <v/>
      </c>
      <c r="E450" t="inlineStr">
        <is>
          <t>No</t>
        </is>
      </c>
      <c r="F450" t="inlineStr">
        <is>
          <t>No</t>
        </is>
      </c>
      <c r="G450">
        <f>IF(F450="Yes",1-B450,B450)</f>
        <v/>
      </c>
      <c r="H450">
        <f>IF(E450="Yes","",COUNTIFS($E$2:E450,"No"))</f>
        <v/>
      </c>
      <c r="I450">
        <f>IF(H450="","",IF(H450&lt;=128,"address",IF(H450&lt;=600,"data1",IF(H450&lt;=1264,"zero-run1",IF(H450&lt;=1648,"data2",IF(H450&lt;=2176,"zero-run2",IF(H450&lt;=2192,"FCS","trailing")))))))</f>
        <v/>
      </c>
      <c r="J450">
        <f>IFERROR(IF(AND(H450&lt;&gt;"",H450&gt;=129,H450&lt;=2176),INDEX(Fields!$B$2:$B$206,MATCH(H450-129,Fields!$D$2:$D$206,1)),""),"")</f>
        <v/>
      </c>
      <c r="K450">
        <f>IFERROR(IF(AND(H450&lt;&gt;"",H450&gt;=129,H450&lt;=2176),INDEX(Fields!$C$2:$C$206,MATCH(H450-129,Fields!$D$2:$D$206,1)),""),"")</f>
        <v/>
      </c>
      <c r="L450">
        <f>IFERROR(IF(AND(H450&lt;&gt;"",H450&gt;=129,H450&lt;=2176),INDEX(Fields!$J$2:$J$206,MATCH(H450-129,Fields!$D$2:$D$206,1)),""),"")</f>
        <v/>
      </c>
      <c r="M450">
        <f>IFERROR(IF(AND(H450&lt;&gt;"",H450&gt;=129,H450&lt;=2176),INDEX(Fields!$K$2:$K$206,MATCH(H450-129,Fields!$D$2:$D$206,1)),""),"")</f>
        <v/>
      </c>
    </row>
    <row r="451">
      <c r="A451" t="n">
        <v>449</v>
      </c>
      <c r="B451" t="n">
        <v>0</v>
      </c>
      <c r="C451" t="inlineStr">
        <is>
          <t>No</t>
        </is>
      </c>
      <c r="D451">
        <f>IF(AND(B446=1,B447=1,B448=1,B449=1,B450=1),"Yes","")</f>
        <v/>
      </c>
      <c r="E451" t="inlineStr">
        <is>
          <t>No</t>
        </is>
      </c>
      <c r="F451" t="inlineStr">
        <is>
          <t>No</t>
        </is>
      </c>
      <c r="G451">
        <f>IF(F451="Yes",1-B451,B451)</f>
        <v/>
      </c>
      <c r="H451">
        <f>IF(E451="Yes","",COUNTIFS($E$2:E451,"No"))</f>
        <v/>
      </c>
      <c r="I451">
        <f>IF(H451="","",IF(H451&lt;=128,"address",IF(H451&lt;=600,"data1",IF(H451&lt;=1264,"zero-run1",IF(H451&lt;=1648,"data2",IF(H451&lt;=2176,"zero-run2",IF(H451&lt;=2192,"FCS","trailing")))))))</f>
        <v/>
      </c>
      <c r="J451">
        <f>IFERROR(IF(AND(H451&lt;&gt;"",H451&gt;=129,H451&lt;=2176),INDEX(Fields!$B$2:$B$206,MATCH(H451-129,Fields!$D$2:$D$206,1)),""),"")</f>
        <v/>
      </c>
      <c r="K451">
        <f>IFERROR(IF(AND(H451&lt;&gt;"",H451&gt;=129,H451&lt;=2176),INDEX(Fields!$C$2:$C$206,MATCH(H451-129,Fields!$D$2:$D$206,1)),""),"")</f>
        <v/>
      </c>
      <c r="L451">
        <f>IFERROR(IF(AND(H451&lt;&gt;"",H451&gt;=129,H451&lt;=2176),INDEX(Fields!$J$2:$J$206,MATCH(H451-129,Fields!$D$2:$D$206,1)),""),"")</f>
        <v/>
      </c>
      <c r="M451">
        <f>IFERROR(IF(AND(H451&lt;&gt;"",H451&gt;=129,H451&lt;=2176),INDEX(Fields!$K$2:$K$206,MATCH(H451-129,Fields!$D$2:$D$206,1)),""),"")</f>
        <v/>
      </c>
    </row>
    <row r="452">
      <c r="A452" t="n">
        <v>450</v>
      </c>
      <c r="B452" t="n">
        <v>1</v>
      </c>
      <c r="C452" t="inlineStr">
        <is>
          <t>No</t>
        </is>
      </c>
      <c r="D452">
        <f>IF(AND(B447=1,B448=1,B449=1,B450=1,B451=1),"Yes","")</f>
        <v/>
      </c>
      <c r="E452" t="inlineStr">
        <is>
          <t>No</t>
        </is>
      </c>
      <c r="F452" t="inlineStr">
        <is>
          <t>No</t>
        </is>
      </c>
      <c r="G452">
        <f>IF(F452="Yes",1-B452,B452)</f>
        <v/>
      </c>
      <c r="H452">
        <f>IF(E452="Yes","",COUNTIFS($E$2:E452,"No"))</f>
        <v/>
      </c>
      <c r="I452">
        <f>IF(H452="","",IF(H452&lt;=128,"address",IF(H452&lt;=600,"data1",IF(H452&lt;=1264,"zero-run1",IF(H452&lt;=1648,"data2",IF(H452&lt;=2176,"zero-run2",IF(H452&lt;=2192,"FCS","trailing")))))))</f>
        <v/>
      </c>
      <c r="J452">
        <f>IFERROR(IF(AND(H452&lt;&gt;"",H452&gt;=129,H452&lt;=2176),INDEX(Fields!$B$2:$B$206,MATCH(H452-129,Fields!$D$2:$D$206,1)),""),"")</f>
        <v/>
      </c>
      <c r="K452">
        <f>IFERROR(IF(AND(H452&lt;&gt;"",H452&gt;=129,H452&lt;=2176),INDEX(Fields!$C$2:$C$206,MATCH(H452-129,Fields!$D$2:$D$206,1)),""),"")</f>
        <v/>
      </c>
      <c r="L452">
        <f>IFERROR(IF(AND(H452&lt;&gt;"",H452&gt;=129,H452&lt;=2176),INDEX(Fields!$J$2:$J$206,MATCH(H452-129,Fields!$D$2:$D$206,1)),""),"")</f>
        <v/>
      </c>
      <c r="M452">
        <f>IFERROR(IF(AND(H452&lt;&gt;"",H452&gt;=129,H452&lt;=2176),INDEX(Fields!$K$2:$K$206,MATCH(H452-129,Fields!$D$2:$D$206,1)),""),"")</f>
        <v/>
      </c>
    </row>
    <row r="453">
      <c r="A453" t="n">
        <v>451</v>
      </c>
      <c r="B453" t="n">
        <v>1</v>
      </c>
      <c r="C453" t="inlineStr">
        <is>
          <t>No</t>
        </is>
      </c>
      <c r="D453">
        <f>IF(AND(B448=1,B449=1,B450=1,B451=1,B452=1),"Yes","")</f>
        <v/>
      </c>
      <c r="E453" t="inlineStr">
        <is>
          <t>No</t>
        </is>
      </c>
      <c r="F453" t="inlineStr">
        <is>
          <t>No</t>
        </is>
      </c>
      <c r="G453">
        <f>IF(F453="Yes",1-B453,B453)</f>
        <v/>
      </c>
      <c r="H453">
        <f>IF(E453="Yes","",COUNTIFS($E$2:E453,"No"))</f>
        <v/>
      </c>
      <c r="I453">
        <f>IF(H453="","",IF(H453&lt;=128,"address",IF(H453&lt;=600,"data1",IF(H453&lt;=1264,"zero-run1",IF(H453&lt;=1648,"data2",IF(H453&lt;=2176,"zero-run2",IF(H453&lt;=2192,"FCS","trailing")))))))</f>
        <v/>
      </c>
      <c r="J453">
        <f>IFERROR(IF(AND(H453&lt;&gt;"",H453&gt;=129,H453&lt;=2176),INDEX(Fields!$B$2:$B$206,MATCH(H453-129,Fields!$D$2:$D$206,1)),""),"")</f>
        <v/>
      </c>
      <c r="K453">
        <f>IFERROR(IF(AND(H453&lt;&gt;"",H453&gt;=129,H453&lt;=2176),INDEX(Fields!$C$2:$C$206,MATCH(H453-129,Fields!$D$2:$D$206,1)),""),"")</f>
        <v/>
      </c>
      <c r="L453">
        <f>IFERROR(IF(AND(H453&lt;&gt;"",H453&gt;=129,H453&lt;=2176),INDEX(Fields!$J$2:$J$206,MATCH(H453-129,Fields!$D$2:$D$206,1)),""),"")</f>
        <v/>
      </c>
      <c r="M453">
        <f>IFERROR(IF(AND(H453&lt;&gt;"",H453&gt;=129,H453&lt;=2176),INDEX(Fields!$K$2:$K$206,MATCH(H453-129,Fields!$D$2:$D$206,1)),""),"")</f>
        <v/>
      </c>
    </row>
    <row r="454">
      <c r="A454" t="n">
        <v>452</v>
      </c>
      <c r="B454" t="n">
        <v>0</v>
      </c>
      <c r="C454" t="inlineStr">
        <is>
          <t>No</t>
        </is>
      </c>
      <c r="D454">
        <f>IF(AND(B449=1,B450=1,B451=1,B452=1,B453=1),"Yes","")</f>
        <v/>
      </c>
      <c r="E454" t="inlineStr">
        <is>
          <t>No</t>
        </is>
      </c>
      <c r="F454" t="inlineStr">
        <is>
          <t>No</t>
        </is>
      </c>
      <c r="G454">
        <f>IF(F454="Yes",1-B454,B454)</f>
        <v/>
      </c>
      <c r="H454">
        <f>IF(E454="Yes","",COUNTIFS($E$2:E454,"No"))</f>
        <v/>
      </c>
      <c r="I454">
        <f>IF(H454="","",IF(H454&lt;=128,"address",IF(H454&lt;=600,"data1",IF(H454&lt;=1264,"zero-run1",IF(H454&lt;=1648,"data2",IF(H454&lt;=2176,"zero-run2",IF(H454&lt;=2192,"FCS","trailing")))))))</f>
        <v/>
      </c>
      <c r="J454">
        <f>IFERROR(IF(AND(H454&lt;&gt;"",H454&gt;=129,H454&lt;=2176),INDEX(Fields!$B$2:$B$206,MATCH(H454-129,Fields!$D$2:$D$206,1)),""),"")</f>
        <v/>
      </c>
      <c r="K454">
        <f>IFERROR(IF(AND(H454&lt;&gt;"",H454&gt;=129,H454&lt;=2176),INDEX(Fields!$C$2:$C$206,MATCH(H454-129,Fields!$D$2:$D$206,1)),""),"")</f>
        <v/>
      </c>
      <c r="L454">
        <f>IFERROR(IF(AND(H454&lt;&gt;"",H454&gt;=129,H454&lt;=2176),INDEX(Fields!$J$2:$J$206,MATCH(H454-129,Fields!$D$2:$D$206,1)),""),"")</f>
        <v/>
      </c>
      <c r="M454">
        <f>IFERROR(IF(AND(H454&lt;&gt;"",H454&gt;=129,H454&lt;=2176),INDEX(Fields!$K$2:$K$206,MATCH(H454-129,Fields!$D$2:$D$206,1)),""),"")</f>
        <v/>
      </c>
    </row>
    <row r="455">
      <c r="A455" t="n">
        <v>453</v>
      </c>
      <c r="B455" t="n">
        <v>0</v>
      </c>
      <c r="C455" t="inlineStr">
        <is>
          <t>No</t>
        </is>
      </c>
      <c r="D455">
        <f>IF(AND(B450=1,B451=1,B452=1,B453=1,B454=1),"Yes","")</f>
        <v/>
      </c>
      <c r="E455" t="inlineStr">
        <is>
          <t>No</t>
        </is>
      </c>
      <c r="F455" t="inlineStr">
        <is>
          <t>No</t>
        </is>
      </c>
      <c r="G455">
        <f>IF(F455="Yes",1-B455,B455)</f>
        <v/>
      </c>
      <c r="H455">
        <f>IF(E455="Yes","",COUNTIFS($E$2:E455,"No"))</f>
        <v/>
      </c>
      <c r="I455">
        <f>IF(H455="","",IF(H455&lt;=128,"address",IF(H455&lt;=600,"data1",IF(H455&lt;=1264,"zero-run1",IF(H455&lt;=1648,"data2",IF(H455&lt;=2176,"zero-run2",IF(H455&lt;=2192,"FCS","trailing")))))))</f>
        <v/>
      </c>
      <c r="J455">
        <f>IFERROR(IF(AND(H455&lt;&gt;"",H455&gt;=129,H455&lt;=2176),INDEX(Fields!$B$2:$B$206,MATCH(H455-129,Fields!$D$2:$D$206,1)),""),"")</f>
        <v/>
      </c>
      <c r="K455">
        <f>IFERROR(IF(AND(H455&lt;&gt;"",H455&gt;=129,H455&lt;=2176),INDEX(Fields!$C$2:$C$206,MATCH(H455-129,Fields!$D$2:$D$206,1)),""),"")</f>
        <v/>
      </c>
      <c r="L455">
        <f>IFERROR(IF(AND(H455&lt;&gt;"",H455&gt;=129,H455&lt;=2176),INDEX(Fields!$J$2:$J$206,MATCH(H455-129,Fields!$D$2:$D$206,1)),""),"")</f>
        <v/>
      </c>
      <c r="M455">
        <f>IFERROR(IF(AND(H455&lt;&gt;"",H455&gt;=129,H455&lt;=2176),INDEX(Fields!$K$2:$K$206,MATCH(H455-129,Fields!$D$2:$D$206,1)),""),"")</f>
        <v/>
      </c>
    </row>
    <row r="456">
      <c r="A456" t="n">
        <v>454</v>
      </c>
      <c r="B456" t="n">
        <v>0</v>
      </c>
      <c r="C456" t="inlineStr">
        <is>
          <t>No</t>
        </is>
      </c>
      <c r="D456">
        <f>IF(AND(B451=1,B452=1,B453=1,B454=1,B455=1),"Yes","")</f>
        <v/>
      </c>
      <c r="E456" t="inlineStr">
        <is>
          <t>No</t>
        </is>
      </c>
      <c r="F456" t="inlineStr">
        <is>
          <t>No</t>
        </is>
      </c>
      <c r="G456">
        <f>IF(F456="Yes",1-B456,B456)</f>
        <v/>
      </c>
      <c r="H456">
        <f>IF(E456="Yes","",COUNTIFS($E$2:E456,"No"))</f>
        <v/>
      </c>
      <c r="I456">
        <f>IF(H456="","",IF(H456&lt;=128,"address",IF(H456&lt;=600,"data1",IF(H456&lt;=1264,"zero-run1",IF(H456&lt;=1648,"data2",IF(H456&lt;=2176,"zero-run2",IF(H456&lt;=2192,"FCS","trailing")))))))</f>
        <v/>
      </c>
      <c r="J456">
        <f>IFERROR(IF(AND(H456&lt;&gt;"",H456&gt;=129,H456&lt;=2176),INDEX(Fields!$B$2:$B$206,MATCH(H456-129,Fields!$D$2:$D$206,1)),""),"")</f>
        <v/>
      </c>
      <c r="K456">
        <f>IFERROR(IF(AND(H456&lt;&gt;"",H456&gt;=129,H456&lt;=2176),INDEX(Fields!$C$2:$C$206,MATCH(H456-129,Fields!$D$2:$D$206,1)),""),"")</f>
        <v/>
      </c>
      <c r="L456">
        <f>IFERROR(IF(AND(H456&lt;&gt;"",H456&gt;=129,H456&lt;=2176),INDEX(Fields!$J$2:$J$206,MATCH(H456-129,Fields!$D$2:$D$206,1)),""),"")</f>
        <v/>
      </c>
      <c r="M456">
        <f>IFERROR(IF(AND(H456&lt;&gt;"",H456&gt;=129,H456&lt;=2176),INDEX(Fields!$K$2:$K$206,MATCH(H456-129,Fields!$D$2:$D$206,1)),""),"")</f>
        <v/>
      </c>
    </row>
    <row r="457">
      <c r="A457" t="n">
        <v>455</v>
      </c>
      <c r="B457" t="n">
        <v>0</v>
      </c>
      <c r="C457" t="inlineStr">
        <is>
          <t>No</t>
        </is>
      </c>
      <c r="D457">
        <f>IF(AND(B452=1,B453=1,B454=1,B455=1,B456=1),"Yes","")</f>
        <v/>
      </c>
      <c r="E457" t="inlineStr">
        <is>
          <t>No</t>
        </is>
      </c>
      <c r="F457" t="inlineStr">
        <is>
          <t>No</t>
        </is>
      </c>
      <c r="G457">
        <f>IF(F457="Yes",1-B457,B457)</f>
        <v/>
      </c>
      <c r="H457">
        <f>IF(E457="Yes","",COUNTIFS($E$2:E457,"No"))</f>
        <v/>
      </c>
      <c r="I457">
        <f>IF(H457="","",IF(H457&lt;=128,"address",IF(H457&lt;=600,"data1",IF(H457&lt;=1264,"zero-run1",IF(H457&lt;=1648,"data2",IF(H457&lt;=2176,"zero-run2",IF(H457&lt;=2192,"FCS","trailing")))))))</f>
        <v/>
      </c>
      <c r="J457">
        <f>IFERROR(IF(AND(H457&lt;&gt;"",H457&gt;=129,H457&lt;=2176),INDEX(Fields!$B$2:$B$206,MATCH(H457-129,Fields!$D$2:$D$206,1)),""),"")</f>
        <v/>
      </c>
      <c r="K457">
        <f>IFERROR(IF(AND(H457&lt;&gt;"",H457&gt;=129,H457&lt;=2176),INDEX(Fields!$C$2:$C$206,MATCH(H457-129,Fields!$D$2:$D$206,1)),""),"")</f>
        <v/>
      </c>
      <c r="L457">
        <f>IFERROR(IF(AND(H457&lt;&gt;"",H457&gt;=129,H457&lt;=2176),INDEX(Fields!$J$2:$J$206,MATCH(H457-129,Fields!$D$2:$D$206,1)),""),"")</f>
        <v/>
      </c>
      <c r="M457">
        <f>IFERROR(IF(AND(H457&lt;&gt;"",H457&gt;=129,H457&lt;=2176),INDEX(Fields!$K$2:$K$206,MATCH(H457-129,Fields!$D$2:$D$206,1)),""),"")</f>
        <v/>
      </c>
    </row>
    <row r="458">
      <c r="A458" t="n">
        <v>456</v>
      </c>
      <c r="B458" t="n">
        <v>1</v>
      </c>
      <c r="C458" t="inlineStr">
        <is>
          <t>No</t>
        </is>
      </c>
      <c r="D458">
        <f>IF(AND(B453=1,B454=1,B455=1,B456=1,B457=1),"Yes","")</f>
        <v/>
      </c>
      <c r="E458" t="inlineStr">
        <is>
          <t>No</t>
        </is>
      </c>
      <c r="F458" t="inlineStr">
        <is>
          <t>No</t>
        </is>
      </c>
      <c r="G458">
        <f>IF(F458="Yes",1-B458,B458)</f>
        <v/>
      </c>
      <c r="H458">
        <f>IF(E458="Yes","",COUNTIFS($E$2:E458,"No"))</f>
        <v/>
      </c>
      <c r="I458">
        <f>IF(H458="","",IF(H458&lt;=128,"address",IF(H458&lt;=600,"data1",IF(H458&lt;=1264,"zero-run1",IF(H458&lt;=1648,"data2",IF(H458&lt;=2176,"zero-run2",IF(H458&lt;=2192,"FCS","trailing")))))))</f>
        <v/>
      </c>
      <c r="J458">
        <f>IFERROR(IF(AND(H458&lt;&gt;"",H458&gt;=129,H458&lt;=2176),INDEX(Fields!$B$2:$B$206,MATCH(H458-129,Fields!$D$2:$D$206,1)),""),"")</f>
        <v/>
      </c>
      <c r="K458">
        <f>IFERROR(IF(AND(H458&lt;&gt;"",H458&gt;=129,H458&lt;=2176),INDEX(Fields!$C$2:$C$206,MATCH(H458-129,Fields!$D$2:$D$206,1)),""),"")</f>
        <v/>
      </c>
      <c r="L458">
        <f>IFERROR(IF(AND(H458&lt;&gt;"",H458&gt;=129,H458&lt;=2176),INDEX(Fields!$J$2:$J$206,MATCH(H458-129,Fields!$D$2:$D$206,1)),""),"")</f>
        <v/>
      </c>
      <c r="M458">
        <f>IFERROR(IF(AND(H458&lt;&gt;"",H458&gt;=129,H458&lt;=2176),INDEX(Fields!$K$2:$K$206,MATCH(H458-129,Fields!$D$2:$D$206,1)),""),"")</f>
        <v/>
      </c>
    </row>
    <row r="459">
      <c r="A459" t="n">
        <v>457</v>
      </c>
      <c r="B459" t="n">
        <v>1</v>
      </c>
      <c r="C459" t="inlineStr">
        <is>
          <t>No</t>
        </is>
      </c>
      <c r="D459">
        <f>IF(AND(B454=1,B455=1,B456=1,B457=1,B458=1),"Yes","")</f>
        <v/>
      </c>
      <c r="E459" t="inlineStr">
        <is>
          <t>No</t>
        </is>
      </c>
      <c r="F459" t="inlineStr">
        <is>
          <t>No</t>
        </is>
      </c>
      <c r="G459">
        <f>IF(F459="Yes",1-B459,B459)</f>
        <v/>
      </c>
      <c r="H459">
        <f>IF(E459="Yes","",COUNTIFS($E$2:E459,"No"))</f>
        <v/>
      </c>
      <c r="I459">
        <f>IF(H459="","",IF(H459&lt;=128,"address",IF(H459&lt;=600,"data1",IF(H459&lt;=1264,"zero-run1",IF(H459&lt;=1648,"data2",IF(H459&lt;=2176,"zero-run2",IF(H459&lt;=2192,"FCS","trailing")))))))</f>
        <v/>
      </c>
      <c r="J459">
        <f>IFERROR(IF(AND(H459&lt;&gt;"",H459&gt;=129,H459&lt;=2176),INDEX(Fields!$B$2:$B$206,MATCH(H459-129,Fields!$D$2:$D$206,1)),""),"")</f>
        <v/>
      </c>
      <c r="K459">
        <f>IFERROR(IF(AND(H459&lt;&gt;"",H459&gt;=129,H459&lt;=2176),INDEX(Fields!$C$2:$C$206,MATCH(H459-129,Fields!$D$2:$D$206,1)),""),"")</f>
        <v/>
      </c>
      <c r="L459">
        <f>IFERROR(IF(AND(H459&lt;&gt;"",H459&gt;=129,H459&lt;=2176),INDEX(Fields!$J$2:$J$206,MATCH(H459-129,Fields!$D$2:$D$206,1)),""),"")</f>
        <v/>
      </c>
      <c r="M459">
        <f>IFERROR(IF(AND(H459&lt;&gt;"",H459&gt;=129,H459&lt;=2176),INDEX(Fields!$K$2:$K$206,MATCH(H459-129,Fields!$D$2:$D$206,1)),""),"")</f>
        <v/>
      </c>
    </row>
    <row r="460">
      <c r="A460" t="n">
        <v>458</v>
      </c>
      <c r="B460" t="n">
        <v>1</v>
      </c>
      <c r="C460" t="inlineStr">
        <is>
          <t>No</t>
        </is>
      </c>
      <c r="D460">
        <f>IF(AND(B455=1,B456=1,B457=1,B458=1,B459=1),"Yes","")</f>
        <v/>
      </c>
      <c r="E460" t="inlineStr">
        <is>
          <t>No</t>
        </is>
      </c>
      <c r="F460" t="inlineStr">
        <is>
          <t>No</t>
        </is>
      </c>
      <c r="G460">
        <f>IF(F460="Yes",1-B460,B460)</f>
        <v/>
      </c>
      <c r="H460">
        <f>IF(E460="Yes","",COUNTIFS($E$2:E460,"No"))</f>
        <v/>
      </c>
      <c r="I460">
        <f>IF(H460="","",IF(H460&lt;=128,"address",IF(H460&lt;=600,"data1",IF(H460&lt;=1264,"zero-run1",IF(H460&lt;=1648,"data2",IF(H460&lt;=2176,"zero-run2",IF(H460&lt;=2192,"FCS","trailing")))))))</f>
        <v/>
      </c>
      <c r="J460">
        <f>IFERROR(IF(AND(H460&lt;&gt;"",H460&gt;=129,H460&lt;=2176),INDEX(Fields!$B$2:$B$206,MATCH(H460-129,Fields!$D$2:$D$206,1)),""),"")</f>
        <v/>
      </c>
      <c r="K460">
        <f>IFERROR(IF(AND(H460&lt;&gt;"",H460&gt;=129,H460&lt;=2176),INDEX(Fields!$C$2:$C$206,MATCH(H460-129,Fields!$D$2:$D$206,1)),""),"")</f>
        <v/>
      </c>
      <c r="L460">
        <f>IFERROR(IF(AND(H460&lt;&gt;"",H460&gt;=129,H460&lt;=2176),INDEX(Fields!$J$2:$J$206,MATCH(H460-129,Fields!$D$2:$D$206,1)),""),"")</f>
        <v/>
      </c>
      <c r="M460">
        <f>IFERROR(IF(AND(H460&lt;&gt;"",H460&gt;=129,H460&lt;=2176),INDEX(Fields!$K$2:$K$206,MATCH(H460-129,Fields!$D$2:$D$206,1)),""),"")</f>
        <v/>
      </c>
    </row>
    <row r="461">
      <c r="A461" t="n">
        <v>459</v>
      </c>
      <c r="B461" t="n">
        <v>0</v>
      </c>
      <c r="C461" t="inlineStr">
        <is>
          <t>No</t>
        </is>
      </c>
      <c r="D461">
        <f>IF(AND(B456=1,B457=1,B458=1,B459=1,B460=1),"Yes","")</f>
        <v/>
      </c>
      <c r="E461" t="inlineStr">
        <is>
          <t>No</t>
        </is>
      </c>
      <c r="F461" t="inlineStr">
        <is>
          <t>No</t>
        </is>
      </c>
      <c r="G461">
        <f>IF(F461="Yes",1-B461,B461)</f>
        <v/>
      </c>
      <c r="H461">
        <f>IF(E461="Yes","",COUNTIFS($E$2:E461,"No"))</f>
        <v/>
      </c>
      <c r="I461">
        <f>IF(H461="","",IF(H461&lt;=128,"address",IF(H461&lt;=600,"data1",IF(H461&lt;=1264,"zero-run1",IF(H461&lt;=1648,"data2",IF(H461&lt;=2176,"zero-run2",IF(H461&lt;=2192,"FCS","trailing")))))))</f>
        <v/>
      </c>
      <c r="J461">
        <f>IFERROR(IF(AND(H461&lt;&gt;"",H461&gt;=129,H461&lt;=2176),INDEX(Fields!$B$2:$B$206,MATCH(H461-129,Fields!$D$2:$D$206,1)),""),"")</f>
        <v/>
      </c>
      <c r="K461">
        <f>IFERROR(IF(AND(H461&lt;&gt;"",H461&gt;=129,H461&lt;=2176),INDEX(Fields!$C$2:$C$206,MATCH(H461-129,Fields!$D$2:$D$206,1)),""),"")</f>
        <v/>
      </c>
      <c r="L461">
        <f>IFERROR(IF(AND(H461&lt;&gt;"",H461&gt;=129,H461&lt;=2176),INDEX(Fields!$J$2:$J$206,MATCH(H461-129,Fields!$D$2:$D$206,1)),""),"")</f>
        <v/>
      </c>
      <c r="M461">
        <f>IFERROR(IF(AND(H461&lt;&gt;"",H461&gt;=129,H461&lt;=2176),INDEX(Fields!$K$2:$K$206,MATCH(H461-129,Fields!$D$2:$D$206,1)),""),"")</f>
        <v/>
      </c>
    </row>
    <row r="462">
      <c r="A462" t="n">
        <v>460</v>
      </c>
      <c r="B462" t="n">
        <v>1</v>
      </c>
      <c r="C462" t="inlineStr">
        <is>
          <t>No</t>
        </is>
      </c>
      <c r="D462">
        <f>IF(AND(B457=1,B458=1,B459=1,B460=1,B461=1),"Yes","")</f>
        <v/>
      </c>
      <c r="E462" t="inlineStr">
        <is>
          <t>No</t>
        </is>
      </c>
      <c r="F462" t="inlineStr">
        <is>
          <t>No</t>
        </is>
      </c>
      <c r="G462">
        <f>IF(F462="Yes",1-B462,B462)</f>
        <v/>
      </c>
      <c r="H462">
        <f>IF(E462="Yes","",COUNTIFS($E$2:E462,"No"))</f>
        <v/>
      </c>
      <c r="I462">
        <f>IF(H462="","",IF(H462&lt;=128,"address",IF(H462&lt;=600,"data1",IF(H462&lt;=1264,"zero-run1",IF(H462&lt;=1648,"data2",IF(H462&lt;=2176,"zero-run2",IF(H462&lt;=2192,"FCS","trailing")))))))</f>
        <v/>
      </c>
      <c r="J462">
        <f>IFERROR(IF(AND(H462&lt;&gt;"",H462&gt;=129,H462&lt;=2176),INDEX(Fields!$B$2:$B$206,MATCH(H462-129,Fields!$D$2:$D$206,1)),""),"")</f>
        <v/>
      </c>
      <c r="K462">
        <f>IFERROR(IF(AND(H462&lt;&gt;"",H462&gt;=129,H462&lt;=2176),INDEX(Fields!$C$2:$C$206,MATCH(H462-129,Fields!$D$2:$D$206,1)),""),"")</f>
        <v/>
      </c>
      <c r="L462">
        <f>IFERROR(IF(AND(H462&lt;&gt;"",H462&gt;=129,H462&lt;=2176),INDEX(Fields!$J$2:$J$206,MATCH(H462-129,Fields!$D$2:$D$206,1)),""),"")</f>
        <v/>
      </c>
      <c r="M462">
        <f>IFERROR(IF(AND(H462&lt;&gt;"",H462&gt;=129,H462&lt;=2176),INDEX(Fields!$K$2:$K$206,MATCH(H462-129,Fields!$D$2:$D$206,1)),""),"")</f>
        <v/>
      </c>
    </row>
    <row r="463">
      <c r="A463" t="n">
        <v>461</v>
      </c>
      <c r="B463" t="n">
        <v>1</v>
      </c>
      <c r="C463" t="inlineStr">
        <is>
          <t>No</t>
        </is>
      </c>
      <c r="D463">
        <f>IF(AND(B458=1,B459=1,B460=1,B461=1,B462=1),"Yes","")</f>
        <v/>
      </c>
      <c r="E463" t="inlineStr">
        <is>
          <t>No</t>
        </is>
      </c>
      <c r="F463" t="inlineStr">
        <is>
          <t>No</t>
        </is>
      </c>
      <c r="G463">
        <f>IF(F463="Yes",1-B463,B463)</f>
        <v/>
      </c>
      <c r="H463">
        <f>IF(E463="Yes","",COUNTIFS($E$2:E463,"No"))</f>
        <v/>
      </c>
      <c r="I463">
        <f>IF(H463="","",IF(H463&lt;=128,"address",IF(H463&lt;=600,"data1",IF(H463&lt;=1264,"zero-run1",IF(H463&lt;=1648,"data2",IF(H463&lt;=2176,"zero-run2",IF(H463&lt;=2192,"FCS","trailing")))))))</f>
        <v/>
      </c>
      <c r="J463">
        <f>IFERROR(IF(AND(H463&lt;&gt;"",H463&gt;=129,H463&lt;=2176),INDEX(Fields!$B$2:$B$206,MATCH(H463-129,Fields!$D$2:$D$206,1)),""),"")</f>
        <v/>
      </c>
      <c r="K463">
        <f>IFERROR(IF(AND(H463&lt;&gt;"",H463&gt;=129,H463&lt;=2176),INDEX(Fields!$C$2:$C$206,MATCH(H463-129,Fields!$D$2:$D$206,1)),""),"")</f>
        <v/>
      </c>
      <c r="L463">
        <f>IFERROR(IF(AND(H463&lt;&gt;"",H463&gt;=129,H463&lt;=2176),INDEX(Fields!$J$2:$J$206,MATCH(H463-129,Fields!$D$2:$D$206,1)),""),"")</f>
        <v/>
      </c>
      <c r="M463">
        <f>IFERROR(IF(AND(H463&lt;&gt;"",H463&gt;=129,H463&lt;=2176),INDEX(Fields!$K$2:$K$206,MATCH(H463-129,Fields!$D$2:$D$206,1)),""),"")</f>
        <v/>
      </c>
    </row>
    <row r="464">
      <c r="A464" t="n">
        <v>462</v>
      </c>
      <c r="B464" t="n">
        <v>0</v>
      </c>
      <c r="C464" t="inlineStr">
        <is>
          <t>No</t>
        </is>
      </c>
      <c r="D464">
        <f>IF(AND(B459=1,B460=1,B461=1,B462=1,B463=1),"Yes","")</f>
        <v/>
      </c>
      <c r="E464" t="inlineStr">
        <is>
          <t>No</t>
        </is>
      </c>
      <c r="F464" t="inlineStr">
        <is>
          <t>No</t>
        </is>
      </c>
      <c r="G464">
        <f>IF(F464="Yes",1-B464,B464)</f>
        <v/>
      </c>
      <c r="H464">
        <f>IF(E464="Yes","",COUNTIFS($E$2:E464,"No"))</f>
        <v/>
      </c>
      <c r="I464">
        <f>IF(H464="","",IF(H464&lt;=128,"address",IF(H464&lt;=600,"data1",IF(H464&lt;=1264,"zero-run1",IF(H464&lt;=1648,"data2",IF(H464&lt;=2176,"zero-run2",IF(H464&lt;=2192,"FCS","trailing")))))))</f>
        <v/>
      </c>
      <c r="J464">
        <f>IFERROR(IF(AND(H464&lt;&gt;"",H464&gt;=129,H464&lt;=2176),INDEX(Fields!$B$2:$B$206,MATCH(H464-129,Fields!$D$2:$D$206,1)),""),"")</f>
        <v/>
      </c>
      <c r="K464">
        <f>IFERROR(IF(AND(H464&lt;&gt;"",H464&gt;=129,H464&lt;=2176),INDEX(Fields!$C$2:$C$206,MATCH(H464-129,Fields!$D$2:$D$206,1)),""),"")</f>
        <v/>
      </c>
      <c r="L464">
        <f>IFERROR(IF(AND(H464&lt;&gt;"",H464&gt;=129,H464&lt;=2176),INDEX(Fields!$J$2:$J$206,MATCH(H464-129,Fields!$D$2:$D$206,1)),""),"")</f>
        <v/>
      </c>
      <c r="M464">
        <f>IFERROR(IF(AND(H464&lt;&gt;"",H464&gt;=129,H464&lt;=2176),INDEX(Fields!$K$2:$K$206,MATCH(H464-129,Fields!$D$2:$D$206,1)),""),"")</f>
        <v/>
      </c>
    </row>
    <row r="465">
      <c r="A465" t="n">
        <v>463</v>
      </c>
      <c r="B465" t="n">
        <v>1</v>
      </c>
      <c r="C465" t="inlineStr">
        <is>
          <t>No</t>
        </is>
      </c>
      <c r="D465">
        <f>IF(AND(B460=1,B461=1,B462=1,B463=1,B464=1),"Yes","")</f>
        <v/>
      </c>
      <c r="E465" t="inlineStr">
        <is>
          <t>No</t>
        </is>
      </c>
      <c r="F465" t="inlineStr">
        <is>
          <t>No</t>
        </is>
      </c>
      <c r="G465">
        <f>IF(F465="Yes",1-B465,B465)</f>
        <v/>
      </c>
      <c r="H465">
        <f>IF(E465="Yes","",COUNTIFS($E$2:E465,"No"))</f>
        <v/>
      </c>
      <c r="I465">
        <f>IF(H465="","",IF(H465&lt;=128,"address",IF(H465&lt;=600,"data1",IF(H465&lt;=1264,"zero-run1",IF(H465&lt;=1648,"data2",IF(H465&lt;=2176,"zero-run2",IF(H465&lt;=2192,"FCS","trailing")))))))</f>
        <v/>
      </c>
      <c r="J465">
        <f>IFERROR(IF(AND(H465&lt;&gt;"",H465&gt;=129,H465&lt;=2176),INDEX(Fields!$B$2:$B$206,MATCH(H465-129,Fields!$D$2:$D$206,1)),""),"")</f>
        <v/>
      </c>
      <c r="K465">
        <f>IFERROR(IF(AND(H465&lt;&gt;"",H465&gt;=129,H465&lt;=2176),INDEX(Fields!$C$2:$C$206,MATCH(H465-129,Fields!$D$2:$D$206,1)),""),"")</f>
        <v/>
      </c>
      <c r="L465">
        <f>IFERROR(IF(AND(H465&lt;&gt;"",H465&gt;=129,H465&lt;=2176),INDEX(Fields!$J$2:$J$206,MATCH(H465-129,Fields!$D$2:$D$206,1)),""),"")</f>
        <v/>
      </c>
      <c r="M465">
        <f>IFERROR(IF(AND(H465&lt;&gt;"",H465&gt;=129,H465&lt;=2176),INDEX(Fields!$K$2:$K$206,MATCH(H465-129,Fields!$D$2:$D$206,1)),""),"")</f>
        <v/>
      </c>
    </row>
    <row r="466">
      <c r="A466" t="n">
        <v>464</v>
      </c>
      <c r="B466" t="n">
        <v>0</v>
      </c>
      <c r="C466" t="inlineStr">
        <is>
          <t>No</t>
        </is>
      </c>
      <c r="D466">
        <f>IF(AND(B461=1,B462=1,B463=1,B464=1,B465=1),"Yes","")</f>
        <v/>
      </c>
      <c r="E466" t="inlineStr">
        <is>
          <t>No</t>
        </is>
      </c>
      <c r="F466" t="inlineStr">
        <is>
          <t>No</t>
        </is>
      </c>
      <c r="G466">
        <f>IF(F466="Yes",1-B466,B466)</f>
        <v/>
      </c>
      <c r="H466">
        <f>IF(E466="Yes","",COUNTIFS($E$2:E466,"No"))</f>
        <v/>
      </c>
      <c r="I466">
        <f>IF(H466="","",IF(H466&lt;=128,"address",IF(H466&lt;=600,"data1",IF(H466&lt;=1264,"zero-run1",IF(H466&lt;=1648,"data2",IF(H466&lt;=2176,"zero-run2",IF(H466&lt;=2192,"FCS","trailing")))))))</f>
        <v/>
      </c>
      <c r="J466">
        <f>IFERROR(IF(AND(H466&lt;&gt;"",H466&gt;=129,H466&lt;=2176),INDEX(Fields!$B$2:$B$206,MATCH(H466-129,Fields!$D$2:$D$206,1)),""),"")</f>
        <v/>
      </c>
      <c r="K466">
        <f>IFERROR(IF(AND(H466&lt;&gt;"",H466&gt;=129,H466&lt;=2176),INDEX(Fields!$C$2:$C$206,MATCH(H466-129,Fields!$D$2:$D$206,1)),""),"")</f>
        <v/>
      </c>
      <c r="L466">
        <f>IFERROR(IF(AND(H466&lt;&gt;"",H466&gt;=129,H466&lt;=2176),INDEX(Fields!$J$2:$J$206,MATCH(H466-129,Fields!$D$2:$D$206,1)),""),"")</f>
        <v/>
      </c>
      <c r="M466">
        <f>IFERROR(IF(AND(H466&lt;&gt;"",H466&gt;=129,H466&lt;=2176),INDEX(Fields!$K$2:$K$206,MATCH(H466-129,Fields!$D$2:$D$206,1)),""),"")</f>
        <v/>
      </c>
    </row>
    <row r="467">
      <c r="A467" t="n">
        <v>465</v>
      </c>
      <c r="B467" t="n">
        <v>1</v>
      </c>
      <c r="C467" t="inlineStr">
        <is>
          <t>No</t>
        </is>
      </c>
      <c r="D467">
        <f>IF(AND(B462=1,B463=1,B464=1,B465=1,B466=1),"Yes","")</f>
        <v/>
      </c>
      <c r="E467" t="inlineStr">
        <is>
          <t>No</t>
        </is>
      </c>
      <c r="F467" t="inlineStr">
        <is>
          <t>No</t>
        </is>
      </c>
      <c r="G467">
        <f>IF(F467="Yes",1-B467,B467)</f>
        <v/>
      </c>
      <c r="H467">
        <f>IF(E467="Yes","",COUNTIFS($E$2:E467,"No"))</f>
        <v/>
      </c>
      <c r="I467">
        <f>IF(H467="","",IF(H467&lt;=128,"address",IF(H467&lt;=600,"data1",IF(H467&lt;=1264,"zero-run1",IF(H467&lt;=1648,"data2",IF(H467&lt;=2176,"zero-run2",IF(H467&lt;=2192,"FCS","trailing")))))))</f>
        <v/>
      </c>
      <c r="J467">
        <f>IFERROR(IF(AND(H467&lt;&gt;"",H467&gt;=129,H467&lt;=2176),INDEX(Fields!$B$2:$B$206,MATCH(H467-129,Fields!$D$2:$D$206,1)),""),"")</f>
        <v/>
      </c>
      <c r="K467">
        <f>IFERROR(IF(AND(H467&lt;&gt;"",H467&gt;=129,H467&lt;=2176),INDEX(Fields!$C$2:$C$206,MATCH(H467-129,Fields!$D$2:$D$206,1)),""),"")</f>
        <v/>
      </c>
      <c r="L467">
        <f>IFERROR(IF(AND(H467&lt;&gt;"",H467&gt;=129,H467&lt;=2176),INDEX(Fields!$J$2:$J$206,MATCH(H467-129,Fields!$D$2:$D$206,1)),""),"")</f>
        <v/>
      </c>
      <c r="M467">
        <f>IFERROR(IF(AND(H467&lt;&gt;"",H467&gt;=129,H467&lt;=2176),INDEX(Fields!$K$2:$K$206,MATCH(H467-129,Fields!$D$2:$D$206,1)),""),"")</f>
        <v/>
      </c>
    </row>
    <row r="468">
      <c r="A468" t="n">
        <v>466</v>
      </c>
      <c r="B468" t="n">
        <v>0</v>
      </c>
      <c r="C468" t="inlineStr">
        <is>
          <t>No</t>
        </is>
      </c>
      <c r="D468">
        <f>IF(AND(B463=1,B464=1,B465=1,B466=1,B467=1),"Yes","")</f>
        <v/>
      </c>
      <c r="E468" t="inlineStr">
        <is>
          <t>No</t>
        </is>
      </c>
      <c r="F468" t="inlineStr">
        <is>
          <t>No</t>
        </is>
      </c>
      <c r="G468">
        <f>IF(F468="Yes",1-B468,B468)</f>
        <v/>
      </c>
      <c r="H468">
        <f>IF(E468="Yes","",COUNTIFS($E$2:E468,"No"))</f>
        <v/>
      </c>
      <c r="I468">
        <f>IF(H468="","",IF(H468&lt;=128,"address",IF(H468&lt;=600,"data1",IF(H468&lt;=1264,"zero-run1",IF(H468&lt;=1648,"data2",IF(H468&lt;=2176,"zero-run2",IF(H468&lt;=2192,"FCS","trailing")))))))</f>
        <v/>
      </c>
      <c r="J468">
        <f>IFERROR(IF(AND(H468&lt;&gt;"",H468&gt;=129,H468&lt;=2176),INDEX(Fields!$B$2:$B$206,MATCH(H468-129,Fields!$D$2:$D$206,1)),""),"")</f>
        <v/>
      </c>
      <c r="K468">
        <f>IFERROR(IF(AND(H468&lt;&gt;"",H468&gt;=129,H468&lt;=2176),INDEX(Fields!$C$2:$C$206,MATCH(H468-129,Fields!$D$2:$D$206,1)),""),"")</f>
        <v/>
      </c>
      <c r="L468">
        <f>IFERROR(IF(AND(H468&lt;&gt;"",H468&gt;=129,H468&lt;=2176),INDEX(Fields!$J$2:$J$206,MATCH(H468-129,Fields!$D$2:$D$206,1)),""),"")</f>
        <v/>
      </c>
      <c r="M468">
        <f>IFERROR(IF(AND(H468&lt;&gt;"",H468&gt;=129,H468&lt;=2176),INDEX(Fields!$K$2:$K$206,MATCH(H468-129,Fields!$D$2:$D$206,1)),""),"")</f>
        <v/>
      </c>
    </row>
    <row r="469">
      <c r="A469" t="n">
        <v>467</v>
      </c>
      <c r="B469" t="n">
        <v>0</v>
      </c>
      <c r="C469" t="inlineStr">
        <is>
          <t>No</t>
        </is>
      </c>
      <c r="D469">
        <f>IF(AND(B464=1,B465=1,B466=1,B467=1,B468=1),"Yes","")</f>
        <v/>
      </c>
      <c r="E469" t="inlineStr">
        <is>
          <t>No</t>
        </is>
      </c>
      <c r="F469" t="inlineStr">
        <is>
          <t>No</t>
        </is>
      </c>
      <c r="G469">
        <f>IF(F469="Yes",1-B469,B469)</f>
        <v/>
      </c>
      <c r="H469">
        <f>IF(E469="Yes","",COUNTIFS($E$2:E469,"No"))</f>
        <v/>
      </c>
      <c r="I469">
        <f>IF(H469="","",IF(H469&lt;=128,"address",IF(H469&lt;=600,"data1",IF(H469&lt;=1264,"zero-run1",IF(H469&lt;=1648,"data2",IF(H469&lt;=2176,"zero-run2",IF(H469&lt;=2192,"FCS","trailing")))))))</f>
        <v/>
      </c>
      <c r="J469">
        <f>IFERROR(IF(AND(H469&lt;&gt;"",H469&gt;=129,H469&lt;=2176),INDEX(Fields!$B$2:$B$206,MATCH(H469-129,Fields!$D$2:$D$206,1)),""),"")</f>
        <v/>
      </c>
      <c r="K469">
        <f>IFERROR(IF(AND(H469&lt;&gt;"",H469&gt;=129,H469&lt;=2176),INDEX(Fields!$C$2:$C$206,MATCH(H469-129,Fields!$D$2:$D$206,1)),""),"")</f>
        <v/>
      </c>
      <c r="L469">
        <f>IFERROR(IF(AND(H469&lt;&gt;"",H469&gt;=129,H469&lt;=2176),INDEX(Fields!$J$2:$J$206,MATCH(H469-129,Fields!$D$2:$D$206,1)),""),"")</f>
        <v/>
      </c>
      <c r="M469">
        <f>IFERROR(IF(AND(H469&lt;&gt;"",H469&gt;=129,H469&lt;=2176),INDEX(Fields!$K$2:$K$206,MATCH(H469-129,Fields!$D$2:$D$206,1)),""),"")</f>
        <v/>
      </c>
    </row>
    <row r="470">
      <c r="A470" t="n">
        <v>468</v>
      </c>
      <c r="B470" t="n">
        <v>0</v>
      </c>
      <c r="C470" t="inlineStr">
        <is>
          <t>No</t>
        </is>
      </c>
      <c r="D470">
        <f>IF(AND(B465=1,B466=1,B467=1,B468=1,B469=1),"Yes","")</f>
        <v/>
      </c>
      <c r="E470" t="inlineStr">
        <is>
          <t>No</t>
        </is>
      </c>
      <c r="F470" t="inlineStr">
        <is>
          <t>No</t>
        </is>
      </c>
      <c r="G470">
        <f>IF(F470="Yes",1-B470,B470)</f>
        <v/>
      </c>
      <c r="H470">
        <f>IF(E470="Yes","",COUNTIFS($E$2:E470,"No"))</f>
        <v/>
      </c>
      <c r="I470">
        <f>IF(H470="","",IF(H470&lt;=128,"address",IF(H470&lt;=600,"data1",IF(H470&lt;=1264,"zero-run1",IF(H470&lt;=1648,"data2",IF(H470&lt;=2176,"zero-run2",IF(H470&lt;=2192,"FCS","trailing")))))))</f>
        <v/>
      </c>
      <c r="J470">
        <f>IFERROR(IF(AND(H470&lt;&gt;"",H470&gt;=129,H470&lt;=2176),INDEX(Fields!$B$2:$B$206,MATCH(H470-129,Fields!$D$2:$D$206,1)),""),"")</f>
        <v/>
      </c>
      <c r="K470">
        <f>IFERROR(IF(AND(H470&lt;&gt;"",H470&gt;=129,H470&lt;=2176),INDEX(Fields!$C$2:$C$206,MATCH(H470-129,Fields!$D$2:$D$206,1)),""),"")</f>
        <v/>
      </c>
      <c r="L470">
        <f>IFERROR(IF(AND(H470&lt;&gt;"",H470&gt;=129,H470&lt;=2176),INDEX(Fields!$J$2:$J$206,MATCH(H470-129,Fields!$D$2:$D$206,1)),""),"")</f>
        <v/>
      </c>
      <c r="M470">
        <f>IFERROR(IF(AND(H470&lt;&gt;"",H470&gt;=129,H470&lt;=2176),INDEX(Fields!$K$2:$K$206,MATCH(H470-129,Fields!$D$2:$D$206,1)),""),"")</f>
        <v/>
      </c>
    </row>
    <row r="471">
      <c r="A471" t="n">
        <v>469</v>
      </c>
      <c r="B471" t="n">
        <v>0</v>
      </c>
      <c r="C471" t="inlineStr">
        <is>
          <t>No</t>
        </is>
      </c>
      <c r="D471">
        <f>IF(AND(B466=1,B467=1,B468=1,B469=1,B470=1),"Yes","")</f>
        <v/>
      </c>
      <c r="E471" t="inlineStr">
        <is>
          <t>No</t>
        </is>
      </c>
      <c r="F471" t="inlineStr">
        <is>
          <t>No</t>
        </is>
      </c>
      <c r="G471">
        <f>IF(F471="Yes",1-B471,B471)</f>
        <v/>
      </c>
      <c r="H471">
        <f>IF(E471="Yes","",COUNTIFS($E$2:E471,"No"))</f>
        <v/>
      </c>
      <c r="I471">
        <f>IF(H471="","",IF(H471&lt;=128,"address",IF(H471&lt;=600,"data1",IF(H471&lt;=1264,"zero-run1",IF(H471&lt;=1648,"data2",IF(H471&lt;=2176,"zero-run2",IF(H471&lt;=2192,"FCS","trailing")))))))</f>
        <v/>
      </c>
      <c r="J471">
        <f>IFERROR(IF(AND(H471&lt;&gt;"",H471&gt;=129,H471&lt;=2176),INDEX(Fields!$B$2:$B$206,MATCH(H471-129,Fields!$D$2:$D$206,1)),""),"")</f>
        <v/>
      </c>
      <c r="K471">
        <f>IFERROR(IF(AND(H471&lt;&gt;"",H471&gt;=129,H471&lt;=2176),INDEX(Fields!$C$2:$C$206,MATCH(H471-129,Fields!$D$2:$D$206,1)),""),"")</f>
        <v/>
      </c>
      <c r="L471">
        <f>IFERROR(IF(AND(H471&lt;&gt;"",H471&gt;=129,H471&lt;=2176),INDEX(Fields!$J$2:$J$206,MATCH(H471-129,Fields!$D$2:$D$206,1)),""),"")</f>
        <v/>
      </c>
      <c r="M471">
        <f>IFERROR(IF(AND(H471&lt;&gt;"",H471&gt;=129,H471&lt;=2176),INDEX(Fields!$K$2:$K$206,MATCH(H471-129,Fields!$D$2:$D$206,1)),""),"")</f>
        <v/>
      </c>
    </row>
    <row r="472">
      <c r="A472" t="n">
        <v>470</v>
      </c>
      <c r="B472" t="n">
        <v>1</v>
      </c>
      <c r="C472" t="inlineStr">
        <is>
          <t>No</t>
        </is>
      </c>
      <c r="D472">
        <f>IF(AND(B467=1,B468=1,B469=1,B470=1,B471=1),"Yes","")</f>
        <v/>
      </c>
      <c r="E472" t="inlineStr">
        <is>
          <t>No</t>
        </is>
      </c>
      <c r="F472" t="inlineStr">
        <is>
          <t>No</t>
        </is>
      </c>
      <c r="G472">
        <f>IF(F472="Yes",1-B472,B472)</f>
        <v/>
      </c>
      <c r="H472">
        <f>IF(E472="Yes","",COUNTIFS($E$2:E472,"No"))</f>
        <v/>
      </c>
      <c r="I472">
        <f>IF(H472="","",IF(H472&lt;=128,"address",IF(H472&lt;=600,"data1",IF(H472&lt;=1264,"zero-run1",IF(H472&lt;=1648,"data2",IF(H472&lt;=2176,"zero-run2",IF(H472&lt;=2192,"FCS","trailing")))))))</f>
        <v/>
      </c>
      <c r="J472">
        <f>IFERROR(IF(AND(H472&lt;&gt;"",H472&gt;=129,H472&lt;=2176),INDEX(Fields!$B$2:$B$206,MATCH(H472-129,Fields!$D$2:$D$206,1)),""),"")</f>
        <v/>
      </c>
      <c r="K472">
        <f>IFERROR(IF(AND(H472&lt;&gt;"",H472&gt;=129,H472&lt;=2176),INDEX(Fields!$C$2:$C$206,MATCH(H472-129,Fields!$D$2:$D$206,1)),""),"")</f>
        <v/>
      </c>
      <c r="L472">
        <f>IFERROR(IF(AND(H472&lt;&gt;"",H472&gt;=129,H472&lt;=2176),INDEX(Fields!$J$2:$J$206,MATCH(H472-129,Fields!$D$2:$D$206,1)),""),"")</f>
        <v/>
      </c>
      <c r="M472">
        <f>IFERROR(IF(AND(H472&lt;&gt;"",H472&gt;=129,H472&lt;=2176),INDEX(Fields!$K$2:$K$206,MATCH(H472-129,Fields!$D$2:$D$206,1)),""),"")</f>
        <v/>
      </c>
    </row>
    <row r="473">
      <c r="A473" t="n">
        <v>471</v>
      </c>
      <c r="B473" t="n">
        <v>0</v>
      </c>
      <c r="C473" t="inlineStr">
        <is>
          <t>No</t>
        </is>
      </c>
      <c r="D473">
        <f>IF(AND(B468=1,B469=1,B470=1,B471=1,B472=1),"Yes","")</f>
        <v/>
      </c>
      <c r="E473" t="inlineStr">
        <is>
          <t>No</t>
        </is>
      </c>
      <c r="F473" t="inlineStr">
        <is>
          <t>No</t>
        </is>
      </c>
      <c r="G473">
        <f>IF(F473="Yes",1-B473,B473)</f>
        <v/>
      </c>
      <c r="H473">
        <f>IF(E473="Yes","",COUNTIFS($E$2:E473,"No"))</f>
        <v/>
      </c>
      <c r="I473">
        <f>IF(H473="","",IF(H473&lt;=128,"address",IF(H473&lt;=600,"data1",IF(H473&lt;=1264,"zero-run1",IF(H473&lt;=1648,"data2",IF(H473&lt;=2176,"zero-run2",IF(H473&lt;=2192,"FCS","trailing")))))))</f>
        <v/>
      </c>
      <c r="J473">
        <f>IFERROR(IF(AND(H473&lt;&gt;"",H473&gt;=129,H473&lt;=2176),INDEX(Fields!$B$2:$B$206,MATCH(H473-129,Fields!$D$2:$D$206,1)),""),"")</f>
        <v/>
      </c>
      <c r="K473">
        <f>IFERROR(IF(AND(H473&lt;&gt;"",H473&gt;=129,H473&lt;=2176),INDEX(Fields!$C$2:$C$206,MATCH(H473-129,Fields!$D$2:$D$206,1)),""),"")</f>
        <v/>
      </c>
      <c r="L473">
        <f>IFERROR(IF(AND(H473&lt;&gt;"",H473&gt;=129,H473&lt;=2176),INDEX(Fields!$J$2:$J$206,MATCH(H473-129,Fields!$D$2:$D$206,1)),""),"")</f>
        <v/>
      </c>
      <c r="M473">
        <f>IFERROR(IF(AND(H473&lt;&gt;"",H473&gt;=129,H473&lt;=2176),INDEX(Fields!$K$2:$K$206,MATCH(H473-129,Fields!$D$2:$D$206,1)),""),"")</f>
        <v/>
      </c>
    </row>
    <row r="474">
      <c r="A474" t="n">
        <v>472</v>
      </c>
      <c r="B474" t="n">
        <v>1</v>
      </c>
      <c r="C474" t="inlineStr">
        <is>
          <t>No</t>
        </is>
      </c>
      <c r="D474">
        <f>IF(AND(B469=1,B470=1,B471=1,B472=1,B473=1),"Yes","")</f>
        <v/>
      </c>
      <c r="E474" t="inlineStr">
        <is>
          <t>No</t>
        </is>
      </c>
      <c r="F474" t="inlineStr">
        <is>
          <t>No</t>
        </is>
      </c>
      <c r="G474">
        <f>IF(F474="Yes",1-B474,B474)</f>
        <v/>
      </c>
      <c r="H474">
        <f>IF(E474="Yes","",COUNTIFS($E$2:E474,"No"))</f>
        <v/>
      </c>
      <c r="I474">
        <f>IF(H474="","",IF(H474&lt;=128,"address",IF(H474&lt;=600,"data1",IF(H474&lt;=1264,"zero-run1",IF(H474&lt;=1648,"data2",IF(H474&lt;=2176,"zero-run2",IF(H474&lt;=2192,"FCS","trailing")))))))</f>
        <v/>
      </c>
      <c r="J474">
        <f>IFERROR(IF(AND(H474&lt;&gt;"",H474&gt;=129,H474&lt;=2176),INDEX(Fields!$B$2:$B$206,MATCH(H474-129,Fields!$D$2:$D$206,1)),""),"")</f>
        <v/>
      </c>
      <c r="K474">
        <f>IFERROR(IF(AND(H474&lt;&gt;"",H474&gt;=129,H474&lt;=2176),INDEX(Fields!$C$2:$C$206,MATCH(H474-129,Fields!$D$2:$D$206,1)),""),"")</f>
        <v/>
      </c>
      <c r="L474">
        <f>IFERROR(IF(AND(H474&lt;&gt;"",H474&gt;=129,H474&lt;=2176),INDEX(Fields!$J$2:$J$206,MATCH(H474-129,Fields!$D$2:$D$206,1)),""),"")</f>
        <v/>
      </c>
      <c r="M474">
        <f>IFERROR(IF(AND(H474&lt;&gt;"",H474&gt;=129,H474&lt;=2176),INDEX(Fields!$K$2:$K$206,MATCH(H474-129,Fields!$D$2:$D$206,1)),""),"")</f>
        <v/>
      </c>
    </row>
    <row r="475">
      <c r="A475" t="n">
        <v>473</v>
      </c>
      <c r="B475" t="n">
        <v>1</v>
      </c>
      <c r="C475" t="inlineStr">
        <is>
          <t>No</t>
        </is>
      </c>
      <c r="D475">
        <f>IF(AND(B470=1,B471=1,B472=1,B473=1,B474=1),"Yes","")</f>
        <v/>
      </c>
      <c r="E475" t="inlineStr">
        <is>
          <t>No</t>
        </is>
      </c>
      <c r="F475" t="inlineStr">
        <is>
          <t>No</t>
        </is>
      </c>
      <c r="G475">
        <f>IF(F475="Yes",1-B475,B475)</f>
        <v/>
      </c>
      <c r="H475">
        <f>IF(E475="Yes","",COUNTIFS($E$2:E475,"No"))</f>
        <v/>
      </c>
      <c r="I475">
        <f>IF(H475="","",IF(H475&lt;=128,"address",IF(H475&lt;=600,"data1",IF(H475&lt;=1264,"zero-run1",IF(H475&lt;=1648,"data2",IF(H475&lt;=2176,"zero-run2",IF(H475&lt;=2192,"FCS","trailing")))))))</f>
        <v/>
      </c>
      <c r="J475">
        <f>IFERROR(IF(AND(H475&lt;&gt;"",H475&gt;=129,H475&lt;=2176),INDEX(Fields!$B$2:$B$206,MATCH(H475-129,Fields!$D$2:$D$206,1)),""),"")</f>
        <v/>
      </c>
      <c r="K475">
        <f>IFERROR(IF(AND(H475&lt;&gt;"",H475&gt;=129,H475&lt;=2176),INDEX(Fields!$C$2:$C$206,MATCH(H475-129,Fields!$D$2:$D$206,1)),""),"")</f>
        <v/>
      </c>
      <c r="L475">
        <f>IFERROR(IF(AND(H475&lt;&gt;"",H475&gt;=129,H475&lt;=2176),INDEX(Fields!$J$2:$J$206,MATCH(H475-129,Fields!$D$2:$D$206,1)),""),"")</f>
        <v/>
      </c>
      <c r="M475">
        <f>IFERROR(IF(AND(H475&lt;&gt;"",H475&gt;=129,H475&lt;=2176),INDEX(Fields!$K$2:$K$206,MATCH(H475-129,Fields!$D$2:$D$206,1)),""),"")</f>
        <v/>
      </c>
    </row>
    <row r="476">
      <c r="A476" t="n">
        <v>474</v>
      </c>
      <c r="B476" t="n">
        <v>0</v>
      </c>
      <c r="C476" t="inlineStr">
        <is>
          <t>No</t>
        </is>
      </c>
      <c r="D476">
        <f>IF(AND(B471=1,B472=1,B473=1,B474=1,B475=1),"Yes","")</f>
        <v/>
      </c>
      <c r="E476" t="inlineStr">
        <is>
          <t>No</t>
        </is>
      </c>
      <c r="F476" t="inlineStr">
        <is>
          <t>No</t>
        </is>
      </c>
      <c r="G476">
        <f>IF(F476="Yes",1-B476,B476)</f>
        <v/>
      </c>
      <c r="H476">
        <f>IF(E476="Yes","",COUNTIFS($E$2:E476,"No"))</f>
        <v/>
      </c>
      <c r="I476">
        <f>IF(H476="","",IF(H476&lt;=128,"address",IF(H476&lt;=600,"data1",IF(H476&lt;=1264,"zero-run1",IF(H476&lt;=1648,"data2",IF(H476&lt;=2176,"zero-run2",IF(H476&lt;=2192,"FCS","trailing")))))))</f>
        <v/>
      </c>
      <c r="J476">
        <f>IFERROR(IF(AND(H476&lt;&gt;"",H476&gt;=129,H476&lt;=2176),INDEX(Fields!$B$2:$B$206,MATCH(H476-129,Fields!$D$2:$D$206,1)),""),"")</f>
        <v/>
      </c>
      <c r="K476">
        <f>IFERROR(IF(AND(H476&lt;&gt;"",H476&gt;=129,H476&lt;=2176),INDEX(Fields!$C$2:$C$206,MATCH(H476-129,Fields!$D$2:$D$206,1)),""),"")</f>
        <v/>
      </c>
      <c r="L476">
        <f>IFERROR(IF(AND(H476&lt;&gt;"",H476&gt;=129,H476&lt;=2176),INDEX(Fields!$J$2:$J$206,MATCH(H476-129,Fields!$D$2:$D$206,1)),""),"")</f>
        <v/>
      </c>
      <c r="M476">
        <f>IFERROR(IF(AND(H476&lt;&gt;"",H476&gt;=129,H476&lt;=2176),INDEX(Fields!$K$2:$K$206,MATCH(H476-129,Fields!$D$2:$D$206,1)),""),"")</f>
        <v/>
      </c>
    </row>
    <row r="477">
      <c r="A477" t="n">
        <v>475</v>
      </c>
      <c r="B477" t="n">
        <v>0</v>
      </c>
      <c r="C477" t="inlineStr">
        <is>
          <t>No</t>
        </is>
      </c>
      <c r="D477">
        <f>IF(AND(B472=1,B473=1,B474=1,B475=1,B476=1),"Yes","")</f>
        <v/>
      </c>
      <c r="E477" t="inlineStr">
        <is>
          <t>No</t>
        </is>
      </c>
      <c r="F477" t="inlineStr">
        <is>
          <t>No</t>
        </is>
      </c>
      <c r="G477">
        <f>IF(F477="Yes",1-B477,B477)</f>
        <v/>
      </c>
      <c r="H477">
        <f>IF(E477="Yes","",COUNTIFS($E$2:E477,"No"))</f>
        <v/>
      </c>
      <c r="I477">
        <f>IF(H477="","",IF(H477&lt;=128,"address",IF(H477&lt;=600,"data1",IF(H477&lt;=1264,"zero-run1",IF(H477&lt;=1648,"data2",IF(H477&lt;=2176,"zero-run2",IF(H477&lt;=2192,"FCS","trailing")))))))</f>
        <v/>
      </c>
      <c r="J477">
        <f>IFERROR(IF(AND(H477&lt;&gt;"",H477&gt;=129,H477&lt;=2176),INDEX(Fields!$B$2:$B$206,MATCH(H477-129,Fields!$D$2:$D$206,1)),""),"")</f>
        <v/>
      </c>
      <c r="K477">
        <f>IFERROR(IF(AND(H477&lt;&gt;"",H477&gt;=129,H477&lt;=2176),INDEX(Fields!$C$2:$C$206,MATCH(H477-129,Fields!$D$2:$D$206,1)),""),"")</f>
        <v/>
      </c>
      <c r="L477">
        <f>IFERROR(IF(AND(H477&lt;&gt;"",H477&gt;=129,H477&lt;=2176),INDEX(Fields!$J$2:$J$206,MATCH(H477-129,Fields!$D$2:$D$206,1)),""),"")</f>
        <v/>
      </c>
      <c r="M477">
        <f>IFERROR(IF(AND(H477&lt;&gt;"",H477&gt;=129,H477&lt;=2176),INDEX(Fields!$K$2:$K$206,MATCH(H477-129,Fields!$D$2:$D$206,1)),""),"")</f>
        <v/>
      </c>
    </row>
    <row r="478">
      <c r="A478" t="n">
        <v>476</v>
      </c>
      <c r="B478" t="n">
        <v>0</v>
      </c>
      <c r="C478" t="inlineStr">
        <is>
          <t>No</t>
        </is>
      </c>
      <c r="D478">
        <f>IF(AND(B473=1,B474=1,B475=1,B476=1,B477=1),"Yes","")</f>
        <v/>
      </c>
      <c r="E478" t="inlineStr">
        <is>
          <t>No</t>
        </is>
      </c>
      <c r="F478" t="inlineStr">
        <is>
          <t>No</t>
        </is>
      </c>
      <c r="G478">
        <f>IF(F478="Yes",1-B478,B478)</f>
        <v/>
      </c>
      <c r="H478">
        <f>IF(E478="Yes","",COUNTIFS($E$2:E478,"No"))</f>
        <v/>
      </c>
      <c r="I478">
        <f>IF(H478="","",IF(H478&lt;=128,"address",IF(H478&lt;=600,"data1",IF(H478&lt;=1264,"zero-run1",IF(H478&lt;=1648,"data2",IF(H478&lt;=2176,"zero-run2",IF(H478&lt;=2192,"FCS","trailing")))))))</f>
        <v/>
      </c>
      <c r="J478">
        <f>IFERROR(IF(AND(H478&lt;&gt;"",H478&gt;=129,H478&lt;=2176),INDEX(Fields!$B$2:$B$206,MATCH(H478-129,Fields!$D$2:$D$206,1)),""),"")</f>
        <v/>
      </c>
      <c r="K478">
        <f>IFERROR(IF(AND(H478&lt;&gt;"",H478&gt;=129,H478&lt;=2176),INDEX(Fields!$C$2:$C$206,MATCH(H478-129,Fields!$D$2:$D$206,1)),""),"")</f>
        <v/>
      </c>
      <c r="L478">
        <f>IFERROR(IF(AND(H478&lt;&gt;"",H478&gt;=129,H478&lt;=2176),INDEX(Fields!$J$2:$J$206,MATCH(H478-129,Fields!$D$2:$D$206,1)),""),"")</f>
        <v/>
      </c>
      <c r="M478">
        <f>IFERROR(IF(AND(H478&lt;&gt;"",H478&gt;=129,H478&lt;=2176),INDEX(Fields!$K$2:$K$206,MATCH(H478-129,Fields!$D$2:$D$206,1)),""),"")</f>
        <v/>
      </c>
    </row>
    <row r="479">
      <c r="A479" t="n">
        <v>477</v>
      </c>
      <c r="B479" t="n">
        <v>0</v>
      </c>
      <c r="C479" t="inlineStr">
        <is>
          <t>No</t>
        </is>
      </c>
      <c r="D479">
        <f>IF(AND(B474=1,B475=1,B476=1,B477=1,B478=1),"Yes","")</f>
        <v/>
      </c>
      <c r="E479" t="inlineStr">
        <is>
          <t>No</t>
        </is>
      </c>
      <c r="F479" t="inlineStr">
        <is>
          <t>No</t>
        </is>
      </c>
      <c r="G479">
        <f>IF(F479="Yes",1-B479,B479)</f>
        <v/>
      </c>
      <c r="H479">
        <f>IF(E479="Yes","",COUNTIFS($E$2:E479,"No"))</f>
        <v/>
      </c>
      <c r="I479">
        <f>IF(H479="","",IF(H479&lt;=128,"address",IF(H479&lt;=600,"data1",IF(H479&lt;=1264,"zero-run1",IF(H479&lt;=1648,"data2",IF(H479&lt;=2176,"zero-run2",IF(H479&lt;=2192,"FCS","trailing")))))))</f>
        <v/>
      </c>
      <c r="J479">
        <f>IFERROR(IF(AND(H479&lt;&gt;"",H479&gt;=129,H479&lt;=2176),INDEX(Fields!$B$2:$B$206,MATCH(H479-129,Fields!$D$2:$D$206,1)),""),"")</f>
        <v/>
      </c>
      <c r="K479">
        <f>IFERROR(IF(AND(H479&lt;&gt;"",H479&gt;=129,H479&lt;=2176),INDEX(Fields!$C$2:$C$206,MATCH(H479-129,Fields!$D$2:$D$206,1)),""),"")</f>
        <v/>
      </c>
      <c r="L479">
        <f>IFERROR(IF(AND(H479&lt;&gt;"",H479&gt;=129,H479&lt;=2176),INDEX(Fields!$J$2:$J$206,MATCH(H479-129,Fields!$D$2:$D$206,1)),""),"")</f>
        <v/>
      </c>
      <c r="M479">
        <f>IFERROR(IF(AND(H479&lt;&gt;"",H479&gt;=129,H479&lt;=2176),INDEX(Fields!$K$2:$K$206,MATCH(H479-129,Fields!$D$2:$D$206,1)),""),"")</f>
        <v/>
      </c>
    </row>
    <row r="480">
      <c r="A480" t="n">
        <v>478</v>
      </c>
      <c r="B480" t="n">
        <v>0</v>
      </c>
      <c r="C480" t="inlineStr">
        <is>
          <t>No</t>
        </is>
      </c>
      <c r="D480">
        <f>IF(AND(B475=1,B476=1,B477=1,B478=1,B479=1),"Yes","")</f>
        <v/>
      </c>
      <c r="E480" t="inlineStr">
        <is>
          <t>No</t>
        </is>
      </c>
      <c r="F480" t="inlineStr">
        <is>
          <t>No</t>
        </is>
      </c>
      <c r="G480">
        <f>IF(F480="Yes",1-B480,B480)</f>
        <v/>
      </c>
      <c r="H480">
        <f>IF(E480="Yes","",COUNTIFS($E$2:E480,"No"))</f>
        <v/>
      </c>
      <c r="I480">
        <f>IF(H480="","",IF(H480&lt;=128,"address",IF(H480&lt;=600,"data1",IF(H480&lt;=1264,"zero-run1",IF(H480&lt;=1648,"data2",IF(H480&lt;=2176,"zero-run2",IF(H480&lt;=2192,"FCS","trailing")))))))</f>
        <v/>
      </c>
      <c r="J480">
        <f>IFERROR(IF(AND(H480&lt;&gt;"",H480&gt;=129,H480&lt;=2176),INDEX(Fields!$B$2:$B$206,MATCH(H480-129,Fields!$D$2:$D$206,1)),""),"")</f>
        <v/>
      </c>
      <c r="K480">
        <f>IFERROR(IF(AND(H480&lt;&gt;"",H480&gt;=129,H480&lt;=2176),INDEX(Fields!$C$2:$C$206,MATCH(H480-129,Fields!$D$2:$D$206,1)),""),"")</f>
        <v/>
      </c>
      <c r="L480">
        <f>IFERROR(IF(AND(H480&lt;&gt;"",H480&gt;=129,H480&lt;=2176),INDEX(Fields!$J$2:$J$206,MATCH(H480-129,Fields!$D$2:$D$206,1)),""),"")</f>
        <v/>
      </c>
      <c r="M480">
        <f>IFERROR(IF(AND(H480&lt;&gt;"",H480&gt;=129,H480&lt;=2176),INDEX(Fields!$K$2:$K$206,MATCH(H480-129,Fields!$D$2:$D$206,1)),""),"")</f>
        <v/>
      </c>
    </row>
    <row r="481">
      <c r="A481" t="n">
        <v>479</v>
      </c>
      <c r="B481" t="n">
        <v>0</v>
      </c>
      <c r="C481" t="inlineStr">
        <is>
          <t>No</t>
        </is>
      </c>
      <c r="D481">
        <f>IF(AND(B476=1,B477=1,B478=1,B479=1,B480=1),"Yes","")</f>
        <v/>
      </c>
      <c r="E481" t="inlineStr">
        <is>
          <t>No</t>
        </is>
      </c>
      <c r="F481" t="inlineStr">
        <is>
          <t>No</t>
        </is>
      </c>
      <c r="G481">
        <f>IF(F481="Yes",1-B481,B481)</f>
        <v/>
      </c>
      <c r="H481">
        <f>IF(E481="Yes","",COUNTIFS($E$2:E481,"No"))</f>
        <v/>
      </c>
      <c r="I481">
        <f>IF(H481="","",IF(H481&lt;=128,"address",IF(H481&lt;=600,"data1",IF(H481&lt;=1264,"zero-run1",IF(H481&lt;=1648,"data2",IF(H481&lt;=2176,"zero-run2",IF(H481&lt;=2192,"FCS","trailing")))))))</f>
        <v/>
      </c>
      <c r="J481">
        <f>IFERROR(IF(AND(H481&lt;&gt;"",H481&gt;=129,H481&lt;=2176),INDEX(Fields!$B$2:$B$206,MATCH(H481-129,Fields!$D$2:$D$206,1)),""),"")</f>
        <v/>
      </c>
      <c r="K481">
        <f>IFERROR(IF(AND(H481&lt;&gt;"",H481&gt;=129,H481&lt;=2176),INDEX(Fields!$C$2:$C$206,MATCH(H481-129,Fields!$D$2:$D$206,1)),""),"")</f>
        <v/>
      </c>
      <c r="L481">
        <f>IFERROR(IF(AND(H481&lt;&gt;"",H481&gt;=129,H481&lt;=2176),INDEX(Fields!$J$2:$J$206,MATCH(H481-129,Fields!$D$2:$D$206,1)),""),"")</f>
        <v/>
      </c>
      <c r="M481">
        <f>IFERROR(IF(AND(H481&lt;&gt;"",H481&gt;=129,H481&lt;=2176),INDEX(Fields!$K$2:$K$206,MATCH(H481-129,Fields!$D$2:$D$206,1)),""),"")</f>
        <v/>
      </c>
    </row>
    <row r="482">
      <c r="A482" t="n">
        <v>480</v>
      </c>
      <c r="B482" t="n">
        <v>0</v>
      </c>
      <c r="C482" t="inlineStr">
        <is>
          <t>No</t>
        </is>
      </c>
      <c r="D482">
        <f>IF(AND(B477=1,B478=1,B479=1,B480=1,B481=1),"Yes","")</f>
        <v/>
      </c>
      <c r="E482" t="inlineStr">
        <is>
          <t>No</t>
        </is>
      </c>
      <c r="F482" t="inlineStr">
        <is>
          <t>No</t>
        </is>
      </c>
      <c r="G482">
        <f>IF(F482="Yes",1-B482,B482)</f>
        <v/>
      </c>
      <c r="H482">
        <f>IF(E482="Yes","",COUNTIFS($E$2:E482,"No"))</f>
        <v/>
      </c>
      <c r="I482">
        <f>IF(H482="","",IF(H482&lt;=128,"address",IF(H482&lt;=600,"data1",IF(H482&lt;=1264,"zero-run1",IF(H482&lt;=1648,"data2",IF(H482&lt;=2176,"zero-run2",IF(H482&lt;=2192,"FCS","trailing")))))))</f>
        <v/>
      </c>
      <c r="J482">
        <f>IFERROR(IF(AND(H482&lt;&gt;"",H482&gt;=129,H482&lt;=2176),INDEX(Fields!$B$2:$B$206,MATCH(H482-129,Fields!$D$2:$D$206,1)),""),"")</f>
        <v/>
      </c>
      <c r="K482">
        <f>IFERROR(IF(AND(H482&lt;&gt;"",H482&gt;=129,H482&lt;=2176),INDEX(Fields!$C$2:$C$206,MATCH(H482-129,Fields!$D$2:$D$206,1)),""),"")</f>
        <v/>
      </c>
      <c r="L482">
        <f>IFERROR(IF(AND(H482&lt;&gt;"",H482&gt;=129,H482&lt;=2176),INDEX(Fields!$J$2:$J$206,MATCH(H482-129,Fields!$D$2:$D$206,1)),""),"")</f>
        <v/>
      </c>
      <c r="M482">
        <f>IFERROR(IF(AND(H482&lt;&gt;"",H482&gt;=129,H482&lt;=2176),INDEX(Fields!$K$2:$K$206,MATCH(H482-129,Fields!$D$2:$D$206,1)),""),"")</f>
        <v/>
      </c>
    </row>
    <row r="483">
      <c r="A483" t="n">
        <v>481</v>
      </c>
      <c r="B483" t="n">
        <v>0</v>
      </c>
      <c r="C483" t="inlineStr">
        <is>
          <t>No</t>
        </is>
      </c>
      <c r="D483">
        <f>IF(AND(B478=1,B479=1,B480=1,B481=1,B482=1),"Yes","")</f>
        <v/>
      </c>
      <c r="E483" t="inlineStr">
        <is>
          <t>No</t>
        </is>
      </c>
      <c r="F483" t="inlineStr">
        <is>
          <t>No</t>
        </is>
      </c>
      <c r="G483">
        <f>IF(F483="Yes",1-B483,B483)</f>
        <v/>
      </c>
      <c r="H483">
        <f>IF(E483="Yes","",COUNTIFS($E$2:E483,"No"))</f>
        <v/>
      </c>
      <c r="I483">
        <f>IF(H483="","",IF(H483&lt;=128,"address",IF(H483&lt;=600,"data1",IF(H483&lt;=1264,"zero-run1",IF(H483&lt;=1648,"data2",IF(H483&lt;=2176,"zero-run2",IF(H483&lt;=2192,"FCS","trailing")))))))</f>
        <v/>
      </c>
      <c r="J483">
        <f>IFERROR(IF(AND(H483&lt;&gt;"",H483&gt;=129,H483&lt;=2176),INDEX(Fields!$B$2:$B$206,MATCH(H483-129,Fields!$D$2:$D$206,1)),""),"")</f>
        <v/>
      </c>
      <c r="K483">
        <f>IFERROR(IF(AND(H483&lt;&gt;"",H483&gt;=129,H483&lt;=2176),INDEX(Fields!$C$2:$C$206,MATCH(H483-129,Fields!$D$2:$D$206,1)),""),"")</f>
        <v/>
      </c>
      <c r="L483">
        <f>IFERROR(IF(AND(H483&lt;&gt;"",H483&gt;=129,H483&lt;=2176),INDEX(Fields!$J$2:$J$206,MATCH(H483-129,Fields!$D$2:$D$206,1)),""),"")</f>
        <v/>
      </c>
      <c r="M483">
        <f>IFERROR(IF(AND(H483&lt;&gt;"",H483&gt;=129,H483&lt;=2176),INDEX(Fields!$K$2:$K$206,MATCH(H483-129,Fields!$D$2:$D$206,1)),""),"")</f>
        <v/>
      </c>
    </row>
    <row r="484">
      <c r="A484" t="n">
        <v>482</v>
      </c>
      <c r="B484" t="n">
        <v>1</v>
      </c>
      <c r="C484" t="inlineStr">
        <is>
          <t>No</t>
        </is>
      </c>
      <c r="D484">
        <f>IF(AND(B479=1,B480=1,B481=1,B482=1,B483=1),"Yes","")</f>
        <v/>
      </c>
      <c r="E484" t="inlineStr">
        <is>
          <t>No</t>
        </is>
      </c>
      <c r="F484" t="inlineStr">
        <is>
          <t>No</t>
        </is>
      </c>
      <c r="G484">
        <f>IF(F484="Yes",1-B484,B484)</f>
        <v/>
      </c>
      <c r="H484">
        <f>IF(E484="Yes","",COUNTIFS($E$2:E484,"No"))</f>
        <v/>
      </c>
      <c r="I484">
        <f>IF(H484="","",IF(H484&lt;=128,"address",IF(H484&lt;=600,"data1",IF(H484&lt;=1264,"zero-run1",IF(H484&lt;=1648,"data2",IF(H484&lt;=2176,"zero-run2",IF(H484&lt;=2192,"FCS","trailing")))))))</f>
        <v/>
      </c>
      <c r="J484">
        <f>IFERROR(IF(AND(H484&lt;&gt;"",H484&gt;=129,H484&lt;=2176),INDEX(Fields!$B$2:$B$206,MATCH(H484-129,Fields!$D$2:$D$206,1)),""),"")</f>
        <v/>
      </c>
      <c r="K484">
        <f>IFERROR(IF(AND(H484&lt;&gt;"",H484&gt;=129,H484&lt;=2176),INDEX(Fields!$C$2:$C$206,MATCH(H484-129,Fields!$D$2:$D$206,1)),""),"")</f>
        <v/>
      </c>
      <c r="L484">
        <f>IFERROR(IF(AND(H484&lt;&gt;"",H484&gt;=129,H484&lt;=2176),INDEX(Fields!$J$2:$J$206,MATCH(H484-129,Fields!$D$2:$D$206,1)),""),"")</f>
        <v/>
      </c>
      <c r="M484">
        <f>IFERROR(IF(AND(H484&lt;&gt;"",H484&gt;=129,H484&lt;=2176),INDEX(Fields!$K$2:$K$206,MATCH(H484-129,Fields!$D$2:$D$206,1)),""),"")</f>
        <v/>
      </c>
    </row>
    <row r="485">
      <c r="A485" t="n">
        <v>483</v>
      </c>
      <c r="B485" t="n">
        <v>0</v>
      </c>
      <c r="C485" t="inlineStr">
        <is>
          <t>No</t>
        </is>
      </c>
      <c r="D485">
        <f>IF(AND(B480=1,B481=1,B482=1,B483=1,B484=1),"Yes","")</f>
        <v/>
      </c>
      <c r="E485" t="inlineStr">
        <is>
          <t>No</t>
        </is>
      </c>
      <c r="F485" t="inlineStr">
        <is>
          <t>No</t>
        </is>
      </c>
      <c r="G485">
        <f>IF(F485="Yes",1-B485,B485)</f>
        <v/>
      </c>
      <c r="H485">
        <f>IF(E485="Yes","",COUNTIFS($E$2:E485,"No"))</f>
        <v/>
      </c>
      <c r="I485">
        <f>IF(H485="","",IF(H485&lt;=128,"address",IF(H485&lt;=600,"data1",IF(H485&lt;=1264,"zero-run1",IF(H485&lt;=1648,"data2",IF(H485&lt;=2176,"zero-run2",IF(H485&lt;=2192,"FCS","trailing")))))))</f>
        <v/>
      </c>
      <c r="J485">
        <f>IFERROR(IF(AND(H485&lt;&gt;"",H485&gt;=129,H485&lt;=2176),INDEX(Fields!$B$2:$B$206,MATCH(H485-129,Fields!$D$2:$D$206,1)),""),"")</f>
        <v/>
      </c>
      <c r="K485">
        <f>IFERROR(IF(AND(H485&lt;&gt;"",H485&gt;=129,H485&lt;=2176),INDEX(Fields!$C$2:$C$206,MATCH(H485-129,Fields!$D$2:$D$206,1)),""),"")</f>
        <v/>
      </c>
      <c r="L485">
        <f>IFERROR(IF(AND(H485&lt;&gt;"",H485&gt;=129,H485&lt;=2176),INDEX(Fields!$J$2:$J$206,MATCH(H485-129,Fields!$D$2:$D$206,1)),""),"")</f>
        <v/>
      </c>
      <c r="M485">
        <f>IFERROR(IF(AND(H485&lt;&gt;"",H485&gt;=129,H485&lt;=2176),INDEX(Fields!$K$2:$K$206,MATCH(H485-129,Fields!$D$2:$D$206,1)),""),"")</f>
        <v/>
      </c>
    </row>
    <row r="486">
      <c r="A486" t="n">
        <v>484</v>
      </c>
      <c r="B486" t="n">
        <v>0</v>
      </c>
      <c r="C486" t="inlineStr">
        <is>
          <t>No</t>
        </is>
      </c>
      <c r="D486">
        <f>IF(AND(B481=1,B482=1,B483=1,B484=1,B485=1),"Yes","")</f>
        <v/>
      </c>
      <c r="E486" t="inlineStr">
        <is>
          <t>No</t>
        </is>
      </c>
      <c r="F486" t="inlineStr">
        <is>
          <t>No</t>
        </is>
      </c>
      <c r="G486">
        <f>IF(F486="Yes",1-B486,B486)</f>
        <v/>
      </c>
      <c r="H486">
        <f>IF(E486="Yes","",COUNTIFS($E$2:E486,"No"))</f>
        <v/>
      </c>
      <c r="I486">
        <f>IF(H486="","",IF(H486&lt;=128,"address",IF(H486&lt;=600,"data1",IF(H486&lt;=1264,"zero-run1",IF(H486&lt;=1648,"data2",IF(H486&lt;=2176,"zero-run2",IF(H486&lt;=2192,"FCS","trailing")))))))</f>
        <v/>
      </c>
      <c r="J486">
        <f>IFERROR(IF(AND(H486&lt;&gt;"",H486&gt;=129,H486&lt;=2176),INDEX(Fields!$B$2:$B$206,MATCH(H486-129,Fields!$D$2:$D$206,1)),""),"")</f>
        <v/>
      </c>
      <c r="K486">
        <f>IFERROR(IF(AND(H486&lt;&gt;"",H486&gt;=129,H486&lt;=2176),INDEX(Fields!$C$2:$C$206,MATCH(H486-129,Fields!$D$2:$D$206,1)),""),"")</f>
        <v/>
      </c>
      <c r="L486">
        <f>IFERROR(IF(AND(H486&lt;&gt;"",H486&gt;=129,H486&lt;=2176),INDEX(Fields!$J$2:$J$206,MATCH(H486-129,Fields!$D$2:$D$206,1)),""),"")</f>
        <v/>
      </c>
      <c r="M486">
        <f>IFERROR(IF(AND(H486&lt;&gt;"",H486&gt;=129,H486&lt;=2176),INDEX(Fields!$K$2:$K$206,MATCH(H486-129,Fields!$D$2:$D$206,1)),""),"")</f>
        <v/>
      </c>
    </row>
    <row r="487">
      <c r="A487" t="n">
        <v>485</v>
      </c>
      <c r="B487" t="n">
        <v>1</v>
      </c>
      <c r="C487" t="inlineStr">
        <is>
          <t>No</t>
        </is>
      </c>
      <c r="D487">
        <f>IF(AND(B482=1,B483=1,B484=1,B485=1,B486=1),"Yes","")</f>
        <v/>
      </c>
      <c r="E487" t="inlineStr">
        <is>
          <t>No</t>
        </is>
      </c>
      <c r="F487" t="inlineStr">
        <is>
          <t>No</t>
        </is>
      </c>
      <c r="G487">
        <f>IF(F487="Yes",1-B487,B487)</f>
        <v/>
      </c>
      <c r="H487">
        <f>IF(E487="Yes","",COUNTIFS($E$2:E487,"No"))</f>
        <v/>
      </c>
      <c r="I487">
        <f>IF(H487="","",IF(H487&lt;=128,"address",IF(H487&lt;=600,"data1",IF(H487&lt;=1264,"zero-run1",IF(H487&lt;=1648,"data2",IF(H487&lt;=2176,"zero-run2",IF(H487&lt;=2192,"FCS","trailing")))))))</f>
        <v/>
      </c>
      <c r="J487">
        <f>IFERROR(IF(AND(H487&lt;&gt;"",H487&gt;=129,H487&lt;=2176),INDEX(Fields!$B$2:$B$206,MATCH(H487-129,Fields!$D$2:$D$206,1)),""),"")</f>
        <v/>
      </c>
      <c r="K487">
        <f>IFERROR(IF(AND(H487&lt;&gt;"",H487&gt;=129,H487&lt;=2176),INDEX(Fields!$C$2:$C$206,MATCH(H487-129,Fields!$D$2:$D$206,1)),""),"")</f>
        <v/>
      </c>
      <c r="L487">
        <f>IFERROR(IF(AND(H487&lt;&gt;"",H487&gt;=129,H487&lt;=2176),INDEX(Fields!$J$2:$J$206,MATCH(H487-129,Fields!$D$2:$D$206,1)),""),"")</f>
        <v/>
      </c>
      <c r="M487">
        <f>IFERROR(IF(AND(H487&lt;&gt;"",H487&gt;=129,H487&lt;=2176),INDEX(Fields!$K$2:$K$206,MATCH(H487-129,Fields!$D$2:$D$206,1)),""),"")</f>
        <v/>
      </c>
    </row>
    <row r="488">
      <c r="A488" t="n">
        <v>486</v>
      </c>
      <c r="B488" t="n">
        <v>1</v>
      </c>
      <c r="C488" t="inlineStr">
        <is>
          <t>No</t>
        </is>
      </c>
      <c r="D488">
        <f>IF(AND(B483=1,B484=1,B485=1,B486=1,B487=1),"Yes","")</f>
        <v/>
      </c>
      <c r="E488" t="inlineStr">
        <is>
          <t>No</t>
        </is>
      </c>
      <c r="F488" t="inlineStr">
        <is>
          <t>No</t>
        </is>
      </c>
      <c r="G488">
        <f>IF(F488="Yes",1-B488,B488)</f>
        <v/>
      </c>
      <c r="H488">
        <f>IF(E488="Yes","",COUNTIFS($E$2:E488,"No"))</f>
        <v/>
      </c>
      <c r="I488">
        <f>IF(H488="","",IF(H488&lt;=128,"address",IF(H488&lt;=600,"data1",IF(H488&lt;=1264,"zero-run1",IF(H488&lt;=1648,"data2",IF(H488&lt;=2176,"zero-run2",IF(H488&lt;=2192,"FCS","trailing")))))))</f>
        <v/>
      </c>
      <c r="J488">
        <f>IFERROR(IF(AND(H488&lt;&gt;"",H488&gt;=129,H488&lt;=2176),INDEX(Fields!$B$2:$B$206,MATCH(H488-129,Fields!$D$2:$D$206,1)),""),"")</f>
        <v/>
      </c>
      <c r="K488">
        <f>IFERROR(IF(AND(H488&lt;&gt;"",H488&gt;=129,H488&lt;=2176),INDEX(Fields!$C$2:$C$206,MATCH(H488-129,Fields!$D$2:$D$206,1)),""),"")</f>
        <v/>
      </c>
      <c r="L488">
        <f>IFERROR(IF(AND(H488&lt;&gt;"",H488&gt;=129,H488&lt;=2176),INDEX(Fields!$J$2:$J$206,MATCH(H488-129,Fields!$D$2:$D$206,1)),""),"")</f>
        <v/>
      </c>
      <c r="M488">
        <f>IFERROR(IF(AND(H488&lt;&gt;"",H488&gt;=129,H488&lt;=2176),INDEX(Fields!$K$2:$K$206,MATCH(H488-129,Fields!$D$2:$D$206,1)),""),"")</f>
        <v/>
      </c>
    </row>
    <row r="489">
      <c r="A489" t="n">
        <v>487</v>
      </c>
      <c r="B489" t="n">
        <v>0</v>
      </c>
      <c r="C489" t="inlineStr">
        <is>
          <t>No</t>
        </is>
      </c>
      <c r="D489">
        <f>IF(AND(B484=1,B485=1,B486=1,B487=1,B488=1),"Yes","")</f>
        <v/>
      </c>
      <c r="E489" t="inlineStr">
        <is>
          <t>No</t>
        </is>
      </c>
      <c r="F489" t="inlineStr">
        <is>
          <t>No</t>
        </is>
      </c>
      <c r="G489">
        <f>IF(F489="Yes",1-B489,B489)</f>
        <v/>
      </c>
      <c r="H489">
        <f>IF(E489="Yes","",COUNTIFS($E$2:E489,"No"))</f>
        <v/>
      </c>
      <c r="I489">
        <f>IF(H489="","",IF(H489&lt;=128,"address",IF(H489&lt;=600,"data1",IF(H489&lt;=1264,"zero-run1",IF(H489&lt;=1648,"data2",IF(H489&lt;=2176,"zero-run2",IF(H489&lt;=2192,"FCS","trailing")))))))</f>
        <v/>
      </c>
      <c r="J489">
        <f>IFERROR(IF(AND(H489&lt;&gt;"",H489&gt;=129,H489&lt;=2176),INDEX(Fields!$B$2:$B$206,MATCH(H489-129,Fields!$D$2:$D$206,1)),""),"")</f>
        <v/>
      </c>
      <c r="K489">
        <f>IFERROR(IF(AND(H489&lt;&gt;"",H489&gt;=129,H489&lt;=2176),INDEX(Fields!$C$2:$C$206,MATCH(H489-129,Fields!$D$2:$D$206,1)),""),"")</f>
        <v/>
      </c>
      <c r="L489">
        <f>IFERROR(IF(AND(H489&lt;&gt;"",H489&gt;=129,H489&lt;=2176),INDEX(Fields!$J$2:$J$206,MATCH(H489-129,Fields!$D$2:$D$206,1)),""),"")</f>
        <v/>
      </c>
      <c r="M489">
        <f>IFERROR(IF(AND(H489&lt;&gt;"",H489&gt;=129,H489&lt;=2176),INDEX(Fields!$K$2:$K$206,MATCH(H489-129,Fields!$D$2:$D$206,1)),""),"")</f>
        <v/>
      </c>
    </row>
    <row r="490">
      <c r="A490" t="n">
        <v>488</v>
      </c>
      <c r="B490" t="n">
        <v>0</v>
      </c>
      <c r="C490" t="inlineStr">
        <is>
          <t>No</t>
        </is>
      </c>
      <c r="D490">
        <f>IF(AND(B485=1,B486=1,B487=1,B488=1,B489=1),"Yes","")</f>
        <v/>
      </c>
      <c r="E490" t="inlineStr">
        <is>
          <t>No</t>
        </is>
      </c>
      <c r="F490" t="inlineStr">
        <is>
          <t>No</t>
        </is>
      </c>
      <c r="G490">
        <f>IF(F490="Yes",1-B490,B490)</f>
        <v/>
      </c>
      <c r="H490">
        <f>IF(E490="Yes","",COUNTIFS($E$2:E490,"No"))</f>
        <v/>
      </c>
      <c r="I490">
        <f>IF(H490="","",IF(H490&lt;=128,"address",IF(H490&lt;=600,"data1",IF(H490&lt;=1264,"zero-run1",IF(H490&lt;=1648,"data2",IF(H490&lt;=2176,"zero-run2",IF(H490&lt;=2192,"FCS","trailing")))))))</f>
        <v/>
      </c>
      <c r="J490">
        <f>IFERROR(IF(AND(H490&lt;&gt;"",H490&gt;=129,H490&lt;=2176),INDEX(Fields!$B$2:$B$206,MATCH(H490-129,Fields!$D$2:$D$206,1)),""),"")</f>
        <v/>
      </c>
      <c r="K490">
        <f>IFERROR(IF(AND(H490&lt;&gt;"",H490&gt;=129,H490&lt;=2176),INDEX(Fields!$C$2:$C$206,MATCH(H490-129,Fields!$D$2:$D$206,1)),""),"")</f>
        <v/>
      </c>
      <c r="L490">
        <f>IFERROR(IF(AND(H490&lt;&gt;"",H490&gt;=129,H490&lt;=2176),INDEX(Fields!$J$2:$J$206,MATCH(H490-129,Fields!$D$2:$D$206,1)),""),"")</f>
        <v/>
      </c>
      <c r="M490">
        <f>IFERROR(IF(AND(H490&lt;&gt;"",H490&gt;=129,H490&lt;=2176),INDEX(Fields!$K$2:$K$206,MATCH(H490-129,Fields!$D$2:$D$206,1)),""),"")</f>
        <v/>
      </c>
    </row>
    <row r="491">
      <c r="A491" t="n">
        <v>489</v>
      </c>
      <c r="B491" t="n">
        <v>1</v>
      </c>
      <c r="C491" t="inlineStr">
        <is>
          <t>No</t>
        </is>
      </c>
      <c r="D491">
        <f>IF(AND(B486=1,B487=1,B488=1,B489=1,B490=1),"Yes","")</f>
        <v/>
      </c>
      <c r="E491" t="inlineStr">
        <is>
          <t>No</t>
        </is>
      </c>
      <c r="F491" t="inlineStr">
        <is>
          <t>No</t>
        </is>
      </c>
      <c r="G491">
        <f>IF(F491="Yes",1-B491,B491)</f>
        <v/>
      </c>
      <c r="H491">
        <f>IF(E491="Yes","",COUNTIFS($E$2:E491,"No"))</f>
        <v/>
      </c>
      <c r="I491">
        <f>IF(H491="","",IF(H491&lt;=128,"address",IF(H491&lt;=600,"data1",IF(H491&lt;=1264,"zero-run1",IF(H491&lt;=1648,"data2",IF(H491&lt;=2176,"zero-run2",IF(H491&lt;=2192,"FCS","trailing")))))))</f>
        <v/>
      </c>
      <c r="J491">
        <f>IFERROR(IF(AND(H491&lt;&gt;"",H491&gt;=129,H491&lt;=2176),INDEX(Fields!$B$2:$B$206,MATCH(H491-129,Fields!$D$2:$D$206,1)),""),"")</f>
        <v/>
      </c>
      <c r="K491">
        <f>IFERROR(IF(AND(H491&lt;&gt;"",H491&gt;=129,H491&lt;=2176),INDEX(Fields!$C$2:$C$206,MATCH(H491-129,Fields!$D$2:$D$206,1)),""),"")</f>
        <v/>
      </c>
      <c r="L491">
        <f>IFERROR(IF(AND(H491&lt;&gt;"",H491&gt;=129,H491&lt;=2176),INDEX(Fields!$J$2:$J$206,MATCH(H491-129,Fields!$D$2:$D$206,1)),""),"")</f>
        <v/>
      </c>
      <c r="M491">
        <f>IFERROR(IF(AND(H491&lt;&gt;"",H491&gt;=129,H491&lt;=2176),INDEX(Fields!$K$2:$K$206,MATCH(H491-129,Fields!$D$2:$D$206,1)),""),"")</f>
        <v/>
      </c>
    </row>
    <row r="492">
      <c r="A492" t="n">
        <v>490</v>
      </c>
      <c r="B492" t="n">
        <v>1</v>
      </c>
      <c r="C492" t="inlineStr">
        <is>
          <t>No</t>
        </is>
      </c>
      <c r="D492">
        <f>IF(AND(B487=1,B488=1,B489=1,B490=1,B491=1),"Yes","")</f>
        <v/>
      </c>
      <c r="E492" t="inlineStr">
        <is>
          <t>No</t>
        </is>
      </c>
      <c r="F492" t="inlineStr">
        <is>
          <t>No</t>
        </is>
      </c>
      <c r="G492">
        <f>IF(F492="Yes",1-B492,B492)</f>
        <v/>
      </c>
      <c r="H492">
        <f>IF(E492="Yes","",COUNTIFS($E$2:E492,"No"))</f>
        <v/>
      </c>
      <c r="I492">
        <f>IF(H492="","",IF(H492&lt;=128,"address",IF(H492&lt;=600,"data1",IF(H492&lt;=1264,"zero-run1",IF(H492&lt;=1648,"data2",IF(H492&lt;=2176,"zero-run2",IF(H492&lt;=2192,"FCS","trailing")))))))</f>
        <v/>
      </c>
      <c r="J492">
        <f>IFERROR(IF(AND(H492&lt;&gt;"",H492&gt;=129,H492&lt;=2176),INDEX(Fields!$B$2:$B$206,MATCH(H492-129,Fields!$D$2:$D$206,1)),""),"")</f>
        <v/>
      </c>
      <c r="K492">
        <f>IFERROR(IF(AND(H492&lt;&gt;"",H492&gt;=129,H492&lt;=2176),INDEX(Fields!$C$2:$C$206,MATCH(H492-129,Fields!$D$2:$D$206,1)),""),"")</f>
        <v/>
      </c>
      <c r="L492">
        <f>IFERROR(IF(AND(H492&lt;&gt;"",H492&gt;=129,H492&lt;=2176),INDEX(Fields!$J$2:$J$206,MATCH(H492-129,Fields!$D$2:$D$206,1)),""),"")</f>
        <v/>
      </c>
      <c r="M492">
        <f>IFERROR(IF(AND(H492&lt;&gt;"",H492&gt;=129,H492&lt;=2176),INDEX(Fields!$K$2:$K$206,MATCH(H492-129,Fields!$D$2:$D$206,1)),""),"")</f>
        <v/>
      </c>
    </row>
    <row r="493">
      <c r="A493" t="n">
        <v>491</v>
      </c>
      <c r="B493" t="n">
        <v>1</v>
      </c>
      <c r="C493" t="inlineStr">
        <is>
          <t>No</t>
        </is>
      </c>
      <c r="D493">
        <f>IF(AND(B488=1,B489=1,B490=1,B491=1,B492=1),"Yes","")</f>
        <v/>
      </c>
      <c r="E493" t="inlineStr">
        <is>
          <t>No</t>
        </is>
      </c>
      <c r="F493" t="inlineStr">
        <is>
          <t>No</t>
        </is>
      </c>
      <c r="G493">
        <f>IF(F493="Yes",1-B493,B493)</f>
        <v/>
      </c>
      <c r="H493">
        <f>IF(E493="Yes","",COUNTIFS($E$2:E493,"No"))</f>
        <v/>
      </c>
      <c r="I493">
        <f>IF(H493="","",IF(H493&lt;=128,"address",IF(H493&lt;=600,"data1",IF(H493&lt;=1264,"zero-run1",IF(H493&lt;=1648,"data2",IF(H493&lt;=2176,"zero-run2",IF(H493&lt;=2192,"FCS","trailing")))))))</f>
        <v/>
      </c>
      <c r="J493">
        <f>IFERROR(IF(AND(H493&lt;&gt;"",H493&gt;=129,H493&lt;=2176),INDEX(Fields!$B$2:$B$206,MATCH(H493-129,Fields!$D$2:$D$206,1)),""),"")</f>
        <v/>
      </c>
      <c r="K493">
        <f>IFERROR(IF(AND(H493&lt;&gt;"",H493&gt;=129,H493&lt;=2176),INDEX(Fields!$C$2:$C$206,MATCH(H493-129,Fields!$D$2:$D$206,1)),""),"")</f>
        <v/>
      </c>
      <c r="L493">
        <f>IFERROR(IF(AND(H493&lt;&gt;"",H493&gt;=129,H493&lt;=2176),INDEX(Fields!$J$2:$J$206,MATCH(H493-129,Fields!$D$2:$D$206,1)),""),"")</f>
        <v/>
      </c>
      <c r="M493">
        <f>IFERROR(IF(AND(H493&lt;&gt;"",H493&gt;=129,H493&lt;=2176),INDEX(Fields!$K$2:$K$206,MATCH(H493-129,Fields!$D$2:$D$206,1)),""),"")</f>
        <v/>
      </c>
    </row>
    <row r="494">
      <c r="A494" t="n">
        <v>492</v>
      </c>
      <c r="B494" t="n">
        <v>1</v>
      </c>
      <c r="C494" t="inlineStr">
        <is>
          <t>No</t>
        </is>
      </c>
      <c r="D494">
        <f>IF(AND(B489=1,B490=1,B491=1,B492=1,B493=1),"Yes","")</f>
        <v/>
      </c>
      <c r="E494" t="inlineStr">
        <is>
          <t>No</t>
        </is>
      </c>
      <c r="F494" t="inlineStr">
        <is>
          <t>No</t>
        </is>
      </c>
      <c r="G494">
        <f>IF(F494="Yes",1-B494,B494)</f>
        <v/>
      </c>
      <c r="H494">
        <f>IF(E494="Yes","",COUNTIFS($E$2:E494,"No"))</f>
        <v/>
      </c>
      <c r="I494">
        <f>IF(H494="","",IF(H494&lt;=128,"address",IF(H494&lt;=600,"data1",IF(H494&lt;=1264,"zero-run1",IF(H494&lt;=1648,"data2",IF(H494&lt;=2176,"zero-run2",IF(H494&lt;=2192,"FCS","trailing")))))))</f>
        <v/>
      </c>
      <c r="J494">
        <f>IFERROR(IF(AND(H494&lt;&gt;"",H494&gt;=129,H494&lt;=2176),INDEX(Fields!$B$2:$B$206,MATCH(H494-129,Fields!$D$2:$D$206,1)),""),"")</f>
        <v/>
      </c>
      <c r="K494">
        <f>IFERROR(IF(AND(H494&lt;&gt;"",H494&gt;=129,H494&lt;=2176),INDEX(Fields!$C$2:$C$206,MATCH(H494-129,Fields!$D$2:$D$206,1)),""),"")</f>
        <v/>
      </c>
      <c r="L494">
        <f>IFERROR(IF(AND(H494&lt;&gt;"",H494&gt;=129,H494&lt;=2176),INDEX(Fields!$J$2:$J$206,MATCH(H494-129,Fields!$D$2:$D$206,1)),""),"")</f>
        <v/>
      </c>
      <c r="M494">
        <f>IFERROR(IF(AND(H494&lt;&gt;"",H494&gt;=129,H494&lt;=2176),INDEX(Fields!$K$2:$K$206,MATCH(H494-129,Fields!$D$2:$D$206,1)),""),"")</f>
        <v/>
      </c>
    </row>
    <row r="495">
      <c r="A495" t="n">
        <v>493</v>
      </c>
      <c r="B495" t="n">
        <v>1</v>
      </c>
      <c r="C495" t="inlineStr">
        <is>
          <t>No</t>
        </is>
      </c>
      <c r="D495">
        <f>IF(AND(B490=1,B491=1,B492=1,B493=1,B494=1),"Yes","")</f>
        <v/>
      </c>
      <c r="E495" t="inlineStr">
        <is>
          <t>No</t>
        </is>
      </c>
      <c r="F495" t="inlineStr">
        <is>
          <t>No</t>
        </is>
      </c>
      <c r="G495">
        <f>IF(F495="Yes",1-B495,B495)</f>
        <v/>
      </c>
      <c r="H495">
        <f>IF(E495="Yes","",COUNTIFS($E$2:E495,"No"))</f>
        <v/>
      </c>
      <c r="I495">
        <f>IF(H495="","",IF(H495&lt;=128,"address",IF(H495&lt;=600,"data1",IF(H495&lt;=1264,"zero-run1",IF(H495&lt;=1648,"data2",IF(H495&lt;=2176,"zero-run2",IF(H495&lt;=2192,"FCS","trailing")))))))</f>
        <v/>
      </c>
      <c r="J495">
        <f>IFERROR(IF(AND(H495&lt;&gt;"",H495&gt;=129,H495&lt;=2176),INDEX(Fields!$B$2:$B$206,MATCH(H495-129,Fields!$D$2:$D$206,1)),""),"")</f>
        <v/>
      </c>
      <c r="K495">
        <f>IFERROR(IF(AND(H495&lt;&gt;"",H495&gt;=129,H495&lt;=2176),INDEX(Fields!$C$2:$C$206,MATCH(H495-129,Fields!$D$2:$D$206,1)),""),"")</f>
        <v/>
      </c>
      <c r="L495">
        <f>IFERROR(IF(AND(H495&lt;&gt;"",H495&gt;=129,H495&lt;=2176),INDEX(Fields!$J$2:$J$206,MATCH(H495-129,Fields!$D$2:$D$206,1)),""),"")</f>
        <v/>
      </c>
      <c r="M495">
        <f>IFERROR(IF(AND(H495&lt;&gt;"",H495&gt;=129,H495&lt;=2176),INDEX(Fields!$K$2:$K$206,MATCH(H495-129,Fields!$D$2:$D$206,1)),""),"")</f>
        <v/>
      </c>
    </row>
    <row r="496">
      <c r="A496" t="n">
        <v>494</v>
      </c>
      <c r="B496" t="n">
        <v>0</v>
      </c>
      <c r="C496" t="inlineStr">
        <is>
          <t>No</t>
        </is>
      </c>
      <c r="D496" s="4">
        <f>IF(AND(B491=1,B492=1,B493=1,B494=1,B495=1),"Yes","")</f>
        <v/>
      </c>
      <c r="E496" t="inlineStr">
        <is>
          <t>No</t>
        </is>
      </c>
      <c r="F496" t="inlineStr">
        <is>
          <t>No</t>
        </is>
      </c>
      <c r="G496">
        <f>IF(F496="Yes",1-B496,B496)</f>
        <v/>
      </c>
      <c r="H496">
        <f>IF(E496="Yes","",COUNTIFS($E$2:E496,"No"))</f>
        <v/>
      </c>
      <c r="I496">
        <f>IF(H496="","",IF(H496&lt;=128,"address",IF(H496&lt;=600,"data1",IF(H496&lt;=1264,"zero-run1",IF(H496&lt;=1648,"data2",IF(H496&lt;=2176,"zero-run2",IF(H496&lt;=2192,"FCS","trailing")))))))</f>
        <v/>
      </c>
      <c r="J496">
        <f>IFERROR(IF(AND(H496&lt;&gt;"",H496&gt;=129,H496&lt;=2176),INDEX(Fields!$B$2:$B$206,MATCH(H496-129,Fields!$D$2:$D$206,1)),""),"")</f>
        <v/>
      </c>
      <c r="K496">
        <f>IFERROR(IF(AND(H496&lt;&gt;"",H496&gt;=129,H496&lt;=2176),INDEX(Fields!$C$2:$C$206,MATCH(H496-129,Fields!$D$2:$D$206,1)),""),"")</f>
        <v/>
      </c>
      <c r="L496">
        <f>IFERROR(IF(AND(H496&lt;&gt;"",H496&gt;=129,H496&lt;=2176),INDEX(Fields!$J$2:$J$206,MATCH(H496-129,Fields!$D$2:$D$206,1)),""),"")</f>
        <v/>
      </c>
      <c r="M496">
        <f>IFERROR(IF(AND(H496&lt;&gt;"",H496&gt;=129,H496&lt;=2176),INDEX(Fields!$K$2:$K$206,MATCH(H496-129,Fields!$D$2:$D$206,1)),""),"")</f>
        <v/>
      </c>
    </row>
    <row r="497">
      <c r="A497" t="n">
        <v>495</v>
      </c>
      <c r="B497" t="n">
        <v>1</v>
      </c>
      <c r="C497" t="inlineStr">
        <is>
          <t>No</t>
        </is>
      </c>
      <c r="D497">
        <f>IF(AND(B492=1,B493=1,B494=1,B495=1,B496=1),"Yes","")</f>
        <v/>
      </c>
      <c r="E497" t="inlineStr">
        <is>
          <t>No</t>
        </is>
      </c>
      <c r="F497" t="inlineStr">
        <is>
          <t>No</t>
        </is>
      </c>
      <c r="G497">
        <f>IF(F497="Yes",1-B497,B497)</f>
        <v/>
      </c>
      <c r="H497">
        <f>IF(E497="Yes","",COUNTIFS($E$2:E497,"No"))</f>
        <v/>
      </c>
      <c r="I497">
        <f>IF(H497="","",IF(H497&lt;=128,"address",IF(H497&lt;=600,"data1",IF(H497&lt;=1264,"zero-run1",IF(H497&lt;=1648,"data2",IF(H497&lt;=2176,"zero-run2",IF(H497&lt;=2192,"FCS","trailing")))))))</f>
        <v/>
      </c>
      <c r="J497">
        <f>IFERROR(IF(AND(H497&lt;&gt;"",H497&gt;=129,H497&lt;=2176),INDEX(Fields!$B$2:$B$206,MATCH(H497-129,Fields!$D$2:$D$206,1)),""),"")</f>
        <v/>
      </c>
      <c r="K497">
        <f>IFERROR(IF(AND(H497&lt;&gt;"",H497&gt;=129,H497&lt;=2176),INDEX(Fields!$C$2:$C$206,MATCH(H497-129,Fields!$D$2:$D$206,1)),""),"")</f>
        <v/>
      </c>
      <c r="L497">
        <f>IFERROR(IF(AND(H497&lt;&gt;"",H497&gt;=129,H497&lt;=2176),INDEX(Fields!$J$2:$J$206,MATCH(H497-129,Fields!$D$2:$D$206,1)),""),"")</f>
        <v/>
      </c>
      <c r="M497">
        <f>IFERROR(IF(AND(H497&lt;&gt;"",H497&gt;=129,H497&lt;=2176),INDEX(Fields!$K$2:$K$206,MATCH(H497-129,Fields!$D$2:$D$206,1)),""),"")</f>
        <v/>
      </c>
    </row>
    <row r="498">
      <c r="A498" t="n">
        <v>496</v>
      </c>
      <c r="B498" t="n">
        <v>1</v>
      </c>
      <c r="C498" t="inlineStr">
        <is>
          <t>No</t>
        </is>
      </c>
      <c r="D498">
        <f>IF(AND(B493=1,B494=1,B495=1,B496=1,B497=1),"Yes","")</f>
        <v/>
      </c>
      <c r="E498" t="inlineStr">
        <is>
          <t>No</t>
        </is>
      </c>
      <c r="F498" t="inlineStr">
        <is>
          <t>No</t>
        </is>
      </c>
      <c r="G498">
        <f>IF(F498="Yes",1-B498,B498)</f>
        <v/>
      </c>
      <c r="H498">
        <f>IF(E498="Yes","",COUNTIFS($E$2:E498,"No"))</f>
        <v/>
      </c>
      <c r="I498">
        <f>IF(H498="","",IF(H498&lt;=128,"address",IF(H498&lt;=600,"data1",IF(H498&lt;=1264,"zero-run1",IF(H498&lt;=1648,"data2",IF(H498&lt;=2176,"zero-run2",IF(H498&lt;=2192,"FCS","trailing")))))))</f>
        <v/>
      </c>
      <c r="J498">
        <f>IFERROR(IF(AND(H498&lt;&gt;"",H498&gt;=129,H498&lt;=2176),INDEX(Fields!$B$2:$B$206,MATCH(H498-129,Fields!$D$2:$D$206,1)),""),"")</f>
        <v/>
      </c>
      <c r="K498">
        <f>IFERROR(IF(AND(H498&lt;&gt;"",H498&gt;=129,H498&lt;=2176),INDEX(Fields!$C$2:$C$206,MATCH(H498-129,Fields!$D$2:$D$206,1)),""),"")</f>
        <v/>
      </c>
      <c r="L498">
        <f>IFERROR(IF(AND(H498&lt;&gt;"",H498&gt;=129,H498&lt;=2176),INDEX(Fields!$J$2:$J$206,MATCH(H498-129,Fields!$D$2:$D$206,1)),""),"")</f>
        <v/>
      </c>
      <c r="M498">
        <f>IFERROR(IF(AND(H498&lt;&gt;"",H498&gt;=129,H498&lt;=2176),INDEX(Fields!$K$2:$K$206,MATCH(H498-129,Fields!$D$2:$D$206,1)),""),"")</f>
        <v/>
      </c>
    </row>
    <row r="499">
      <c r="A499" t="n">
        <v>497</v>
      </c>
      <c r="B499" t="n">
        <v>0</v>
      </c>
      <c r="C499" t="inlineStr">
        <is>
          <t>No</t>
        </is>
      </c>
      <c r="D499">
        <f>IF(AND(B494=1,B495=1,B496=1,B497=1,B498=1),"Yes","")</f>
        <v/>
      </c>
      <c r="E499" t="inlineStr">
        <is>
          <t>No</t>
        </is>
      </c>
      <c r="F499" t="inlineStr">
        <is>
          <t>No</t>
        </is>
      </c>
      <c r="G499">
        <f>IF(F499="Yes",1-B499,B499)</f>
        <v/>
      </c>
      <c r="H499">
        <f>IF(E499="Yes","",COUNTIFS($E$2:E499,"No"))</f>
        <v/>
      </c>
      <c r="I499">
        <f>IF(H499="","",IF(H499&lt;=128,"address",IF(H499&lt;=600,"data1",IF(H499&lt;=1264,"zero-run1",IF(H499&lt;=1648,"data2",IF(H499&lt;=2176,"zero-run2",IF(H499&lt;=2192,"FCS","trailing")))))))</f>
        <v/>
      </c>
      <c r="J499">
        <f>IFERROR(IF(AND(H499&lt;&gt;"",H499&gt;=129,H499&lt;=2176),INDEX(Fields!$B$2:$B$206,MATCH(H499-129,Fields!$D$2:$D$206,1)),""),"")</f>
        <v/>
      </c>
      <c r="K499">
        <f>IFERROR(IF(AND(H499&lt;&gt;"",H499&gt;=129,H499&lt;=2176),INDEX(Fields!$C$2:$C$206,MATCH(H499-129,Fields!$D$2:$D$206,1)),""),"")</f>
        <v/>
      </c>
      <c r="L499">
        <f>IFERROR(IF(AND(H499&lt;&gt;"",H499&gt;=129,H499&lt;=2176),INDEX(Fields!$J$2:$J$206,MATCH(H499-129,Fields!$D$2:$D$206,1)),""),"")</f>
        <v/>
      </c>
      <c r="M499">
        <f>IFERROR(IF(AND(H499&lt;&gt;"",H499&gt;=129,H499&lt;=2176),INDEX(Fields!$K$2:$K$206,MATCH(H499-129,Fields!$D$2:$D$206,1)),""),"")</f>
        <v/>
      </c>
    </row>
    <row r="500">
      <c r="A500" t="n">
        <v>498</v>
      </c>
      <c r="B500" t="n">
        <v>1</v>
      </c>
      <c r="C500" t="inlineStr">
        <is>
          <t>No</t>
        </is>
      </c>
      <c r="D500">
        <f>IF(AND(B495=1,B496=1,B497=1,B498=1,B499=1),"Yes","")</f>
        <v/>
      </c>
      <c r="E500" t="inlineStr">
        <is>
          <t>No</t>
        </is>
      </c>
      <c r="F500" t="inlineStr">
        <is>
          <t>No</t>
        </is>
      </c>
      <c r="G500">
        <f>IF(F500="Yes",1-B500,B500)</f>
        <v/>
      </c>
      <c r="H500">
        <f>IF(E500="Yes","",COUNTIFS($E$2:E500,"No"))</f>
        <v/>
      </c>
      <c r="I500">
        <f>IF(H500="","",IF(H500&lt;=128,"address",IF(H500&lt;=600,"data1",IF(H500&lt;=1264,"zero-run1",IF(H500&lt;=1648,"data2",IF(H500&lt;=2176,"zero-run2",IF(H500&lt;=2192,"FCS","trailing")))))))</f>
        <v/>
      </c>
      <c r="J500">
        <f>IFERROR(IF(AND(H500&lt;&gt;"",H500&gt;=129,H500&lt;=2176),INDEX(Fields!$B$2:$B$206,MATCH(H500-129,Fields!$D$2:$D$206,1)),""),"")</f>
        <v/>
      </c>
      <c r="K500">
        <f>IFERROR(IF(AND(H500&lt;&gt;"",H500&gt;=129,H500&lt;=2176),INDEX(Fields!$C$2:$C$206,MATCH(H500-129,Fields!$D$2:$D$206,1)),""),"")</f>
        <v/>
      </c>
      <c r="L500">
        <f>IFERROR(IF(AND(H500&lt;&gt;"",H500&gt;=129,H500&lt;=2176),INDEX(Fields!$J$2:$J$206,MATCH(H500-129,Fields!$D$2:$D$206,1)),""),"")</f>
        <v/>
      </c>
      <c r="M500">
        <f>IFERROR(IF(AND(H500&lt;&gt;"",H500&gt;=129,H500&lt;=2176),INDEX(Fields!$K$2:$K$206,MATCH(H500-129,Fields!$D$2:$D$206,1)),""),"")</f>
        <v/>
      </c>
    </row>
    <row r="501">
      <c r="A501" t="n">
        <v>499</v>
      </c>
      <c r="B501" t="n">
        <v>0</v>
      </c>
      <c r="C501" t="inlineStr">
        <is>
          <t>No</t>
        </is>
      </c>
      <c r="D501">
        <f>IF(AND(B496=1,B497=1,B498=1,B499=1,B500=1),"Yes","")</f>
        <v/>
      </c>
      <c r="E501" t="inlineStr">
        <is>
          <t>No</t>
        </is>
      </c>
      <c r="F501" t="inlineStr">
        <is>
          <t>No</t>
        </is>
      </c>
      <c r="G501">
        <f>IF(F501="Yes",1-B501,B501)</f>
        <v/>
      </c>
      <c r="H501">
        <f>IF(E501="Yes","",COUNTIFS($E$2:E501,"No"))</f>
        <v/>
      </c>
      <c r="I501">
        <f>IF(H501="","",IF(H501&lt;=128,"address",IF(H501&lt;=600,"data1",IF(H501&lt;=1264,"zero-run1",IF(H501&lt;=1648,"data2",IF(H501&lt;=2176,"zero-run2",IF(H501&lt;=2192,"FCS","trailing")))))))</f>
        <v/>
      </c>
      <c r="J501">
        <f>IFERROR(IF(AND(H501&lt;&gt;"",H501&gt;=129,H501&lt;=2176),INDEX(Fields!$B$2:$B$206,MATCH(H501-129,Fields!$D$2:$D$206,1)),""),"")</f>
        <v/>
      </c>
      <c r="K501">
        <f>IFERROR(IF(AND(H501&lt;&gt;"",H501&gt;=129,H501&lt;=2176),INDEX(Fields!$C$2:$C$206,MATCH(H501-129,Fields!$D$2:$D$206,1)),""),"")</f>
        <v/>
      </c>
      <c r="L501">
        <f>IFERROR(IF(AND(H501&lt;&gt;"",H501&gt;=129,H501&lt;=2176),INDEX(Fields!$J$2:$J$206,MATCH(H501-129,Fields!$D$2:$D$206,1)),""),"")</f>
        <v/>
      </c>
      <c r="M501">
        <f>IFERROR(IF(AND(H501&lt;&gt;"",H501&gt;=129,H501&lt;=2176),INDEX(Fields!$K$2:$K$206,MATCH(H501-129,Fields!$D$2:$D$206,1)),""),"")</f>
        <v/>
      </c>
    </row>
    <row r="502">
      <c r="A502" t="n">
        <v>500</v>
      </c>
      <c r="B502" t="n">
        <v>1</v>
      </c>
      <c r="C502" t="inlineStr">
        <is>
          <t>No</t>
        </is>
      </c>
      <c r="D502">
        <f>IF(AND(B497=1,B498=1,B499=1,B500=1,B501=1),"Yes","")</f>
        <v/>
      </c>
      <c r="E502" t="inlineStr">
        <is>
          <t>No</t>
        </is>
      </c>
      <c r="F502" t="inlineStr">
        <is>
          <t>No</t>
        </is>
      </c>
      <c r="G502">
        <f>IF(F502="Yes",1-B502,B502)</f>
        <v/>
      </c>
      <c r="H502">
        <f>IF(E502="Yes","",COUNTIFS($E$2:E502,"No"))</f>
        <v/>
      </c>
      <c r="I502">
        <f>IF(H502="","",IF(H502&lt;=128,"address",IF(H502&lt;=600,"data1",IF(H502&lt;=1264,"zero-run1",IF(H502&lt;=1648,"data2",IF(H502&lt;=2176,"zero-run2",IF(H502&lt;=2192,"FCS","trailing")))))))</f>
        <v/>
      </c>
      <c r="J502">
        <f>IFERROR(IF(AND(H502&lt;&gt;"",H502&gt;=129,H502&lt;=2176),INDEX(Fields!$B$2:$B$206,MATCH(H502-129,Fields!$D$2:$D$206,1)),""),"")</f>
        <v/>
      </c>
      <c r="K502">
        <f>IFERROR(IF(AND(H502&lt;&gt;"",H502&gt;=129,H502&lt;=2176),INDEX(Fields!$C$2:$C$206,MATCH(H502-129,Fields!$D$2:$D$206,1)),""),"")</f>
        <v/>
      </c>
      <c r="L502">
        <f>IFERROR(IF(AND(H502&lt;&gt;"",H502&gt;=129,H502&lt;=2176),INDEX(Fields!$J$2:$J$206,MATCH(H502-129,Fields!$D$2:$D$206,1)),""),"")</f>
        <v/>
      </c>
      <c r="M502">
        <f>IFERROR(IF(AND(H502&lt;&gt;"",H502&gt;=129,H502&lt;=2176),INDEX(Fields!$K$2:$K$206,MATCH(H502-129,Fields!$D$2:$D$206,1)),""),"")</f>
        <v/>
      </c>
    </row>
    <row r="503">
      <c r="A503" t="n">
        <v>501</v>
      </c>
      <c r="B503" t="n">
        <v>1</v>
      </c>
      <c r="C503" t="inlineStr">
        <is>
          <t>No</t>
        </is>
      </c>
      <c r="D503">
        <f>IF(AND(B498=1,B499=1,B500=1,B501=1,B502=1),"Yes","")</f>
        <v/>
      </c>
      <c r="E503" t="inlineStr">
        <is>
          <t>No</t>
        </is>
      </c>
      <c r="F503" t="inlineStr">
        <is>
          <t>No</t>
        </is>
      </c>
      <c r="G503">
        <f>IF(F503="Yes",1-B503,B503)</f>
        <v/>
      </c>
      <c r="H503">
        <f>IF(E503="Yes","",COUNTIFS($E$2:E503,"No"))</f>
        <v/>
      </c>
      <c r="I503">
        <f>IF(H503="","",IF(H503&lt;=128,"address",IF(H503&lt;=600,"data1",IF(H503&lt;=1264,"zero-run1",IF(H503&lt;=1648,"data2",IF(H503&lt;=2176,"zero-run2",IF(H503&lt;=2192,"FCS","trailing")))))))</f>
        <v/>
      </c>
      <c r="J503">
        <f>IFERROR(IF(AND(H503&lt;&gt;"",H503&gt;=129,H503&lt;=2176),INDEX(Fields!$B$2:$B$206,MATCH(H503-129,Fields!$D$2:$D$206,1)),""),"")</f>
        <v/>
      </c>
      <c r="K503">
        <f>IFERROR(IF(AND(H503&lt;&gt;"",H503&gt;=129,H503&lt;=2176),INDEX(Fields!$C$2:$C$206,MATCH(H503-129,Fields!$D$2:$D$206,1)),""),"")</f>
        <v/>
      </c>
      <c r="L503">
        <f>IFERROR(IF(AND(H503&lt;&gt;"",H503&gt;=129,H503&lt;=2176),INDEX(Fields!$J$2:$J$206,MATCH(H503-129,Fields!$D$2:$D$206,1)),""),"")</f>
        <v/>
      </c>
      <c r="M503">
        <f>IFERROR(IF(AND(H503&lt;&gt;"",H503&gt;=129,H503&lt;=2176),INDEX(Fields!$K$2:$K$206,MATCH(H503-129,Fields!$D$2:$D$206,1)),""),"")</f>
        <v/>
      </c>
    </row>
    <row r="504">
      <c r="A504" t="n">
        <v>502</v>
      </c>
      <c r="B504" t="n">
        <v>1</v>
      </c>
      <c r="C504" t="inlineStr">
        <is>
          <t>No</t>
        </is>
      </c>
      <c r="D504">
        <f>IF(AND(B499=1,B500=1,B501=1,B502=1,B503=1),"Yes","")</f>
        <v/>
      </c>
      <c r="E504" t="inlineStr">
        <is>
          <t>No</t>
        </is>
      </c>
      <c r="F504" t="inlineStr">
        <is>
          <t>No</t>
        </is>
      </c>
      <c r="G504">
        <f>IF(F504="Yes",1-B504,B504)</f>
        <v/>
      </c>
      <c r="H504">
        <f>IF(E504="Yes","",COUNTIFS($E$2:E504,"No"))</f>
        <v/>
      </c>
      <c r="I504">
        <f>IF(H504="","",IF(H504&lt;=128,"address",IF(H504&lt;=600,"data1",IF(H504&lt;=1264,"zero-run1",IF(H504&lt;=1648,"data2",IF(H504&lt;=2176,"zero-run2",IF(H504&lt;=2192,"FCS","trailing")))))))</f>
        <v/>
      </c>
      <c r="J504">
        <f>IFERROR(IF(AND(H504&lt;&gt;"",H504&gt;=129,H504&lt;=2176),INDEX(Fields!$B$2:$B$206,MATCH(H504-129,Fields!$D$2:$D$206,1)),""),"")</f>
        <v/>
      </c>
      <c r="K504">
        <f>IFERROR(IF(AND(H504&lt;&gt;"",H504&gt;=129,H504&lt;=2176),INDEX(Fields!$C$2:$C$206,MATCH(H504-129,Fields!$D$2:$D$206,1)),""),"")</f>
        <v/>
      </c>
      <c r="L504">
        <f>IFERROR(IF(AND(H504&lt;&gt;"",H504&gt;=129,H504&lt;=2176),INDEX(Fields!$J$2:$J$206,MATCH(H504-129,Fields!$D$2:$D$206,1)),""),"")</f>
        <v/>
      </c>
      <c r="M504">
        <f>IFERROR(IF(AND(H504&lt;&gt;"",H504&gt;=129,H504&lt;=2176),INDEX(Fields!$K$2:$K$206,MATCH(H504-129,Fields!$D$2:$D$206,1)),""),"")</f>
        <v/>
      </c>
    </row>
    <row r="505">
      <c r="A505" t="n">
        <v>503</v>
      </c>
      <c r="B505" t="n">
        <v>0</v>
      </c>
      <c r="C505" t="inlineStr">
        <is>
          <t>No</t>
        </is>
      </c>
      <c r="D505">
        <f>IF(AND(B500=1,B501=1,B502=1,B503=1,B504=1),"Yes","")</f>
        <v/>
      </c>
      <c r="E505" t="inlineStr">
        <is>
          <t>No</t>
        </is>
      </c>
      <c r="F505" t="inlineStr">
        <is>
          <t>No</t>
        </is>
      </c>
      <c r="G505">
        <f>IF(F505="Yes",1-B505,B505)</f>
        <v/>
      </c>
      <c r="H505">
        <f>IF(E505="Yes","",COUNTIFS($E$2:E505,"No"))</f>
        <v/>
      </c>
      <c r="I505">
        <f>IF(H505="","",IF(H505&lt;=128,"address",IF(H505&lt;=600,"data1",IF(H505&lt;=1264,"zero-run1",IF(H505&lt;=1648,"data2",IF(H505&lt;=2176,"zero-run2",IF(H505&lt;=2192,"FCS","trailing")))))))</f>
        <v/>
      </c>
      <c r="J505">
        <f>IFERROR(IF(AND(H505&lt;&gt;"",H505&gt;=129,H505&lt;=2176),INDEX(Fields!$B$2:$B$206,MATCH(H505-129,Fields!$D$2:$D$206,1)),""),"")</f>
        <v/>
      </c>
      <c r="K505">
        <f>IFERROR(IF(AND(H505&lt;&gt;"",H505&gt;=129,H505&lt;=2176),INDEX(Fields!$C$2:$C$206,MATCH(H505-129,Fields!$D$2:$D$206,1)),""),"")</f>
        <v/>
      </c>
      <c r="L505">
        <f>IFERROR(IF(AND(H505&lt;&gt;"",H505&gt;=129,H505&lt;=2176),INDEX(Fields!$J$2:$J$206,MATCH(H505-129,Fields!$D$2:$D$206,1)),""),"")</f>
        <v/>
      </c>
      <c r="M505">
        <f>IFERROR(IF(AND(H505&lt;&gt;"",H505&gt;=129,H505&lt;=2176),INDEX(Fields!$K$2:$K$206,MATCH(H505-129,Fields!$D$2:$D$206,1)),""),"")</f>
        <v/>
      </c>
    </row>
    <row r="506">
      <c r="A506" t="n">
        <v>504</v>
      </c>
      <c r="B506" t="n">
        <v>0</v>
      </c>
      <c r="C506" t="inlineStr">
        <is>
          <t>No</t>
        </is>
      </c>
      <c r="D506">
        <f>IF(AND(B501=1,B502=1,B503=1,B504=1,B505=1),"Yes","")</f>
        <v/>
      </c>
      <c r="E506" t="inlineStr">
        <is>
          <t>No</t>
        </is>
      </c>
      <c r="F506" t="inlineStr">
        <is>
          <t>No</t>
        </is>
      </c>
      <c r="G506">
        <f>IF(F506="Yes",1-B506,B506)</f>
        <v/>
      </c>
      <c r="H506">
        <f>IF(E506="Yes","",COUNTIFS($E$2:E506,"No"))</f>
        <v/>
      </c>
      <c r="I506">
        <f>IF(H506="","",IF(H506&lt;=128,"address",IF(H506&lt;=600,"data1",IF(H506&lt;=1264,"zero-run1",IF(H506&lt;=1648,"data2",IF(H506&lt;=2176,"zero-run2",IF(H506&lt;=2192,"FCS","trailing")))))))</f>
        <v/>
      </c>
      <c r="J506">
        <f>IFERROR(IF(AND(H506&lt;&gt;"",H506&gt;=129,H506&lt;=2176),INDEX(Fields!$B$2:$B$206,MATCH(H506-129,Fields!$D$2:$D$206,1)),""),"")</f>
        <v/>
      </c>
      <c r="K506">
        <f>IFERROR(IF(AND(H506&lt;&gt;"",H506&gt;=129,H506&lt;=2176),INDEX(Fields!$C$2:$C$206,MATCH(H506-129,Fields!$D$2:$D$206,1)),""),"")</f>
        <v/>
      </c>
      <c r="L506">
        <f>IFERROR(IF(AND(H506&lt;&gt;"",H506&gt;=129,H506&lt;=2176),INDEX(Fields!$J$2:$J$206,MATCH(H506-129,Fields!$D$2:$D$206,1)),""),"")</f>
        <v/>
      </c>
      <c r="M506">
        <f>IFERROR(IF(AND(H506&lt;&gt;"",H506&gt;=129,H506&lt;=2176),INDEX(Fields!$K$2:$K$206,MATCH(H506-129,Fields!$D$2:$D$206,1)),""),"")</f>
        <v/>
      </c>
    </row>
    <row r="507">
      <c r="A507" t="n">
        <v>505</v>
      </c>
      <c r="B507" t="n">
        <v>1</v>
      </c>
      <c r="C507" t="inlineStr">
        <is>
          <t>No</t>
        </is>
      </c>
      <c r="D507">
        <f>IF(AND(B502=1,B503=1,B504=1,B505=1,B506=1),"Yes","")</f>
        <v/>
      </c>
      <c r="E507" t="inlineStr">
        <is>
          <t>No</t>
        </is>
      </c>
      <c r="F507" t="inlineStr">
        <is>
          <t>No</t>
        </is>
      </c>
      <c r="G507">
        <f>IF(F507="Yes",1-B507,B507)</f>
        <v/>
      </c>
      <c r="H507">
        <f>IF(E507="Yes","",COUNTIFS($E$2:E507,"No"))</f>
        <v/>
      </c>
      <c r="I507">
        <f>IF(H507="","",IF(H507&lt;=128,"address",IF(H507&lt;=600,"data1",IF(H507&lt;=1264,"zero-run1",IF(H507&lt;=1648,"data2",IF(H507&lt;=2176,"zero-run2",IF(H507&lt;=2192,"FCS","trailing")))))))</f>
        <v/>
      </c>
      <c r="J507">
        <f>IFERROR(IF(AND(H507&lt;&gt;"",H507&gt;=129,H507&lt;=2176),INDEX(Fields!$B$2:$B$206,MATCH(H507-129,Fields!$D$2:$D$206,1)),""),"")</f>
        <v/>
      </c>
      <c r="K507">
        <f>IFERROR(IF(AND(H507&lt;&gt;"",H507&gt;=129,H507&lt;=2176),INDEX(Fields!$C$2:$C$206,MATCH(H507-129,Fields!$D$2:$D$206,1)),""),"")</f>
        <v/>
      </c>
      <c r="L507">
        <f>IFERROR(IF(AND(H507&lt;&gt;"",H507&gt;=129,H507&lt;=2176),INDEX(Fields!$J$2:$J$206,MATCH(H507-129,Fields!$D$2:$D$206,1)),""),"")</f>
        <v/>
      </c>
      <c r="M507">
        <f>IFERROR(IF(AND(H507&lt;&gt;"",H507&gt;=129,H507&lt;=2176),INDEX(Fields!$K$2:$K$206,MATCH(H507-129,Fields!$D$2:$D$206,1)),""),"")</f>
        <v/>
      </c>
    </row>
    <row r="508">
      <c r="A508" t="n">
        <v>506</v>
      </c>
      <c r="B508" t="n">
        <v>0</v>
      </c>
      <c r="C508" t="inlineStr">
        <is>
          <t>No</t>
        </is>
      </c>
      <c r="D508">
        <f>IF(AND(B503=1,B504=1,B505=1,B506=1,B507=1),"Yes","")</f>
        <v/>
      </c>
      <c r="E508" t="inlineStr">
        <is>
          <t>No</t>
        </is>
      </c>
      <c r="F508" t="inlineStr">
        <is>
          <t>No</t>
        </is>
      </c>
      <c r="G508">
        <f>IF(F508="Yes",1-B508,B508)</f>
        <v/>
      </c>
      <c r="H508">
        <f>IF(E508="Yes","",COUNTIFS($E$2:E508,"No"))</f>
        <v/>
      </c>
      <c r="I508">
        <f>IF(H508="","",IF(H508&lt;=128,"address",IF(H508&lt;=600,"data1",IF(H508&lt;=1264,"zero-run1",IF(H508&lt;=1648,"data2",IF(H508&lt;=2176,"zero-run2",IF(H508&lt;=2192,"FCS","trailing")))))))</f>
        <v/>
      </c>
      <c r="J508">
        <f>IFERROR(IF(AND(H508&lt;&gt;"",H508&gt;=129,H508&lt;=2176),INDEX(Fields!$B$2:$B$206,MATCH(H508-129,Fields!$D$2:$D$206,1)),""),"")</f>
        <v/>
      </c>
      <c r="K508">
        <f>IFERROR(IF(AND(H508&lt;&gt;"",H508&gt;=129,H508&lt;=2176),INDEX(Fields!$C$2:$C$206,MATCH(H508-129,Fields!$D$2:$D$206,1)),""),"")</f>
        <v/>
      </c>
      <c r="L508">
        <f>IFERROR(IF(AND(H508&lt;&gt;"",H508&gt;=129,H508&lt;=2176),INDEX(Fields!$J$2:$J$206,MATCH(H508-129,Fields!$D$2:$D$206,1)),""),"")</f>
        <v/>
      </c>
      <c r="M508">
        <f>IFERROR(IF(AND(H508&lt;&gt;"",H508&gt;=129,H508&lt;=2176),INDEX(Fields!$K$2:$K$206,MATCH(H508-129,Fields!$D$2:$D$206,1)),""),"")</f>
        <v/>
      </c>
    </row>
    <row r="509">
      <c r="A509" t="n">
        <v>507</v>
      </c>
      <c r="B509" t="n">
        <v>0</v>
      </c>
      <c r="C509" t="inlineStr">
        <is>
          <t>No</t>
        </is>
      </c>
      <c r="D509">
        <f>IF(AND(B504=1,B505=1,B506=1,B507=1,B508=1),"Yes","")</f>
        <v/>
      </c>
      <c r="E509" t="inlineStr">
        <is>
          <t>No</t>
        </is>
      </c>
      <c r="F509" t="inlineStr">
        <is>
          <t>No</t>
        </is>
      </c>
      <c r="G509">
        <f>IF(F509="Yes",1-B509,B509)</f>
        <v/>
      </c>
      <c r="H509">
        <f>IF(E509="Yes","",COUNTIFS($E$2:E509,"No"))</f>
        <v/>
      </c>
      <c r="I509">
        <f>IF(H509="","",IF(H509&lt;=128,"address",IF(H509&lt;=600,"data1",IF(H509&lt;=1264,"zero-run1",IF(H509&lt;=1648,"data2",IF(H509&lt;=2176,"zero-run2",IF(H509&lt;=2192,"FCS","trailing")))))))</f>
        <v/>
      </c>
      <c r="J509">
        <f>IFERROR(IF(AND(H509&lt;&gt;"",H509&gt;=129,H509&lt;=2176),INDEX(Fields!$B$2:$B$206,MATCH(H509-129,Fields!$D$2:$D$206,1)),""),"")</f>
        <v/>
      </c>
      <c r="K509">
        <f>IFERROR(IF(AND(H509&lt;&gt;"",H509&gt;=129,H509&lt;=2176),INDEX(Fields!$C$2:$C$206,MATCH(H509-129,Fields!$D$2:$D$206,1)),""),"")</f>
        <v/>
      </c>
      <c r="L509">
        <f>IFERROR(IF(AND(H509&lt;&gt;"",H509&gt;=129,H509&lt;=2176),INDEX(Fields!$J$2:$J$206,MATCH(H509-129,Fields!$D$2:$D$206,1)),""),"")</f>
        <v/>
      </c>
      <c r="M509">
        <f>IFERROR(IF(AND(H509&lt;&gt;"",H509&gt;=129,H509&lt;=2176),INDEX(Fields!$K$2:$K$206,MATCH(H509-129,Fields!$D$2:$D$206,1)),""),"")</f>
        <v/>
      </c>
    </row>
    <row r="510">
      <c r="A510" t="n">
        <v>508</v>
      </c>
      <c r="B510" t="n">
        <v>0</v>
      </c>
      <c r="C510" t="inlineStr">
        <is>
          <t>No</t>
        </is>
      </c>
      <c r="D510">
        <f>IF(AND(B505=1,B506=1,B507=1,B508=1,B509=1),"Yes","")</f>
        <v/>
      </c>
      <c r="E510" t="inlineStr">
        <is>
          <t>No</t>
        </is>
      </c>
      <c r="F510" t="inlineStr">
        <is>
          <t>No</t>
        </is>
      </c>
      <c r="G510">
        <f>IF(F510="Yes",1-B510,B510)</f>
        <v/>
      </c>
      <c r="H510">
        <f>IF(E510="Yes","",COUNTIFS($E$2:E510,"No"))</f>
        <v/>
      </c>
      <c r="I510">
        <f>IF(H510="","",IF(H510&lt;=128,"address",IF(H510&lt;=600,"data1",IF(H510&lt;=1264,"zero-run1",IF(H510&lt;=1648,"data2",IF(H510&lt;=2176,"zero-run2",IF(H510&lt;=2192,"FCS","trailing")))))))</f>
        <v/>
      </c>
      <c r="J510">
        <f>IFERROR(IF(AND(H510&lt;&gt;"",H510&gt;=129,H510&lt;=2176),INDEX(Fields!$B$2:$B$206,MATCH(H510-129,Fields!$D$2:$D$206,1)),""),"")</f>
        <v/>
      </c>
      <c r="K510">
        <f>IFERROR(IF(AND(H510&lt;&gt;"",H510&gt;=129,H510&lt;=2176),INDEX(Fields!$C$2:$C$206,MATCH(H510-129,Fields!$D$2:$D$206,1)),""),"")</f>
        <v/>
      </c>
      <c r="L510">
        <f>IFERROR(IF(AND(H510&lt;&gt;"",H510&gt;=129,H510&lt;=2176),INDEX(Fields!$J$2:$J$206,MATCH(H510-129,Fields!$D$2:$D$206,1)),""),"")</f>
        <v/>
      </c>
      <c r="M510">
        <f>IFERROR(IF(AND(H510&lt;&gt;"",H510&gt;=129,H510&lt;=2176),INDEX(Fields!$K$2:$K$206,MATCH(H510-129,Fields!$D$2:$D$206,1)),""),"")</f>
        <v/>
      </c>
    </row>
    <row r="511">
      <c r="A511" t="n">
        <v>509</v>
      </c>
      <c r="B511" t="n">
        <v>1</v>
      </c>
      <c r="C511" t="inlineStr">
        <is>
          <t>No</t>
        </is>
      </c>
      <c r="D511">
        <f>IF(AND(B506=1,B507=1,B508=1,B509=1,B510=1),"Yes","")</f>
        <v/>
      </c>
      <c r="E511" t="inlineStr">
        <is>
          <t>No</t>
        </is>
      </c>
      <c r="F511" t="inlineStr">
        <is>
          <t>No</t>
        </is>
      </c>
      <c r="G511">
        <f>IF(F511="Yes",1-B511,B511)</f>
        <v/>
      </c>
      <c r="H511">
        <f>IF(E511="Yes","",COUNTIFS($E$2:E511,"No"))</f>
        <v/>
      </c>
      <c r="I511">
        <f>IF(H511="","",IF(H511&lt;=128,"address",IF(H511&lt;=600,"data1",IF(H511&lt;=1264,"zero-run1",IF(H511&lt;=1648,"data2",IF(H511&lt;=2176,"zero-run2",IF(H511&lt;=2192,"FCS","trailing")))))))</f>
        <v/>
      </c>
      <c r="J511">
        <f>IFERROR(IF(AND(H511&lt;&gt;"",H511&gt;=129,H511&lt;=2176),INDEX(Fields!$B$2:$B$206,MATCH(H511-129,Fields!$D$2:$D$206,1)),""),"")</f>
        <v/>
      </c>
      <c r="K511">
        <f>IFERROR(IF(AND(H511&lt;&gt;"",H511&gt;=129,H511&lt;=2176),INDEX(Fields!$C$2:$C$206,MATCH(H511-129,Fields!$D$2:$D$206,1)),""),"")</f>
        <v/>
      </c>
      <c r="L511">
        <f>IFERROR(IF(AND(H511&lt;&gt;"",H511&gt;=129,H511&lt;=2176),INDEX(Fields!$J$2:$J$206,MATCH(H511-129,Fields!$D$2:$D$206,1)),""),"")</f>
        <v/>
      </c>
      <c r="M511">
        <f>IFERROR(IF(AND(H511&lt;&gt;"",H511&gt;=129,H511&lt;=2176),INDEX(Fields!$K$2:$K$206,MATCH(H511-129,Fields!$D$2:$D$206,1)),""),"")</f>
        <v/>
      </c>
    </row>
    <row r="512">
      <c r="A512" t="n">
        <v>510</v>
      </c>
      <c r="B512" t="n">
        <v>0</v>
      </c>
      <c r="C512" t="inlineStr">
        <is>
          <t>No</t>
        </is>
      </c>
      <c r="D512">
        <f>IF(AND(B507=1,B508=1,B509=1,B510=1,B511=1),"Yes","")</f>
        <v/>
      </c>
      <c r="E512" t="inlineStr">
        <is>
          <t>No</t>
        </is>
      </c>
      <c r="F512" t="inlineStr">
        <is>
          <t>No</t>
        </is>
      </c>
      <c r="G512">
        <f>IF(F512="Yes",1-B512,B512)</f>
        <v/>
      </c>
      <c r="H512">
        <f>IF(E512="Yes","",COUNTIFS($E$2:E512,"No"))</f>
        <v/>
      </c>
      <c r="I512">
        <f>IF(H512="","",IF(H512&lt;=128,"address",IF(H512&lt;=600,"data1",IF(H512&lt;=1264,"zero-run1",IF(H512&lt;=1648,"data2",IF(H512&lt;=2176,"zero-run2",IF(H512&lt;=2192,"FCS","trailing")))))))</f>
        <v/>
      </c>
      <c r="J512">
        <f>IFERROR(IF(AND(H512&lt;&gt;"",H512&gt;=129,H512&lt;=2176),INDEX(Fields!$B$2:$B$206,MATCH(H512-129,Fields!$D$2:$D$206,1)),""),"")</f>
        <v/>
      </c>
      <c r="K512">
        <f>IFERROR(IF(AND(H512&lt;&gt;"",H512&gt;=129,H512&lt;=2176),INDEX(Fields!$C$2:$C$206,MATCH(H512-129,Fields!$D$2:$D$206,1)),""),"")</f>
        <v/>
      </c>
      <c r="L512">
        <f>IFERROR(IF(AND(H512&lt;&gt;"",H512&gt;=129,H512&lt;=2176),INDEX(Fields!$J$2:$J$206,MATCH(H512-129,Fields!$D$2:$D$206,1)),""),"")</f>
        <v/>
      </c>
      <c r="M512">
        <f>IFERROR(IF(AND(H512&lt;&gt;"",H512&gt;=129,H512&lt;=2176),INDEX(Fields!$K$2:$K$206,MATCH(H512-129,Fields!$D$2:$D$206,1)),""),"")</f>
        <v/>
      </c>
    </row>
    <row r="513">
      <c r="A513" t="n">
        <v>511</v>
      </c>
      <c r="B513" t="n">
        <v>0</v>
      </c>
      <c r="C513" t="inlineStr">
        <is>
          <t>No</t>
        </is>
      </c>
      <c r="D513">
        <f>IF(AND(B508=1,B509=1,B510=1,B511=1,B512=1),"Yes","")</f>
        <v/>
      </c>
      <c r="E513" t="inlineStr">
        <is>
          <t>No</t>
        </is>
      </c>
      <c r="F513" t="inlineStr">
        <is>
          <t>No</t>
        </is>
      </c>
      <c r="G513">
        <f>IF(F513="Yes",1-B513,B513)</f>
        <v/>
      </c>
      <c r="H513">
        <f>IF(E513="Yes","",COUNTIFS($E$2:E513,"No"))</f>
        <v/>
      </c>
      <c r="I513">
        <f>IF(H513="","",IF(H513&lt;=128,"address",IF(H513&lt;=600,"data1",IF(H513&lt;=1264,"zero-run1",IF(H513&lt;=1648,"data2",IF(H513&lt;=2176,"zero-run2",IF(H513&lt;=2192,"FCS","trailing")))))))</f>
        <v/>
      </c>
      <c r="J513">
        <f>IFERROR(IF(AND(H513&lt;&gt;"",H513&gt;=129,H513&lt;=2176),INDEX(Fields!$B$2:$B$206,MATCH(H513-129,Fields!$D$2:$D$206,1)),""),"")</f>
        <v/>
      </c>
      <c r="K513">
        <f>IFERROR(IF(AND(H513&lt;&gt;"",H513&gt;=129,H513&lt;=2176),INDEX(Fields!$C$2:$C$206,MATCH(H513-129,Fields!$D$2:$D$206,1)),""),"")</f>
        <v/>
      </c>
      <c r="L513">
        <f>IFERROR(IF(AND(H513&lt;&gt;"",H513&gt;=129,H513&lt;=2176),INDEX(Fields!$J$2:$J$206,MATCH(H513-129,Fields!$D$2:$D$206,1)),""),"")</f>
        <v/>
      </c>
      <c r="M513">
        <f>IFERROR(IF(AND(H513&lt;&gt;"",H513&gt;=129,H513&lt;=2176),INDEX(Fields!$K$2:$K$206,MATCH(H513-129,Fields!$D$2:$D$206,1)),""),"")</f>
        <v/>
      </c>
    </row>
    <row r="514">
      <c r="A514" t="n">
        <v>512</v>
      </c>
      <c r="B514" t="n">
        <v>0</v>
      </c>
      <c r="C514" t="inlineStr">
        <is>
          <t>No</t>
        </is>
      </c>
      <c r="D514">
        <f>IF(AND(B509=1,B510=1,B511=1,B512=1,B513=1),"Yes","")</f>
        <v/>
      </c>
      <c r="E514" t="inlineStr">
        <is>
          <t>No</t>
        </is>
      </c>
      <c r="F514" t="inlineStr">
        <is>
          <t>No</t>
        </is>
      </c>
      <c r="G514">
        <f>IF(F514="Yes",1-B514,B514)</f>
        <v/>
      </c>
      <c r="H514">
        <f>IF(E514="Yes","",COUNTIFS($E$2:E514,"No"))</f>
        <v/>
      </c>
      <c r="I514">
        <f>IF(H514="","",IF(H514&lt;=128,"address",IF(H514&lt;=600,"data1",IF(H514&lt;=1264,"zero-run1",IF(H514&lt;=1648,"data2",IF(H514&lt;=2176,"zero-run2",IF(H514&lt;=2192,"FCS","trailing")))))))</f>
        <v/>
      </c>
      <c r="J514">
        <f>IFERROR(IF(AND(H514&lt;&gt;"",H514&gt;=129,H514&lt;=2176),INDEX(Fields!$B$2:$B$206,MATCH(H514-129,Fields!$D$2:$D$206,1)),""),"")</f>
        <v/>
      </c>
      <c r="K514">
        <f>IFERROR(IF(AND(H514&lt;&gt;"",H514&gt;=129,H514&lt;=2176),INDEX(Fields!$C$2:$C$206,MATCH(H514-129,Fields!$D$2:$D$206,1)),""),"")</f>
        <v/>
      </c>
      <c r="L514">
        <f>IFERROR(IF(AND(H514&lt;&gt;"",H514&gt;=129,H514&lt;=2176),INDEX(Fields!$J$2:$J$206,MATCH(H514-129,Fields!$D$2:$D$206,1)),""),"")</f>
        <v/>
      </c>
      <c r="M514">
        <f>IFERROR(IF(AND(H514&lt;&gt;"",H514&gt;=129,H514&lt;=2176),INDEX(Fields!$K$2:$K$206,MATCH(H514-129,Fields!$D$2:$D$206,1)),""),"")</f>
        <v/>
      </c>
    </row>
    <row r="515">
      <c r="A515" t="n">
        <v>513</v>
      </c>
      <c r="B515" t="n">
        <v>0</v>
      </c>
      <c r="C515" t="inlineStr">
        <is>
          <t>No</t>
        </is>
      </c>
      <c r="D515">
        <f>IF(AND(B510=1,B511=1,B512=1,B513=1,B514=1),"Yes","")</f>
        <v/>
      </c>
      <c r="E515" t="inlineStr">
        <is>
          <t>No</t>
        </is>
      </c>
      <c r="F515" t="inlineStr">
        <is>
          <t>No</t>
        </is>
      </c>
      <c r="G515">
        <f>IF(F515="Yes",1-B515,B515)</f>
        <v/>
      </c>
      <c r="H515">
        <f>IF(E515="Yes","",COUNTIFS($E$2:E515,"No"))</f>
        <v/>
      </c>
      <c r="I515">
        <f>IF(H515="","",IF(H515&lt;=128,"address",IF(H515&lt;=600,"data1",IF(H515&lt;=1264,"zero-run1",IF(H515&lt;=1648,"data2",IF(H515&lt;=2176,"zero-run2",IF(H515&lt;=2192,"FCS","trailing")))))))</f>
        <v/>
      </c>
      <c r="J515">
        <f>IFERROR(IF(AND(H515&lt;&gt;"",H515&gt;=129,H515&lt;=2176),INDEX(Fields!$B$2:$B$206,MATCH(H515-129,Fields!$D$2:$D$206,1)),""),"")</f>
        <v/>
      </c>
      <c r="K515">
        <f>IFERROR(IF(AND(H515&lt;&gt;"",H515&gt;=129,H515&lt;=2176),INDEX(Fields!$C$2:$C$206,MATCH(H515-129,Fields!$D$2:$D$206,1)),""),"")</f>
        <v/>
      </c>
      <c r="L515">
        <f>IFERROR(IF(AND(H515&lt;&gt;"",H515&gt;=129,H515&lt;=2176),INDEX(Fields!$J$2:$J$206,MATCH(H515-129,Fields!$D$2:$D$206,1)),""),"")</f>
        <v/>
      </c>
      <c r="M515">
        <f>IFERROR(IF(AND(H515&lt;&gt;"",H515&gt;=129,H515&lt;=2176),INDEX(Fields!$K$2:$K$206,MATCH(H515-129,Fields!$D$2:$D$206,1)),""),"")</f>
        <v/>
      </c>
    </row>
    <row r="516">
      <c r="A516" t="n">
        <v>514</v>
      </c>
      <c r="B516" t="n">
        <v>0</v>
      </c>
      <c r="C516" t="inlineStr">
        <is>
          <t>No</t>
        </is>
      </c>
      <c r="D516">
        <f>IF(AND(B511=1,B512=1,B513=1,B514=1,B515=1),"Yes","")</f>
        <v/>
      </c>
      <c r="E516" t="inlineStr">
        <is>
          <t>No</t>
        </is>
      </c>
      <c r="F516" t="inlineStr">
        <is>
          <t>No</t>
        </is>
      </c>
      <c r="G516">
        <f>IF(F516="Yes",1-B516,B516)</f>
        <v/>
      </c>
      <c r="H516">
        <f>IF(E516="Yes","",COUNTIFS($E$2:E516,"No"))</f>
        <v/>
      </c>
      <c r="I516">
        <f>IF(H516="","",IF(H516&lt;=128,"address",IF(H516&lt;=600,"data1",IF(H516&lt;=1264,"zero-run1",IF(H516&lt;=1648,"data2",IF(H516&lt;=2176,"zero-run2",IF(H516&lt;=2192,"FCS","trailing")))))))</f>
        <v/>
      </c>
      <c r="J516">
        <f>IFERROR(IF(AND(H516&lt;&gt;"",H516&gt;=129,H516&lt;=2176),INDEX(Fields!$B$2:$B$206,MATCH(H516-129,Fields!$D$2:$D$206,1)),""),"")</f>
        <v/>
      </c>
      <c r="K516">
        <f>IFERROR(IF(AND(H516&lt;&gt;"",H516&gt;=129,H516&lt;=2176),INDEX(Fields!$C$2:$C$206,MATCH(H516-129,Fields!$D$2:$D$206,1)),""),"")</f>
        <v/>
      </c>
      <c r="L516">
        <f>IFERROR(IF(AND(H516&lt;&gt;"",H516&gt;=129,H516&lt;=2176),INDEX(Fields!$J$2:$J$206,MATCH(H516-129,Fields!$D$2:$D$206,1)),""),"")</f>
        <v/>
      </c>
      <c r="M516">
        <f>IFERROR(IF(AND(H516&lt;&gt;"",H516&gt;=129,H516&lt;=2176),INDEX(Fields!$K$2:$K$206,MATCH(H516-129,Fields!$D$2:$D$206,1)),""),"")</f>
        <v/>
      </c>
    </row>
    <row r="517">
      <c r="A517" t="n">
        <v>515</v>
      </c>
      <c r="B517" t="n">
        <v>1</v>
      </c>
      <c r="C517" t="inlineStr">
        <is>
          <t>No</t>
        </is>
      </c>
      <c r="D517">
        <f>IF(AND(B512=1,B513=1,B514=1,B515=1,B516=1),"Yes","")</f>
        <v/>
      </c>
      <c r="E517" t="inlineStr">
        <is>
          <t>No</t>
        </is>
      </c>
      <c r="F517" t="inlineStr">
        <is>
          <t>No</t>
        </is>
      </c>
      <c r="G517">
        <f>IF(F517="Yes",1-B517,B517)</f>
        <v/>
      </c>
      <c r="H517">
        <f>IF(E517="Yes","",COUNTIFS($E$2:E517,"No"))</f>
        <v/>
      </c>
      <c r="I517">
        <f>IF(H517="","",IF(H517&lt;=128,"address",IF(H517&lt;=600,"data1",IF(H517&lt;=1264,"zero-run1",IF(H517&lt;=1648,"data2",IF(H517&lt;=2176,"zero-run2",IF(H517&lt;=2192,"FCS","trailing")))))))</f>
        <v/>
      </c>
      <c r="J517">
        <f>IFERROR(IF(AND(H517&lt;&gt;"",H517&gt;=129,H517&lt;=2176),INDEX(Fields!$B$2:$B$206,MATCH(H517-129,Fields!$D$2:$D$206,1)),""),"")</f>
        <v/>
      </c>
      <c r="K517">
        <f>IFERROR(IF(AND(H517&lt;&gt;"",H517&gt;=129,H517&lt;=2176),INDEX(Fields!$C$2:$C$206,MATCH(H517-129,Fields!$D$2:$D$206,1)),""),"")</f>
        <v/>
      </c>
      <c r="L517">
        <f>IFERROR(IF(AND(H517&lt;&gt;"",H517&gt;=129,H517&lt;=2176),INDEX(Fields!$J$2:$J$206,MATCH(H517-129,Fields!$D$2:$D$206,1)),""),"")</f>
        <v/>
      </c>
      <c r="M517">
        <f>IFERROR(IF(AND(H517&lt;&gt;"",H517&gt;=129,H517&lt;=2176),INDEX(Fields!$K$2:$K$206,MATCH(H517-129,Fields!$D$2:$D$206,1)),""),"")</f>
        <v/>
      </c>
    </row>
    <row r="518">
      <c r="A518" t="n">
        <v>516</v>
      </c>
      <c r="B518" t="n">
        <v>1</v>
      </c>
      <c r="C518" t="inlineStr">
        <is>
          <t>No</t>
        </is>
      </c>
      <c r="D518">
        <f>IF(AND(B513=1,B514=1,B515=1,B516=1,B517=1),"Yes","")</f>
        <v/>
      </c>
      <c r="E518" t="inlineStr">
        <is>
          <t>No</t>
        </is>
      </c>
      <c r="F518" t="inlineStr">
        <is>
          <t>No</t>
        </is>
      </c>
      <c r="G518">
        <f>IF(F518="Yes",1-B518,B518)</f>
        <v/>
      </c>
      <c r="H518">
        <f>IF(E518="Yes","",COUNTIFS($E$2:E518,"No"))</f>
        <v/>
      </c>
      <c r="I518">
        <f>IF(H518="","",IF(H518&lt;=128,"address",IF(H518&lt;=600,"data1",IF(H518&lt;=1264,"zero-run1",IF(H518&lt;=1648,"data2",IF(H518&lt;=2176,"zero-run2",IF(H518&lt;=2192,"FCS","trailing")))))))</f>
        <v/>
      </c>
      <c r="J518">
        <f>IFERROR(IF(AND(H518&lt;&gt;"",H518&gt;=129,H518&lt;=2176),INDEX(Fields!$B$2:$B$206,MATCH(H518-129,Fields!$D$2:$D$206,1)),""),"")</f>
        <v/>
      </c>
      <c r="K518">
        <f>IFERROR(IF(AND(H518&lt;&gt;"",H518&gt;=129,H518&lt;=2176),INDEX(Fields!$C$2:$C$206,MATCH(H518-129,Fields!$D$2:$D$206,1)),""),"")</f>
        <v/>
      </c>
      <c r="L518">
        <f>IFERROR(IF(AND(H518&lt;&gt;"",H518&gt;=129,H518&lt;=2176),INDEX(Fields!$J$2:$J$206,MATCH(H518-129,Fields!$D$2:$D$206,1)),""),"")</f>
        <v/>
      </c>
      <c r="M518">
        <f>IFERROR(IF(AND(H518&lt;&gt;"",H518&gt;=129,H518&lt;=2176),INDEX(Fields!$K$2:$K$206,MATCH(H518-129,Fields!$D$2:$D$206,1)),""),"")</f>
        <v/>
      </c>
    </row>
    <row r="519">
      <c r="A519" t="n">
        <v>517</v>
      </c>
      <c r="B519" t="n">
        <v>0</v>
      </c>
      <c r="C519" t="inlineStr">
        <is>
          <t>No</t>
        </is>
      </c>
      <c r="D519">
        <f>IF(AND(B514=1,B515=1,B516=1,B517=1,B518=1),"Yes","")</f>
        <v/>
      </c>
      <c r="E519" t="inlineStr">
        <is>
          <t>No</t>
        </is>
      </c>
      <c r="F519" t="inlineStr">
        <is>
          <t>No</t>
        </is>
      </c>
      <c r="G519">
        <f>IF(F519="Yes",1-B519,B519)</f>
        <v/>
      </c>
      <c r="H519">
        <f>IF(E519="Yes","",COUNTIFS($E$2:E519,"No"))</f>
        <v/>
      </c>
      <c r="I519">
        <f>IF(H519="","",IF(H519&lt;=128,"address",IF(H519&lt;=600,"data1",IF(H519&lt;=1264,"zero-run1",IF(H519&lt;=1648,"data2",IF(H519&lt;=2176,"zero-run2",IF(H519&lt;=2192,"FCS","trailing")))))))</f>
        <v/>
      </c>
      <c r="J519">
        <f>IFERROR(IF(AND(H519&lt;&gt;"",H519&gt;=129,H519&lt;=2176),INDEX(Fields!$B$2:$B$206,MATCH(H519-129,Fields!$D$2:$D$206,1)),""),"")</f>
        <v/>
      </c>
      <c r="K519">
        <f>IFERROR(IF(AND(H519&lt;&gt;"",H519&gt;=129,H519&lt;=2176),INDEX(Fields!$C$2:$C$206,MATCH(H519-129,Fields!$D$2:$D$206,1)),""),"")</f>
        <v/>
      </c>
      <c r="L519">
        <f>IFERROR(IF(AND(H519&lt;&gt;"",H519&gt;=129,H519&lt;=2176),INDEX(Fields!$J$2:$J$206,MATCH(H519-129,Fields!$D$2:$D$206,1)),""),"")</f>
        <v/>
      </c>
      <c r="M519">
        <f>IFERROR(IF(AND(H519&lt;&gt;"",H519&gt;=129,H519&lt;=2176),INDEX(Fields!$K$2:$K$206,MATCH(H519-129,Fields!$D$2:$D$206,1)),""),"")</f>
        <v/>
      </c>
    </row>
    <row r="520">
      <c r="A520" t="n">
        <v>518</v>
      </c>
      <c r="B520" t="n">
        <v>1</v>
      </c>
      <c r="C520" t="inlineStr">
        <is>
          <t>No</t>
        </is>
      </c>
      <c r="D520">
        <f>IF(AND(B515=1,B516=1,B517=1,B518=1,B519=1),"Yes","")</f>
        <v/>
      </c>
      <c r="E520" t="inlineStr">
        <is>
          <t>No</t>
        </is>
      </c>
      <c r="F520" t="inlineStr">
        <is>
          <t>No</t>
        </is>
      </c>
      <c r="G520">
        <f>IF(F520="Yes",1-B520,B520)</f>
        <v/>
      </c>
      <c r="H520">
        <f>IF(E520="Yes","",COUNTIFS($E$2:E520,"No"))</f>
        <v/>
      </c>
      <c r="I520">
        <f>IF(H520="","",IF(H520&lt;=128,"address",IF(H520&lt;=600,"data1",IF(H520&lt;=1264,"zero-run1",IF(H520&lt;=1648,"data2",IF(H520&lt;=2176,"zero-run2",IF(H520&lt;=2192,"FCS","trailing")))))))</f>
        <v/>
      </c>
      <c r="J520">
        <f>IFERROR(IF(AND(H520&lt;&gt;"",H520&gt;=129,H520&lt;=2176),INDEX(Fields!$B$2:$B$206,MATCH(H520-129,Fields!$D$2:$D$206,1)),""),"")</f>
        <v/>
      </c>
      <c r="K520">
        <f>IFERROR(IF(AND(H520&lt;&gt;"",H520&gt;=129,H520&lt;=2176),INDEX(Fields!$C$2:$C$206,MATCH(H520-129,Fields!$D$2:$D$206,1)),""),"")</f>
        <v/>
      </c>
      <c r="L520">
        <f>IFERROR(IF(AND(H520&lt;&gt;"",H520&gt;=129,H520&lt;=2176),INDEX(Fields!$J$2:$J$206,MATCH(H520-129,Fields!$D$2:$D$206,1)),""),"")</f>
        <v/>
      </c>
      <c r="M520">
        <f>IFERROR(IF(AND(H520&lt;&gt;"",H520&gt;=129,H520&lt;=2176),INDEX(Fields!$K$2:$K$206,MATCH(H520-129,Fields!$D$2:$D$206,1)),""),"")</f>
        <v/>
      </c>
    </row>
    <row r="521">
      <c r="A521" t="n">
        <v>519</v>
      </c>
      <c r="B521" t="n">
        <v>0</v>
      </c>
      <c r="C521" t="inlineStr">
        <is>
          <t>No</t>
        </is>
      </c>
      <c r="D521">
        <f>IF(AND(B516=1,B517=1,B518=1,B519=1,B520=1),"Yes","")</f>
        <v/>
      </c>
      <c r="E521" t="inlineStr">
        <is>
          <t>No</t>
        </is>
      </c>
      <c r="F521" t="inlineStr">
        <is>
          <t>No</t>
        </is>
      </c>
      <c r="G521">
        <f>IF(F521="Yes",1-B521,B521)</f>
        <v/>
      </c>
      <c r="H521">
        <f>IF(E521="Yes","",COUNTIFS($E$2:E521,"No"))</f>
        <v/>
      </c>
      <c r="I521">
        <f>IF(H521="","",IF(H521&lt;=128,"address",IF(H521&lt;=600,"data1",IF(H521&lt;=1264,"zero-run1",IF(H521&lt;=1648,"data2",IF(H521&lt;=2176,"zero-run2",IF(H521&lt;=2192,"FCS","trailing")))))))</f>
        <v/>
      </c>
      <c r="J521">
        <f>IFERROR(IF(AND(H521&lt;&gt;"",H521&gt;=129,H521&lt;=2176),INDEX(Fields!$B$2:$B$206,MATCH(H521-129,Fields!$D$2:$D$206,1)),""),"")</f>
        <v/>
      </c>
      <c r="K521">
        <f>IFERROR(IF(AND(H521&lt;&gt;"",H521&gt;=129,H521&lt;=2176),INDEX(Fields!$C$2:$C$206,MATCH(H521-129,Fields!$D$2:$D$206,1)),""),"")</f>
        <v/>
      </c>
      <c r="L521">
        <f>IFERROR(IF(AND(H521&lt;&gt;"",H521&gt;=129,H521&lt;=2176),INDEX(Fields!$J$2:$J$206,MATCH(H521-129,Fields!$D$2:$D$206,1)),""),"")</f>
        <v/>
      </c>
      <c r="M521">
        <f>IFERROR(IF(AND(H521&lt;&gt;"",H521&gt;=129,H521&lt;=2176),INDEX(Fields!$K$2:$K$206,MATCH(H521-129,Fields!$D$2:$D$206,1)),""),"")</f>
        <v/>
      </c>
    </row>
    <row r="522">
      <c r="A522" t="n">
        <v>520</v>
      </c>
      <c r="B522" t="n">
        <v>0</v>
      </c>
      <c r="C522" t="inlineStr">
        <is>
          <t>No</t>
        </is>
      </c>
      <c r="D522">
        <f>IF(AND(B517=1,B518=1,B519=1,B520=1,B521=1),"Yes","")</f>
        <v/>
      </c>
      <c r="E522" t="inlineStr">
        <is>
          <t>No</t>
        </is>
      </c>
      <c r="F522" t="inlineStr">
        <is>
          <t>No</t>
        </is>
      </c>
      <c r="G522">
        <f>IF(F522="Yes",1-B522,B522)</f>
        <v/>
      </c>
      <c r="H522">
        <f>IF(E522="Yes","",COUNTIFS($E$2:E522,"No"))</f>
        <v/>
      </c>
      <c r="I522">
        <f>IF(H522="","",IF(H522&lt;=128,"address",IF(H522&lt;=600,"data1",IF(H522&lt;=1264,"zero-run1",IF(H522&lt;=1648,"data2",IF(H522&lt;=2176,"zero-run2",IF(H522&lt;=2192,"FCS","trailing")))))))</f>
        <v/>
      </c>
      <c r="J522">
        <f>IFERROR(IF(AND(H522&lt;&gt;"",H522&gt;=129,H522&lt;=2176),INDEX(Fields!$B$2:$B$206,MATCH(H522-129,Fields!$D$2:$D$206,1)),""),"")</f>
        <v/>
      </c>
      <c r="K522">
        <f>IFERROR(IF(AND(H522&lt;&gt;"",H522&gt;=129,H522&lt;=2176),INDEX(Fields!$C$2:$C$206,MATCH(H522-129,Fields!$D$2:$D$206,1)),""),"")</f>
        <v/>
      </c>
      <c r="L522">
        <f>IFERROR(IF(AND(H522&lt;&gt;"",H522&gt;=129,H522&lt;=2176),INDEX(Fields!$J$2:$J$206,MATCH(H522-129,Fields!$D$2:$D$206,1)),""),"")</f>
        <v/>
      </c>
      <c r="M522">
        <f>IFERROR(IF(AND(H522&lt;&gt;"",H522&gt;=129,H522&lt;=2176),INDEX(Fields!$K$2:$K$206,MATCH(H522-129,Fields!$D$2:$D$206,1)),""),"")</f>
        <v/>
      </c>
    </row>
    <row r="523">
      <c r="A523" t="n">
        <v>521</v>
      </c>
      <c r="B523" t="n">
        <v>0</v>
      </c>
      <c r="C523" t="inlineStr">
        <is>
          <t>No</t>
        </is>
      </c>
      <c r="D523">
        <f>IF(AND(B518=1,B519=1,B520=1,B521=1,B522=1),"Yes","")</f>
        <v/>
      </c>
      <c r="E523" t="inlineStr">
        <is>
          <t>No</t>
        </is>
      </c>
      <c r="F523" t="inlineStr">
        <is>
          <t>No</t>
        </is>
      </c>
      <c r="G523">
        <f>IF(F523="Yes",1-B523,B523)</f>
        <v/>
      </c>
      <c r="H523">
        <f>IF(E523="Yes","",COUNTIFS($E$2:E523,"No"))</f>
        <v/>
      </c>
      <c r="I523">
        <f>IF(H523="","",IF(H523&lt;=128,"address",IF(H523&lt;=600,"data1",IF(H523&lt;=1264,"zero-run1",IF(H523&lt;=1648,"data2",IF(H523&lt;=2176,"zero-run2",IF(H523&lt;=2192,"FCS","trailing")))))))</f>
        <v/>
      </c>
      <c r="J523">
        <f>IFERROR(IF(AND(H523&lt;&gt;"",H523&gt;=129,H523&lt;=2176),INDEX(Fields!$B$2:$B$206,MATCH(H523-129,Fields!$D$2:$D$206,1)),""),"")</f>
        <v/>
      </c>
      <c r="K523">
        <f>IFERROR(IF(AND(H523&lt;&gt;"",H523&gt;=129,H523&lt;=2176),INDEX(Fields!$C$2:$C$206,MATCH(H523-129,Fields!$D$2:$D$206,1)),""),"")</f>
        <v/>
      </c>
      <c r="L523">
        <f>IFERROR(IF(AND(H523&lt;&gt;"",H523&gt;=129,H523&lt;=2176),INDEX(Fields!$J$2:$J$206,MATCH(H523-129,Fields!$D$2:$D$206,1)),""),"")</f>
        <v/>
      </c>
      <c r="M523">
        <f>IFERROR(IF(AND(H523&lt;&gt;"",H523&gt;=129,H523&lt;=2176),INDEX(Fields!$K$2:$K$206,MATCH(H523-129,Fields!$D$2:$D$206,1)),""),"")</f>
        <v/>
      </c>
    </row>
    <row r="524">
      <c r="A524" t="n">
        <v>522</v>
      </c>
      <c r="B524" t="n">
        <v>1</v>
      </c>
      <c r="C524" t="inlineStr">
        <is>
          <t>No</t>
        </is>
      </c>
      <c r="D524">
        <f>IF(AND(B519=1,B520=1,B521=1,B522=1,B523=1),"Yes","")</f>
        <v/>
      </c>
      <c r="E524" t="inlineStr">
        <is>
          <t>No</t>
        </is>
      </c>
      <c r="F524" t="inlineStr">
        <is>
          <t>No</t>
        </is>
      </c>
      <c r="G524">
        <f>IF(F524="Yes",1-B524,B524)</f>
        <v/>
      </c>
      <c r="H524">
        <f>IF(E524="Yes","",COUNTIFS($E$2:E524,"No"))</f>
        <v/>
      </c>
      <c r="I524">
        <f>IF(H524="","",IF(H524&lt;=128,"address",IF(H524&lt;=600,"data1",IF(H524&lt;=1264,"zero-run1",IF(H524&lt;=1648,"data2",IF(H524&lt;=2176,"zero-run2",IF(H524&lt;=2192,"FCS","trailing")))))))</f>
        <v/>
      </c>
      <c r="J524">
        <f>IFERROR(IF(AND(H524&lt;&gt;"",H524&gt;=129,H524&lt;=2176),INDEX(Fields!$B$2:$B$206,MATCH(H524-129,Fields!$D$2:$D$206,1)),""),"")</f>
        <v/>
      </c>
      <c r="K524">
        <f>IFERROR(IF(AND(H524&lt;&gt;"",H524&gt;=129,H524&lt;=2176),INDEX(Fields!$C$2:$C$206,MATCH(H524-129,Fields!$D$2:$D$206,1)),""),"")</f>
        <v/>
      </c>
      <c r="L524">
        <f>IFERROR(IF(AND(H524&lt;&gt;"",H524&gt;=129,H524&lt;=2176),INDEX(Fields!$J$2:$J$206,MATCH(H524-129,Fields!$D$2:$D$206,1)),""),"")</f>
        <v/>
      </c>
      <c r="M524">
        <f>IFERROR(IF(AND(H524&lt;&gt;"",H524&gt;=129,H524&lt;=2176),INDEX(Fields!$K$2:$K$206,MATCH(H524-129,Fields!$D$2:$D$206,1)),""),"")</f>
        <v/>
      </c>
    </row>
    <row r="525">
      <c r="A525" t="n">
        <v>523</v>
      </c>
      <c r="B525" t="n">
        <v>1</v>
      </c>
      <c r="C525" t="inlineStr">
        <is>
          <t>No</t>
        </is>
      </c>
      <c r="D525">
        <f>IF(AND(B520=1,B521=1,B522=1,B523=1,B524=1),"Yes","")</f>
        <v/>
      </c>
      <c r="E525" t="inlineStr">
        <is>
          <t>No</t>
        </is>
      </c>
      <c r="F525" t="inlineStr">
        <is>
          <t>No</t>
        </is>
      </c>
      <c r="G525">
        <f>IF(F525="Yes",1-B525,B525)</f>
        <v/>
      </c>
      <c r="H525">
        <f>IF(E525="Yes","",COUNTIFS($E$2:E525,"No"))</f>
        <v/>
      </c>
      <c r="I525">
        <f>IF(H525="","",IF(H525&lt;=128,"address",IF(H525&lt;=600,"data1",IF(H525&lt;=1264,"zero-run1",IF(H525&lt;=1648,"data2",IF(H525&lt;=2176,"zero-run2",IF(H525&lt;=2192,"FCS","trailing")))))))</f>
        <v/>
      </c>
      <c r="J525">
        <f>IFERROR(IF(AND(H525&lt;&gt;"",H525&gt;=129,H525&lt;=2176),INDEX(Fields!$B$2:$B$206,MATCH(H525-129,Fields!$D$2:$D$206,1)),""),"")</f>
        <v/>
      </c>
      <c r="K525">
        <f>IFERROR(IF(AND(H525&lt;&gt;"",H525&gt;=129,H525&lt;=2176),INDEX(Fields!$C$2:$C$206,MATCH(H525-129,Fields!$D$2:$D$206,1)),""),"")</f>
        <v/>
      </c>
      <c r="L525">
        <f>IFERROR(IF(AND(H525&lt;&gt;"",H525&gt;=129,H525&lt;=2176),INDEX(Fields!$J$2:$J$206,MATCH(H525-129,Fields!$D$2:$D$206,1)),""),"")</f>
        <v/>
      </c>
      <c r="M525">
        <f>IFERROR(IF(AND(H525&lt;&gt;"",H525&gt;=129,H525&lt;=2176),INDEX(Fields!$K$2:$K$206,MATCH(H525-129,Fields!$D$2:$D$206,1)),""),"")</f>
        <v/>
      </c>
    </row>
    <row r="526">
      <c r="A526" t="n">
        <v>524</v>
      </c>
      <c r="B526" t="n">
        <v>0</v>
      </c>
      <c r="C526" t="inlineStr">
        <is>
          <t>No</t>
        </is>
      </c>
      <c r="D526">
        <f>IF(AND(B521=1,B522=1,B523=1,B524=1,B525=1),"Yes","")</f>
        <v/>
      </c>
      <c r="E526" t="inlineStr">
        <is>
          <t>No</t>
        </is>
      </c>
      <c r="F526" t="inlineStr">
        <is>
          <t>No</t>
        </is>
      </c>
      <c r="G526">
        <f>IF(F526="Yes",1-B526,B526)</f>
        <v/>
      </c>
      <c r="H526">
        <f>IF(E526="Yes","",COUNTIFS($E$2:E526,"No"))</f>
        <v/>
      </c>
      <c r="I526">
        <f>IF(H526="","",IF(H526&lt;=128,"address",IF(H526&lt;=600,"data1",IF(H526&lt;=1264,"zero-run1",IF(H526&lt;=1648,"data2",IF(H526&lt;=2176,"zero-run2",IF(H526&lt;=2192,"FCS","trailing")))))))</f>
        <v/>
      </c>
      <c r="J526">
        <f>IFERROR(IF(AND(H526&lt;&gt;"",H526&gt;=129,H526&lt;=2176),INDEX(Fields!$B$2:$B$206,MATCH(H526-129,Fields!$D$2:$D$206,1)),""),"")</f>
        <v/>
      </c>
      <c r="K526">
        <f>IFERROR(IF(AND(H526&lt;&gt;"",H526&gt;=129,H526&lt;=2176),INDEX(Fields!$C$2:$C$206,MATCH(H526-129,Fields!$D$2:$D$206,1)),""),"")</f>
        <v/>
      </c>
      <c r="L526">
        <f>IFERROR(IF(AND(H526&lt;&gt;"",H526&gt;=129,H526&lt;=2176),INDEX(Fields!$J$2:$J$206,MATCH(H526-129,Fields!$D$2:$D$206,1)),""),"")</f>
        <v/>
      </c>
      <c r="M526">
        <f>IFERROR(IF(AND(H526&lt;&gt;"",H526&gt;=129,H526&lt;=2176),INDEX(Fields!$K$2:$K$206,MATCH(H526-129,Fields!$D$2:$D$206,1)),""),"")</f>
        <v/>
      </c>
    </row>
    <row r="527">
      <c r="A527" t="n">
        <v>525</v>
      </c>
      <c r="B527" t="n">
        <v>1</v>
      </c>
      <c r="C527" t="inlineStr">
        <is>
          <t>No</t>
        </is>
      </c>
      <c r="D527">
        <f>IF(AND(B522=1,B523=1,B524=1,B525=1,B526=1),"Yes","")</f>
        <v/>
      </c>
      <c r="E527" t="inlineStr">
        <is>
          <t>No</t>
        </is>
      </c>
      <c r="F527" t="inlineStr">
        <is>
          <t>No</t>
        </is>
      </c>
      <c r="G527">
        <f>IF(F527="Yes",1-B527,B527)</f>
        <v/>
      </c>
      <c r="H527">
        <f>IF(E527="Yes","",COUNTIFS($E$2:E527,"No"))</f>
        <v/>
      </c>
      <c r="I527">
        <f>IF(H527="","",IF(H527&lt;=128,"address",IF(H527&lt;=600,"data1",IF(H527&lt;=1264,"zero-run1",IF(H527&lt;=1648,"data2",IF(H527&lt;=2176,"zero-run2",IF(H527&lt;=2192,"FCS","trailing")))))))</f>
        <v/>
      </c>
      <c r="J527">
        <f>IFERROR(IF(AND(H527&lt;&gt;"",H527&gt;=129,H527&lt;=2176),INDEX(Fields!$B$2:$B$206,MATCH(H527-129,Fields!$D$2:$D$206,1)),""),"")</f>
        <v/>
      </c>
      <c r="K527">
        <f>IFERROR(IF(AND(H527&lt;&gt;"",H527&gt;=129,H527&lt;=2176),INDEX(Fields!$C$2:$C$206,MATCH(H527-129,Fields!$D$2:$D$206,1)),""),"")</f>
        <v/>
      </c>
      <c r="L527">
        <f>IFERROR(IF(AND(H527&lt;&gt;"",H527&gt;=129,H527&lt;=2176),INDEX(Fields!$J$2:$J$206,MATCH(H527-129,Fields!$D$2:$D$206,1)),""),"")</f>
        <v/>
      </c>
      <c r="M527">
        <f>IFERROR(IF(AND(H527&lt;&gt;"",H527&gt;=129,H527&lt;=2176),INDEX(Fields!$K$2:$K$206,MATCH(H527-129,Fields!$D$2:$D$206,1)),""),"")</f>
        <v/>
      </c>
    </row>
    <row r="528">
      <c r="A528" t="n">
        <v>526</v>
      </c>
      <c r="B528" t="n">
        <v>0</v>
      </c>
      <c r="C528" t="inlineStr">
        <is>
          <t>No</t>
        </is>
      </c>
      <c r="D528">
        <f>IF(AND(B523=1,B524=1,B525=1,B526=1,B527=1),"Yes","")</f>
        <v/>
      </c>
      <c r="E528" t="inlineStr">
        <is>
          <t>No</t>
        </is>
      </c>
      <c r="F528" t="inlineStr">
        <is>
          <t>No</t>
        </is>
      </c>
      <c r="G528">
        <f>IF(F528="Yes",1-B528,B528)</f>
        <v/>
      </c>
      <c r="H528">
        <f>IF(E528="Yes","",COUNTIFS($E$2:E528,"No"))</f>
        <v/>
      </c>
      <c r="I528">
        <f>IF(H528="","",IF(H528&lt;=128,"address",IF(H528&lt;=600,"data1",IF(H528&lt;=1264,"zero-run1",IF(H528&lt;=1648,"data2",IF(H528&lt;=2176,"zero-run2",IF(H528&lt;=2192,"FCS","trailing")))))))</f>
        <v/>
      </c>
      <c r="J528">
        <f>IFERROR(IF(AND(H528&lt;&gt;"",H528&gt;=129,H528&lt;=2176),INDEX(Fields!$B$2:$B$206,MATCH(H528-129,Fields!$D$2:$D$206,1)),""),"")</f>
        <v/>
      </c>
      <c r="K528">
        <f>IFERROR(IF(AND(H528&lt;&gt;"",H528&gt;=129,H528&lt;=2176),INDEX(Fields!$C$2:$C$206,MATCH(H528-129,Fields!$D$2:$D$206,1)),""),"")</f>
        <v/>
      </c>
      <c r="L528">
        <f>IFERROR(IF(AND(H528&lt;&gt;"",H528&gt;=129,H528&lt;=2176),INDEX(Fields!$J$2:$J$206,MATCH(H528-129,Fields!$D$2:$D$206,1)),""),"")</f>
        <v/>
      </c>
      <c r="M528">
        <f>IFERROR(IF(AND(H528&lt;&gt;"",H528&gt;=129,H528&lt;=2176),INDEX(Fields!$K$2:$K$206,MATCH(H528-129,Fields!$D$2:$D$206,1)),""),"")</f>
        <v/>
      </c>
    </row>
    <row r="529">
      <c r="A529" t="n">
        <v>527</v>
      </c>
      <c r="B529" t="n">
        <v>0</v>
      </c>
      <c r="C529" t="inlineStr">
        <is>
          <t>No</t>
        </is>
      </c>
      <c r="D529">
        <f>IF(AND(B524=1,B525=1,B526=1,B527=1,B528=1),"Yes","")</f>
        <v/>
      </c>
      <c r="E529" t="inlineStr">
        <is>
          <t>No</t>
        </is>
      </c>
      <c r="F529" t="inlineStr">
        <is>
          <t>No</t>
        </is>
      </c>
      <c r="G529">
        <f>IF(F529="Yes",1-B529,B529)</f>
        <v/>
      </c>
      <c r="H529">
        <f>IF(E529="Yes","",COUNTIFS($E$2:E529,"No"))</f>
        <v/>
      </c>
      <c r="I529">
        <f>IF(H529="","",IF(H529&lt;=128,"address",IF(H529&lt;=600,"data1",IF(H529&lt;=1264,"zero-run1",IF(H529&lt;=1648,"data2",IF(H529&lt;=2176,"zero-run2",IF(H529&lt;=2192,"FCS","trailing")))))))</f>
        <v/>
      </c>
      <c r="J529">
        <f>IFERROR(IF(AND(H529&lt;&gt;"",H529&gt;=129,H529&lt;=2176),INDEX(Fields!$B$2:$B$206,MATCH(H529-129,Fields!$D$2:$D$206,1)),""),"")</f>
        <v/>
      </c>
      <c r="K529">
        <f>IFERROR(IF(AND(H529&lt;&gt;"",H529&gt;=129,H529&lt;=2176),INDEX(Fields!$C$2:$C$206,MATCH(H529-129,Fields!$D$2:$D$206,1)),""),"")</f>
        <v/>
      </c>
      <c r="L529">
        <f>IFERROR(IF(AND(H529&lt;&gt;"",H529&gt;=129,H529&lt;=2176),INDEX(Fields!$J$2:$J$206,MATCH(H529-129,Fields!$D$2:$D$206,1)),""),"")</f>
        <v/>
      </c>
      <c r="M529">
        <f>IFERROR(IF(AND(H529&lt;&gt;"",H529&gt;=129,H529&lt;=2176),INDEX(Fields!$K$2:$K$206,MATCH(H529-129,Fields!$D$2:$D$206,1)),""),"")</f>
        <v/>
      </c>
    </row>
    <row r="530">
      <c r="A530" t="n">
        <v>528</v>
      </c>
      <c r="B530" t="n">
        <v>0</v>
      </c>
      <c r="C530" t="inlineStr">
        <is>
          <t>No</t>
        </is>
      </c>
      <c r="D530">
        <f>IF(AND(B525=1,B526=1,B527=1,B528=1,B529=1),"Yes","")</f>
        <v/>
      </c>
      <c r="E530" t="inlineStr">
        <is>
          <t>No</t>
        </is>
      </c>
      <c r="F530" t="inlineStr">
        <is>
          <t>No</t>
        </is>
      </c>
      <c r="G530">
        <f>IF(F530="Yes",1-B530,B530)</f>
        <v/>
      </c>
      <c r="H530">
        <f>IF(E530="Yes","",COUNTIFS($E$2:E530,"No"))</f>
        <v/>
      </c>
      <c r="I530">
        <f>IF(H530="","",IF(H530&lt;=128,"address",IF(H530&lt;=600,"data1",IF(H530&lt;=1264,"zero-run1",IF(H530&lt;=1648,"data2",IF(H530&lt;=2176,"zero-run2",IF(H530&lt;=2192,"FCS","trailing")))))))</f>
        <v/>
      </c>
      <c r="J530">
        <f>IFERROR(IF(AND(H530&lt;&gt;"",H530&gt;=129,H530&lt;=2176),INDEX(Fields!$B$2:$B$206,MATCH(H530-129,Fields!$D$2:$D$206,1)),""),"")</f>
        <v/>
      </c>
      <c r="K530">
        <f>IFERROR(IF(AND(H530&lt;&gt;"",H530&gt;=129,H530&lt;=2176),INDEX(Fields!$C$2:$C$206,MATCH(H530-129,Fields!$D$2:$D$206,1)),""),"")</f>
        <v/>
      </c>
      <c r="L530">
        <f>IFERROR(IF(AND(H530&lt;&gt;"",H530&gt;=129,H530&lt;=2176),INDEX(Fields!$J$2:$J$206,MATCH(H530-129,Fields!$D$2:$D$206,1)),""),"")</f>
        <v/>
      </c>
      <c r="M530">
        <f>IFERROR(IF(AND(H530&lt;&gt;"",H530&gt;=129,H530&lt;=2176),INDEX(Fields!$K$2:$K$206,MATCH(H530-129,Fields!$D$2:$D$206,1)),""),"")</f>
        <v/>
      </c>
    </row>
    <row r="531">
      <c r="A531" t="n">
        <v>529</v>
      </c>
      <c r="B531" t="n">
        <v>1</v>
      </c>
      <c r="C531" t="inlineStr">
        <is>
          <t>No</t>
        </is>
      </c>
      <c r="D531">
        <f>IF(AND(B526=1,B527=1,B528=1,B529=1,B530=1),"Yes","")</f>
        <v/>
      </c>
      <c r="E531" t="inlineStr">
        <is>
          <t>No</t>
        </is>
      </c>
      <c r="F531" t="inlineStr">
        <is>
          <t>No</t>
        </is>
      </c>
      <c r="G531">
        <f>IF(F531="Yes",1-B531,B531)</f>
        <v/>
      </c>
      <c r="H531">
        <f>IF(E531="Yes","",COUNTIFS($E$2:E531,"No"))</f>
        <v/>
      </c>
      <c r="I531">
        <f>IF(H531="","",IF(H531&lt;=128,"address",IF(H531&lt;=600,"data1",IF(H531&lt;=1264,"zero-run1",IF(H531&lt;=1648,"data2",IF(H531&lt;=2176,"zero-run2",IF(H531&lt;=2192,"FCS","trailing")))))))</f>
        <v/>
      </c>
      <c r="J531">
        <f>IFERROR(IF(AND(H531&lt;&gt;"",H531&gt;=129,H531&lt;=2176),INDEX(Fields!$B$2:$B$206,MATCH(H531-129,Fields!$D$2:$D$206,1)),""),"")</f>
        <v/>
      </c>
      <c r="K531">
        <f>IFERROR(IF(AND(H531&lt;&gt;"",H531&gt;=129,H531&lt;=2176),INDEX(Fields!$C$2:$C$206,MATCH(H531-129,Fields!$D$2:$D$206,1)),""),"")</f>
        <v/>
      </c>
      <c r="L531">
        <f>IFERROR(IF(AND(H531&lt;&gt;"",H531&gt;=129,H531&lt;=2176),INDEX(Fields!$J$2:$J$206,MATCH(H531-129,Fields!$D$2:$D$206,1)),""),"")</f>
        <v/>
      </c>
      <c r="M531">
        <f>IFERROR(IF(AND(H531&lt;&gt;"",H531&gt;=129,H531&lt;=2176),INDEX(Fields!$K$2:$K$206,MATCH(H531-129,Fields!$D$2:$D$206,1)),""),"")</f>
        <v/>
      </c>
    </row>
    <row r="532">
      <c r="A532" t="n">
        <v>530</v>
      </c>
      <c r="B532" t="n">
        <v>1</v>
      </c>
      <c r="C532" t="inlineStr">
        <is>
          <t>No</t>
        </is>
      </c>
      <c r="D532">
        <f>IF(AND(B527=1,B528=1,B529=1,B530=1,B531=1),"Yes","")</f>
        <v/>
      </c>
      <c r="E532" t="inlineStr">
        <is>
          <t>No</t>
        </is>
      </c>
      <c r="F532" t="inlineStr">
        <is>
          <t>No</t>
        </is>
      </c>
      <c r="G532">
        <f>IF(F532="Yes",1-B532,B532)</f>
        <v/>
      </c>
      <c r="H532">
        <f>IF(E532="Yes","",COUNTIFS($E$2:E532,"No"))</f>
        <v/>
      </c>
      <c r="I532">
        <f>IF(H532="","",IF(H532&lt;=128,"address",IF(H532&lt;=600,"data1",IF(H532&lt;=1264,"zero-run1",IF(H532&lt;=1648,"data2",IF(H532&lt;=2176,"zero-run2",IF(H532&lt;=2192,"FCS","trailing")))))))</f>
        <v/>
      </c>
      <c r="J532">
        <f>IFERROR(IF(AND(H532&lt;&gt;"",H532&gt;=129,H532&lt;=2176),INDEX(Fields!$B$2:$B$206,MATCH(H532-129,Fields!$D$2:$D$206,1)),""),"")</f>
        <v/>
      </c>
      <c r="K532">
        <f>IFERROR(IF(AND(H532&lt;&gt;"",H532&gt;=129,H532&lt;=2176),INDEX(Fields!$C$2:$C$206,MATCH(H532-129,Fields!$D$2:$D$206,1)),""),"")</f>
        <v/>
      </c>
      <c r="L532">
        <f>IFERROR(IF(AND(H532&lt;&gt;"",H532&gt;=129,H532&lt;=2176),INDEX(Fields!$J$2:$J$206,MATCH(H532-129,Fields!$D$2:$D$206,1)),""),"")</f>
        <v/>
      </c>
      <c r="M532">
        <f>IFERROR(IF(AND(H532&lt;&gt;"",H532&gt;=129,H532&lt;=2176),INDEX(Fields!$K$2:$K$206,MATCH(H532-129,Fields!$D$2:$D$206,1)),""),"")</f>
        <v/>
      </c>
    </row>
    <row r="533">
      <c r="A533" t="n">
        <v>531</v>
      </c>
      <c r="B533" t="n">
        <v>0</v>
      </c>
      <c r="C533" t="inlineStr">
        <is>
          <t>No</t>
        </is>
      </c>
      <c r="D533">
        <f>IF(AND(B528=1,B529=1,B530=1,B531=1,B532=1),"Yes","")</f>
        <v/>
      </c>
      <c r="E533" t="inlineStr">
        <is>
          <t>No</t>
        </is>
      </c>
      <c r="F533" t="inlineStr">
        <is>
          <t>No</t>
        </is>
      </c>
      <c r="G533">
        <f>IF(F533="Yes",1-B533,B533)</f>
        <v/>
      </c>
      <c r="H533">
        <f>IF(E533="Yes","",COUNTIFS($E$2:E533,"No"))</f>
        <v/>
      </c>
      <c r="I533">
        <f>IF(H533="","",IF(H533&lt;=128,"address",IF(H533&lt;=600,"data1",IF(H533&lt;=1264,"zero-run1",IF(H533&lt;=1648,"data2",IF(H533&lt;=2176,"zero-run2",IF(H533&lt;=2192,"FCS","trailing")))))))</f>
        <v/>
      </c>
      <c r="J533">
        <f>IFERROR(IF(AND(H533&lt;&gt;"",H533&gt;=129,H533&lt;=2176),INDEX(Fields!$B$2:$B$206,MATCH(H533-129,Fields!$D$2:$D$206,1)),""),"")</f>
        <v/>
      </c>
      <c r="K533">
        <f>IFERROR(IF(AND(H533&lt;&gt;"",H533&gt;=129,H533&lt;=2176),INDEX(Fields!$C$2:$C$206,MATCH(H533-129,Fields!$D$2:$D$206,1)),""),"")</f>
        <v/>
      </c>
      <c r="L533">
        <f>IFERROR(IF(AND(H533&lt;&gt;"",H533&gt;=129,H533&lt;=2176),INDEX(Fields!$J$2:$J$206,MATCH(H533-129,Fields!$D$2:$D$206,1)),""),"")</f>
        <v/>
      </c>
      <c r="M533">
        <f>IFERROR(IF(AND(H533&lt;&gt;"",H533&gt;=129,H533&lt;=2176),INDEX(Fields!$K$2:$K$206,MATCH(H533-129,Fields!$D$2:$D$206,1)),""),"")</f>
        <v/>
      </c>
    </row>
    <row r="534">
      <c r="A534" t="n">
        <v>532</v>
      </c>
      <c r="B534" t="n">
        <v>0</v>
      </c>
      <c r="C534" t="inlineStr">
        <is>
          <t>No</t>
        </is>
      </c>
      <c r="D534">
        <f>IF(AND(B529=1,B530=1,B531=1,B532=1,B533=1),"Yes","")</f>
        <v/>
      </c>
      <c r="E534" t="inlineStr">
        <is>
          <t>No</t>
        </is>
      </c>
      <c r="F534" t="inlineStr">
        <is>
          <t>No</t>
        </is>
      </c>
      <c r="G534">
        <f>IF(F534="Yes",1-B534,B534)</f>
        <v/>
      </c>
      <c r="H534">
        <f>IF(E534="Yes","",COUNTIFS($E$2:E534,"No"))</f>
        <v/>
      </c>
      <c r="I534">
        <f>IF(H534="","",IF(H534&lt;=128,"address",IF(H534&lt;=600,"data1",IF(H534&lt;=1264,"zero-run1",IF(H534&lt;=1648,"data2",IF(H534&lt;=2176,"zero-run2",IF(H534&lt;=2192,"FCS","trailing")))))))</f>
        <v/>
      </c>
      <c r="J534">
        <f>IFERROR(IF(AND(H534&lt;&gt;"",H534&gt;=129,H534&lt;=2176),INDEX(Fields!$B$2:$B$206,MATCH(H534-129,Fields!$D$2:$D$206,1)),""),"")</f>
        <v/>
      </c>
      <c r="K534">
        <f>IFERROR(IF(AND(H534&lt;&gt;"",H534&gt;=129,H534&lt;=2176),INDEX(Fields!$C$2:$C$206,MATCH(H534-129,Fields!$D$2:$D$206,1)),""),"")</f>
        <v/>
      </c>
      <c r="L534">
        <f>IFERROR(IF(AND(H534&lt;&gt;"",H534&gt;=129,H534&lt;=2176),INDEX(Fields!$J$2:$J$206,MATCH(H534-129,Fields!$D$2:$D$206,1)),""),"")</f>
        <v/>
      </c>
      <c r="M534">
        <f>IFERROR(IF(AND(H534&lt;&gt;"",H534&gt;=129,H534&lt;=2176),INDEX(Fields!$K$2:$K$206,MATCH(H534-129,Fields!$D$2:$D$206,1)),""),"")</f>
        <v/>
      </c>
    </row>
    <row r="535">
      <c r="A535" t="n">
        <v>533</v>
      </c>
      <c r="B535" t="n">
        <v>0</v>
      </c>
      <c r="C535" t="inlineStr">
        <is>
          <t>No</t>
        </is>
      </c>
      <c r="D535">
        <f>IF(AND(B530=1,B531=1,B532=1,B533=1,B534=1),"Yes","")</f>
        <v/>
      </c>
      <c r="E535" t="inlineStr">
        <is>
          <t>No</t>
        </is>
      </c>
      <c r="F535" t="inlineStr">
        <is>
          <t>No</t>
        </is>
      </c>
      <c r="G535">
        <f>IF(F535="Yes",1-B535,B535)</f>
        <v/>
      </c>
      <c r="H535">
        <f>IF(E535="Yes","",COUNTIFS($E$2:E535,"No"))</f>
        <v/>
      </c>
      <c r="I535">
        <f>IF(H535="","",IF(H535&lt;=128,"address",IF(H535&lt;=600,"data1",IF(H535&lt;=1264,"zero-run1",IF(H535&lt;=1648,"data2",IF(H535&lt;=2176,"zero-run2",IF(H535&lt;=2192,"FCS","trailing")))))))</f>
        <v/>
      </c>
      <c r="J535">
        <f>IFERROR(IF(AND(H535&lt;&gt;"",H535&gt;=129,H535&lt;=2176),INDEX(Fields!$B$2:$B$206,MATCH(H535-129,Fields!$D$2:$D$206,1)),""),"")</f>
        <v/>
      </c>
      <c r="K535">
        <f>IFERROR(IF(AND(H535&lt;&gt;"",H535&gt;=129,H535&lt;=2176),INDEX(Fields!$C$2:$C$206,MATCH(H535-129,Fields!$D$2:$D$206,1)),""),"")</f>
        <v/>
      </c>
      <c r="L535">
        <f>IFERROR(IF(AND(H535&lt;&gt;"",H535&gt;=129,H535&lt;=2176),INDEX(Fields!$J$2:$J$206,MATCH(H535-129,Fields!$D$2:$D$206,1)),""),"")</f>
        <v/>
      </c>
      <c r="M535">
        <f>IFERROR(IF(AND(H535&lt;&gt;"",H535&gt;=129,H535&lt;=2176),INDEX(Fields!$K$2:$K$206,MATCH(H535-129,Fields!$D$2:$D$206,1)),""),"")</f>
        <v/>
      </c>
    </row>
    <row r="536">
      <c r="A536" t="n">
        <v>534</v>
      </c>
      <c r="B536" t="n">
        <v>1</v>
      </c>
      <c r="C536" t="inlineStr">
        <is>
          <t>No</t>
        </is>
      </c>
      <c r="D536">
        <f>IF(AND(B531=1,B532=1,B533=1,B534=1,B535=1),"Yes","")</f>
        <v/>
      </c>
      <c r="E536" t="inlineStr">
        <is>
          <t>No</t>
        </is>
      </c>
      <c r="F536" t="inlineStr">
        <is>
          <t>No</t>
        </is>
      </c>
      <c r="G536">
        <f>IF(F536="Yes",1-B536,B536)</f>
        <v/>
      </c>
      <c r="H536">
        <f>IF(E536="Yes","",COUNTIFS($E$2:E536,"No"))</f>
        <v/>
      </c>
      <c r="I536">
        <f>IF(H536="","",IF(H536&lt;=128,"address",IF(H536&lt;=600,"data1",IF(H536&lt;=1264,"zero-run1",IF(H536&lt;=1648,"data2",IF(H536&lt;=2176,"zero-run2",IF(H536&lt;=2192,"FCS","trailing")))))))</f>
        <v/>
      </c>
      <c r="J536">
        <f>IFERROR(IF(AND(H536&lt;&gt;"",H536&gt;=129,H536&lt;=2176),INDEX(Fields!$B$2:$B$206,MATCH(H536-129,Fields!$D$2:$D$206,1)),""),"")</f>
        <v/>
      </c>
      <c r="K536">
        <f>IFERROR(IF(AND(H536&lt;&gt;"",H536&gt;=129,H536&lt;=2176),INDEX(Fields!$C$2:$C$206,MATCH(H536-129,Fields!$D$2:$D$206,1)),""),"")</f>
        <v/>
      </c>
      <c r="L536">
        <f>IFERROR(IF(AND(H536&lt;&gt;"",H536&gt;=129,H536&lt;=2176),INDEX(Fields!$J$2:$J$206,MATCH(H536-129,Fields!$D$2:$D$206,1)),""),"")</f>
        <v/>
      </c>
      <c r="M536">
        <f>IFERROR(IF(AND(H536&lt;&gt;"",H536&gt;=129,H536&lt;=2176),INDEX(Fields!$K$2:$K$206,MATCH(H536-129,Fields!$D$2:$D$206,1)),""),"")</f>
        <v/>
      </c>
    </row>
    <row r="537">
      <c r="A537" t="n">
        <v>535</v>
      </c>
      <c r="B537" t="n">
        <v>1</v>
      </c>
      <c r="C537" t="inlineStr">
        <is>
          <t>No</t>
        </is>
      </c>
      <c r="D537">
        <f>IF(AND(B532=1,B533=1,B534=1,B535=1,B536=1),"Yes","")</f>
        <v/>
      </c>
      <c r="E537" t="inlineStr">
        <is>
          <t>No</t>
        </is>
      </c>
      <c r="F537" t="inlineStr">
        <is>
          <t>No</t>
        </is>
      </c>
      <c r="G537">
        <f>IF(F537="Yes",1-B537,B537)</f>
        <v/>
      </c>
      <c r="H537">
        <f>IF(E537="Yes","",COUNTIFS($E$2:E537,"No"))</f>
        <v/>
      </c>
      <c r="I537">
        <f>IF(H537="","",IF(H537&lt;=128,"address",IF(H537&lt;=600,"data1",IF(H537&lt;=1264,"zero-run1",IF(H537&lt;=1648,"data2",IF(H537&lt;=2176,"zero-run2",IF(H537&lt;=2192,"FCS","trailing")))))))</f>
        <v/>
      </c>
      <c r="J537">
        <f>IFERROR(IF(AND(H537&lt;&gt;"",H537&gt;=129,H537&lt;=2176),INDEX(Fields!$B$2:$B$206,MATCH(H537-129,Fields!$D$2:$D$206,1)),""),"")</f>
        <v/>
      </c>
      <c r="K537">
        <f>IFERROR(IF(AND(H537&lt;&gt;"",H537&gt;=129,H537&lt;=2176),INDEX(Fields!$C$2:$C$206,MATCH(H537-129,Fields!$D$2:$D$206,1)),""),"")</f>
        <v/>
      </c>
      <c r="L537">
        <f>IFERROR(IF(AND(H537&lt;&gt;"",H537&gt;=129,H537&lt;=2176),INDEX(Fields!$J$2:$J$206,MATCH(H537-129,Fields!$D$2:$D$206,1)),""),"")</f>
        <v/>
      </c>
      <c r="M537">
        <f>IFERROR(IF(AND(H537&lt;&gt;"",H537&gt;=129,H537&lt;=2176),INDEX(Fields!$K$2:$K$206,MATCH(H537-129,Fields!$D$2:$D$206,1)),""),"")</f>
        <v/>
      </c>
    </row>
    <row r="538">
      <c r="A538" t="n">
        <v>536</v>
      </c>
      <c r="B538" t="n">
        <v>1</v>
      </c>
      <c r="C538" t="inlineStr">
        <is>
          <t>No</t>
        </is>
      </c>
      <c r="D538">
        <f>IF(AND(B533=1,B534=1,B535=1,B536=1,B537=1),"Yes","")</f>
        <v/>
      </c>
      <c r="E538" t="inlineStr">
        <is>
          <t>No</t>
        </is>
      </c>
      <c r="F538" t="inlineStr">
        <is>
          <t>No</t>
        </is>
      </c>
      <c r="G538">
        <f>IF(F538="Yes",1-B538,B538)</f>
        <v/>
      </c>
      <c r="H538">
        <f>IF(E538="Yes","",COUNTIFS($E$2:E538,"No"))</f>
        <v/>
      </c>
      <c r="I538">
        <f>IF(H538="","",IF(H538&lt;=128,"address",IF(H538&lt;=600,"data1",IF(H538&lt;=1264,"zero-run1",IF(H538&lt;=1648,"data2",IF(H538&lt;=2176,"zero-run2",IF(H538&lt;=2192,"FCS","trailing")))))))</f>
        <v/>
      </c>
      <c r="J538">
        <f>IFERROR(IF(AND(H538&lt;&gt;"",H538&gt;=129,H538&lt;=2176),INDEX(Fields!$B$2:$B$206,MATCH(H538-129,Fields!$D$2:$D$206,1)),""),"")</f>
        <v/>
      </c>
      <c r="K538">
        <f>IFERROR(IF(AND(H538&lt;&gt;"",H538&gt;=129,H538&lt;=2176),INDEX(Fields!$C$2:$C$206,MATCH(H538-129,Fields!$D$2:$D$206,1)),""),"")</f>
        <v/>
      </c>
      <c r="L538">
        <f>IFERROR(IF(AND(H538&lt;&gt;"",H538&gt;=129,H538&lt;=2176),INDEX(Fields!$J$2:$J$206,MATCH(H538-129,Fields!$D$2:$D$206,1)),""),"")</f>
        <v/>
      </c>
      <c r="M538">
        <f>IFERROR(IF(AND(H538&lt;&gt;"",H538&gt;=129,H538&lt;=2176),INDEX(Fields!$K$2:$K$206,MATCH(H538-129,Fields!$D$2:$D$206,1)),""),"")</f>
        <v/>
      </c>
    </row>
    <row r="539">
      <c r="A539" t="n">
        <v>537</v>
      </c>
      <c r="B539" t="n">
        <v>1</v>
      </c>
      <c r="C539" t="inlineStr">
        <is>
          <t>No</t>
        </is>
      </c>
      <c r="D539">
        <f>IF(AND(B534=1,B535=1,B536=1,B537=1,B538=1),"Yes","")</f>
        <v/>
      </c>
      <c r="E539" t="inlineStr">
        <is>
          <t>No</t>
        </is>
      </c>
      <c r="F539" t="inlineStr">
        <is>
          <t>No</t>
        </is>
      </c>
      <c r="G539">
        <f>IF(F539="Yes",1-B539,B539)</f>
        <v/>
      </c>
      <c r="H539">
        <f>IF(E539="Yes","",COUNTIFS($E$2:E539,"No"))</f>
        <v/>
      </c>
      <c r="I539">
        <f>IF(H539="","",IF(H539&lt;=128,"address",IF(H539&lt;=600,"data1",IF(H539&lt;=1264,"zero-run1",IF(H539&lt;=1648,"data2",IF(H539&lt;=2176,"zero-run2",IF(H539&lt;=2192,"FCS","trailing")))))))</f>
        <v/>
      </c>
      <c r="J539">
        <f>IFERROR(IF(AND(H539&lt;&gt;"",H539&gt;=129,H539&lt;=2176),INDEX(Fields!$B$2:$B$206,MATCH(H539-129,Fields!$D$2:$D$206,1)),""),"")</f>
        <v/>
      </c>
      <c r="K539">
        <f>IFERROR(IF(AND(H539&lt;&gt;"",H539&gt;=129,H539&lt;=2176),INDEX(Fields!$C$2:$C$206,MATCH(H539-129,Fields!$D$2:$D$206,1)),""),"")</f>
        <v/>
      </c>
      <c r="L539">
        <f>IFERROR(IF(AND(H539&lt;&gt;"",H539&gt;=129,H539&lt;=2176),INDEX(Fields!$J$2:$J$206,MATCH(H539-129,Fields!$D$2:$D$206,1)),""),"")</f>
        <v/>
      </c>
      <c r="M539">
        <f>IFERROR(IF(AND(H539&lt;&gt;"",H539&gt;=129,H539&lt;=2176),INDEX(Fields!$K$2:$K$206,MATCH(H539-129,Fields!$D$2:$D$206,1)),""),"")</f>
        <v/>
      </c>
    </row>
    <row r="540">
      <c r="A540" t="n">
        <v>538</v>
      </c>
      <c r="B540" t="n">
        <v>0</v>
      </c>
      <c r="C540" t="inlineStr">
        <is>
          <t>No</t>
        </is>
      </c>
      <c r="D540">
        <f>IF(AND(B535=1,B536=1,B537=1,B538=1,B539=1),"Yes","")</f>
        <v/>
      </c>
      <c r="E540" t="inlineStr">
        <is>
          <t>No</t>
        </is>
      </c>
      <c r="F540" t="inlineStr">
        <is>
          <t>No</t>
        </is>
      </c>
      <c r="G540">
        <f>IF(F540="Yes",1-B540,B540)</f>
        <v/>
      </c>
      <c r="H540">
        <f>IF(E540="Yes","",COUNTIFS($E$2:E540,"No"))</f>
        <v/>
      </c>
      <c r="I540">
        <f>IF(H540="","",IF(H540&lt;=128,"address",IF(H540&lt;=600,"data1",IF(H540&lt;=1264,"zero-run1",IF(H540&lt;=1648,"data2",IF(H540&lt;=2176,"zero-run2",IF(H540&lt;=2192,"FCS","trailing")))))))</f>
        <v/>
      </c>
      <c r="J540">
        <f>IFERROR(IF(AND(H540&lt;&gt;"",H540&gt;=129,H540&lt;=2176),INDEX(Fields!$B$2:$B$206,MATCH(H540-129,Fields!$D$2:$D$206,1)),""),"")</f>
        <v/>
      </c>
      <c r="K540">
        <f>IFERROR(IF(AND(H540&lt;&gt;"",H540&gt;=129,H540&lt;=2176),INDEX(Fields!$C$2:$C$206,MATCH(H540-129,Fields!$D$2:$D$206,1)),""),"")</f>
        <v/>
      </c>
      <c r="L540">
        <f>IFERROR(IF(AND(H540&lt;&gt;"",H540&gt;=129,H540&lt;=2176),INDEX(Fields!$J$2:$J$206,MATCH(H540-129,Fields!$D$2:$D$206,1)),""),"")</f>
        <v/>
      </c>
      <c r="M540">
        <f>IFERROR(IF(AND(H540&lt;&gt;"",H540&gt;=129,H540&lt;=2176),INDEX(Fields!$K$2:$K$206,MATCH(H540-129,Fields!$D$2:$D$206,1)),""),"")</f>
        <v/>
      </c>
    </row>
    <row r="541">
      <c r="A541" t="n">
        <v>539</v>
      </c>
      <c r="B541" t="n">
        <v>1</v>
      </c>
      <c r="C541" t="inlineStr">
        <is>
          <t>No</t>
        </is>
      </c>
      <c r="D541">
        <f>IF(AND(B536=1,B537=1,B538=1,B539=1,B540=1),"Yes","")</f>
        <v/>
      </c>
      <c r="E541" t="inlineStr">
        <is>
          <t>No</t>
        </is>
      </c>
      <c r="F541" t="inlineStr">
        <is>
          <t>No</t>
        </is>
      </c>
      <c r="G541">
        <f>IF(F541="Yes",1-B541,B541)</f>
        <v/>
      </c>
      <c r="H541">
        <f>IF(E541="Yes","",COUNTIFS($E$2:E541,"No"))</f>
        <v/>
      </c>
      <c r="I541">
        <f>IF(H541="","",IF(H541&lt;=128,"address",IF(H541&lt;=600,"data1",IF(H541&lt;=1264,"zero-run1",IF(H541&lt;=1648,"data2",IF(H541&lt;=2176,"zero-run2",IF(H541&lt;=2192,"FCS","trailing")))))))</f>
        <v/>
      </c>
      <c r="J541">
        <f>IFERROR(IF(AND(H541&lt;&gt;"",H541&gt;=129,H541&lt;=2176),INDEX(Fields!$B$2:$B$206,MATCH(H541-129,Fields!$D$2:$D$206,1)),""),"")</f>
        <v/>
      </c>
      <c r="K541">
        <f>IFERROR(IF(AND(H541&lt;&gt;"",H541&gt;=129,H541&lt;=2176),INDEX(Fields!$C$2:$C$206,MATCH(H541-129,Fields!$D$2:$D$206,1)),""),"")</f>
        <v/>
      </c>
      <c r="L541">
        <f>IFERROR(IF(AND(H541&lt;&gt;"",H541&gt;=129,H541&lt;=2176),INDEX(Fields!$J$2:$J$206,MATCH(H541-129,Fields!$D$2:$D$206,1)),""),"")</f>
        <v/>
      </c>
      <c r="M541">
        <f>IFERROR(IF(AND(H541&lt;&gt;"",H541&gt;=129,H541&lt;=2176),INDEX(Fields!$K$2:$K$206,MATCH(H541-129,Fields!$D$2:$D$206,1)),""),"")</f>
        <v/>
      </c>
    </row>
    <row r="542">
      <c r="A542" t="n">
        <v>540</v>
      </c>
      <c r="B542" t="n">
        <v>0</v>
      </c>
      <c r="C542" t="inlineStr">
        <is>
          <t>No</t>
        </is>
      </c>
      <c r="D542">
        <f>IF(AND(B537=1,B538=1,B539=1,B540=1,B541=1),"Yes","")</f>
        <v/>
      </c>
      <c r="E542" t="inlineStr">
        <is>
          <t>No</t>
        </is>
      </c>
      <c r="F542" t="inlineStr">
        <is>
          <t>No</t>
        </is>
      </c>
      <c r="G542">
        <f>IF(F542="Yes",1-B542,B542)</f>
        <v/>
      </c>
      <c r="H542">
        <f>IF(E542="Yes","",COUNTIFS($E$2:E542,"No"))</f>
        <v/>
      </c>
      <c r="I542">
        <f>IF(H542="","",IF(H542&lt;=128,"address",IF(H542&lt;=600,"data1",IF(H542&lt;=1264,"zero-run1",IF(H542&lt;=1648,"data2",IF(H542&lt;=2176,"zero-run2",IF(H542&lt;=2192,"FCS","trailing")))))))</f>
        <v/>
      </c>
      <c r="J542">
        <f>IFERROR(IF(AND(H542&lt;&gt;"",H542&gt;=129,H542&lt;=2176),INDEX(Fields!$B$2:$B$206,MATCH(H542-129,Fields!$D$2:$D$206,1)),""),"")</f>
        <v/>
      </c>
      <c r="K542">
        <f>IFERROR(IF(AND(H542&lt;&gt;"",H542&gt;=129,H542&lt;=2176),INDEX(Fields!$C$2:$C$206,MATCH(H542-129,Fields!$D$2:$D$206,1)),""),"")</f>
        <v/>
      </c>
      <c r="L542">
        <f>IFERROR(IF(AND(H542&lt;&gt;"",H542&gt;=129,H542&lt;=2176),INDEX(Fields!$J$2:$J$206,MATCH(H542-129,Fields!$D$2:$D$206,1)),""),"")</f>
        <v/>
      </c>
      <c r="M542">
        <f>IFERROR(IF(AND(H542&lt;&gt;"",H542&gt;=129,H542&lt;=2176),INDEX(Fields!$K$2:$K$206,MATCH(H542-129,Fields!$D$2:$D$206,1)),""),"")</f>
        <v/>
      </c>
    </row>
    <row r="543">
      <c r="A543" t="n">
        <v>541</v>
      </c>
      <c r="B543" t="n">
        <v>1</v>
      </c>
      <c r="C543" t="inlineStr">
        <is>
          <t>No</t>
        </is>
      </c>
      <c r="D543">
        <f>IF(AND(B538=1,B539=1,B540=1,B541=1,B542=1),"Yes","")</f>
        <v/>
      </c>
      <c r="E543" t="inlineStr">
        <is>
          <t>No</t>
        </is>
      </c>
      <c r="F543" t="inlineStr">
        <is>
          <t>No</t>
        </is>
      </c>
      <c r="G543">
        <f>IF(F543="Yes",1-B543,B543)</f>
        <v/>
      </c>
      <c r="H543">
        <f>IF(E543="Yes","",COUNTIFS($E$2:E543,"No"))</f>
        <v/>
      </c>
      <c r="I543">
        <f>IF(H543="","",IF(H543&lt;=128,"address",IF(H543&lt;=600,"data1",IF(H543&lt;=1264,"zero-run1",IF(H543&lt;=1648,"data2",IF(H543&lt;=2176,"zero-run2",IF(H543&lt;=2192,"FCS","trailing")))))))</f>
        <v/>
      </c>
      <c r="J543">
        <f>IFERROR(IF(AND(H543&lt;&gt;"",H543&gt;=129,H543&lt;=2176),INDEX(Fields!$B$2:$B$206,MATCH(H543-129,Fields!$D$2:$D$206,1)),""),"")</f>
        <v/>
      </c>
      <c r="K543">
        <f>IFERROR(IF(AND(H543&lt;&gt;"",H543&gt;=129,H543&lt;=2176),INDEX(Fields!$C$2:$C$206,MATCH(H543-129,Fields!$D$2:$D$206,1)),""),"")</f>
        <v/>
      </c>
      <c r="L543">
        <f>IFERROR(IF(AND(H543&lt;&gt;"",H543&gt;=129,H543&lt;=2176),INDEX(Fields!$J$2:$J$206,MATCH(H543-129,Fields!$D$2:$D$206,1)),""),"")</f>
        <v/>
      </c>
      <c r="M543">
        <f>IFERROR(IF(AND(H543&lt;&gt;"",H543&gt;=129,H543&lt;=2176),INDEX(Fields!$K$2:$K$206,MATCH(H543-129,Fields!$D$2:$D$206,1)),""),"")</f>
        <v/>
      </c>
    </row>
    <row r="544">
      <c r="A544" t="n">
        <v>542</v>
      </c>
      <c r="B544" t="n">
        <v>0</v>
      </c>
      <c r="C544" t="inlineStr">
        <is>
          <t>No</t>
        </is>
      </c>
      <c r="D544">
        <f>IF(AND(B539=1,B540=1,B541=1,B542=1,B543=1),"Yes","")</f>
        <v/>
      </c>
      <c r="E544" t="inlineStr">
        <is>
          <t>No</t>
        </is>
      </c>
      <c r="F544" t="inlineStr">
        <is>
          <t>No</t>
        </is>
      </c>
      <c r="G544">
        <f>IF(F544="Yes",1-B544,B544)</f>
        <v/>
      </c>
      <c r="H544">
        <f>IF(E544="Yes","",COUNTIFS($E$2:E544,"No"))</f>
        <v/>
      </c>
      <c r="I544">
        <f>IF(H544="","",IF(H544&lt;=128,"address",IF(H544&lt;=600,"data1",IF(H544&lt;=1264,"zero-run1",IF(H544&lt;=1648,"data2",IF(H544&lt;=2176,"zero-run2",IF(H544&lt;=2192,"FCS","trailing")))))))</f>
        <v/>
      </c>
      <c r="J544">
        <f>IFERROR(IF(AND(H544&lt;&gt;"",H544&gt;=129,H544&lt;=2176),INDEX(Fields!$B$2:$B$206,MATCH(H544-129,Fields!$D$2:$D$206,1)),""),"")</f>
        <v/>
      </c>
      <c r="K544">
        <f>IFERROR(IF(AND(H544&lt;&gt;"",H544&gt;=129,H544&lt;=2176),INDEX(Fields!$C$2:$C$206,MATCH(H544-129,Fields!$D$2:$D$206,1)),""),"")</f>
        <v/>
      </c>
      <c r="L544">
        <f>IFERROR(IF(AND(H544&lt;&gt;"",H544&gt;=129,H544&lt;=2176),INDEX(Fields!$J$2:$J$206,MATCH(H544-129,Fields!$D$2:$D$206,1)),""),"")</f>
        <v/>
      </c>
      <c r="M544">
        <f>IFERROR(IF(AND(H544&lt;&gt;"",H544&gt;=129,H544&lt;=2176),INDEX(Fields!$K$2:$K$206,MATCH(H544-129,Fields!$D$2:$D$206,1)),""),"")</f>
        <v/>
      </c>
    </row>
    <row r="545">
      <c r="A545" t="n">
        <v>543</v>
      </c>
      <c r="B545" t="n">
        <v>0</v>
      </c>
      <c r="C545" t="inlineStr">
        <is>
          <t>No</t>
        </is>
      </c>
      <c r="D545">
        <f>IF(AND(B540=1,B541=1,B542=1,B543=1,B544=1),"Yes","")</f>
        <v/>
      </c>
      <c r="E545" t="inlineStr">
        <is>
          <t>No</t>
        </is>
      </c>
      <c r="F545" t="inlineStr">
        <is>
          <t>No</t>
        </is>
      </c>
      <c r="G545">
        <f>IF(F545="Yes",1-B545,B545)</f>
        <v/>
      </c>
      <c r="H545">
        <f>IF(E545="Yes","",COUNTIFS($E$2:E545,"No"))</f>
        <v/>
      </c>
      <c r="I545">
        <f>IF(H545="","",IF(H545&lt;=128,"address",IF(H545&lt;=600,"data1",IF(H545&lt;=1264,"zero-run1",IF(H545&lt;=1648,"data2",IF(H545&lt;=2176,"zero-run2",IF(H545&lt;=2192,"FCS","trailing")))))))</f>
        <v/>
      </c>
      <c r="J545">
        <f>IFERROR(IF(AND(H545&lt;&gt;"",H545&gt;=129,H545&lt;=2176),INDEX(Fields!$B$2:$B$206,MATCH(H545-129,Fields!$D$2:$D$206,1)),""),"")</f>
        <v/>
      </c>
      <c r="K545">
        <f>IFERROR(IF(AND(H545&lt;&gt;"",H545&gt;=129,H545&lt;=2176),INDEX(Fields!$C$2:$C$206,MATCH(H545-129,Fields!$D$2:$D$206,1)),""),"")</f>
        <v/>
      </c>
      <c r="L545">
        <f>IFERROR(IF(AND(H545&lt;&gt;"",H545&gt;=129,H545&lt;=2176),INDEX(Fields!$J$2:$J$206,MATCH(H545-129,Fields!$D$2:$D$206,1)),""),"")</f>
        <v/>
      </c>
      <c r="M545">
        <f>IFERROR(IF(AND(H545&lt;&gt;"",H545&gt;=129,H545&lt;=2176),INDEX(Fields!$K$2:$K$206,MATCH(H545-129,Fields!$D$2:$D$206,1)),""),"")</f>
        <v/>
      </c>
    </row>
    <row r="546">
      <c r="A546" t="n">
        <v>544</v>
      </c>
      <c r="B546" t="n">
        <v>0</v>
      </c>
      <c r="C546" t="inlineStr">
        <is>
          <t>No</t>
        </is>
      </c>
      <c r="D546">
        <f>IF(AND(B541=1,B542=1,B543=1,B544=1,B545=1),"Yes","")</f>
        <v/>
      </c>
      <c r="E546" t="inlineStr">
        <is>
          <t>No</t>
        </is>
      </c>
      <c r="F546" t="inlineStr">
        <is>
          <t>No</t>
        </is>
      </c>
      <c r="G546">
        <f>IF(F546="Yes",1-B546,B546)</f>
        <v/>
      </c>
      <c r="H546">
        <f>IF(E546="Yes","",COUNTIFS($E$2:E546,"No"))</f>
        <v/>
      </c>
      <c r="I546">
        <f>IF(H546="","",IF(H546&lt;=128,"address",IF(H546&lt;=600,"data1",IF(H546&lt;=1264,"zero-run1",IF(H546&lt;=1648,"data2",IF(H546&lt;=2176,"zero-run2",IF(H546&lt;=2192,"FCS","trailing")))))))</f>
        <v/>
      </c>
      <c r="J546">
        <f>IFERROR(IF(AND(H546&lt;&gt;"",H546&gt;=129,H546&lt;=2176),INDEX(Fields!$B$2:$B$206,MATCH(H546-129,Fields!$D$2:$D$206,1)),""),"")</f>
        <v/>
      </c>
      <c r="K546">
        <f>IFERROR(IF(AND(H546&lt;&gt;"",H546&gt;=129,H546&lt;=2176),INDEX(Fields!$C$2:$C$206,MATCH(H546-129,Fields!$D$2:$D$206,1)),""),"")</f>
        <v/>
      </c>
      <c r="L546">
        <f>IFERROR(IF(AND(H546&lt;&gt;"",H546&gt;=129,H546&lt;=2176),INDEX(Fields!$J$2:$J$206,MATCH(H546-129,Fields!$D$2:$D$206,1)),""),"")</f>
        <v/>
      </c>
      <c r="M546">
        <f>IFERROR(IF(AND(H546&lt;&gt;"",H546&gt;=129,H546&lt;=2176),INDEX(Fields!$K$2:$K$206,MATCH(H546-129,Fields!$D$2:$D$206,1)),""),"")</f>
        <v/>
      </c>
    </row>
    <row r="547">
      <c r="A547" t="n">
        <v>545</v>
      </c>
      <c r="B547" t="n">
        <v>0</v>
      </c>
      <c r="C547" t="inlineStr">
        <is>
          <t>No</t>
        </is>
      </c>
      <c r="D547">
        <f>IF(AND(B542=1,B543=1,B544=1,B545=1,B546=1),"Yes","")</f>
        <v/>
      </c>
      <c r="E547" t="inlineStr">
        <is>
          <t>No</t>
        </is>
      </c>
      <c r="F547" t="inlineStr">
        <is>
          <t>No</t>
        </is>
      </c>
      <c r="G547">
        <f>IF(F547="Yes",1-B547,B547)</f>
        <v/>
      </c>
      <c r="H547">
        <f>IF(E547="Yes","",COUNTIFS($E$2:E547,"No"))</f>
        <v/>
      </c>
      <c r="I547">
        <f>IF(H547="","",IF(H547&lt;=128,"address",IF(H547&lt;=600,"data1",IF(H547&lt;=1264,"zero-run1",IF(H547&lt;=1648,"data2",IF(H547&lt;=2176,"zero-run2",IF(H547&lt;=2192,"FCS","trailing")))))))</f>
        <v/>
      </c>
      <c r="J547">
        <f>IFERROR(IF(AND(H547&lt;&gt;"",H547&gt;=129,H547&lt;=2176),INDEX(Fields!$B$2:$B$206,MATCH(H547-129,Fields!$D$2:$D$206,1)),""),"")</f>
        <v/>
      </c>
      <c r="K547">
        <f>IFERROR(IF(AND(H547&lt;&gt;"",H547&gt;=129,H547&lt;=2176),INDEX(Fields!$C$2:$C$206,MATCH(H547-129,Fields!$D$2:$D$206,1)),""),"")</f>
        <v/>
      </c>
      <c r="L547">
        <f>IFERROR(IF(AND(H547&lt;&gt;"",H547&gt;=129,H547&lt;=2176),INDEX(Fields!$J$2:$J$206,MATCH(H547-129,Fields!$D$2:$D$206,1)),""),"")</f>
        <v/>
      </c>
      <c r="M547">
        <f>IFERROR(IF(AND(H547&lt;&gt;"",H547&gt;=129,H547&lt;=2176),INDEX(Fields!$K$2:$K$206,MATCH(H547-129,Fields!$D$2:$D$206,1)),""),"")</f>
        <v/>
      </c>
    </row>
    <row r="548">
      <c r="A548" t="n">
        <v>546</v>
      </c>
      <c r="B548" t="n">
        <v>0</v>
      </c>
      <c r="C548" t="inlineStr">
        <is>
          <t>No</t>
        </is>
      </c>
      <c r="D548">
        <f>IF(AND(B543=1,B544=1,B545=1,B546=1,B547=1),"Yes","")</f>
        <v/>
      </c>
      <c r="E548" t="inlineStr">
        <is>
          <t>No</t>
        </is>
      </c>
      <c r="F548" t="inlineStr">
        <is>
          <t>No</t>
        </is>
      </c>
      <c r="G548">
        <f>IF(F548="Yes",1-B548,B548)</f>
        <v/>
      </c>
      <c r="H548">
        <f>IF(E548="Yes","",COUNTIFS($E$2:E548,"No"))</f>
        <v/>
      </c>
      <c r="I548">
        <f>IF(H548="","",IF(H548&lt;=128,"address",IF(H548&lt;=600,"data1",IF(H548&lt;=1264,"zero-run1",IF(H548&lt;=1648,"data2",IF(H548&lt;=2176,"zero-run2",IF(H548&lt;=2192,"FCS","trailing")))))))</f>
        <v/>
      </c>
      <c r="J548">
        <f>IFERROR(IF(AND(H548&lt;&gt;"",H548&gt;=129,H548&lt;=2176),INDEX(Fields!$B$2:$B$206,MATCH(H548-129,Fields!$D$2:$D$206,1)),""),"")</f>
        <v/>
      </c>
      <c r="K548">
        <f>IFERROR(IF(AND(H548&lt;&gt;"",H548&gt;=129,H548&lt;=2176),INDEX(Fields!$C$2:$C$206,MATCH(H548-129,Fields!$D$2:$D$206,1)),""),"")</f>
        <v/>
      </c>
      <c r="L548">
        <f>IFERROR(IF(AND(H548&lt;&gt;"",H548&gt;=129,H548&lt;=2176),INDEX(Fields!$J$2:$J$206,MATCH(H548-129,Fields!$D$2:$D$206,1)),""),"")</f>
        <v/>
      </c>
      <c r="M548">
        <f>IFERROR(IF(AND(H548&lt;&gt;"",H548&gt;=129,H548&lt;=2176),INDEX(Fields!$K$2:$K$206,MATCH(H548-129,Fields!$D$2:$D$206,1)),""),"")</f>
        <v/>
      </c>
    </row>
    <row r="549">
      <c r="A549" t="n">
        <v>547</v>
      </c>
      <c r="B549" t="n">
        <v>1</v>
      </c>
      <c r="C549" t="inlineStr">
        <is>
          <t>No</t>
        </is>
      </c>
      <c r="D549">
        <f>IF(AND(B544=1,B545=1,B546=1,B547=1,B548=1),"Yes","")</f>
        <v/>
      </c>
      <c r="E549" t="inlineStr">
        <is>
          <t>No</t>
        </is>
      </c>
      <c r="F549" t="inlineStr">
        <is>
          <t>No</t>
        </is>
      </c>
      <c r="G549">
        <f>IF(F549="Yes",1-B549,B549)</f>
        <v/>
      </c>
      <c r="H549">
        <f>IF(E549="Yes","",COUNTIFS($E$2:E549,"No"))</f>
        <v/>
      </c>
      <c r="I549">
        <f>IF(H549="","",IF(H549&lt;=128,"address",IF(H549&lt;=600,"data1",IF(H549&lt;=1264,"zero-run1",IF(H549&lt;=1648,"data2",IF(H549&lt;=2176,"zero-run2",IF(H549&lt;=2192,"FCS","trailing")))))))</f>
        <v/>
      </c>
      <c r="J549">
        <f>IFERROR(IF(AND(H549&lt;&gt;"",H549&gt;=129,H549&lt;=2176),INDEX(Fields!$B$2:$B$206,MATCH(H549-129,Fields!$D$2:$D$206,1)),""),"")</f>
        <v/>
      </c>
      <c r="K549">
        <f>IFERROR(IF(AND(H549&lt;&gt;"",H549&gt;=129,H549&lt;=2176),INDEX(Fields!$C$2:$C$206,MATCH(H549-129,Fields!$D$2:$D$206,1)),""),"")</f>
        <v/>
      </c>
      <c r="L549">
        <f>IFERROR(IF(AND(H549&lt;&gt;"",H549&gt;=129,H549&lt;=2176),INDEX(Fields!$J$2:$J$206,MATCH(H549-129,Fields!$D$2:$D$206,1)),""),"")</f>
        <v/>
      </c>
      <c r="M549">
        <f>IFERROR(IF(AND(H549&lt;&gt;"",H549&gt;=129,H549&lt;=2176),INDEX(Fields!$K$2:$K$206,MATCH(H549-129,Fields!$D$2:$D$206,1)),""),"")</f>
        <v/>
      </c>
    </row>
    <row r="550">
      <c r="A550" t="n">
        <v>548</v>
      </c>
      <c r="B550" t="n">
        <v>0</v>
      </c>
      <c r="C550" t="inlineStr">
        <is>
          <t>No</t>
        </is>
      </c>
      <c r="D550">
        <f>IF(AND(B545=1,B546=1,B547=1,B548=1,B549=1),"Yes","")</f>
        <v/>
      </c>
      <c r="E550" t="inlineStr">
        <is>
          <t>No</t>
        </is>
      </c>
      <c r="F550" t="inlineStr">
        <is>
          <t>No</t>
        </is>
      </c>
      <c r="G550">
        <f>IF(F550="Yes",1-B550,B550)</f>
        <v/>
      </c>
      <c r="H550">
        <f>IF(E550="Yes","",COUNTIFS($E$2:E550,"No"))</f>
        <v/>
      </c>
      <c r="I550">
        <f>IF(H550="","",IF(H550&lt;=128,"address",IF(H550&lt;=600,"data1",IF(H550&lt;=1264,"zero-run1",IF(H550&lt;=1648,"data2",IF(H550&lt;=2176,"zero-run2",IF(H550&lt;=2192,"FCS","trailing")))))))</f>
        <v/>
      </c>
      <c r="J550">
        <f>IFERROR(IF(AND(H550&lt;&gt;"",H550&gt;=129,H550&lt;=2176),INDEX(Fields!$B$2:$B$206,MATCH(H550-129,Fields!$D$2:$D$206,1)),""),"")</f>
        <v/>
      </c>
      <c r="K550">
        <f>IFERROR(IF(AND(H550&lt;&gt;"",H550&gt;=129,H550&lt;=2176),INDEX(Fields!$C$2:$C$206,MATCH(H550-129,Fields!$D$2:$D$206,1)),""),"")</f>
        <v/>
      </c>
      <c r="L550">
        <f>IFERROR(IF(AND(H550&lt;&gt;"",H550&gt;=129,H550&lt;=2176),INDEX(Fields!$J$2:$J$206,MATCH(H550-129,Fields!$D$2:$D$206,1)),""),"")</f>
        <v/>
      </c>
      <c r="M550">
        <f>IFERROR(IF(AND(H550&lt;&gt;"",H550&gt;=129,H550&lt;=2176),INDEX(Fields!$K$2:$K$206,MATCH(H550-129,Fields!$D$2:$D$206,1)),""),"")</f>
        <v/>
      </c>
    </row>
    <row r="551">
      <c r="A551" t="n">
        <v>549</v>
      </c>
      <c r="B551" t="n">
        <v>0</v>
      </c>
      <c r="C551" t="inlineStr">
        <is>
          <t>No</t>
        </is>
      </c>
      <c r="D551">
        <f>IF(AND(B546=1,B547=1,B548=1,B549=1,B550=1),"Yes","")</f>
        <v/>
      </c>
      <c r="E551" t="inlineStr">
        <is>
          <t>No</t>
        </is>
      </c>
      <c r="F551" t="inlineStr">
        <is>
          <t>No</t>
        </is>
      </c>
      <c r="G551">
        <f>IF(F551="Yes",1-B551,B551)</f>
        <v/>
      </c>
      <c r="H551">
        <f>IF(E551="Yes","",COUNTIFS($E$2:E551,"No"))</f>
        <v/>
      </c>
      <c r="I551">
        <f>IF(H551="","",IF(H551&lt;=128,"address",IF(H551&lt;=600,"data1",IF(H551&lt;=1264,"zero-run1",IF(H551&lt;=1648,"data2",IF(H551&lt;=2176,"zero-run2",IF(H551&lt;=2192,"FCS","trailing")))))))</f>
        <v/>
      </c>
      <c r="J551">
        <f>IFERROR(IF(AND(H551&lt;&gt;"",H551&gt;=129,H551&lt;=2176),INDEX(Fields!$B$2:$B$206,MATCH(H551-129,Fields!$D$2:$D$206,1)),""),"")</f>
        <v/>
      </c>
      <c r="K551">
        <f>IFERROR(IF(AND(H551&lt;&gt;"",H551&gt;=129,H551&lt;=2176),INDEX(Fields!$C$2:$C$206,MATCH(H551-129,Fields!$D$2:$D$206,1)),""),"")</f>
        <v/>
      </c>
      <c r="L551">
        <f>IFERROR(IF(AND(H551&lt;&gt;"",H551&gt;=129,H551&lt;=2176),INDEX(Fields!$J$2:$J$206,MATCH(H551-129,Fields!$D$2:$D$206,1)),""),"")</f>
        <v/>
      </c>
      <c r="M551">
        <f>IFERROR(IF(AND(H551&lt;&gt;"",H551&gt;=129,H551&lt;=2176),INDEX(Fields!$K$2:$K$206,MATCH(H551-129,Fields!$D$2:$D$206,1)),""),"")</f>
        <v/>
      </c>
    </row>
    <row r="552">
      <c r="A552" t="n">
        <v>550</v>
      </c>
      <c r="B552" t="n">
        <v>0</v>
      </c>
      <c r="C552" t="inlineStr">
        <is>
          <t>No</t>
        </is>
      </c>
      <c r="D552">
        <f>IF(AND(B547=1,B548=1,B549=1,B550=1,B551=1),"Yes","")</f>
        <v/>
      </c>
      <c r="E552" t="inlineStr">
        <is>
          <t>No</t>
        </is>
      </c>
      <c r="F552" t="inlineStr">
        <is>
          <t>No</t>
        </is>
      </c>
      <c r="G552">
        <f>IF(F552="Yes",1-B552,B552)</f>
        <v/>
      </c>
      <c r="H552">
        <f>IF(E552="Yes","",COUNTIFS($E$2:E552,"No"))</f>
        <v/>
      </c>
      <c r="I552">
        <f>IF(H552="","",IF(H552&lt;=128,"address",IF(H552&lt;=600,"data1",IF(H552&lt;=1264,"zero-run1",IF(H552&lt;=1648,"data2",IF(H552&lt;=2176,"zero-run2",IF(H552&lt;=2192,"FCS","trailing")))))))</f>
        <v/>
      </c>
      <c r="J552">
        <f>IFERROR(IF(AND(H552&lt;&gt;"",H552&gt;=129,H552&lt;=2176),INDEX(Fields!$B$2:$B$206,MATCH(H552-129,Fields!$D$2:$D$206,1)),""),"")</f>
        <v/>
      </c>
      <c r="K552">
        <f>IFERROR(IF(AND(H552&lt;&gt;"",H552&gt;=129,H552&lt;=2176),INDEX(Fields!$C$2:$C$206,MATCH(H552-129,Fields!$D$2:$D$206,1)),""),"")</f>
        <v/>
      </c>
      <c r="L552">
        <f>IFERROR(IF(AND(H552&lt;&gt;"",H552&gt;=129,H552&lt;=2176),INDEX(Fields!$J$2:$J$206,MATCH(H552-129,Fields!$D$2:$D$206,1)),""),"")</f>
        <v/>
      </c>
      <c r="M552">
        <f>IFERROR(IF(AND(H552&lt;&gt;"",H552&gt;=129,H552&lt;=2176),INDEX(Fields!$K$2:$K$206,MATCH(H552-129,Fields!$D$2:$D$206,1)),""),"")</f>
        <v/>
      </c>
    </row>
    <row r="553">
      <c r="A553" t="n">
        <v>551</v>
      </c>
      <c r="B553" t="n">
        <v>0</v>
      </c>
      <c r="C553" t="inlineStr">
        <is>
          <t>No</t>
        </is>
      </c>
      <c r="D553">
        <f>IF(AND(B548=1,B549=1,B550=1,B551=1,B552=1),"Yes","")</f>
        <v/>
      </c>
      <c r="E553" t="inlineStr">
        <is>
          <t>No</t>
        </is>
      </c>
      <c r="F553" t="inlineStr">
        <is>
          <t>No</t>
        </is>
      </c>
      <c r="G553">
        <f>IF(F553="Yes",1-B553,B553)</f>
        <v/>
      </c>
      <c r="H553">
        <f>IF(E553="Yes","",COUNTIFS($E$2:E553,"No"))</f>
        <v/>
      </c>
      <c r="I553">
        <f>IF(H553="","",IF(H553&lt;=128,"address",IF(H553&lt;=600,"data1",IF(H553&lt;=1264,"zero-run1",IF(H553&lt;=1648,"data2",IF(H553&lt;=2176,"zero-run2",IF(H553&lt;=2192,"FCS","trailing")))))))</f>
        <v/>
      </c>
      <c r="J553">
        <f>IFERROR(IF(AND(H553&lt;&gt;"",H553&gt;=129,H553&lt;=2176),INDEX(Fields!$B$2:$B$206,MATCH(H553-129,Fields!$D$2:$D$206,1)),""),"")</f>
        <v/>
      </c>
      <c r="K553">
        <f>IFERROR(IF(AND(H553&lt;&gt;"",H553&gt;=129,H553&lt;=2176),INDEX(Fields!$C$2:$C$206,MATCH(H553-129,Fields!$D$2:$D$206,1)),""),"")</f>
        <v/>
      </c>
      <c r="L553">
        <f>IFERROR(IF(AND(H553&lt;&gt;"",H553&gt;=129,H553&lt;=2176),INDEX(Fields!$J$2:$J$206,MATCH(H553-129,Fields!$D$2:$D$206,1)),""),"")</f>
        <v/>
      </c>
      <c r="M553">
        <f>IFERROR(IF(AND(H553&lt;&gt;"",H553&gt;=129,H553&lt;=2176),INDEX(Fields!$K$2:$K$206,MATCH(H553-129,Fields!$D$2:$D$206,1)),""),"")</f>
        <v/>
      </c>
    </row>
    <row r="554">
      <c r="A554" t="n">
        <v>552</v>
      </c>
      <c r="B554" t="n">
        <v>1</v>
      </c>
      <c r="C554" t="inlineStr">
        <is>
          <t>No</t>
        </is>
      </c>
      <c r="D554">
        <f>IF(AND(B549=1,B550=1,B551=1,B552=1,B553=1),"Yes","")</f>
        <v/>
      </c>
      <c r="E554" t="inlineStr">
        <is>
          <t>No</t>
        </is>
      </c>
      <c r="F554" t="inlineStr">
        <is>
          <t>No</t>
        </is>
      </c>
      <c r="G554">
        <f>IF(F554="Yes",1-B554,B554)</f>
        <v/>
      </c>
      <c r="H554">
        <f>IF(E554="Yes","",COUNTIFS($E$2:E554,"No"))</f>
        <v/>
      </c>
      <c r="I554">
        <f>IF(H554="","",IF(H554&lt;=128,"address",IF(H554&lt;=600,"data1",IF(H554&lt;=1264,"zero-run1",IF(H554&lt;=1648,"data2",IF(H554&lt;=2176,"zero-run2",IF(H554&lt;=2192,"FCS","trailing")))))))</f>
        <v/>
      </c>
      <c r="J554">
        <f>IFERROR(IF(AND(H554&lt;&gt;"",H554&gt;=129,H554&lt;=2176),INDEX(Fields!$B$2:$B$206,MATCH(H554-129,Fields!$D$2:$D$206,1)),""),"")</f>
        <v/>
      </c>
      <c r="K554">
        <f>IFERROR(IF(AND(H554&lt;&gt;"",H554&gt;=129,H554&lt;=2176),INDEX(Fields!$C$2:$C$206,MATCH(H554-129,Fields!$D$2:$D$206,1)),""),"")</f>
        <v/>
      </c>
      <c r="L554">
        <f>IFERROR(IF(AND(H554&lt;&gt;"",H554&gt;=129,H554&lt;=2176),INDEX(Fields!$J$2:$J$206,MATCH(H554-129,Fields!$D$2:$D$206,1)),""),"")</f>
        <v/>
      </c>
      <c r="M554">
        <f>IFERROR(IF(AND(H554&lt;&gt;"",H554&gt;=129,H554&lt;=2176),INDEX(Fields!$K$2:$K$206,MATCH(H554-129,Fields!$D$2:$D$206,1)),""),"")</f>
        <v/>
      </c>
    </row>
    <row r="555">
      <c r="A555" t="n">
        <v>553</v>
      </c>
      <c r="B555" t="n">
        <v>1</v>
      </c>
      <c r="C555" t="inlineStr">
        <is>
          <t>No</t>
        </is>
      </c>
      <c r="D555">
        <f>IF(AND(B550=1,B551=1,B552=1,B553=1,B554=1),"Yes","")</f>
        <v/>
      </c>
      <c r="E555" t="inlineStr">
        <is>
          <t>No</t>
        </is>
      </c>
      <c r="F555" t="inlineStr">
        <is>
          <t>No</t>
        </is>
      </c>
      <c r="G555">
        <f>IF(F555="Yes",1-B555,B555)</f>
        <v/>
      </c>
      <c r="H555">
        <f>IF(E555="Yes","",COUNTIFS($E$2:E555,"No"))</f>
        <v/>
      </c>
      <c r="I555">
        <f>IF(H555="","",IF(H555&lt;=128,"address",IF(H555&lt;=600,"data1",IF(H555&lt;=1264,"zero-run1",IF(H555&lt;=1648,"data2",IF(H555&lt;=2176,"zero-run2",IF(H555&lt;=2192,"FCS","trailing")))))))</f>
        <v/>
      </c>
      <c r="J555">
        <f>IFERROR(IF(AND(H555&lt;&gt;"",H555&gt;=129,H555&lt;=2176),INDEX(Fields!$B$2:$B$206,MATCH(H555-129,Fields!$D$2:$D$206,1)),""),"")</f>
        <v/>
      </c>
      <c r="K555">
        <f>IFERROR(IF(AND(H555&lt;&gt;"",H555&gt;=129,H555&lt;=2176),INDEX(Fields!$C$2:$C$206,MATCH(H555-129,Fields!$D$2:$D$206,1)),""),"")</f>
        <v/>
      </c>
      <c r="L555">
        <f>IFERROR(IF(AND(H555&lt;&gt;"",H555&gt;=129,H555&lt;=2176),INDEX(Fields!$J$2:$J$206,MATCH(H555-129,Fields!$D$2:$D$206,1)),""),"")</f>
        <v/>
      </c>
      <c r="M555">
        <f>IFERROR(IF(AND(H555&lt;&gt;"",H555&gt;=129,H555&lt;=2176),INDEX(Fields!$K$2:$K$206,MATCH(H555-129,Fields!$D$2:$D$206,1)),""),"")</f>
        <v/>
      </c>
    </row>
    <row r="556">
      <c r="A556" t="n">
        <v>554</v>
      </c>
      <c r="B556" t="n">
        <v>0</v>
      </c>
      <c r="C556" t="inlineStr">
        <is>
          <t>No</t>
        </is>
      </c>
      <c r="D556">
        <f>IF(AND(B551=1,B552=1,B553=1,B554=1,B555=1),"Yes","")</f>
        <v/>
      </c>
      <c r="E556" t="inlineStr">
        <is>
          <t>No</t>
        </is>
      </c>
      <c r="F556" t="inlineStr">
        <is>
          <t>No</t>
        </is>
      </c>
      <c r="G556">
        <f>IF(F556="Yes",1-B556,B556)</f>
        <v/>
      </c>
      <c r="H556">
        <f>IF(E556="Yes","",COUNTIFS($E$2:E556,"No"))</f>
        <v/>
      </c>
      <c r="I556">
        <f>IF(H556="","",IF(H556&lt;=128,"address",IF(H556&lt;=600,"data1",IF(H556&lt;=1264,"zero-run1",IF(H556&lt;=1648,"data2",IF(H556&lt;=2176,"zero-run2",IF(H556&lt;=2192,"FCS","trailing")))))))</f>
        <v/>
      </c>
      <c r="J556">
        <f>IFERROR(IF(AND(H556&lt;&gt;"",H556&gt;=129,H556&lt;=2176),INDEX(Fields!$B$2:$B$206,MATCH(H556-129,Fields!$D$2:$D$206,1)),""),"")</f>
        <v/>
      </c>
      <c r="K556">
        <f>IFERROR(IF(AND(H556&lt;&gt;"",H556&gt;=129,H556&lt;=2176),INDEX(Fields!$C$2:$C$206,MATCH(H556-129,Fields!$D$2:$D$206,1)),""),"")</f>
        <v/>
      </c>
      <c r="L556">
        <f>IFERROR(IF(AND(H556&lt;&gt;"",H556&gt;=129,H556&lt;=2176),INDEX(Fields!$J$2:$J$206,MATCH(H556-129,Fields!$D$2:$D$206,1)),""),"")</f>
        <v/>
      </c>
      <c r="M556">
        <f>IFERROR(IF(AND(H556&lt;&gt;"",H556&gt;=129,H556&lt;=2176),INDEX(Fields!$K$2:$K$206,MATCH(H556-129,Fields!$D$2:$D$206,1)),""),"")</f>
        <v/>
      </c>
    </row>
    <row r="557">
      <c r="A557" t="n">
        <v>555</v>
      </c>
      <c r="B557" t="n">
        <v>1</v>
      </c>
      <c r="C557" t="inlineStr">
        <is>
          <t>No</t>
        </is>
      </c>
      <c r="D557">
        <f>IF(AND(B552=1,B553=1,B554=1,B555=1,B556=1),"Yes","")</f>
        <v/>
      </c>
      <c r="E557" t="inlineStr">
        <is>
          <t>No</t>
        </is>
      </c>
      <c r="F557" t="inlineStr">
        <is>
          <t>No</t>
        </is>
      </c>
      <c r="G557">
        <f>IF(F557="Yes",1-B557,B557)</f>
        <v/>
      </c>
      <c r="H557">
        <f>IF(E557="Yes","",COUNTIFS($E$2:E557,"No"))</f>
        <v/>
      </c>
      <c r="I557">
        <f>IF(H557="","",IF(H557&lt;=128,"address",IF(H557&lt;=600,"data1",IF(H557&lt;=1264,"zero-run1",IF(H557&lt;=1648,"data2",IF(H557&lt;=2176,"zero-run2",IF(H557&lt;=2192,"FCS","trailing")))))))</f>
        <v/>
      </c>
      <c r="J557">
        <f>IFERROR(IF(AND(H557&lt;&gt;"",H557&gt;=129,H557&lt;=2176),INDEX(Fields!$B$2:$B$206,MATCH(H557-129,Fields!$D$2:$D$206,1)),""),"")</f>
        <v/>
      </c>
      <c r="K557">
        <f>IFERROR(IF(AND(H557&lt;&gt;"",H557&gt;=129,H557&lt;=2176),INDEX(Fields!$C$2:$C$206,MATCH(H557-129,Fields!$D$2:$D$206,1)),""),"")</f>
        <v/>
      </c>
      <c r="L557">
        <f>IFERROR(IF(AND(H557&lt;&gt;"",H557&gt;=129,H557&lt;=2176),INDEX(Fields!$J$2:$J$206,MATCH(H557-129,Fields!$D$2:$D$206,1)),""),"")</f>
        <v/>
      </c>
      <c r="M557">
        <f>IFERROR(IF(AND(H557&lt;&gt;"",H557&gt;=129,H557&lt;=2176),INDEX(Fields!$K$2:$K$206,MATCH(H557-129,Fields!$D$2:$D$206,1)),""),"")</f>
        <v/>
      </c>
    </row>
    <row r="558">
      <c r="A558" t="n">
        <v>556</v>
      </c>
      <c r="B558" t="n">
        <v>1</v>
      </c>
      <c r="C558" t="inlineStr">
        <is>
          <t>No</t>
        </is>
      </c>
      <c r="D558">
        <f>IF(AND(B553=1,B554=1,B555=1,B556=1,B557=1),"Yes","")</f>
        <v/>
      </c>
      <c r="E558" t="inlineStr">
        <is>
          <t>No</t>
        </is>
      </c>
      <c r="F558" t="inlineStr">
        <is>
          <t>No</t>
        </is>
      </c>
      <c r="G558">
        <f>IF(F558="Yes",1-B558,B558)</f>
        <v/>
      </c>
      <c r="H558">
        <f>IF(E558="Yes","",COUNTIFS($E$2:E558,"No"))</f>
        <v/>
      </c>
      <c r="I558">
        <f>IF(H558="","",IF(H558&lt;=128,"address",IF(H558&lt;=600,"data1",IF(H558&lt;=1264,"zero-run1",IF(H558&lt;=1648,"data2",IF(H558&lt;=2176,"zero-run2",IF(H558&lt;=2192,"FCS","trailing")))))))</f>
        <v/>
      </c>
      <c r="J558">
        <f>IFERROR(IF(AND(H558&lt;&gt;"",H558&gt;=129,H558&lt;=2176),INDEX(Fields!$B$2:$B$206,MATCH(H558-129,Fields!$D$2:$D$206,1)),""),"")</f>
        <v/>
      </c>
      <c r="K558">
        <f>IFERROR(IF(AND(H558&lt;&gt;"",H558&gt;=129,H558&lt;=2176),INDEX(Fields!$C$2:$C$206,MATCH(H558-129,Fields!$D$2:$D$206,1)),""),"")</f>
        <v/>
      </c>
      <c r="L558">
        <f>IFERROR(IF(AND(H558&lt;&gt;"",H558&gt;=129,H558&lt;=2176),INDEX(Fields!$J$2:$J$206,MATCH(H558-129,Fields!$D$2:$D$206,1)),""),"")</f>
        <v/>
      </c>
      <c r="M558">
        <f>IFERROR(IF(AND(H558&lt;&gt;"",H558&gt;=129,H558&lt;=2176),INDEX(Fields!$K$2:$K$206,MATCH(H558-129,Fields!$D$2:$D$206,1)),""),"")</f>
        <v/>
      </c>
    </row>
    <row r="559">
      <c r="A559" t="n">
        <v>557</v>
      </c>
      <c r="B559" t="n">
        <v>1</v>
      </c>
      <c r="C559" t="inlineStr">
        <is>
          <t>No</t>
        </is>
      </c>
      <c r="D559">
        <f>IF(AND(B554=1,B555=1,B556=1,B557=1,B558=1),"Yes","")</f>
        <v/>
      </c>
      <c r="E559" t="inlineStr">
        <is>
          <t>No</t>
        </is>
      </c>
      <c r="F559" t="inlineStr">
        <is>
          <t>No</t>
        </is>
      </c>
      <c r="G559">
        <f>IF(F559="Yes",1-B559,B559)</f>
        <v/>
      </c>
      <c r="H559">
        <f>IF(E559="Yes","",COUNTIFS($E$2:E559,"No"))</f>
        <v/>
      </c>
      <c r="I559">
        <f>IF(H559="","",IF(H559&lt;=128,"address",IF(H559&lt;=600,"data1",IF(H559&lt;=1264,"zero-run1",IF(H559&lt;=1648,"data2",IF(H559&lt;=2176,"zero-run2",IF(H559&lt;=2192,"FCS","trailing")))))))</f>
        <v/>
      </c>
      <c r="J559">
        <f>IFERROR(IF(AND(H559&lt;&gt;"",H559&gt;=129,H559&lt;=2176),INDEX(Fields!$B$2:$B$206,MATCH(H559-129,Fields!$D$2:$D$206,1)),""),"")</f>
        <v/>
      </c>
      <c r="K559">
        <f>IFERROR(IF(AND(H559&lt;&gt;"",H559&gt;=129,H559&lt;=2176),INDEX(Fields!$C$2:$C$206,MATCH(H559-129,Fields!$D$2:$D$206,1)),""),"")</f>
        <v/>
      </c>
      <c r="L559">
        <f>IFERROR(IF(AND(H559&lt;&gt;"",H559&gt;=129,H559&lt;=2176),INDEX(Fields!$J$2:$J$206,MATCH(H559-129,Fields!$D$2:$D$206,1)),""),"")</f>
        <v/>
      </c>
      <c r="M559">
        <f>IFERROR(IF(AND(H559&lt;&gt;"",H559&gt;=129,H559&lt;=2176),INDEX(Fields!$K$2:$K$206,MATCH(H559-129,Fields!$D$2:$D$206,1)),""),"")</f>
        <v/>
      </c>
    </row>
    <row r="560">
      <c r="A560" t="n">
        <v>558</v>
      </c>
      <c r="B560" t="n">
        <v>0</v>
      </c>
      <c r="C560" t="inlineStr">
        <is>
          <t>No</t>
        </is>
      </c>
      <c r="D560">
        <f>IF(AND(B555=1,B556=1,B557=1,B558=1,B559=1),"Yes","")</f>
        <v/>
      </c>
      <c r="E560" t="inlineStr">
        <is>
          <t>No</t>
        </is>
      </c>
      <c r="F560" t="inlineStr">
        <is>
          <t>No</t>
        </is>
      </c>
      <c r="G560">
        <f>IF(F560="Yes",1-B560,B560)</f>
        <v/>
      </c>
      <c r="H560">
        <f>IF(E560="Yes","",COUNTIFS($E$2:E560,"No"))</f>
        <v/>
      </c>
      <c r="I560">
        <f>IF(H560="","",IF(H560&lt;=128,"address",IF(H560&lt;=600,"data1",IF(H560&lt;=1264,"zero-run1",IF(H560&lt;=1648,"data2",IF(H560&lt;=2176,"zero-run2",IF(H560&lt;=2192,"FCS","trailing")))))))</f>
        <v/>
      </c>
      <c r="J560">
        <f>IFERROR(IF(AND(H560&lt;&gt;"",H560&gt;=129,H560&lt;=2176),INDEX(Fields!$B$2:$B$206,MATCH(H560-129,Fields!$D$2:$D$206,1)),""),"")</f>
        <v/>
      </c>
      <c r="K560">
        <f>IFERROR(IF(AND(H560&lt;&gt;"",H560&gt;=129,H560&lt;=2176),INDEX(Fields!$C$2:$C$206,MATCH(H560-129,Fields!$D$2:$D$206,1)),""),"")</f>
        <v/>
      </c>
      <c r="L560">
        <f>IFERROR(IF(AND(H560&lt;&gt;"",H560&gt;=129,H560&lt;=2176),INDEX(Fields!$J$2:$J$206,MATCH(H560-129,Fields!$D$2:$D$206,1)),""),"")</f>
        <v/>
      </c>
      <c r="M560">
        <f>IFERROR(IF(AND(H560&lt;&gt;"",H560&gt;=129,H560&lt;=2176),INDEX(Fields!$K$2:$K$206,MATCH(H560-129,Fields!$D$2:$D$206,1)),""),"")</f>
        <v/>
      </c>
    </row>
    <row r="561">
      <c r="A561" t="n">
        <v>559</v>
      </c>
      <c r="B561" t="n">
        <v>1</v>
      </c>
      <c r="C561" t="inlineStr">
        <is>
          <t>No</t>
        </is>
      </c>
      <c r="D561">
        <f>IF(AND(B556=1,B557=1,B558=1,B559=1,B560=1),"Yes","")</f>
        <v/>
      </c>
      <c r="E561" t="inlineStr">
        <is>
          <t>No</t>
        </is>
      </c>
      <c r="F561" t="inlineStr">
        <is>
          <t>No</t>
        </is>
      </c>
      <c r="G561">
        <f>IF(F561="Yes",1-B561,B561)</f>
        <v/>
      </c>
      <c r="H561">
        <f>IF(E561="Yes","",COUNTIFS($E$2:E561,"No"))</f>
        <v/>
      </c>
      <c r="I561">
        <f>IF(H561="","",IF(H561&lt;=128,"address",IF(H561&lt;=600,"data1",IF(H561&lt;=1264,"zero-run1",IF(H561&lt;=1648,"data2",IF(H561&lt;=2176,"zero-run2",IF(H561&lt;=2192,"FCS","trailing")))))))</f>
        <v/>
      </c>
      <c r="J561">
        <f>IFERROR(IF(AND(H561&lt;&gt;"",H561&gt;=129,H561&lt;=2176),INDEX(Fields!$B$2:$B$206,MATCH(H561-129,Fields!$D$2:$D$206,1)),""),"")</f>
        <v/>
      </c>
      <c r="K561">
        <f>IFERROR(IF(AND(H561&lt;&gt;"",H561&gt;=129,H561&lt;=2176),INDEX(Fields!$C$2:$C$206,MATCH(H561-129,Fields!$D$2:$D$206,1)),""),"")</f>
        <v/>
      </c>
      <c r="L561">
        <f>IFERROR(IF(AND(H561&lt;&gt;"",H561&gt;=129,H561&lt;=2176),INDEX(Fields!$J$2:$J$206,MATCH(H561-129,Fields!$D$2:$D$206,1)),""),"")</f>
        <v/>
      </c>
      <c r="M561">
        <f>IFERROR(IF(AND(H561&lt;&gt;"",H561&gt;=129,H561&lt;=2176),INDEX(Fields!$K$2:$K$206,MATCH(H561-129,Fields!$D$2:$D$206,1)),""),"")</f>
        <v/>
      </c>
    </row>
    <row r="562">
      <c r="A562" t="n">
        <v>560</v>
      </c>
      <c r="B562" t="n">
        <v>0</v>
      </c>
      <c r="C562" t="inlineStr">
        <is>
          <t>No</t>
        </is>
      </c>
      <c r="D562">
        <f>IF(AND(B557=1,B558=1,B559=1,B560=1,B561=1),"Yes","")</f>
        <v/>
      </c>
      <c r="E562" t="inlineStr">
        <is>
          <t>No</t>
        </is>
      </c>
      <c r="F562" t="inlineStr">
        <is>
          <t>No</t>
        </is>
      </c>
      <c r="G562">
        <f>IF(F562="Yes",1-B562,B562)</f>
        <v/>
      </c>
      <c r="H562">
        <f>IF(E562="Yes","",COUNTIFS($E$2:E562,"No"))</f>
        <v/>
      </c>
      <c r="I562">
        <f>IF(H562="","",IF(H562&lt;=128,"address",IF(H562&lt;=600,"data1",IF(H562&lt;=1264,"zero-run1",IF(H562&lt;=1648,"data2",IF(H562&lt;=2176,"zero-run2",IF(H562&lt;=2192,"FCS","trailing")))))))</f>
        <v/>
      </c>
      <c r="J562">
        <f>IFERROR(IF(AND(H562&lt;&gt;"",H562&gt;=129,H562&lt;=2176),INDEX(Fields!$B$2:$B$206,MATCH(H562-129,Fields!$D$2:$D$206,1)),""),"")</f>
        <v/>
      </c>
      <c r="K562">
        <f>IFERROR(IF(AND(H562&lt;&gt;"",H562&gt;=129,H562&lt;=2176),INDEX(Fields!$C$2:$C$206,MATCH(H562-129,Fields!$D$2:$D$206,1)),""),"")</f>
        <v/>
      </c>
      <c r="L562">
        <f>IFERROR(IF(AND(H562&lt;&gt;"",H562&gt;=129,H562&lt;=2176),INDEX(Fields!$J$2:$J$206,MATCH(H562-129,Fields!$D$2:$D$206,1)),""),"")</f>
        <v/>
      </c>
      <c r="M562">
        <f>IFERROR(IF(AND(H562&lt;&gt;"",H562&gt;=129,H562&lt;=2176),INDEX(Fields!$K$2:$K$206,MATCH(H562-129,Fields!$D$2:$D$206,1)),""),"")</f>
        <v/>
      </c>
    </row>
    <row r="563">
      <c r="A563" t="n">
        <v>561</v>
      </c>
      <c r="B563" t="n">
        <v>1</v>
      </c>
      <c r="C563" t="inlineStr">
        <is>
          <t>No</t>
        </is>
      </c>
      <c r="D563">
        <f>IF(AND(B558=1,B559=1,B560=1,B561=1,B562=1),"Yes","")</f>
        <v/>
      </c>
      <c r="E563" t="inlineStr">
        <is>
          <t>No</t>
        </is>
      </c>
      <c r="F563" t="inlineStr">
        <is>
          <t>No</t>
        </is>
      </c>
      <c r="G563">
        <f>IF(F563="Yes",1-B563,B563)</f>
        <v/>
      </c>
      <c r="H563">
        <f>IF(E563="Yes","",COUNTIFS($E$2:E563,"No"))</f>
        <v/>
      </c>
      <c r="I563">
        <f>IF(H563="","",IF(H563&lt;=128,"address",IF(H563&lt;=600,"data1",IF(H563&lt;=1264,"zero-run1",IF(H563&lt;=1648,"data2",IF(H563&lt;=2176,"zero-run2",IF(H563&lt;=2192,"FCS","trailing")))))))</f>
        <v/>
      </c>
      <c r="J563">
        <f>IFERROR(IF(AND(H563&lt;&gt;"",H563&gt;=129,H563&lt;=2176),INDEX(Fields!$B$2:$B$206,MATCH(H563-129,Fields!$D$2:$D$206,1)),""),"")</f>
        <v/>
      </c>
      <c r="K563">
        <f>IFERROR(IF(AND(H563&lt;&gt;"",H563&gt;=129,H563&lt;=2176),INDEX(Fields!$C$2:$C$206,MATCH(H563-129,Fields!$D$2:$D$206,1)),""),"")</f>
        <v/>
      </c>
      <c r="L563">
        <f>IFERROR(IF(AND(H563&lt;&gt;"",H563&gt;=129,H563&lt;=2176),INDEX(Fields!$J$2:$J$206,MATCH(H563-129,Fields!$D$2:$D$206,1)),""),"")</f>
        <v/>
      </c>
      <c r="M563">
        <f>IFERROR(IF(AND(H563&lt;&gt;"",H563&gt;=129,H563&lt;=2176),INDEX(Fields!$K$2:$K$206,MATCH(H563-129,Fields!$D$2:$D$206,1)),""),"")</f>
        <v/>
      </c>
    </row>
    <row r="564">
      <c r="A564" t="n">
        <v>562</v>
      </c>
      <c r="B564" t="n">
        <v>1</v>
      </c>
      <c r="C564" t="inlineStr">
        <is>
          <t>No</t>
        </is>
      </c>
      <c r="D564">
        <f>IF(AND(B559=1,B560=1,B561=1,B562=1,B563=1),"Yes","")</f>
        <v/>
      </c>
      <c r="E564" t="inlineStr">
        <is>
          <t>No</t>
        </is>
      </c>
      <c r="F564" t="inlineStr">
        <is>
          <t>No</t>
        </is>
      </c>
      <c r="G564">
        <f>IF(F564="Yes",1-B564,B564)</f>
        <v/>
      </c>
      <c r="H564">
        <f>IF(E564="Yes","",COUNTIFS($E$2:E564,"No"))</f>
        <v/>
      </c>
      <c r="I564">
        <f>IF(H564="","",IF(H564&lt;=128,"address",IF(H564&lt;=600,"data1",IF(H564&lt;=1264,"zero-run1",IF(H564&lt;=1648,"data2",IF(H564&lt;=2176,"zero-run2",IF(H564&lt;=2192,"FCS","trailing")))))))</f>
        <v/>
      </c>
      <c r="J564">
        <f>IFERROR(IF(AND(H564&lt;&gt;"",H564&gt;=129,H564&lt;=2176),INDEX(Fields!$B$2:$B$206,MATCH(H564-129,Fields!$D$2:$D$206,1)),""),"")</f>
        <v/>
      </c>
      <c r="K564">
        <f>IFERROR(IF(AND(H564&lt;&gt;"",H564&gt;=129,H564&lt;=2176),INDEX(Fields!$C$2:$C$206,MATCH(H564-129,Fields!$D$2:$D$206,1)),""),"")</f>
        <v/>
      </c>
      <c r="L564">
        <f>IFERROR(IF(AND(H564&lt;&gt;"",H564&gt;=129,H564&lt;=2176),INDEX(Fields!$J$2:$J$206,MATCH(H564-129,Fields!$D$2:$D$206,1)),""),"")</f>
        <v/>
      </c>
      <c r="M564">
        <f>IFERROR(IF(AND(H564&lt;&gt;"",H564&gt;=129,H564&lt;=2176),INDEX(Fields!$K$2:$K$206,MATCH(H564-129,Fields!$D$2:$D$206,1)),""),"")</f>
        <v/>
      </c>
    </row>
    <row r="565">
      <c r="A565" t="n">
        <v>563</v>
      </c>
      <c r="B565" t="n">
        <v>0</v>
      </c>
      <c r="C565" t="inlineStr">
        <is>
          <t>No</t>
        </is>
      </c>
      <c r="D565">
        <f>IF(AND(B560=1,B561=1,B562=1,B563=1,B564=1),"Yes","")</f>
        <v/>
      </c>
      <c r="E565" t="inlineStr">
        <is>
          <t>No</t>
        </is>
      </c>
      <c r="F565" t="inlineStr">
        <is>
          <t>No</t>
        </is>
      </c>
      <c r="G565">
        <f>IF(F565="Yes",1-B565,B565)</f>
        <v/>
      </c>
      <c r="H565">
        <f>IF(E565="Yes","",COUNTIFS($E$2:E565,"No"))</f>
        <v/>
      </c>
      <c r="I565">
        <f>IF(H565="","",IF(H565&lt;=128,"address",IF(H565&lt;=600,"data1",IF(H565&lt;=1264,"zero-run1",IF(H565&lt;=1648,"data2",IF(H565&lt;=2176,"zero-run2",IF(H565&lt;=2192,"FCS","trailing")))))))</f>
        <v/>
      </c>
      <c r="J565">
        <f>IFERROR(IF(AND(H565&lt;&gt;"",H565&gt;=129,H565&lt;=2176),INDEX(Fields!$B$2:$B$206,MATCH(H565-129,Fields!$D$2:$D$206,1)),""),"")</f>
        <v/>
      </c>
      <c r="K565">
        <f>IFERROR(IF(AND(H565&lt;&gt;"",H565&gt;=129,H565&lt;=2176),INDEX(Fields!$C$2:$C$206,MATCH(H565-129,Fields!$D$2:$D$206,1)),""),"")</f>
        <v/>
      </c>
      <c r="L565">
        <f>IFERROR(IF(AND(H565&lt;&gt;"",H565&gt;=129,H565&lt;=2176),INDEX(Fields!$J$2:$J$206,MATCH(H565-129,Fields!$D$2:$D$206,1)),""),"")</f>
        <v/>
      </c>
      <c r="M565">
        <f>IFERROR(IF(AND(H565&lt;&gt;"",H565&gt;=129,H565&lt;=2176),INDEX(Fields!$K$2:$K$206,MATCH(H565-129,Fields!$D$2:$D$206,1)),""),"")</f>
        <v/>
      </c>
    </row>
    <row r="566">
      <c r="A566" t="n">
        <v>564</v>
      </c>
      <c r="B566" t="n">
        <v>1</v>
      </c>
      <c r="C566" t="inlineStr">
        <is>
          <t>No</t>
        </is>
      </c>
      <c r="D566">
        <f>IF(AND(B561=1,B562=1,B563=1,B564=1,B565=1),"Yes","")</f>
        <v/>
      </c>
      <c r="E566" t="inlineStr">
        <is>
          <t>No</t>
        </is>
      </c>
      <c r="F566" t="inlineStr">
        <is>
          <t>No</t>
        </is>
      </c>
      <c r="G566">
        <f>IF(F566="Yes",1-B566,B566)</f>
        <v/>
      </c>
      <c r="H566">
        <f>IF(E566="Yes","",COUNTIFS($E$2:E566,"No"))</f>
        <v/>
      </c>
      <c r="I566">
        <f>IF(H566="","",IF(H566&lt;=128,"address",IF(H566&lt;=600,"data1",IF(H566&lt;=1264,"zero-run1",IF(H566&lt;=1648,"data2",IF(H566&lt;=2176,"zero-run2",IF(H566&lt;=2192,"FCS","trailing")))))))</f>
        <v/>
      </c>
      <c r="J566">
        <f>IFERROR(IF(AND(H566&lt;&gt;"",H566&gt;=129,H566&lt;=2176),INDEX(Fields!$B$2:$B$206,MATCH(H566-129,Fields!$D$2:$D$206,1)),""),"")</f>
        <v/>
      </c>
      <c r="K566">
        <f>IFERROR(IF(AND(H566&lt;&gt;"",H566&gt;=129,H566&lt;=2176),INDEX(Fields!$C$2:$C$206,MATCH(H566-129,Fields!$D$2:$D$206,1)),""),"")</f>
        <v/>
      </c>
      <c r="L566">
        <f>IFERROR(IF(AND(H566&lt;&gt;"",H566&gt;=129,H566&lt;=2176),INDEX(Fields!$J$2:$J$206,MATCH(H566-129,Fields!$D$2:$D$206,1)),""),"")</f>
        <v/>
      </c>
      <c r="M566">
        <f>IFERROR(IF(AND(H566&lt;&gt;"",H566&gt;=129,H566&lt;=2176),INDEX(Fields!$K$2:$K$206,MATCH(H566-129,Fields!$D$2:$D$206,1)),""),"")</f>
        <v/>
      </c>
    </row>
    <row r="567">
      <c r="A567" t="n">
        <v>565</v>
      </c>
      <c r="B567" t="n">
        <v>1</v>
      </c>
      <c r="C567" t="inlineStr">
        <is>
          <t>No</t>
        </is>
      </c>
      <c r="D567">
        <f>IF(AND(B562=1,B563=1,B564=1,B565=1,B566=1),"Yes","")</f>
        <v/>
      </c>
      <c r="E567" t="inlineStr">
        <is>
          <t>No</t>
        </is>
      </c>
      <c r="F567" t="inlineStr">
        <is>
          <t>No</t>
        </is>
      </c>
      <c r="G567">
        <f>IF(F567="Yes",1-B567,B567)</f>
        <v/>
      </c>
      <c r="H567">
        <f>IF(E567="Yes","",COUNTIFS($E$2:E567,"No"))</f>
        <v/>
      </c>
      <c r="I567">
        <f>IF(H567="","",IF(H567&lt;=128,"address",IF(H567&lt;=600,"data1",IF(H567&lt;=1264,"zero-run1",IF(H567&lt;=1648,"data2",IF(H567&lt;=2176,"zero-run2",IF(H567&lt;=2192,"FCS","trailing")))))))</f>
        <v/>
      </c>
      <c r="J567">
        <f>IFERROR(IF(AND(H567&lt;&gt;"",H567&gt;=129,H567&lt;=2176),INDEX(Fields!$B$2:$B$206,MATCH(H567-129,Fields!$D$2:$D$206,1)),""),"")</f>
        <v/>
      </c>
      <c r="K567">
        <f>IFERROR(IF(AND(H567&lt;&gt;"",H567&gt;=129,H567&lt;=2176),INDEX(Fields!$C$2:$C$206,MATCH(H567-129,Fields!$D$2:$D$206,1)),""),"")</f>
        <v/>
      </c>
      <c r="L567">
        <f>IFERROR(IF(AND(H567&lt;&gt;"",H567&gt;=129,H567&lt;=2176),INDEX(Fields!$J$2:$J$206,MATCH(H567-129,Fields!$D$2:$D$206,1)),""),"")</f>
        <v/>
      </c>
      <c r="M567">
        <f>IFERROR(IF(AND(H567&lt;&gt;"",H567&gt;=129,H567&lt;=2176),INDEX(Fields!$K$2:$K$206,MATCH(H567-129,Fields!$D$2:$D$206,1)),""),"")</f>
        <v/>
      </c>
    </row>
    <row r="568">
      <c r="A568" t="n">
        <v>566</v>
      </c>
      <c r="B568" t="n">
        <v>0</v>
      </c>
      <c r="C568" t="inlineStr">
        <is>
          <t>No</t>
        </is>
      </c>
      <c r="D568">
        <f>IF(AND(B563=1,B564=1,B565=1,B566=1,B567=1),"Yes","")</f>
        <v/>
      </c>
      <c r="E568" t="inlineStr">
        <is>
          <t>No</t>
        </is>
      </c>
      <c r="F568" t="inlineStr">
        <is>
          <t>No</t>
        </is>
      </c>
      <c r="G568">
        <f>IF(F568="Yes",1-B568,B568)</f>
        <v/>
      </c>
      <c r="H568">
        <f>IF(E568="Yes","",COUNTIFS($E$2:E568,"No"))</f>
        <v/>
      </c>
      <c r="I568">
        <f>IF(H568="","",IF(H568&lt;=128,"address",IF(H568&lt;=600,"data1",IF(H568&lt;=1264,"zero-run1",IF(H568&lt;=1648,"data2",IF(H568&lt;=2176,"zero-run2",IF(H568&lt;=2192,"FCS","trailing")))))))</f>
        <v/>
      </c>
      <c r="J568">
        <f>IFERROR(IF(AND(H568&lt;&gt;"",H568&gt;=129,H568&lt;=2176),INDEX(Fields!$B$2:$B$206,MATCH(H568-129,Fields!$D$2:$D$206,1)),""),"")</f>
        <v/>
      </c>
      <c r="K568">
        <f>IFERROR(IF(AND(H568&lt;&gt;"",H568&gt;=129,H568&lt;=2176),INDEX(Fields!$C$2:$C$206,MATCH(H568-129,Fields!$D$2:$D$206,1)),""),"")</f>
        <v/>
      </c>
      <c r="L568">
        <f>IFERROR(IF(AND(H568&lt;&gt;"",H568&gt;=129,H568&lt;=2176),INDEX(Fields!$J$2:$J$206,MATCH(H568-129,Fields!$D$2:$D$206,1)),""),"")</f>
        <v/>
      </c>
      <c r="M568">
        <f>IFERROR(IF(AND(H568&lt;&gt;"",H568&gt;=129,H568&lt;=2176),INDEX(Fields!$K$2:$K$206,MATCH(H568-129,Fields!$D$2:$D$206,1)),""),"")</f>
        <v/>
      </c>
    </row>
    <row r="569">
      <c r="A569" t="n">
        <v>567</v>
      </c>
      <c r="B569" t="n">
        <v>1</v>
      </c>
      <c r="C569" t="inlineStr">
        <is>
          <t>No</t>
        </is>
      </c>
      <c r="D569">
        <f>IF(AND(B564=1,B565=1,B566=1,B567=1,B568=1),"Yes","")</f>
        <v/>
      </c>
      <c r="E569" t="inlineStr">
        <is>
          <t>No</t>
        </is>
      </c>
      <c r="F569" t="inlineStr">
        <is>
          <t>No</t>
        </is>
      </c>
      <c r="G569">
        <f>IF(F569="Yes",1-B569,B569)</f>
        <v/>
      </c>
      <c r="H569">
        <f>IF(E569="Yes","",COUNTIFS($E$2:E569,"No"))</f>
        <v/>
      </c>
      <c r="I569">
        <f>IF(H569="","",IF(H569&lt;=128,"address",IF(H569&lt;=600,"data1",IF(H569&lt;=1264,"zero-run1",IF(H569&lt;=1648,"data2",IF(H569&lt;=2176,"zero-run2",IF(H569&lt;=2192,"FCS","trailing")))))))</f>
        <v/>
      </c>
      <c r="J569">
        <f>IFERROR(IF(AND(H569&lt;&gt;"",H569&gt;=129,H569&lt;=2176),INDEX(Fields!$B$2:$B$206,MATCH(H569-129,Fields!$D$2:$D$206,1)),""),"")</f>
        <v/>
      </c>
      <c r="K569">
        <f>IFERROR(IF(AND(H569&lt;&gt;"",H569&gt;=129,H569&lt;=2176),INDEX(Fields!$C$2:$C$206,MATCH(H569-129,Fields!$D$2:$D$206,1)),""),"")</f>
        <v/>
      </c>
      <c r="L569">
        <f>IFERROR(IF(AND(H569&lt;&gt;"",H569&gt;=129,H569&lt;=2176),INDEX(Fields!$J$2:$J$206,MATCH(H569-129,Fields!$D$2:$D$206,1)),""),"")</f>
        <v/>
      </c>
      <c r="M569">
        <f>IFERROR(IF(AND(H569&lt;&gt;"",H569&gt;=129,H569&lt;=2176),INDEX(Fields!$K$2:$K$206,MATCH(H569-129,Fields!$D$2:$D$206,1)),""),"")</f>
        <v/>
      </c>
    </row>
    <row r="570">
      <c r="A570" t="n">
        <v>568</v>
      </c>
      <c r="B570" t="n">
        <v>1</v>
      </c>
      <c r="C570" t="inlineStr">
        <is>
          <t>No</t>
        </is>
      </c>
      <c r="D570">
        <f>IF(AND(B565=1,B566=1,B567=1,B568=1,B569=1),"Yes","")</f>
        <v/>
      </c>
      <c r="E570" t="inlineStr">
        <is>
          <t>No</t>
        </is>
      </c>
      <c r="F570" t="inlineStr">
        <is>
          <t>No</t>
        </is>
      </c>
      <c r="G570">
        <f>IF(F570="Yes",1-B570,B570)</f>
        <v/>
      </c>
      <c r="H570">
        <f>IF(E570="Yes","",COUNTIFS($E$2:E570,"No"))</f>
        <v/>
      </c>
      <c r="I570">
        <f>IF(H570="","",IF(H570&lt;=128,"address",IF(H570&lt;=600,"data1",IF(H570&lt;=1264,"zero-run1",IF(H570&lt;=1648,"data2",IF(H570&lt;=2176,"zero-run2",IF(H570&lt;=2192,"FCS","trailing")))))))</f>
        <v/>
      </c>
      <c r="J570">
        <f>IFERROR(IF(AND(H570&lt;&gt;"",H570&gt;=129,H570&lt;=2176),INDEX(Fields!$B$2:$B$206,MATCH(H570-129,Fields!$D$2:$D$206,1)),""),"")</f>
        <v/>
      </c>
      <c r="K570">
        <f>IFERROR(IF(AND(H570&lt;&gt;"",H570&gt;=129,H570&lt;=2176),INDEX(Fields!$C$2:$C$206,MATCH(H570-129,Fields!$D$2:$D$206,1)),""),"")</f>
        <v/>
      </c>
      <c r="L570">
        <f>IFERROR(IF(AND(H570&lt;&gt;"",H570&gt;=129,H570&lt;=2176),INDEX(Fields!$J$2:$J$206,MATCH(H570-129,Fields!$D$2:$D$206,1)),""),"")</f>
        <v/>
      </c>
      <c r="M570">
        <f>IFERROR(IF(AND(H570&lt;&gt;"",H570&gt;=129,H570&lt;=2176),INDEX(Fields!$K$2:$K$206,MATCH(H570-129,Fields!$D$2:$D$206,1)),""),"")</f>
        <v/>
      </c>
    </row>
    <row r="571">
      <c r="A571" t="n">
        <v>569</v>
      </c>
      <c r="B571" t="n">
        <v>1</v>
      </c>
      <c r="C571" t="inlineStr">
        <is>
          <t>No</t>
        </is>
      </c>
      <c r="D571">
        <f>IF(AND(B566=1,B567=1,B568=1,B569=1,B570=1),"Yes","")</f>
        <v/>
      </c>
      <c r="E571" t="inlineStr">
        <is>
          <t>No</t>
        </is>
      </c>
      <c r="F571" t="inlineStr">
        <is>
          <t>No</t>
        </is>
      </c>
      <c r="G571">
        <f>IF(F571="Yes",1-B571,B571)</f>
        <v/>
      </c>
      <c r="H571">
        <f>IF(E571="Yes","",COUNTIFS($E$2:E571,"No"))</f>
        <v/>
      </c>
      <c r="I571">
        <f>IF(H571="","",IF(H571&lt;=128,"address",IF(H571&lt;=600,"data1",IF(H571&lt;=1264,"zero-run1",IF(H571&lt;=1648,"data2",IF(H571&lt;=2176,"zero-run2",IF(H571&lt;=2192,"FCS","trailing")))))))</f>
        <v/>
      </c>
      <c r="J571">
        <f>IFERROR(IF(AND(H571&lt;&gt;"",H571&gt;=129,H571&lt;=2176),INDEX(Fields!$B$2:$B$206,MATCH(H571-129,Fields!$D$2:$D$206,1)),""),"")</f>
        <v/>
      </c>
      <c r="K571">
        <f>IFERROR(IF(AND(H571&lt;&gt;"",H571&gt;=129,H571&lt;=2176),INDEX(Fields!$C$2:$C$206,MATCH(H571-129,Fields!$D$2:$D$206,1)),""),"")</f>
        <v/>
      </c>
      <c r="L571">
        <f>IFERROR(IF(AND(H571&lt;&gt;"",H571&gt;=129,H571&lt;=2176),INDEX(Fields!$J$2:$J$206,MATCH(H571-129,Fields!$D$2:$D$206,1)),""),"")</f>
        <v/>
      </c>
      <c r="M571">
        <f>IFERROR(IF(AND(H571&lt;&gt;"",H571&gt;=129,H571&lt;=2176),INDEX(Fields!$K$2:$K$206,MATCH(H571-129,Fields!$D$2:$D$206,1)),""),"")</f>
        <v/>
      </c>
    </row>
    <row r="572">
      <c r="A572" t="n">
        <v>570</v>
      </c>
      <c r="B572" t="n">
        <v>1</v>
      </c>
      <c r="C572" t="inlineStr">
        <is>
          <t>No</t>
        </is>
      </c>
      <c r="D572">
        <f>IF(AND(B567=1,B568=1,B569=1,B570=1,B571=1),"Yes","")</f>
        <v/>
      </c>
      <c r="E572" t="inlineStr">
        <is>
          <t>No</t>
        </is>
      </c>
      <c r="F572" t="inlineStr">
        <is>
          <t>No</t>
        </is>
      </c>
      <c r="G572">
        <f>IF(F572="Yes",1-B572,B572)</f>
        <v/>
      </c>
      <c r="H572">
        <f>IF(E572="Yes","",COUNTIFS($E$2:E572,"No"))</f>
        <v/>
      </c>
      <c r="I572">
        <f>IF(H572="","",IF(H572&lt;=128,"address",IF(H572&lt;=600,"data1",IF(H572&lt;=1264,"zero-run1",IF(H572&lt;=1648,"data2",IF(H572&lt;=2176,"zero-run2",IF(H572&lt;=2192,"FCS","trailing")))))))</f>
        <v/>
      </c>
      <c r="J572">
        <f>IFERROR(IF(AND(H572&lt;&gt;"",H572&gt;=129,H572&lt;=2176),INDEX(Fields!$B$2:$B$206,MATCH(H572-129,Fields!$D$2:$D$206,1)),""),"")</f>
        <v/>
      </c>
      <c r="K572">
        <f>IFERROR(IF(AND(H572&lt;&gt;"",H572&gt;=129,H572&lt;=2176),INDEX(Fields!$C$2:$C$206,MATCH(H572-129,Fields!$D$2:$D$206,1)),""),"")</f>
        <v/>
      </c>
      <c r="L572">
        <f>IFERROR(IF(AND(H572&lt;&gt;"",H572&gt;=129,H572&lt;=2176),INDEX(Fields!$J$2:$J$206,MATCH(H572-129,Fields!$D$2:$D$206,1)),""),"")</f>
        <v/>
      </c>
      <c r="M572">
        <f>IFERROR(IF(AND(H572&lt;&gt;"",H572&gt;=129,H572&lt;=2176),INDEX(Fields!$K$2:$K$206,MATCH(H572-129,Fields!$D$2:$D$206,1)),""),"")</f>
        <v/>
      </c>
    </row>
    <row r="573">
      <c r="A573" t="n">
        <v>571</v>
      </c>
      <c r="B573" t="n">
        <v>0</v>
      </c>
      <c r="C573" t="inlineStr">
        <is>
          <t>No</t>
        </is>
      </c>
      <c r="D573">
        <f>IF(AND(B568=1,B569=1,B570=1,B571=1,B572=1),"Yes","")</f>
        <v/>
      </c>
      <c r="E573" t="inlineStr">
        <is>
          <t>No</t>
        </is>
      </c>
      <c r="F573" t="inlineStr">
        <is>
          <t>No</t>
        </is>
      </c>
      <c r="G573">
        <f>IF(F573="Yes",1-B573,B573)</f>
        <v/>
      </c>
      <c r="H573">
        <f>IF(E573="Yes","",COUNTIFS($E$2:E573,"No"))</f>
        <v/>
      </c>
      <c r="I573">
        <f>IF(H573="","",IF(H573&lt;=128,"address",IF(H573&lt;=600,"data1",IF(H573&lt;=1264,"zero-run1",IF(H573&lt;=1648,"data2",IF(H573&lt;=2176,"zero-run2",IF(H573&lt;=2192,"FCS","trailing")))))))</f>
        <v/>
      </c>
      <c r="J573">
        <f>IFERROR(IF(AND(H573&lt;&gt;"",H573&gt;=129,H573&lt;=2176),INDEX(Fields!$B$2:$B$206,MATCH(H573-129,Fields!$D$2:$D$206,1)),""),"")</f>
        <v/>
      </c>
      <c r="K573">
        <f>IFERROR(IF(AND(H573&lt;&gt;"",H573&gt;=129,H573&lt;=2176),INDEX(Fields!$C$2:$C$206,MATCH(H573-129,Fields!$D$2:$D$206,1)),""),"")</f>
        <v/>
      </c>
      <c r="L573">
        <f>IFERROR(IF(AND(H573&lt;&gt;"",H573&gt;=129,H573&lt;=2176),INDEX(Fields!$J$2:$J$206,MATCH(H573-129,Fields!$D$2:$D$206,1)),""),"")</f>
        <v/>
      </c>
      <c r="M573">
        <f>IFERROR(IF(AND(H573&lt;&gt;"",H573&gt;=129,H573&lt;=2176),INDEX(Fields!$K$2:$K$206,MATCH(H573-129,Fields!$D$2:$D$206,1)),""),"")</f>
        <v/>
      </c>
    </row>
    <row r="574">
      <c r="A574" t="n">
        <v>572</v>
      </c>
      <c r="B574" t="n">
        <v>0</v>
      </c>
      <c r="C574" t="inlineStr">
        <is>
          <t>No</t>
        </is>
      </c>
      <c r="D574">
        <f>IF(AND(B569=1,B570=1,B571=1,B572=1,B573=1),"Yes","")</f>
        <v/>
      </c>
      <c r="E574" t="inlineStr">
        <is>
          <t>No</t>
        </is>
      </c>
      <c r="F574" t="inlineStr">
        <is>
          <t>No</t>
        </is>
      </c>
      <c r="G574">
        <f>IF(F574="Yes",1-B574,B574)</f>
        <v/>
      </c>
      <c r="H574">
        <f>IF(E574="Yes","",COUNTIFS($E$2:E574,"No"))</f>
        <v/>
      </c>
      <c r="I574">
        <f>IF(H574="","",IF(H574&lt;=128,"address",IF(H574&lt;=600,"data1",IF(H574&lt;=1264,"zero-run1",IF(H574&lt;=1648,"data2",IF(H574&lt;=2176,"zero-run2",IF(H574&lt;=2192,"FCS","trailing")))))))</f>
        <v/>
      </c>
      <c r="J574">
        <f>IFERROR(IF(AND(H574&lt;&gt;"",H574&gt;=129,H574&lt;=2176),INDEX(Fields!$B$2:$B$206,MATCH(H574-129,Fields!$D$2:$D$206,1)),""),"")</f>
        <v/>
      </c>
      <c r="K574">
        <f>IFERROR(IF(AND(H574&lt;&gt;"",H574&gt;=129,H574&lt;=2176),INDEX(Fields!$C$2:$C$206,MATCH(H574-129,Fields!$D$2:$D$206,1)),""),"")</f>
        <v/>
      </c>
      <c r="L574">
        <f>IFERROR(IF(AND(H574&lt;&gt;"",H574&gt;=129,H574&lt;=2176),INDEX(Fields!$J$2:$J$206,MATCH(H574-129,Fields!$D$2:$D$206,1)),""),"")</f>
        <v/>
      </c>
      <c r="M574">
        <f>IFERROR(IF(AND(H574&lt;&gt;"",H574&gt;=129,H574&lt;=2176),INDEX(Fields!$K$2:$K$206,MATCH(H574-129,Fields!$D$2:$D$206,1)),""),"")</f>
        <v/>
      </c>
    </row>
    <row r="575">
      <c r="A575" t="n">
        <v>573</v>
      </c>
      <c r="B575" t="n">
        <v>0</v>
      </c>
      <c r="C575" t="inlineStr">
        <is>
          <t>No</t>
        </is>
      </c>
      <c r="D575">
        <f>IF(AND(B570=1,B571=1,B572=1,B573=1,B574=1),"Yes","")</f>
        <v/>
      </c>
      <c r="E575" t="inlineStr">
        <is>
          <t>No</t>
        </is>
      </c>
      <c r="F575" t="inlineStr">
        <is>
          <t>No</t>
        </is>
      </c>
      <c r="G575">
        <f>IF(F575="Yes",1-B575,B575)</f>
        <v/>
      </c>
      <c r="H575">
        <f>IF(E575="Yes","",COUNTIFS($E$2:E575,"No"))</f>
        <v/>
      </c>
      <c r="I575">
        <f>IF(H575="","",IF(H575&lt;=128,"address",IF(H575&lt;=600,"data1",IF(H575&lt;=1264,"zero-run1",IF(H575&lt;=1648,"data2",IF(H575&lt;=2176,"zero-run2",IF(H575&lt;=2192,"FCS","trailing")))))))</f>
        <v/>
      </c>
      <c r="J575">
        <f>IFERROR(IF(AND(H575&lt;&gt;"",H575&gt;=129,H575&lt;=2176),INDEX(Fields!$B$2:$B$206,MATCH(H575-129,Fields!$D$2:$D$206,1)),""),"")</f>
        <v/>
      </c>
      <c r="K575">
        <f>IFERROR(IF(AND(H575&lt;&gt;"",H575&gt;=129,H575&lt;=2176),INDEX(Fields!$C$2:$C$206,MATCH(H575-129,Fields!$D$2:$D$206,1)),""),"")</f>
        <v/>
      </c>
      <c r="L575">
        <f>IFERROR(IF(AND(H575&lt;&gt;"",H575&gt;=129,H575&lt;=2176),INDEX(Fields!$J$2:$J$206,MATCH(H575-129,Fields!$D$2:$D$206,1)),""),"")</f>
        <v/>
      </c>
      <c r="M575">
        <f>IFERROR(IF(AND(H575&lt;&gt;"",H575&gt;=129,H575&lt;=2176),INDEX(Fields!$K$2:$K$206,MATCH(H575-129,Fields!$D$2:$D$206,1)),""),"")</f>
        <v/>
      </c>
    </row>
    <row r="576">
      <c r="A576" t="n">
        <v>574</v>
      </c>
      <c r="B576" t="n">
        <v>1</v>
      </c>
      <c r="C576" t="inlineStr">
        <is>
          <t>No</t>
        </is>
      </c>
      <c r="D576">
        <f>IF(AND(B571=1,B572=1,B573=1,B574=1,B575=1),"Yes","")</f>
        <v/>
      </c>
      <c r="E576" t="inlineStr">
        <is>
          <t>No</t>
        </is>
      </c>
      <c r="F576" t="inlineStr">
        <is>
          <t>No</t>
        </is>
      </c>
      <c r="G576">
        <f>IF(F576="Yes",1-B576,B576)</f>
        <v/>
      </c>
      <c r="H576">
        <f>IF(E576="Yes","",COUNTIFS($E$2:E576,"No"))</f>
        <v/>
      </c>
      <c r="I576">
        <f>IF(H576="","",IF(H576&lt;=128,"address",IF(H576&lt;=600,"data1",IF(H576&lt;=1264,"zero-run1",IF(H576&lt;=1648,"data2",IF(H576&lt;=2176,"zero-run2",IF(H576&lt;=2192,"FCS","trailing")))))))</f>
        <v/>
      </c>
      <c r="J576">
        <f>IFERROR(IF(AND(H576&lt;&gt;"",H576&gt;=129,H576&lt;=2176),INDEX(Fields!$B$2:$B$206,MATCH(H576-129,Fields!$D$2:$D$206,1)),""),"")</f>
        <v/>
      </c>
      <c r="K576">
        <f>IFERROR(IF(AND(H576&lt;&gt;"",H576&gt;=129,H576&lt;=2176),INDEX(Fields!$C$2:$C$206,MATCH(H576-129,Fields!$D$2:$D$206,1)),""),"")</f>
        <v/>
      </c>
      <c r="L576">
        <f>IFERROR(IF(AND(H576&lt;&gt;"",H576&gt;=129,H576&lt;=2176),INDEX(Fields!$J$2:$J$206,MATCH(H576-129,Fields!$D$2:$D$206,1)),""),"")</f>
        <v/>
      </c>
      <c r="M576">
        <f>IFERROR(IF(AND(H576&lt;&gt;"",H576&gt;=129,H576&lt;=2176),INDEX(Fields!$K$2:$K$206,MATCH(H576-129,Fields!$D$2:$D$206,1)),""),"")</f>
        <v/>
      </c>
    </row>
    <row r="577">
      <c r="A577" t="n">
        <v>575</v>
      </c>
      <c r="B577" t="n">
        <v>0</v>
      </c>
      <c r="C577" t="inlineStr">
        <is>
          <t>No</t>
        </is>
      </c>
      <c r="D577">
        <f>IF(AND(B572=1,B573=1,B574=1,B575=1,B576=1),"Yes","")</f>
        <v/>
      </c>
      <c r="E577" t="inlineStr">
        <is>
          <t>No</t>
        </is>
      </c>
      <c r="F577" t="inlineStr">
        <is>
          <t>No</t>
        </is>
      </c>
      <c r="G577">
        <f>IF(F577="Yes",1-B577,B577)</f>
        <v/>
      </c>
      <c r="H577">
        <f>IF(E577="Yes","",COUNTIFS($E$2:E577,"No"))</f>
        <v/>
      </c>
      <c r="I577">
        <f>IF(H577="","",IF(H577&lt;=128,"address",IF(H577&lt;=600,"data1",IF(H577&lt;=1264,"zero-run1",IF(H577&lt;=1648,"data2",IF(H577&lt;=2176,"zero-run2",IF(H577&lt;=2192,"FCS","trailing")))))))</f>
        <v/>
      </c>
      <c r="J577">
        <f>IFERROR(IF(AND(H577&lt;&gt;"",H577&gt;=129,H577&lt;=2176),INDEX(Fields!$B$2:$B$206,MATCH(H577-129,Fields!$D$2:$D$206,1)),""),"")</f>
        <v/>
      </c>
      <c r="K577">
        <f>IFERROR(IF(AND(H577&lt;&gt;"",H577&gt;=129,H577&lt;=2176),INDEX(Fields!$C$2:$C$206,MATCH(H577-129,Fields!$D$2:$D$206,1)),""),"")</f>
        <v/>
      </c>
      <c r="L577">
        <f>IFERROR(IF(AND(H577&lt;&gt;"",H577&gt;=129,H577&lt;=2176),INDEX(Fields!$J$2:$J$206,MATCH(H577-129,Fields!$D$2:$D$206,1)),""),"")</f>
        <v/>
      </c>
      <c r="M577">
        <f>IFERROR(IF(AND(H577&lt;&gt;"",H577&gt;=129,H577&lt;=2176),INDEX(Fields!$K$2:$K$206,MATCH(H577-129,Fields!$D$2:$D$206,1)),""),"")</f>
        <v/>
      </c>
    </row>
    <row r="578">
      <c r="A578" t="n">
        <v>576</v>
      </c>
      <c r="B578" t="n">
        <v>0</v>
      </c>
      <c r="C578" t="inlineStr">
        <is>
          <t>No</t>
        </is>
      </c>
      <c r="D578">
        <f>IF(AND(B573=1,B574=1,B575=1,B576=1,B577=1),"Yes","")</f>
        <v/>
      </c>
      <c r="E578" t="inlineStr">
        <is>
          <t>No</t>
        </is>
      </c>
      <c r="F578" t="inlineStr">
        <is>
          <t>No</t>
        </is>
      </c>
      <c r="G578">
        <f>IF(F578="Yes",1-B578,B578)</f>
        <v/>
      </c>
      <c r="H578">
        <f>IF(E578="Yes","",COUNTIFS($E$2:E578,"No"))</f>
        <v/>
      </c>
      <c r="I578">
        <f>IF(H578="","",IF(H578&lt;=128,"address",IF(H578&lt;=600,"data1",IF(H578&lt;=1264,"zero-run1",IF(H578&lt;=1648,"data2",IF(H578&lt;=2176,"zero-run2",IF(H578&lt;=2192,"FCS","trailing")))))))</f>
        <v/>
      </c>
      <c r="J578">
        <f>IFERROR(IF(AND(H578&lt;&gt;"",H578&gt;=129,H578&lt;=2176),INDEX(Fields!$B$2:$B$206,MATCH(H578-129,Fields!$D$2:$D$206,1)),""),"")</f>
        <v/>
      </c>
      <c r="K578">
        <f>IFERROR(IF(AND(H578&lt;&gt;"",H578&gt;=129,H578&lt;=2176),INDEX(Fields!$C$2:$C$206,MATCH(H578-129,Fields!$D$2:$D$206,1)),""),"")</f>
        <v/>
      </c>
      <c r="L578">
        <f>IFERROR(IF(AND(H578&lt;&gt;"",H578&gt;=129,H578&lt;=2176),INDEX(Fields!$J$2:$J$206,MATCH(H578-129,Fields!$D$2:$D$206,1)),""),"")</f>
        <v/>
      </c>
      <c r="M578">
        <f>IFERROR(IF(AND(H578&lt;&gt;"",H578&gt;=129,H578&lt;=2176),INDEX(Fields!$K$2:$K$206,MATCH(H578-129,Fields!$D$2:$D$206,1)),""),"")</f>
        <v/>
      </c>
    </row>
    <row r="579">
      <c r="A579" t="n">
        <v>577</v>
      </c>
      <c r="B579" t="n">
        <v>0</v>
      </c>
      <c r="C579" t="inlineStr">
        <is>
          <t>No</t>
        </is>
      </c>
      <c r="D579">
        <f>IF(AND(B574=1,B575=1,B576=1,B577=1,B578=1),"Yes","")</f>
        <v/>
      </c>
      <c r="E579" t="inlineStr">
        <is>
          <t>No</t>
        </is>
      </c>
      <c r="F579" t="inlineStr">
        <is>
          <t>No</t>
        </is>
      </c>
      <c r="G579">
        <f>IF(F579="Yes",1-B579,B579)</f>
        <v/>
      </c>
      <c r="H579">
        <f>IF(E579="Yes","",COUNTIFS($E$2:E579,"No"))</f>
        <v/>
      </c>
      <c r="I579">
        <f>IF(H579="","",IF(H579&lt;=128,"address",IF(H579&lt;=600,"data1",IF(H579&lt;=1264,"zero-run1",IF(H579&lt;=1648,"data2",IF(H579&lt;=2176,"zero-run2",IF(H579&lt;=2192,"FCS","trailing")))))))</f>
        <v/>
      </c>
      <c r="J579">
        <f>IFERROR(IF(AND(H579&lt;&gt;"",H579&gt;=129,H579&lt;=2176),INDEX(Fields!$B$2:$B$206,MATCH(H579-129,Fields!$D$2:$D$206,1)),""),"")</f>
        <v/>
      </c>
      <c r="K579">
        <f>IFERROR(IF(AND(H579&lt;&gt;"",H579&gt;=129,H579&lt;=2176),INDEX(Fields!$C$2:$C$206,MATCH(H579-129,Fields!$D$2:$D$206,1)),""),"")</f>
        <v/>
      </c>
      <c r="L579">
        <f>IFERROR(IF(AND(H579&lt;&gt;"",H579&gt;=129,H579&lt;=2176),INDEX(Fields!$J$2:$J$206,MATCH(H579-129,Fields!$D$2:$D$206,1)),""),"")</f>
        <v/>
      </c>
      <c r="M579">
        <f>IFERROR(IF(AND(H579&lt;&gt;"",H579&gt;=129,H579&lt;=2176),INDEX(Fields!$K$2:$K$206,MATCH(H579-129,Fields!$D$2:$D$206,1)),""),"")</f>
        <v/>
      </c>
    </row>
    <row r="580">
      <c r="A580" t="n">
        <v>578</v>
      </c>
      <c r="B580" t="n">
        <v>0</v>
      </c>
      <c r="C580" t="inlineStr">
        <is>
          <t>No</t>
        </is>
      </c>
      <c r="D580">
        <f>IF(AND(B575=1,B576=1,B577=1,B578=1,B579=1),"Yes","")</f>
        <v/>
      </c>
      <c r="E580" t="inlineStr">
        <is>
          <t>No</t>
        </is>
      </c>
      <c r="F580" t="inlineStr">
        <is>
          <t>No</t>
        </is>
      </c>
      <c r="G580">
        <f>IF(F580="Yes",1-B580,B580)</f>
        <v/>
      </c>
      <c r="H580">
        <f>IF(E580="Yes","",COUNTIFS($E$2:E580,"No"))</f>
        <v/>
      </c>
      <c r="I580">
        <f>IF(H580="","",IF(H580&lt;=128,"address",IF(H580&lt;=600,"data1",IF(H580&lt;=1264,"zero-run1",IF(H580&lt;=1648,"data2",IF(H580&lt;=2176,"zero-run2",IF(H580&lt;=2192,"FCS","trailing")))))))</f>
        <v/>
      </c>
      <c r="J580">
        <f>IFERROR(IF(AND(H580&lt;&gt;"",H580&gt;=129,H580&lt;=2176),INDEX(Fields!$B$2:$B$206,MATCH(H580-129,Fields!$D$2:$D$206,1)),""),"")</f>
        <v/>
      </c>
      <c r="K580">
        <f>IFERROR(IF(AND(H580&lt;&gt;"",H580&gt;=129,H580&lt;=2176),INDEX(Fields!$C$2:$C$206,MATCH(H580-129,Fields!$D$2:$D$206,1)),""),"")</f>
        <v/>
      </c>
      <c r="L580">
        <f>IFERROR(IF(AND(H580&lt;&gt;"",H580&gt;=129,H580&lt;=2176),INDEX(Fields!$J$2:$J$206,MATCH(H580-129,Fields!$D$2:$D$206,1)),""),"")</f>
        <v/>
      </c>
      <c r="M580">
        <f>IFERROR(IF(AND(H580&lt;&gt;"",H580&gt;=129,H580&lt;=2176),INDEX(Fields!$K$2:$K$206,MATCH(H580-129,Fields!$D$2:$D$206,1)),""),"")</f>
        <v/>
      </c>
    </row>
    <row r="581">
      <c r="A581" t="n">
        <v>579</v>
      </c>
      <c r="B581" t="n">
        <v>1</v>
      </c>
      <c r="C581" t="inlineStr">
        <is>
          <t>No</t>
        </is>
      </c>
      <c r="D581">
        <f>IF(AND(B576=1,B577=1,B578=1,B579=1,B580=1),"Yes","")</f>
        <v/>
      </c>
      <c r="E581" t="inlineStr">
        <is>
          <t>No</t>
        </is>
      </c>
      <c r="F581" t="inlineStr">
        <is>
          <t>No</t>
        </is>
      </c>
      <c r="G581">
        <f>IF(F581="Yes",1-B581,B581)</f>
        <v/>
      </c>
      <c r="H581">
        <f>IF(E581="Yes","",COUNTIFS($E$2:E581,"No"))</f>
        <v/>
      </c>
      <c r="I581">
        <f>IF(H581="","",IF(H581&lt;=128,"address",IF(H581&lt;=600,"data1",IF(H581&lt;=1264,"zero-run1",IF(H581&lt;=1648,"data2",IF(H581&lt;=2176,"zero-run2",IF(H581&lt;=2192,"FCS","trailing")))))))</f>
        <v/>
      </c>
      <c r="J581">
        <f>IFERROR(IF(AND(H581&lt;&gt;"",H581&gt;=129,H581&lt;=2176),INDEX(Fields!$B$2:$B$206,MATCH(H581-129,Fields!$D$2:$D$206,1)),""),"")</f>
        <v/>
      </c>
      <c r="K581">
        <f>IFERROR(IF(AND(H581&lt;&gt;"",H581&gt;=129,H581&lt;=2176),INDEX(Fields!$C$2:$C$206,MATCH(H581-129,Fields!$D$2:$D$206,1)),""),"")</f>
        <v/>
      </c>
      <c r="L581">
        <f>IFERROR(IF(AND(H581&lt;&gt;"",H581&gt;=129,H581&lt;=2176),INDEX(Fields!$J$2:$J$206,MATCH(H581-129,Fields!$D$2:$D$206,1)),""),"")</f>
        <v/>
      </c>
      <c r="M581">
        <f>IFERROR(IF(AND(H581&lt;&gt;"",H581&gt;=129,H581&lt;=2176),INDEX(Fields!$K$2:$K$206,MATCH(H581-129,Fields!$D$2:$D$206,1)),""),"")</f>
        <v/>
      </c>
    </row>
    <row r="582">
      <c r="A582" t="n">
        <v>580</v>
      </c>
      <c r="B582" t="n">
        <v>0</v>
      </c>
      <c r="C582" t="inlineStr">
        <is>
          <t>No</t>
        </is>
      </c>
      <c r="D582">
        <f>IF(AND(B577=1,B578=1,B579=1,B580=1,B581=1),"Yes","")</f>
        <v/>
      </c>
      <c r="E582" t="inlineStr">
        <is>
          <t>No</t>
        </is>
      </c>
      <c r="F582" t="inlineStr">
        <is>
          <t>No</t>
        </is>
      </c>
      <c r="G582">
        <f>IF(F582="Yes",1-B582,B582)</f>
        <v/>
      </c>
      <c r="H582">
        <f>IF(E582="Yes","",COUNTIFS($E$2:E582,"No"))</f>
        <v/>
      </c>
      <c r="I582">
        <f>IF(H582="","",IF(H582&lt;=128,"address",IF(H582&lt;=600,"data1",IF(H582&lt;=1264,"zero-run1",IF(H582&lt;=1648,"data2",IF(H582&lt;=2176,"zero-run2",IF(H582&lt;=2192,"FCS","trailing")))))))</f>
        <v/>
      </c>
      <c r="J582">
        <f>IFERROR(IF(AND(H582&lt;&gt;"",H582&gt;=129,H582&lt;=2176),INDEX(Fields!$B$2:$B$206,MATCH(H582-129,Fields!$D$2:$D$206,1)),""),"")</f>
        <v/>
      </c>
      <c r="K582">
        <f>IFERROR(IF(AND(H582&lt;&gt;"",H582&gt;=129,H582&lt;=2176),INDEX(Fields!$C$2:$C$206,MATCH(H582-129,Fields!$D$2:$D$206,1)),""),"")</f>
        <v/>
      </c>
      <c r="L582">
        <f>IFERROR(IF(AND(H582&lt;&gt;"",H582&gt;=129,H582&lt;=2176),INDEX(Fields!$J$2:$J$206,MATCH(H582-129,Fields!$D$2:$D$206,1)),""),"")</f>
        <v/>
      </c>
      <c r="M582">
        <f>IFERROR(IF(AND(H582&lt;&gt;"",H582&gt;=129,H582&lt;=2176),INDEX(Fields!$K$2:$K$206,MATCH(H582-129,Fields!$D$2:$D$206,1)),""),"")</f>
        <v/>
      </c>
    </row>
    <row r="583">
      <c r="A583" t="n">
        <v>581</v>
      </c>
      <c r="B583" t="n">
        <v>1</v>
      </c>
      <c r="C583" t="inlineStr">
        <is>
          <t>No</t>
        </is>
      </c>
      <c r="D583">
        <f>IF(AND(B578=1,B579=1,B580=1,B581=1,B582=1),"Yes","")</f>
        <v/>
      </c>
      <c r="E583" t="inlineStr">
        <is>
          <t>No</t>
        </is>
      </c>
      <c r="F583" t="inlineStr">
        <is>
          <t>No</t>
        </is>
      </c>
      <c r="G583">
        <f>IF(F583="Yes",1-B583,B583)</f>
        <v/>
      </c>
      <c r="H583">
        <f>IF(E583="Yes","",COUNTIFS($E$2:E583,"No"))</f>
        <v/>
      </c>
      <c r="I583">
        <f>IF(H583="","",IF(H583&lt;=128,"address",IF(H583&lt;=600,"data1",IF(H583&lt;=1264,"zero-run1",IF(H583&lt;=1648,"data2",IF(H583&lt;=2176,"zero-run2",IF(H583&lt;=2192,"FCS","trailing")))))))</f>
        <v/>
      </c>
      <c r="J583">
        <f>IFERROR(IF(AND(H583&lt;&gt;"",H583&gt;=129,H583&lt;=2176),INDEX(Fields!$B$2:$B$206,MATCH(H583-129,Fields!$D$2:$D$206,1)),""),"")</f>
        <v/>
      </c>
      <c r="K583">
        <f>IFERROR(IF(AND(H583&lt;&gt;"",H583&gt;=129,H583&lt;=2176),INDEX(Fields!$C$2:$C$206,MATCH(H583-129,Fields!$D$2:$D$206,1)),""),"")</f>
        <v/>
      </c>
      <c r="L583">
        <f>IFERROR(IF(AND(H583&lt;&gt;"",H583&gt;=129,H583&lt;=2176),INDEX(Fields!$J$2:$J$206,MATCH(H583-129,Fields!$D$2:$D$206,1)),""),"")</f>
        <v/>
      </c>
      <c r="M583">
        <f>IFERROR(IF(AND(H583&lt;&gt;"",H583&gt;=129,H583&lt;=2176),INDEX(Fields!$K$2:$K$206,MATCH(H583-129,Fields!$D$2:$D$206,1)),""),"")</f>
        <v/>
      </c>
    </row>
    <row r="584">
      <c r="A584" t="n">
        <v>582</v>
      </c>
      <c r="B584" t="n">
        <v>0</v>
      </c>
      <c r="C584" t="inlineStr">
        <is>
          <t>No</t>
        </is>
      </c>
      <c r="D584">
        <f>IF(AND(B579=1,B580=1,B581=1,B582=1,B583=1),"Yes","")</f>
        <v/>
      </c>
      <c r="E584" t="inlineStr">
        <is>
          <t>No</t>
        </is>
      </c>
      <c r="F584" t="inlineStr">
        <is>
          <t>No</t>
        </is>
      </c>
      <c r="G584">
        <f>IF(F584="Yes",1-B584,B584)</f>
        <v/>
      </c>
      <c r="H584">
        <f>IF(E584="Yes","",COUNTIFS($E$2:E584,"No"))</f>
        <v/>
      </c>
      <c r="I584">
        <f>IF(H584="","",IF(H584&lt;=128,"address",IF(H584&lt;=600,"data1",IF(H584&lt;=1264,"zero-run1",IF(H584&lt;=1648,"data2",IF(H584&lt;=2176,"zero-run2",IF(H584&lt;=2192,"FCS","trailing")))))))</f>
        <v/>
      </c>
      <c r="J584">
        <f>IFERROR(IF(AND(H584&lt;&gt;"",H584&gt;=129,H584&lt;=2176),INDEX(Fields!$B$2:$B$206,MATCH(H584-129,Fields!$D$2:$D$206,1)),""),"")</f>
        <v/>
      </c>
      <c r="K584">
        <f>IFERROR(IF(AND(H584&lt;&gt;"",H584&gt;=129,H584&lt;=2176),INDEX(Fields!$C$2:$C$206,MATCH(H584-129,Fields!$D$2:$D$206,1)),""),"")</f>
        <v/>
      </c>
      <c r="L584">
        <f>IFERROR(IF(AND(H584&lt;&gt;"",H584&gt;=129,H584&lt;=2176),INDEX(Fields!$J$2:$J$206,MATCH(H584-129,Fields!$D$2:$D$206,1)),""),"")</f>
        <v/>
      </c>
      <c r="M584">
        <f>IFERROR(IF(AND(H584&lt;&gt;"",H584&gt;=129,H584&lt;=2176),INDEX(Fields!$K$2:$K$206,MATCH(H584-129,Fields!$D$2:$D$206,1)),""),"")</f>
        <v/>
      </c>
    </row>
    <row r="585">
      <c r="A585" t="n">
        <v>583</v>
      </c>
      <c r="B585" t="n">
        <v>1</v>
      </c>
      <c r="C585" t="inlineStr">
        <is>
          <t>No</t>
        </is>
      </c>
      <c r="D585">
        <f>IF(AND(B580=1,B581=1,B582=1,B583=1,B584=1),"Yes","")</f>
        <v/>
      </c>
      <c r="E585" t="inlineStr">
        <is>
          <t>No</t>
        </is>
      </c>
      <c r="F585" t="inlineStr">
        <is>
          <t>No</t>
        </is>
      </c>
      <c r="G585">
        <f>IF(F585="Yes",1-B585,B585)</f>
        <v/>
      </c>
      <c r="H585">
        <f>IF(E585="Yes","",COUNTIFS($E$2:E585,"No"))</f>
        <v/>
      </c>
      <c r="I585">
        <f>IF(H585="","",IF(H585&lt;=128,"address",IF(H585&lt;=600,"data1",IF(H585&lt;=1264,"zero-run1",IF(H585&lt;=1648,"data2",IF(H585&lt;=2176,"zero-run2",IF(H585&lt;=2192,"FCS","trailing")))))))</f>
        <v/>
      </c>
      <c r="J585">
        <f>IFERROR(IF(AND(H585&lt;&gt;"",H585&gt;=129,H585&lt;=2176),INDEX(Fields!$B$2:$B$206,MATCH(H585-129,Fields!$D$2:$D$206,1)),""),"")</f>
        <v/>
      </c>
      <c r="K585">
        <f>IFERROR(IF(AND(H585&lt;&gt;"",H585&gt;=129,H585&lt;=2176),INDEX(Fields!$C$2:$C$206,MATCH(H585-129,Fields!$D$2:$D$206,1)),""),"")</f>
        <v/>
      </c>
      <c r="L585">
        <f>IFERROR(IF(AND(H585&lt;&gt;"",H585&gt;=129,H585&lt;=2176),INDEX(Fields!$J$2:$J$206,MATCH(H585-129,Fields!$D$2:$D$206,1)),""),"")</f>
        <v/>
      </c>
      <c r="M585">
        <f>IFERROR(IF(AND(H585&lt;&gt;"",H585&gt;=129,H585&lt;=2176),INDEX(Fields!$K$2:$K$206,MATCH(H585-129,Fields!$D$2:$D$206,1)),""),"")</f>
        <v/>
      </c>
    </row>
    <row r="586">
      <c r="A586" t="n">
        <v>584</v>
      </c>
      <c r="B586" t="n">
        <v>0</v>
      </c>
      <c r="C586" t="inlineStr">
        <is>
          <t>No</t>
        </is>
      </c>
      <c r="D586">
        <f>IF(AND(B581=1,B582=1,B583=1,B584=1,B585=1),"Yes","")</f>
        <v/>
      </c>
      <c r="E586" t="inlineStr">
        <is>
          <t>No</t>
        </is>
      </c>
      <c r="F586" t="inlineStr">
        <is>
          <t>No</t>
        </is>
      </c>
      <c r="G586">
        <f>IF(F586="Yes",1-B586,B586)</f>
        <v/>
      </c>
      <c r="H586">
        <f>IF(E586="Yes","",COUNTIFS($E$2:E586,"No"))</f>
        <v/>
      </c>
      <c r="I586">
        <f>IF(H586="","",IF(H586&lt;=128,"address",IF(H586&lt;=600,"data1",IF(H586&lt;=1264,"zero-run1",IF(H586&lt;=1648,"data2",IF(H586&lt;=2176,"zero-run2",IF(H586&lt;=2192,"FCS","trailing")))))))</f>
        <v/>
      </c>
      <c r="J586">
        <f>IFERROR(IF(AND(H586&lt;&gt;"",H586&gt;=129,H586&lt;=2176),INDEX(Fields!$B$2:$B$206,MATCH(H586-129,Fields!$D$2:$D$206,1)),""),"")</f>
        <v/>
      </c>
      <c r="K586">
        <f>IFERROR(IF(AND(H586&lt;&gt;"",H586&gt;=129,H586&lt;=2176),INDEX(Fields!$C$2:$C$206,MATCH(H586-129,Fields!$D$2:$D$206,1)),""),"")</f>
        <v/>
      </c>
      <c r="L586">
        <f>IFERROR(IF(AND(H586&lt;&gt;"",H586&gt;=129,H586&lt;=2176),INDEX(Fields!$J$2:$J$206,MATCH(H586-129,Fields!$D$2:$D$206,1)),""),"")</f>
        <v/>
      </c>
      <c r="M586">
        <f>IFERROR(IF(AND(H586&lt;&gt;"",H586&gt;=129,H586&lt;=2176),INDEX(Fields!$K$2:$K$206,MATCH(H586-129,Fields!$D$2:$D$206,1)),""),"")</f>
        <v/>
      </c>
    </row>
    <row r="587">
      <c r="A587" t="n">
        <v>585</v>
      </c>
      <c r="B587" t="n">
        <v>0</v>
      </c>
      <c r="C587" t="inlineStr">
        <is>
          <t>No</t>
        </is>
      </c>
      <c r="D587">
        <f>IF(AND(B582=1,B583=1,B584=1,B585=1,B586=1),"Yes","")</f>
        <v/>
      </c>
      <c r="E587" t="inlineStr">
        <is>
          <t>No</t>
        </is>
      </c>
      <c r="F587" t="inlineStr">
        <is>
          <t>No</t>
        </is>
      </c>
      <c r="G587">
        <f>IF(F587="Yes",1-B587,B587)</f>
        <v/>
      </c>
      <c r="H587">
        <f>IF(E587="Yes","",COUNTIFS($E$2:E587,"No"))</f>
        <v/>
      </c>
      <c r="I587">
        <f>IF(H587="","",IF(H587&lt;=128,"address",IF(H587&lt;=600,"data1",IF(H587&lt;=1264,"zero-run1",IF(H587&lt;=1648,"data2",IF(H587&lt;=2176,"zero-run2",IF(H587&lt;=2192,"FCS","trailing")))))))</f>
        <v/>
      </c>
      <c r="J587">
        <f>IFERROR(IF(AND(H587&lt;&gt;"",H587&gt;=129,H587&lt;=2176),INDEX(Fields!$B$2:$B$206,MATCH(H587-129,Fields!$D$2:$D$206,1)),""),"")</f>
        <v/>
      </c>
      <c r="K587">
        <f>IFERROR(IF(AND(H587&lt;&gt;"",H587&gt;=129,H587&lt;=2176),INDEX(Fields!$C$2:$C$206,MATCH(H587-129,Fields!$D$2:$D$206,1)),""),"")</f>
        <v/>
      </c>
      <c r="L587">
        <f>IFERROR(IF(AND(H587&lt;&gt;"",H587&gt;=129,H587&lt;=2176),INDEX(Fields!$J$2:$J$206,MATCH(H587-129,Fields!$D$2:$D$206,1)),""),"")</f>
        <v/>
      </c>
      <c r="M587">
        <f>IFERROR(IF(AND(H587&lt;&gt;"",H587&gt;=129,H587&lt;=2176),INDEX(Fields!$K$2:$K$206,MATCH(H587-129,Fields!$D$2:$D$206,1)),""),"")</f>
        <v/>
      </c>
    </row>
    <row r="588">
      <c r="A588" t="n">
        <v>586</v>
      </c>
      <c r="B588" t="n">
        <v>0</v>
      </c>
      <c r="C588" t="inlineStr">
        <is>
          <t>No</t>
        </is>
      </c>
      <c r="D588">
        <f>IF(AND(B583=1,B584=1,B585=1,B586=1,B587=1),"Yes","")</f>
        <v/>
      </c>
      <c r="E588" t="inlineStr">
        <is>
          <t>No</t>
        </is>
      </c>
      <c r="F588" t="inlineStr">
        <is>
          <t>No</t>
        </is>
      </c>
      <c r="G588">
        <f>IF(F588="Yes",1-B588,B588)</f>
        <v/>
      </c>
      <c r="H588">
        <f>IF(E588="Yes","",COUNTIFS($E$2:E588,"No"))</f>
        <v/>
      </c>
      <c r="I588">
        <f>IF(H588="","",IF(H588&lt;=128,"address",IF(H588&lt;=600,"data1",IF(H588&lt;=1264,"zero-run1",IF(H588&lt;=1648,"data2",IF(H588&lt;=2176,"zero-run2",IF(H588&lt;=2192,"FCS","trailing")))))))</f>
        <v/>
      </c>
      <c r="J588">
        <f>IFERROR(IF(AND(H588&lt;&gt;"",H588&gt;=129,H588&lt;=2176),INDEX(Fields!$B$2:$B$206,MATCH(H588-129,Fields!$D$2:$D$206,1)),""),"")</f>
        <v/>
      </c>
      <c r="K588">
        <f>IFERROR(IF(AND(H588&lt;&gt;"",H588&gt;=129,H588&lt;=2176),INDEX(Fields!$C$2:$C$206,MATCH(H588-129,Fields!$D$2:$D$206,1)),""),"")</f>
        <v/>
      </c>
      <c r="L588">
        <f>IFERROR(IF(AND(H588&lt;&gt;"",H588&gt;=129,H588&lt;=2176),INDEX(Fields!$J$2:$J$206,MATCH(H588-129,Fields!$D$2:$D$206,1)),""),"")</f>
        <v/>
      </c>
      <c r="M588">
        <f>IFERROR(IF(AND(H588&lt;&gt;"",H588&gt;=129,H588&lt;=2176),INDEX(Fields!$K$2:$K$206,MATCH(H588-129,Fields!$D$2:$D$206,1)),""),"")</f>
        <v/>
      </c>
    </row>
    <row r="589">
      <c r="A589" t="n">
        <v>587</v>
      </c>
      <c r="B589" t="n">
        <v>0</v>
      </c>
      <c r="C589" t="inlineStr">
        <is>
          <t>No</t>
        </is>
      </c>
      <c r="D589">
        <f>IF(AND(B584=1,B585=1,B586=1,B587=1,B588=1),"Yes","")</f>
        <v/>
      </c>
      <c r="E589" t="inlineStr">
        <is>
          <t>No</t>
        </is>
      </c>
      <c r="F589" t="inlineStr">
        <is>
          <t>No</t>
        </is>
      </c>
      <c r="G589">
        <f>IF(F589="Yes",1-B589,B589)</f>
        <v/>
      </c>
      <c r="H589">
        <f>IF(E589="Yes","",COUNTIFS($E$2:E589,"No"))</f>
        <v/>
      </c>
      <c r="I589">
        <f>IF(H589="","",IF(H589&lt;=128,"address",IF(H589&lt;=600,"data1",IF(H589&lt;=1264,"zero-run1",IF(H589&lt;=1648,"data2",IF(H589&lt;=2176,"zero-run2",IF(H589&lt;=2192,"FCS","trailing")))))))</f>
        <v/>
      </c>
      <c r="J589">
        <f>IFERROR(IF(AND(H589&lt;&gt;"",H589&gt;=129,H589&lt;=2176),INDEX(Fields!$B$2:$B$206,MATCH(H589-129,Fields!$D$2:$D$206,1)),""),"")</f>
        <v/>
      </c>
      <c r="K589">
        <f>IFERROR(IF(AND(H589&lt;&gt;"",H589&gt;=129,H589&lt;=2176),INDEX(Fields!$C$2:$C$206,MATCH(H589-129,Fields!$D$2:$D$206,1)),""),"")</f>
        <v/>
      </c>
      <c r="L589">
        <f>IFERROR(IF(AND(H589&lt;&gt;"",H589&gt;=129,H589&lt;=2176),INDEX(Fields!$J$2:$J$206,MATCH(H589-129,Fields!$D$2:$D$206,1)),""),"")</f>
        <v/>
      </c>
      <c r="M589">
        <f>IFERROR(IF(AND(H589&lt;&gt;"",H589&gt;=129,H589&lt;=2176),INDEX(Fields!$K$2:$K$206,MATCH(H589-129,Fields!$D$2:$D$206,1)),""),"")</f>
        <v/>
      </c>
    </row>
    <row r="590">
      <c r="A590" t="n">
        <v>588</v>
      </c>
      <c r="B590" t="n">
        <v>0</v>
      </c>
      <c r="C590" t="inlineStr">
        <is>
          <t>No</t>
        </is>
      </c>
      <c r="D590">
        <f>IF(AND(B585=1,B586=1,B587=1,B588=1,B589=1),"Yes","")</f>
        <v/>
      </c>
      <c r="E590" t="inlineStr">
        <is>
          <t>No</t>
        </is>
      </c>
      <c r="F590" t="inlineStr">
        <is>
          <t>No</t>
        </is>
      </c>
      <c r="G590">
        <f>IF(F590="Yes",1-B590,B590)</f>
        <v/>
      </c>
      <c r="H590">
        <f>IF(E590="Yes","",COUNTIFS($E$2:E590,"No"))</f>
        <v/>
      </c>
      <c r="I590">
        <f>IF(H590="","",IF(H590&lt;=128,"address",IF(H590&lt;=600,"data1",IF(H590&lt;=1264,"zero-run1",IF(H590&lt;=1648,"data2",IF(H590&lt;=2176,"zero-run2",IF(H590&lt;=2192,"FCS","trailing")))))))</f>
        <v/>
      </c>
      <c r="J590">
        <f>IFERROR(IF(AND(H590&lt;&gt;"",H590&gt;=129,H590&lt;=2176),INDEX(Fields!$B$2:$B$206,MATCH(H590-129,Fields!$D$2:$D$206,1)),""),"")</f>
        <v/>
      </c>
      <c r="K590">
        <f>IFERROR(IF(AND(H590&lt;&gt;"",H590&gt;=129,H590&lt;=2176),INDEX(Fields!$C$2:$C$206,MATCH(H590-129,Fields!$D$2:$D$206,1)),""),"")</f>
        <v/>
      </c>
      <c r="L590">
        <f>IFERROR(IF(AND(H590&lt;&gt;"",H590&gt;=129,H590&lt;=2176),INDEX(Fields!$J$2:$J$206,MATCH(H590-129,Fields!$D$2:$D$206,1)),""),"")</f>
        <v/>
      </c>
      <c r="M590">
        <f>IFERROR(IF(AND(H590&lt;&gt;"",H590&gt;=129,H590&lt;=2176),INDEX(Fields!$K$2:$K$206,MATCH(H590-129,Fields!$D$2:$D$206,1)),""),"")</f>
        <v/>
      </c>
    </row>
    <row r="591">
      <c r="A591" t="n">
        <v>589</v>
      </c>
      <c r="B591" t="n">
        <v>0</v>
      </c>
      <c r="C591" t="inlineStr">
        <is>
          <t>No</t>
        </is>
      </c>
      <c r="D591">
        <f>IF(AND(B586=1,B587=1,B588=1,B589=1,B590=1),"Yes","")</f>
        <v/>
      </c>
      <c r="E591" t="inlineStr">
        <is>
          <t>No</t>
        </is>
      </c>
      <c r="F591" t="inlineStr">
        <is>
          <t>No</t>
        </is>
      </c>
      <c r="G591">
        <f>IF(F591="Yes",1-B591,B591)</f>
        <v/>
      </c>
      <c r="H591">
        <f>IF(E591="Yes","",COUNTIFS($E$2:E591,"No"))</f>
        <v/>
      </c>
      <c r="I591">
        <f>IF(H591="","",IF(H591&lt;=128,"address",IF(H591&lt;=600,"data1",IF(H591&lt;=1264,"zero-run1",IF(H591&lt;=1648,"data2",IF(H591&lt;=2176,"zero-run2",IF(H591&lt;=2192,"FCS","trailing")))))))</f>
        <v/>
      </c>
      <c r="J591">
        <f>IFERROR(IF(AND(H591&lt;&gt;"",H591&gt;=129,H591&lt;=2176),INDEX(Fields!$B$2:$B$206,MATCH(H591-129,Fields!$D$2:$D$206,1)),""),"")</f>
        <v/>
      </c>
      <c r="K591">
        <f>IFERROR(IF(AND(H591&lt;&gt;"",H591&gt;=129,H591&lt;=2176),INDEX(Fields!$C$2:$C$206,MATCH(H591-129,Fields!$D$2:$D$206,1)),""),"")</f>
        <v/>
      </c>
      <c r="L591">
        <f>IFERROR(IF(AND(H591&lt;&gt;"",H591&gt;=129,H591&lt;=2176),INDEX(Fields!$J$2:$J$206,MATCH(H591-129,Fields!$D$2:$D$206,1)),""),"")</f>
        <v/>
      </c>
      <c r="M591">
        <f>IFERROR(IF(AND(H591&lt;&gt;"",H591&gt;=129,H591&lt;=2176),INDEX(Fields!$K$2:$K$206,MATCH(H591-129,Fields!$D$2:$D$206,1)),""),"")</f>
        <v/>
      </c>
    </row>
    <row r="592">
      <c r="A592" t="n">
        <v>590</v>
      </c>
      <c r="B592" t="n">
        <v>1</v>
      </c>
      <c r="C592" t="inlineStr">
        <is>
          <t>No</t>
        </is>
      </c>
      <c r="D592">
        <f>IF(AND(B587=1,B588=1,B589=1,B590=1,B591=1),"Yes","")</f>
        <v/>
      </c>
      <c r="E592" t="inlineStr">
        <is>
          <t>No</t>
        </is>
      </c>
      <c r="F592" t="inlineStr">
        <is>
          <t>No</t>
        </is>
      </c>
      <c r="G592">
        <f>IF(F592="Yes",1-B592,B592)</f>
        <v/>
      </c>
      <c r="H592">
        <f>IF(E592="Yes","",COUNTIFS($E$2:E592,"No"))</f>
        <v/>
      </c>
      <c r="I592">
        <f>IF(H592="","",IF(H592&lt;=128,"address",IF(H592&lt;=600,"data1",IF(H592&lt;=1264,"zero-run1",IF(H592&lt;=1648,"data2",IF(H592&lt;=2176,"zero-run2",IF(H592&lt;=2192,"FCS","trailing")))))))</f>
        <v/>
      </c>
      <c r="J592">
        <f>IFERROR(IF(AND(H592&lt;&gt;"",H592&gt;=129,H592&lt;=2176),INDEX(Fields!$B$2:$B$206,MATCH(H592-129,Fields!$D$2:$D$206,1)),""),"")</f>
        <v/>
      </c>
      <c r="K592">
        <f>IFERROR(IF(AND(H592&lt;&gt;"",H592&gt;=129,H592&lt;=2176),INDEX(Fields!$C$2:$C$206,MATCH(H592-129,Fields!$D$2:$D$206,1)),""),"")</f>
        <v/>
      </c>
      <c r="L592">
        <f>IFERROR(IF(AND(H592&lt;&gt;"",H592&gt;=129,H592&lt;=2176),INDEX(Fields!$J$2:$J$206,MATCH(H592-129,Fields!$D$2:$D$206,1)),""),"")</f>
        <v/>
      </c>
      <c r="M592">
        <f>IFERROR(IF(AND(H592&lt;&gt;"",H592&gt;=129,H592&lt;=2176),INDEX(Fields!$K$2:$K$206,MATCH(H592-129,Fields!$D$2:$D$206,1)),""),"")</f>
        <v/>
      </c>
    </row>
    <row r="593">
      <c r="A593" t="n">
        <v>591</v>
      </c>
      <c r="B593" t="n">
        <v>1</v>
      </c>
      <c r="C593" t="inlineStr">
        <is>
          <t>No</t>
        </is>
      </c>
      <c r="D593">
        <f>IF(AND(B588=1,B589=1,B590=1,B591=1,B592=1),"Yes","")</f>
        <v/>
      </c>
      <c r="E593" t="inlineStr">
        <is>
          <t>No</t>
        </is>
      </c>
      <c r="F593" t="inlineStr">
        <is>
          <t>No</t>
        </is>
      </c>
      <c r="G593">
        <f>IF(F593="Yes",1-B593,B593)</f>
        <v/>
      </c>
      <c r="H593">
        <f>IF(E593="Yes","",COUNTIFS($E$2:E593,"No"))</f>
        <v/>
      </c>
      <c r="I593">
        <f>IF(H593="","",IF(H593&lt;=128,"address",IF(H593&lt;=600,"data1",IF(H593&lt;=1264,"zero-run1",IF(H593&lt;=1648,"data2",IF(H593&lt;=2176,"zero-run2",IF(H593&lt;=2192,"FCS","trailing")))))))</f>
        <v/>
      </c>
      <c r="J593">
        <f>IFERROR(IF(AND(H593&lt;&gt;"",H593&gt;=129,H593&lt;=2176),INDEX(Fields!$B$2:$B$206,MATCH(H593-129,Fields!$D$2:$D$206,1)),""),"")</f>
        <v/>
      </c>
      <c r="K593">
        <f>IFERROR(IF(AND(H593&lt;&gt;"",H593&gt;=129,H593&lt;=2176),INDEX(Fields!$C$2:$C$206,MATCH(H593-129,Fields!$D$2:$D$206,1)),""),"")</f>
        <v/>
      </c>
      <c r="L593">
        <f>IFERROR(IF(AND(H593&lt;&gt;"",H593&gt;=129,H593&lt;=2176),INDEX(Fields!$J$2:$J$206,MATCH(H593-129,Fields!$D$2:$D$206,1)),""),"")</f>
        <v/>
      </c>
      <c r="M593">
        <f>IFERROR(IF(AND(H593&lt;&gt;"",H593&gt;=129,H593&lt;=2176),INDEX(Fields!$K$2:$K$206,MATCH(H593-129,Fields!$D$2:$D$206,1)),""),"")</f>
        <v/>
      </c>
    </row>
    <row r="594">
      <c r="A594" t="n">
        <v>592</v>
      </c>
      <c r="B594" t="n">
        <v>1</v>
      </c>
      <c r="C594" t="inlineStr">
        <is>
          <t>No</t>
        </is>
      </c>
      <c r="D594">
        <f>IF(AND(B589=1,B590=1,B591=1,B592=1,B593=1),"Yes","")</f>
        <v/>
      </c>
      <c r="E594" t="inlineStr">
        <is>
          <t>No</t>
        </is>
      </c>
      <c r="F594" t="inlineStr">
        <is>
          <t>No</t>
        </is>
      </c>
      <c r="G594">
        <f>IF(F594="Yes",1-B594,B594)</f>
        <v/>
      </c>
      <c r="H594">
        <f>IF(E594="Yes","",COUNTIFS($E$2:E594,"No"))</f>
        <v/>
      </c>
      <c r="I594">
        <f>IF(H594="","",IF(H594&lt;=128,"address",IF(H594&lt;=600,"data1",IF(H594&lt;=1264,"zero-run1",IF(H594&lt;=1648,"data2",IF(H594&lt;=2176,"zero-run2",IF(H594&lt;=2192,"FCS","trailing")))))))</f>
        <v/>
      </c>
      <c r="J594">
        <f>IFERROR(IF(AND(H594&lt;&gt;"",H594&gt;=129,H594&lt;=2176),INDEX(Fields!$B$2:$B$206,MATCH(H594-129,Fields!$D$2:$D$206,1)),""),"")</f>
        <v/>
      </c>
      <c r="K594">
        <f>IFERROR(IF(AND(H594&lt;&gt;"",H594&gt;=129,H594&lt;=2176),INDEX(Fields!$C$2:$C$206,MATCH(H594-129,Fields!$D$2:$D$206,1)),""),"")</f>
        <v/>
      </c>
      <c r="L594">
        <f>IFERROR(IF(AND(H594&lt;&gt;"",H594&gt;=129,H594&lt;=2176),INDEX(Fields!$J$2:$J$206,MATCH(H594-129,Fields!$D$2:$D$206,1)),""),"")</f>
        <v/>
      </c>
      <c r="M594">
        <f>IFERROR(IF(AND(H594&lt;&gt;"",H594&gt;=129,H594&lt;=2176),INDEX(Fields!$K$2:$K$206,MATCH(H594-129,Fields!$D$2:$D$206,1)),""),"")</f>
        <v/>
      </c>
    </row>
    <row r="595">
      <c r="A595" t="n">
        <v>593</v>
      </c>
      <c r="B595" t="n">
        <v>0</v>
      </c>
      <c r="C595" s="4" t="inlineStr">
        <is>
          <t>Yes</t>
        </is>
      </c>
      <c r="D595">
        <f>IF(AND(B590=1,B591=1,B592=1,B593=1,B594=1),"Yes","")</f>
        <v/>
      </c>
      <c r="E595" t="inlineStr">
        <is>
          <t>No</t>
        </is>
      </c>
      <c r="F595" t="inlineStr">
        <is>
          <t>No</t>
        </is>
      </c>
      <c r="G595">
        <f>IF(F595="Yes",1-B595,B595)</f>
        <v/>
      </c>
      <c r="H595">
        <f>IF(E595="Yes","",COUNTIFS($E$2:E595,"No"))</f>
        <v/>
      </c>
      <c r="I595">
        <f>IF(H595="","",IF(H595&lt;=128,"address",IF(H595&lt;=600,"data1",IF(H595&lt;=1264,"zero-run1",IF(H595&lt;=1648,"data2",IF(H595&lt;=2176,"zero-run2",IF(H595&lt;=2192,"FCS","trailing")))))))</f>
        <v/>
      </c>
      <c r="J595">
        <f>IFERROR(IF(AND(H595&lt;&gt;"",H595&gt;=129,H595&lt;=2176),INDEX(Fields!$B$2:$B$206,MATCH(H595-129,Fields!$D$2:$D$206,1)),""),"")</f>
        <v/>
      </c>
      <c r="K595">
        <f>IFERROR(IF(AND(H595&lt;&gt;"",H595&gt;=129,H595&lt;=2176),INDEX(Fields!$C$2:$C$206,MATCH(H595-129,Fields!$D$2:$D$206,1)),""),"")</f>
        <v/>
      </c>
      <c r="L595">
        <f>IFERROR(IF(AND(H595&lt;&gt;"",H595&gt;=129,H595&lt;=2176),INDEX(Fields!$J$2:$J$206,MATCH(H595-129,Fields!$D$2:$D$206,1)),""),"")</f>
        <v/>
      </c>
      <c r="M595">
        <f>IFERROR(IF(AND(H595&lt;&gt;"",H595&gt;=129,H595&lt;=2176),INDEX(Fields!$K$2:$K$206,MATCH(H595-129,Fields!$D$2:$D$206,1)),""),"")</f>
        <v/>
      </c>
    </row>
    <row r="596">
      <c r="A596" t="n">
        <v>594</v>
      </c>
      <c r="B596" t="n">
        <v>0</v>
      </c>
      <c r="C596" t="inlineStr">
        <is>
          <t>No</t>
        </is>
      </c>
      <c r="D596">
        <f>IF(AND(B591=1,B592=1,B593=1,B594=1,B595=1),"Yes","")</f>
        <v/>
      </c>
      <c r="E596" t="inlineStr">
        <is>
          <t>No</t>
        </is>
      </c>
      <c r="F596" t="inlineStr">
        <is>
          <t>No</t>
        </is>
      </c>
      <c r="G596">
        <f>IF(F596="Yes",1-B596,B596)</f>
        <v/>
      </c>
      <c r="H596">
        <f>IF(E596="Yes","",COUNTIFS($E$2:E596,"No"))</f>
        <v/>
      </c>
      <c r="I596">
        <f>IF(H596="","",IF(H596&lt;=128,"address",IF(H596&lt;=600,"data1",IF(H596&lt;=1264,"zero-run1",IF(H596&lt;=1648,"data2",IF(H596&lt;=2176,"zero-run2",IF(H596&lt;=2192,"FCS","trailing")))))))</f>
        <v/>
      </c>
      <c r="J596">
        <f>IFERROR(IF(AND(H596&lt;&gt;"",H596&gt;=129,H596&lt;=2176),INDEX(Fields!$B$2:$B$206,MATCH(H596-129,Fields!$D$2:$D$206,1)),""),"")</f>
        <v/>
      </c>
      <c r="K596">
        <f>IFERROR(IF(AND(H596&lt;&gt;"",H596&gt;=129,H596&lt;=2176),INDEX(Fields!$C$2:$C$206,MATCH(H596-129,Fields!$D$2:$D$206,1)),""),"")</f>
        <v/>
      </c>
      <c r="L596">
        <f>IFERROR(IF(AND(H596&lt;&gt;"",H596&gt;=129,H596&lt;=2176),INDEX(Fields!$J$2:$J$206,MATCH(H596-129,Fields!$D$2:$D$206,1)),""),"")</f>
        <v/>
      </c>
      <c r="M596">
        <f>IFERROR(IF(AND(H596&lt;&gt;"",H596&gt;=129,H596&lt;=2176),INDEX(Fields!$K$2:$K$206,MATCH(H596-129,Fields!$D$2:$D$206,1)),""),"")</f>
        <v/>
      </c>
    </row>
    <row r="597">
      <c r="A597" t="n">
        <v>595</v>
      </c>
      <c r="B597" t="n">
        <v>1</v>
      </c>
      <c r="C597" t="inlineStr">
        <is>
          <t>No</t>
        </is>
      </c>
      <c r="D597">
        <f>IF(AND(B592=1,B593=1,B594=1,B595=1,B596=1),"Yes","")</f>
        <v/>
      </c>
      <c r="E597" t="inlineStr">
        <is>
          <t>No</t>
        </is>
      </c>
      <c r="F597" t="inlineStr">
        <is>
          <t>No</t>
        </is>
      </c>
      <c r="G597">
        <f>IF(F597="Yes",1-B597,B597)</f>
        <v/>
      </c>
      <c r="H597">
        <f>IF(E597="Yes","",COUNTIFS($E$2:E597,"No"))</f>
        <v/>
      </c>
      <c r="I597">
        <f>IF(H597="","",IF(H597&lt;=128,"address",IF(H597&lt;=600,"data1",IF(H597&lt;=1264,"zero-run1",IF(H597&lt;=1648,"data2",IF(H597&lt;=2176,"zero-run2",IF(H597&lt;=2192,"FCS","trailing")))))))</f>
        <v/>
      </c>
      <c r="J597">
        <f>IFERROR(IF(AND(H597&lt;&gt;"",H597&gt;=129,H597&lt;=2176),INDEX(Fields!$B$2:$B$206,MATCH(H597-129,Fields!$D$2:$D$206,1)),""),"")</f>
        <v/>
      </c>
      <c r="K597">
        <f>IFERROR(IF(AND(H597&lt;&gt;"",H597&gt;=129,H597&lt;=2176),INDEX(Fields!$C$2:$C$206,MATCH(H597-129,Fields!$D$2:$D$206,1)),""),"")</f>
        <v/>
      </c>
      <c r="L597">
        <f>IFERROR(IF(AND(H597&lt;&gt;"",H597&gt;=129,H597&lt;=2176),INDEX(Fields!$J$2:$J$206,MATCH(H597-129,Fields!$D$2:$D$206,1)),""),"")</f>
        <v/>
      </c>
      <c r="M597">
        <f>IFERROR(IF(AND(H597&lt;&gt;"",H597&gt;=129,H597&lt;=2176),INDEX(Fields!$K$2:$K$206,MATCH(H597-129,Fields!$D$2:$D$206,1)),""),"")</f>
        <v/>
      </c>
    </row>
    <row r="598">
      <c r="A598" t="n">
        <v>596</v>
      </c>
      <c r="B598" t="n">
        <v>0</v>
      </c>
      <c r="C598" t="inlineStr">
        <is>
          <t>No</t>
        </is>
      </c>
      <c r="D598">
        <f>IF(AND(B593=1,B594=1,B595=1,B596=1,B597=1),"Yes","")</f>
        <v/>
      </c>
      <c r="E598" t="inlineStr">
        <is>
          <t>No</t>
        </is>
      </c>
      <c r="F598" t="inlineStr">
        <is>
          <t>No</t>
        </is>
      </c>
      <c r="G598">
        <f>IF(F598="Yes",1-B598,B598)</f>
        <v/>
      </c>
      <c r="H598">
        <f>IF(E598="Yes","",COUNTIFS($E$2:E598,"No"))</f>
        <v/>
      </c>
      <c r="I598">
        <f>IF(H598="","",IF(H598&lt;=128,"address",IF(H598&lt;=600,"data1",IF(H598&lt;=1264,"zero-run1",IF(H598&lt;=1648,"data2",IF(H598&lt;=2176,"zero-run2",IF(H598&lt;=2192,"FCS","trailing")))))))</f>
        <v/>
      </c>
      <c r="J598">
        <f>IFERROR(IF(AND(H598&lt;&gt;"",H598&gt;=129,H598&lt;=2176),INDEX(Fields!$B$2:$B$206,MATCH(H598-129,Fields!$D$2:$D$206,1)),""),"")</f>
        <v/>
      </c>
      <c r="K598">
        <f>IFERROR(IF(AND(H598&lt;&gt;"",H598&gt;=129,H598&lt;=2176),INDEX(Fields!$C$2:$C$206,MATCH(H598-129,Fields!$D$2:$D$206,1)),""),"")</f>
        <v/>
      </c>
      <c r="L598">
        <f>IFERROR(IF(AND(H598&lt;&gt;"",H598&gt;=129,H598&lt;=2176),INDEX(Fields!$J$2:$J$206,MATCH(H598-129,Fields!$D$2:$D$206,1)),""),"")</f>
        <v/>
      </c>
      <c r="M598">
        <f>IFERROR(IF(AND(H598&lt;&gt;"",H598&gt;=129,H598&lt;=2176),INDEX(Fields!$K$2:$K$206,MATCH(H598-129,Fields!$D$2:$D$206,1)),""),"")</f>
        <v/>
      </c>
    </row>
    <row r="599">
      <c r="A599" t="n">
        <v>597</v>
      </c>
      <c r="B599" t="n">
        <v>0</v>
      </c>
      <c r="C599" t="inlineStr">
        <is>
          <t>No</t>
        </is>
      </c>
      <c r="D599">
        <f>IF(AND(B594=1,B595=1,B596=1,B597=1,B598=1),"Yes","")</f>
        <v/>
      </c>
      <c r="E599" t="inlineStr">
        <is>
          <t>No</t>
        </is>
      </c>
      <c r="F599" t="inlineStr">
        <is>
          <t>No</t>
        </is>
      </c>
      <c r="G599">
        <f>IF(F599="Yes",1-B599,B599)</f>
        <v/>
      </c>
      <c r="H599">
        <f>IF(E599="Yes","",COUNTIFS($E$2:E599,"No"))</f>
        <v/>
      </c>
      <c r="I599">
        <f>IF(H599="","",IF(H599&lt;=128,"address",IF(H599&lt;=600,"data1",IF(H599&lt;=1264,"zero-run1",IF(H599&lt;=1648,"data2",IF(H599&lt;=2176,"zero-run2",IF(H599&lt;=2192,"FCS","trailing")))))))</f>
        <v/>
      </c>
      <c r="J599">
        <f>IFERROR(IF(AND(H599&lt;&gt;"",H599&gt;=129,H599&lt;=2176),INDEX(Fields!$B$2:$B$206,MATCH(H599-129,Fields!$D$2:$D$206,1)),""),"")</f>
        <v/>
      </c>
      <c r="K599">
        <f>IFERROR(IF(AND(H599&lt;&gt;"",H599&gt;=129,H599&lt;=2176),INDEX(Fields!$C$2:$C$206,MATCH(H599-129,Fields!$D$2:$D$206,1)),""),"")</f>
        <v/>
      </c>
      <c r="L599">
        <f>IFERROR(IF(AND(H599&lt;&gt;"",H599&gt;=129,H599&lt;=2176),INDEX(Fields!$J$2:$J$206,MATCH(H599-129,Fields!$D$2:$D$206,1)),""),"")</f>
        <v/>
      </c>
      <c r="M599">
        <f>IFERROR(IF(AND(H599&lt;&gt;"",H599&gt;=129,H599&lt;=2176),INDEX(Fields!$K$2:$K$206,MATCH(H599-129,Fields!$D$2:$D$206,1)),""),"")</f>
        <v/>
      </c>
    </row>
    <row r="600">
      <c r="A600" t="n">
        <v>598</v>
      </c>
      <c r="B600" t="n">
        <v>0</v>
      </c>
      <c r="C600" t="inlineStr">
        <is>
          <t>No</t>
        </is>
      </c>
      <c r="D600">
        <f>IF(AND(B595=1,B596=1,B597=1,B598=1,B599=1),"Yes","")</f>
        <v/>
      </c>
      <c r="E600" t="inlineStr">
        <is>
          <t>No</t>
        </is>
      </c>
      <c r="F600" t="inlineStr">
        <is>
          <t>No</t>
        </is>
      </c>
      <c r="G600">
        <f>IF(F600="Yes",1-B600,B600)</f>
        <v/>
      </c>
      <c r="H600">
        <f>IF(E600="Yes","",COUNTIFS($E$2:E600,"No"))</f>
        <v/>
      </c>
      <c r="I600">
        <f>IF(H600="","",IF(H600&lt;=128,"address",IF(H600&lt;=600,"data1",IF(H600&lt;=1264,"zero-run1",IF(H600&lt;=1648,"data2",IF(H600&lt;=2176,"zero-run2",IF(H600&lt;=2192,"FCS","trailing")))))))</f>
        <v/>
      </c>
      <c r="J600">
        <f>IFERROR(IF(AND(H600&lt;&gt;"",H600&gt;=129,H600&lt;=2176),INDEX(Fields!$B$2:$B$206,MATCH(H600-129,Fields!$D$2:$D$206,1)),""),"")</f>
        <v/>
      </c>
      <c r="K600">
        <f>IFERROR(IF(AND(H600&lt;&gt;"",H600&gt;=129,H600&lt;=2176),INDEX(Fields!$C$2:$C$206,MATCH(H600-129,Fields!$D$2:$D$206,1)),""),"")</f>
        <v/>
      </c>
      <c r="L600">
        <f>IFERROR(IF(AND(H600&lt;&gt;"",H600&gt;=129,H600&lt;=2176),INDEX(Fields!$J$2:$J$206,MATCH(H600-129,Fields!$D$2:$D$206,1)),""),"")</f>
        <v/>
      </c>
      <c r="M600">
        <f>IFERROR(IF(AND(H600&lt;&gt;"",H600&gt;=129,H600&lt;=2176),INDEX(Fields!$K$2:$K$206,MATCH(H600-129,Fields!$D$2:$D$206,1)),""),"")</f>
        <v/>
      </c>
    </row>
    <row r="601">
      <c r="A601" t="n">
        <v>599</v>
      </c>
      <c r="B601" t="n">
        <v>0</v>
      </c>
      <c r="C601" t="inlineStr">
        <is>
          <t>No</t>
        </is>
      </c>
      <c r="D601">
        <f>IF(AND(B596=1,B597=1,B598=1,B599=1,B600=1),"Yes","")</f>
        <v/>
      </c>
      <c r="E601" t="inlineStr">
        <is>
          <t>No</t>
        </is>
      </c>
      <c r="F601" t="inlineStr">
        <is>
          <t>No</t>
        </is>
      </c>
      <c r="G601">
        <f>IF(F601="Yes",1-B601,B601)</f>
        <v/>
      </c>
      <c r="H601">
        <f>IF(E601="Yes","",COUNTIFS($E$2:E601,"No"))</f>
        <v/>
      </c>
      <c r="I601">
        <f>IF(H601="","",IF(H601&lt;=128,"address",IF(H601&lt;=600,"data1",IF(H601&lt;=1264,"zero-run1",IF(H601&lt;=1648,"data2",IF(H601&lt;=2176,"zero-run2",IF(H601&lt;=2192,"FCS","trailing")))))))</f>
        <v/>
      </c>
      <c r="J601">
        <f>IFERROR(IF(AND(H601&lt;&gt;"",H601&gt;=129,H601&lt;=2176),INDEX(Fields!$B$2:$B$206,MATCH(H601-129,Fields!$D$2:$D$206,1)),""),"")</f>
        <v/>
      </c>
      <c r="K601">
        <f>IFERROR(IF(AND(H601&lt;&gt;"",H601&gt;=129,H601&lt;=2176),INDEX(Fields!$C$2:$C$206,MATCH(H601-129,Fields!$D$2:$D$206,1)),""),"")</f>
        <v/>
      </c>
      <c r="L601">
        <f>IFERROR(IF(AND(H601&lt;&gt;"",H601&gt;=129,H601&lt;=2176),INDEX(Fields!$J$2:$J$206,MATCH(H601-129,Fields!$D$2:$D$206,1)),""),"")</f>
        <v/>
      </c>
      <c r="M601">
        <f>IFERROR(IF(AND(H601&lt;&gt;"",H601&gt;=129,H601&lt;=2176),INDEX(Fields!$K$2:$K$206,MATCH(H601-129,Fields!$D$2:$D$206,1)),""),"")</f>
        <v/>
      </c>
    </row>
    <row r="602">
      <c r="A602" t="n">
        <v>600</v>
      </c>
      <c r="B602" t="n">
        <v>0</v>
      </c>
      <c r="C602" t="inlineStr">
        <is>
          <t>No</t>
        </is>
      </c>
      <c r="D602">
        <f>IF(AND(B597=1,B598=1,B599=1,B600=1,B601=1),"Yes","")</f>
        <v/>
      </c>
      <c r="E602" t="inlineStr">
        <is>
          <t>No</t>
        </is>
      </c>
      <c r="F602" t="inlineStr">
        <is>
          <t>No</t>
        </is>
      </c>
      <c r="G602">
        <f>IF(F602="Yes",1-B602,B602)</f>
        <v/>
      </c>
      <c r="H602">
        <f>IF(E602="Yes","",COUNTIFS($E$2:E602,"No"))</f>
        <v/>
      </c>
      <c r="I602">
        <f>IF(H602="","",IF(H602&lt;=128,"address",IF(H602&lt;=600,"data1",IF(H602&lt;=1264,"zero-run1",IF(H602&lt;=1648,"data2",IF(H602&lt;=2176,"zero-run2",IF(H602&lt;=2192,"FCS","trailing")))))))</f>
        <v/>
      </c>
      <c r="J602">
        <f>IFERROR(IF(AND(H602&lt;&gt;"",H602&gt;=129,H602&lt;=2176),INDEX(Fields!$B$2:$B$206,MATCH(H602-129,Fields!$D$2:$D$206,1)),""),"")</f>
        <v/>
      </c>
      <c r="K602">
        <f>IFERROR(IF(AND(H602&lt;&gt;"",H602&gt;=129,H602&lt;=2176),INDEX(Fields!$C$2:$C$206,MATCH(H602-129,Fields!$D$2:$D$206,1)),""),"")</f>
        <v/>
      </c>
      <c r="L602">
        <f>IFERROR(IF(AND(H602&lt;&gt;"",H602&gt;=129,H602&lt;=2176),INDEX(Fields!$J$2:$J$206,MATCH(H602-129,Fields!$D$2:$D$206,1)),""),"")</f>
        <v/>
      </c>
      <c r="M602">
        <f>IFERROR(IF(AND(H602&lt;&gt;"",H602&gt;=129,H602&lt;=2176),INDEX(Fields!$K$2:$K$206,MATCH(H602-129,Fields!$D$2:$D$206,1)),""),"")</f>
        <v/>
      </c>
    </row>
    <row r="603">
      <c r="A603" t="n">
        <v>601</v>
      </c>
      <c r="B603" t="n">
        <v>0</v>
      </c>
      <c r="C603" t="inlineStr">
        <is>
          <t>No</t>
        </is>
      </c>
      <c r="D603">
        <f>IF(AND(B598=1,B599=1,B600=1,B601=1,B602=1),"Yes","")</f>
        <v/>
      </c>
      <c r="E603" t="inlineStr">
        <is>
          <t>No</t>
        </is>
      </c>
      <c r="F603" t="inlineStr">
        <is>
          <t>No</t>
        </is>
      </c>
      <c r="G603">
        <f>IF(F603="Yes",1-B603,B603)</f>
        <v/>
      </c>
      <c r="H603">
        <f>IF(E603="Yes","",COUNTIFS($E$2:E603,"No"))</f>
        <v/>
      </c>
      <c r="I603">
        <f>IF(H603="","",IF(H603&lt;=128,"address",IF(H603&lt;=600,"data1",IF(H603&lt;=1264,"zero-run1",IF(H603&lt;=1648,"data2",IF(H603&lt;=2176,"zero-run2",IF(H603&lt;=2192,"FCS","trailing")))))))</f>
        <v/>
      </c>
      <c r="J603">
        <f>IFERROR(IF(AND(H603&lt;&gt;"",H603&gt;=129,H603&lt;=2176),INDEX(Fields!$B$2:$B$206,MATCH(H603-129,Fields!$D$2:$D$206,1)),""),"")</f>
        <v/>
      </c>
      <c r="K603">
        <f>IFERROR(IF(AND(H603&lt;&gt;"",H603&gt;=129,H603&lt;=2176),INDEX(Fields!$C$2:$C$206,MATCH(H603-129,Fields!$D$2:$D$206,1)),""),"")</f>
        <v/>
      </c>
      <c r="L603">
        <f>IFERROR(IF(AND(H603&lt;&gt;"",H603&gt;=129,H603&lt;=2176),INDEX(Fields!$J$2:$J$206,MATCH(H603-129,Fields!$D$2:$D$206,1)),""),"")</f>
        <v/>
      </c>
      <c r="M603">
        <f>IFERROR(IF(AND(H603&lt;&gt;"",H603&gt;=129,H603&lt;=2176),INDEX(Fields!$K$2:$K$206,MATCH(H603-129,Fields!$D$2:$D$206,1)),""),"")</f>
        <v/>
      </c>
    </row>
    <row r="604">
      <c r="A604" t="n">
        <v>602</v>
      </c>
      <c r="B604" t="n">
        <v>0</v>
      </c>
      <c r="C604" t="inlineStr">
        <is>
          <t>No</t>
        </is>
      </c>
      <c r="D604">
        <f>IF(AND(B599=1,B600=1,B601=1,B602=1,B603=1),"Yes","")</f>
        <v/>
      </c>
      <c r="E604" t="inlineStr">
        <is>
          <t>No</t>
        </is>
      </c>
      <c r="F604" t="inlineStr">
        <is>
          <t>No</t>
        </is>
      </c>
      <c r="G604">
        <f>IF(F604="Yes",1-B604,B604)</f>
        <v/>
      </c>
      <c r="H604">
        <f>IF(E604="Yes","",COUNTIFS($E$2:E604,"No"))</f>
        <v/>
      </c>
      <c r="I604">
        <f>IF(H604="","",IF(H604&lt;=128,"address",IF(H604&lt;=600,"data1",IF(H604&lt;=1264,"zero-run1",IF(H604&lt;=1648,"data2",IF(H604&lt;=2176,"zero-run2",IF(H604&lt;=2192,"FCS","trailing")))))))</f>
        <v/>
      </c>
      <c r="J604">
        <f>IFERROR(IF(AND(H604&lt;&gt;"",H604&gt;=129,H604&lt;=2176),INDEX(Fields!$B$2:$B$206,MATCH(H604-129,Fields!$D$2:$D$206,1)),""),"")</f>
        <v/>
      </c>
      <c r="K604">
        <f>IFERROR(IF(AND(H604&lt;&gt;"",H604&gt;=129,H604&lt;=2176),INDEX(Fields!$C$2:$C$206,MATCH(H604-129,Fields!$D$2:$D$206,1)),""),"")</f>
        <v/>
      </c>
      <c r="L604">
        <f>IFERROR(IF(AND(H604&lt;&gt;"",H604&gt;=129,H604&lt;=2176),INDEX(Fields!$J$2:$J$206,MATCH(H604-129,Fields!$D$2:$D$206,1)),""),"")</f>
        <v/>
      </c>
      <c r="M604">
        <f>IFERROR(IF(AND(H604&lt;&gt;"",H604&gt;=129,H604&lt;=2176),INDEX(Fields!$K$2:$K$206,MATCH(H604-129,Fields!$D$2:$D$206,1)),""),"")</f>
        <v/>
      </c>
    </row>
    <row r="605">
      <c r="A605" t="n">
        <v>603</v>
      </c>
      <c r="B605" t="n">
        <v>0</v>
      </c>
      <c r="C605" t="inlineStr">
        <is>
          <t>No</t>
        </is>
      </c>
      <c r="D605">
        <f>IF(AND(B600=1,B601=1,B602=1,B603=1,B604=1),"Yes","")</f>
        <v/>
      </c>
      <c r="E605" t="inlineStr">
        <is>
          <t>No</t>
        </is>
      </c>
      <c r="F605" t="inlineStr">
        <is>
          <t>No</t>
        </is>
      </c>
      <c r="G605">
        <f>IF(F605="Yes",1-B605,B605)</f>
        <v/>
      </c>
      <c r="H605">
        <f>IF(E605="Yes","",COUNTIFS($E$2:E605,"No"))</f>
        <v/>
      </c>
      <c r="I605">
        <f>IF(H605="","",IF(H605&lt;=128,"address",IF(H605&lt;=600,"data1",IF(H605&lt;=1264,"zero-run1",IF(H605&lt;=1648,"data2",IF(H605&lt;=2176,"zero-run2",IF(H605&lt;=2192,"FCS","trailing")))))))</f>
        <v/>
      </c>
      <c r="J605">
        <f>IFERROR(IF(AND(H605&lt;&gt;"",H605&gt;=129,H605&lt;=2176),INDEX(Fields!$B$2:$B$206,MATCH(H605-129,Fields!$D$2:$D$206,1)),""),"")</f>
        <v/>
      </c>
      <c r="K605">
        <f>IFERROR(IF(AND(H605&lt;&gt;"",H605&gt;=129,H605&lt;=2176),INDEX(Fields!$C$2:$C$206,MATCH(H605-129,Fields!$D$2:$D$206,1)),""),"")</f>
        <v/>
      </c>
      <c r="L605">
        <f>IFERROR(IF(AND(H605&lt;&gt;"",H605&gt;=129,H605&lt;=2176),INDEX(Fields!$J$2:$J$206,MATCH(H605-129,Fields!$D$2:$D$206,1)),""),"")</f>
        <v/>
      </c>
      <c r="M605">
        <f>IFERROR(IF(AND(H605&lt;&gt;"",H605&gt;=129,H605&lt;=2176),INDEX(Fields!$K$2:$K$206,MATCH(H605-129,Fields!$D$2:$D$206,1)),""),"")</f>
        <v/>
      </c>
    </row>
    <row r="606">
      <c r="A606" t="n">
        <v>604</v>
      </c>
      <c r="B606" t="n">
        <v>0</v>
      </c>
      <c r="C606" t="inlineStr">
        <is>
          <t>No</t>
        </is>
      </c>
      <c r="D606">
        <f>IF(AND(B601=1,B602=1,B603=1,B604=1,B605=1),"Yes","")</f>
        <v/>
      </c>
      <c r="E606" t="inlineStr">
        <is>
          <t>No</t>
        </is>
      </c>
      <c r="F606" t="inlineStr">
        <is>
          <t>No</t>
        </is>
      </c>
      <c r="G606">
        <f>IF(F606="Yes",1-B606,B606)</f>
        <v/>
      </c>
      <c r="H606">
        <f>IF(E606="Yes","",COUNTIFS($E$2:E606,"No"))</f>
        <v/>
      </c>
      <c r="I606">
        <f>IF(H606="","",IF(H606&lt;=128,"address",IF(H606&lt;=600,"data1",IF(H606&lt;=1264,"zero-run1",IF(H606&lt;=1648,"data2",IF(H606&lt;=2176,"zero-run2",IF(H606&lt;=2192,"FCS","trailing")))))))</f>
        <v/>
      </c>
      <c r="J606">
        <f>IFERROR(IF(AND(H606&lt;&gt;"",H606&gt;=129,H606&lt;=2176),INDEX(Fields!$B$2:$B$206,MATCH(H606-129,Fields!$D$2:$D$206,1)),""),"")</f>
        <v/>
      </c>
      <c r="K606">
        <f>IFERROR(IF(AND(H606&lt;&gt;"",H606&gt;=129,H606&lt;=2176),INDEX(Fields!$C$2:$C$206,MATCH(H606-129,Fields!$D$2:$D$206,1)),""),"")</f>
        <v/>
      </c>
      <c r="L606">
        <f>IFERROR(IF(AND(H606&lt;&gt;"",H606&gt;=129,H606&lt;=2176),INDEX(Fields!$J$2:$J$206,MATCH(H606-129,Fields!$D$2:$D$206,1)),""),"")</f>
        <v/>
      </c>
      <c r="M606">
        <f>IFERROR(IF(AND(H606&lt;&gt;"",H606&gt;=129,H606&lt;=2176),INDEX(Fields!$K$2:$K$206,MATCH(H606-129,Fields!$D$2:$D$206,1)),""),"")</f>
        <v/>
      </c>
    </row>
    <row r="607">
      <c r="A607" t="n">
        <v>605</v>
      </c>
      <c r="B607" t="n">
        <v>0</v>
      </c>
      <c r="C607" t="inlineStr">
        <is>
          <t>No</t>
        </is>
      </c>
      <c r="D607">
        <f>IF(AND(B602=1,B603=1,B604=1,B605=1,B606=1),"Yes","")</f>
        <v/>
      </c>
      <c r="E607" t="inlineStr">
        <is>
          <t>No</t>
        </is>
      </c>
      <c r="F607" t="inlineStr">
        <is>
          <t>No</t>
        </is>
      </c>
      <c r="G607">
        <f>IF(F607="Yes",1-B607,B607)</f>
        <v/>
      </c>
      <c r="H607">
        <f>IF(E607="Yes","",COUNTIFS($E$2:E607,"No"))</f>
        <v/>
      </c>
      <c r="I607">
        <f>IF(H607="","",IF(H607&lt;=128,"address",IF(H607&lt;=600,"data1",IF(H607&lt;=1264,"zero-run1",IF(H607&lt;=1648,"data2",IF(H607&lt;=2176,"zero-run2",IF(H607&lt;=2192,"FCS","trailing")))))))</f>
        <v/>
      </c>
      <c r="J607">
        <f>IFERROR(IF(AND(H607&lt;&gt;"",H607&gt;=129,H607&lt;=2176),INDEX(Fields!$B$2:$B$206,MATCH(H607-129,Fields!$D$2:$D$206,1)),""),"")</f>
        <v/>
      </c>
      <c r="K607">
        <f>IFERROR(IF(AND(H607&lt;&gt;"",H607&gt;=129,H607&lt;=2176),INDEX(Fields!$C$2:$C$206,MATCH(H607-129,Fields!$D$2:$D$206,1)),""),"")</f>
        <v/>
      </c>
      <c r="L607">
        <f>IFERROR(IF(AND(H607&lt;&gt;"",H607&gt;=129,H607&lt;=2176),INDEX(Fields!$J$2:$J$206,MATCH(H607-129,Fields!$D$2:$D$206,1)),""),"")</f>
        <v/>
      </c>
      <c r="M607">
        <f>IFERROR(IF(AND(H607&lt;&gt;"",H607&gt;=129,H607&lt;=2176),INDEX(Fields!$K$2:$K$206,MATCH(H607-129,Fields!$D$2:$D$206,1)),""),"")</f>
        <v/>
      </c>
    </row>
    <row r="608">
      <c r="A608" t="n">
        <v>606</v>
      </c>
      <c r="B608" t="n">
        <v>0</v>
      </c>
      <c r="C608" t="inlineStr">
        <is>
          <t>No</t>
        </is>
      </c>
      <c r="D608">
        <f>IF(AND(B603=1,B604=1,B605=1,B606=1,B607=1),"Yes","")</f>
        <v/>
      </c>
      <c r="E608" t="inlineStr">
        <is>
          <t>No</t>
        </is>
      </c>
      <c r="F608" t="inlineStr">
        <is>
          <t>No</t>
        </is>
      </c>
      <c r="G608">
        <f>IF(F608="Yes",1-B608,B608)</f>
        <v/>
      </c>
      <c r="H608">
        <f>IF(E608="Yes","",COUNTIFS($E$2:E608,"No"))</f>
        <v/>
      </c>
      <c r="I608">
        <f>IF(H608="","",IF(H608&lt;=128,"address",IF(H608&lt;=600,"data1",IF(H608&lt;=1264,"zero-run1",IF(H608&lt;=1648,"data2",IF(H608&lt;=2176,"zero-run2",IF(H608&lt;=2192,"FCS","trailing")))))))</f>
        <v/>
      </c>
      <c r="J608">
        <f>IFERROR(IF(AND(H608&lt;&gt;"",H608&gt;=129,H608&lt;=2176),INDEX(Fields!$B$2:$B$206,MATCH(H608-129,Fields!$D$2:$D$206,1)),""),"")</f>
        <v/>
      </c>
      <c r="K608">
        <f>IFERROR(IF(AND(H608&lt;&gt;"",H608&gt;=129,H608&lt;=2176),INDEX(Fields!$C$2:$C$206,MATCH(H608-129,Fields!$D$2:$D$206,1)),""),"")</f>
        <v/>
      </c>
      <c r="L608">
        <f>IFERROR(IF(AND(H608&lt;&gt;"",H608&gt;=129,H608&lt;=2176),INDEX(Fields!$J$2:$J$206,MATCH(H608-129,Fields!$D$2:$D$206,1)),""),"")</f>
        <v/>
      </c>
      <c r="M608">
        <f>IFERROR(IF(AND(H608&lt;&gt;"",H608&gt;=129,H608&lt;=2176),INDEX(Fields!$K$2:$K$206,MATCH(H608-129,Fields!$D$2:$D$206,1)),""),"")</f>
        <v/>
      </c>
    </row>
    <row r="609">
      <c r="A609" t="n">
        <v>607</v>
      </c>
      <c r="B609" t="n">
        <v>0</v>
      </c>
      <c r="C609" t="inlineStr">
        <is>
          <t>No</t>
        </is>
      </c>
      <c r="D609">
        <f>IF(AND(B604=1,B605=1,B606=1,B607=1,B608=1),"Yes","")</f>
        <v/>
      </c>
      <c r="E609" t="inlineStr">
        <is>
          <t>No</t>
        </is>
      </c>
      <c r="F609" t="inlineStr">
        <is>
          <t>No</t>
        </is>
      </c>
      <c r="G609">
        <f>IF(F609="Yes",1-B609,B609)</f>
        <v/>
      </c>
      <c r="H609">
        <f>IF(E609="Yes","",COUNTIFS($E$2:E609,"No"))</f>
        <v/>
      </c>
      <c r="I609">
        <f>IF(H609="","",IF(H609&lt;=128,"address",IF(H609&lt;=600,"data1",IF(H609&lt;=1264,"zero-run1",IF(H609&lt;=1648,"data2",IF(H609&lt;=2176,"zero-run2",IF(H609&lt;=2192,"FCS","trailing")))))))</f>
        <v/>
      </c>
      <c r="J609">
        <f>IFERROR(IF(AND(H609&lt;&gt;"",H609&gt;=129,H609&lt;=2176),INDEX(Fields!$B$2:$B$206,MATCH(H609-129,Fields!$D$2:$D$206,1)),""),"")</f>
        <v/>
      </c>
      <c r="K609">
        <f>IFERROR(IF(AND(H609&lt;&gt;"",H609&gt;=129,H609&lt;=2176),INDEX(Fields!$C$2:$C$206,MATCH(H609-129,Fields!$D$2:$D$206,1)),""),"")</f>
        <v/>
      </c>
      <c r="L609">
        <f>IFERROR(IF(AND(H609&lt;&gt;"",H609&gt;=129,H609&lt;=2176),INDEX(Fields!$J$2:$J$206,MATCH(H609-129,Fields!$D$2:$D$206,1)),""),"")</f>
        <v/>
      </c>
      <c r="M609">
        <f>IFERROR(IF(AND(H609&lt;&gt;"",H609&gt;=129,H609&lt;=2176),INDEX(Fields!$K$2:$K$206,MATCH(H609-129,Fields!$D$2:$D$206,1)),""),"")</f>
        <v/>
      </c>
    </row>
    <row r="610">
      <c r="A610" t="n">
        <v>608</v>
      </c>
      <c r="B610" t="n">
        <v>0</v>
      </c>
      <c r="C610" t="inlineStr">
        <is>
          <t>No</t>
        </is>
      </c>
      <c r="D610">
        <f>IF(AND(B605=1,B606=1,B607=1,B608=1,B609=1),"Yes","")</f>
        <v/>
      </c>
      <c r="E610" t="inlineStr">
        <is>
          <t>No</t>
        </is>
      </c>
      <c r="F610" t="inlineStr">
        <is>
          <t>No</t>
        </is>
      </c>
      <c r="G610">
        <f>IF(F610="Yes",1-B610,B610)</f>
        <v/>
      </c>
      <c r="H610">
        <f>IF(E610="Yes","",COUNTIFS($E$2:E610,"No"))</f>
        <v/>
      </c>
      <c r="I610">
        <f>IF(H610="","",IF(H610&lt;=128,"address",IF(H610&lt;=600,"data1",IF(H610&lt;=1264,"zero-run1",IF(H610&lt;=1648,"data2",IF(H610&lt;=2176,"zero-run2",IF(H610&lt;=2192,"FCS","trailing")))))))</f>
        <v/>
      </c>
      <c r="J610">
        <f>IFERROR(IF(AND(H610&lt;&gt;"",H610&gt;=129,H610&lt;=2176),INDEX(Fields!$B$2:$B$206,MATCH(H610-129,Fields!$D$2:$D$206,1)),""),"")</f>
        <v/>
      </c>
      <c r="K610">
        <f>IFERROR(IF(AND(H610&lt;&gt;"",H610&gt;=129,H610&lt;=2176),INDEX(Fields!$C$2:$C$206,MATCH(H610-129,Fields!$D$2:$D$206,1)),""),"")</f>
        <v/>
      </c>
      <c r="L610">
        <f>IFERROR(IF(AND(H610&lt;&gt;"",H610&gt;=129,H610&lt;=2176),INDEX(Fields!$J$2:$J$206,MATCH(H610-129,Fields!$D$2:$D$206,1)),""),"")</f>
        <v/>
      </c>
      <c r="M610">
        <f>IFERROR(IF(AND(H610&lt;&gt;"",H610&gt;=129,H610&lt;=2176),INDEX(Fields!$K$2:$K$206,MATCH(H610-129,Fields!$D$2:$D$206,1)),""),"")</f>
        <v/>
      </c>
    </row>
    <row r="611">
      <c r="A611" t="n">
        <v>609</v>
      </c>
      <c r="B611" t="n">
        <v>0</v>
      </c>
      <c r="C611" t="inlineStr">
        <is>
          <t>No</t>
        </is>
      </c>
      <c r="D611">
        <f>IF(AND(B606=1,B607=1,B608=1,B609=1,B610=1),"Yes","")</f>
        <v/>
      </c>
      <c r="E611" t="inlineStr">
        <is>
          <t>No</t>
        </is>
      </c>
      <c r="F611" t="inlineStr">
        <is>
          <t>No</t>
        </is>
      </c>
      <c r="G611">
        <f>IF(F611="Yes",1-B611,B611)</f>
        <v/>
      </c>
      <c r="H611">
        <f>IF(E611="Yes","",COUNTIFS($E$2:E611,"No"))</f>
        <v/>
      </c>
      <c r="I611">
        <f>IF(H611="","",IF(H611&lt;=128,"address",IF(H611&lt;=600,"data1",IF(H611&lt;=1264,"zero-run1",IF(H611&lt;=1648,"data2",IF(H611&lt;=2176,"zero-run2",IF(H611&lt;=2192,"FCS","trailing")))))))</f>
        <v/>
      </c>
      <c r="J611">
        <f>IFERROR(IF(AND(H611&lt;&gt;"",H611&gt;=129,H611&lt;=2176),INDEX(Fields!$B$2:$B$206,MATCH(H611-129,Fields!$D$2:$D$206,1)),""),"")</f>
        <v/>
      </c>
      <c r="K611">
        <f>IFERROR(IF(AND(H611&lt;&gt;"",H611&gt;=129,H611&lt;=2176),INDEX(Fields!$C$2:$C$206,MATCH(H611-129,Fields!$D$2:$D$206,1)),""),"")</f>
        <v/>
      </c>
      <c r="L611">
        <f>IFERROR(IF(AND(H611&lt;&gt;"",H611&gt;=129,H611&lt;=2176),INDEX(Fields!$J$2:$J$206,MATCH(H611-129,Fields!$D$2:$D$206,1)),""),"")</f>
        <v/>
      </c>
      <c r="M611">
        <f>IFERROR(IF(AND(H611&lt;&gt;"",H611&gt;=129,H611&lt;=2176),INDEX(Fields!$K$2:$K$206,MATCH(H611-129,Fields!$D$2:$D$206,1)),""),"")</f>
        <v/>
      </c>
    </row>
    <row r="612">
      <c r="A612" t="n">
        <v>610</v>
      </c>
      <c r="B612" t="n">
        <v>0</v>
      </c>
      <c r="C612" t="inlineStr">
        <is>
          <t>No</t>
        </is>
      </c>
      <c r="D612">
        <f>IF(AND(B607=1,B608=1,B609=1,B610=1,B611=1),"Yes","")</f>
        <v/>
      </c>
      <c r="E612" t="inlineStr">
        <is>
          <t>No</t>
        </is>
      </c>
      <c r="F612" t="inlineStr">
        <is>
          <t>No</t>
        </is>
      </c>
      <c r="G612">
        <f>IF(F612="Yes",1-B612,B612)</f>
        <v/>
      </c>
      <c r="H612">
        <f>IF(E612="Yes","",COUNTIFS($E$2:E612,"No"))</f>
        <v/>
      </c>
      <c r="I612">
        <f>IF(H612="","",IF(H612&lt;=128,"address",IF(H612&lt;=600,"data1",IF(H612&lt;=1264,"zero-run1",IF(H612&lt;=1648,"data2",IF(H612&lt;=2176,"zero-run2",IF(H612&lt;=2192,"FCS","trailing")))))))</f>
        <v/>
      </c>
      <c r="J612">
        <f>IFERROR(IF(AND(H612&lt;&gt;"",H612&gt;=129,H612&lt;=2176),INDEX(Fields!$B$2:$B$206,MATCH(H612-129,Fields!$D$2:$D$206,1)),""),"")</f>
        <v/>
      </c>
      <c r="K612">
        <f>IFERROR(IF(AND(H612&lt;&gt;"",H612&gt;=129,H612&lt;=2176),INDEX(Fields!$C$2:$C$206,MATCH(H612-129,Fields!$D$2:$D$206,1)),""),"")</f>
        <v/>
      </c>
      <c r="L612">
        <f>IFERROR(IF(AND(H612&lt;&gt;"",H612&gt;=129,H612&lt;=2176),INDEX(Fields!$J$2:$J$206,MATCH(H612-129,Fields!$D$2:$D$206,1)),""),"")</f>
        <v/>
      </c>
      <c r="M612">
        <f>IFERROR(IF(AND(H612&lt;&gt;"",H612&gt;=129,H612&lt;=2176),INDEX(Fields!$K$2:$K$206,MATCH(H612-129,Fields!$D$2:$D$206,1)),""),"")</f>
        <v/>
      </c>
    </row>
    <row r="613">
      <c r="A613" t="n">
        <v>611</v>
      </c>
      <c r="B613" t="n">
        <v>0</v>
      </c>
      <c r="C613" t="inlineStr">
        <is>
          <t>No</t>
        </is>
      </c>
      <c r="D613">
        <f>IF(AND(B608=1,B609=1,B610=1,B611=1,B612=1),"Yes","")</f>
        <v/>
      </c>
      <c r="E613" t="inlineStr">
        <is>
          <t>No</t>
        </is>
      </c>
      <c r="F613" t="inlineStr">
        <is>
          <t>No</t>
        </is>
      </c>
      <c r="G613">
        <f>IF(F613="Yes",1-B613,B613)</f>
        <v/>
      </c>
      <c r="H613">
        <f>IF(E613="Yes","",COUNTIFS($E$2:E613,"No"))</f>
        <v/>
      </c>
      <c r="I613">
        <f>IF(H613="","",IF(H613&lt;=128,"address",IF(H613&lt;=600,"data1",IF(H613&lt;=1264,"zero-run1",IF(H613&lt;=1648,"data2",IF(H613&lt;=2176,"zero-run2",IF(H613&lt;=2192,"FCS","trailing")))))))</f>
        <v/>
      </c>
      <c r="J613">
        <f>IFERROR(IF(AND(H613&lt;&gt;"",H613&gt;=129,H613&lt;=2176),INDEX(Fields!$B$2:$B$206,MATCH(H613-129,Fields!$D$2:$D$206,1)),""),"")</f>
        <v/>
      </c>
      <c r="K613">
        <f>IFERROR(IF(AND(H613&lt;&gt;"",H613&gt;=129,H613&lt;=2176),INDEX(Fields!$C$2:$C$206,MATCH(H613-129,Fields!$D$2:$D$206,1)),""),"")</f>
        <v/>
      </c>
      <c r="L613">
        <f>IFERROR(IF(AND(H613&lt;&gt;"",H613&gt;=129,H613&lt;=2176),INDEX(Fields!$J$2:$J$206,MATCH(H613-129,Fields!$D$2:$D$206,1)),""),"")</f>
        <v/>
      </c>
      <c r="M613">
        <f>IFERROR(IF(AND(H613&lt;&gt;"",H613&gt;=129,H613&lt;=2176),INDEX(Fields!$K$2:$K$206,MATCH(H613-129,Fields!$D$2:$D$206,1)),""),"")</f>
        <v/>
      </c>
    </row>
    <row r="614">
      <c r="A614" t="n">
        <v>612</v>
      </c>
      <c r="B614" t="n">
        <v>0</v>
      </c>
      <c r="C614" t="inlineStr">
        <is>
          <t>No</t>
        </is>
      </c>
      <c r="D614">
        <f>IF(AND(B609=1,B610=1,B611=1,B612=1,B613=1),"Yes","")</f>
        <v/>
      </c>
      <c r="E614" t="inlineStr">
        <is>
          <t>No</t>
        </is>
      </c>
      <c r="F614" t="inlineStr">
        <is>
          <t>No</t>
        </is>
      </c>
      <c r="G614">
        <f>IF(F614="Yes",1-B614,B614)</f>
        <v/>
      </c>
      <c r="H614">
        <f>IF(E614="Yes","",COUNTIFS($E$2:E614,"No"))</f>
        <v/>
      </c>
      <c r="I614">
        <f>IF(H614="","",IF(H614&lt;=128,"address",IF(H614&lt;=600,"data1",IF(H614&lt;=1264,"zero-run1",IF(H614&lt;=1648,"data2",IF(H614&lt;=2176,"zero-run2",IF(H614&lt;=2192,"FCS","trailing")))))))</f>
        <v/>
      </c>
      <c r="J614">
        <f>IFERROR(IF(AND(H614&lt;&gt;"",H614&gt;=129,H614&lt;=2176),INDEX(Fields!$B$2:$B$206,MATCH(H614-129,Fields!$D$2:$D$206,1)),""),"")</f>
        <v/>
      </c>
      <c r="K614">
        <f>IFERROR(IF(AND(H614&lt;&gt;"",H614&gt;=129,H614&lt;=2176),INDEX(Fields!$C$2:$C$206,MATCH(H614-129,Fields!$D$2:$D$206,1)),""),"")</f>
        <v/>
      </c>
      <c r="L614">
        <f>IFERROR(IF(AND(H614&lt;&gt;"",H614&gt;=129,H614&lt;=2176),INDEX(Fields!$J$2:$J$206,MATCH(H614-129,Fields!$D$2:$D$206,1)),""),"")</f>
        <v/>
      </c>
      <c r="M614">
        <f>IFERROR(IF(AND(H614&lt;&gt;"",H614&gt;=129,H614&lt;=2176),INDEX(Fields!$K$2:$K$206,MATCH(H614-129,Fields!$D$2:$D$206,1)),""),"")</f>
        <v/>
      </c>
    </row>
    <row r="615">
      <c r="A615" t="n">
        <v>613</v>
      </c>
      <c r="B615" t="n">
        <v>0</v>
      </c>
      <c r="C615" t="inlineStr">
        <is>
          <t>No</t>
        </is>
      </c>
      <c r="D615">
        <f>IF(AND(B610=1,B611=1,B612=1,B613=1,B614=1),"Yes","")</f>
        <v/>
      </c>
      <c r="E615" t="inlineStr">
        <is>
          <t>No</t>
        </is>
      </c>
      <c r="F615" t="inlineStr">
        <is>
          <t>No</t>
        </is>
      </c>
      <c r="G615">
        <f>IF(F615="Yes",1-B615,B615)</f>
        <v/>
      </c>
      <c r="H615">
        <f>IF(E615="Yes","",COUNTIFS($E$2:E615,"No"))</f>
        <v/>
      </c>
      <c r="I615">
        <f>IF(H615="","",IF(H615&lt;=128,"address",IF(H615&lt;=600,"data1",IF(H615&lt;=1264,"zero-run1",IF(H615&lt;=1648,"data2",IF(H615&lt;=2176,"zero-run2",IF(H615&lt;=2192,"FCS","trailing")))))))</f>
        <v/>
      </c>
      <c r="J615">
        <f>IFERROR(IF(AND(H615&lt;&gt;"",H615&gt;=129,H615&lt;=2176),INDEX(Fields!$B$2:$B$206,MATCH(H615-129,Fields!$D$2:$D$206,1)),""),"")</f>
        <v/>
      </c>
      <c r="K615">
        <f>IFERROR(IF(AND(H615&lt;&gt;"",H615&gt;=129,H615&lt;=2176),INDEX(Fields!$C$2:$C$206,MATCH(H615-129,Fields!$D$2:$D$206,1)),""),"")</f>
        <v/>
      </c>
      <c r="L615">
        <f>IFERROR(IF(AND(H615&lt;&gt;"",H615&gt;=129,H615&lt;=2176),INDEX(Fields!$J$2:$J$206,MATCH(H615-129,Fields!$D$2:$D$206,1)),""),"")</f>
        <v/>
      </c>
      <c r="M615">
        <f>IFERROR(IF(AND(H615&lt;&gt;"",H615&gt;=129,H615&lt;=2176),INDEX(Fields!$K$2:$K$206,MATCH(H615-129,Fields!$D$2:$D$206,1)),""),"")</f>
        <v/>
      </c>
    </row>
    <row r="616">
      <c r="A616" t="n">
        <v>614</v>
      </c>
      <c r="B616" t="n">
        <v>0</v>
      </c>
      <c r="C616" t="inlineStr">
        <is>
          <t>No</t>
        </is>
      </c>
      <c r="D616">
        <f>IF(AND(B611=1,B612=1,B613=1,B614=1,B615=1),"Yes","")</f>
        <v/>
      </c>
      <c r="E616" t="inlineStr">
        <is>
          <t>No</t>
        </is>
      </c>
      <c r="F616" t="inlineStr">
        <is>
          <t>No</t>
        </is>
      </c>
      <c r="G616">
        <f>IF(F616="Yes",1-B616,B616)</f>
        <v/>
      </c>
      <c r="H616">
        <f>IF(E616="Yes","",COUNTIFS($E$2:E616,"No"))</f>
        <v/>
      </c>
      <c r="I616">
        <f>IF(H616="","",IF(H616&lt;=128,"address",IF(H616&lt;=600,"data1",IF(H616&lt;=1264,"zero-run1",IF(H616&lt;=1648,"data2",IF(H616&lt;=2176,"zero-run2",IF(H616&lt;=2192,"FCS","trailing")))))))</f>
        <v/>
      </c>
      <c r="J616">
        <f>IFERROR(IF(AND(H616&lt;&gt;"",H616&gt;=129,H616&lt;=2176),INDEX(Fields!$B$2:$B$206,MATCH(H616-129,Fields!$D$2:$D$206,1)),""),"")</f>
        <v/>
      </c>
      <c r="K616">
        <f>IFERROR(IF(AND(H616&lt;&gt;"",H616&gt;=129,H616&lt;=2176),INDEX(Fields!$C$2:$C$206,MATCH(H616-129,Fields!$D$2:$D$206,1)),""),"")</f>
        <v/>
      </c>
      <c r="L616">
        <f>IFERROR(IF(AND(H616&lt;&gt;"",H616&gt;=129,H616&lt;=2176),INDEX(Fields!$J$2:$J$206,MATCH(H616-129,Fields!$D$2:$D$206,1)),""),"")</f>
        <v/>
      </c>
      <c r="M616">
        <f>IFERROR(IF(AND(H616&lt;&gt;"",H616&gt;=129,H616&lt;=2176),INDEX(Fields!$K$2:$K$206,MATCH(H616-129,Fields!$D$2:$D$206,1)),""),"")</f>
        <v/>
      </c>
    </row>
    <row r="617">
      <c r="A617" t="n">
        <v>615</v>
      </c>
      <c r="B617" t="n">
        <v>0</v>
      </c>
      <c r="C617" t="inlineStr">
        <is>
          <t>No</t>
        </is>
      </c>
      <c r="D617">
        <f>IF(AND(B612=1,B613=1,B614=1,B615=1,B616=1),"Yes","")</f>
        <v/>
      </c>
      <c r="E617" t="inlineStr">
        <is>
          <t>No</t>
        </is>
      </c>
      <c r="F617" t="inlineStr">
        <is>
          <t>No</t>
        </is>
      </c>
      <c r="G617">
        <f>IF(F617="Yes",1-B617,B617)</f>
        <v/>
      </c>
      <c r="H617">
        <f>IF(E617="Yes","",COUNTIFS($E$2:E617,"No"))</f>
        <v/>
      </c>
      <c r="I617">
        <f>IF(H617="","",IF(H617&lt;=128,"address",IF(H617&lt;=600,"data1",IF(H617&lt;=1264,"zero-run1",IF(H617&lt;=1648,"data2",IF(H617&lt;=2176,"zero-run2",IF(H617&lt;=2192,"FCS","trailing")))))))</f>
        <v/>
      </c>
      <c r="J617">
        <f>IFERROR(IF(AND(H617&lt;&gt;"",H617&gt;=129,H617&lt;=2176),INDEX(Fields!$B$2:$B$206,MATCH(H617-129,Fields!$D$2:$D$206,1)),""),"")</f>
        <v/>
      </c>
      <c r="K617">
        <f>IFERROR(IF(AND(H617&lt;&gt;"",H617&gt;=129,H617&lt;=2176),INDEX(Fields!$C$2:$C$206,MATCH(H617-129,Fields!$D$2:$D$206,1)),""),"")</f>
        <v/>
      </c>
      <c r="L617">
        <f>IFERROR(IF(AND(H617&lt;&gt;"",H617&gt;=129,H617&lt;=2176),INDEX(Fields!$J$2:$J$206,MATCH(H617-129,Fields!$D$2:$D$206,1)),""),"")</f>
        <v/>
      </c>
      <c r="M617">
        <f>IFERROR(IF(AND(H617&lt;&gt;"",H617&gt;=129,H617&lt;=2176),INDEX(Fields!$K$2:$K$206,MATCH(H617-129,Fields!$D$2:$D$206,1)),""),"")</f>
        <v/>
      </c>
    </row>
    <row r="618">
      <c r="A618" t="n">
        <v>616</v>
      </c>
      <c r="B618" t="n">
        <v>0</v>
      </c>
      <c r="C618" t="inlineStr">
        <is>
          <t>No</t>
        </is>
      </c>
      <c r="D618">
        <f>IF(AND(B613=1,B614=1,B615=1,B616=1,B617=1),"Yes","")</f>
        <v/>
      </c>
      <c r="E618" t="inlineStr">
        <is>
          <t>No</t>
        </is>
      </c>
      <c r="F618" t="inlineStr">
        <is>
          <t>No</t>
        </is>
      </c>
      <c r="G618">
        <f>IF(F618="Yes",1-B618,B618)</f>
        <v/>
      </c>
      <c r="H618">
        <f>IF(E618="Yes","",COUNTIFS($E$2:E618,"No"))</f>
        <v/>
      </c>
      <c r="I618">
        <f>IF(H618="","",IF(H618&lt;=128,"address",IF(H618&lt;=600,"data1",IF(H618&lt;=1264,"zero-run1",IF(H618&lt;=1648,"data2",IF(H618&lt;=2176,"zero-run2",IF(H618&lt;=2192,"FCS","trailing")))))))</f>
        <v/>
      </c>
      <c r="J618">
        <f>IFERROR(IF(AND(H618&lt;&gt;"",H618&gt;=129,H618&lt;=2176),INDEX(Fields!$B$2:$B$206,MATCH(H618-129,Fields!$D$2:$D$206,1)),""),"")</f>
        <v/>
      </c>
      <c r="K618">
        <f>IFERROR(IF(AND(H618&lt;&gt;"",H618&gt;=129,H618&lt;=2176),INDEX(Fields!$C$2:$C$206,MATCH(H618-129,Fields!$D$2:$D$206,1)),""),"")</f>
        <v/>
      </c>
      <c r="L618">
        <f>IFERROR(IF(AND(H618&lt;&gt;"",H618&gt;=129,H618&lt;=2176),INDEX(Fields!$J$2:$J$206,MATCH(H618-129,Fields!$D$2:$D$206,1)),""),"")</f>
        <v/>
      </c>
      <c r="M618">
        <f>IFERROR(IF(AND(H618&lt;&gt;"",H618&gt;=129,H618&lt;=2176),INDEX(Fields!$K$2:$K$206,MATCH(H618-129,Fields!$D$2:$D$206,1)),""),"")</f>
        <v/>
      </c>
    </row>
    <row r="619">
      <c r="A619" t="n">
        <v>617</v>
      </c>
      <c r="B619" t="n">
        <v>0</v>
      </c>
      <c r="C619" t="inlineStr">
        <is>
          <t>No</t>
        </is>
      </c>
      <c r="D619">
        <f>IF(AND(B614=1,B615=1,B616=1,B617=1,B618=1),"Yes","")</f>
        <v/>
      </c>
      <c r="E619" t="inlineStr">
        <is>
          <t>No</t>
        </is>
      </c>
      <c r="F619" t="inlineStr">
        <is>
          <t>No</t>
        </is>
      </c>
      <c r="G619">
        <f>IF(F619="Yes",1-B619,B619)</f>
        <v/>
      </c>
      <c r="H619">
        <f>IF(E619="Yes","",COUNTIFS($E$2:E619,"No"))</f>
        <v/>
      </c>
      <c r="I619">
        <f>IF(H619="","",IF(H619&lt;=128,"address",IF(H619&lt;=600,"data1",IF(H619&lt;=1264,"zero-run1",IF(H619&lt;=1648,"data2",IF(H619&lt;=2176,"zero-run2",IF(H619&lt;=2192,"FCS","trailing")))))))</f>
        <v/>
      </c>
      <c r="J619">
        <f>IFERROR(IF(AND(H619&lt;&gt;"",H619&gt;=129,H619&lt;=2176),INDEX(Fields!$B$2:$B$206,MATCH(H619-129,Fields!$D$2:$D$206,1)),""),"")</f>
        <v/>
      </c>
      <c r="K619">
        <f>IFERROR(IF(AND(H619&lt;&gt;"",H619&gt;=129,H619&lt;=2176),INDEX(Fields!$C$2:$C$206,MATCH(H619-129,Fields!$D$2:$D$206,1)),""),"")</f>
        <v/>
      </c>
      <c r="L619">
        <f>IFERROR(IF(AND(H619&lt;&gt;"",H619&gt;=129,H619&lt;=2176),INDEX(Fields!$J$2:$J$206,MATCH(H619-129,Fields!$D$2:$D$206,1)),""),"")</f>
        <v/>
      </c>
      <c r="M619">
        <f>IFERROR(IF(AND(H619&lt;&gt;"",H619&gt;=129,H619&lt;=2176),INDEX(Fields!$K$2:$K$206,MATCH(H619-129,Fields!$D$2:$D$206,1)),""),"")</f>
        <v/>
      </c>
    </row>
    <row r="620">
      <c r="A620" t="n">
        <v>618</v>
      </c>
      <c r="B620" t="n">
        <v>0</v>
      </c>
      <c r="C620" t="inlineStr">
        <is>
          <t>No</t>
        </is>
      </c>
      <c r="D620">
        <f>IF(AND(B615=1,B616=1,B617=1,B618=1,B619=1),"Yes","")</f>
        <v/>
      </c>
      <c r="E620" t="inlineStr">
        <is>
          <t>No</t>
        </is>
      </c>
      <c r="F620" t="inlineStr">
        <is>
          <t>No</t>
        </is>
      </c>
      <c r="G620">
        <f>IF(F620="Yes",1-B620,B620)</f>
        <v/>
      </c>
      <c r="H620">
        <f>IF(E620="Yes","",COUNTIFS($E$2:E620,"No"))</f>
        <v/>
      </c>
      <c r="I620">
        <f>IF(H620="","",IF(H620&lt;=128,"address",IF(H620&lt;=600,"data1",IF(H620&lt;=1264,"zero-run1",IF(H620&lt;=1648,"data2",IF(H620&lt;=2176,"zero-run2",IF(H620&lt;=2192,"FCS","trailing")))))))</f>
        <v/>
      </c>
      <c r="J620">
        <f>IFERROR(IF(AND(H620&lt;&gt;"",H620&gt;=129,H620&lt;=2176),INDEX(Fields!$B$2:$B$206,MATCH(H620-129,Fields!$D$2:$D$206,1)),""),"")</f>
        <v/>
      </c>
      <c r="K620">
        <f>IFERROR(IF(AND(H620&lt;&gt;"",H620&gt;=129,H620&lt;=2176),INDEX(Fields!$C$2:$C$206,MATCH(H620-129,Fields!$D$2:$D$206,1)),""),"")</f>
        <v/>
      </c>
      <c r="L620">
        <f>IFERROR(IF(AND(H620&lt;&gt;"",H620&gt;=129,H620&lt;=2176),INDEX(Fields!$J$2:$J$206,MATCH(H620-129,Fields!$D$2:$D$206,1)),""),"")</f>
        <v/>
      </c>
      <c r="M620">
        <f>IFERROR(IF(AND(H620&lt;&gt;"",H620&gt;=129,H620&lt;=2176),INDEX(Fields!$K$2:$K$206,MATCH(H620-129,Fields!$D$2:$D$206,1)),""),"")</f>
        <v/>
      </c>
    </row>
    <row r="621">
      <c r="A621" t="n">
        <v>619</v>
      </c>
      <c r="B621" t="n">
        <v>0</v>
      </c>
      <c r="C621" t="inlineStr">
        <is>
          <t>No</t>
        </is>
      </c>
      <c r="D621">
        <f>IF(AND(B616=1,B617=1,B618=1,B619=1,B620=1),"Yes","")</f>
        <v/>
      </c>
      <c r="E621" t="inlineStr">
        <is>
          <t>No</t>
        </is>
      </c>
      <c r="F621" t="inlineStr">
        <is>
          <t>No</t>
        </is>
      </c>
      <c r="G621">
        <f>IF(F621="Yes",1-B621,B621)</f>
        <v/>
      </c>
      <c r="H621">
        <f>IF(E621="Yes","",COUNTIFS($E$2:E621,"No"))</f>
        <v/>
      </c>
      <c r="I621">
        <f>IF(H621="","",IF(H621&lt;=128,"address",IF(H621&lt;=600,"data1",IF(H621&lt;=1264,"zero-run1",IF(H621&lt;=1648,"data2",IF(H621&lt;=2176,"zero-run2",IF(H621&lt;=2192,"FCS","trailing")))))))</f>
        <v/>
      </c>
      <c r="J621">
        <f>IFERROR(IF(AND(H621&lt;&gt;"",H621&gt;=129,H621&lt;=2176),INDEX(Fields!$B$2:$B$206,MATCH(H621-129,Fields!$D$2:$D$206,1)),""),"")</f>
        <v/>
      </c>
      <c r="K621">
        <f>IFERROR(IF(AND(H621&lt;&gt;"",H621&gt;=129,H621&lt;=2176),INDEX(Fields!$C$2:$C$206,MATCH(H621-129,Fields!$D$2:$D$206,1)),""),"")</f>
        <v/>
      </c>
      <c r="L621">
        <f>IFERROR(IF(AND(H621&lt;&gt;"",H621&gt;=129,H621&lt;=2176),INDEX(Fields!$J$2:$J$206,MATCH(H621-129,Fields!$D$2:$D$206,1)),""),"")</f>
        <v/>
      </c>
      <c r="M621">
        <f>IFERROR(IF(AND(H621&lt;&gt;"",H621&gt;=129,H621&lt;=2176),INDEX(Fields!$K$2:$K$206,MATCH(H621-129,Fields!$D$2:$D$206,1)),""),"")</f>
        <v/>
      </c>
    </row>
    <row r="622">
      <c r="A622" t="n">
        <v>620</v>
      </c>
      <c r="B622" t="n">
        <v>0</v>
      </c>
      <c r="C622" t="inlineStr">
        <is>
          <t>No</t>
        </is>
      </c>
      <c r="D622">
        <f>IF(AND(B617=1,B618=1,B619=1,B620=1,B621=1),"Yes","")</f>
        <v/>
      </c>
      <c r="E622" t="inlineStr">
        <is>
          <t>No</t>
        </is>
      </c>
      <c r="F622" t="inlineStr">
        <is>
          <t>No</t>
        </is>
      </c>
      <c r="G622">
        <f>IF(F622="Yes",1-B622,B622)</f>
        <v/>
      </c>
      <c r="H622">
        <f>IF(E622="Yes","",COUNTIFS($E$2:E622,"No"))</f>
        <v/>
      </c>
      <c r="I622">
        <f>IF(H622="","",IF(H622&lt;=128,"address",IF(H622&lt;=600,"data1",IF(H622&lt;=1264,"zero-run1",IF(H622&lt;=1648,"data2",IF(H622&lt;=2176,"zero-run2",IF(H622&lt;=2192,"FCS","trailing")))))))</f>
        <v/>
      </c>
      <c r="J622">
        <f>IFERROR(IF(AND(H622&lt;&gt;"",H622&gt;=129,H622&lt;=2176),INDEX(Fields!$B$2:$B$206,MATCH(H622-129,Fields!$D$2:$D$206,1)),""),"")</f>
        <v/>
      </c>
      <c r="K622">
        <f>IFERROR(IF(AND(H622&lt;&gt;"",H622&gt;=129,H622&lt;=2176),INDEX(Fields!$C$2:$C$206,MATCH(H622-129,Fields!$D$2:$D$206,1)),""),"")</f>
        <v/>
      </c>
      <c r="L622">
        <f>IFERROR(IF(AND(H622&lt;&gt;"",H622&gt;=129,H622&lt;=2176),INDEX(Fields!$J$2:$J$206,MATCH(H622-129,Fields!$D$2:$D$206,1)),""),"")</f>
        <v/>
      </c>
      <c r="M622">
        <f>IFERROR(IF(AND(H622&lt;&gt;"",H622&gt;=129,H622&lt;=2176),INDEX(Fields!$K$2:$K$206,MATCH(H622-129,Fields!$D$2:$D$206,1)),""),"")</f>
        <v/>
      </c>
    </row>
    <row r="623">
      <c r="A623" t="n">
        <v>621</v>
      </c>
      <c r="B623" t="n">
        <v>0</v>
      </c>
      <c r="C623" t="inlineStr">
        <is>
          <t>No</t>
        </is>
      </c>
      <c r="D623">
        <f>IF(AND(B618=1,B619=1,B620=1,B621=1,B622=1),"Yes","")</f>
        <v/>
      </c>
      <c r="E623" t="inlineStr">
        <is>
          <t>No</t>
        </is>
      </c>
      <c r="F623" t="inlineStr">
        <is>
          <t>No</t>
        </is>
      </c>
      <c r="G623">
        <f>IF(F623="Yes",1-B623,B623)</f>
        <v/>
      </c>
      <c r="H623">
        <f>IF(E623="Yes","",COUNTIFS($E$2:E623,"No"))</f>
        <v/>
      </c>
      <c r="I623">
        <f>IF(H623="","",IF(H623&lt;=128,"address",IF(H623&lt;=600,"data1",IF(H623&lt;=1264,"zero-run1",IF(H623&lt;=1648,"data2",IF(H623&lt;=2176,"zero-run2",IF(H623&lt;=2192,"FCS","trailing")))))))</f>
        <v/>
      </c>
      <c r="J623">
        <f>IFERROR(IF(AND(H623&lt;&gt;"",H623&gt;=129,H623&lt;=2176),INDEX(Fields!$B$2:$B$206,MATCH(H623-129,Fields!$D$2:$D$206,1)),""),"")</f>
        <v/>
      </c>
      <c r="K623">
        <f>IFERROR(IF(AND(H623&lt;&gt;"",H623&gt;=129,H623&lt;=2176),INDEX(Fields!$C$2:$C$206,MATCH(H623-129,Fields!$D$2:$D$206,1)),""),"")</f>
        <v/>
      </c>
      <c r="L623">
        <f>IFERROR(IF(AND(H623&lt;&gt;"",H623&gt;=129,H623&lt;=2176),INDEX(Fields!$J$2:$J$206,MATCH(H623-129,Fields!$D$2:$D$206,1)),""),"")</f>
        <v/>
      </c>
      <c r="M623">
        <f>IFERROR(IF(AND(H623&lt;&gt;"",H623&gt;=129,H623&lt;=2176),INDEX(Fields!$K$2:$K$206,MATCH(H623-129,Fields!$D$2:$D$206,1)),""),"")</f>
        <v/>
      </c>
    </row>
    <row r="624">
      <c r="A624" t="n">
        <v>622</v>
      </c>
      <c r="B624" t="n">
        <v>0</v>
      </c>
      <c r="C624" t="inlineStr">
        <is>
          <t>No</t>
        </is>
      </c>
      <c r="D624">
        <f>IF(AND(B619=1,B620=1,B621=1,B622=1,B623=1),"Yes","")</f>
        <v/>
      </c>
      <c r="E624" t="inlineStr">
        <is>
          <t>No</t>
        </is>
      </c>
      <c r="F624" t="inlineStr">
        <is>
          <t>No</t>
        </is>
      </c>
      <c r="G624">
        <f>IF(F624="Yes",1-B624,B624)</f>
        <v/>
      </c>
      <c r="H624">
        <f>IF(E624="Yes","",COUNTIFS($E$2:E624,"No"))</f>
        <v/>
      </c>
      <c r="I624">
        <f>IF(H624="","",IF(H624&lt;=128,"address",IF(H624&lt;=600,"data1",IF(H624&lt;=1264,"zero-run1",IF(H624&lt;=1648,"data2",IF(H624&lt;=2176,"zero-run2",IF(H624&lt;=2192,"FCS","trailing")))))))</f>
        <v/>
      </c>
      <c r="J624">
        <f>IFERROR(IF(AND(H624&lt;&gt;"",H624&gt;=129,H624&lt;=2176),INDEX(Fields!$B$2:$B$206,MATCH(H624-129,Fields!$D$2:$D$206,1)),""),"")</f>
        <v/>
      </c>
      <c r="K624">
        <f>IFERROR(IF(AND(H624&lt;&gt;"",H624&gt;=129,H624&lt;=2176),INDEX(Fields!$C$2:$C$206,MATCH(H624-129,Fields!$D$2:$D$206,1)),""),"")</f>
        <v/>
      </c>
      <c r="L624">
        <f>IFERROR(IF(AND(H624&lt;&gt;"",H624&gt;=129,H624&lt;=2176),INDEX(Fields!$J$2:$J$206,MATCH(H624-129,Fields!$D$2:$D$206,1)),""),"")</f>
        <v/>
      </c>
      <c r="M624">
        <f>IFERROR(IF(AND(H624&lt;&gt;"",H624&gt;=129,H624&lt;=2176),INDEX(Fields!$K$2:$K$206,MATCH(H624-129,Fields!$D$2:$D$206,1)),""),"")</f>
        <v/>
      </c>
    </row>
    <row r="625">
      <c r="A625" t="n">
        <v>623</v>
      </c>
      <c r="B625" t="n">
        <v>0</v>
      </c>
      <c r="C625" t="inlineStr">
        <is>
          <t>No</t>
        </is>
      </c>
      <c r="D625">
        <f>IF(AND(B620=1,B621=1,B622=1,B623=1,B624=1),"Yes","")</f>
        <v/>
      </c>
      <c r="E625" t="inlineStr">
        <is>
          <t>No</t>
        </is>
      </c>
      <c r="F625" t="inlineStr">
        <is>
          <t>No</t>
        </is>
      </c>
      <c r="G625">
        <f>IF(F625="Yes",1-B625,B625)</f>
        <v/>
      </c>
      <c r="H625">
        <f>IF(E625="Yes","",COUNTIFS($E$2:E625,"No"))</f>
        <v/>
      </c>
      <c r="I625">
        <f>IF(H625="","",IF(H625&lt;=128,"address",IF(H625&lt;=600,"data1",IF(H625&lt;=1264,"zero-run1",IF(H625&lt;=1648,"data2",IF(H625&lt;=2176,"zero-run2",IF(H625&lt;=2192,"FCS","trailing")))))))</f>
        <v/>
      </c>
      <c r="J625">
        <f>IFERROR(IF(AND(H625&lt;&gt;"",H625&gt;=129,H625&lt;=2176),INDEX(Fields!$B$2:$B$206,MATCH(H625-129,Fields!$D$2:$D$206,1)),""),"")</f>
        <v/>
      </c>
      <c r="K625">
        <f>IFERROR(IF(AND(H625&lt;&gt;"",H625&gt;=129,H625&lt;=2176),INDEX(Fields!$C$2:$C$206,MATCH(H625-129,Fields!$D$2:$D$206,1)),""),"")</f>
        <v/>
      </c>
      <c r="L625">
        <f>IFERROR(IF(AND(H625&lt;&gt;"",H625&gt;=129,H625&lt;=2176),INDEX(Fields!$J$2:$J$206,MATCH(H625-129,Fields!$D$2:$D$206,1)),""),"")</f>
        <v/>
      </c>
      <c r="M625">
        <f>IFERROR(IF(AND(H625&lt;&gt;"",H625&gt;=129,H625&lt;=2176),INDEX(Fields!$K$2:$K$206,MATCH(H625-129,Fields!$D$2:$D$206,1)),""),"")</f>
        <v/>
      </c>
    </row>
    <row r="626">
      <c r="A626" t="n">
        <v>624</v>
      </c>
      <c r="B626" t="n">
        <v>0</v>
      </c>
      <c r="C626" t="inlineStr">
        <is>
          <t>No</t>
        </is>
      </c>
      <c r="D626">
        <f>IF(AND(B621=1,B622=1,B623=1,B624=1,B625=1),"Yes","")</f>
        <v/>
      </c>
      <c r="E626" t="inlineStr">
        <is>
          <t>No</t>
        </is>
      </c>
      <c r="F626" t="inlineStr">
        <is>
          <t>No</t>
        </is>
      </c>
      <c r="G626">
        <f>IF(F626="Yes",1-B626,B626)</f>
        <v/>
      </c>
      <c r="H626">
        <f>IF(E626="Yes","",COUNTIFS($E$2:E626,"No"))</f>
        <v/>
      </c>
      <c r="I626">
        <f>IF(H626="","",IF(H626&lt;=128,"address",IF(H626&lt;=600,"data1",IF(H626&lt;=1264,"zero-run1",IF(H626&lt;=1648,"data2",IF(H626&lt;=2176,"zero-run2",IF(H626&lt;=2192,"FCS","trailing")))))))</f>
        <v/>
      </c>
      <c r="J626">
        <f>IFERROR(IF(AND(H626&lt;&gt;"",H626&gt;=129,H626&lt;=2176),INDEX(Fields!$B$2:$B$206,MATCH(H626-129,Fields!$D$2:$D$206,1)),""),"")</f>
        <v/>
      </c>
      <c r="K626">
        <f>IFERROR(IF(AND(H626&lt;&gt;"",H626&gt;=129,H626&lt;=2176),INDEX(Fields!$C$2:$C$206,MATCH(H626-129,Fields!$D$2:$D$206,1)),""),"")</f>
        <v/>
      </c>
      <c r="L626">
        <f>IFERROR(IF(AND(H626&lt;&gt;"",H626&gt;=129,H626&lt;=2176),INDEX(Fields!$J$2:$J$206,MATCH(H626-129,Fields!$D$2:$D$206,1)),""),"")</f>
        <v/>
      </c>
      <c r="M626">
        <f>IFERROR(IF(AND(H626&lt;&gt;"",H626&gt;=129,H626&lt;=2176),INDEX(Fields!$K$2:$K$206,MATCH(H626-129,Fields!$D$2:$D$206,1)),""),"")</f>
        <v/>
      </c>
    </row>
    <row r="627">
      <c r="A627" t="n">
        <v>625</v>
      </c>
      <c r="B627" t="n">
        <v>0</v>
      </c>
      <c r="C627" t="inlineStr">
        <is>
          <t>No</t>
        </is>
      </c>
      <c r="D627">
        <f>IF(AND(B622=1,B623=1,B624=1,B625=1,B626=1),"Yes","")</f>
        <v/>
      </c>
      <c r="E627" t="inlineStr">
        <is>
          <t>No</t>
        </is>
      </c>
      <c r="F627" t="inlineStr">
        <is>
          <t>No</t>
        </is>
      </c>
      <c r="G627">
        <f>IF(F627="Yes",1-B627,B627)</f>
        <v/>
      </c>
      <c r="H627">
        <f>IF(E627="Yes","",COUNTIFS($E$2:E627,"No"))</f>
        <v/>
      </c>
      <c r="I627">
        <f>IF(H627="","",IF(H627&lt;=128,"address",IF(H627&lt;=600,"data1",IF(H627&lt;=1264,"zero-run1",IF(H627&lt;=1648,"data2",IF(H627&lt;=2176,"zero-run2",IF(H627&lt;=2192,"FCS","trailing")))))))</f>
        <v/>
      </c>
      <c r="J627">
        <f>IFERROR(IF(AND(H627&lt;&gt;"",H627&gt;=129,H627&lt;=2176),INDEX(Fields!$B$2:$B$206,MATCH(H627-129,Fields!$D$2:$D$206,1)),""),"")</f>
        <v/>
      </c>
      <c r="K627">
        <f>IFERROR(IF(AND(H627&lt;&gt;"",H627&gt;=129,H627&lt;=2176),INDEX(Fields!$C$2:$C$206,MATCH(H627-129,Fields!$D$2:$D$206,1)),""),"")</f>
        <v/>
      </c>
      <c r="L627">
        <f>IFERROR(IF(AND(H627&lt;&gt;"",H627&gt;=129,H627&lt;=2176),INDEX(Fields!$J$2:$J$206,MATCH(H627-129,Fields!$D$2:$D$206,1)),""),"")</f>
        <v/>
      </c>
      <c r="M627">
        <f>IFERROR(IF(AND(H627&lt;&gt;"",H627&gt;=129,H627&lt;=2176),INDEX(Fields!$K$2:$K$206,MATCH(H627-129,Fields!$D$2:$D$206,1)),""),"")</f>
        <v/>
      </c>
    </row>
    <row r="628">
      <c r="A628" t="n">
        <v>626</v>
      </c>
      <c r="B628" t="n">
        <v>0</v>
      </c>
      <c r="C628" t="inlineStr">
        <is>
          <t>No</t>
        </is>
      </c>
      <c r="D628">
        <f>IF(AND(B623=1,B624=1,B625=1,B626=1,B627=1),"Yes","")</f>
        <v/>
      </c>
      <c r="E628" t="inlineStr">
        <is>
          <t>No</t>
        </is>
      </c>
      <c r="F628" t="inlineStr">
        <is>
          <t>No</t>
        </is>
      </c>
      <c r="G628">
        <f>IF(F628="Yes",1-B628,B628)</f>
        <v/>
      </c>
      <c r="H628">
        <f>IF(E628="Yes","",COUNTIFS($E$2:E628,"No"))</f>
        <v/>
      </c>
      <c r="I628">
        <f>IF(H628="","",IF(H628&lt;=128,"address",IF(H628&lt;=600,"data1",IF(H628&lt;=1264,"zero-run1",IF(H628&lt;=1648,"data2",IF(H628&lt;=2176,"zero-run2",IF(H628&lt;=2192,"FCS","trailing")))))))</f>
        <v/>
      </c>
      <c r="J628">
        <f>IFERROR(IF(AND(H628&lt;&gt;"",H628&gt;=129,H628&lt;=2176),INDEX(Fields!$B$2:$B$206,MATCH(H628-129,Fields!$D$2:$D$206,1)),""),"")</f>
        <v/>
      </c>
      <c r="K628">
        <f>IFERROR(IF(AND(H628&lt;&gt;"",H628&gt;=129,H628&lt;=2176),INDEX(Fields!$C$2:$C$206,MATCH(H628-129,Fields!$D$2:$D$206,1)),""),"")</f>
        <v/>
      </c>
      <c r="L628">
        <f>IFERROR(IF(AND(H628&lt;&gt;"",H628&gt;=129,H628&lt;=2176),INDEX(Fields!$J$2:$J$206,MATCH(H628-129,Fields!$D$2:$D$206,1)),""),"")</f>
        <v/>
      </c>
      <c r="M628">
        <f>IFERROR(IF(AND(H628&lt;&gt;"",H628&gt;=129,H628&lt;=2176),INDEX(Fields!$K$2:$K$206,MATCH(H628-129,Fields!$D$2:$D$206,1)),""),"")</f>
        <v/>
      </c>
    </row>
    <row r="629">
      <c r="A629" t="n">
        <v>627</v>
      </c>
      <c r="B629" t="n">
        <v>0</v>
      </c>
      <c r="C629" t="inlineStr">
        <is>
          <t>No</t>
        </is>
      </c>
      <c r="D629">
        <f>IF(AND(B624=1,B625=1,B626=1,B627=1,B628=1),"Yes","")</f>
        <v/>
      </c>
      <c r="E629" t="inlineStr">
        <is>
          <t>No</t>
        </is>
      </c>
      <c r="F629" t="inlineStr">
        <is>
          <t>No</t>
        </is>
      </c>
      <c r="G629">
        <f>IF(F629="Yes",1-B629,B629)</f>
        <v/>
      </c>
      <c r="H629">
        <f>IF(E629="Yes","",COUNTIFS($E$2:E629,"No"))</f>
        <v/>
      </c>
      <c r="I629">
        <f>IF(H629="","",IF(H629&lt;=128,"address",IF(H629&lt;=600,"data1",IF(H629&lt;=1264,"zero-run1",IF(H629&lt;=1648,"data2",IF(H629&lt;=2176,"zero-run2",IF(H629&lt;=2192,"FCS","trailing")))))))</f>
        <v/>
      </c>
      <c r="J629">
        <f>IFERROR(IF(AND(H629&lt;&gt;"",H629&gt;=129,H629&lt;=2176),INDEX(Fields!$B$2:$B$206,MATCH(H629-129,Fields!$D$2:$D$206,1)),""),"")</f>
        <v/>
      </c>
      <c r="K629">
        <f>IFERROR(IF(AND(H629&lt;&gt;"",H629&gt;=129,H629&lt;=2176),INDEX(Fields!$C$2:$C$206,MATCH(H629-129,Fields!$D$2:$D$206,1)),""),"")</f>
        <v/>
      </c>
      <c r="L629">
        <f>IFERROR(IF(AND(H629&lt;&gt;"",H629&gt;=129,H629&lt;=2176),INDEX(Fields!$J$2:$J$206,MATCH(H629-129,Fields!$D$2:$D$206,1)),""),"")</f>
        <v/>
      </c>
      <c r="M629">
        <f>IFERROR(IF(AND(H629&lt;&gt;"",H629&gt;=129,H629&lt;=2176),INDEX(Fields!$K$2:$K$206,MATCH(H629-129,Fields!$D$2:$D$206,1)),""),"")</f>
        <v/>
      </c>
    </row>
    <row r="630">
      <c r="A630" t="n">
        <v>628</v>
      </c>
      <c r="B630" t="n">
        <v>0</v>
      </c>
      <c r="C630" t="inlineStr">
        <is>
          <t>No</t>
        </is>
      </c>
      <c r="D630">
        <f>IF(AND(B625=1,B626=1,B627=1,B628=1,B629=1),"Yes","")</f>
        <v/>
      </c>
      <c r="E630" t="inlineStr">
        <is>
          <t>No</t>
        </is>
      </c>
      <c r="F630" t="inlineStr">
        <is>
          <t>No</t>
        </is>
      </c>
      <c r="G630">
        <f>IF(F630="Yes",1-B630,B630)</f>
        <v/>
      </c>
      <c r="H630">
        <f>IF(E630="Yes","",COUNTIFS($E$2:E630,"No"))</f>
        <v/>
      </c>
      <c r="I630">
        <f>IF(H630="","",IF(H630&lt;=128,"address",IF(H630&lt;=600,"data1",IF(H630&lt;=1264,"zero-run1",IF(H630&lt;=1648,"data2",IF(H630&lt;=2176,"zero-run2",IF(H630&lt;=2192,"FCS","trailing")))))))</f>
        <v/>
      </c>
      <c r="J630">
        <f>IFERROR(IF(AND(H630&lt;&gt;"",H630&gt;=129,H630&lt;=2176),INDEX(Fields!$B$2:$B$206,MATCH(H630-129,Fields!$D$2:$D$206,1)),""),"")</f>
        <v/>
      </c>
      <c r="K630">
        <f>IFERROR(IF(AND(H630&lt;&gt;"",H630&gt;=129,H630&lt;=2176),INDEX(Fields!$C$2:$C$206,MATCH(H630-129,Fields!$D$2:$D$206,1)),""),"")</f>
        <v/>
      </c>
      <c r="L630">
        <f>IFERROR(IF(AND(H630&lt;&gt;"",H630&gt;=129,H630&lt;=2176),INDEX(Fields!$J$2:$J$206,MATCH(H630-129,Fields!$D$2:$D$206,1)),""),"")</f>
        <v/>
      </c>
      <c r="M630">
        <f>IFERROR(IF(AND(H630&lt;&gt;"",H630&gt;=129,H630&lt;=2176),INDEX(Fields!$K$2:$K$206,MATCH(H630-129,Fields!$D$2:$D$206,1)),""),"")</f>
        <v/>
      </c>
    </row>
    <row r="631">
      <c r="A631" t="n">
        <v>629</v>
      </c>
      <c r="B631" t="n">
        <v>0</v>
      </c>
      <c r="C631" t="inlineStr">
        <is>
          <t>No</t>
        </is>
      </c>
      <c r="D631">
        <f>IF(AND(B626=1,B627=1,B628=1,B629=1,B630=1),"Yes","")</f>
        <v/>
      </c>
      <c r="E631" t="inlineStr">
        <is>
          <t>No</t>
        </is>
      </c>
      <c r="F631" t="inlineStr">
        <is>
          <t>No</t>
        </is>
      </c>
      <c r="G631">
        <f>IF(F631="Yes",1-B631,B631)</f>
        <v/>
      </c>
      <c r="H631">
        <f>IF(E631="Yes","",COUNTIFS($E$2:E631,"No"))</f>
        <v/>
      </c>
      <c r="I631">
        <f>IF(H631="","",IF(H631&lt;=128,"address",IF(H631&lt;=600,"data1",IF(H631&lt;=1264,"zero-run1",IF(H631&lt;=1648,"data2",IF(H631&lt;=2176,"zero-run2",IF(H631&lt;=2192,"FCS","trailing")))))))</f>
        <v/>
      </c>
      <c r="J631">
        <f>IFERROR(IF(AND(H631&lt;&gt;"",H631&gt;=129,H631&lt;=2176),INDEX(Fields!$B$2:$B$206,MATCH(H631-129,Fields!$D$2:$D$206,1)),""),"")</f>
        <v/>
      </c>
      <c r="K631">
        <f>IFERROR(IF(AND(H631&lt;&gt;"",H631&gt;=129,H631&lt;=2176),INDEX(Fields!$C$2:$C$206,MATCH(H631-129,Fields!$D$2:$D$206,1)),""),"")</f>
        <v/>
      </c>
      <c r="L631">
        <f>IFERROR(IF(AND(H631&lt;&gt;"",H631&gt;=129,H631&lt;=2176),INDEX(Fields!$J$2:$J$206,MATCH(H631-129,Fields!$D$2:$D$206,1)),""),"")</f>
        <v/>
      </c>
      <c r="M631">
        <f>IFERROR(IF(AND(H631&lt;&gt;"",H631&gt;=129,H631&lt;=2176),INDEX(Fields!$K$2:$K$206,MATCH(H631-129,Fields!$D$2:$D$206,1)),""),"")</f>
        <v/>
      </c>
    </row>
    <row r="632">
      <c r="A632" t="n">
        <v>630</v>
      </c>
      <c r="B632" t="n">
        <v>0</v>
      </c>
      <c r="C632" t="inlineStr">
        <is>
          <t>No</t>
        </is>
      </c>
      <c r="D632">
        <f>IF(AND(B627=1,B628=1,B629=1,B630=1,B631=1),"Yes","")</f>
        <v/>
      </c>
      <c r="E632" t="inlineStr">
        <is>
          <t>No</t>
        </is>
      </c>
      <c r="F632" t="inlineStr">
        <is>
          <t>No</t>
        </is>
      </c>
      <c r="G632">
        <f>IF(F632="Yes",1-B632,B632)</f>
        <v/>
      </c>
      <c r="H632">
        <f>IF(E632="Yes","",COUNTIFS($E$2:E632,"No"))</f>
        <v/>
      </c>
      <c r="I632">
        <f>IF(H632="","",IF(H632&lt;=128,"address",IF(H632&lt;=600,"data1",IF(H632&lt;=1264,"zero-run1",IF(H632&lt;=1648,"data2",IF(H632&lt;=2176,"zero-run2",IF(H632&lt;=2192,"FCS","trailing")))))))</f>
        <v/>
      </c>
      <c r="J632">
        <f>IFERROR(IF(AND(H632&lt;&gt;"",H632&gt;=129,H632&lt;=2176),INDEX(Fields!$B$2:$B$206,MATCH(H632-129,Fields!$D$2:$D$206,1)),""),"")</f>
        <v/>
      </c>
      <c r="K632">
        <f>IFERROR(IF(AND(H632&lt;&gt;"",H632&gt;=129,H632&lt;=2176),INDEX(Fields!$C$2:$C$206,MATCH(H632-129,Fields!$D$2:$D$206,1)),""),"")</f>
        <v/>
      </c>
      <c r="L632">
        <f>IFERROR(IF(AND(H632&lt;&gt;"",H632&gt;=129,H632&lt;=2176),INDEX(Fields!$J$2:$J$206,MATCH(H632-129,Fields!$D$2:$D$206,1)),""),"")</f>
        <v/>
      </c>
      <c r="M632">
        <f>IFERROR(IF(AND(H632&lt;&gt;"",H632&gt;=129,H632&lt;=2176),INDEX(Fields!$K$2:$K$206,MATCH(H632-129,Fields!$D$2:$D$206,1)),""),"")</f>
        <v/>
      </c>
    </row>
    <row r="633">
      <c r="A633" t="n">
        <v>631</v>
      </c>
      <c r="B633" t="n">
        <v>0</v>
      </c>
      <c r="C633" t="inlineStr">
        <is>
          <t>No</t>
        </is>
      </c>
      <c r="D633">
        <f>IF(AND(B628=1,B629=1,B630=1,B631=1,B632=1),"Yes","")</f>
        <v/>
      </c>
      <c r="E633" t="inlineStr">
        <is>
          <t>No</t>
        </is>
      </c>
      <c r="F633" t="inlineStr">
        <is>
          <t>No</t>
        </is>
      </c>
      <c r="G633">
        <f>IF(F633="Yes",1-B633,B633)</f>
        <v/>
      </c>
      <c r="H633">
        <f>IF(E633="Yes","",COUNTIFS($E$2:E633,"No"))</f>
        <v/>
      </c>
      <c r="I633">
        <f>IF(H633="","",IF(H633&lt;=128,"address",IF(H633&lt;=600,"data1",IF(H633&lt;=1264,"zero-run1",IF(H633&lt;=1648,"data2",IF(H633&lt;=2176,"zero-run2",IF(H633&lt;=2192,"FCS","trailing")))))))</f>
        <v/>
      </c>
      <c r="J633">
        <f>IFERROR(IF(AND(H633&lt;&gt;"",H633&gt;=129,H633&lt;=2176),INDEX(Fields!$B$2:$B$206,MATCH(H633-129,Fields!$D$2:$D$206,1)),""),"")</f>
        <v/>
      </c>
      <c r="K633">
        <f>IFERROR(IF(AND(H633&lt;&gt;"",H633&gt;=129,H633&lt;=2176),INDEX(Fields!$C$2:$C$206,MATCH(H633-129,Fields!$D$2:$D$206,1)),""),"")</f>
        <v/>
      </c>
      <c r="L633">
        <f>IFERROR(IF(AND(H633&lt;&gt;"",H633&gt;=129,H633&lt;=2176),INDEX(Fields!$J$2:$J$206,MATCH(H633-129,Fields!$D$2:$D$206,1)),""),"")</f>
        <v/>
      </c>
      <c r="M633">
        <f>IFERROR(IF(AND(H633&lt;&gt;"",H633&gt;=129,H633&lt;=2176),INDEX(Fields!$K$2:$K$206,MATCH(H633-129,Fields!$D$2:$D$206,1)),""),"")</f>
        <v/>
      </c>
    </row>
    <row r="634">
      <c r="A634" t="n">
        <v>632</v>
      </c>
      <c r="B634" t="n">
        <v>0</v>
      </c>
      <c r="C634" t="inlineStr">
        <is>
          <t>No</t>
        </is>
      </c>
      <c r="D634">
        <f>IF(AND(B629=1,B630=1,B631=1,B632=1,B633=1),"Yes","")</f>
        <v/>
      </c>
      <c r="E634" t="inlineStr">
        <is>
          <t>No</t>
        </is>
      </c>
      <c r="F634" t="inlineStr">
        <is>
          <t>No</t>
        </is>
      </c>
      <c r="G634">
        <f>IF(F634="Yes",1-B634,B634)</f>
        <v/>
      </c>
      <c r="H634">
        <f>IF(E634="Yes","",COUNTIFS($E$2:E634,"No"))</f>
        <v/>
      </c>
      <c r="I634">
        <f>IF(H634="","",IF(H634&lt;=128,"address",IF(H634&lt;=600,"data1",IF(H634&lt;=1264,"zero-run1",IF(H634&lt;=1648,"data2",IF(H634&lt;=2176,"zero-run2",IF(H634&lt;=2192,"FCS","trailing")))))))</f>
        <v/>
      </c>
      <c r="J634">
        <f>IFERROR(IF(AND(H634&lt;&gt;"",H634&gt;=129,H634&lt;=2176),INDEX(Fields!$B$2:$B$206,MATCH(H634-129,Fields!$D$2:$D$206,1)),""),"")</f>
        <v/>
      </c>
      <c r="K634">
        <f>IFERROR(IF(AND(H634&lt;&gt;"",H634&gt;=129,H634&lt;=2176),INDEX(Fields!$C$2:$C$206,MATCH(H634-129,Fields!$D$2:$D$206,1)),""),"")</f>
        <v/>
      </c>
      <c r="L634">
        <f>IFERROR(IF(AND(H634&lt;&gt;"",H634&gt;=129,H634&lt;=2176),INDEX(Fields!$J$2:$J$206,MATCH(H634-129,Fields!$D$2:$D$206,1)),""),"")</f>
        <v/>
      </c>
      <c r="M634">
        <f>IFERROR(IF(AND(H634&lt;&gt;"",H634&gt;=129,H634&lt;=2176),INDEX(Fields!$K$2:$K$206,MATCH(H634-129,Fields!$D$2:$D$206,1)),""),"")</f>
        <v/>
      </c>
    </row>
    <row r="635">
      <c r="A635" t="n">
        <v>633</v>
      </c>
      <c r="B635" t="n">
        <v>0</v>
      </c>
      <c r="C635" t="inlineStr">
        <is>
          <t>No</t>
        </is>
      </c>
      <c r="D635">
        <f>IF(AND(B630=1,B631=1,B632=1,B633=1,B634=1),"Yes","")</f>
        <v/>
      </c>
      <c r="E635" t="inlineStr">
        <is>
          <t>No</t>
        </is>
      </c>
      <c r="F635" t="inlineStr">
        <is>
          <t>No</t>
        </is>
      </c>
      <c r="G635">
        <f>IF(F635="Yes",1-B635,B635)</f>
        <v/>
      </c>
      <c r="H635">
        <f>IF(E635="Yes","",COUNTIFS($E$2:E635,"No"))</f>
        <v/>
      </c>
      <c r="I635">
        <f>IF(H635="","",IF(H635&lt;=128,"address",IF(H635&lt;=600,"data1",IF(H635&lt;=1264,"zero-run1",IF(H635&lt;=1648,"data2",IF(H635&lt;=2176,"zero-run2",IF(H635&lt;=2192,"FCS","trailing")))))))</f>
        <v/>
      </c>
      <c r="J635">
        <f>IFERROR(IF(AND(H635&lt;&gt;"",H635&gt;=129,H635&lt;=2176),INDEX(Fields!$B$2:$B$206,MATCH(H635-129,Fields!$D$2:$D$206,1)),""),"")</f>
        <v/>
      </c>
      <c r="K635">
        <f>IFERROR(IF(AND(H635&lt;&gt;"",H635&gt;=129,H635&lt;=2176),INDEX(Fields!$C$2:$C$206,MATCH(H635-129,Fields!$D$2:$D$206,1)),""),"")</f>
        <v/>
      </c>
      <c r="L635">
        <f>IFERROR(IF(AND(H635&lt;&gt;"",H635&gt;=129,H635&lt;=2176),INDEX(Fields!$J$2:$J$206,MATCH(H635-129,Fields!$D$2:$D$206,1)),""),"")</f>
        <v/>
      </c>
      <c r="M635">
        <f>IFERROR(IF(AND(H635&lt;&gt;"",H635&gt;=129,H635&lt;=2176),INDEX(Fields!$K$2:$K$206,MATCH(H635-129,Fields!$D$2:$D$206,1)),""),"")</f>
        <v/>
      </c>
    </row>
    <row r="636">
      <c r="A636" t="n">
        <v>634</v>
      </c>
      <c r="B636" t="n">
        <v>0</v>
      </c>
      <c r="C636" t="inlineStr">
        <is>
          <t>No</t>
        </is>
      </c>
      <c r="D636">
        <f>IF(AND(B631=1,B632=1,B633=1,B634=1,B635=1),"Yes","")</f>
        <v/>
      </c>
      <c r="E636" t="inlineStr">
        <is>
          <t>No</t>
        </is>
      </c>
      <c r="F636" t="inlineStr">
        <is>
          <t>No</t>
        </is>
      </c>
      <c r="G636">
        <f>IF(F636="Yes",1-B636,B636)</f>
        <v/>
      </c>
      <c r="H636">
        <f>IF(E636="Yes","",COUNTIFS($E$2:E636,"No"))</f>
        <v/>
      </c>
      <c r="I636">
        <f>IF(H636="","",IF(H636&lt;=128,"address",IF(H636&lt;=600,"data1",IF(H636&lt;=1264,"zero-run1",IF(H636&lt;=1648,"data2",IF(H636&lt;=2176,"zero-run2",IF(H636&lt;=2192,"FCS","trailing")))))))</f>
        <v/>
      </c>
      <c r="J636">
        <f>IFERROR(IF(AND(H636&lt;&gt;"",H636&gt;=129,H636&lt;=2176),INDEX(Fields!$B$2:$B$206,MATCH(H636-129,Fields!$D$2:$D$206,1)),""),"")</f>
        <v/>
      </c>
      <c r="K636">
        <f>IFERROR(IF(AND(H636&lt;&gt;"",H636&gt;=129,H636&lt;=2176),INDEX(Fields!$C$2:$C$206,MATCH(H636-129,Fields!$D$2:$D$206,1)),""),"")</f>
        <v/>
      </c>
      <c r="L636">
        <f>IFERROR(IF(AND(H636&lt;&gt;"",H636&gt;=129,H636&lt;=2176),INDEX(Fields!$J$2:$J$206,MATCH(H636-129,Fields!$D$2:$D$206,1)),""),"")</f>
        <v/>
      </c>
      <c r="M636">
        <f>IFERROR(IF(AND(H636&lt;&gt;"",H636&gt;=129,H636&lt;=2176),INDEX(Fields!$K$2:$K$206,MATCH(H636-129,Fields!$D$2:$D$206,1)),""),"")</f>
        <v/>
      </c>
    </row>
    <row r="637">
      <c r="A637" t="n">
        <v>635</v>
      </c>
      <c r="B637" t="n">
        <v>0</v>
      </c>
      <c r="C637" t="inlineStr">
        <is>
          <t>No</t>
        </is>
      </c>
      <c r="D637">
        <f>IF(AND(B632=1,B633=1,B634=1,B635=1,B636=1),"Yes","")</f>
        <v/>
      </c>
      <c r="E637" t="inlineStr">
        <is>
          <t>No</t>
        </is>
      </c>
      <c r="F637" t="inlineStr">
        <is>
          <t>No</t>
        </is>
      </c>
      <c r="G637">
        <f>IF(F637="Yes",1-B637,B637)</f>
        <v/>
      </c>
      <c r="H637">
        <f>IF(E637="Yes","",COUNTIFS($E$2:E637,"No"))</f>
        <v/>
      </c>
      <c r="I637">
        <f>IF(H637="","",IF(H637&lt;=128,"address",IF(H637&lt;=600,"data1",IF(H637&lt;=1264,"zero-run1",IF(H637&lt;=1648,"data2",IF(H637&lt;=2176,"zero-run2",IF(H637&lt;=2192,"FCS","trailing")))))))</f>
        <v/>
      </c>
      <c r="J637">
        <f>IFERROR(IF(AND(H637&lt;&gt;"",H637&gt;=129,H637&lt;=2176),INDEX(Fields!$B$2:$B$206,MATCH(H637-129,Fields!$D$2:$D$206,1)),""),"")</f>
        <v/>
      </c>
      <c r="K637">
        <f>IFERROR(IF(AND(H637&lt;&gt;"",H637&gt;=129,H637&lt;=2176),INDEX(Fields!$C$2:$C$206,MATCH(H637-129,Fields!$D$2:$D$206,1)),""),"")</f>
        <v/>
      </c>
      <c r="L637">
        <f>IFERROR(IF(AND(H637&lt;&gt;"",H637&gt;=129,H637&lt;=2176),INDEX(Fields!$J$2:$J$206,MATCH(H637-129,Fields!$D$2:$D$206,1)),""),"")</f>
        <v/>
      </c>
      <c r="M637">
        <f>IFERROR(IF(AND(H637&lt;&gt;"",H637&gt;=129,H637&lt;=2176),INDEX(Fields!$K$2:$K$206,MATCH(H637-129,Fields!$D$2:$D$206,1)),""),"")</f>
        <v/>
      </c>
    </row>
    <row r="638">
      <c r="A638" t="n">
        <v>636</v>
      </c>
      <c r="B638" t="n">
        <v>0</v>
      </c>
      <c r="C638" t="inlineStr">
        <is>
          <t>No</t>
        </is>
      </c>
      <c r="D638">
        <f>IF(AND(B633=1,B634=1,B635=1,B636=1,B637=1),"Yes","")</f>
        <v/>
      </c>
      <c r="E638" t="inlineStr">
        <is>
          <t>No</t>
        </is>
      </c>
      <c r="F638" t="inlineStr">
        <is>
          <t>No</t>
        </is>
      </c>
      <c r="G638">
        <f>IF(F638="Yes",1-B638,B638)</f>
        <v/>
      </c>
      <c r="H638">
        <f>IF(E638="Yes","",COUNTIFS($E$2:E638,"No"))</f>
        <v/>
      </c>
      <c r="I638">
        <f>IF(H638="","",IF(H638&lt;=128,"address",IF(H638&lt;=600,"data1",IF(H638&lt;=1264,"zero-run1",IF(H638&lt;=1648,"data2",IF(H638&lt;=2176,"zero-run2",IF(H638&lt;=2192,"FCS","trailing")))))))</f>
        <v/>
      </c>
      <c r="J638">
        <f>IFERROR(IF(AND(H638&lt;&gt;"",H638&gt;=129,H638&lt;=2176),INDEX(Fields!$B$2:$B$206,MATCH(H638-129,Fields!$D$2:$D$206,1)),""),"")</f>
        <v/>
      </c>
      <c r="K638">
        <f>IFERROR(IF(AND(H638&lt;&gt;"",H638&gt;=129,H638&lt;=2176),INDEX(Fields!$C$2:$C$206,MATCH(H638-129,Fields!$D$2:$D$206,1)),""),"")</f>
        <v/>
      </c>
      <c r="L638">
        <f>IFERROR(IF(AND(H638&lt;&gt;"",H638&gt;=129,H638&lt;=2176),INDEX(Fields!$J$2:$J$206,MATCH(H638-129,Fields!$D$2:$D$206,1)),""),"")</f>
        <v/>
      </c>
      <c r="M638">
        <f>IFERROR(IF(AND(H638&lt;&gt;"",H638&gt;=129,H638&lt;=2176),INDEX(Fields!$K$2:$K$206,MATCH(H638-129,Fields!$D$2:$D$206,1)),""),"")</f>
        <v/>
      </c>
    </row>
    <row r="639">
      <c r="A639" t="n">
        <v>637</v>
      </c>
      <c r="B639" t="n">
        <v>0</v>
      </c>
      <c r="C639" t="inlineStr">
        <is>
          <t>No</t>
        </is>
      </c>
      <c r="D639">
        <f>IF(AND(B634=1,B635=1,B636=1,B637=1,B638=1),"Yes","")</f>
        <v/>
      </c>
      <c r="E639" t="inlineStr">
        <is>
          <t>No</t>
        </is>
      </c>
      <c r="F639" t="inlineStr">
        <is>
          <t>No</t>
        </is>
      </c>
      <c r="G639">
        <f>IF(F639="Yes",1-B639,B639)</f>
        <v/>
      </c>
      <c r="H639">
        <f>IF(E639="Yes","",COUNTIFS($E$2:E639,"No"))</f>
        <v/>
      </c>
      <c r="I639">
        <f>IF(H639="","",IF(H639&lt;=128,"address",IF(H639&lt;=600,"data1",IF(H639&lt;=1264,"zero-run1",IF(H639&lt;=1648,"data2",IF(H639&lt;=2176,"zero-run2",IF(H639&lt;=2192,"FCS","trailing")))))))</f>
        <v/>
      </c>
      <c r="J639">
        <f>IFERROR(IF(AND(H639&lt;&gt;"",H639&gt;=129,H639&lt;=2176),INDEX(Fields!$B$2:$B$206,MATCH(H639-129,Fields!$D$2:$D$206,1)),""),"")</f>
        <v/>
      </c>
      <c r="K639">
        <f>IFERROR(IF(AND(H639&lt;&gt;"",H639&gt;=129,H639&lt;=2176),INDEX(Fields!$C$2:$C$206,MATCH(H639-129,Fields!$D$2:$D$206,1)),""),"")</f>
        <v/>
      </c>
      <c r="L639">
        <f>IFERROR(IF(AND(H639&lt;&gt;"",H639&gt;=129,H639&lt;=2176),INDEX(Fields!$J$2:$J$206,MATCH(H639-129,Fields!$D$2:$D$206,1)),""),"")</f>
        <v/>
      </c>
      <c r="M639">
        <f>IFERROR(IF(AND(H639&lt;&gt;"",H639&gt;=129,H639&lt;=2176),INDEX(Fields!$K$2:$K$206,MATCH(H639-129,Fields!$D$2:$D$206,1)),""),"")</f>
        <v/>
      </c>
    </row>
    <row r="640">
      <c r="A640" t="n">
        <v>638</v>
      </c>
      <c r="B640" t="n">
        <v>0</v>
      </c>
      <c r="C640" t="inlineStr">
        <is>
          <t>No</t>
        </is>
      </c>
      <c r="D640">
        <f>IF(AND(B635=1,B636=1,B637=1,B638=1,B639=1),"Yes","")</f>
        <v/>
      </c>
      <c r="E640" t="inlineStr">
        <is>
          <t>No</t>
        </is>
      </c>
      <c r="F640" t="inlineStr">
        <is>
          <t>No</t>
        </is>
      </c>
      <c r="G640">
        <f>IF(F640="Yes",1-B640,B640)</f>
        <v/>
      </c>
      <c r="H640">
        <f>IF(E640="Yes","",COUNTIFS($E$2:E640,"No"))</f>
        <v/>
      </c>
      <c r="I640">
        <f>IF(H640="","",IF(H640&lt;=128,"address",IF(H640&lt;=600,"data1",IF(H640&lt;=1264,"zero-run1",IF(H640&lt;=1648,"data2",IF(H640&lt;=2176,"zero-run2",IF(H640&lt;=2192,"FCS","trailing")))))))</f>
        <v/>
      </c>
      <c r="J640">
        <f>IFERROR(IF(AND(H640&lt;&gt;"",H640&gt;=129,H640&lt;=2176),INDEX(Fields!$B$2:$B$206,MATCH(H640-129,Fields!$D$2:$D$206,1)),""),"")</f>
        <v/>
      </c>
      <c r="K640">
        <f>IFERROR(IF(AND(H640&lt;&gt;"",H640&gt;=129,H640&lt;=2176),INDEX(Fields!$C$2:$C$206,MATCH(H640-129,Fields!$D$2:$D$206,1)),""),"")</f>
        <v/>
      </c>
      <c r="L640">
        <f>IFERROR(IF(AND(H640&lt;&gt;"",H640&gt;=129,H640&lt;=2176),INDEX(Fields!$J$2:$J$206,MATCH(H640-129,Fields!$D$2:$D$206,1)),""),"")</f>
        <v/>
      </c>
      <c r="M640">
        <f>IFERROR(IF(AND(H640&lt;&gt;"",H640&gt;=129,H640&lt;=2176),INDEX(Fields!$K$2:$K$206,MATCH(H640-129,Fields!$D$2:$D$206,1)),""),"")</f>
        <v/>
      </c>
    </row>
    <row r="641">
      <c r="A641" t="n">
        <v>639</v>
      </c>
      <c r="B641" t="n">
        <v>0</v>
      </c>
      <c r="C641" t="inlineStr">
        <is>
          <t>No</t>
        </is>
      </c>
      <c r="D641">
        <f>IF(AND(B636=1,B637=1,B638=1,B639=1,B640=1),"Yes","")</f>
        <v/>
      </c>
      <c r="E641" t="inlineStr">
        <is>
          <t>No</t>
        </is>
      </c>
      <c r="F641" t="inlineStr">
        <is>
          <t>No</t>
        </is>
      </c>
      <c r="G641">
        <f>IF(F641="Yes",1-B641,B641)</f>
        <v/>
      </c>
      <c r="H641">
        <f>IF(E641="Yes","",COUNTIFS($E$2:E641,"No"))</f>
        <v/>
      </c>
      <c r="I641">
        <f>IF(H641="","",IF(H641&lt;=128,"address",IF(H641&lt;=600,"data1",IF(H641&lt;=1264,"zero-run1",IF(H641&lt;=1648,"data2",IF(H641&lt;=2176,"zero-run2",IF(H641&lt;=2192,"FCS","trailing")))))))</f>
        <v/>
      </c>
      <c r="J641">
        <f>IFERROR(IF(AND(H641&lt;&gt;"",H641&gt;=129,H641&lt;=2176),INDEX(Fields!$B$2:$B$206,MATCH(H641-129,Fields!$D$2:$D$206,1)),""),"")</f>
        <v/>
      </c>
      <c r="K641">
        <f>IFERROR(IF(AND(H641&lt;&gt;"",H641&gt;=129,H641&lt;=2176),INDEX(Fields!$C$2:$C$206,MATCH(H641-129,Fields!$D$2:$D$206,1)),""),"")</f>
        <v/>
      </c>
      <c r="L641">
        <f>IFERROR(IF(AND(H641&lt;&gt;"",H641&gt;=129,H641&lt;=2176),INDEX(Fields!$J$2:$J$206,MATCH(H641-129,Fields!$D$2:$D$206,1)),""),"")</f>
        <v/>
      </c>
      <c r="M641">
        <f>IFERROR(IF(AND(H641&lt;&gt;"",H641&gt;=129,H641&lt;=2176),INDEX(Fields!$K$2:$K$206,MATCH(H641-129,Fields!$D$2:$D$206,1)),""),"")</f>
        <v/>
      </c>
    </row>
    <row r="642">
      <c r="A642" t="n">
        <v>640</v>
      </c>
      <c r="B642" t="n">
        <v>0</v>
      </c>
      <c r="C642" t="inlineStr">
        <is>
          <t>No</t>
        </is>
      </c>
      <c r="D642">
        <f>IF(AND(B637=1,B638=1,B639=1,B640=1,B641=1),"Yes","")</f>
        <v/>
      </c>
      <c r="E642" t="inlineStr">
        <is>
          <t>No</t>
        </is>
      </c>
      <c r="F642" t="inlineStr">
        <is>
          <t>No</t>
        </is>
      </c>
      <c r="G642">
        <f>IF(F642="Yes",1-B642,B642)</f>
        <v/>
      </c>
      <c r="H642">
        <f>IF(E642="Yes","",COUNTIFS($E$2:E642,"No"))</f>
        <v/>
      </c>
      <c r="I642">
        <f>IF(H642="","",IF(H642&lt;=128,"address",IF(H642&lt;=600,"data1",IF(H642&lt;=1264,"zero-run1",IF(H642&lt;=1648,"data2",IF(H642&lt;=2176,"zero-run2",IF(H642&lt;=2192,"FCS","trailing")))))))</f>
        <v/>
      </c>
      <c r="J642">
        <f>IFERROR(IF(AND(H642&lt;&gt;"",H642&gt;=129,H642&lt;=2176),INDEX(Fields!$B$2:$B$206,MATCH(H642-129,Fields!$D$2:$D$206,1)),""),"")</f>
        <v/>
      </c>
      <c r="K642">
        <f>IFERROR(IF(AND(H642&lt;&gt;"",H642&gt;=129,H642&lt;=2176),INDEX(Fields!$C$2:$C$206,MATCH(H642-129,Fields!$D$2:$D$206,1)),""),"")</f>
        <v/>
      </c>
      <c r="L642">
        <f>IFERROR(IF(AND(H642&lt;&gt;"",H642&gt;=129,H642&lt;=2176),INDEX(Fields!$J$2:$J$206,MATCH(H642-129,Fields!$D$2:$D$206,1)),""),"")</f>
        <v/>
      </c>
      <c r="M642">
        <f>IFERROR(IF(AND(H642&lt;&gt;"",H642&gt;=129,H642&lt;=2176),INDEX(Fields!$K$2:$K$206,MATCH(H642-129,Fields!$D$2:$D$206,1)),""),"")</f>
        <v/>
      </c>
    </row>
    <row r="643">
      <c r="A643" t="n">
        <v>641</v>
      </c>
      <c r="B643" t="n">
        <v>0</v>
      </c>
      <c r="C643" t="inlineStr">
        <is>
          <t>No</t>
        </is>
      </c>
      <c r="D643">
        <f>IF(AND(B638=1,B639=1,B640=1,B641=1,B642=1),"Yes","")</f>
        <v/>
      </c>
      <c r="E643" t="inlineStr">
        <is>
          <t>No</t>
        </is>
      </c>
      <c r="F643" t="inlineStr">
        <is>
          <t>No</t>
        </is>
      </c>
      <c r="G643">
        <f>IF(F643="Yes",1-B643,B643)</f>
        <v/>
      </c>
      <c r="H643">
        <f>IF(E643="Yes","",COUNTIFS($E$2:E643,"No"))</f>
        <v/>
      </c>
      <c r="I643">
        <f>IF(H643="","",IF(H643&lt;=128,"address",IF(H643&lt;=600,"data1",IF(H643&lt;=1264,"zero-run1",IF(H643&lt;=1648,"data2",IF(H643&lt;=2176,"zero-run2",IF(H643&lt;=2192,"FCS","trailing")))))))</f>
        <v/>
      </c>
      <c r="J643">
        <f>IFERROR(IF(AND(H643&lt;&gt;"",H643&gt;=129,H643&lt;=2176),INDEX(Fields!$B$2:$B$206,MATCH(H643-129,Fields!$D$2:$D$206,1)),""),"")</f>
        <v/>
      </c>
      <c r="K643">
        <f>IFERROR(IF(AND(H643&lt;&gt;"",H643&gt;=129,H643&lt;=2176),INDEX(Fields!$C$2:$C$206,MATCH(H643-129,Fields!$D$2:$D$206,1)),""),"")</f>
        <v/>
      </c>
      <c r="L643">
        <f>IFERROR(IF(AND(H643&lt;&gt;"",H643&gt;=129,H643&lt;=2176),INDEX(Fields!$J$2:$J$206,MATCH(H643-129,Fields!$D$2:$D$206,1)),""),"")</f>
        <v/>
      </c>
      <c r="M643">
        <f>IFERROR(IF(AND(H643&lt;&gt;"",H643&gt;=129,H643&lt;=2176),INDEX(Fields!$K$2:$K$206,MATCH(H643-129,Fields!$D$2:$D$206,1)),""),"")</f>
        <v/>
      </c>
    </row>
    <row r="644">
      <c r="A644" t="n">
        <v>642</v>
      </c>
      <c r="B644" t="n">
        <v>0</v>
      </c>
      <c r="C644" t="inlineStr">
        <is>
          <t>No</t>
        </is>
      </c>
      <c r="D644">
        <f>IF(AND(B639=1,B640=1,B641=1,B642=1,B643=1),"Yes","")</f>
        <v/>
      </c>
      <c r="E644" t="inlineStr">
        <is>
          <t>No</t>
        </is>
      </c>
      <c r="F644" t="inlineStr">
        <is>
          <t>No</t>
        </is>
      </c>
      <c r="G644">
        <f>IF(F644="Yes",1-B644,B644)</f>
        <v/>
      </c>
      <c r="H644">
        <f>IF(E644="Yes","",COUNTIFS($E$2:E644,"No"))</f>
        <v/>
      </c>
      <c r="I644">
        <f>IF(H644="","",IF(H644&lt;=128,"address",IF(H644&lt;=600,"data1",IF(H644&lt;=1264,"zero-run1",IF(H644&lt;=1648,"data2",IF(H644&lt;=2176,"zero-run2",IF(H644&lt;=2192,"FCS","trailing")))))))</f>
        <v/>
      </c>
      <c r="J644">
        <f>IFERROR(IF(AND(H644&lt;&gt;"",H644&gt;=129,H644&lt;=2176),INDEX(Fields!$B$2:$B$206,MATCH(H644-129,Fields!$D$2:$D$206,1)),""),"")</f>
        <v/>
      </c>
      <c r="K644">
        <f>IFERROR(IF(AND(H644&lt;&gt;"",H644&gt;=129,H644&lt;=2176),INDEX(Fields!$C$2:$C$206,MATCH(H644-129,Fields!$D$2:$D$206,1)),""),"")</f>
        <v/>
      </c>
      <c r="L644">
        <f>IFERROR(IF(AND(H644&lt;&gt;"",H644&gt;=129,H644&lt;=2176),INDEX(Fields!$J$2:$J$206,MATCH(H644-129,Fields!$D$2:$D$206,1)),""),"")</f>
        <v/>
      </c>
      <c r="M644">
        <f>IFERROR(IF(AND(H644&lt;&gt;"",H644&gt;=129,H644&lt;=2176),INDEX(Fields!$K$2:$K$206,MATCH(H644-129,Fields!$D$2:$D$206,1)),""),"")</f>
        <v/>
      </c>
    </row>
    <row r="645">
      <c r="A645" t="n">
        <v>643</v>
      </c>
      <c r="B645" t="n">
        <v>0</v>
      </c>
      <c r="C645" t="inlineStr">
        <is>
          <t>No</t>
        </is>
      </c>
      <c r="D645">
        <f>IF(AND(B640=1,B641=1,B642=1,B643=1,B644=1),"Yes","")</f>
        <v/>
      </c>
      <c r="E645" t="inlineStr">
        <is>
          <t>No</t>
        </is>
      </c>
      <c r="F645" t="inlineStr">
        <is>
          <t>No</t>
        </is>
      </c>
      <c r="G645">
        <f>IF(F645="Yes",1-B645,B645)</f>
        <v/>
      </c>
      <c r="H645">
        <f>IF(E645="Yes","",COUNTIFS($E$2:E645,"No"))</f>
        <v/>
      </c>
      <c r="I645">
        <f>IF(H645="","",IF(H645&lt;=128,"address",IF(H645&lt;=600,"data1",IF(H645&lt;=1264,"zero-run1",IF(H645&lt;=1648,"data2",IF(H645&lt;=2176,"zero-run2",IF(H645&lt;=2192,"FCS","trailing")))))))</f>
        <v/>
      </c>
      <c r="J645">
        <f>IFERROR(IF(AND(H645&lt;&gt;"",H645&gt;=129,H645&lt;=2176),INDEX(Fields!$B$2:$B$206,MATCH(H645-129,Fields!$D$2:$D$206,1)),""),"")</f>
        <v/>
      </c>
      <c r="K645">
        <f>IFERROR(IF(AND(H645&lt;&gt;"",H645&gt;=129,H645&lt;=2176),INDEX(Fields!$C$2:$C$206,MATCH(H645-129,Fields!$D$2:$D$206,1)),""),"")</f>
        <v/>
      </c>
      <c r="L645">
        <f>IFERROR(IF(AND(H645&lt;&gt;"",H645&gt;=129,H645&lt;=2176),INDEX(Fields!$J$2:$J$206,MATCH(H645-129,Fields!$D$2:$D$206,1)),""),"")</f>
        <v/>
      </c>
      <c r="M645">
        <f>IFERROR(IF(AND(H645&lt;&gt;"",H645&gt;=129,H645&lt;=2176),INDEX(Fields!$K$2:$K$206,MATCH(H645-129,Fields!$D$2:$D$206,1)),""),"")</f>
        <v/>
      </c>
    </row>
    <row r="646">
      <c r="A646" t="n">
        <v>644</v>
      </c>
      <c r="B646" t="n">
        <v>0</v>
      </c>
      <c r="C646" t="inlineStr">
        <is>
          <t>No</t>
        </is>
      </c>
      <c r="D646">
        <f>IF(AND(B641=1,B642=1,B643=1,B644=1,B645=1),"Yes","")</f>
        <v/>
      </c>
      <c r="E646" t="inlineStr">
        <is>
          <t>No</t>
        </is>
      </c>
      <c r="F646" t="inlineStr">
        <is>
          <t>No</t>
        </is>
      </c>
      <c r="G646">
        <f>IF(F646="Yes",1-B646,B646)</f>
        <v/>
      </c>
      <c r="H646">
        <f>IF(E646="Yes","",COUNTIFS($E$2:E646,"No"))</f>
        <v/>
      </c>
      <c r="I646">
        <f>IF(H646="","",IF(H646&lt;=128,"address",IF(H646&lt;=600,"data1",IF(H646&lt;=1264,"zero-run1",IF(H646&lt;=1648,"data2",IF(H646&lt;=2176,"zero-run2",IF(H646&lt;=2192,"FCS","trailing")))))))</f>
        <v/>
      </c>
      <c r="J646">
        <f>IFERROR(IF(AND(H646&lt;&gt;"",H646&gt;=129,H646&lt;=2176),INDEX(Fields!$B$2:$B$206,MATCH(H646-129,Fields!$D$2:$D$206,1)),""),"")</f>
        <v/>
      </c>
      <c r="K646">
        <f>IFERROR(IF(AND(H646&lt;&gt;"",H646&gt;=129,H646&lt;=2176),INDEX(Fields!$C$2:$C$206,MATCH(H646-129,Fields!$D$2:$D$206,1)),""),"")</f>
        <v/>
      </c>
      <c r="L646">
        <f>IFERROR(IF(AND(H646&lt;&gt;"",H646&gt;=129,H646&lt;=2176),INDEX(Fields!$J$2:$J$206,MATCH(H646-129,Fields!$D$2:$D$206,1)),""),"")</f>
        <v/>
      </c>
      <c r="M646">
        <f>IFERROR(IF(AND(H646&lt;&gt;"",H646&gt;=129,H646&lt;=2176),INDEX(Fields!$K$2:$K$206,MATCH(H646-129,Fields!$D$2:$D$206,1)),""),"")</f>
        <v/>
      </c>
    </row>
    <row r="647">
      <c r="A647" t="n">
        <v>645</v>
      </c>
      <c r="B647" t="n">
        <v>0</v>
      </c>
      <c r="C647" t="inlineStr">
        <is>
          <t>No</t>
        </is>
      </c>
      <c r="D647">
        <f>IF(AND(B642=1,B643=1,B644=1,B645=1,B646=1),"Yes","")</f>
        <v/>
      </c>
      <c r="E647" t="inlineStr">
        <is>
          <t>No</t>
        </is>
      </c>
      <c r="F647" t="inlineStr">
        <is>
          <t>No</t>
        </is>
      </c>
      <c r="G647">
        <f>IF(F647="Yes",1-B647,B647)</f>
        <v/>
      </c>
      <c r="H647">
        <f>IF(E647="Yes","",COUNTIFS($E$2:E647,"No"))</f>
        <v/>
      </c>
      <c r="I647">
        <f>IF(H647="","",IF(H647&lt;=128,"address",IF(H647&lt;=600,"data1",IF(H647&lt;=1264,"zero-run1",IF(H647&lt;=1648,"data2",IF(H647&lt;=2176,"zero-run2",IF(H647&lt;=2192,"FCS","trailing")))))))</f>
        <v/>
      </c>
      <c r="J647">
        <f>IFERROR(IF(AND(H647&lt;&gt;"",H647&gt;=129,H647&lt;=2176),INDEX(Fields!$B$2:$B$206,MATCH(H647-129,Fields!$D$2:$D$206,1)),""),"")</f>
        <v/>
      </c>
      <c r="K647">
        <f>IFERROR(IF(AND(H647&lt;&gt;"",H647&gt;=129,H647&lt;=2176),INDEX(Fields!$C$2:$C$206,MATCH(H647-129,Fields!$D$2:$D$206,1)),""),"")</f>
        <v/>
      </c>
      <c r="L647">
        <f>IFERROR(IF(AND(H647&lt;&gt;"",H647&gt;=129,H647&lt;=2176),INDEX(Fields!$J$2:$J$206,MATCH(H647-129,Fields!$D$2:$D$206,1)),""),"")</f>
        <v/>
      </c>
      <c r="M647">
        <f>IFERROR(IF(AND(H647&lt;&gt;"",H647&gt;=129,H647&lt;=2176),INDEX(Fields!$K$2:$K$206,MATCH(H647-129,Fields!$D$2:$D$206,1)),""),"")</f>
        <v/>
      </c>
    </row>
    <row r="648">
      <c r="A648" t="n">
        <v>646</v>
      </c>
      <c r="B648" t="n">
        <v>0</v>
      </c>
      <c r="C648" t="inlineStr">
        <is>
          <t>No</t>
        </is>
      </c>
      <c r="D648">
        <f>IF(AND(B643=1,B644=1,B645=1,B646=1,B647=1),"Yes","")</f>
        <v/>
      </c>
      <c r="E648" t="inlineStr">
        <is>
          <t>No</t>
        </is>
      </c>
      <c r="F648" t="inlineStr">
        <is>
          <t>No</t>
        </is>
      </c>
      <c r="G648">
        <f>IF(F648="Yes",1-B648,B648)</f>
        <v/>
      </c>
      <c r="H648">
        <f>IF(E648="Yes","",COUNTIFS($E$2:E648,"No"))</f>
        <v/>
      </c>
      <c r="I648">
        <f>IF(H648="","",IF(H648&lt;=128,"address",IF(H648&lt;=600,"data1",IF(H648&lt;=1264,"zero-run1",IF(H648&lt;=1648,"data2",IF(H648&lt;=2176,"zero-run2",IF(H648&lt;=2192,"FCS","trailing")))))))</f>
        <v/>
      </c>
      <c r="J648">
        <f>IFERROR(IF(AND(H648&lt;&gt;"",H648&gt;=129,H648&lt;=2176),INDEX(Fields!$B$2:$B$206,MATCH(H648-129,Fields!$D$2:$D$206,1)),""),"")</f>
        <v/>
      </c>
      <c r="K648">
        <f>IFERROR(IF(AND(H648&lt;&gt;"",H648&gt;=129,H648&lt;=2176),INDEX(Fields!$C$2:$C$206,MATCH(H648-129,Fields!$D$2:$D$206,1)),""),"")</f>
        <v/>
      </c>
      <c r="L648">
        <f>IFERROR(IF(AND(H648&lt;&gt;"",H648&gt;=129,H648&lt;=2176),INDEX(Fields!$J$2:$J$206,MATCH(H648-129,Fields!$D$2:$D$206,1)),""),"")</f>
        <v/>
      </c>
      <c r="M648">
        <f>IFERROR(IF(AND(H648&lt;&gt;"",H648&gt;=129,H648&lt;=2176),INDEX(Fields!$K$2:$K$206,MATCH(H648-129,Fields!$D$2:$D$206,1)),""),"")</f>
        <v/>
      </c>
    </row>
    <row r="649">
      <c r="A649" t="n">
        <v>647</v>
      </c>
      <c r="B649" t="n">
        <v>0</v>
      </c>
      <c r="C649" t="inlineStr">
        <is>
          <t>No</t>
        </is>
      </c>
      <c r="D649">
        <f>IF(AND(B644=1,B645=1,B646=1,B647=1,B648=1),"Yes","")</f>
        <v/>
      </c>
      <c r="E649" t="inlineStr">
        <is>
          <t>No</t>
        </is>
      </c>
      <c r="F649" t="inlineStr">
        <is>
          <t>No</t>
        </is>
      </c>
      <c r="G649">
        <f>IF(F649="Yes",1-B649,B649)</f>
        <v/>
      </c>
      <c r="H649">
        <f>IF(E649="Yes","",COUNTIFS($E$2:E649,"No"))</f>
        <v/>
      </c>
      <c r="I649">
        <f>IF(H649="","",IF(H649&lt;=128,"address",IF(H649&lt;=600,"data1",IF(H649&lt;=1264,"zero-run1",IF(H649&lt;=1648,"data2",IF(H649&lt;=2176,"zero-run2",IF(H649&lt;=2192,"FCS","trailing")))))))</f>
        <v/>
      </c>
      <c r="J649">
        <f>IFERROR(IF(AND(H649&lt;&gt;"",H649&gt;=129,H649&lt;=2176),INDEX(Fields!$B$2:$B$206,MATCH(H649-129,Fields!$D$2:$D$206,1)),""),"")</f>
        <v/>
      </c>
      <c r="K649">
        <f>IFERROR(IF(AND(H649&lt;&gt;"",H649&gt;=129,H649&lt;=2176),INDEX(Fields!$C$2:$C$206,MATCH(H649-129,Fields!$D$2:$D$206,1)),""),"")</f>
        <v/>
      </c>
      <c r="L649">
        <f>IFERROR(IF(AND(H649&lt;&gt;"",H649&gt;=129,H649&lt;=2176),INDEX(Fields!$J$2:$J$206,MATCH(H649-129,Fields!$D$2:$D$206,1)),""),"")</f>
        <v/>
      </c>
      <c r="M649">
        <f>IFERROR(IF(AND(H649&lt;&gt;"",H649&gt;=129,H649&lt;=2176),INDEX(Fields!$K$2:$K$206,MATCH(H649-129,Fields!$D$2:$D$206,1)),""),"")</f>
        <v/>
      </c>
    </row>
    <row r="650">
      <c r="A650" t="n">
        <v>648</v>
      </c>
      <c r="B650" t="n">
        <v>0</v>
      </c>
      <c r="C650" t="inlineStr">
        <is>
          <t>No</t>
        </is>
      </c>
      <c r="D650">
        <f>IF(AND(B645=1,B646=1,B647=1,B648=1,B649=1),"Yes","")</f>
        <v/>
      </c>
      <c r="E650" t="inlineStr">
        <is>
          <t>No</t>
        </is>
      </c>
      <c r="F650" t="inlineStr">
        <is>
          <t>No</t>
        </is>
      </c>
      <c r="G650">
        <f>IF(F650="Yes",1-B650,B650)</f>
        <v/>
      </c>
      <c r="H650">
        <f>IF(E650="Yes","",COUNTIFS($E$2:E650,"No"))</f>
        <v/>
      </c>
      <c r="I650">
        <f>IF(H650="","",IF(H650&lt;=128,"address",IF(H650&lt;=600,"data1",IF(H650&lt;=1264,"zero-run1",IF(H650&lt;=1648,"data2",IF(H650&lt;=2176,"zero-run2",IF(H650&lt;=2192,"FCS","trailing")))))))</f>
        <v/>
      </c>
      <c r="J650">
        <f>IFERROR(IF(AND(H650&lt;&gt;"",H650&gt;=129,H650&lt;=2176),INDEX(Fields!$B$2:$B$206,MATCH(H650-129,Fields!$D$2:$D$206,1)),""),"")</f>
        <v/>
      </c>
      <c r="K650">
        <f>IFERROR(IF(AND(H650&lt;&gt;"",H650&gt;=129,H650&lt;=2176),INDEX(Fields!$C$2:$C$206,MATCH(H650-129,Fields!$D$2:$D$206,1)),""),"")</f>
        <v/>
      </c>
      <c r="L650">
        <f>IFERROR(IF(AND(H650&lt;&gt;"",H650&gt;=129,H650&lt;=2176),INDEX(Fields!$J$2:$J$206,MATCH(H650-129,Fields!$D$2:$D$206,1)),""),"")</f>
        <v/>
      </c>
      <c r="M650">
        <f>IFERROR(IF(AND(H650&lt;&gt;"",H650&gt;=129,H650&lt;=2176),INDEX(Fields!$K$2:$K$206,MATCH(H650-129,Fields!$D$2:$D$206,1)),""),"")</f>
        <v/>
      </c>
    </row>
    <row r="651">
      <c r="A651" t="n">
        <v>649</v>
      </c>
      <c r="B651" t="n">
        <v>0</v>
      </c>
      <c r="C651" t="inlineStr">
        <is>
          <t>No</t>
        </is>
      </c>
      <c r="D651">
        <f>IF(AND(B646=1,B647=1,B648=1,B649=1,B650=1),"Yes","")</f>
        <v/>
      </c>
      <c r="E651" t="inlineStr">
        <is>
          <t>No</t>
        </is>
      </c>
      <c r="F651" t="inlineStr">
        <is>
          <t>No</t>
        </is>
      </c>
      <c r="G651">
        <f>IF(F651="Yes",1-B651,B651)</f>
        <v/>
      </c>
      <c r="H651">
        <f>IF(E651="Yes","",COUNTIFS($E$2:E651,"No"))</f>
        <v/>
      </c>
      <c r="I651">
        <f>IF(H651="","",IF(H651&lt;=128,"address",IF(H651&lt;=600,"data1",IF(H651&lt;=1264,"zero-run1",IF(H651&lt;=1648,"data2",IF(H651&lt;=2176,"zero-run2",IF(H651&lt;=2192,"FCS","trailing")))))))</f>
        <v/>
      </c>
      <c r="J651">
        <f>IFERROR(IF(AND(H651&lt;&gt;"",H651&gt;=129,H651&lt;=2176),INDEX(Fields!$B$2:$B$206,MATCH(H651-129,Fields!$D$2:$D$206,1)),""),"")</f>
        <v/>
      </c>
      <c r="K651">
        <f>IFERROR(IF(AND(H651&lt;&gt;"",H651&gt;=129,H651&lt;=2176),INDEX(Fields!$C$2:$C$206,MATCH(H651-129,Fields!$D$2:$D$206,1)),""),"")</f>
        <v/>
      </c>
      <c r="L651">
        <f>IFERROR(IF(AND(H651&lt;&gt;"",H651&gt;=129,H651&lt;=2176),INDEX(Fields!$J$2:$J$206,MATCH(H651-129,Fields!$D$2:$D$206,1)),""),"")</f>
        <v/>
      </c>
      <c r="M651">
        <f>IFERROR(IF(AND(H651&lt;&gt;"",H651&gt;=129,H651&lt;=2176),INDEX(Fields!$K$2:$K$206,MATCH(H651-129,Fields!$D$2:$D$206,1)),""),"")</f>
        <v/>
      </c>
    </row>
    <row r="652">
      <c r="A652" t="n">
        <v>650</v>
      </c>
      <c r="B652" t="n">
        <v>0</v>
      </c>
      <c r="C652" t="inlineStr">
        <is>
          <t>No</t>
        </is>
      </c>
      <c r="D652">
        <f>IF(AND(B647=1,B648=1,B649=1,B650=1,B651=1),"Yes","")</f>
        <v/>
      </c>
      <c r="E652" t="inlineStr">
        <is>
          <t>No</t>
        </is>
      </c>
      <c r="F652" t="inlineStr">
        <is>
          <t>No</t>
        </is>
      </c>
      <c r="G652">
        <f>IF(F652="Yes",1-B652,B652)</f>
        <v/>
      </c>
      <c r="H652">
        <f>IF(E652="Yes","",COUNTIFS($E$2:E652,"No"))</f>
        <v/>
      </c>
      <c r="I652">
        <f>IF(H652="","",IF(H652&lt;=128,"address",IF(H652&lt;=600,"data1",IF(H652&lt;=1264,"zero-run1",IF(H652&lt;=1648,"data2",IF(H652&lt;=2176,"zero-run2",IF(H652&lt;=2192,"FCS","trailing")))))))</f>
        <v/>
      </c>
      <c r="J652">
        <f>IFERROR(IF(AND(H652&lt;&gt;"",H652&gt;=129,H652&lt;=2176),INDEX(Fields!$B$2:$B$206,MATCH(H652-129,Fields!$D$2:$D$206,1)),""),"")</f>
        <v/>
      </c>
      <c r="K652">
        <f>IFERROR(IF(AND(H652&lt;&gt;"",H652&gt;=129,H652&lt;=2176),INDEX(Fields!$C$2:$C$206,MATCH(H652-129,Fields!$D$2:$D$206,1)),""),"")</f>
        <v/>
      </c>
      <c r="L652">
        <f>IFERROR(IF(AND(H652&lt;&gt;"",H652&gt;=129,H652&lt;=2176),INDEX(Fields!$J$2:$J$206,MATCH(H652-129,Fields!$D$2:$D$206,1)),""),"")</f>
        <v/>
      </c>
      <c r="M652">
        <f>IFERROR(IF(AND(H652&lt;&gt;"",H652&gt;=129,H652&lt;=2176),INDEX(Fields!$K$2:$K$206,MATCH(H652-129,Fields!$D$2:$D$206,1)),""),"")</f>
        <v/>
      </c>
    </row>
    <row r="653">
      <c r="A653" t="n">
        <v>651</v>
      </c>
      <c r="B653" t="n">
        <v>0</v>
      </c>
      <c r="C653" t="inlineStr">
        <is>
          <t>No</t>
        </is>
      </c>
      <c r="D653">
        <f>IF(AND(B648=1,B649=1,B650=1,B651=1,B652=1),"Yes","")</f>
        <v/>
      </c>
      <c r="E653" t="inlineStr">
        <is>
          <t>No</t>
        </is>
      </c>
      <c r="F653" t="inlineStr">
        <is>
          <t>No</t>
        </is>
      </c>
      <c r="G653">
        <f>IF(F653="Yes",1-B653,B653)</f>
        <v/>
      </c>
      <c r="H653">
        <f>IF(E653="Yes","",COUNTIFS($E$2:E653,"No"))</f>
        <v/>
      </c>
      <c r="I653">
        <f>IF(H653="","",IF(H653&lt;=128,"address",IF(H653&lt;=600,"data1",IF(H653&lt;=1264,"zero-run1",IF(H653&lt;=1648,"data2",IF(H653&lt;=2176,"zero-run2",IF(H653&lt;=2192,"FCS","trailing")))))))</f>
        <v/>
      </c>
      <c r="J653">
        <f>IFERROR(IF(AND(H653&lt;&gt;"",H653&gt;=129,H653&lt;=2176),INDEX(Fields!$B$2:$B$206,MATCH(H653-129,Fields!$D$2:$D$206,1)),""),"")</f>
        <v/>
      </c>
      <c r="K653">
        <f>IFERROR(IF(AND(H653&lt;&gt;"",H653&gt;=129,H653&lt;=2176),INDEX(Fields!$C$2:$C$206,MATCH(H653-129,Fields!$D$2:$D$206,1)),""),"")</f>
        <v/>
      </c>
      <c r="L653">
        <f>IFERROR(IF(AND(H653&lt;&gt;"",H653&gt;=129,H653&lt;=2176),INDEX(Fields!$J$2:$J$206,MATCH(H653-129,Fields!$D$2:$D$206,1)),""),"")</f>
        <v/>
      </c>
      <c r="M653">
        <f>IFERROR(IF(AND(H653&lt;&gt;"",H653&gt;=129,H653&lt;=2176),INDEX(Fields!$K$2:$K$206,MATCH(H653-129,Fields!$D$2:$D$206,1)),""),"")</f>
        <v/>
      </c>
    </row>
    <row r="654">
      <c r="A654" t="n">
        <v>652</v>
      </c>
      <c r="B654" t="n">
        <v>0</v>
      </c>
      <c r="C654" t="inlineStr">
        <is>
          <t>No</t>
        </is>
      </c>
      <c r="D654">
        <f>IF(AND(B649=1,B650=1,B651=1,B652=1,B653=1),"Yes","")</f>
        <v/>
      </c>
      <c r="E654" t="inlineStr">
        <is>
          <t>No</t>
        </is>
      </c>
      <c r="F654" t="inlineStr">
        <is>
          <t>No</t>
        </is>
      </c>
      <c r="G654">
        <f>IF(F654="Yes",1-B654,B654)</f>
        <v/>
      </c>
      <c r="H654">
        <f>IF(E654="Yes","",COUNTIFS($E$2:E654,"No"))</f>
        <v/>
      </c>
      <c r="I654">
        <f>IF(H654="","",IF(H654&lt;=128,"address",IF(H654&lt;=600,"data1",IF(H654&lt;=1264,"zero-run1",IF(H654&lt;=1648,"data2",IF(H654&lt;=2176,"zero-run2",IF(H654&lt;=2192,"FCS","trailing")))))))</f>
        <v/>
      </c>
      <c r="J654">
        <f>IFERROR(IF(AND(H654&lt;&gt;"",H654&gt;=129,H654&lt;=2176),INDEX(Fields!$B$2:$B$206,MATCH(H654-129,Fields!$D$2:$D$206,1)),""),"")</f>
        <v/>
      </c>
      <c r="K654">
        <f>IFERROR(IF(AND(H654&lt;&gt;"",H654&gt;=129,H654&lt;=2176),INDEX(Fields!$C$2:$C$206,MATCH(H654-129,Fields!$D$2:$D$206,1)),""),"")</f>
        <v/>
      </c>
      <c r="L654">
        <f>IFERROR(IF(AND(H654&lt;&gt;"",H654&gt;=129,H654&lt;=2176),INDEX(Fields!$J$2:$J$206,MATCH(H654-129,Fields!$D$2:$D$206,1)),""),"")</f>
        <v/>
      </c>
      <c r="M654">
        <f>IFERROR(IF(AND(H654&lt;&gt;"",H654&gt;=129,H654&lt;=2176),INDEX(Fields!$K$2:$K$206,MATCH(H654-129,Fields!$D$2:$D$206,1)),""),"")</f>
        <v/>
      </c>
    </row>
    <row r="655">
      <c r="A655" t="n">
        <v>653</v>
      </c>
      <c r="B655" t="n">
        <v>0</v>
      </c>
      <c r="C655" t="inlineStr">
        <is>
          <t>No</t>
        </is>
      </c>
      <c r="D655">
        <f>IF(AND(B650=1,B651=1,B652=1,B653=1,B654=1),"Yes","")</f>
        <v/>
      </c>
      <c r="E655" t="inlineStr">
        <is>
          <t>No</t>
        </is>
      </c>
      <c r="F655" t="inlineStr">
        <is>
          <t>No</t>
        </is>
      </c>
      <c r="G655">
        <f>IF(F655="Yes",1-B655,B655)</f>
        <v/>
      </c>
      <c r="H655">
        <f>IF(E655="Yes","",COUNTIFS($E$2:E655,"No"))</f>
        <v/>
      </c>
      <c r="I655">
        <f>IF(H655="","",IF(H655&lt;=128,"address",IF(H655&lt;=600,"data1",IF(H655&lt;=1264,"zero-run1",IF(H655&lt;=1648,"data2",IF(H655&lt;=2176,"zero-run2",IF(H655&lt;=2192,"FCS","trailing")))))))</f>
        <v/>
      </c>
      <c r="J655">
        <f>IFERROR(IF(AND(H655&lt;&gt;"",H655&gt;=129,H655&lt;=2176),INDEX(Fields!$B$2:$B$206,MATCH(H655-129,Fields!$D$2:$D$206,1)),""),"")</f>
        <v/>
      </c>
      <c r="K655">
        <f>IFERROR(IF(AND(H655&lt;&gt;"",H655&gt;=129,H655&lt;=2176),INDEX(Fields!$C$2:$C$206,MATCH(H655-129,Fields!$D$2:$D$206,1)),""),"")</f>
        <v/>
      </c>
      <c r="L655">
        <f>IFERROR(IF(AND(H655&lt;&gt;"",H655&gt;=129,H655&lt;=2176),INDEX(Fields!$J$2:$J$206,MATCH(H655-129,Fields!$D$2:$D$206,1)),""),"")</f>
        <v/>
      </c>
      <c r="M655">
        <f>IFERROR(IF(AND(H655&lt;&gt;"",H655&gt;=129,H655&lt;=2176),INDEX(Fields!$K$2:$K$206,MATCH(H655-129,Fields!$D$2:$D$206,1)),""),"")</f>
        <v/>
      </c>
    </row>
    <row r="656">
      <c r="A656" t="n">
        <v>654</v>
      </c>
      <c r="B656" t="n">
        <v>0</v>
      </c>
      <c r="C656" t="inlineStr">
        <is>
          <t>No</t>
        </is>
      </c>
      <c r="D656">
        <f>IF(AND(B651=1,B652=1,B653=1,B654=1,B655=1),"Yes","")</f>
        <v/>
      </c>
      <c r="E656" t="inlineStr">
        <is>
          <t>No</t>
        </is>
      </c>
      <c r="F656" t="inlineStr">
        <is>
          <t>No</t>
        </is>
      </c>
      <c r="G656">
        <f>IF(F656="Yes",1-B656,B656)</f>
        <v/>
      </c>
      <c r="H656">
        <f>IF(E656="Yes","",COUNTIFS($E$2:E656,"No"))</f>
        <v/>
      </c>
      <c r="I656">
        <f>IF(H656="","",IF(H656&lt;=128,"address",IF(H656&lt;=600,"data1",IF(H656&lt;=1264,"zero-run1",IF(H656&lt;=1648,"data2",IF(H656&lt;=2176,"zero-run2",IF(H656&lt;=2192,"FCS","trailing")))))))</f>
        <v/>
      </c>
      <c r="J656">
        <f>IFERROR(IF(AND(H656&lt;&gt;"",H656&gt;=129,H656&lt;=2176),INDEX(Fields!$B$2:$B$206,MATCH(H656-129,Fields!$D$2:$D$206,1)),""),"")</f>
        <v/>
      </c>
      <c r="K656">
        <f>IFERROR(IF(AND(H656&lt;&gt;"",H656&gt;=129,H656&lt;=2176),INDEX(Fields!$C$2:$C$206,MATCH(H656-129,Fields!$D$2:$D$206,1)),""),"")</f>
        <v/>
      </c>
      <c r="L656">
        <f>IFERROR(IF(AND(H656&lt;&gt;"",H656&gt;=129,H656&lt;=2176),INDEX(Fields!$J$2:$J$206,MATCH(H656-129,Fields!$D$2:$D$206,1)),""),"")</f>
        <v/>
      </c>
      <c r="M656">
        <f>IFERROR(IF(AND(H656&lt;&gt;"",H656&gt;=129,H656&lt;=2176),INDEX(Fields!$K$2:$K$206,MATCH(H656-129,Fields!$D$2:$D$206,1)),""),"")</f>
        <v/>
      </c>
    </row>
    <row r="657">
      <c r="A657" t="n">
        <v>655</v>
      </c>
      <c r="B657" t="n">
        <v>0</v>
      </c>
      <c r="C657" t="inlineStr">
        <is>
          <t>No</t>
        </is>
      </c>
      <c r="D657">
        <f>IF(AND(B652=1,B653=1,B654=1,B655=1,B656=1),"Yes","")</f>
        <v/>
      </c>
      <c r="E657" t="inlineStr">
        <is>
          <t>No</t>
        </is>
      </c>
      <c r="F657" t="inlineStr">
        <is>
          <t>No</t>
        </is>
      </c>
      <c r="G657">
        <f>IF(F657="Yes",1-B657,B657)</f>
        <v/>
      </c>
      <c r="H657">
        <f>IF(E657="Yes","",COUNTIFS($E$2:E657,"No"))</f>
        <v/>
      </c>
      <c r="I657">
        <f>IF(H657="","",IF(H657&lt;=128,"address",IF(H657&lt;=600,"data1",IF(H657&lt;=1264,"zero-run1",IF(H657&lt;=1648,"data2",IF(H657&lt;=2176,"zero-run2",IF(H657&lt;=2192,"FCS","trailing")))))))</f>
        <v/>
      </c>
      <c r="J657">
        <f>IFERROR(IF(AND(H657&lt;&gt;"",H657&gt;=129,H657&lt;=2176),INDEX(Fields!$B$2:$B$206,MATCH(H657-129,Fields!$D$2:$D$206,1)),""),"")</f>
        <v/>
      </c>
      <c r="K657">
        <f>IFERROR(IF(AND(H657&lt;&gt;"",H657&gt;=129,H657&lt;=2176),INDEX(Fields!$C$2:$C$206,MATCH(H657-129,Fields!$D$2:$D$206,1)),""),"")</f>
        <v/>
      </c>
      <c r="L657">
        <f>IFERROR(IF(AND(H657&lt;&gt;"",H657&gt;=129,H657&lt;=2176),INDEX(Fields!$J$2:$J$206,MATCH(H657-129,Fields!$D$2:$D$206,1)),""),"")</f>
        <v/>
      </c>
      <c r="M657">
        <f>IFERROR(IF(AND(H657&lt;&gt;"",H657&gt;=129,H657&lt;=2176),INDEX(Fields!$K$2:$K$206,MATCH(H657-129,Fields!$D$2:$D$206,1)),""),"")</f>
        <v/>
      </c>
    </row>
    <row r="658">
      <c r="A658" t="n">
        <v>656</v>
      </c>
      <c r="B658" t="n">
        <v>0</v>
      </c>
      <c r="C658" t="inlineStr">
        <is>
          <t>No</t>
        </is>
      </c>
      <c r="D658">
        <f>IF(AND(B653=1,B654=1,B655=1,B656=1,B657=1),"Yes","")</f>
        <v/>
      </c>
      <c r="E658" t="inlineStr">
        <is>
          <t>No</t>
        </is>
      </c>
      <c r="F658" t="inlineStr">
        <is>
          <t>No</t>
        </is>
      </c>
      <c r="G658">
        <f>IF(F658="Yes",1-B658,B658)</f>
        <v/>
      </c>
      <c r="H658">
        <f>IF(E658="Yes","",COUNTIFS($E$2:E658,"No"))</f>
        <v/>
      </c>
      <c r="I658">
        <f>IF(H658="","",IF(H658&lt;=128,"address",IF(H658&lt;=600,"data1",IF(H658&lt;=1264,"zero-run1",IF(H658&lt;=1648,"data2",IF(H658&lt;=2176,"zero-run2",IF(H658&lt;=2192,"FCS","trailing")))))))</f>
        <v/>
      </c>
      <c r="J658">
        <f>IFERROR(IF(AND(H658&lt;&gt;"",H658&gt;=129,H658&lt;=2176),INDEX(Fields!$B$2:$B$206,MATCH(H658-129,Fields!$D$2:$D$206,1)),""),"")</f>
        <v/>
      </c>
      <c r="K658">
        <f>IFERROR(IF(AND(H658&lt;&gt;"",H658&gt;=129,H658&lt;=2176),INDEX(Fields!$C$2:$C$206,MATCH(H658-129,Fields!$D$2:$D$206,1)),""),"")</f>
        <v/>
      </c>
      <c r="L658">
        <f>IFERROR(IF(AND(H658&lt;&gt;"",H658&gt;=129,H658&lt;=2176),INDEX(Fields!$J$2:$J$206,MATCH(H658-129,Fields!$D$2:$D$206,1)),""),"")</f>
        <v/>
      </c>
      <c r="M658">
        <f>IFERROR(IF(AND(H658&lt;&gt;"",H658&gt;=129,H658&lt;=2176),INDEX(Fields!$K$2:$K$206,MATCH(H658-129,Fields!$D$2:$D$206,1)),""),"")</f>
        <v/>
      </c>
    </row>
    <row r="659">
      <c r="A659" t="n">
        <v>657</v>
      </c>
      <c r="B659" t="n">
        <v>0</v>
      </c>
      <c r="C659" t="inlineStr">
        <is>
          <t>No</t>
        </is>
      </c>
      <c r="D659">
        <f>IF(AND(B654=1,B655=1,B656=1,B657=1,B658=1),"Yes","")</f>
        <v/>
      </c>
      <c r="E659" t="inlineStr">
        <is>
          <t>No</t>
        </is>
      </c>
      <c r="F659" t="inlineStr">
        <is>
          <t>No</t>
        </is>
      </c>
      <c r="G659">
        <f>IF(F659="Yes",1-B659,B659)</f>
        <v/>
      </c>
      <c r="H659">
        <f>IF(E659="Yes","",COUNTIFS($E$2:E659,"No"))</f>
        <v/>
      </c>
      <c r="I659">
        <f>IF(H659="","",IF(H659&lt;=128,"address",IF(H659&lt;=600,"data1",IF(H659&lt;=1264,"zero-run1",IF(H659&lt;=1648,"data2",IF(H659&lt;=2176,"zero-run2",IF(H659&lt;=2192,"FCS","trailing")))))))</f>
        <v/>
      </c>
      <c r="J659">
        <f>IFERROR(IF(AND(H659&lt;&gt;"",H659&gt;=129,H659&lt;=2176),INDEX(Fields!$B$2:$B$206,MATCH(H659-129,Fields!$D$2:$D$206,1)),""),"")</f>
        <v/>
      </c>
      <c r="K659">
        <f>IFERROR(IF(AND(H659&lt;&gt;"",H659&gt;=129,H659&lt;=2176),INDEX(Fields!$C$2:$C$206,MATCH(H659-129,Fields!$D$2:$D$206,1)),""),"")</f>
        <v/>
      </c>
      <c r="L659">
        <f>IFERROR(IF(AND(H659&lt;&gt;"",H659&gt;=129,H659&lt;=2176),INDEX(Fields!$J$2:$J$206,MATCH(H659-129,Fields!$D$2:$D$206,1)),""),"")</f>
        <v/>
      </c>
      <c r="M659">
        <f>IFERROR(IF(AND(H659&lt;&gt;"",H659&gt;=129,H659&lt;=2176),INDEX(Fields!$K$2:$K$206,MATCH(H659-129,Fields!$D$2:$D$206,1)),""),"")</f>
        <v/>
      </c>
    </row>
    <row r="660">
      <c r="A660" t="n">
        <v>658</v>
      </c>
      <c r="B660" t="n">
        <v>0</v>
      </c>
      <c r="C660" t="inlineStr">
        <is>
          <t>No</t>
        </is>
      </c>
      <c r="D660">
        <f>IF(AND(B655=1,B656=1,B657=1,B658=1,B659=1),"Yes","")</f>
        <v/>
      </c>
      <c r="E660" t="inlineStr">
        <is>
          <t>No</t>
        </is>
      </c>
      <c r="F660" t="inlineStr">
        <is>
          <t>No</t>
        </is>
      </c>
      <c r="G660">
        <f>IF(F660="Yes",1-B660,B660)</f>
        <v/>
      </c>
      <c r="H660">
        <f>IF(E660="Yes","",COUNTIFS($E$2:E660,"No"))</f>
        <v/>
      </c>
      <c r="I660">
        <f>IF(H660="","",IF(H660&lt;=128,"address",IF(H660&lt;=600,"data1",IF(H660&lt;=1264,"zero-run1",IF(H660&lt;=1648,"data2",IF(H660&lt;=2176,"zero-run2",IF(H660&lt;=2192,"FCS","trailing")))))))</f>
        <v/>
      </c>
      <c r="J660">
        <f>IFERROR(IF(AND(H660&lt;&gt;"",H660&gt;=129,H660&lt;=2176),INDEX(Fields!$B$2:$B$206,MATCH(H660-129,Fields!$D$2:$D$206,1)),""),"")</f>
        <v/>
      </c>
      <c r="K660">
        <f>IFERROR(IF(AND(H660&lt;&gt;"",H660&gt;=129,H660&lt;=2176),INDEX(Fields!$C$2:$C$206,MATCH(H660-129,Fields!$D$2:$D$206,1)),""),"")</f>
        <v/>
      </c>
      <c r="L660">
        <f>IFERROR(IF(AND(H660&lt;&gt;"",H660&gt;=129,H660&lt;=2176),INDEX(Fields!$J$2:$J$206,MATCH(H660-129,Fields!$D$2:$D$206,1)),""),"")</f>
        <v/>
      </c>
      <c r="M660">
        <f>IFERROR(IF(AND(H660&lt;&gt;"",H660&gt;=129,H660&lt;=2176),INDEX(Fields!$K$2:$K$206,MATCH(H660-129,Fields!$D$2:$D$206,1)),""),"")</f>
        <v/>
      </c>
    </row>
    <row r="661">
      <c r="A661" t="n">
        <v>659</v>
      </c>
      <c r="B661" t="n">
        <v>0</v>
      </c>
      <c r="C661" t="inlineStr">
        <is>
          <t>No</t>
        </is>
      </c>
      <c r="D661">
        <f>IF(AND(B656=1,B657=1,B658=1,B659=1,B660=1),"Yes","")</f>
        <v/>
      </c>
      <c r="E661" t="inlineStr">
        <is>
          <t>No</t>
        </is>
      </c>
      <c r="F661" t="inlineStr">
        <is>
          <t>No</t>
        </is>
      </c>
      <c r="G661">
        <f>IF(F661="Yes",1-B661,B661)</f>
        <v/>
      </c>
      <c r="H661">
        <f>IF(E661="Yes","",COUNTIFS($E$2:E661,"No"))</f>
        <v/>
      </c>
      <c r="I661">
        <f>IF(H661="","",IF(H661&lt;=128,"address",IF(H661&lt;=600,"data1",IF(H661&lt;=1264,"zero-run1",IF(H661&lt;=1648,"data2",IF(H661&lt;=2176,"zero-run2",IF(H661&lt;=2192,"FCS","trailing")))))))</f>
        <v/>
      </c>
      <c r="J661">
        <f>IFERROR(IF(AND(H661&lt;&gt;"",H661&gt;=129,H661&lt;=2176),INDEX(Fields!$B$2:$B$206,MATCH(H661-129,Fields!$D$2:$D$206,1)),""),"")</f>
        <v/>
      </c>
      <c r="K661">
        <f>IFERROR(IF(AND(H661&lt;&gt;"",H661&gt;=129,H661&lt;=2176),INDEX(Fields!$C$2:$C$206,MATCH(H661-129,Fields!$D$2:$D$206,1)),""),"")</f>
        <v/>
      </c>
      <c r="L661">
        <f>IFERROR(IF(AND(H661&lt;&gt;"",H661&gt;=129,H661&lt;=2176),INDEX(Fields!$J$2:$J$206,MATCH(H661-129,Fields!$D$2:$D$206,1)),""),"")</f>
        <v/>
      </c>
      <c r="M661">
        <f>IFERROR(IF(AND(H661&lt;&gt;"",H661&gt;=129,H661&lt;=2176),INDEX(Fields!$K$2:$K$206,MATCH(H661-129,Fields!$D$2:$D$206,1)),""),"")</f>
        <v/>
      </c>
    </row>
    <row r="662">
      <c r="A662" t="n">
        <v>660</v>
      </c>
      <c r="B662" t="n">
        <v>0</v>
      </c>
      <c r="C662" t="inlineStr">
        <is>
          <t>No</t>
        </is>
      </c>
      <c r="D662">
        <f>IF(AND(B657=1,B658=1,B659=1,B660=1,B661=1),"Yes","")</f>
        <v/>
      </c>
      <c r="E662" t="inlineStr">
        <is>
          <t>No</t>
        </is>
      </c>
      <c r="F662" t="inlineStr">
        <is>
          <t>No</t>
        </is>
      </c>
      <c r="G662">
        <f>IF(F662="Yes",1-B662,B662)</f>
        <v/>
      </c>
      <c r="H662">
        <f>IF(E662="Yes","",COUNTIFS($E$2:E662,"No"))</f>
        <v/>
      </c>
      <c r="I662">
        <f>IF(H662="","",IF(H662&lt;=128,"address",IF(H662&lt;=600,"data1",IF(H662&lt;=1264,"zero-run1",IF(H662&lt;=1648,"data2",IF(H662&lt;=2176,"zero-run2",IF(H662&lt;=2192,"FCS","trailing")))))))</f>
        <v/>
      </c>
      <c r="J662">
        <f>IFERROR(IF(AND(H662&lt;&gt;"",H662&gt;=129,H662&lt;=2176),INDEX(Fields!$B$2:$B$206,MATCH(H662-129,Fields!$D$2:$D$206,1)),""),"")</f>
        <v/>
      </c>
      <c r="K662">
        <f>IFERROR(IF(AND(H662&lt;&gt;"",H662&gt;=129,H662&lt;=2176),INDEX(Fields!$C$2:$C$206,MATCH(H662-129,Fields!$D$2:$D$206,1)),""),"")</f>
        <v/>
      </c>
      <c r="L662">
        <f>IFERROR(IF(AND(H662&lt;&gt;"",H662&gt;=129,H662&lt;=2176),INDEX(Fields!$J$2:$J$206,MATCH(H662-129,Fields!$D$2:$D$206,1)),""),"")</f>
        <v/>
      </c>
      <c r="M662">
        <f>IFERROR(IF(AND(H662&lt;&gt;"",H662&gt;=129,H662&lt;=2176),INDEX(Fields!$K$2:$K$206,MATCH(H662-129,Fields!$D$2:$D$206,1)),""),"")</f>
        <v/>
      </c>
    </row>
    <row r="663">
      <c r="A663" t="n">
        <v>661</v>
      </c>
      <c r="B663" t="n">
        <v>0</v>
      </c>
      <c r="C663" t="inlineStr">
        <is>
          <t>No</t>
        </is>
      </c>
      <c r="D663">
        <f>IF(AND(B658=1,B659=1,B660=1,B661=1,B662=1),"Yes","")</f>
        <v/>
      </c>
      <c r="E663" t="inlineStr">
        <is>
          <t>No</t>
        </is>
      </c>
      <c r="F663" t="inlineStr">
        <is>
          <t>No</t>
        </is>
      </c>
      <c r="G663">
        <f>IF(F663="Yes",1-B663,B663)</f>
        <v/>
      </c>
      <c r="H663">
        <f>IF(E663="Yes","",COUNTIFS($E$2:E663,"No"))</f>
        <v/>
      </c>
      <c r="I663">
        <f>IF(H663="","",IF(H663&lt;=128,"address",IF(H663&lt;=600,"data1",IF(H663&lt;=1264,"zero-run1",IF(H663&lt;=1648,"data2",IF(H663&lt;=2176,"zero-run2",IF(H663&lt;=2192,"FCS","trailing")))))))</f>
        <v/>
      </c>
      <c r="J663">
        <f>IFERROR(IF(AND(H663&lt;&gt;"",H663&gt;=129,H663&lt;=2176),INDEX(Fields!$B$2:$B$206,MATCH(H663-129,Fields!$D$2:$D$206,1)),""),"")</f>
        <v/>
      </c>
      <c r="K663">
        <f>IFERROR(IF(AND(H663&lt;&gt;"",H663&gt;=129,H663&lt;=2176),INDEX(Fields!$C$2:$C$206,MATCH(H663-129,Fields!$D$2:$D$206,1)),""),"")</f>
        <v/>
      </c>
      <c r="L663">
        <f>IFERROR(IF(AND(H663&lt;&gt;"",H663&gt;=129,H663&lt;=2176),INDEX(Fields!$J$2:$J$206,MATCH(H663-129,Fields!$D$2:$D$206,1)),""),"")</f>
        <v/>
      </c>
      <c r="M663">
        <f>IFERROR(IF(AND(H663&lt;&gt;"",H663&gt;=129,H663&lt;=2176),INDEX(Fields!$K$2:$K$206,MATCH(H663-129,Fields!$D$2:$D$206,1)),""),"")</f>
        <v/>
      </c>
    </row>
    <row r="664">
      <c r="A664" t="n">
        <v>662</v>
      </c>
      <c r="B664" t="n">
        <v>0</v>
      </c>
      <c r="C664" t="inlineStr">
        <is>
          <t>No</t>
        </is>
      </c>
      <c r="D664">
        <f>IF(AND(B659=1,B660=1,B661=1,B662=1,B663=1),"Yes","")</f>
        <v/>
      </c>
      <c r="E664" t="inlineStr">
        <is>
          <t>No</t>
        </is>
      </c>
      <c r="F664" t="inlineStr">
        <is>
          <t>No</t>
        </is>
      </c>
      <c r="G664">
        <f>IF(F664="Yes",1-B664,B664)</f>
        <v/>
      </c>
      <c r="H664">
        <f>IF(E664="Yes","",COUNTIFS($E$2:E664,"No"))</f>
        <v/>
      </c>
      <c r="I664">
        <f>IF(H664="","",IF(H664&lt;=128,"address",IF(H664&lt;=600,"data1",IF(H664&lt;=1264,"zero-run1",IF(H664&lt;=1648,"data2",IF(H664&lt;=2176,"zero-run2",IF(H664&lt;=2192,"FCS","trailing")))))))</f>
        <v/>
      </c>
      <c r="J664">
        <f>IFERROR(IF(AND(H664&lt;&gt;"",H664&gt;=129,H664&lt;=2176),INDEX(Fields!$B$2:$B$206,MATCH(H664-129,Fields!$D$2:$D$206,1)),""),"")</f>
        <v/>
      </c>
      <c r="K664">
        <f>IFERROR(IF(AND(H664&lt;&gt;"",H664&gt;=129,H664&lt;=2176),INDEX(Fields!$C$2:$C$206,MATCH(H664-129,Fields!$D$2:$D$206,1)),""),"")</f>
        <v/>
      </c>
      <c r="L664">
        <f>IFERROR(IF(AND(H664&lt;&gt;"",H664&gt;=129,H664&lt;=2176),INDEX(Fields!$J$2:$J$206,MATCH(H664-129,Fields!$D$2:$D$206,1)),""),"")</f>
        <v/>
      </c>
      <c r="M664">
        <f>IFERROR(IF(AND(H664&lt;&gt;"",H664&gt;=129,H664&lt;=2176),INDEX(Fields!$K$2:$K$206,MATCH(H664-129,Fields!$D$2:$D$206,1)),""),"")</f>
        <v/>
      </c>
    </row>
    <row r="665">
      <c r="A665" t="n">
        <v>663</v>
      </c>
      <c r="B665" t="n">
        <v>0</v>
      </c>
      <c r="C665" t="inlineStr">
        <is>
          <t>No</t>
        </is>
      </c>
      <c r="D665">
        <f>IF(AND(B660=1,B661=1,B662=1,B663=1,B664=1),"Yes","")</f>
        <v/>
      </c>
      <c r="E665" t="inlineStr">
        <is>
          <t>No</t>
        </is>
      </c>
      <c r="F665" t="inlineStr">
        <is>
          <t>No</t>
        </is>
      </c>
      <c r="G665">
        <f>IF(F665="Yes",1-B665,B665)</f>
        <v/>
      </c>
      <c r="H665">
        <f>IF(E665="Yes","",COUNTIFS($E$2:E665,"No"))</f>
        <v/>
      </c>
      <c r="I665">
        <f>IF(H665="","",IF(H665&lt;=128,"address",IF(H665&lt;=600,"data1",IF(H665&lt;=1264,"zero-run1",IF(H665&lt;=1648,"data2",IF(H665&lt;=2176,"zero-run2",IF(H665&lt;=2192,"FCS","trailing")))))))</f>
        <v/>
      </c>
      <c r="J665">
        <f>IFERROR(IF(AND(H665&lt;&gt;"",H665&gt;=129,H665&lt;=2176),INDEX(Fields!$B$2:$B$206,MATCH(H665-129,Fields!$D$2:$D$206,1)),""),"")</f>
        <v/>
      </c>
      <c r="K665">
        <f>IFERROR(IF(AND(H665&lt;&gt;"",H665&gt;=129,H665&lt;=2176),INDEX(Fields!$C$2:$C$206,MATCH(H665-129,Fields!$D$2:$D$206,1)),""),"")</f>
        <v/>
      </c>
      <c r="L665">
        <f>IFERROR(IF(AND(H665&lt;&gt;"",H665&gt;=129,H665&lt;=2176),INDEX(Fields!$J$2:$J$206,MATCH(H665-129,Fields!$D$2:$D$206,1)),""),"")</f>
        <v/>
      </c>
      <c r="M665">
        <f>IFERROR(IF(AND(H665&lt;&gt;"",H665&gt;=129,H665&lt;=2176),INDEX(Fields!$K$2:$K$206,MATCH(H665-129,Fields!$D$2:$D$206,1)),""),"")</f>
        <v/>
      </c>
    </row>
    <row r="666">
      <c r="A666" t="n">
        <v>664</v>
      </c>
      <c r="B666" t="n">
        <v>0</v>
      </c>
      <c r="C666" t="inlineStr">
        <is>
          <t>No</t>
        </is>
      </c>
      <c r="D666">
        <f>IF(AND(B661=1,B662=1,B663=1,B664=1,B665=1),"Yes","")</f>
        <v/>
      </c>
      <c r="E666" t="inlineStr">
        <is>
          <t>No</t>
        </is>
      </c>
      <c r="F666" t="inlineStr">
        <is>
          <t>No</t>
        </is>
      </c>
      <c r="G666">
        <f>IF(F666="Yes",1-B666,B666)</f>
        <v/>
      </c>
      <c r="H666">
        <f>IF(E666="Yes","",COUNTIFS($E$2:E666,"No"))</f>
        <v/>
      </c>
      <c r="I666">
        <f>IF(H666="","",IF(H666&lt;=128,"address",IF(H666&lt;=600,"data1",IF(H666&lt;=1264,"zero-run1",IF(H666&lt;=1648,"data2",IF(H666&lt;=2176,"zero-run2",IF(H666&lt;=2192,"FCS","trailing")))))))</f>
        <v/>
      </c>
      <c r="J666">
        <f>IFERROR(IF(AND(H666&lt;&gt;"",H666&gt;=129,H666&lt;=2176),INDEX(Fields!$B$2:$B$206,MATCH(H666-129,Fields!$D$2:$D$206,1)),""),"")</f>
        <v/>
      </c>
      <c r="K666">
        <f>IFERROR(IF(AND(H666&lt;&gt;"",H666&gt;=129,H666&lt;=2176),INDEX(Fields!$C$2:$C$206,MATCH(H666-129,Fields!$D$2:$D$206,1)),""),"")</f>
        <v/>
      </c>
      <c r="L666">
        <f>IFERROR(IF(AND(H666&lt;&gt;"",H666&gt;=129,H666&lt;=2176),INDEX(Fields!$J$2:$J$206,MATCH(H666-129,Fields!$D$2:$D$206,1)),""),"")</f>
        <v/>
      </c>
      <c r="M666">
        <f>IFERROR(IF(AND(H666&lt;&gt;"",H666&gt;=129,H666&lt;=2176),INDEX(Fields!$K$2:$K$206,MATCH(H666-129,Fields!$D$2:$D$206,1)),""),"")</f>
        <v/>
      </c>
    </row>
    <row r="667">
      <c r="A667" t="n">
        <v>665</v>
      </c>
      <c r="B667" t="n">
        <v>0</v>
      </c>
      <c r="C667" t="inlineStr">
        <is>
          <t>No</t>
        </is>
      </c>
      <c r="D667">
        <f>IF(AND(B662=1,B663=1,B664=1,B665=1,B666=1),"Yes","")</f>
        <v/>
      </c>
      <c r="E667" t="inlineStr">
        <is>
          <t>No</t>
        </is>
      </c>
      <c r="F667" t="inlineStr">
        <is>
          <t>No</t>
        </is>
      </c>
      <c r="G667">
        <f>IF(F667="Yes",1-B667,B667)</f>
        <v/>
      </c>
      <c r="H667">
        <f>IF(E667="Yes","",COUNTIFS($E$2:E667,"No"))</f>
        <v/>
      </c>
      <c r="I667">
        <f>IF(H667="","",IF(H667&lt;=128,"address",IF(H667&lt;=600,"data1",IF(H667&lt;=1264,"zero-run1",IF(H667&lt;=1648,"data2",IF(H667&lt;=2176,"zero-run2",IF(H667&lt;=2192,"FCS","trailing")))))))</f>
        <v/>
      </c>
      <c r="J667">
        <f>IFERROR(IF(AND(H667&lt;&gt;"",H667&gt;=129,H667&lt;=2176),INDEX(Fields!$B$2:$B$206,MATCH(H667-129,Fields!$D$2:$D$206,1)),""),"")</f>
        <v/>
      </c>
      <c r="K667">
        <f>IFERROR(IF(AND(H667&lt;&gt;"",H667&gt;=129,H667&lt;=2176),INDEX(Fields!$C$2:$C$206,MATCH(H667-129,Fields!$D$2:$D$206,1)),""),"")</f>
        <v/>
      </c>
      <c r="L667">
        <f>IFERROR(IF(AND(H667&lt;&gt;"",H667&gt;=129,H667&lt;=2176),INDEX(Fields!$J$2:$J$206,MATCH(H667-129,Fields!$D$2:$D$206,1)),""),"")</f>
        <v/>
      </c>
      <c r="M667">
        <f>IFERROR(IF(AND(H667&lt;&gt;"",H667&gt;=129,H667&lt;=2176),INDEX(Fields!$K$2:$K$206,MATCH(H667-129,Fields!$D$2:$D$206,1)),""),"")</f>
        <v/>
      </c>
    </row>
    <row r="668">
      <c r="A668" t="n">
        <v>666</v>
      </c>
      <c r="B668" t="n">
        <v>0</v>
      </c>
      <c r="C668" t="inlineStr">
        <is>
          <t>No</t>
        </is>
      </c>
      <c r="D668">
        <f>IF(AND(B663=1,B664=1,B665=1,B666=1,B667=1),"Yes","")</f>
        <v/>
      </c>
      <c r="E668" t="inlineStr">
        <is>
          <t>No</t>
        </is>
      </c>
      <c r="F668" t="inlineStr">
        <is>
          <t>No</t>
        </is>
      </c>
      <c r="G668">
        <f>IF(F668="Yes",1-B668,B668)</f>
        <v/>
      </c>
      <c r="H668">
        <f>IF(E668="Yes","",COUNTIFS($E$2:E668,"No"))</f>
        <v/>
      </c>
      <c r="I668">
        <f>IF(H668="","",IF(H668&lt;=128,"address",IF(H668&lt;=600,"data1",IF(H668&lt;=1264,"zero-run1",IF(H668&lt;=1648,"data2",IF(H668&lt;=2176,"zero-run2",IF(H668&lt;=2192,"FCS","trailing")))))))</f>
        <v/>
      </c>
      <c r="J668">
        <f>IFERROR(IF(AND(H668&lt;&gt;"",H668&gt;=129,H668&lt;=2176),INDEX(Fields!$B$2:$B$206,MATCH(H668-129,Fields!$D$2:$D$206,1)),""),"")</f>
        <v/>
      </c>
      <c r="K668">
        <f>IFERROR(IF(AND(H668&lt;&gt;"",H668&gt;=129,H668&lt;=2176),INDEX(Fields!$C$2:$C$206,MATCH(H668-129,Fields!$D$2:$D$206,1)),""),"")</f>
        <v/>
      </c>
      <c r="L668">
        <f>IFERROR(IF(AND(H668&lt;&gt;"",H668&gt;=129,H668&lt;=2176),INDEX(Fields!$J$2:$J$206,MATCH(H668-129,Fields!$D$2:$D$206,1)),""),"")</f>
        <v/>
      </c>
      <c r="M668">
        <f>IFERROR(IF(AND(H668&lt;&gt;"",H668&gt;=129,H668&lt;=2176),INDEX(Fields!$K$2:$K$206,MATCH(H668-129,Fields!$D$2:$D$206,1)),""),"")</f>
        <v/>
      </c>
    </row>
    <row r="669">
      <c r="A669" t="n">
        <v>667</v>
      </c>
      <c r="B669" t="n">
        <v>0</v>
      </c>
      <c r="C669" t="inlineStr">
        <is>
          <t>No</t>
        </is>
      </c>
      <c r="D669">
        <f>IF(AND(B664=1,B665=1,B666=1,B667=1,B668=1),"Yes","")</f>
        <v/>
      </c>
      <c r="E669" t="inlineStr">
        <is>
          <t>No</t>
        </is>
      </c>
      <c r="F669" t="inlineStr">
        <is>
          <t>No</t>
        </is>
      </c>
      <c r="G669">
        <f>IF(F669="Yes",1-B669,B669)</f>
        <v/>
      </c>
      <c r="H669">
        <f>IF(E669="Yes","",COUNTIFS($E$2:E669,"No"))</f>
        <v/>
      </c>
      <c r="I669">
        <f>IF(H669="","",IF(H669&lt;=128,"address",IF(H669&lt;=600,"data1",IF(H669&lt;=1264,"zero-run1",IF(H669&lt;=1648,"data2",IF(H669&lt;=2176,"zero-run2",IF(H669&lt;=2192,"FCS","trailing")))))))</f>
        <v/>
      </c>
      <c r="J669">
        <f>IFERROR(IF(AND(H669&lt;&gt;"",H669&gt;=129,H669&lt;=2176),INDEX(Fields!$B$2:$B$206,MATCH(H669-129,Fields!$D$2:$D$206,1)),""),"")</f>
        <v/>
      </c>
      <c r="K669">
        <f>IFERROR(IF(AND(H669&lt;&gt;"",H669&gt;=129,H669&lt;=2176),INDEX(Fields!$C$2:$C$206,MATCH(H669-129,Fields!$D$2:$D$206,1)),""),"")</f>
        <v/>
      </c>
      <c r="L669">
        <f>IFERROR(IF(AND(H669&lt;&gt;"",H669&gt;=129,H669&lt;=2176),INDEX(Fields!$J$2:$J$206,MATCH(H669-129,Fields!$D$2:$D$206,1)),""),"")</f>
        <v/>
      </c>
      <c r="M669">
        <f>IFERROR(IF(AND(H669&lt;&gt;"",H669&gt;=129,H669&lt;=2176),INDEX(Fields!$K$2:$K$206,MATCH(H669-129,Fields!$D$2:$D$206,1)),""),"")</f>
        <v/>
      </c>
    </row>
    <row r="670">
      <c r="A670" t="n">
        <v>668</v>
      </c>
      <c r="B670" t="n">
        <v>0</v>
      </c>
      <c r="C670" t="inlineStr">
        <is>
          <t>No</t>
        </is>
      </c>
      <c r="D670">
        <f>IF(AND(B665=1,B666=1,B667=1,B668=1,B669=1),"Yes","")</f>
        <v/>
      </c>
      <c r="E670" t="inlineStr">
        <is>
          <t>No</t>
        </is>
      </c>
      <c r="F670" t="inlineStr">
        <is>
          <t>No</t>
        </is>
      </c>
      <c r="G670">
        <f>IF(F670="Yes",1-B670,B670)</f>
        <v/>
      </c>
      <c r="H670">
        <f>IF(E670="Yes","",COUNTIFS($E$2:E670,"No"))</f>
        <v/>
      </c>
      <c r="I670">
        <f>IF(H670="","",IF(H670&lt;=128,"address",IF(H670&lt;=600,"data1",IF(H670&lt;=1264,"zero-run1",IF(H670&lt;=1648,"data2",IF(H670&lt;=2176,"zero-run2",IF(H670&lt;=2192,"FCS","trailing")))))))</f>
        <v/>
      </c>
      <c r="J670">
        <f>IFERROR(IF(AND(H670&lt;&gt;"",H670&gt;=129,H670&lt;=2176),INDEX(Fields!$B$2:$B$206,MATCH(H670-129,Fields!$D$2:$D$206,1)),""),"")</f>
        <v/>
      </c>
      <c r="K670">
        <f>IFERROR(IF(AND(H670&lt;&gt;"",H670&gt;=129,H670&lt;=2176),INDEX(Fields!$C$2:$C$206,MATCH(H670-129,Fields!$D$2:$D$206,1)),""),"")</f>
        <v/>
      </c>
      <c r="L670">
        <f>IFERROR(IF(AND(H670&lt;&gt;"",H670&gt;=129,H670&lt;=2176),INDEX(Fields!$J$2:$J$206,MATCH(H670-129,Fields!$D$2:$D$206,1)),""),"")</f>
        <v/>
      </c>
      <c r="M670">
        <f>IFERROR(IF(AND(H670&lt;&gt;"",H670&gt;=129,H670&lt;=2176),INDEX(Fields!$K$2:$K$206,MATCH(H670-129,Fields!$D$2:$D$206,1)),""),"")</f>
        <v/>
      </c>
    </row>
    <row r="671">
      <c r="A671" t="n">
        <v>669</v>
      </c>
      <c r="B671" t="n">
        <v>0</v>
      </c>
      <c r="C671" t="inlineStr">
        <is>
          <t>No</t>
        </is>
      </c>
      <c r="D671">
        <f>IF(AND(B666=1,B667=1,B668=1,B669=1,B670=1),"Yes","")</f>
        <v/>
      </c>
      <c r="E671" t="inlineStr">
        <is>
          <t>No</t>
        </is>
      </c>
      <c r="F671" t="inlineStr">
        <is>
          <t>No</t>
        </is>
      </c>
      <c r="G671">
        <f>IF(F671="Yes",1-B671,B671)</f>
        <v/>
      </c>
      <c r="H671">
        <f>IF(E671="Yes","",COUNTIFS($E$2:E671,"No"))</f>
        <v/>
      </c>
      <c r="I671">
        <f>IF(H671="","",IF(H671&lt;=128,"address",IF(H671&lt;=600,"data1",IF(H671&lt;=1264,"zero-run1",IF(H671&lt;=1648,"data2",IF(H671&lt;=2176,"zero-run2",IF(H671&lt;=2192,"FCS","trailing")))))))</f>
        <v/>
      </c>
      <c r="J671">
        <f>IFERROR(IF(AND(H671&lt;&gt;"",H671&gt;=129,H671&lt;=2176),INDEX(Fields!$B$2:$B$206,MATCH(H671-129,Fields!$D$2:$D$206,1)),""),"")</f>
        <v/>
      </c>
      <c r="K671">
        <f>IFERROR(IF(AND(H671&lt;&gt;"",H671&gt;=129,H671&lt;=2176),INDEX(Fields!$C$2:$C$206,MATCH(H671-129,Fields!$D$2:$D$206,1)),""),"")</f>
        <v/>
      </c>
      <c r="L671">
        <f>IFERROR(IF(AND(H671&lt;&gt;"",H671&gt;=129,H671&lt;=2176),INDEX(Fields!$J$2:$J$206,MATCH(H671-129,Fields!$D$2:$D$206,1)),""),"")</f>
        <v/>
      </c>
      <c r="M671">
        <f>IFERROR(IF(AND(H671&lt;&gt;"",H671&gt;=129,H671&lt;=2176),INDEX(Fields!$K$2:$K$206,MATCH(H671-129,Fields!$D$2:$D$206,1)),""),"")</f>
        <v/>
      </c>
    </row>
    <row r="672">
      <c r="A672" t="n">
        <v>670</v>
      </c>
      <c r="B672" t="n">
        <v>0</v>
      </c>
      <c r="C672" t="inlineStr">
        <is>
          <t>No</t>
        </is>
      </c>
      <c r="D672">
        <f>IF(AND(B667=1,B668=1,B669=1,B670=1,B671=1),"Yes","")</f>
        <v/>
      </c>
      <c r="E672" t="inlineStr">
        <is>
          <t>No</t>
        </is>
      </c>
      <c r="F672" t="inlineStr">
        <is>
          <t>No</t>
        </is>
      </c>
      <c r="G672">
        <f>IF(F672="Yes",1-B672,B672)</f>
        <v/>
      </c>
      <c r="H672">
        <f>IF(E672="Yes","",COUNTIFS($E$2:E672,"No"))</f>
        <v/>
      </c>
      <c r="I672">
        <f>IF(H672="","",IF(H672&lt;=128,"address",IF(H672&lt;=600,"data1",IF(H672&lt;=1264,"zero-run1",IF(H672&lt;=1648,"data2",IF(H672&lt;=2176,"zero-run2",IF(H672&lt;=2192,"FCS","trailing")))))))</f>
        <v/>
      </c>
      <c r="J672">
        <f>IFERROR(IF(AND(H672&lt;&gt;"",H672&gt;=129,H672&lt;=2176),INDEX(Fields!$B$2:$B$206,MATCH(H672-129,Fields!$D$2:$D$206,1)),""),"")</f>
        <v/>
      </c>
      <c r="K672">
        <f>IFERROR(IF(AND(H672&lt;&gt;"",H672&gt;=129,H672&lt;=2176),INDEX(Fields!$C$2:$C$206,MATCH(H672-129,Fields!$D$2:$D$206,1)),""),"")</f>
        <v/>
      </c>
      <c r="L672">
        <f>IFERROR(IF(AND(H672&lt;&gt;"",H672&gt;=129,H672&lt;=2176),INDEX(Fields!$J$2:$J$206,MATCH(H672-129,Fields!$D$2:$D$206,1)),""),"")</f>
        <v/>
      </c>
      <c r="M672">
        <f>IFERROR(IF(AND(H672&lt;&gt;"",H672&gt;=129,H672&lt;=2176),INDEX(Fields!$K$2:$K$206,MATCH(H672-129,Fields!$D$2:$D$206,1)),""),"")</f>
        <v/>
      </c>
    </row>
    <row r="673">
      <c r="A673" t="n">
        <v>671</v>
      </c>
      <c r="B673" t="n">
        <v>0</v>
      </c>
      <c r="C673" t="inlineStr">
        <is>
          <t>No</t>
        </is>
      </c>
      <c r="D673">
        <f>IF(AND(B668=1,B669=1,B670=1,B671=1,B672=1),"Yes","")</f>
        <v/>
      </c>
      <c r="E673" t="inlineStr">
        <is>
          <t>No</t>
        </is>
      </c>
      <c r="F673" t="inlineStr">
        <is>
          <t>No</t>
        </is>
      </c>
      <c r="G673">
        <f>IF(F673="Yes",1-B673,B673)</f>
        <v/>
      </c>
      <c r="H673">
        <f>IF(E673="Yes","",COUNTIFS($E$2:E673,"No"))</f>
        <v/>
      </c>
      <c r="I673">
        <f>IF(H673="","",IF(H673&lt;=128,"address",IF(H673&lt;=600,"data1",IF(H673&lt;=1264,"zero-run1",IF(H673&lt;=1648,"data2",IF(H673&lt;=2176,"zero-run2",IF(H673&lt;=2192,"FCS","trailing")))))))</f>
        <v/>
      </c>
      <c r="J673">
        <f>IFERROR(IF(AND(H673&lt;&gt;"",H673&gt;=129,H673&lt;=2176),INDEX(Fields!$B$2:$B$206,MATCH(H673-129,Fields!$D$2:$D$206,1)),""),"")</f>
        <v/>
      </c>
      <c r="K673">
        <f>IFERROR(IF(AND(H673&lt;&gt;"",H673&gt;=129,H673&lt;=2176),INDEX(Fields!$C$2:$C$206,MATCH(H673-129,Fields!$D$2:$D$206,1)),""),"")</f>
        <v/>
      </c>
      <c r="L673">
        <f>IFERROR(IF(AND(H673&lt;&gt;"",H673&gt;=129,H673&lt;=2176),INDEX(Fields!$J$2:$J$206,MATCH(H673-129,Fields!$D$2:$D$206,1)),""),"")</f>
        <v/>
      </c>
      <c r="M673">
        <f>IFERROR(IF(AND(H673&lt;&gt;"",H673&gt;=129,H673&lt;=2176),INDEX(Fields!$K$2:$K$206,MATCH(H673-129,Fields!$D$2:$D$206,1)),""),"")</f>
        <v/>
      </c>
    </row>
    <row r="674">
      <c r="A674" t="n">
        <v>672</v>
      </c>
      <c r="B674" t="n">
        <v>0</v>
      </c>
      <c r="C674" t="inlineStr">
        <is>
          <t>No</t>
        </is>
      </c>
      <c r="D674">
        <f>IF(AND(B669=1,B670=1,B671=1,B672=1,B673=1),"Yes","")</f>
        <v/>
      </c>
      <c r="E674" t="inlineStr">
        <is>
          <t>No</t>
        </is>
      </c>
      <c r="F674" t="inlineStr">
        <is>
          <t>No</t>
        </is>
      </c>
      <c r="G674">
        <f>IF(F674="Yes",1-B674,B674)</f>
        <v/>
      </c>
      <c r="H674">
        <f>IF(E674="Yes","",COUNTIFS($E$2:E674,"No"))</f>
        <v/>
      </c>
      <c r="I674">
        <f>IF(H674="","",IF(H674&lt;=128,"address",IF(H674&lt;=600,"data1",IF(H674&lt;=1264,"zero-run1",IF(H674&lt;=1648,"data2",IF(H674&lt;=2176,"zero-run2",IF(H674&lt;=2192,"FCS","trailing")))))))</f>
        <v/>
      </c>
      <c r="J674">
        <f>IFERROR(IF(AND(H674&lt;&gt;"",H674&gt;=129,H674&lt;=2176),INDEX(Fields!$B$2:$B$206,MATCH(H674-129,Fields!$D$2:$D$206,1)),""),"")</f>
        <v/>
      </c>
      <c r="K674">
        <f>IFERROR(IF(AND(H674&lt;&gt;"",H674&gt;=129,H674&lt;=2176),INDEX(Fields!$C$2:$C$206,MATCH(H674-129,Fields!$D$2:$D$206,1)),""),"")</f>
        <v/>
      </c>
      <c r="L674">
        <f>IFERROR(IF(AND(H674&lt;&gt;"",H674&gt;=129,H674&lt;=2176),INDEX(Fields!$J$2:$J$206,MATCH(H674-129,Fields!$D$2:$D$206,1)),""),"")</f>
        <v/>
      </c>
      <c r="M674">
        <f>IFERROR(IF(AND(H674&lt;&gt;"",H674&gt;=129,H674&lt;=2176),INDEX(Fields!$K$2:$K$206,MATCH(H674-129,Fields!$D$2:$D$206,1)),""),"")</f>
        <v/>
      </c>
    </row>
    <row r="675">
      <c r="A675" t="n">
        <v>673</v>
      </c>
      <c r="B675" t="n">
        <v>0</v>
      </c>
      <c r="C675" t="inlineStr">
        <is>
          <t>No</t>
        </is>
      </c>
      <c r="D675">
        <f>IF(AND(B670=1,B671=1,B672=1,B673=1,B674=1),"Yes","")</f>
        <v/>
      </c>
      <c r="E675" t="inlineStr">
        <is>
          <t>No</t>
        </is>
      </c>
      <c r="F675" t="inlineStr">
        <is>
          <t>No</t>
        </is>
      </c>
      <c r="G675">
        <f>IF(F675="Yes",1-B675,B675)</f>
        <v/>
      </c>
      <c r="H675">
        <f>IF(E675="Yes","",COUNTIFS($E$2:E675,"No"))</f>
        <v/>
      </c>
      <c r="I675">
        <f>IF(H675="","",IF(H675&lt;=128,"address",IF(H675&lt;=600,"data1",IF(H675&lt;=1264,"zero-run1",IF(H675&lt;=1648,"data2",IF(H675&lt;=2176,"zero-run2",IF(H675&lt;=2192,"FCS","trailing")))))))</f>
        <v/>
      </c>
      <c r="J675">
        <f>IFERROR(IF(AND(H675&lt;&gt;"",H675&gt;=129,H675&lt;=2176),INDEX(Fields!$B$2:$B$206,MATCH(H675-129,Fields!$D$2:$D$206,1)),""),"")</f>
        <v/>
      </c>
      <c r="K675">
        <f>IFERROR(IF(AND(H675&lt;&gt;"",H675&gt;=129,H675&lt;=2176),INDEX(Fields!$C$2:$C$206,MATCH(H675-129,Fields!$D$2:$D$206,1)),""),"")</f>
        <v/>
      </c>
      <c r="L675">
        <f>IFERROR(IF(AND(H675&lt;&gt;"",H675&gt;=129,H675&lt;=2176),INDEX(Fields!$J$2:$J$206,MATCH(H675-129,Fields!$D$2:$D$206,1)),""),"")</f>
        <v/>
      </c>
      <c r="M675">
        <f>IFERROR(IF(AND(H675&lt;&gt;"",H675&gt;=129,H675&lt;=2176),INDEX(Fields!$K$2:$K$206,MATCH(H675-129,Fields!$D$2:$D$206,1)),""),"")</f>
        <v/>
      </c>
    </row>
    <row r="676">
      <c r="A676" t="n">
        <v>674</v>
      </c>
      <c r="B676" t="n">
        <v>0</v>
      </c>
      <c r="C676" t="inlineStr">
        <is>
          <t>No</t>
        </is>
      </c>
      <c r="D676">
        <f>IF(AND(B671=1,B672=1,B673=1,B674=1,B675=1),"Yes","")</f>
        <v/>
      </c>
      <c r="E676" t="inlineStr">
        <is>
          <t>No</t>
        </is>
      </c>
      <c r="F676" t="inlineStr">
        <is>
          <t>No</t>
        </is>
      </c>
      <c r="G676">
        <f>IF(F676="Yes",1-B676,B676)</f>
        <v/>
      </c>
      <c r="H676">
        <f>IF(E676="Yes","",COUNTIFS($E$2:E676,"No"))</f>
        <v/>
      </c>
      <c r="I676">
        <f>IF(H676="","",IF(H676&lt;=128,"address",IF(H676&lt;=600,"data1",IF(H676&lt;=1264,"zero-run1",IF(H676&lt;=1648,"data2",IF(H676&lt;=2176,"zero-run2",IF(H676&lt;=2192,"FCS","trailing")))))))</f>
        <v/>
      </c>
      <c r="J676">
        <f>IFERROR(IF(AND(H676&lt;&gt;"",H676&gt;=129,H676&lt;=2176),INDEX(Fields!$B$2:$B$206,MATCH(H676-129,Fields!$D$2:$D$206,1)),""),"")</f>
        <v/>
      </c>
      <c r="K676">
        <f>IFERROR(IF(AND(H676&lt;&gt;"",H676&gt;=129,H676&lt;=2176),INDEX(Fields!$C$2:$C$206,MATCH(H676-129,Fields!$D$2:$D$206,1)),""),"")</f>
        <v/>
      </c>
      <c r="L676">
        <f>IFERROR(IF(AND(H676&lt;&gt;"",H676&gt;=129,H676&lt;=2176),INDEX(Fields!$J$2:$J$206,MATCH(H676-129,Fields!$D$2:$D$206,1)),""),"")</f>
        <v/>
      </c>
      <c r="M676">
        <f>IFERROR(IF(AND(H676&lt;&gt;"",H676&gt;=129,H676&lt;=2176),INDEX(Fields!$K$2:$K$206,MATCH(H676-129,Fields!$D$2:$D$206,1)),""),"")</f>
        <v/>
      </c>
    </row>
    <row r="677">
      <c r="A677" t="n">
        <v>675</v>
      </c>
      <c r="B677" t="n">
        <v>0</v>
      </c>
      <c r="C677" t="inlineStr">
        <is>
          <t>No</t>
        </is>
      </c>
      <c r="D677">
        <f>IF(AND(B672=1,B673=1,B674=1,B675=1,B676=1),"Yes","")</f>
        <v/>
      </c>
      <c r="E677" t="inlineStr">
        <is>
          <t>No</t>
        </is>
      </c>
      <c r="F677" t="inlineStr">
        <is>
          <t>No</t>
        </is>
      </c>
      <c r="G677">
        <f>IF(F677="Yes",1-B677,B677)</f>
        <v/>
      </c>
      <c r="H677">
        <f>IF(E677="Yes","",COUNTIFS($E$2:E677,"No"))</f>
        <v/>
      </c>
      <c r="I677">
        <f>IF(H677="","",IF(H677&lt;=128,"address",IF(H677&lt;=600,"data1",IF(H677&lt;=1264,"zero-run1",IF(H677&lt;=1648,"data2",IF(H677&lt;=2176,"zero-run2",IF(H677&lt;=2192,"FCS","trailing")))))))</f>
        <v/>
      </c>
      <c r="J677">
        <f>IFERROR(IF(AND(H677&lt;&gt;"",H677&gt;=129,H677&lt;=2176),INDEX(Fields!$B$2:$B$206,MATCH(H677-129,Fields!$D$2:$D$206,1)),""),"")</f>
        <v/>
      </c>
      <c r="K677">
        <f>IFERROR(IF(AND(H677&lt;&gt;"",H677&gt;=129,H677&lt;=2176),INDEX(Fields!$C$2:$C$206,MATCH(H677-129,Fields!$D$2:$D$206,1)),""),"")</f>
        <v/>
      </c>
      <c r="L677">
        <f>IFERROR(IF(AND(H677&lt;&gt;"",H677&gt;=129,H677&lt;=2176),INDEX(Fields!$J$2:$J$206,MATCH(H677-129,Fields!$D$2:$D$206,1)),""),"")</f>
        <v/>
      </c>
      <c r="M677">
        <f>IFERROR(IF(AND(H677&lt;&gt;"",H677&gt;=129,H677&lt;=2176),INDEX(Fields!$K$2:$K$206,MATCH(H677-129,Fields!$D$2:$D$206,1)),""),"")</f>
        <v/>
      </c>
    </row>
    <row r="678">
      <c r="A678" t="n">
        <v>676</v>
      </c>
      <c r="B678" t="n">
        <v>0</v>
      </c>
      <c r="C678" t="inlineStr">
        <is>
          <t>No</t>
        </is>
      </c>
      <c r="D678">
        <f>IF(AND(B673=1,B674=1,B675=1,B676=1,B677=1),"Yes","")</f>
        <v/>
      </c>
      <c r="E678" t="inlineStr">
        <is>
          <t>No</t>
        </is>
      </c>
      <c r="F678" t="inlineStr">
        <is>
          <t>No</t>
        </is>
      </c>
      <c r="G678">
        <f>IF(F678="Yes",1-B678,B678)</f>
        <v/>
      </c>
      <c r="H678">
        <f>IF(E678="Yes","",COUNTIFS($E$2:E678,"No"))</f>
        <v/>
      </c>
      <c r="I678">
        <f>IF(H678="","",IF(H678&lt;=128,"address",IF(H678&lt;=600,"data1",IF(H678&lt;=1264,"zero-run1",IF(H678&lt;=1648,"data2",IF(H678&lt;=2176,"zero-run2",IF(H678&lt;=2192,"FCS","trailing")))))))</f>
        <v/>
      </c>
      <c r="J678">
        <f>IFERROR(IF(AND(H678&lt;&gt;"",H678&gt;=129,H678&lt;=2176),INDEX(Fields!$B$2:$B$206,MATCH(H678-129,Fields!$D$2:$D$206,1)),""),"")</f>
        <v/>
      </c>
      <c r="K678">
        <f>IFERROR(IF(AND(H678&lt;&gt;"",H678&gt;=129,H678&lt;=2176),INDEX(Fields!$C$2:$C$206,MATCH(H678-129,Fields!$D$2:$D$206,1)),""),"")</f>
        <v/>
      </c>
      <c r="L678">
        <f>IFERROR(IF(AND(H678&lt;&gt;"",H678&gt;=129,H678&lt;=2176),INDEX(Fields!$J$2:$J$206,MATCH(H678-129,Fields!$D$2:$D$206,1)),""),"")</f>
        <v/>
      </c>
      <c r="M678">
        <f>IFERROR(IF(AND(H678&lt;&gt;"",H678&gt;=129,H678&lt;=2176),INDEX(Fields!$K$2:$K$206,MATCH(H678-129,Fields!$D$2:$D$206,1)),""),"")</f>
        <v/>
      </c>
    </row>
    <row r="679">
      <c r="A679" t="n">
        <v>677</v>
      </c>
      <c r="B679" t="n">
        <v>0</v>
      </c>
      <c r="C679" t="inlineStr">
        <is>
          <t>No</t>
        </is>
      </c>
      <c r="D679">
        <f>IF(AND(B674=1,B675=1,B676=1,B677=1,B678=1),"Yes","")</f>
        <v/>
      </c>
      <c r="E679" t="inlineStr">
        <is>
          <t>No</t>
        </is>
      </c>
      <c r="F679" t="inlineStr">
        <is>
          <t>No</t>
        </is>
      </c>
      <c r="G679">
        <f>IF(F679="Yes",1-B679,B679)</f>
        <v/>
      </c>
      <c r="H679">
        <f>IF(E679="Yes","",COUNTIFS($E$2:E679,"No"))</f>
        <v/>
      </c>
      <c r="I679">
        <f>IF(H679="","",IF(H679&lt;=128,"address",IF(H679&lt;=600,"data1",IF(H679&lt;=1264,"zero-run1",IF(H679&lt;=1648,"data2",IF(H679&lt;=2176,"zero-run2",IF(H679&lt;=2192,"FCS","trailing")))))))</f>
        <v/>
      </c>
      <c r="J679">
        <f>IFERROR(IF(AND(H679&lt;&gt;"",H679&gt;=129,H679&lt;=2176),INDEX(Fields!$B$2:$B$206,MATCH(H679-129,Fields!$D$2:$D$206,1)),""),"")</f>
        <v/>
      </c>
      <c r="K679">
        <f>IFERROR(IF(AND(H679&lt;&gt;"",H679&gt;=129,H679&lt;=2176),INDEX(Fields!$C$2:$C$206,MATCH(H679-129,Fields!$D$2:$D$206,1)),""),"")</f>
        <v/>
      </c>
      <c r="L679">
        <f>IFERROR(IF(AND(H679&lt;&gt;"",H679&gt;=129,H679&lt;=2176),INDEX(Fields!$J$2:$J$206,MATCH(H679-129,Fields!$D$2:$D$206,1)),""),"")</f>
        <v/>
      </c>
      <c r="M679">
        <f>IFERROR(IF(AND(H679&lt;&gt;"",H679&gt;=129,H679&lt;=2176),INDEX(Fields!$K$2:$K$206,MATCH(H679-129,Fields!$D$2:$D$206,1)),""),"")</f>
        <v/>
      </c>
    </row>
    <row r="680">
      <c r="A680" t="n">
        <v>678</v>
      </c>
      <c r="B680" t="n">
        <v>0</v>
      </c>
      <c r="C680" t="inlineStr">
        <is>
          <t>No</t>
        </is>
      </c>
      <c r="D680">
        <f>IF(AND(B675=1,B676=1,B677=1,B678=1,B679=1),"Yes","")</f>
        <v/>
      </c>
      <c r="E680" t="inlineStr">
        <is>
          <t>No</t>
        </is>
      </c>
      <c r="F680" t="inlineStr">
        <is>
          <t>No</t>
        </is>
      </c>
      <c r="G680">
        <f>IF(F680="Yes",1-B680,B680)</f>
        <v/>
      </c>
      <c r="H680">
        <f>IF(E680="Yes","",COUNTIFS($E$2:E680,"No"))</f>
        <v/>
      </c>
      <c r="I680">
        <f>IF(H680="","",IF(H680&lt;=128,"address",IF(H680&lt;=600,"data1",IF(H680&lt;=1264,"zero-run1",IF(H680&lt;=1648,"data2",IF(H680&lt;=2176,"zero-run2",IF(H680&lt;=2192,"FCS","trailing")))))))</f>
        <v/>
      </c>
      <c r="J680">
        <f>IFERROR(IF(AND(H680&lt;&gt;"",H680&gt;=129,H680&lt;=2176),INDEX(Fields!$B$2:$B$206,MATCH(H680-129,Fields!$D$2:$D$206,1)),""),"")</f>
        <v/>
      </c>
      <c r="K680">
        <f>IFERROR(IF(AND(H680&lt;&gt;"",H680&gt;=129,H680&lt;=2176),INDEX(Fields!$C$2:$C$206,MATCH(H680-129,Fields!$D$2:$D$206,1)),""),"")</f>
        <v/>
      </c>
      <c r="L680">
        <f>IFERROR(IF(AND(H680&lt;&gt;"",H680&gt;=129,H680&lt;=2176),INDEX(Fields!$J$2:$J$206,MATCH(H680-129,Fields!$D$2:$D$206,1)),""),"")</f>
        <v/>
      </c>
      <c r="M680">
        <f>IFERROR(IF(AND(H680&lt;&gt;"",H680&gt;=129,H680&lt;=2176),INDEX(Fields!$K$2:$K$206,MATCH(H680-129,Fields!$D$2:$D$206,1)),""),"")</f>
        <v/>
      </c>
    </row>
    <row r="681">
      <c r="A681" t="n">
        <v>679</v>
      </c>
      <c r="B681" t="n">
        <v>0</v>
      </c>
      <c r="C681" t="inlineStr">
        <is>
          <t>No</t>
        </is>
      </c>
      <c r="D681">
        <f>IF(AND(B676=1,B677=1,B678=1,B679=1,B680=1),"Yes","")</f>
        <v/>
      </c>
      <c r="E681" t="inlineStr">
        <is>
          <t>No</t>
        </is>
      </c>
      <c r="F681" t="inlineStr">
        <is>
          <t>No</t>
        </is>
      </c>
      <c r="G681">
        <f>IF(F681="Yes",1-B681,B681)</f>
        <v/>
      </c>
      <c r="H681">
        <f>IF(E681="Yes","",COUNTIFS($E$2:E681,"No"))</f>
        <v/>
      </c>
      <c r="I681">
        <f>IF(H681="","",IF(H681&lt;=128,"address",IF(H681&lt;=600,"data1",IF(H681&lt;=1264,"zero-run1",IF(H681&lt;=1648,"data2",IF(H681&lt;=2176,"zero-run2",IF(H681&lt;=2192,"FCS","trailing")))))))</f>
        <v/>
      </c>
      <c r="J681">
        <f>IFERROR(IF(AND(H681&lt;&gt;"",H681&gt;=129,H681&lt;=2176),INDEX(Fields!$B$2:$B$206,MATCH(H681-129,Fields!$D$2:$D$206,1)),""),"")</f>
        <v/>
      </c>
      <c r="K681">
        <f>IFERROR(IF(AND(H681&lt;&gt;"",H681&gt;=129,H681&lt;=2176),INDEX(Fields!$C$2:$C$206,MATCH(H681-129,Fields!$D$2:$D$206,1)),""),"")</f>
        <v/>
      </c>
      <c r="L681">
        <f>IFERROR(IF(AND(H681&lt;&gt;"",H681&gt;=129,H681&lt;=2176),INDEX(Fields!$J$2:$J$206,MATCH(H681-129,Fields!$D$2:$D$206,1)),""),"")</f>
        <v/>
      </c>
      <c r="M681">
        <f>IFERROR(IF(AND(H681&lt;&gt;"",H681&gt;=129,H681&lt;=2176),INDEX(Fields!$K$2:$K$206,MATCH(H681-129,Fields!$D$2:$D$206,1)),""),"")</f>
        <v/>
      </c>
    </row>
    <row r="682">
      <c r="A682" t="n">
        <v>680</v>
      </c>
      <c r="B682" t="n">
        <v>0</v>
      </c>
      <c r="C682" t="inlineStr">
        <is>
          <t>No</t>
        </is>
      </c>
      <c r="D682">
        <f>IF(AND(B677=1,B678=1,B679=1,B680=1,B681=1),"Yes","")</f>
        <v/>
      </c>
      <c r="E682" t="inlineStr">
        <is>
          <t>No</t>
        </is>
      </c>
      <c r="F682" t="inlineStr">
        <is>
          <t>No</t>
        </is>
      </c>
      <c r="G682">
        <f>IF(F682="Yes",1-B682,B682)</f>
        <v/>
      </c>
      <c r="H682">
        <f>IF(E682="Yes","",COUNTIFS($E$2:E682,"No"))</f>
        <v/>
      </c>
      <c r="I682">
        <f>IF(H682="","",IF(H682&lt;=128,"address",IF(H682&lt;=600,"data1",IF(H682&lt;=1264,"zero-run1",IF(H682&lt;=1648,"data2",IF(H682&lt;=2176,"zero-run2",IF(H682&lt;=2192,"FCS","trailing")))))))</f>
        <v/>
      </c>
      <c r="J682">
        <f>IFERROR(IF(AND(H682&lt;&gt;"",H682&gt;=129,H682&lt;=2176),INDEX(Fields!$B$2:$B$206,MATCH(H682-129,Fields!$D$2:$D$206,1)),""),"")</f>
        <v/>
      </c>
      <c r="K682">
        <f>IFERROR(IF(AND(H682&lt;&gt;"",H682&gt;=129,H682&lt;=2176),INDEX(Fields!$C$2:$C$206,MATCH(H682-129,Fields!$D$2:$D$206,1)),""),"")</f>
        <v/>
      </c>
      <c r="L682">
        <f>IFERROR(IF(AND(H682&lt;&gt;"",H682&gt;=129,H682&lt;=2176),INDEX(Fields!$J$2:$J$206,MATCH(H682-129,Fields!$D$2:$D$206,1)),""),"")</f>
        <v/>
      </c>
      <c r="M682">
        <f>IFERROR(IF(AND(H682&lt;&gt;"",H682&gt;=129,H682&lt;=2176),INDEX(Fields!$K$2:$K$206,MATCH(H682-129,Fields!$D$2:$D$206,1)),""),"")</f>
        <v/>
      </c>
    </row>
    <row r="683">
      <c r="A683" t="n">
        <v>681</v>
      </c>
      <c r="B683" t="n">
        <v>0</v>
      </c>
      <c r="C683" t="inlineStr">
        <is>
          <t>No</t>
        </is>
      </c>
      <c r="D683">
        <f>IF(AND(B678=1,B679=1,B680=1,B681=1,B682=1),"Yes","")</f>
        <v/>
      </c>
      <c r="E683" t="inlineStr">
        <is>
          <t>No</t>
        </is>
      </c>
      <c r="F683" t="inlineStr">
        <is>
          <t>No</t>
        </is>
      </c>
      <c r="G683">
        <f>IF(F683="Yes",1-B683,B683)</f>
        <v/>
      </c>
      <c r="H683">
        <f>IF(E683="Yes","",COUNTIFS($E$2:E683,"No"))</f>
        <v/>
      </c>
      <c r="I683">
        <f>IF(H683="","",IF(H683&lt;=128,"address",IF(H683&lt;=600,"data1",IF(H683&lt;=1264,"zero-run1",IF(H683&lt;=1648,"data2",IF(H683&lt;=2176,"zero-run2",IF(H683&lt;=2192,"FCS","trailing")))))))</f>
        <v/>
      </c>
      <c r="J683">
        <f>IFERROR(IF(AND(H683&lt;&gt;"",H683&gt;=129,H683&lt;=2176),INDEX(Fields!$B$2:$B$206,MATCH(H683-129,Fields!$D$2:$D$206,1)),""),"")</f>
        <v/>
      </c>
      <c r="K683">
        <f>IFERROR(IF(AND(H683&lt;&gt;"",H683&gt;=129,H683&lt;=2176),INDEX(Fields!$C$2:$C$206,MATCH(H683-129,Fields!$D$2:$D$206,1)),""),"")</f>
        <v/>
      </c>
      <c r="L683">
        <f>IFERROR(IF(AND(H683&lt;&gt;"",H683&gt;=129,H683&lt;=2176),INDEX(Fields!$J$2:$J$206,MATCH(H683-129,Fields!$D$2:$D$206,1)),""),"")</f>
        <v/>
      </c>
      <c r="M683">
        <f>IFERROR(IF(AND(H683&lt;&gt;"",H683&gt;=129,H683&lt;=2176),INDEX(Fields!$K$2:$K$206,MATCH(H683-129,Fields!$D$2:$D$206,1)),""),"")</f>
        <v/>
      </c>
    </row>
    <row r="684">
      <c r="A684" t="n">
        <v>682</v>
      </c>
      <c r="B684" t="n">
        <v>0</v>
      </c>
      <c r="C684" t="inlineStr">
        <is>
          <t>No</t>
        </is>
      </c>
      <c r="D684">
        <f>IF(AND(B679=1,B680=1,B681=1,B682=1,B683=1),"Yes","")</f>
        <v/>
      </c>
      <c r="E684" t="inlineStr">
        <is>
          <t>No</t>
        </is>
      </c>
      <c r="F684" t="inlineStr">
        <is>
          <t>No</t>
        </is>
      </c>
      <c r="G684">
        <f>IF(F684="Yes",1-B684,B684)</f>
        <v/>
      </c>
      <c r="H684">
        <f>IF(E684="Yes","",COUNTIFS($E$2:E684,"No"))</f>
        <v/>
      </c>
      <c r="I684">
        <f>IF(H684="","",IF(H684&lt;=128,"address",IF(H684&lt;=600,"data1",IF(H684&lt;=1264,"zero-run1",IF(H684&lt;=1648,"data2",IF(H684&lt;=2176,"zero-run2",IF(H684&lt;=2192,"FCS","trailing")))))))</f>
        <v/>
      </c>
      <c r="J684">
        <f>IFERROR(IF(AND(H684&lt;&gt;"",H684&gt;=129,H684&lt;=2176),INDEX(Fields!$B$2:$B$206,MATCH(H684-129,Fields!$D$2:$D$206,1)),""),"")</f>
        <v/>
      </c>
      <c r="K684">
        <f>IFERROR(IF(AND(H684&lt;&gt;"",H684&gt;=129,H684&lt;=2176),INDEX(Fields!$C$2:$C$206,MATCH(H684-129,Fields!$D$2:$D$206,1)),""),"")</f>
        <v/>
      </c>
      <c r="L684">
        <f>IFERROR(IF(AND(H684&lt;&gt;"",H684&gt;=129,H684&lt;=2176),INDEX(Fields!$J$2:$J$206,MATCH(H684-129,Fields!$D$2:$D$206,1)),""),"")</f>
        <v/>
      </c>
      <c r="M684">
        <f>IFERROR(IF(AND(H684&lt;&gt;"",H684&gt;=129,H684&lt;=2176),INDEX(Fields!$K$2:$K$206,MATCH(H684-129,Fields!$D$2:$D$206,1)),""),"")</f>
        <v/>
      </c>
    </row>
    <row r="685">
      <c r="A685" t="n">
        <v>683</v>
      </c>
      <c r="B685" t="n">
        <v>0</v>
      </c>
      <c r="C685" t="inlineStr">
        <is>
          <t>No</t>
        </is>
      </c>
      <c r="D685">
        <f>IF(AND(B680=1,B681=1,B682=1,B683=1,B684=1),"Yes","")</f>
        <v/>
      </c>
      <c r="E685" t="inlineStr">
        <is>
          <t>No</t>
        </is>
      </c>
      <c r="F685" t="inlineStr">
        <is>
          <t>No</t>
        </is>
      </c>
      <c r="G685">
        <f>IF(F685="Yes",1-B685,B685)</f>
        <v/>
      </c>
      <c r="H685">
        <f>IF(E685="Yes","",COUNTIFS($E$2:E685,"No"))</f>
        <v/>
      </c>
      <c r="I685">
        <f>IF(H685="","",IF(H685&lt;=128,"address",IF(H685&lt;=600,"data1",IF(H685&lt;=1264,"zero-run1",IF(H685&lt;=1648,"data2",IF(H685&lt;=2176,"zero-run2",IF(H685&lt;=2192,"FCS","trailing")))))))</f>
        <v/>
      </c>
      <c r="J685">
        <f>IFERROR(IF(AND(H685&lt;&gt;"",H685&gt;=129,H685&lt;=2176),INDEX(Fields!$B$2:$B$206,MATCH(H685-129,Fields!$D$2:$D$206,1)),""),"")</f>
        <v/>
      </c>
      <c r="K685">
        <f>IFERROR(IF(AND(H685&lt;&gt;"",H685&gt;=129,H685&lt;=2176),INDEX(Fields!$C$2:$C$206,MATCH(H685-129,Fields!$D$2:$D$206,1)),""),"")</f>
        <v/>
      </c>
      <c r="L685">
        <f>IFERROR(IF(AND(H685&lt;&gt;"",H685&gt;=129,H685&lt;=2176),INDEX(Fields!$J$2:$J$206,MATCH(H685-129,Fields!$D$2:$D$206,1)),""),"")</f>
        <v/>
      </c>
      <c r="M685">
        <f>IFERROR(IF(AND(H685&lt;&gt;"",H685&gt;=129,H685&lt;=2176),INDEX(Fields!$K$2:$K$206,MATCH(H685-129,Fields!$D$2:$D$206,1)),""),"")</f>
        <v/>
      </c>
    </row>
    <row r="686">
      <c r="A686" t="n">
        <v>684</v>
      </c>
      <c r="B686" t="n">
        <v>0</v>
      </c>
      <c r="C686" t="inlineStr">
        <is>
          <t>No</t>
        </is>
      </c>
      <c r="D686">
        <f>IF(AND(B681=1,B682=1,B683=1,B684=1,B685=1),"Yes","")</f>
        <v/>
      </c>
      <c r="E686" t="inlineStr">
        <is>
          <t>No</t>
        </is>
      </c>
      <c r="F686" t="inlineStr">
        <is>
          <t>No</t>
        </is>
      </c>
      <c r="G686">
        <f>IF(F686="Yes",1-B686,B686)</f>
        <v/>
      </c>
      <c r="H686">
        <f>IF(E686="Yes","",COUNTIFS($E$2:E686,"No"))</f>
        <v/>
      </c>
      <c r="I686">
        <f>IF(H686="","",IF(H686&lt;=128,"address",IF(H686&lt;=600,"data1",IF(H686&lt;=1264,"zero-run1",IF(H686&lt;=1648,"data2",IF(H686&lt;=2176,"zero-run2",IF(H686&lt;=2192,"FCS","trailing")))))))</f>
        <v/>
      </c>
      <c r="J686">
        <f>IFERROR(IF(AND(H686&lt;&gt;"",H686&gt;=129,H686&lt;=2176),INDEX(Fields!$B$2:$B$206,MATCH(H686-129,Fields!$D$2:$D$206,1)),""),"")</f>
        <v/>
      </c>
      <c r="K686">
        <f>IFERROR(IF(AND(H686&lt;&gt;"",H686&gt;=129,H686&lt;=2176),INDEX(Fields!$C$2:$C$206,MATCH(H686-129,Fields!$D$2:$D$206,1)),""),"")</f>
        <v/>
      </c>
      <c r="L686">
        <f>IFERROR(IF(AND(H686&lt;&gt;"",H686&gt;=129,H686&lt;=2176),INDEX(Fields!$J$2:$J$206,MATCH(H686-129,Fields!$D$2:$D$206,1)),""),"")</f>
        <v/>
      </c>
      <c r="M686">
        <f>IFERROR(IF(AND(H686&lt;&gt;"",H686&gt;=129,H686&lt;=2176),INDEX(Fields!$K$2:$K$206,MATCH(H686-129,Fields!$D$2:$D$206,1)),""),"")</f>
        <v/>
      </c>
    </row>
    <row r="687">
      <c r="A687" t="n">
        <v>685</v>
      </c>
      <c r="B687" t="n">
        <v>0</v>
      </c>
      <c r="C687" t="inlineStr">
        <is>
          <t>No</t>
        </is>
      </c>
      <c r="D687">
        <f>IF(AND(B682=1,B683=1,B684=1,B685=1,B686=1),"Yes","")</f>
        <v/>
      </c>
      <c r="E687" t="inlineStr">
        <is>
          <t>No</t>
        </is>
      </c>
      <c r="F687" t="inlineStr">
        <is>
          <t>No</t>
        </is>
      </c>
      <c r="G687">
        <f>IF(F687="Yes",1-B687,B687)</f>
        <v/>
      </c>
      <c r="H687">
        <f>IF(E687="Yes","",COUNTIFS($E$2:E687,"No"))</f>
        <v/>
      </c>
      <c r="I687">
        <f>IF(H687="","",IF(H687&lt;=128,"address",IF(H687&lt;=600,"data1",IF(H687&lt;=1264,"zero-run1",IF(H687&lt;=1648,"data2",IF(H687&lt;=2176,"zero-run2",IF(H687&lt;=2192,"FCS","trailing")))))))</f>
        <v/>
      </c>
      <c r="J687">
        <f>IFERROR(IF(AND(H687&lt;&gt;"",H687&gt;=129,H687&lt;=2176),INDEX(Fields!$B$2:$B$206,MATCH(H687-129,Fields!$D$2:$D$206,1)),""),"")</f>
        <v/>
      </c>
      <c r="K687">
        <f>IFERROR(IF(AND(H687&lt;&gt;"",H687&gt;=129,H687&lt;=2176),INDEX(Fields!$C$2:$C$206,MATCH(H687-129,Fields!$D$2:$D$206,1)),""),"")</f>
        <v/>
      </c>
      <c r="L687">
        <f>IFERROR(IF(AND(H687&lt;&gt;"",H687&gt;=129,H687&lt;=2176),INDEX(Fields!$J$2:$J$206,MATCH(H687-129,Fields!$D$2:$D$206,1)),""),"")</f>
        <v/>
      </c>
      <c r="M687">
        <f>IFERROR(IF(AND(H687&lt;&gt;"",H687&gt;=129,H687&lt;=2176),INDEX(Fields!$K$2:$K$206,MATCH(H687-129,Fields!$D$2:$D$206,1)),""),"")</f>
        <v/>
      </c>
    </row>
    <row r="688">
      <c r="A688" t="n">
        <v>686</v>
      </c>
      <c r="B688" t="n">
        <v>0</v>
      </c>
      <c r="C688" t="inlineStr">
        <is>
          <t>No</t>
        </is>
      </c>
      <c r="D688">
        <f>IF(AND(B683=1,B684=1,B685=1,B686=1,B687=1),"Yes","")</f>
        <v/>
      </c>
      <c r="E688" t="inlineStr">
        <is>
          <t>No</t>
        </is>
      </c>
      <c r="F688" t="inlineStr">
        <is>
          <t>No</t>
        </is>
      </c>
      <c r="G688">
        <f>IF(F688="Yes",1-B688,B688)</f>
        <v/>
      </c>
      <c r="H688">
        <f>IF(E688="Yes","",COUNTIFS($E$2:E688,"No"))</f>
        <v/>
      </c>
      <c r="I688">
        <f>IF(H688="","",IF(H688&lt;=128,"address",IF(H688&lt;=600,"data1",IF(H688&lt;=1264,"zero-run1",IF(H688&lt;=1648,"data2",IF(H688&lt;=2176,"zero-run2",IF(H688&lt;=2192,"FCS","trailing")))))))</f>
        <v/>
      </c>
      <c r="J688">
        <f>IFERROR(IF(AND(H688&lt;&gt;"",H688&gt;=129,H688&lt;=2176),INDEX(Fields!$B$2:$B$206,MATCH(H688-129,Fields!$D$2:$D$206,1)),""),"")</f>
        <v/>
      </c>
      <c r="K688">
        <f>IFERROR(IF(AND(H688&lt;&gt;"",H688&gt;=129,H688&lt;=2176),INDEX(Fields!$C$2:$C$206,MATCH(H688-129,Fields!$D$2:$D$206,1)),""),"")</f>
        <v/>
      </c>
      <c r="L688">
        <f>IFERROR(IF(AND(H688&lt;&gt;"",H688&gt;=129,H688&lt;=2176),INDEX(Fields!$J$2:$J$206,MATCH(H688-129,Fields!$D$2:$D$206,1)),""),"")</f>
        <v/>
      </c>
      <c r="M688">
        <f>IFERROR(IF(AND(H688&lt;&gt;"",H688&gt;=129,H688&lt;=2176),INDEX(Fields!$K$2:$K$206,MATCH(H688-129,Fields!$D$2:$D$206,1)),""),"")</f>
        <v/>
      </c>
    </row>
    <row r="689">
      <c r="A689" t="n">
        <v>687</v>
      </c>
      <c r="B689" t="n">
        <v>0</v>
      </c>
      <c r="C689" t="inlineStr">
        <is>
          <t>No</t>
        </is>
      </c>
      <c r="D689">
        <f>IF(AND(B684=1,B685=1,B686=1,B687=1,B688=1),"Yes","")</f>
        <v/>
      </c>
      <c r="E689" t="inlineStr">
        <is>
          <t>No</t>
        </is>
      </c>
      <c r="F689" t="inlineStr">
        <is>
          <t>No</t>
        </is>
      </c>
      <c r="G689">
        <f>IF(F689="Yes",1-B689,B689)</f>
        <v/>
      </c>
      <c r="H689">
        <f>IF(E689="Yes","",COUNTIFS($E$2:E689,"No"))</f>
        <v/>
      </c>
      <c r="I689">
        <f>IF(H689="","",IF(H689&lt;=128,"address",IF(H689&lt;=600,"data1",IF(H689&lt;=1264,"zero-run1",IF(H689&lt;=1648,"data2",IF(H689&lt;=2176,"zero-run2",IF(H689&lt;=2192,"FCS","trailing")))))))</f>
        <v/>
      </c>
      <c r="J689">
        <f>IFERROR(IF(AND(H689&lt;&gt;"",H689&gt;=129,H689&lt;=2176),INDEX(Fields!$B$2:$B$206,MATCH(H689-129,Fields!$D$2:$D$206,1)),""),"")</f>
        <v/>
      </c>
      <c r="K689">
        <f>IFERROR(IF(AND(H689&lt;&gt;"",H689&gt;=129,H689&lt;=2176),INDEX(Fields!$C$2:$C$206,MATCH(H689-129,Fields!$D$2:$D$206,1)),""),"")</f>
        <v/>
      </c>
      <c r="L689">
        <f>IFERROR(IF(AND(H689&lt;&gt;"",H689&gt;=129,H689&lt;=2176),INDEX(Fields!$J$2:$J$206,MATCH(H689-129,Fields!$D$2:$D$206,1)),""),"")</f>
        <v/>
      </c>
      <c r="M689">
        <f>IFERROR(IF(AND(H689&lt;&gt;"",H689&gt;=129,H689&lt;=2176),INDEX(Fields!$K$2:$K$206,MATCH(H689-129,Fields!$D$2:$D$206,1)),""),"")</f>
        <v/>
      </c>
    </row>
    <row r="690">
      <c r="A690" t="n">
        <v>688</v>
      </c>
      <c r="B690" t="n">
        <v>0</v>
      </c>
      <c r="C690" t="inlineStr">
        <is>
          <t>No</t>
        </is>
      </c>
      <c r="D690">
        <f>IF(AND(B685=1,B686=1,B687=1,B688=1,B689=1),"Yes","")</f>
        <v/>
      </c>
      <c r="E690" t="inlineStr">
        <is>
          <t>No</t>
        </is>
      </c>
      <c r="F690" t="inlineStr">
        <is>
          <t>No</t>
        </is>
      </c>
      <c r="G690">
        <f>IF(F690="Yes",1-B690,B690)</f>
        <v/>
      </c>
      <c r="H690">
        <f>IF(E690="Yes","",COUNTIFS($E$2:E690,"No"))</f>
        <v/>
      </c>
      <c r="I690">
        <f>IF(H690="","",IF(H690&lt;=128,"address",IF(H690&lt;=600,"data1",IF(H690&lt;=1264,"zero-run1",IF(H690&lt;=1648,"data2",IF(H690&lt;=2176,"zero-run2",IF(H690&lt;=2192,"FCS","trailing")))))))</f>
        <v/>
      </c>
      <c r="J690">
        <f>IFERROR(IF(AND(H690&lt;&gt;"",H690&gt;=129,H690&lt;=2176),INDEX(Fields!$B$2:$B$206,MATCH(H690-129,Fields!$D$2:$D$206,1)),""),"")</f>
        <v/>
      </c>
      <c r="K690">
        <f>IFERROR(IF(AND(H690&lt;&gt;"",H690&gt;=129,H690&lt;=2176),INDEX(Fields!$C$2:$C$206,MATCH(H690-129,Fields!$D$2:$D$206,1)),""),"")</f>
        <v/>
      </c>
      <c r="L690">
        <f>IFERROR(IF(AND(H690&lt;&gt;"",H690&gt;=129,H690&lt;=2176),INDEX(Fields!$J$2:$J$206,MATCH(H690-129,Fields!$D$2:$D$206,1)),""),"")</f>
        <v/>
      </c>
      <c r="M690">
        <f>IFERROR(IF(AND(H690&lt;&gt;"",H690&gt;=129,H690&lt;=2176),INDEX(Fields!$K$2:$K$206,MATCH(H690-129,Fields!$D$2:$D$206,1)),""),"")</f>
        <v/>
      </c>
    </row>
    <row r="691">
      <c r="A691" t="n">
        <v>689</v>
      </c>
      <c r="B691" t="n">
        <v>0</v>
      </c>
      <c r="C691" t="inlineStr">
        <is>
          <t>No</t>
        </is>
      </c>
      <c r="D691">
        <f>IF(AND(B686=1,B687=1,B688=1,B689=1,B690=1),"Yes","")</f>
        <v/>
      </c>
      <c r="E691" t="inlineStr">
        <is>
          <t>No</t>
        </is>
      </c>
      <c r="F691" t="inlineStr">
        <is>
          <t>No</t>
        </is>
      </c>
      <c r="G691">
        <f>IF(F691="Yes",1-B691,B691)</f>
        <v/>
      </c>
      <c r="H691">
        <f>IF(E691="Yes","",COUNTIFS($E$2:E691,"No"))</f>
        <v/>
      </c>
      <c r="I691">
        <f>IF(H691="","",IF(H691&lt;=128,"address",IF(H691&lt;=600,"data1",IF(H691&lt;=1264,"zero-run1",IF(H691&lt;=1648,"data2",IF(H691&lt;=2176,"zero-run2",IF(H691&lt;=2192,"FCS","trailing")))))))</f>
        <v/>
      </c>
      <c r="J691">
        <f>IFERROR(IF(AND(H691&lt;&gt;"",H691&gt;=129,H691&lt;=2176),INDEX(Fields!$B$2:$B$206,MATCH(H691-129,Fields!$D$2:$D$206,1)),""),"")</f>
        <v/>
      </c>
      <c r="K691">
        <f>IFERROR(IF(AND(H691&lt;&gt;"",H691&gt;=129,H691&lt;=2176),INDEX(Fields!$C$2:$C$206,MATCH(H691-129,Fields!$D$2:$D$206,1)),""),"")</f>
        <v/>
      </c>
      <c r="L691">
        <f>IFERROR(IF(AND(H691&lt;&gt;"",H691&gt;=129,H691&lt;=2176),INDEX(Fields!$J$2:$J$206,MATCH(H691-129,Fields!$D$2:$D$206,1)),""),"")</f>
        <v/>
      </c>
      <c r="M691">
        <f>IFERROR(IF(AND(H691&lt;&gt;"",H691&gt;=129,H691&lt;=2176),INDEX(Fields!$K$2:$K$206,MATCH(H691-129,Fields!$D$2:$D$206,1)),""),"")</f>
        <v/>
      </c>
    </row>
    <row r="692">
      <c r="A692" t="n">
        <v>690</v>
      </c>
      <c r="B692" t="n">
        <v>0</v>
      </c>
      <c r="C692" t="inlineStr">
        <is>
          <t>No</t>
        </is>
      </c>
      <c r="D692">
        <f>IF(AND(B687=1,B688=1,B689=1,B690=1,B691=1),"Yes","")</f>
        <v/>
      </c>
      <c r="E692" t="inlineStr">
        <is>
          <t>No</t>
        </is>
      </c>
      <c r="F692" t="inlineStr">
        <is>
          <t>No</t>
        </is>
      </c>
      <c r="G692">
        <f>IF(F692="Yes",1-B692,B692)</f>
        <v/>
      </c>
      <c r="H692">
        <f>IF(E692="Yes","",COUNTIFS($E$2:E692,"No"))</f>
        <v/>
      </c>
      <c r="I692">
        <f>IF(H692="","",IF(H692&lt;=128,"address",IF(H692&lt;=600,"data1",IF(H692&lt;=1264,"zero-run1",IF(H692&lt;=1648,"data2",IF(H692&lt;=2176,"zero-run2",IF(H692&lt;=2192,"FCS","trailing")))))))</f>
        <v/>
      </c>
      <c r="J692">
        <f>IFERROR(IF(AND(H692&lt;&gt;"",H692&gt;=129,H692&lt;=2176),INDEX(Fields!$B$2:$B$206,MATCH(H692-129,Fields!$D$2:$D$206,1)),""),"")</f>
        <v/>
      </c>
      <c r="K692">
        <f>IFERROR(IF(AND(H692&lt;&gt;"",H692&gt;=129,H692&lt;=2176),INDEX(Fields!$C$2:$C$206,MATCH(H692-129,Fields!$D$2:$D$206,1)),""),"")</f>
        <v/>
      </c>
      <c r="L692">
        <f>IFERROR(IF(AND(H692&lt;&gt;"",H692&gt;=129,H692&lt;=2176),INDEX(Fields!$J$2:$J$206,MATCH(H692-129,Fields!$D$2:$D$206,1)),""),"")</f>
        <v/>
      </c>
      <c r="M692">
        <f>IFERROR(IF(AND(H692&lt;&gt;"",H692&gt;=129,H692&lt;=2176),INDEX(Fields!$K$2:$K$206,MATCH(H692-129,Fields!$D$2:$D$206,1)),""),"")</f>
        <v/>
      </c>
    </row>
    <row r="693">
      <c r="A693" t="n">
        <v>691</v>
      </c>
      <c r="B693" t="n">
        <v>0</v>
      </c>
      <c r="C693" t="inlineStr">
        <is>
          <t>No</t>
        </is>
      </c>
      <c r="D693">
        <f>IF(AND(B688=1,B689=1,B690=1,B691=1,B692=1),"Yes","")</f>
        <v/>
      </c>
      <c r="E693" t="inlineStr">
        <is>
          <t>No</t>
        </is>
      </c>
      <c r="F693" t="inlineStr">
        <is>
          <t>No</t>
        </is>
      </c>
      <c r="G693">
        <f>IF(F693="Yes",1-B693,B693)</f>
        <v/>
      </c>
      <c r="H693">
        <f>IF(E693="Yes","",COUNTIFS($E$2:E693,"No"))</f>
        <v/>
      </c>
      <c r="I693">
        <f>IF(H693="","",IF(H693&lt;=128,"address",IF(H693&lt;=600,"data1",IF(H693&lt;=1264,"zero-run1",IF(H693&lt;=1648,"data2",IF(H693&lt;=2176,"zero-run2",IF(H693&lt;=2192,"FCS","trailing")))))))</f>
        <v/>
      </c>
      <c r="J693">
        <f>IFERROR(IF(AND(H693&lt;&gt;"",H693&gt;=129,H693&lt;=2176),INDEX(Fields!$B$2:$B$206,MATCH(H693-129,Fields!$D$2:$D$206,1)),""),"")</f>
        <v/>
      </c>
      <c r="K693">
        <f>IFERROR(IF(AND(H693&lt;&gt;"",H693&gt;=129,H693&lt;=2176),INDEX(Fields!$C$2:$C$206,MATCH(H693-129,Fields!$D$2:$D$206,1)),""),"")</f>
        <v/>
      </c>
      <c r="L693">
        <f>IFERROR(IF(AND(H693&lt;&gt;"",H693&gt;=129,H693&lt;=2176),INDEX(Fields!$J$2:$J$206,MATCH(H693-129,Fields!$D$2:$D$206,1)),""),"")</f>
        <v/>
      </c>
      <c r="M693">
        <f>IFERROR(IF(AND(H693&lt;&gt;"",H693&gt;=129,H693&lt;=2176),INDEX(Fields!$K$2:$K$206,MATCH(H693-129,Fields!$D$2:$D$206,1)),""),"")</f>
        <v/>
      </c>
    </row>
    <row r="694">
      <c r="A694" t="n">
        <v>692</v>
      </c>
      <c r="B694" t="n">
        <v>0</v>
      </c>
      <c r="C694" t="inlineStr">
        <is>
          <t>No</t>
        </is>
      </c>
      <c r="D694">
        <f>IF(AND(B689=1,B690=1,B691=1,B692=1,B693=1),"Yes","")</f>
        <v/>
      </c>
      <c r="E694" t="inlineStr">
        <is>
          <t>No</t>
        </is>
      </c>
      <c r="F694" t="inlineStr">
        <is>
          <t>No</t>
        </is>
      </c>
      <c r="G694">
        <f>IF(F694="Yes",1-B694,B694)</f>
        <v/>
      </c>
      <c r="H694">
        <f>IF(E694="Yes","",COUNTIFS($E$2:E694,"No"))</f>
        <v/>
      </c>
      <c r="I694">
        <f>IF(H694="","",IF(H694&lt;=128,"address",IF(H694&lt;=600,"data1",IF(H694&lt;=1264,"zero-run1",IF(H694&lt;=1648,"data2",IF(H694&lt;=2176,"zero-run2",IF(H694&lt;=2192,"FCS","trailing")))))))</f>
        <v/>
      </c>
      <c r="J694">
        <f>IFERROR(IF(AND(H694&lt;&gt;"",H694&gt;=129,H694&lt;=2176),INDEX(Fields!$B$2:$B$206,MATCH(H694-129,Fields!$D$2:$D$206,1)),""),"")</f>
        <v/>
      </c>
      <c r="K694">
        <f>IFERROR(IF(AND(H694&lt;&gt;"",H694&gt;=129,H694&lt;=2176),INDEX(Fields!$C$2:$C$206,MATCH(H694-129,Fields!$D$2:$D$206,1)),""),"")</f>
        <v/>
      </c>
      <c r="L694">
        <f>IFERROR(IF(AND(H694&lt;&gt;"",H694&gt;=129,H694&lt;=2176),INDEX(Fields!$J$2:$J$206,MATCH(H694-129,Fields!$D$2:$D$206,1)),""),"")</f>
        <v/>
      </c>
      <c r="M694">
        <f>IFERROR(IF(AND(H694&lt;&gt;"",H694&gt;=129,H694&lt;=2176),INDEX(Fields!$K$2:$K$206,MATCH(H694-129,Fields!$D$2:$D$206,1)),""),"")</f>
        <v/>
      </c>
    </row>
    <row r="695">
      <c r="A695" t="n">
        <v>693</v>
      </c>
      <c r="B695" t="n">
        <v>0</v>
      </c>
      <c r="C695" t="inlineStr">
        <is>
          <t>No</t>
        </is>
      </c>
      <c r="D695">
        <f>IF(AND(B690=1,B691=1,B692=1,B693=1,B694=1),"Yes","")</f>
        <v/>
      </c>
      <c r="E695" t="inlineStr">
        <is>
          <t>No</t>
        </is>
      </c>
      <c r="F695" t="inlineStr">
        <is>
          <t>No</t>
        </is>
      </c>
      <c r="G695">
        <f>IF(F695="Yes",1-B695,B695)</f>
        <v/>
      </c>
      <c r="H695">
        <f>IF(E695="Yes","",COUNTIFS($E$2:E695,"No"))</f>
        <v/>
      </c>
      <c r="I695">
        <f>IF(H695="","",IF(H695&lt;=128,"address",IF(H695&lt;=600,"data1",IF(H695&lt;=1264,"zero-run1",IF(H695&lt;=1648,"data2",IF(H695&lt;=2176,"zero-run2",IF(H695&lt;=2192,"FCS","trailing")))))))</f>
        <v/>
      </c>
      <c r="J695">
        <f>IFERROR(IF(AND(H695&lt;&gt;"",H695&gt;=129,H695&lt;=2176),INDEX(Fields!$B$2:$B$206,MATCH(H695-129,Fields!$D$2:$D$206,1)),""),"")</f>
        <v/>
      </c>
      <c r="K695">
        <f>IFERROR(IF(AND(H695&lt;&gt;"",H695&gt;=129,H695&lt;=2176),INDEX(Fields!$C$2:$C$206,MATCH(H695-129,Fields!$D$2:$D$206,1)),""),"")</f>
        <v/>
      </c>
      <c r="L695">
        <f>IFERROR(IF(AND(H695&lt;&gt;"",H695&gt;=129,H695&lt;=2176),INDEX(Fields!$J$2:$J$206,MATCH(H695-129,Fields!$D$2:$D$206,1)),""),"")</f>
        <v/>
      </c>
      <c r="M695">
        <f>IFERROR(IF(AND(H695&lt;&gt;"",H695&gt;=129,H695&lt;=2176),INDEX(Fields!$K$2:$K$206,MATCH(H695-129,Fields!$D$2:$D$206,1)),""),"")</f>
        <v/>
      </c>
    </row>
    <row r="696">
      <c r="A696" t="n">
        <v>694</v>
      </c>
      <c r="B696" t="n">
        <v>0</v>
      </c>
      <c r="C696" t="inlineStr">
        <is>
          <t>No</t>
        </is>
      </c>
      <c r="D696">
        <f>IF(AND(B691=1,B692=1,B693=1,B694=1,B695=1),"Yes","")</f>
        <v/>
      </c>
      <c r="E696" t="inlineStr">
        <is>
          <t>No</t>
        </is>
      </c>
      <c r="F696" t="inlineStr">
        <is>
          <t>No</t>
        </is>
      </c>
      <c r="G696">
        <f>IF(F696="Yes",1-B696,B696)</f>
        <v/>
      </c>
      <c r="H696">
        <f>IF(E696="Yes","",COUNTIFS($E$2:E696,"No"))</f>
        <v/>
      </c>
      <c r="I696">
        <f>IF(H696="","",IF(H696&lt;=128,"address",IF(H696&lt;=600,"data1",IF(H696&lt;=1264,"zero-run1",IF(H696&lt;=1648,"data2",IF(H696&lt;=2176,"zero-run2",IF(H696&lt;=2192,"FCS","trailing")))))))</f>
        <v/>
      </c>
      <c r="J696">
        <f>IFERROR(IF(AND(H696&lt;&gt;"",H696&gt;=129,H696&lt;=2176),INDEX(Fields!$B$2:$B$206,MATCH(H696-129,Fields!$D$2:$D$206,1)),""),"")</f>
        <v/>
      </c>
      <c r="K696">
        <f>IFERROR(IF(AND(H696&lt;&gt;"",H696&gt;=129,H696&lt;=2176),INDEX(Fields!$C$2:$C$206,MATCH(H696-129,Fields!$D$2:$D$206,1)),""),"")</f>
        <v/>
      </c>
      <c r="L696">
        <f>IFERROR(IF(AND(H696&lt;&gt;"",H696&gt;=129,H696&lt;=2176),INDEX(Fields!$J$2:$J$206,MATCH(H696-129,Fields!$D$2:$D$206,1)),""),"")</f>
        <v/>
      </c>
      <c r="M696">
        <f>IFERROR(IF(AND(H696&lt;&gt;"",H696&gt;=129,H696&lt;=2176),INDEX(Fields!$K$2:$K$206,MATCH(H696-129,Fields!$D$2:$D$206,1)),""),"")</f>
        <v/>
      </c>
    </row>
    <row r="697">
      <c r="A697" t="n">
        <v>695</v>
      </c>
      <c r="B697" t="n">
        <v>0</v>
      </c>
      <c r="C697" t="inlineStr">
        <is>
          <t>No</t>
        </is>
      </c>
      <c r="D697">
        <f>IF(AND(B692=1,B693=1,B694=1,B695=1,B696=1),"Yes","")</f>
        <v/>
      </c>
      <c r="E697" t="inlineStr">
        <is>
          <t>No</t>
        </is>
      </c>
      <c r="F697" t="inlineStr">
        <is>
          <t>No</t>
        </is>
      </c>
      <c r="G697">
        <f>IF(F697="Yes",1-B697,B697)</f>
        <v/>
      </c>
      <c r="H697">
        <f>IF(E697="Yes","",COUNTIFS($E$2:E697,"No"))</f>
        <v/>
      </c>
      <c r="I697">
        <f>IF(H697="","",IF(H697&lt;=128,"address",IF(H697&lt;=600,"data1",IF(H697&lt;=1264,"zero-run1",IF(H697&lt;=1648,"data2",IF(H697&lt;=2176,"zero-run2",IF(H697&lt;=2192,"FCS","trailing")))))))</f>
        <v/>
      </c>
      <c r="J697">
        <f>IFERROR(IF(AND(H697&lt;&gt;"",H697&gt;=129,H697&lt;=2176),INDEX(Fields!$B$2:$B$206,MATCH(H697-129,Fields!$D$2:$D$206,1)),""),"")</f>
        <v/>
      </c>
      <c r="K697">
        <f>IFERROR(IF(AND(H697&lt;&gt;"",H697&gt;=129,H697&lt;=2176),INDEX(Fields!$C$2:$C$206,MATCH(H697-129,Fields!$D$2:$D$206,1)),""),"")</f>
        <v/>
      </c>
      <c r="L697">
        <f>IFERROR(IF(AND(H697&lt;&gt;"",H697&gt;=129,H697&lt;=2176),INDEX(Fields!$J$2:$J$206,MATCH(H697-129,Fields!$D$2:$D$206,1)),""),"")</f>
        <v/>
      </c>
      <c r="M697">
        <f>IFERROR(IF(AND(H697&lt;&gt;"",H697&gt;=129,H697&lt;=2176),INDEX(Fields!$K$2:$K$206,MATCH(H697-129,Fields!$D$2:$D$206,1)),""),"")</f>
        <v/>
      </c>
    </row>
    <row r="698">
      <c r="A698" t="n">
        <v>696</v>
      </c>
      <c r="B698" t="n">
        <v>0</v>
      </c>
      <c r="C698" t="inlineStr">
        <is>
          <t>No</t>
        </is>
      </c>
      <c r="D698">
        <f>IF(AND(B693=1,B694=1,B695=1,B696=1,B697=1),"Yes","")</f>
        <v/>
      </c>
      <c r="E698" t="inlineStr">
        <is>
          <t>No</t>
        </is>
      </c>
      <c r="F698" t="inlineStr">
        <is>
          <t>No</t>
        </is>
      </c>
      <c r="G698">
        <f>IF(F698="Yes",1-B698,B698)</f>
        <v/>
      </c>
      <c r="H698">
        <f>IF(E698="Yes","",COUNTIFS($E$2:E698,"No"))</f>
        <v/>
      </c>
      <c r="I698">
        <f>IF(H698="","",IF(H698&lt;=128,"address",IF(H698&lt;=600,"data1",IF(H698&lt;=1264,"zero-run1",IF(H698&lt;=1648,"data2",IF(H698&lt;=2176,"zero-run2",IF(H698&lt;=2192,"FCS","trailing")))))))</f>
        <v/>
      </c>
      <c r="J698">
        <f>IFERROR(IF(AND(H698&lt;&gt;"",H698&gt;=129,H698&lt;=2176),INDEX(Fields!$B$2:$B$206,MATCH(H698-129,Fields!$D$2:$D$206,1)),""),"")</f>
        <v/>
      </c>
      <c r="K698">
        <f>IFERROR(IF(AND(H698&lt;&gt;"",H698&gt;=129,H698&lt;=2176),INDEX(Fields!$C$2:$C$206,MATCH(H698-129,Fields!$D$2:$D$206,1)),""),"")</f>
        <v/>
      </c>
      <c r="L698">
        <f>IFERROR(IF(AND(H698&lt;&gt;"",H698&gt;=129,H698&lt;=2176),INDEX(Fields!$J$2:$J$206,MATCH(H698-129,Fields!$D$2:$D$206,1)),""),"")</f>
        <v/>
      </c>
      <c r="M698">
        <f>IFERROR(IF(AND(H698&lt;&gt;"",H698&gt;=129,H698&lt;=2176),INDEX(Fields!$K$2:$K$206,MATCH(H698-129,Fields!$D$2:$D$206,1)),""),"")</f>
        <v/>
      </c>
    </row>
    <row r="699">
      <c r="A699" t="n">
        <v>697</v>
      </c>
      <c r="B699" t="n">
        <v>0</v>
      </c>
      <c r="C699" t="inlineStr">
        <is>
          <t>No</t>
        </is>
      </c>
      <c r="D699">
        <f>IF(AND(B694=1,B695=1,B696=1,B697=1,B698=1),"Yes","")</f>
        <v/>
      </c>
      <c r="E699" t="inlineStr">
        <is>
          <t>No</t>
        </is>
      </c>
      <c r="F699" t="inlineStr">
        <is>
          <t>No</t>
        </is>
      </c>
      <c r="G699">
        <f>IF(F699="Yes",1-B699,B699)</f>
        <v/>
      </c>
      <c r="H699">
        <f>IF(E699="Yes","",COUNTIFS($E$2:E699,"No"))</f>
        <v/>
      </c>
      <c r="I699">
        <f>IF(H699="","",IF(H699&lt;=128,"address",IF(H699&lt;=600,"data1",IF(H699&lt;=1264,"zero-run1",IF(H699&lt;=1648,"data2",IF(H699&lt;=2176,"zero-run2",IF(H699&lt;=2192,"FCS","trailing")))))))</f>
        <v/>
      </c>
      <c r="J699">
        <f>IFERROR(IF(AND(H699&lt;&gt;"",H699&gt;=129,H699&lt;=2176),INDEX(Fields!$B$2:$B$206,MATCH(H699-129,Fields!$D$2:$D$206,1)),""),"")</f>
        <v/>
      </c>
      <c r="K699">
        <f>IFERROR(IF(AND(H699&lt;&gt;"",H699&gt;=129,H699&lt;=2176),INDEX(Fields!$C$2:$C$206,MATCH(H699-129,Fields!$D$2:$D$206,1)),""),"")</f>
        <v/>
      </c>
      <c r="L699">
        <f>IFERROR(IF(AND(H699&lt;&gt;"",H699&gt;=129,H699&lt;=2176),INDEX(Fields!$J$2:$J$206,MATCH(H699-129,Fields!$D$2:$D$206,1)),""),"")</f>
        <v/>
      </c>
      <c r="M699">
        <f>IFERROR(IF(AND(H699&lt;&gt;"",H699&gt;=129,H699&lt;=2176),INDEX(Fields!$K$2:$K$206,MATCH(H699-129,Fields!$D$2:$D$206,1)),""),"")</f>
        <v/>
      </c>
    </row>
    <row r="700">
      <c r="A700" t="n">
        <v>698</v>
      </c>
      <c r="B700" t="n">
        <v>0</v>
      </c>
      <c r="C700" t="inlineStr">
        <is>
          <t>No</t>
        </is>
      </c>
      <c r="D700">
        <f>IF(AND(B695=1,B696=1,B697=1,B698=1,B699=1),"Yes","")</f>
        <v/>
      </c>
      <c r="E700" t="inlineStr">
        <is>
          <t>No</t>
        </is>
      </c>
      <c r="F700" t="inlineStr">
        <is>
          <t>No</t>
        </is>
      </c>
      <c r="G700">
        <f>IF(F700="Yes",1-B700,B700)</f>
        <v/>
      </c>
      <c r="H700">
        <f>IF(E700="Yes","",COUNTIFS($E$2:E700,"No"))</f>
        <v/>
      </c>
      <c r="I700">
        <f>IF(H700="","",IF(H700&lt;=128,"address",IF(H700&lt;=600,"data1",IF(H700&lt;=1264,"zero-run1",IF(H700&lt;=1648,"data2",IF(H700&lt;=2176,"zero-run2",IF(H700&lt;=2192,"FCS","trailing")))))))</f>
        <v/>
      </c>
      <c r="J700">
        <f>IFERROR(IF(AND(H700&lt;&gt;"",H700&gt;=129,H700&lt;=2176),INDEX(Fields!$B$2:$B$206,MATCH(H700-129,Fields!$D$2:$D$206,1)),""),"")</f>
        <v/>
      </c>
      <c r="K700">
        <f>IFERROR(IF(AND(H700&lt;&gt;"",H700&gt;=129,H700&lt;=2176),INDEX(Fields!$C$2:$C$206,MATCH(H700-129,Fields!$D$2:$D$206,1)),""),"")</f>
        <v/>
      </c>
      <c r="L700">
        <f>IFERROR(IF(AND(H700&lt;&gt;"",H700&gt;=129,H700&lt;=2176),INDEX(Fields!$J$2:$J$206,MATCH(H700-129,Fields!$D$2:$D$206,1)),""),"")</f>
        <v/>
      </c>
      <c r="M700">
        <f>IFERROR(IF(AND(H700&lt;&gt;"",H700&gt;=129,H700&lt;=2176),INDEX(Fields!$K$2:$K$206,MATCH(H700-129,Fields!$D$2:$D$206,1)),""),"")</f>
        <v/>
      </c>
    </row>
    <row r="701">
      <c r="A701" t="n">
        <v>699</v>
      </c>
      <c r="B701" t="n">
        <v>0</v>
      </c>
      <c r="C701" t="inlineStr">
        <is>
          <t>No</t>
        </is>
      </c>
      <c r="D701">
        <f>IF(AND(B696=1,B697=1,B698=1,B699=1,B700=1),"Yes","")</f>
        <v/>
      </c>
      <c r="E701" t="inlineStr">
        <is>
          <t>No</t>
        </is>
      </c>
      <c r="F701" t="inlineStr">
        <is>
          <t>No</t>
        </is>
      </c>
      <c r="G701">
        <f>IF(F701="Yes",1-B701,B701)</f>
        <v/>
      </c>
      <c r="H701">
        <f>IF(E701="Yes","",COUNTIFS($E$2:E701,"No"))</f>
        <v/>
      </c>
      <c r="I701">
        <f>IF(H701="","",IF(H701&lt;=128,"address",IF(H701&lt;=600,"data1",IF(H701&lt;=1264,"zero-run1",IF(H701&lt;=1648,"data2",IF(H701&lt;=2176,"zero-run2",IF(H701&lt;=2192,"FCS","trailing")))))))</f>
        <v/>
      </c>
      <c r="J701">
        <f>IFERROR(IF(AND(H701&lt;&gt;"",H701&gt;=129,H701&lt;=2176),INDEX(Fields!$B$2:$B$206,MATCH(H701-129,Fields!$D$2:$D$206,1)),""),"")</f>
        <v/>
      </c>
      <c r="K701">
        <f>IFERROR(IF(AND(H701&lt;&gt;"",H701&gt;=129,H701&lt;=2176),INDEX(Fields!$C$2:$C$206,MATCH(H701-129,Fields!$D$2:$D$206,1)),""),"")</f>
        <v/>
      </c>
      <c r="L701">
        <f>IFERROR(IF(AND(H701&lt;&gt;"",H701&gt;=129,H701&lt;=2176),INDEX(Fields!$J$2:$J$206,MATCH(H701-129,Fields!$D$2:$D$206,1)),""),"")</f>
        <v/>
      </c>
      <c r="M701">
        <f>IFERROR(IF(AND(H701&lt;&gt;"",H701&gt;=129,H701&lt;=2176),INDEX(Fields!$K$2:$K$206,MATCH(H701-129,Fields!$D$2:$D$206,1)),""),"")</f>
        <v/>
      </c>
    </row>
    <row r="702">
      <c r="A702" t="n">
        <v>700</v>
      </c>
      <c r="B702" t="n">
        <v>0</v>
      </c>
      <c r="C702" t="inlineStr">
        <is>
          <t>No</t>
        </is>
      </c>
      <c r="D702">
        <f>IF(AND(B697=1,B698=1,B699=1,B700=1,B701=1),"Yes","")</f>
        <v/>
      </c>
      <c r="E702" t="inlineStr">
        <is>
          <t>No</t>
        </is>
      </c>
      <c r="F702" t="inlineStr">
        <is>
          <t>No</t>
        </is>
      </c>
      <c r="G702">
        <f>IF(F702="Yes",1-B702,B702)</f>
        <v/>
      </c>
      <c r="H702">
        <f>IF(E702="Yes","",COUNTIFS($E$2:E702,"No"))</f>
        <v/>
      </c>
      <c r="I702">
        <f>IF(H702="","",IF(H702&lt;=128,"address",IF(H702&lt;=600,"data1",IF(H702&lt;=1264,"zero-run1",IF(H702&lt;=1648,"data2",IF(H702&lt;=2176,"zero-run2",IF(H702&lt;=2192,"FCS","trailing")))))))</f>
        <v/>
      </c>
      <c r="J702">
        <f>IFERROR(IF(AND(H702&lt;&gt;"",H702&gt;=129,H702&lt;=2176),INDEX(Fields!$B$2:$B$206,MATCH(H702-129,Fields!$D$2:$D$206,1)),""),"")</f>
        <v/>
      </c>
      <c r="K702">
        <f>IFERROR(IF(AND(H702&lt;&gt;"",H702&gt;=129,H702&lt;=2176),INDEX(Fields!$C$2:$C$206,MATCH(H702-129,Fields!$D$2:$D$206,1)),""),"")</f>
        <v/>
      </c>
      <c r="L702">
        <f>IFERROR(IF(AND(H702&lt;&gt;"",H702&gt;=129,H702&lt;=2176),INDEX(Fields!$J$2:$J$206,MATCH(H702-129,Fields!$D$2:$D$206,1)),""),"")</f>
        <v/>
      </c>
      <c r="M702">
        <f>IFERROR(IF(AND(H702&lt;&gt;"",H702&gt;=129,H702&lt;=2176),INDEX(Fields!$K$2:$K$206,MATCH(H702-129,Fields!$D$2:$D$206,1)),""),"")</f>
        <v/>
      </c>
    </row>
    <row r="703">
      <c r="A703" t="n">
        <v>701</v>
      </c>
      <c r="B703" t="n">
        <v>0</v>
      </c>
      <c r="C703" t="inlineStr">
        <is>
          <t>No</t>
        </is>
      </c>
      <c r="D703">
        <f>IF(AND(B698=1,B699=1,B700=1,B701=1,B702=1),"Yes","")</f>
        <v/>
      </c>
      <c r="E703" t="inlineStr">
        <is>
          <t>No</t>
        </is>
      </c>
      <c r="F703" t="inlineStr">
        <is>
          <t>No</t>
        </is>
      </c>
      <c r="G703">
        <f>IF(F703="Yes",1-B703,B703)</f>
        <v/>
      </c>
      <c r="H703">
        <f>IF(E703="Yes","",COUNTIFS($E$2:E703,"No"))</f>
        <v/>
      </c>
      <c r="I703">
        <f>IF(H703="","",IF(H703&lt;=128,"address",IF(H703&lt;=600,"data1",IF(H703&lt;=1264,"zero-run1",IF(H703&lt;=1648,"data2",IF(H703&lt;=2176,"zero-run2",IF(H703&lt;=2192,"FCS","trailing")))))))</f>
        <v/>
      </c>
      <c r="J703">
        <f>IFERROR(IF(AND(H703&lt;&gt;"",H703&gt;=129,H703&lt;=2176),INDEX(Fields!$B$2:$B$206,MATCH(H703-129,Fields!$D$2:$D$206,1)),""),"")</f>
        <v/>
      </c>
      <c r="K703">
        <f>IFERROR(IF(AND(H703&lt;&gt;"",H703&gt;=129,H703&lt;=2176),INDEX(Fields!$C$2:$C$206,MATCH(H703-129,Fields!$D$2:$D$206,1)),""),"")</f>
        <v/>
      </c>
      <c r="L703">
        <f>IFERROR(IF(AND(H703&lt;&gt;"",H703&gt;=129,H703&lt;=2176),INDEX(Fields!$J$2:$J$206,MATCH(H703-129,Fields!$D$2:$D$206,1)),""),"")</f>
        <v/>
      </c>
      <c r="M703">
        <f>IFERROR(IF(AND(H703&lt;&gt;"",H703&gt;=129,H703&lt;=2176),INDEX(Fields!$K$2:$K$206,MATCH(H703-129,Fields!$D$2:$D$206,1)),""),"")</f>
        <v/>
      </c>
    </row>
    <row r="704">
      <c r="A704" t="n">
        <v>702</v>
      </c>
      <c r="B704" t="n">
        <v>0</v>
      </c>
      <c r="C704" t="inlineStr">
        <is>
          <t>No</t>
        </is>
      </c>
      <c r="D704">
        <f>IF(AND(B699=1,B700=1,B701=1,B702=1,B703=1),"Yes","")</f>
        <v/>
      </c>
      <c r="E704" t="inlineStr">
        <is>
          <t>No</t>
        </is>
      </c>
      <c r="F704" t="inlineStr">
        <is>
          <t>No</t>
        </is>
      </c>
      <c r="G704">
        <f>IF(F704="Yes",1-B704,B704)</f>
        <v/>
      </c>
      <c r="H704">
        <f>IF(E704="Yes","",COUNTIFS($E$2:E704,"No"))</f>
        <v/>
      </c>
      <c r="I704">
        <f>IF(H704="","",IF(H704&lt;=128,"address",IF(H704&lt;=600,"data1",IF(H704&lt;=1264,"zero-run1",IF(H704&lt;=1648,"data2",IF(H704&lt;=2176,"zero-run2",IF(H704&lt;=2192,"FCS","trailing")))))))</f>
        <v/>
      </c>
      <c r="J704">
        <f>IFERROR(IF(AND(H704&lt;&gt;"",H704&gt;=129,H704&lt;=2176),INDEX(Fields!$B$2:$B$206,MATCH(H704-129,Fields!$D$2:$D$206,1)),""),"")</f>
        <v/>
      </c>
      <c r="K704">
        <f>IFERROR(IF(AND(H704&lt;&gt;"",H704&gt;=129,H704&lt;=2176),INDEX(Fields!$C$2:$C$206,MATCH(H704-129,Fields!$D$2:$D$206,1)),""),"")</f>
        <v/>
      </c>
      <c r="L704">
        <f>IFERROR(IF(AND(H704&lt;&gt;"",H704&gt;=129,H704&lt;=2176),INDEX(Fields!$J$2:$J$206,MATCH(H704-129,Fields!$D$2:$D$206,1)),""),"")</f>
        <v/>
      </c>
      <c r="M704">
        <f>IFERROR(IF(AND(H704&lt;&gt;"",H704&gt;=129,H704&lt;=2176),INDEX(Fields!$K$2:$K$206,MATCH(H704-129,Fields!$D$2:$D$206,1)),""),"")</f>
        <v/>
      </c>
    </row>
    <row r="705">
      <c r="A705" t="n">
        <v>703</v>
      </c>
      <c r="B705" t="n">
        <v>0</v>
      </c>
      <c r="C705" t="inlineStr">
        <is>
          <t>No</t>
        </is>
      </c>
      <c r="D705">
        <f>IF(AND(B700=1,B701=1,B702=1,B703=1,B704=1),"Yes","")</f>
        <v/>
      </c>
      <c r="E705" t="inlineStr">
        <is>
          <t>No</t>
        </is>
      </c>
      <c r="F705" t="inlineStr">
        <is>
          <t>No</t>
        </is>
      </c>
      <c r="G705">
        <f>IF(F705="Yes",1-B705,B705)</f>
        <v/>
      </c>
      <c r="H705">
        <f>IF(E705="Yes","",COUNTIFS($E$2:E705,"No"))</f>
        <v/>
      </c>
      <c r="I705">
        <f>IF(H705="","",IF(H705&lt;=128,"address",IF(H705&lt;=600,"data1",IF(H705&lt;=1264,"zero-run1",IF(H705&lt;=1648,"data2",IF(H705&lt;=2176,"zero-run2",IF(H705&lt;=2192,"FCS","trailing")))))))</f>
        <v/>
      </c>
      <c r="J705">
        <f>IFERROR(IF(AND(H705&lt;&gt;"",H705&gt;=129,H705&lt;=2176),INDEX(Fields!$B$2:$B$206,MATCH(H705-129,Fields!$D$2:$D$206,1)),""),"")</f>
        <v/>
      </c>
      <c r="K705">
        <f>IFERROR(IF(AND(H705&lt;&gt;"",H705&gt;=129,H705&lt;=2176),INDEX(Fields!$C$2:$C$206,MATCH(H705-129,Fields!$D$2:$D$206,1)),""),"")</f>
        <v/>
      </c>
      <c r="L705">
        <f>IFERROR(IF(AND(H705&lt;&gt;"",H705&gt;=129,H705&lt;=2176),INDEX(Fields!$J$2:$J$206,MATCH(H705-129,Fields!$D$2:$D$206,1)),""),"")</f>
        <v/>
      </c>
      <c r="M705">
        <f>IFERROR(IF(AND(H705&lt;&gt;"",H705&gt;=129,H705&lt;=2176),INDEX(Fields!$K$2:$K$206,MATCH(H705-129,Fields!$D$2:$D$206,1)),""),"")</f>
        <v/>
      </c>
    </row>
    <row r="706">
      <c r="A706" t="n">
        <v>704</v>
      </c>
      <c r="B706" t="n">
        <v>0</v>
      </c>
      <c r="C706" t="inlineStr">
        <is>
          <t>No</t>
        </is>
      </c>
      <c r="D706">
        <f>IF(AND(B701=1,B702=1,B703=1,B704=1,B705=1),"Yes","")</f>
        <v/>
      </c>
      <c r="E706" t="inlineStr">
        <is>
          <t>No</t>
        </is>
      </c>
      <c r="F706" t="inlineStr">
        <is>
          <t>No</t>
        </is>
      </c>
      <c r="G706">
        <f>IF(F706="Yes",1-B706,B706)</f>
        <v/>
      </c>
      <c r="H706">
        <f>IF(E706="Yes","",COUNTIFS($E$2:E706,"No"))</f>
        <v/>
      </c>
      <c r="I706">
        <f>IF(H706="","",IF(H706&lt;=128,"address",IF(H706&lt;=600,"data1",IF(H706&lt;=1264,"zero-run1",IF(H706&lt;=1648,"data2",IF(H706&lt;=2176,"zero-run2",IF(H706&lt;=2192,"FCS","trailing")))))))</f>
        <v/>
      </c>
      <c r="J706">
        <f>IFERROR(IF(AND(H706&lt;&gt;"",H706&gt;=129,H706&lt;=2176),INDEX(Fields!$B$2:$B$206,MATCH(H706-129,Fields!$D$2:$D$206,1)),""),"")</f>
        <v/>
      </c>
      <c r="K706">
        <f>IFERROR(IF(AND(H706&lt;&gt;"",H706&gt;=129,H706&lt;=2176),INDEX(Fields!$C$2:$C$206,MATCH(H706-129,Fields!$D$2:$D$206,1)),""),"")</f>
        <v/>
      </c>
      <c r="L706">
        <f>IFERROR(IF(AND(H706&lt;&gt;"",H706&gt;=129,H706&lt;=2176),INDEX(Fields!$J$2:$J$206,MATCH(H706-129,Fields!$D$2:$D$206,1)),""),"")</f>
        <v/>
      </c>
      <c r="M706">
        <f>IFERROR(IF(AND(H706&lt;&gt;"",H706&gt;=129,H706&lt;=2176),INDEX(Fields!$K$2:$K$206,MATCH(H706-129,Fields!$D$2:$D$206,1)),""),"")</f>
        <v/>
      </c>
    </row>
    <row r="707">
      <c r="A707" t="n">
        <v>705</v>
      </c>
      <c r="B707" t="n">
        <v>0</v>
      </c>
      <c r="C707" t="inlineStr">
        <is>
          <t>No</t>
        </is>
      </c>
      <c r="D707">
        <f>IF(AND(B702=1,B703=1,B704=1,B705=1,B706=1),"Yes","")</f>
        <v/>
      </c>
      <c r="E707" t="inlineStr">
        <is>
          <t>No</t>
        </is>
      </c>
      <c r="F707" t="inlineStr">
        <is>
          <t>No</t>
        </is>
      </c>
      <c r="G707">
        <f>IF(F707="Yes",1-B707,B707)</f>
        <v/>
      </c>
      <c r="H707">
        <f>IF(E707="Yes","",COUNTIFS($E$2:E707,"No"))</f>
        <v/>
      </c>
      <c r="I707">
        <f>IF(H707="","",IF(H707&lt;=128,"address",IF(H707&lt;=600,"data1",IF(H707&lt;=1264,"zero-run1",IF(H707&lt;=1648,"data2",IF(H707&lt;=2176,"zero-run2",IF(H707&lt;=2192,"FCS","trailing")))))))</f>
        <v/>
      </c>
      <c r="J707">
        <f>IFERROR(IF(AND(H707&lt;&gt;"",H707&gt;=129,H707&lt;=2176),INDEX(Fields!$B$2:$B$206,MATCH(H707-129,Fields!$D$2:$D$206,1)),""),"")</f>
        <v/>
      </c>
      <c r="K707">
        <f>IFERROR(IF(AND(H707&lt;&gt;"",H707&gt;=129,H707&lt;=2176),INDEX(Fields!$C$2:$C$206,MATCH(H707-129,Fields!$D$2:$D$206,1)),""),"")</f>
        <v/>
      </c>
      <c r="L707">
        <f>IFERROR(IF(AND(H707&lt;&gt;"",H707&gt;=129,H707&lt;=2176),INDEX(Fields!$J$2:$J$206,MATCH(H707-129,Fields!$D$2:$D$206,1)),""),"")</f>
        <v/>
      </c>
      <c r="M707">
        <f>IFERROR(IF(AND(H707&lt;&gt;"",H707&gt;=129,H707&lt;=2176),INDEX(Fields!$K$2:$K$206,MATCH(H707-129,Fields!$D$2:$D$206,1)),""),"")</f>
        <v/>
      </c>
    </row>
    <row r="708">
      <c r="A708" t="n">
        <v>706</v>
      </c>
      <c r="B708" t="n">
        <v>0</v>
      </c>
      <c r="C708" t="inlineStr">
        <is>
          <t>No</t>
        </is>
      </c>
      <c r="D708">
        <f>IF(AND(B703=1,B704=1,B705=1,B706=1,B707=1),"Yes","")</f>
        <v/>
      </c>
      <c r="E708" t="inlineStr">
        <is>
          <t>No</t>
        </is>
      </c>
      <c r="F708" t="inlineStr">
        <is>
          <t>No</t>
        </is>
      </c>
      <c r="G708">
        <f>IF(F708="Yes",1-B708,B708)</f>
        <v/>
      </c>
      <c r="H708">
        <f>IF(E708="Yes","",COUNTIFS($E$2:E708,"No"))</f>
        <v/>
      </c>
      <c r="I708">
        <f>IF(H708="","",IF(H708&lt;=128,"address",IF(H708&lt;=600,"data1",IF(H708&lt;=1264,"zero-run1",IF(H708&lt;=1648,"data2",IF(H708&lt;=2176,"zero-run2",IF(H708&lt;=2192,"FCS","trailing")))))))</f>
        <v/>
      </c>
      <c r="J708">
        <f>IFERROR(IF(AND(H708&lt;&gt;"",H708&gt;=129,H708&lt;=2176),INDEX(Fields!$B$2:$B$206,MATCH(H708-129,Fields!$D$2:$D$206,1)),""),"")</f>
        <v/>
      </c>
      <c r="K708">
        <f>IFERROR(IF(AND(H708&lt;&gt;"",H708&gt;=129,H708&lt;=2176),INDEX(Fields!$C$2:$C$206,MATCH(H708-129,Fields!$D$2:$D$206,1)),""),"")</f>
        <v/>
      </c>
      <c r="L708">
        <f>IFERROR(IF(AND(H708&lt;&gt;"",H708&gt;=129,H708&lt;=2176),INDEX(Fields!$J$2:$J$206,MATCH(H708-129,Fields!$D$2:$D$206,1)),""),"")</f>
        <v/>
      </c>
      <c r="M708">
        <f>IFERROR(IF(AND(H708&lt;&gt;"",H708&gt;=129,H708&lt;=2176),INDEX(Fields!$K$2:$K$206,MATCH(H708-129,Fields!$D$2:$D$206,1)),""),"")</f>
        <v/>
      </c>
    </row>
    <row r="709">
      <c r="A709" t="n">
        <v>707</v>
      </c>
      <c r="B709" t="n">
        <v>0</v>
      </c>
      <c r="C709" t="inlineStr">
        <is>
          <t>No</t>
        </is>
      </c>
      <c r="D709">
        <f>IF(AND(B704=1,B705=1,B706=1,B707=1,B708=1),"Yes","")</f>
        <v/>
      </c>
      <c r="E709" t="inlineStr">
        <is>
          <t>No</t>
        </is>
      </c>
      <c r="F709" t="inlineStr">
        <is>
          <t>No</t>
        </is>
      </c>
      <c r="G709">
        <f>IF(F709="Yes",1-B709,B709)</f>
        <v/>
      </c>
      <c r="H709">
        <f>IF(E709="Yes","",COUNTIFS($E$2:E709,"No"))</f>
        <v/>
      </c>
      <c r="I709">
        <f>IF(H709="","",IF(H709&lt;=128,"address",IF(H709&lt;=600,"data1",IF(H709&lt;=1264,"zero-run1",IF(H709&lt;=1648,"data2",IF(H709&lt;=2176,"zero-run2",IF(H709&lt;=2192,"FCS","trailing")))))))</f>
        <v/>
      </c>
      <c r="J709">
        <f>IFERROR(IF(AND(H709&lt;&gt;"",H709&gt;=129,H709&lt;=2176),INDEX(Fields!$B$2:$B$206,MATCH(H709-129,Fields!$D$2:$D$206,1)),""),"")</f>
        <v/>
      </c>
      <c r="K709">
        <f>IFERROR(IF(AND(H709&lt;&gt;"",H709&gt;=129,H709&lt;=2176),INDEX(Fields!$C$2:$C$206,MATCH(H709-129,Fields!$D$2:$D$206,1)),""),"")</f>
        <v/>
      </c>
      <c r="L709">
        <f>IFERROR(IF(AND(H709&lt;&gt;"",H709&gt;=129,H709&lt;=2176),INDEX(Fields!$J$2:$J$206,MATCH(H709-129,Fields!$D$2:$D$206,1)),""),"")</f>
        <v/>
      </c>
      <c r="M709">
        <f>IFERROR(IF(AND(H709&lt;&gt;"",H709&gt;=129,H709&lt;=2176),INDEX(Fields!$K$2:$K$206,MATCH(H709-129,Fields!$D$2:$D$206,1)),""),"")</f>
        <v/>
      </c>
    </row>
    <row r="710">
      <c r="A710" t="n">
        <v>708</v>
      </c>
      <c r="B710" t="n">
        <v>0</v>
      </c>
      <c r="C710" t="inlineStr">
        <is>
          <t>No</t>
        </is>
      </c>
      <c r="D710">
        <f>IF(AND(B705=1,B706=1,B707=1,B708=1,B709=1),"Yes","")</f>
        <v/>
      </c>
      <c r="E710" t="inlineStr">
        <is>
          <t>No</t>
        </is>
      </c>
      <c r="F710" t="inlineStr">
        <is>
          <t>No</t>
        </is>
      </c>
      <c r="G710">
        <f>IF(F710="Yes",1-B710,B710)</f>
        <v/>
      </c>
      <c r="H710">
        <f>IF(E710="Yes","",COUNTIFS($E$2:E710,"No"))</f>
        <v/>
      </c>
      <c r="I710">
        <f>IF(H710="","",IF(H710&lt;=128,"address",IF(H710&lt;=600,"data1",IF(H710&lt;=1264,"zero-run1",IF(H710&lt;=1648,"data2",IF(H710&lt;=2176,"zero-run2",IF(H710&lt;=2192,"FCS","trailing")))))))</f>
        <v/>
      </c>
      <c r="J710">
        <f>IFERROR(IF(AND(H710&lt;&gt;"",H710&gt;=129,H710&lt;=2176),INDEX(Fields!$B$2:$B$206,MATCH(H710-129,Fields!$D$2:$D$206,1)),""),"")</f>
        <v/>
      </c>
      <c r="K710">
        <f>IFERROR(IF(AND(H710&lt;&gt;"",H710&gt;=129,H710&lt;=2176),INDEX(Fields!$C$2:$C$206,MATCH(H710-129,Fields!$D$2:$D$206,1)),""),"")</f>
        <v/>
      </c>
      <c r="L710">
        <f>IFERROR(IF(AND(H710&lt;&gt;"",H710&gt;=129,H710&lt;=2176),INDEX(Fields!$J$2:$J$206,MATCH(H710-129,Fields!$D$2:$D$206,1)),""),"")</f>
        <v/>
      </c>
      <c r="M710">
        <f>IFERROR(IF(AND(H710&lt;&gt;"",H710&gt;=129,H710&lt;=2176),INDEX(Fields!$K$2:$K$206,MATCH(H710-129,Fields!$D$2:$D$206,1)),""),"")</f>
        <v/>
      </c>
    </row>
    <row r="711">
      <c r="A711" t="n">
        <v>709</v>
      </c>
      <c r="B711" t="n">
        <v>0</v>
      </c>
      <c r="C711" t="inlineStr">
        <is>
          <t>No</t>
        </is>
      </c>
      <c r="D711">
        <f>IF(AND(B706=1,B707=1,B708=1,B709=1,B710=1),"Yes","")</f>
        <v/>
      </c>
      <c r="E711" t="inlineStr">
        <is>
          <t>No</t>
        </is>
      </c>
      <c r="F711" t="inlineStr">
        <is>
          <t>No</t>
        </is>
      </c>
      <c r="G711">
        <f>IF(F711="Yes",1-B711,B711)</f>
        <v/>
      </c>
      <c r="H711">
        <f>IF(E711="Yes","",COUNTIFS($E$2:E711,"No"))</f>
        <v/>
      </c>
      <c r="I711">
        <f>IF(H711="","",IF(H711&lt;=128,"address",IF(H711&lt;=600,"data1",IF(H711&lt;=1264,"zero-run1",IF(H711&lt;=1648,"data2",IF(H711&lt;=2176,"zero-run2",IF(H711&lt;=2192,"FCS","trailing")))))))</f>
        <v/>
      </c>
      <c r="J711">
        <f>IFERROR(IF(AND(H711&lt;&gt;"",H711&gt;=129,H711&lt;=2176),INDEX(Fields!$B$2:$B$206,MATCH(H711-129,Fields!$D$2:$D$206,1)),""),"")</f>
        <v/>
      </c>
      <c r="K711">
        <f>IFERROR(IF(AND(H711&lt;&gt;"",H711&gt;=129,H711&lt;=2176),INDEX(Fields!$C$2:$C$206,MATCH(H711-129,Fields!$D$2:$D$206,1)),""),"")</f>
        <v/>
      </c>
      <c r="L711">
        <f>IFERROR(IF(AND(H711&lt;&gt;"",H711&gt;=129,H711&lt;=2176),INDEX(Fields!$J$2:$J$206,MATCH(H711-129,Fields!$D$2:$D$206,1)),""),"")</f>
        <v/>
      </c>
      <c r="M711">
        <f>IFERROR(IF(AND(H711&lt;&gt;"",H711&gt;=129,H711&lt;=2176),INDEX(Fields!$K$2:$K$206,MATCH(H711-129,Fields!$D$2:$D$206,1)),""),"")</f>
        <v/>
      </c>
    </row>
    <row r="712">
      <c r="A712" t="n">
        <v>710</v>
      </c>
      <c r="B712" t="n">
        <v>0</v>
      </c>
      <c r="C712" t="inlineStr">
        <is>
          <t>No</t>
        </is>
      </c>
      <c r="D712">
        <f>IF(AND(B707=1,B708=1,B709=1,B710=1,B711=1),"Yes","")</f>
        <v/>
      </c>
      <c r="E712" t="inlineStr">
        <is>
          <t>No</t>
        </is>
      </c>
      <c r="F712" t="inlineStr">
        <is>
          <t>No</t>
        </is>
      </c>
      <c r="G712">
        <f>IF(F712="Yes",1-B712,B712)</f>
        <v/>
      </c>
      <c r="H712">
        <f>IF(E712="Yes","",COUNTIFS($E$2:E712,"No"))</f>
        <v/>
      </c>
      <c r="I712">
        <f>IF(H712="","",IF(H712&lt;=128,"address",IF(H712&lt;=600,"data1",IF(H712&lt;=1264,"zero-run1",IF(H712&lt;=1648,"data2",IF(H712&lt;=2176,"zero-run2",IF(H712&lt;=2192,"FCS","trailing")))))))</f>
        <v/>
      </c>
      <c r="J712">
        <f>IFERROR(IF(AND(H712&lt;&gt;"",H712&gt;=129,H712&lt;=2176),INDEX(Fields!$B$2:$B$206,MATCH(H712-129,Fields!$D$2:$D$206,1)),""),"")</f>
        <v/>
      </c>
      <c r="K712">
        <f>IFERROR(IF(AND(H712&lt;&gt;"",H712&gt;=129,H712&lt;=2176),INDEX(Fields!$C$2:$C$206,MATCH(H712-129,Fields!$D$2:$D$206,1)),""),"")</f>
        <v/>
      </c>
      <c r="L712">
        <f>IFERROR(IF(AND(H712&lt;&gt;"",H712&gt;=129,H712&lt;=2176),INDEX(Fields!$J$2:$J$206,MATCH(H712-129,Fields!$D$2:$D$206,1)),""),"")</f>
        <v/>
      </c>
      <c r="M712">
        <f>IFERROR(IF(AND(H712&lt;&gt;"",H712&gt;=129,H712&lt;=2176),INDEX(Fields!$K$2:$K$206,MATCH(H712-129,Fields!$D$2:$D$206,1)),""),"")</f>
        <v/>
      </c>
    </row>
    <row r="713">
      <c r="A713" t="n">
        <v>711</v>
      </c>
      <c r="B713" t="n">
        <v>0</v>
      </c>
      <c r="C713" t="inlineStr">
        <is>
          <t>No</t>
        </is>
      </c>
      <c r="D713">
        <f>IF(AND(B708=1,B709=1,B710=1,B711=1,B712=1),"Yes","")</f>
        <v/>
      </c>
      <c r="E713" t="inlineStr">
        <is>
          <t>No</t>
        </is>
      </c>
      <c r="F713" t="inlineStr">
        <is>
          <t>No</t>
        </is>
      </c>
      <c r="G713">
        <f>IF(F713="Yes",1-B713,B713)</f>
        <v/>
      </c>
      <c r="H713">
        <f>IF(E713="Yes","",COUNTIFS($E$2:E713,"No"))</f>
        <v/>
      </c>
      <c r="I713">
        <f>IF(H713="","",IF(H713&lt;=128,"address",IF(H713&lt;=600,"data1",IF(H713&lt;=1264,"zero-run1",IF(H713&lt;=1648,"data2",IF(H713&lt;=2176,"zero-run2",IF(H713&lt;=2192,"FCS","trailing")))))))</f>
        <v/>
      </c>
      <c r="J713">
        <f>IFERROR(IF(AND(H713&lt;&gt;"",H713&gt;=129,H713&lt;=2176),INDEX(Fields!$B$2:$B$206,MATCH(H713-129,Fields!$D$2:$D$206,1)),""),"")</f>
        <v/>
      </c>
      <c r="K713">
        <f>IFERROR(IF(AND(H713&lt;&gt;"",H713&gt;=129,H713&lt;=2176),INDEX(Fields!$C$2:$C$206,MATCH(H713-129,Fields!$D$2:$D$206,1)),""),"")</f>
        <v/>
      </c>
      <c r="L713">
        <f>IFERROR(IF(AND(H713&lt;&gt;"",H713&gt;=129,H713&lt;=2176),INDEX(Fields!$J$2:$J$206,MATCH(H713-129,Fields!$D$2:$D$206,1)),""),"")</f>
        <v/>
      </c>
      <c r="M713">
        <f>IFERROR(IF(AND(H713&lt;&gt;"",H713&gt;=129,H713&lt;=2176),INDEX(Fields!$K$2:$K$206,MATCH(H713-129,Fields!$D$2:$D$206,1)),""),"")</f>
        <v/>
      </c>
    </row>
    <row r="714">
      <c r="A714" t="n">
        <v>712</v>
      </c>
      <c r="B714" t="n">
        <v>0</v>
      </c>
      <c r="C714" t="inlineStr">
        <is>
          <t>No</t>
        </is>
      </c>
      <c r="D714">
        <f>IF(AND(B709=1,B710=1,B711=1,B712=1,B713=1),"Yes","")</f>
        <v/>
      </c>
      <c r="E714" t="inlineStr">
        <is>
          <t>No</t>
        </is>
      </c>
      <c r="F714" t="inlineStr">
        <is>
          <t>No</t>
        </is>
      </c>
      <c r="G714">
        <f>IF(F714="Yes",1-B714,B714)</f>
        <v/>
      </c>
      <c r="H714">
        <f>IF(E714="Yes","",COUNTIFS($E$2:E714,"No"))</f>
        <v/>
      </c>
      <c r="I714">
        <f>IF(H714="","",IF(H714&lt;=128,"address",IF(H714&lt;=600,"data1",IF(H714&lt;=1264,"zero-run1",IF(H714&lt;=1648,"data2",IF(H714&lt;=2176,"zero-run2",IF(H714&lt;=2192,"FCS","trailing")))))))</f>
        <v/>
      </c>
      <c r="J714">
        <f>IFERROR(IF(AND(H714&lt;&gt;"",H714&gt;=129,H714&lt;=2176),INDEX(Fields!$B$2:$B$206,MATCH(H714-129,Fields!$D$2:$D$206,1)),""),"")</f>
        <v/>
      </c>
      <c r="K714">
        <f>IFERROR(IF(AND(H714&lt;&gt;"",H714&gt;=129,H714&lt;=2176),INDEX(Fields!$C$2:$C$206,MATCH(H714-129,Fields!$D$2:$D$206,1)),""),"")</f>
        <v/>
      </c>
      <c r="L714">
        <f>IFERROR(IF(AND(H714&lt;&gt;"",H714&gt;=129,H714&lt;=2176),INDEX(Fields!$J$2:$J$206,MATCH(H714-129,Fields!$D$2:$D$206,1)),""),"")</f>
        <v/>
      </c>
      <c r="M714">
        <f>IFERROR(IF(AND(H714&lt;&gt;"",H714&gt;=129,H714&lt;=2176),INDEX(Fields!$K$2:$K$206,MATCH(H714-129,Fields!$D$2:$D$206,1)),""),"")</f>
        <v/>
      </c>
    </row>
    <row r="715">
      <c r="A715" t="n">
        <v>713</v>
      </c>
      <c r="B715" t="n">
        <v>0</v>
      </c>
      <c r="C715" t="inlineStr">
        <is>
          <t>No</t>
        </is>
      </c>
      <c r="D715">
        <f>IF(AND(B710=1,B711=1,B712=1,B713=1,B714=1),"Yes","")</f>
        <v/>
      </c>
      <c r="E715" t="inlineStr">
        <is>
          <t>No</t>
        </is>
      </c>
      <c r="F715" t="inlineStr">
        <is>
          <t>No</t>
        </is>
      </c>
      <c r="G715">
        <f>IF(F715="Yes",1-B715,B715)</f>
        <v/>
      </c>
      <c r="H715">
        <f>IF(E715="Yes","",COUNTIFS($E$2:E715,"No"))</f>
        <v/>
      </c>
      <c r="I715">
        <f>IF(H715="","",IF(H715&lt;=128,"address",IF(H715&lt;=600,"data1",IF(H715&lt;=1264,"zero-run1",IF(H715&lt;=1648,"data2",IF(H715&lt;=2176,"zero-run2",IF(H715&lt;=2192,"FCS","trailing")))))))</f>
        <v/>
      </c>
      <c r="J715">
        <f>IFERROR(IF(AND(H715&lt;&gt;"",H715&gt;=129,H715&lt;=2176),INDEX(Fields!$B$2:$B$206,MATCH(H715-129,Fields!$D$2:$D$206,1)),""),"")</f>
        <v/>
      </c>
      <c r="K715">
        <f>IFERROR(IF(AND(H715&lt;&gt;"",H715&gt;=129,H715&lt;=2176),INDEX(Fields!$C$2:$C$206,MATCH(H715-129,Fields!$D$2:$D$206,1)),""),"")</f>
        <v/>
      </c>
      <c r="L715">
        <f>IFERROR(IF(AND(H715&lt;&gt;"",H715&gt;=129,H715&lt;=2176),INDEX(Fields!$J$2:$J$206,MATCH(H715-129,Fields!$D$2:$D$206,1)),""),"")</f>
        <v/>
      </c>
      <c r="M715">
        <f>IFERROR(IF(AND(H715&lt;&gt;"",H715&gt;=129,H715&lt;=2176),INDEX(Fields!$K$2:$K$206,MATCH(H715-129,Fields!$D$2:$D$206,1)),""),"")</f>
        <v/>
      </c>
    </row>
    <row r="716">
      <c r="A716" t="n">
        <v>714</v>
      </c>
      <c r="B716" t="n">
        <v>0</v>
      </c>
      <c r="C716" t="inlineStr">
        <is>
          <t>No</t>
        </is>
      </c>
      <c r="D716">
        <f>IF(AND(B711=1,B712=1,B713=1,B714=1,B715=1),"Yes","")</f>
        <v/>
      </c>
      <c r="E716" t="inlineStr">
        <is>
          <t>No</t>
        </is>
      </c>
      <c r="F716" t="inlineStr">
        <is>
          <t>No</t>
        </is>
      </c>
      <c r="G716">
        <f>IF(F716="Yes",1-B716,B716)</f>
        <v/>
      </c>
      <c r="H716">
        <f>IF(E716="Yes","",COUNTIFS($E$2:E716,"No"))</f>
        <v/>
      </c>
      <c r="I716">
        <f>IF(H716="","",IF(H716&lt;=128,"address",IF(H716&lt;=600,"data1",IF(H716&lt;=1264,"zero-run1",IF(H716&lt;=1648,"data2",IF(H716&lt;=2176,"zero-run2",IF(H716&lt;=2192,"FCS","trailing")))))))</f>
        <v/>
      </c>
      <c r="J716">
        <f>IFERROR(IF(AND(H716&lt;&gt;"",H716&gt;=129,H716&lt;=2176),INDEX(Fields!$B$2:$B$206,MATCH(H716-129,Fields!$D$2:$D$206,1)),""),"")</f>
        <v/>
      </c>
      <c r="K716">
        <f>IFERROR(IF(AND(H716&lt;&gt;"",H716&gt;=129,H716&lt;=2176),INDEX(Fields!$C$2:$C$206,MATCH(H716-129,Fields!$D$2:$D$206,1)),""),"")</f>
        <v/>
      </c>
      <c r="L716">
        <f>IFERROR(IF(AND(H716&lt;&gt;"",H716&gt;=129,H716&lt;=2176),INDEX(Fields!$J$2:$J$206,MATCH(H716-129,Fields!$D$2:$D$206,1)),""),"")</f>
        <v/>
      </c>
      <c r="M716">
        <f>IFERROR(IF(AND(H716&lt;&gt;"",H716&gt;=129,H716&lt;=2176),INDEX(Fields!$K$2:$K$206,MATCH(H716-129,Fields!$D$2:$D$206,1)),""),"")</f>
        <v/>
      </c>
    </row>
    <row r="717">
      <c r="A717" t="n">
        <v>715</v>
      </c>
      <c r="B717" t="n">
        <v>0</v>
      </c>
      <c r="C717" t="inlineStr">
        <is>
          <t>No</t>
        </is>
      </c>
      <c r="D717">
        <f>IF(AND(B712=1,B713=1,B714=1,B715=1,B716=1),"Yes","")</f>
        <v/>
      </c>
      <c r="E717" t="inlineStr">
        <is>
          <t>No</t>
        </is>
      </c>
      <c r="F717" t="inlineStr">
        <is>
          <t>No</t>
        </is>
      </c>
      <c r="G717">
        <f>IF(F717="Yes",1-B717,B717)</f>
        <v/>
      </c>
      <c r="H717">
        <f>IF(E717="Yes","",COUNTIFS($E$2:E717,"No"))</f>
        <v/>
      </c>
      <c r="I717">
        <f>IF(H717="","",IF(H717&lt;=128,"address",IF(H717&lt;=600,"data1",IF(H717&lt;=1264,"zero-run1",IF(H717&lt;=1648,"data2",IF(H717&lt;=2176,"zero-run2",IF(H717&lt;=2192,"FCS","trailing")))))))</f>
        <v/>
      </c>
      <c r="J717">
        <f>IFERROR(IF(AND(H717&lt;&gt;"",H717&gt;=129,H717&lt;=2176),INDEX(Fields!$B$2:$B$206,MATCH(H717-129,Fields!$D$2:$D$206,1)),""),"")</f>
        <v/>
      </c>
      <c r="K717">
        <f>IFERROR(IF(AND(H717&lt;&gt;"",H717&gt;=129,H717&lt;=2176),INDEX(Fields!$C$2:$C$206,MATCH(H717-129,Fields!$D$2:$D$206,1)),""),"")</f>
        <v/>
      </c>
      <c r="L717">
        <f>IFERROR(IF(AND(H717&lt;&gt;"",H717&gt;=129,H717&lt;=2176),INDEX(Fields!$J$2:$J$206,MATCH(H717-129,Fields!$D$2:$D$206,1)),""),"")</f>
        <v/>
      </c>
      <c r="M717">
        <f>IFERROR(IF(AND(H717&lt;&gt;"",H717&gt;=129,H717&lt;=2176),INDEX(Fields!$K$2:$K$206,MATCH(H717-129,Fields!$D$2:$D$206,1)),""),"")</f>
        <v/>
      </c>
    </row>
    <row r="718">
      <c r="A718" t="n">
        <v>716</v>
      </c>
      <c r="B718" t="n">
        <v>0</v>
      </c>
      <c r="C718" t="inlineStr">
        <is>
          <t>No</t>
        </is>
      </c>
      <c r="D718">
        <f>IF(AND(B713=1,B714=1,B715=1,B716=1,B717=1),"Yes","")</f>
        <v/>
      </c>
      <c r="E718" t="inlineStr">
        <is>
          <t>No</t>
        </is>
      </c>
      <c r="F718" t="inlineStr">
        <is>
          <t>No</t>
        </is>
      </c>
      <c r="G718">
        <f>IF(F718="Yes",1-B718,B718)</f>
        <v/>
      </c>
      <c r="H718">
        <f>IF(E718="Yes","",COUNTIFS($E$2:E718,"No"))</f>
        <v/>
      </c>
      <c r="I718">
        <f>IF(H718="","",IF(H718&lt;=128,"address",IF(H718&lt;=600,"data1",IF(H718&lt;=1264,"zero-run1",IF(H718&lt;=1648,"data2",IF(H718&lt;=2176,"zero-run2",IF(H718&lt;=2192,"FCS","trailing")))))))</f>
        <v/>
      </c>
      <c r="J718">
        <f>IFERROR(IF(AND(H718&lt;&gt;"",H718&gt;=129,H718&lt;=2176),INDEX(Fields!$B$2:$B$206,MATCH(H718-129,Fields!$D$2:$D$206,1)),""),"")</f>
        <v/>
      </c>
      <c r="K718">
        <f>IFERROR(IF(AND(H718&lt;&gt;"",H718&gt;=129,H718&lt;=2176),INDEX(Fields!$C$2:$C$206,MATCH(H718-129,Fields!$D$2:$D$206,1)),""),"")</f>
        <v/>
      </c>
      <c r="L718">
        <f>IFERROR(IF(AND(H718&lt;&gt;"",H718&gt;=129,H718&lt;=2176),INDEX(Fields!$J$2:$J$206,MATCH(H718-129,Fields!$D$2:$D$206,1)),""),"")</f>
        <v/>
      </c>
      <c r="M718">
        <f>IFERROR(IF(AND(H718&lt;&gt;"",H718&gt;=129,H718&lt;=2176),INDEX(Fields!$K$2:$K$206,MATCH(H718-129,Fields!$D$2:$D$206,1)),""),"")</f>
        <v/>
      </c>
    </row>
    <row r="719">
      <c r="A719" t="n">
        <v>717</v>
      </c>
      <c r="B719" t="n">
        <v>0</v>
      </c>
      <c r="C719" t="inlineStr">
        <is>
          <t>No</t>
        </is>
      </c>
      <c r="D719">
        <f>IF(AND(B714=1,B715=1,B716=1,B717=1,B718=1),"Yes","")</f>
        <v/>
      </c>
      <c r="E719" t="inlineStr">
        <is>
          <t>No</t>
        </is>
      </c>
      <c r="F719" t="inlineStr">
        <is>
          <t>No</t>
        </is>
      </c>
      <c r="G719">
        <f>IF(F719="Yes",1-B719,B719)</f>
        <v/>
      </c>
      <c r="H719">
        <f>IF(E719="Yes","",COUNTIFS($E$2:E719,"No"))</f>
        <v/>
      </c>
      <c r="I719">
        <f>IF(H719="","",IF(H719&lt;=128,"address",IF(H719&lt;=600,"data1",IF(H719&lt;=1264,"zero-run1",IF(H719&lt;=1648,"data2",IF(H719&lt;=2176,"zero-run2",IF(H719&lt;=2192,"FCS","trailing")))))))</f>
        <v/>
      </c>
      <c r="J719">
        <f>IFERROR(IF(AND(H719&lt;&gt;"",H719&gt;=129,H719&lt;=2176),INDEX(Fields!$B$2:$B$206,MATCH(H719-129,Fields!$D$2:$D$206,1)),""),"")</f>
        <v/>
      </c>
      <c r="K719">
        <f>IFERROR(IF(AND(H719&lt;&gt;"",H719&gt;=129,H719&lt;=2176),INDEX(Fields!$C$2:$C$206,MATCH(H719-129,Fields!$D$2:$D$206,1)),""),"")</f>
        <v/>
      </c>
      <c r="L719">
        <f>IFERROR(IF(AND(H719&lt;&gt;"",H719&gt;=129,H719&lt;=2176),INDEX(Fields!$J$2:$J$206,MATCH(H719-129,Fields!$D$2:$D$206,1)),""),"")</f>
        <v/>
      </c>
      <c r="M719">
        <f>IFERROR(IF(AND(H719&lt;&gt;"",H719&gt;=129,H719&lt;=2176),INDEX(Fields!$K$2:$K$206,MATCH(H719-129,Fields!$D$2:$D$206,1)),""),"")</f>
        <v/>
      </c>
    </row>
    <row r="720">
      <c r="A720" t="n">
        <v>718</v>
      </c>
      <c r="B720" t="n">
        <v>0</v>
      </c>
      <c r="C720" t="inlineStr">
        <is>
          <t>No</t>
        </is>
      </c>
      <c r="D720">
        <f>IF(AND(B715=1,B716=1,B717=1,B718=1,B719=1),"Yes","")</f>
        <v/>
      </c>
      <c r="E720" t="inlineStr">
        <is>
          <t>No</t>
        </is>
      </c>
      <c r="F720" t="inlineStr">
        <is>
          <t>No</t>
        </is>
      </c>
      <c r="G720">
        <f>IF(F720="Yes",1-B720,B720)</f>
        <v/>
      </c>
      <c r="H720">
        <f>IF(E720="Yes","",COUNTIFS($E$2:E720,"No"))</f>
        <v/>
      </c>
      <c r="I720">
        <f>IF(H720="","",IF(H720&lt;=128,"address",IF(H720&lt;=600,"data1",IF(H720&lt;=1264,"zero-run1",IF(H720&lt;=1648,"data2",IF(H720&lt;=2176,"zero-run2",IF(H720&lt;=2192,"FCS","trailing")))))))</f>
        <v/>
      </c>
      <c r="J720">
        <f>IFERROR(IF(AND(H720&lt;&gt;"",H720&gt;=129,H720&lt;=2176),INDEX(Fields!$B$2:$B$206,MATCH(H720-129,Fields!$D$2:$D$206,1)),""),"")</f>
        <v/>
      </c>
      <c r="K720">
        <f>IFERROR(IF(AND(H720&lt;&gt;"",H720&gt;=129,H720&lt;=2176),INDEX(Fields!$C$2:$C$206,MATCH(H720-129,Fields!$D$2:$D$206,1)),""),"")</f>
        <v/>
      </c>
      <c r="L720">
        <f>IFERROR(IF(AND(H720&lt;&gt;"",H720&gt;=129,H720&lt;=2176),INDEX(Fields!$J$2:$J$206,MATCH(H720-129,Fields!$D$2:$D$206,1)),""),"")</f>
        <v/>
      </c>
      <c r="M720">
        <f>IFERROR(IF(AND(H720&lt;&gt;"",H720&gt;=129,H720&lt;=2176),INDEX(Fields!$K$2:$K$206,MATCH(H720-129,Fields!$D$2:$D$206,1)),""),"")</f>
        <v/>
      </c>
    </row>
    <row r="721">
      <c r="A721" t="n">
        <v>719</v>
      </c>
      <c r="B721" t="n">
        <v>0</v>
      </c>
      <c r="C721" t="inlineStr">
        <is>
          <t>No</t>
        </is>
      </c>
      <c r="D721">
        <f>IF(AND(B716=1,B717=1,B718=1,B719=1,B720=1),"Yes","")</f>
        <v/>
      </c>
      <c r="E721" t="inlineStr">
        <is>
          <t>No</t>
        </is>
      </c>
      <c r="F721" t="inlineStr">
        <is>
          <t>No</t>
        </is>
      </c>
      <c r="G721">
        <f>IF(F721="Yes",1-B721,B721)</f>
        <v/>
      </c>
      <c r="H721">
        <f>IF(E721="Yes","",COUNTIFS($E$2:E721,"No"))</f>
        <v/>
      </c>
      <c r="I721">
        <f>IF(H721="","",IF(H721&lt;=128,"address",IF(H721&lt;=600,"data1",IF(H721&lt;=1264,"zero-run1",IF(H721&lt;=1648,"data2",IF(H721&lt;=2176,"zero-run2",IF(H721&lt;=2192,"FCS","trailing")))))))</f>
        <v/>
      </c>
      <c r="J721">
        <f>IFERROR(IF(AND(H721&lt;&gt;"",H721&gt;=129,H721&lt;=2176),INDEX(Fields!$B$2:$B$206,MATCH(H721-129,Fields!$D$2:$D$206,1)),""),"")</f>
        <v/>
      </c>
      <c r="K721">
        <f>IFERROR(IF(AND(H721&lt;&gt;"",H721&gt;=129,H721&lt;=2176),INDEX(Fields!$C$2:$C$206,MATCH(H721-129,Fields!$D$2:$D$206,1)),""),"")</f>
        <v/>
      </c>
      <c r="L721">
        <f>IFERROR(IF(AND(H721&lt;&gt;"",H721&gt;=129,H721&lt;=2176),INDEX(Fields!$J$2:$J$206,MATCH(H721-129,Fields!$D$2:$D$206,1)),""),"")</f>
        <v/>
      </c>
      <c r="M721">
        <f>IFERROR(IF(AND(H721&lt;&gt;"",H721&gt;=129,H721&lt;=2176),INDEX(Fields!$K$2:$K$206,MATCH(H721-129,Fields!$D$2:$D$206,1)),""),"")</f>
        <v/>
      </c>
    </row>
    <row r="722">
      <c r="A722" t="n">
        <v>720</v>
      </c>
      <c r="B722" t="n">
        <v>0</v>
      </c>
      <c r="C722" t="inlineStr">
        <is>
          <t>No</t>
        </is>
      </c>
      <c r="D722">
        <f>IF(AND(B717=1,B718=1,B719=1,B720=1,B721=1),"Yes","")</f>
        <v/>
      </c>
      <c r="E722" t="inlineStr">
        <is>
          <t>No</t>
        </is>
      </c>
      <c r="F722" t="inlineStr">
        <is>
          <t>No</t>
        </is>
      </c>
      <c r="G722">
        <f>IF(F722="Yes",1-B722,B722)</f>
        <v/>
      </c>
      <c r="H722">
        <f>IF(E722="Yes","",COUNTIFS($E$2:E722,"No"))</f>
        <v/>
      </c>
      <c r="I722">
        <f>IF(H722="","",IF(H722&lt;=128,"address",IF(H722&lt;=600,"data1",IF(H722&lt;=1264,"zero-run1",IF(H722&lt;=1648,"data2",IF(H722&lt;=2176,"zero-run2",IF(H722&lt;=2192,"FCS","trailing")))))))</f>
        <v/>
      </c>
      <c r="J722">
        <f>IFERROR(IF(AND(H722&lt;&gt;"",H722&gt;=129,H722&lt;=2176),INDEX(Fields!$B$2:$B$206,MATCH(H722-129,Fields!$D$2:$D$206,1)),""),"")</f>
        <v/>
      </c>
      <c r="K722">
        <f>IFERROR(IF(AND(H722&lt;&gt;"",H722&gt;=129,H722&lt;=2176),INDEX(Fields!$C$2:$C$206,MATCH(H722-129,Fields!$D$2:$D$206,1)),""),"")</f>
        <v/>
      </c>
      <c r="L722">
        <f>IFERROR(IF(AND(H722&lt;&gt;"",H722&gt;=129,H722&lt;=2176),INDEX(Fields!$J$2:$J$206,MATCH(H722-129,Fields!$D$2:$D$206,1)),""),"")</f>
        <v/>
      </c>
      <c r="M722">
        <f>IFERROR(IF(AND(H722&lt;&gt;"",H722&gt;=129,H722&lt;=2176),INDEX(Fields!$K$2:$K$206,MATCH(H722-129,Fields!$D$2:$D$206,1)),""),"")</f>
        <v/>
      </c>
    </row>
    <row r="723">
      <c r="A723" t="n">
        <v>721</v>
      </c>
      <c r="B723" t="n">
        <v>0</v>
      </c>
      <c r="C723" t="inlineStr">
        <is>
          <t>No</t>
        </is>
      </c>
      <c r="D723">
        <f>IF(AND(B718=1,B719=1,B720=1,B721=1,B722=1),"Yes","")</f>
        <v/>
      </c>
      <c r="E723" t="inlineStr">
        <is>
          <t>No</t>
        </is>
      </c>
      <c r="F723" t="inlineStr">
        <is>
          <t>No</t>
        </is>
      </c>
      <c r="G723">
        <f>IF(F723="Yes",1-B723,B723)</f>
        <v/>
      </c>
      <c r="H723">
        <f>IF(E723="Yes","",COUNTIFS($E$2:E723,"No"))</f>
        <v/>
      </c>
      <c r="I723">
        <f>IF(H723="","",IF(H723&lt;=128,"address",IF(H723&lt;=600,"data1",IF(H723&lt;=1264,"zero-run1",IF(H723&lt;=1648,"data2",IF(H723&lt;=2176,"zero-run2",IF(H723&lt;=2192,"FCS","trailing")))))))</f>
        <v/>
      </c>
      <c r="J723">
        <f>IFERROR(IF(AND(H723&lt;&gt;"",H723&gt;=129,H723&lt;=2176),INDEX(Fields!$B$2:$B$206,MATCH(H723-129,Fields!$D$2:$D$206,1)),""),"")</f>
        <v/>
      </c>
      <c r="K723">
        <f>IFERROR(IF(AND(H723&lt;&gt;"",H723&gt;=129,H723&lt;=2176),INDEX(Fields!$C$2:$C$206,MATCH(H723-129,Fields!$D$2:$D$206,1)),""),"")</f>
        <v/>
      </c>
      <c r="L723">
        <f>IFERROR(IF(AND(H723&lt;&gt;"",H723&gt;=129,H723&lt;=2176),INDEX(Fields!$J$2:$J$206,MATCH(H723-129,Fields!$D$2:$D$206,1)),""),"")</f>
        <v/>
      </c>
      <c r="M723">
        <f>IFERROR(IF(AND(H723&lt;&gt;"",H723&gt;=129,H723&lt;=2176),INDEX(Fields!$K$2:$K$206,MATCH(H723-129,Fields!$D$2:$D$206,1)),""),"")</f>
        <v/>
      </c>
    </row>
    <row r="724">
      <c r="A724" t="n">
        <v>722</v>
      </c>
      <c r="B724" t="n">
        <v>0</v>
      </c>
      <c r="C724" t="inlineStr">
        <is>
          <t>No</t>
        </is>
      </c>
      <c r="D724">
        <f>IF(AND(B719=1,B720=1,B721=1,B722=1,B723=1),"Yes","")</f>
        <v/>
      </c>
      <c r="E724" t="inlineStr">
        <is>
          <t>No</t>
        </is>
      </c>
      <c r="F724" t="inlineStr">
        <is>
          <t>No</t>
        </is>
      </c>
      <c r="G724">
        <f>IF(F724="Yes",1-B724,B724)</f>
        <v/>
      </c>
      <c r="H724">
        <f>IF(E724="Yes","",COUNTIFS($E$2:E724,"No"))</f>
        <v/>
      </c>
      <c r="I724">
        <f>IF(H724="","",IF(H724&lt;=128,"address",IF(H724&lt;=600,"data1",IF(H724&lt;=1264,"zero-run1",IF(H724&lt;=1648,"data2",IF(H724&lt;=2176,"zero-run2",IF(H724&lt;=2192,"FCS","trailing")))))))</f>
        <v/>
      </c>
      <c r="J724">
        <f>IFERROR(IF(AND(H724&lt;&gt;"",H724&gt;=129,H724&lt;=2176),INDEX(Fields!$B$2:$B$206,MATCH(H724-129,Fields!$D$2:$D$206,1)),""),"")</f>
        <v/>
      </c>
      <c r="K724">
        <f>IFERROR(IF(AND(H724&lt;&gt;"",H724&gt;=129,H724&lt;=2176),INDEX(Fields!$C$2:$C$206,MATCH(H724-129,Fields!$D$2:$D$206,1)),""),"")</f>
        <v/>
      </c>
      <c r="L724">
        <f>IFERROR(IF(AND(H724&lt;&gt;"",H724&gt;=129,H724&lt;=2176),INDEX(Fields!$J$2:$J$206,MATCH(H724-129,Fields!$D$2:$D$206,1)),""),"")</f>
        <v/>
      </c>
      <c r="M724">
        <f>IFERROR(IF(AND(H724&lt;&gt;"",H724&gt;=129,H724&lt;=2176),INDEX(Fields!$K$2:$K$206,MATCH(H724-129,Fields!$D$2:$D$206,1)),""),"")</f>
        <v/>
      </c>
    </row>
    <row r="725">
      <c r="A725" t="n">
        <v>723</v>
      </c>
      <c r="B725" t="n">
        <v>0</v>
      </c>
      <c r="C725" t="inlineStr">
        <is>
          <t>No</t>
        </is>
      </c>
      <c r="D725">
        <f>IF(AND(B720=1,B721=1,B722=1,B723=1,B724=1),"Yes","")</f>
        <v/>
      </c>
      <c r="E725" t="inlineStr">
        <is>
          <t>No</t>
        </is>
      </c>
      <c r="F725" t="inlineStr">
        <is>
          <t>No</t>
        </is>
      </c>
      <c r="G725">
        <f>IF(F725="Yes",1-B725,B725)</f>
        <v/>
      </c>
      <c r="H725">
        <f>IF(E725="Yes","",COUNTIFS($E$2:E725,"No"))</f>
        <v/>
      </c>
      <c r="I725">
        <f>IF(H725="","",IF(H725&lt;=128,"address",IF(H725&lt;=600,"data1",IF(H725&lt;=1264,"zero-run1",IF(H725&lt;=1648,"data2",IF(H725&lt;=2176,"zero-run2",IF(H725&lt;=2192,"FCS","trailing")))))))</f>
        <v/>
      </c>
      <c r="J725">
        <f>IFERROR(IF(AND(H725&lt;&gt;"",H725&gt;=129,H725&lt;=2176),INDEX(Fields!$B$2:$B$206,MATCH(H725-129,Fields!$D$2:$D$206,1)),""),"")</f>
        <v/>
      </c>
      <c r="K725">
        <f>IFERROR(IF(AND(H725&lt;&gt;"",H725&gt;=129,H725&lt;=2176),INDEX(Fields!$C$2:$C$206,MATCH(H725-129,Fields!$D$2:$D$206,1)),""),"")</f>
        <v/>
      </c>
      <c r="L725">
        <f>IFERROR(IF(AND(H725&lt;&gt;"",H725&gt;=129,H725&lt;=2176),INDEX(Fields!$J$2:$J$206,MATCH(H725-129,Fields!$D$2:$D$206,1)),""),"")</f>
        <v/>
      </c>
      <c r="M725">
        <f>IFERROR(IF(AND(H725&lt;&gt;"",H725&gt;=129,H725&lt;=2176),INDEX(Fields!$K$2:$K$206,MATCH(H725-129,Fields!$D$2:$D$206,1)),""),"")</f>
        <v/>
      </c>
    </row>
    <row r="726">
      <c r="A726" t="n">
        <v>724</v>
      </c>
      <c r="B726" t="n">
        <v>0</v>
      </c>
      <c r="C726" t="inlineStr">
        <is>
          <t>No</t>
        </is>
      </c>
      <c r="D726">
        <f>IF(AND(B721=1,B722=1,B723=1,B724=1,B725=1),"Yes","")</f>
        <v/>
      </c>
      <c r="E726" t="inlineStr">
        <is>
          <t>No</t>
        </is>
      </c>
      <c r="F726" t="inlineStr">
        <is>
          <t>No</t>
        </is>
      </c>
      <c r="G726">
        <f>IF(F726="Yes",1-B726,B726)</f>
        <v/>
      </c>
      <c r="H726">
        <f>IF(E726="Yes","",COUNTIFS($E$2:E726,"No"))</f>
        <v/>
      </c>
      <c r="I726">
        <f>IF(H726="","",IF(H726&lt;=128,"address",IF(H726&lt;=600,"data1",IF(H726&lt;=1264,"zero-run1",IF(H726&lt;=1648,"data2",IF(H726&lt;=2176,"zero-run2",IF(H726&lt;=2192,"FCS","trailing")))))))</f>
        <v/>
      </c>
      <c r="J726">
        <f>IFERROR(IF(AND(H726&lt;&gt;"",H726&gt;=129,H726&lt;=2176),INDEX(Fields!$B$2:$B$206,MATCH(H726-129,Fields!$D$2:$D$206,1)),""),"")</f>
        <v/>
      </c>
      <c r="K726">
        <f>IFERROR(IF(AND(H726&lt;&gt;"",H726&gt;=129,H726&lt;=2176),INDEX(Fields!$C$2:$C$206,MATCH(H726-129,Fields!$D$2:$D$206,1)),""),"")</f>
        <v/>
      </c>
      <c r="L726">
        <f>IFERROR(IF(AND(H726&lt;&gt;"",H726&gt;=129,H726&lt;=2176),INDEX(Fields!$J$2:$J$206,MATCH(H726-129,Fields!$D$2:$D$206,1)),""),"")</f>
        <v/>
      </c>
      <c r="M726">
        <f>IFERROR(IF(AND(H726&lt;&gt;"",H726&gt;=129,H726&lt;=2176),INDEX(Fields!$K$2:$K$206,MATCH(H726-129,Fields!$D$2:$D$206,1)),""),"")</f>
        <v/>
      </c>
    </row>
    <row r="727">
      <c r="A727" t="n">
        <v>725</v>
      </c>
      <c r="B727" t="n">
        <v>0</v>
      </c>
      <c r="C727" t="inlineStr">
        <is>
          <t>No</t>
        </is>
      </c>
      <c r="D727">
        <f>IF(AND(B722=1,B723=1,B724=1,B725=1,B726=1),"Yes","")</f>
        <v/>
      </c>
      <c r="E727" t="inlineStr">
        <is>
          <t>No</t>
        </is>
      </c>
      <c r="F727" t="inlineStr">
        <is>
          <t>No</t>
        </is>
      </c>
      <c r="G727">
        <f>IF(F727="Yes",1-B727,B727)</f>
        <v/>
      </c>
      <c r="H727">
        <f>IF(E727="Yes","",COUNTIFS($E$2:E727,"No"))</f>
        <v/>
      </c>
      <c r="I727">
        <f>IF(H727="","",IF(H727&lt;=128,"address",IF(H727&lt;=600,"data1",IF(H727&lt;=1264,"zero-run1",IF(H727&lt;=1648,"data2",IF(H727&lt;=2176,"zero-run2",IF(H727&lt;=2192,"FCS","trailing")))))))</f>
        <v/>
      </c>
      <c r="J727">
        <f>IFERROR(IF(AND(H727&lt;&gt;"",H727&gt;=129,H727&lt;=2176),INDEX(Fields!$B$2:$B$206,MATCH(H727-129,Fields!$D$2:$D$206,1)),""),"")</f>
        <v/>
      </c>
      <c r="K727">
        <f>IFERROR(IF(AND(H727&lt;&gt;"",H727&gt;=129,H727&lt;=2176),INDEX(Fields!$C$2:$C$206,MATCH(H727-129,Fields!$D$2:$D$206,1)),""),"")</f>
        <v/>
      </c>
      <c r="L727">
        <f>IFERROR(IF(AND(H727&lt;&gt;"",H727&gt;=129,H727&lt;=2176),INDEX(Fields!$J$2:$J$206,MATCH(H727-129,Fields!$D$2:$D$206,1)),""),"")</f>
        <v/>
      </c>
      <c r="M727">
        <f>IFERROR(IF(AND(H727&lt;&gt;"",H727&gt;=129,H727&lt;=2176),INDEX(Fields!$K$2:$K$206,MATCH(H727-129,Fields!$D$2:$D$206,1)),""),"")</f>
        <v/>
      </c>
    </row>
    <row r="728">
      <c r="A728" t="n">
        <v>726</v>
      </c>
      <c r="B728" t="n">
        <v>0</v>
      </c>
      <c r="C728" t="inlineStr">
        <is>
          <t>No</t>
        </is>
      </c>
      <c r="D728">
        <f>IF(AND(B723=1,B724=1,B725=1,B726=1,B727=1),"Yes","")</f>
        <v/>
      </c>
      <c r="E728" t="inlineStr">
        <is>
          <t>No</t>
        </is>
      </c>
      <c r="F728" t="inlineStr">
        <is>
          <t>No</t>
        </is>
      </c>
      <c r="G728">
        <f>IF(F728="Yes",1-B728,B728)</f>
        <v/>
      </c>
      <c r="H728">
        <f>IF(E728="Yes","",COUNTIFS($E$2:E728,"No"))</f>
        <v/>
      </c>
      <c r="I728">
        <f>IF(H728="","",IF(H728&lt;=128,"address",IF(H728&lt;=600,"data1",IF(H728&lt;=1264,"zero-run1",IF(H728&lt;=1648,"data2",IF(H728&lt;=2176,"zero-run2",IF(H728&lt;=2192,"FCS","trailing")))))))</f>
        <v/>
      </c>
      <c r="J728">
        <f>IFERROR(IF(AND(H728&lt;&gt;"",H728&gt;=129,H728&lt;=2176),INDEX(Fields!$B$2:$B$206,MATCH(H728-129,Fields!$D$2:$D$206,1)),""),"")</f>
        <v/>
      </c>
      <c r="K728">
        <f>IFERROR(IF(AND(H728&lt;&gt;"",H728&gt;=129,H728&lt;=2176),INDEX(Fields!$C$2:$C$206,MATCH(H728-129,Fields!$D$2:$D$206,1)),""),"")</f>
        <v/>
      </c>
      <c r="L728">
        <f>IFERROR(IF(AND(H728&lt;&gt;"",H728&gt;=129,H728&lt;=2176),INDEX(Fields!$J$2:$J$206,MATCH(H728-129,Fields!$D$2:$D$206,1)),""),"")</f>
        <v/>
      </c>
      <c r="M728">
        <f>IFERROR(IF(AND(H728&lt;&gt;"",H728&gt;=129,H728&lt;=2176),INDEX(Fields!$K$2:$K$206,MATCH(H728-129,Fields!$D$2:$D$206,1)),""),"")</f>
        <v/>
      </c>
    </row>
    <row r="729">
      <c r="A729" t="n">
        <v>727</v>
      </c>
      <c r="B729" t="n">
        <v>0</v>
      </c>
      <c r="C729" t="inlineStr">
        <is>
          <t>No</t>
        </is>
      </c>
      <c r="D729">
        <f>IF(AND(B724=1,B725=1,B726=1,B727=1,B728=1),"Yes","")</f>
        <v/>
      </c>
      <c r="E729" t="inlineStr">
        <is>
          <t>No</t>
        </is>
      </c>
      <c r="F729" t="inlineStr">
        <is>
          <t>No</t>
        </is>
      </c>
      <c r="G729">
        <f>IF(F729="Yes",1-B729,B729)</f>
        <v/>
      </c>
      <c r="H729">
        <f>IF(E729="Yes","",COUNTIFS($E$2:E729,"No"))</f>
        <v/>
      </c>
      <c r="I729">
        <f>IF(H729="","",IF(H729&lt;=128,"address",IF(H729&lt;=600,"data1",IF(H729&lt;=1264,"zero-run1",IF(H729&lt;=1648,"data2",IF(H729&lt;=2176,"zero-run2",IF(H729&lt;=2192,"FCS","trailing")))))))</f>
        <v/>
      </c>
      <c r="J729">
        <f>IFERROR(IF(AND(H729&lt;&gt;"",H729&gt;=129,H729&lt;=2176),INDEX(Fields!$B$2:$B$206,MATCH(H729-129,Fields!$D$2:$D$206,1)),""),"")</f>
        <v/>
      </c>
      <c r="K729">
        <f>IFERROR(IF(AND(H729&lt;&gt;"",H729&gt;=129,H729&lt;=2176),INDEX(Fields!$C$2:$C$206,MATCH(H729-129,Fields!$D$2:$D$206,1)),""),"")</f>
        <v/>
      </c>
      <c r="L729">
        <f>IFERROR(IF(AND(H729&lt;&gt;"",H729&gt;=129,H729&lt;=2176),INDEX(Fields!$J$2:$J$206,MATCH(H729-129,Fields!$D$2:$D$206,1)),""),"")</f>
        <v/>
      </c>
      <c r="M729">
        <f>IFERROR(IF(AND(H729&lt;&gt;"",H729&gt;=129,H729&lt;=2176),INDEX(Fields!$K$2:$K$206,MATCH(H729-129,Fields!$D$2:$D$206,1)),""),"")</f>
        <v/>
      </c>
    </row>
    <row r="730">
      <c r="A730" t="n">
        <v>728</v>
      </c>
      <c r="B730" t="n">
        <v>0</v>
      </c>
      <c r="C730" t="inlineStr">
        <is>
          <t>No</t>
        </is>
      </c>
      <c r="D730">
        <f>IF(AND(B725=1,B726=1,B727=1,B728=1,B729=1),"Yes","")</f>
        <v/>
      </c>
      <c r="E730" t="inlineStr">
        <is>
          <t>No</t>
        </is>
      </c>
      <c r="F730" t="inlineStr">
        <is>
          <t>No</t>
        </is>
      </c>
      <c r="G730">
        <f>IF(F730="Yes",1-B730,B730)</f>
        <v/>
      </c>
      <c r="H730">
        <f>IF(E730="Yes","",COUNTIFS($E$2:E730,"No"))</f>
        <v/>
      </c>
      <c r="I730">
        <f>IF(H730="","",IF(H730&lt;=128,"address",IF(H730&lt;=600,"data1",IF(H730&lt;=1264,"zero-run1",IF(H730&lt;=1648,"data2",IF(H730&lt;=2176,"zero-run2",IF(H730&lt;=2192,"FCS","trailing")))))))</f>
        <v/>
      </c>
      <c r="J730">
        <f>IFERROR(IF(AND(H730&lt;&gt;"",H730&gt;=129,H730&lt;=2176),INDEX(Fields!$B$2:$B$206,MATCH(H730-129,Fields!$D$2:$D$206,1)),""),"")</f>
        <v/>
      </c>
      <c r="K730">
        <f>IFERROR(IF(AND(H730&lt;&gt;"",H730&gt;=129,H730&lt;=2176),INDEX(Fields!$C$2:$C$206,MATCH(H730-129,Fields!$D$2:$D$206,1)),""),"")</f>
        <v/>
      </c>
      <c r="L730">
        <f>IFERROR(IF(AND(H730&lt;&gt;"",H730&gt;=129,H730&lt;=2176),INDEX(Fields!$J$2:$J$206,MATCH(H730-129,Fields!$D$2:$D$206,1)),""),"")</f>
        <v/>
      </c>
      <c r="M730">
        <f>IFERROR(IF(AND(H730&lt;&gt;"",H730&gt;=129,H730&lt;=2176),INDEX(Fields!$K$2:$K$206,MATCH(H730-129,Fields!$D$2:$D$206,1)),""),"")</f>
        <v/>
      </c>
    </row>
    <row r="731">
      <c r="A731" t="n">
        <v>729</v>
      </c>
      <c r="B731" t="n">
        <v>0</v>
      </c>
      <c r="C731" t="inlineStr">
        <is>
          <t>No</t>
        </is>
      </c>
      <c r="D731">
        <f>IF(AND(B726=1,B727=1,B728=1,B729=1,B730=1),"Yes","")</f>
        <v/>
      </c>
      <c r="E731" t="inlineStr">
        <is>
          <t>No</t>
        </is>
      </c>
      <c r="F731" t="inlineStr">
        <is>
          <t>No</t>
        </is>
      </c>
      <c r="G731">
        <f>IF(F731="Yes",1-B731,B731)</f>
        <v/>
      </c>
      <c r="H731">
        <f>IF(E731="Yes","",COUNTIFS($E$2:E731,"No"))</f>
        <v/>
      </c>
      <c r="I731">
        <f>IF(H731="","",IF(H731&lt;=128,"address",IF(H731&lt;=600,"data1",IF(H731&lt;=1264,"zero-run1",IF(H731&lt;=1648,"data2",IF(H731&lt;=2176,"zero-run2",IF(H731&lt;=2192,"FCS","trailing")))))))</f>
        <v/>
      </c>
      <c r="J731">
        <f>IFERROR(IF(AND(H731&lt;&gt;"",H731&gt;=129,H731&lt;=2176),INDEX(Fields!$B$2:$B$206,MATCH(H731-129,Fields!$D$2:$D$206,1)),""),"")</f>
        <v/>
      </c>
      <c r="K731">
        <f>IFERROR(IF(AND(H731&lt;&gt;"",H731&gt;=129,H731&lt;=2176),INDEX(Fields!$C$2:$C$206,MATCH(H731-129,Fields!$D$2:$D$206,1)),""),"")</f>
        <v/>
      </c>
      <c r="L731">
        <f>IFERROR(IF(AND(H731&lt;&gt;"",H731&gt;=129,H731&lt;=2176),INDEX(Fields!$J$2:$J$206,MATCH(H731-129,Fields!$D$2:$D$206,1)),""),"")</f>
        <v/>
      </c>
      <c r="M731">
        <f>IFERROR(IF(AND(H731&lt;&gt;"",H731&gt;=129,H731&lt;=2176),INDEX(Fields!$K$2:$K$206,MATCH(H731-129,Fields!$D$2:$D$206,1)),""),"")</f>
        <v/>
      </c>
    </row>
    <row r="732">
      <c r="A732" t="n">
        <v>730</v>
      </c>
      <c r="B732" t="n">
        <v>0</v>
      </c>
      <c r="C732" t="inlineStr">
        <is>
          <t>No</t>
        </is>
      </c>
      <c r="D732">
        <f>IF(AND(B727=1,B728=1,B729=1,B730=1,B731=1),"Yes","")</f>
        <v/>
      </c>
      <c r="E732" t="inlineStr">
        <is>
          <t>No</t>
        </is>
      </c>
      <c r="F732" t="inlineStr">
        <is>
          <t>No</t>
        </is>
      </c>
      <c r="G732">
        <f>IF(F732="Yes",1-B732,B732)</f>
        <v/>
      </c>
      <c r="H732">
        <f>IF(E732="Yes","",COUNTIFS($E$2:E732,"No"))</f>
        <v/>
      </c>
      <c r="I732">
        <f>IF(H732="","",IF(H732&lt;=128,"address",IF(H732&lt;=600,"data1",IF(H732&lt;=1264,"zero-run1",IF(H732&lt;=1648,"data2",IF(H732&lt;=2176,"zero-run2",IF(H732&lt;=2192,"FCS","trailing")))))))</f>
        <v/>
      </c>
      <c r="J732">
        <f>IFERROR(IF(AND(H732&lt;&gt;"",H732&gt;=129,H732&lt;=2176),INDEX(Fields!$B$2:$B$206,MATCH(H732-129,Fields!$D$2:$D$206,1)),""),"")</f>
        <v/>
      </c>
      <c r="K732">
        <f>IFERROR(IF(AND(H732&lt;&gt;"",H732&gt;=129,H732&lt;=2176),INDEX(Fields!$C$2:$C$206,MATCH(H732-129,Fields!$D$2:$D$206,1)),""),"")</f>
        <v/>
      </c>
      <c r="L732">
        <f>IFERROR(IF(AND(H732&lt;&gt;"",H732&gt;=129,H732&lt;=2176),INDEX(Fields!$J$2:$J$206,MATCH(H732-129,Fields!$D$2:$D$206,1)),""),"")</f>
        <v/>
      </c>
      <c r="M732">
        <f>IFERROR(IF(AND(H732&lt;&gt;"",H732&gt;=129,H732&lt;=2176),INDEX(Fields!$K$2:$K$206,MATCH(H732-129,Fields!$D$2:$D$206,1)),""),"")</f>
        <v/>
      </c>
    </row>
    <row r="733">
      <c r="A733" t="n">
        <v>731</v>
      </c>
      <c r="B733" t="n">
        <v>0</v>
      </c>
      <c r="C733" t="inlineStr">
        <is>
          <t>No</t>
        </is>
      </c>
      <c r="D733">
        <f>IF(AND(B728=1,B729=1,B730=1,B731=1,B732=1),"Yes","")</f>
        <v/>
      </c>
      <c r="E733" t="inlineStr">
        <is>
          <t>No</t>
        </is>
      </c>
      <c r="F733" t="inlineStr">
        <is>
          <t>No</t>
        </is>
      </c>
      <c r="G733">
        <f>IF(F733="Yes",1-B733,B733)</f>
        <v/>
      </c>
      <c r="H733">
        <f>IF(E733="Yes","",COUNTIFS($E$2:E733,"No"))</f>
        <v/>
      </c>
      <c r="I733">
        <f>IF(H733="","",IF(H733&lt;=128,"address",IF(H733&lt;=600,"data1",IF(H733&lt;=1264,"zero-run1",IF(H733&lt;=1648,"data2",IF(H733&lt;=2176,"zero-run2",IF(H733&lt;=2192,"FCS","trailing")))))))</f>
        <v/>
      </c>
      <c r="J733">
        <f>IFERROR(IF(AND(H733&lt;&gt;"",H733&gt;=129,H733&lt;=2176),INDEX(Fields!$B$2:$B$206,MATCH(H733-129,Fields!$D$2:$D$206,1)),""),"")</f>
        <v/>
      </c>
      <c r="K733">
        <f>IFERROR(IF(AND(H733&lt;&gt;"",H733&gt;=129,H733&lt;=2176),INDEX(Fields!$C$2:$C$206,MATCH(H733-129,Fields!$D$2:$D$206,1)),""),"")</f>
        <v/>
      </c>
      <c r="L733">
        <f>IFERROR(IF(AND(H733&lt;&gt;"",H733&gt;=129,H733&lt;=2176),INDEX(Fields!$J$2:$J$206,MATCH(H733-129,Fields!$D$2:$D$206,1)),""),"")</f>
        <v/>
      </c>
      <c r="M733">
        <f>IFERROR(IF(AND(H733&lt;&gt;"",H733&gt;=129,H733&lt;=2176),INDEX(Fields!$K$2:$K$206,MATCH(H733-129,Fields!$D$2:$D$206,1)),""),"")</f>
        <v/>
      </c>
    </row>
    <row r="734">
      <c r="A734" t="n">
        <v>732</v>
      </c>
      <c r="B734" t="n">
        <v>0</v>
      </c>
      <c r="C734" t="inlineStr">
        <is>
          <t>No</t>
        </is>
      </c>
      <c r="D734">
        <f>IF(AND(B729=1,B730=1,B731=1,B732=1,B733=1),"Yes","")</f>
        <v/>
      </c>
      <c r="E734" t="inlineStr">
        <is>
          <t>No</t>
        </is>
      </c>
      <c r="F734" t="inlineStr">
        <is>
          <t>No</t>
        </is>
      </c>
      <c r="G734">
        <f>IF(F734="Yes",1-B734,B734)</f>
        <v/>
      </c>
      <c r="H734">
        <f>IF(E734="Yes","",COUNTIFS($E$2:E734,"No"))</f>
        <v/>
      </c>
      <c r="I734">
        <f>IF(H734="","",IF(H734&lt;=128,"address",IF(H734&lt;=600,"data1",IF(H734&lt;=1264,"zero-run1",IF(H734&lt;=1648,"data2",IF(H734&lt;=2176,"zero-run2",IF(H734&lt;=2192,"FCS","trailing")))))))</f>
        <v/>
      </c>
      <c r="J734">
        <f>IFERROR(IF(AND(H734&lt;&gt;"",H734&gt;=129,H734&lt;=2176),INDEX(Fields!$B$2:$B$206,MATCH(H734-129,Fields!$D$2:$D$206,1)),""),"")</f>
        <v/>
      </c>
      <c r="K734">
        <f>IFERROR(IF(AND(H734&lt;&gt;"",H734&gt;=129,H734&lt;=2176),INDEX(Fields!$C$2:$C$206,MATCH(H734-129,Fields!$D$2:$D$206,1)),""),"")</f>
        <v/>
      </c>
      <c r="L734">
        <f>IFERROR(IF(AND(H734&lt;&gt;"",H734&gt;=129,H734&lt;=2176),INDEX(Fields!$J$2:$J$206,MATCH(H734-129,Fields!$D$2:$D$206,1)),""),"")</f>
        <v/>
      </c>
      <c r="M734">
        <f>IFERROR(IF(AND(H734&lt;&gt;"",H734&gt;=129,H734&lt;=2176),INDEX(Fields!$K$2:$K$206,MATCH(H734-129,Fields!$D$2:$D$206,1)),""),"")</f>
        <v/>
      </c>
    </row>
    <row r="735">
      <c r="A735" t="n">
        <v>733</v>
      </c>
      <c r="B735" t="n">
        <v>0</v>
      </c>
      <c r="C735" t="inlineStr">
        <is>
          <t>No</t>
        </is>
      </c>
      <c r="D735">
        <f>IF(AND(B730=1,B731=1,B732=1,B733=1,B734=1),"Yes","")</f>
        <v/>
      </c>
      <c r="E735" t="inlineStr">
        <is>
          <t>No</t>
        </is>
      </c>
      <c r="F735" t="inlineStr">
        <is>
          <t>No</t>
        </is>
      </c>
      <c r="G735">
        <f>IF(F735="Yes",1-B735,B735)</f>
        <v/>
      </c>
      <c r="H735">
        <f>IF(E735="Yes","",COUNTIFS($E$2:E735,"No"))</f>
        <v/>
      </c>
      <c r="I735">
        <f>IF(H735="","",IF(H735&lt;=128,"address",IF(H735&lt;=600,"data1",IF(H735&lt;=1264,"zero-run1",IF(H735&lt;=1648,"data2",IF(H735&lt;=2176,"zero-run2",IF(H735&lt;=2192,"FCS","trailing")))))))</f>
        <v/>
      </c>
      <c r="J735">
        <f>IFERROR(IF(AND(H735&lt;&gt;"",H735&gt;=129,H735&lt;=2176),INDEX(Fields!$B$2:$B$206,MATCH(H735-129,Fields!$D$2:$D$206,1)),""),"")</f>
        <v/>
      </c>
      <c r="K735">
        <f>IFERROR(IF(AND(H735&lt;&gt;"",H735&gt;=129,H735&lt;=2176),INDEX(Fields!$C$2:$C$206,MATCH(H735-129,Fields!$D$2:$D$206,1)),""),"")</f>
        <v/>
      </c>
      <c r="L735">
        <f>IFERROR(IF(AND(H735&lt;&gt;"",H735&gt;=129,H735&lt;=2176),INDEX(Fields!$J$2:$J$206,MATCH(H735-129,Fields!$D$2:$D$206,1)),""),"")</f>
        <v/>
      </c>
      <c r="M735">
        <f>IFERROR(IF(AND(H735&lt;&gt;"",H735&gt;=129,H735&lt;=2176),INDEX(Fields!$K$2:$K$206,MATCH(H735-129,Fields!$D$2:$D$206,1)),""),"")</f>
        <v/>
      </c>
    </row>
    <row r="736">
      <c r="A736" t="n">
        <v>734</v>
      </c>
      <c r="B736" t="n">
        <v>0</v>
      </c>
      <c r="C736" t="inlineStr">
        <is>
          <t>No</t>
        </is>
      </c>
      <c r="D736">
        <f>IF(AND(B731=1,B732=1,B733=1,B734=1,B735=1),"Yes","")</f>
        <v/>
      </c>
      <c r="E736" t="inlineStr">
        <is>
          <t>No</t>
        </is>
      </c>
      <c r="F736" t="inlineStr">
        <is>
          <t>No</t>
        </is>
      </c>
      <c r="G736">
        <f>IF(F736="Yes",1-B736,B736)</f>
        <v/>
      </c>
      <c r="H736">
        <f>IF(E736="Yes","",COUNTIFS($E$2:E736,"No"))</f>
        <v/>
      </c>
      <c r="I736">
        <f>IF(H736="","",IF(H736&lt;=128,"address",IF(H736&lt;=600,"data1",IF(H736&lt;=1264,"zero-run1",IF(H736&lt;=1648,"data2",IF(H736&lt;=2176,"zero-run2",IF(H736&lt;=2192,"FCS","trailing")))))))</f>
        <v/>
      </c>
      <c r="J736">
        <f>IFERROR(IF(AND(H736&lt;&gt;"",H736&gt;=129,H736&lt;=2176),INDEX(Fields!$B$2:$B$206,MATCH(H736-129,Fields!$D$2:$D$206,1)),""),"")</f>
        <v/>
      </c>
      <c r="K736">
        <f>IFERROR(IF(AND(H736&lt;&gt;"",H736&gt;=129,H736&lt;=2176),INDEX(Fields!$C$2:$C$206,MATCH(H736-129,Fields!$D$2:$D$206,1)),""),"")</f>
        <v/>
      </c>
      <c r="L736">
        <f>IFERROR(IF(AND(H736&lt;&gt;"",H736&gt;=129,H736&lt;=2176),INDEX(Fields!$J$2:$J$206,MATCH(H736-129,Fields!$D$2:$D$206,1)),""),"")</f>
        <v/>
      </c>
      <c r="M736">
        <f>IFERROR(IF(AND(H736&lt;&gt;"",H736&gt;=129,H736&lt;=2176),INDEX(Fields!$K$2:$K$206,MATCH(H736-129,Fields!$D$2:$D$206,1)),""),"")</f>
        <v/>
      </c>
    </row>
    <row r="737">
      <c r="A737" t="n">
        <v>735</v>
      </c>
      <c r="B737" t="n">
        <v>0</v>
      </c>
      <c r="C737" t="inlineStr">
        <is>
          <t>No</t>
        </is>
      </c>
      <c r="D737">
        <f>IF(AND(B732=1,B733=1,B734=1,B735=1,B736=1),"Yes","")</f>
        <v/>
      </c>
      <c r="E737" t="inlineStr">
        <is>
          <t>No</t>
        </is>
      </c>
      <c r="F737" t="inlineStr">
        <is>
          <t>No</t>
        </is>
      </c>
      <c r="G737">
        <f>IF(F737="Yes",1-B737,B737)</f>
        <v/>
      </c>
      <c r="H737">
        <f>IF(E737="Yes","",COUNTIFS($E$2:E737,"No"))</f>
        <v/>
      </c>
      <c r="I737">
        <f>IF(H737="","",IF(H737&lt;=128,"address",IF(H737&lt;=600,"data1",IF(H737&lt;=1264,"zero-run1",IF(H737&lt;=1648,"data2",IF(H737&lt;=2176,"zero-run2",IF(H737&lt;=2192,"FCS","trailing")))))))</f>
        <v/>
      </c>
      <c r="J737">
        <f>IFERROR(IF(AND(H737&lt;&gt;"",H737&gt;=129,H737&lt;=2176),INDEX(Fields!$B$2:$B$206,MATCH(H737-129,Fields!$D$2:$D$206,1)),""),"")</f>
        <v/>
      </c>
      <c r="K737">
        <f>IFERROR(IF(AND(H737&lt;&gt;"",H737&gt;=129,H737&lt;=2176),INDEX(Fields!$C$2:$C$206,MATCH(H737-129,Fields!$D$2:$D$206,1)),""),"")</f>
        <v/>
      </c>
      <c r="L737">
        <f>IFERROR(IF(AND(H737&lt;&gt;"",H737&gt;=129,H737&lt;=2176),INDEX(Fields!$J$2:$J$206,MATCH(H737-129,Fields!$D$2:$D$206,1)),""),"")</f>
        <v/>
      </c>
      <c r="M737">
        <f>IFERROR(IF(AND(H737&lt;&gt;"",H737&gt;=129,H737&lt;=2176),INDEX(Fields!$K$2:$K$206,MATCH(H737-129,Fields!$D$2:$D$206,1)),""),"")</f>
        <v/>
      </c>
    </row>
    <row r="738">
      <c r="A738" t="n">
        <v>736</v>
      </c>
      <c r="B738" t="n">
        <v>0</v>
      </c>
      <c r="C738" t="inlineStr">
        <is>
          <t>No</t>
        </is>
      </c>
      <c r="D738">
        <f>IF(AND(B733=1,B734=1,B735=1,B736=1,B737=1),"Yes","")</f>
        <v/>
      </c>
      <c r="E738" t="inlineStr">
        <is>
          <t>No</t>
        </is>
      </c>
      <c r="F738" t="inlineStr">
        <is>
          <t>No</t>
        </is>
      </c>
      <c r="G738">
        <f>IF(F738="Yes",1-B738,B738)</f>
        <v/>
      </c>
      <c r="H738">
        <f>IF(E738="Yes","",COUNTIFS($E$2:E738,"No"))</f>
        <v/>
      </c>
      <c r="I738">
        <f>IF(H738="","",IF(H738&lt;=128,"address",IF(H738&lt;=600,"data1",IF(H738&lt;=1264,"zero-run1",IF(H738&lt;=1648,"data2",IF(H738&lt;=2176,"zero-run2",IF(H738&lt;=2192,"FCS","trailing")))))))</f>
        <v/>
      </c>
      <c r="J738">
        <f>IFERROR(IF(AND(H738&lt;&gt;"",H738&gt;=129,H738&lt;=2176),INDEX(Fields!$B$2:$B$206,MATCH(H738-129,Fields!$D$2:$D$206,1)),""),"")</f>
        <v/>
      </c>
      <c r="K738">
        <f>IFERROR(IF(AND(H738&lt;&gt;"",H738&gt;=129,H738&lt;=2176),INDEX(Fields!$C$2:$C$206,MATCH(H738-129,Fields!$D$2:$D$206,1)),""),"")</f>
        <v/>
      </c>
      <c r="L738">
        <f>IFERROR(IF(AND(H738&lt;&gt;"",H738&gt;=129,H738&lt;=2176),INDEX(Fields!$J$2:$J$206,MATCH(H738-129,Fields!$D$2:$D$206,1)),""),"")</f>
        <v/>
      </c>
      <c r="M738">
        <f>IFERROR(IF(AND(H738&lt;&gt;"",H738&gt;=129,H738&lt;=2176),INDEX(Fields!$K$2:$K$206,MATCH(H738-129,Fields!$D$2:$D$206,1)),""),"")</f>
        <v/>
      </c>
    </row>
    <row r="739">
      <c r="A739" t="n">
        <v>737</v>
      </c>
      <c r="B739" t="n">
        <v>0</v>
      </c>
      <c r="C739" t="inlineStr">
        <is>
          <t>No</t>
        </is>
      </c>
      <c r="D739">
        <f>IF(AND(B734=1,B735=1,B736=1,B737=1,B738=1),"Yes","")</f>
        <v/>
      </c>
      <c r="E739" t="inlineStr">
        <is>
          <t>No</t>
        </is>
      </c>
      <c r="F739" t="inlineStr">
        <is>
          <t>No</t>
        </is>
      </c>
      <c r="G739">
        <f>IF(F739="Yes",1-B739,B739)</f>
        <v/>
      </c>
      <c r="H739">
        <f>IF(E739="Yes","",COUNTIFS($E$2:E739,"No"))</f>
        <v/>
      </c>
      <c r="I739">
        <f>IF(H739="","",IF(H739&lt;=128,"address",IF(H739&lt;=600,"data1",IF(H739&lt;=1264,"zero-run1",IF(H739&lt;=1648,"data2",IF(H739&lt;=2176,"zero-run2",IF(H739&lt;=2192,"FCS","trailing")))))))</f>
        <v/>
      </c>
      <c r="J739">
        <f>IFERROR(IF(AND(H739&lt;&gt;"",H739&gt;=129,H739&lt;=2176),INDEX(Fields!$B$2:$B$206,MATCH(H739-129,Fields!$D$2:$D$206,1)),""),"")</f>
        <v/>
      </c>
      <c r="K739">
        <f>IFERROR(IF(AND(H739&lt;&gt;"",H739&gt;=129,H739&lt;=2176),INDEX(Fields!$C$2:$C$206,MATCH(H739-129,Fields!$D$2:$D$206,1)),""),"")</f>
        <v/>
      </c>
      <c r="L739">
        <f>IFERROR(IF(AND(H739&lt;&gt;"",H739&gt;=129,H739&lt;=2176),INDEX(Fields!$J$2:$J$206,MATCH(H739-129,Fields!$D$2:$D$206,1)),""),"")</f>
        <v/>
      </c>
      <c r="M739">
        <f>IFERROR(IF(AND(H739&lt;&gt;"",H739&gt;=129,H739&lt;=2176),INDEX(Fields!$K$2:$K$206,MATCH(H739-129,Fields!$D$2:$D$206,1)),""),"")</f>
        <v/>
      </c>
    </row>
    <row r="740">
      <c r="A740" t="n">
        <v>738</v>
      </c>
      <c r="B740" t="n">
        <v>0</v>
      </c>
      <c r="C740" t="inlineStr">
        <is>
          <t>No</t>
        </is>
      </c>
      <c r="D740">
        <f>IF(AND(B735=1,B736=1,B737=1,B738=1,B739=1),"Yes","")</f>
        <v/>
      </c>
      <c r="E740" t="inlineStr">
        <is>
          <t>No</t>
        </is>
      </c>
      <c r="F740" t="inlineStr">
        <is>
          <t>No</t>
        </is>
      </c>
      <c r="G740">
        <f>IF(F740="Yes",1-B740,B740)</f>
        <v/>
      </c>
      <c r="H740">
        <f>IF(E740="Yes","",COUNTIFS($E$2:E740,"No"))</f>
        <v/>
      </c>
      <c r="I740">
        <f>IF(H740="","",IF(H740&lt;=128,"address",IF(H740&lt;=600,"data1",IF(H740&lt;=1264,"zero-run1",IF(H740&lt;=1648,"data2",IF(H740&lt;=2176,"zero-run2",IF(H740&lt;=2192,"FCS","trailing")))))))</f>
        <v/>
      </c>
      <c r="J740">
        <f>IFERROR(IF(AND(H740&lt;&gt;"",H740&gt;=129,H740&lt;=2176),INDEX(Fields!$B$2:$B$206,MATCH(H740-129,Fields!$D$2:$D$206,1)),""),"")</f>
        <v/>
      </c>
      <c r="K740">
        <f>IFERROR(IF(AND(H740&lt;&gt;"",H740&gt;=129,H740&lt;=2176),INDEX(Fields!$C$2:$C$206,MATCH(H740-129,Fields!$D$2:$D$206,1)),""),"")</f>
        <v/>
      </c>
      <c r="L740">
        <f>IFERROR(IF(AND(H740&lt;&gt;"",H740&gt;=129,H740&lt;=2176),INDEX(Fields!$J$2:$J$206,MATCH(H740-129,Fields!$D$2:$D$206,1)),""),"")</f>
        <v/>
      </c>
      <c r="M740">
        <f>IFERROR(IF(AND(H740&lt;&gt;"",H740&gt;=129,H740&lt;=2176),INDEX(Fields!$K$2:$K$206,MATCH(H740-129,Fields!$D$2:$D$206,1)),""),"")</f>
        <v/>
      </c>
    </row>
    <row r="741">
      <c r="A741" t="n">
        <v>739</v>
      </c>
      <c r="B741" t="n">
        <v>0</v>
      </c>
      <c r="C741" t="inlineStr">
        <is>
          <t>No</t>
        </is>
      </c>
      <c r="D741">
        <f>IF(AND(B736=1,B737=1,B738=1,B739=1,B740=1),"Yes","")</f>
        <v/>
      </c>
      <c r="E741" t="inlineStr">
        <is>
          <t>No</t>
        </is>
      </c>
      <c r="F741" t="inlineStr">
        <is>
          <t>No</t>
        </is>
      </c>
      <c r="G741">
        <f>IF(F741="Yes",1-B741,B741)</f>
        <v/>
      </c>
      <c r="H741">
        <f>IF(E741="Yes","",COUNTIFS($E$2:E741,"No"))</f>
        <v/>
      </c>
      <c r="I741">
        <f>IF(H741="","",IF(H741&lt;=128,"address",IF(H741&lt;=600,"data1",IF(H741&lt;=1264,"zero-run1",IF(H741&lt;=1648,"data2",IF(H741&lt;=2176,"zero-run2",IF(H741&lt;=2192,"FCS","trailing")))))))</f>
        <v/>
      </c>
      <c r="J741">
        <f>IFERROR(IF(AND(H741&lt;&gt;"",H741&gt;=129,H741&lt;=2176),INDEX(Fields!$B$2:$B$206,MATCH(H741-129,Fields!$D$2:$D$206,1)),""),"")</f>
        <v/>
      </c>
      <c r="K741">
        <f>IFERROR(IF(AND(H741&lt;&gt;"",H741&gt;=129,H741&lt;=2176),INDEX(Fields!$C$2:$C$206,MATCH(H741-129,Fields!$D$2:$D$206,1)),""),"")</f>
        <v/>
      </c>
      <c r="L741">
        <f>IFERROR(IF(AND(H741&lt;&gt;"",H741&gt;=129,H741&lt;=2176),INDEX(Fields!$J$2:$J$206,MATCH(H741-129,Fields!$D$2:$D$206,1)),""),"")</f>
        <v/>
      </c>
      <c r="M741">
        <f>IFERROR(IF(AND(H741&lt;&gt;"",H741&gt;=129,H741&lt;=2176),INDEX(Fields!$K$2:$K$206,MATCH(H741-129,Fields!$D$2:$D$206,1)),""),"")</f>
        <v/>
      </c>
    </row>
    <row r="742">
      <c r="A742" t="n">
        <v>740</v>
      </c>
      <c r="B742" t="n">
        <v>0</v>
      </c>
      <c r="C742" t="inlineStr">
        <is>
          <t>No</t>
        </is>
      </c>
      <c r="D742">
        <f>IF(AND(B737=1,B738=1,B739=1,B740=1,B741=1),"Yes","")</f>
        <v/>
      </c>
      <c r="E742" t="inlineStr">
        <is>
          <t>No</t>
        </is>
      </c>
      <c r="F742" t="inlineStr">
        <is>
          <t>No</t>
        </is>
      </c>
      <c r="G742">
        <f>IF(F742="Yes",1-B742,B742)</f>
        <v/>
      </c>
      <c r="H742">
        <f>IF(E742="Yes","",COUNTIFS($E$2:E742,"No"))</f>
        <v/>
      </c>
      <c r="I742">
        <f>IF(H742="","",IF(H742&lt;=128,"address",IF(H742&lt;=600,"data1",IF(H742&lt;=1264,"zero-run1",IF(H742&lt;=1648,"data2",IF(H742&lt;=2176,"zero-run2",IF(H742&lt;=2192,"FCS","trailing")))))))</f>
        <v/>
      </c>
      <c r="J742">
        <f>IFERROR(IF(AND(H742&lt;&gt;"",H742&gt;=129,H742&lt;=2176),INDEX(Fields!$B$2:$B$206,MATCH(H742-129,Fields!$D$2:$D$206,1)),""),"")</f>
        <v/>
      </c>
      <c r="K742">
        <f>IFERROR(IF(AND(H742&lt;&gt;"",H742&gt;=129,H742&lt;=2176),INDEX(Fields!$C$2:$C$206,MATCH(H742-129,Fields!$D$2:$D$206,1)),""),"")</f>
        <v/>
      </c>
      <c r="L742">
        <f>IFERROR(IF(AND(H742&lt;&gt;"",H742&gt;=129,H742&lt;=2176),INDEX(Fields!$J$2:$J$206,MATCH(H742-129,Fields!$D$2:$D$206,1)),""),"")</f>
        <v/>
      </c>
      <c r="M742">
        <f>IFERROR(IF(AND(H742&lt;&gt;"",H742&gt;=129,H742&lt;=2176),INDEX(Fields!$K$2:$K$206,MATCH(H742-129,Fields!$D$2:$D$206,1)),""),"")</f>
        <v/>
      </c>
    </row>
    <row r="743">
      <c r="A743" t="n">
        <v>741</v>
      </c>
      <c r="B743" t="n">
        <v>0</v>
      </c>
      <c r="C743" t="inlineStr">
        <is>
          <t>No</t>
        </is>
      </c>
      <c r="D743">
        <f>IF(AND(B738=1,B739=1,B740=1,B741=1,B742=1),"Yes","")</f>
        <v/>
      </c>
      <c r="E743" t="inlineStr">
        <is>
          <t>No</t>
        </is>
      </c>
      <c r="F743" t="inlineStr">
        <is>
          <t>No</t>
        </is>
      </c>
      <c r="G743">
        <f>IF(F743="Yes",1-B743,B743)</f>
        <v/>
      </c>
      <c r="H743">
        <f>IF(E743="Yes","",COUNTIFS($E$2:E743,"No"))</f>
        <v/>
      </c>
      <c r="I743">
        <f>IF(H743="","",IF(H743&lt;=128,"address",IF(H743&lt;=600,"data1",IF(H743&lt;=1264,"zero-run1",IF(H743&lt;=1648,"data2",IF(H743&lt;=2176,"zero-run2",IF(H743&lt;=2192,"FCS","trailing")))))))</f>
        <v/>
      </c>
      <c r="J743">
        <f>IFERROR(IF(AND(H743&lt;&gt;"",H743&gt;=129,H743&lt;=2176),INDEX(Fields!$B$2:$B$206,MATCH(H743-129,Fields!$D$2:$D$206,1)),""),"")</f>
        <v/>
      </c>
      <c r="K743">
        <f>IFERROR(IF(AND(H743&lt;&gt;"",H743&gt;=129,H743&lt;=2176),INDEX(Fields!$C$2:$C$206,MATCH(H743-129,Fields!$D$2:$D$206,1)),""),"")</f>
        <v/>
      </c>
      <c r="L743">
        <f>IFERROR(IF(AND(H743&lt;&gt;"",H743&gt;=129,H743&lt;=2176),INDEX(Fields!$J$2:$J$206,MATCH(H743-129,Fields!$D$2:$D$206,1)),""),"")</f>
        <v/>
      </c>
      <c r="M743">
        <f>IFERROR(IF(AND(H743&lt;&gt;"",H743&gt;=129,H743&lt;=2176),INDEX(Fields!$K$2:$K$206,MATCH(H743-129,Fields!$D$2:$D$206,1)),""),"")</f>
        <v/>
      </c>
    </row>
    <row r="744">
      <c r="A744" t="n">
        <v>742</v>
      </c>
      <c r="B744" t="n">
        <v>0</v>
      </c>
      <c r="C744" t="inlineStr">
        <is>
          <t>No</t>
        </is>
      </c>
      <c r="D744">
        <f>IF(AND(B739=1,B740=1,B741=1,B742=1,B743=1),"Yes","")</f>
        <v/>
      </c>
      <c r="E744" t="inlineStr">
        <is>
          <t>No</t>
        </is>
      </c>
      <c r="F744" t="inlineStr">
        <is>
          <t>No</t>
        </is>
      </c>
      <c r="G744">
        <f>IF(F744="Yes",1-B744,B744)</f>
        <v/>
      </c>
      <c r="H744">
        <f>IF(E744="Yes","",COUNTIFS($E$2:E744,"No"))</f>
        <v/>
      </c>
      <c r="I744">
        <f>IF(H744="","",IF(H744&lt;=128,"address",IF(H744&lt;=600,"data1",IF(H744&lt;=1264,"zero-run1",IF(H744&lt;=1648,"data2",IF(H744&lt;=2176,"zero-run2",IF(H744&lt;=2192,"FCS","trailing")))))))</f>
        <v/>
      </c>
      <c r="J744">
        <f>IFERROR(IF(AND(H744&lt;&gt;"",H744&gt;=129,H744&lt;=2176),INDEX(Fields!$B$2:$B$206,MATCH(H744-129,Fields!$D$2:$D$206,1)),""),"")</f>
        <v/>
      </c>
      <c r="K744">
        <f>IFERROR(IF(AND(H744&lt;&gt;"",H744&gt;=129,H744&lt;=2176),INDEX(Fields!$C$2:$C$206,MATCH(H744-129,Fields!$D$2:$D$206,1)),""),"")</f>
        <v/>
      </c>
      <c r="L744">
        <f>IFERROR(IF(AND(H744&lt;&gt;"",H744&gt;=129,H744&lt;=2176),INDEX(Fields!$J$2:$J$206,MATCH(H744-129,Fields!$D$2:$D$206,1)),""),"")</f>
        <v/>
      </c>
      <c r="M744">
        <f>IFERROR(IF(AND(H744&lt;&gt;"",H744&gt;=129,H744&lt;=2176),INDEX(Fields!$K$2:$K$206,MATCH(H744-129,Fields!$D$2:$D$206,1)),""),"")</f>
        <v/>
      </c>
    </row>
    <row r="745">
      <c r="A745" t="n">
        <v>743</v>
      </c>
      <c r="B745" t="n">
        <v>0</v>
      </c>
      <c r="C745" t="inlineStr">
        <is>
          <t>No</t>
        </is>
      </c>
      <c r="D745">
        <f>IF(AND(B740=1,B741=1,B742=1,B743=1,B744=1),"Yes","")</f>
        <v/>
      </c>
      <c r="E745" t="inlineStr">
        <is>
          <t>No</t>
        </is>
      </c>
      <c r="F745" t="inlineStr">
        <is>
          <t>No</t>
        </is>
      </c>
      <c r="G745">
        <f>IF(F745="Yes",1-B745,B745)</f>
        <v/>
      </c>
      <c r="H745">
        <f>IF(E745="Yes","",COUNTIFS($E$2:E745,"No"))</f>
        <v/>
      </c>
      <c r="I745">
        <f>IF(H745="","",IF(H745&lt;=128,"address",IF(H745&lt;=600,"data1",IF(H745&lt;=1264,"zero-run1",IF(H745&lt;=1648,"data2",IF(H745&lt;=2176,"zero-run2",IF(H745&lt;=2192,"FCS","trailing")))))))</f>
        <v/>
      </c>
      <c r="J745">
        <f>IFERROR(IF(AND(H745&lt;&gt;"",H745&gt;=129,H745&lt;=2176),INDEX(Fields!$B$2:$B$206,MATCH(H745-129,Fields!$D$2:$D$206,1)),""),"")</f>
        <v/>
      </c>
      <c r="K745">
        <f>IFERROR(IF(AND(H745&lt;&gt;"",H745&gt;=129,H745&lt;=2176),INDEX(Fields!$C$2:$C$206,MATCH(H745-129,Fields!$D$2:$D$206,1)),""),"")</f>
        <v/>
      </c>
      <c r="L745">
        <f>IFERROR(IF(AND(H745&lt;&gt;"",H745&gt;=129,H745&lt;=2176),INDEX(Fields!$J$2:$J$206,MATCH(H745-129,Fields!$D$2:$D$206,1)),""),"")</f>
        <v/>
      </c>
      <c r="M745">
        <f>IFERROR(IF(AND(H745&lt;&gt;"",H745&gt;=129,H745&lt;=2176),INDEX(Fields!$K$2:$K$206,MATCH(H745-129,Fields!$D$2:$D$206,1)),""),"")</f>
        <v/>
      </c>
    </row>
    <row r="746">
      <c r="A746" t="n">
        <v>744</v>
      </c>
      <c r="B746" t="n">
        <v>0</v>
      </c>
      <c r="C746" t="inlineStr">
        <is>
          <t>No</t>
        </is>
      </c>
      <c r="D746">
        <f>IF(AND(B741=1,B742=1,B743=1,B744=1,B745=1),"Yes","")</f>
        <v/>
      </c>
      <c r="E746" t="inlineStr">
        <is>
          <t>No</t>
        </is>
      </c>
      <c r="F746" t="inlineStr">
        <is>
          <t>No</t>
        </is>
      </c>
      <c r="G746">
        <f>IF(F746="Yes",1-B746,B746)</f>
        <v/>
      </c>
      <c r="H746">
        <f>IF(E746="Yes","",COUNTIFS($E$2:E746,"No"))</f>
        <v/>
      </c>
      <c r="I746">
        <f>IF(H746="","",IF(H746&lt;=128,"address",IF(H746&lt;=600,"data1",IF(H746&lt;=1264,"zero-run1",IF(H746&lt;=1648,"data2",IF(H746&lt;=2176,"zero-run2",IF(H746&lt;=2192,"FCS","trailing")))))))</f>
        <v/>
      </c>
      <c r="J746">
        <f>IFERROR(IF(AND(H746&lt;&gt;"",H746&gt;=129,H746&lt;=2176),INDEX(Fields!$B$2:$B$206,MATCH(H746-129,Fields!$D$2:$D$206,1)),""),"")</f>
        <v/>
      </c>
      <c r="K746">
        <f>IFERROR(IF(AND(H746&lt;&gt;"",H746&gt;=129,H746&lt;=2176),INDEX(Fields!$C$2:$C$206,MATCH(H746-129,Fields!$D$2:$D$206,1)),""),"")</f>
        <v/>
      </c>
      <c r="L746">
        <f>IFERROR(IF(AND(H746&lt;&gt;"",H746&gt;=129,H746&lt;=2176),INDEX(Fields!$J$2:$J$206,MATCH(H746-129,Fields!$D$2:$D$206,1)),""),"")</f>
        <v/>
      </c>
      <c r="M746">
        <f>IFERROR(IF(AND(H746&lt;&gt;"",H746&gt;=129,H746&lt;=2176),INDEX(Fields!$K$2:$K$206,MATCH(H746-129,Fields!$D$2:$D$206,1)),""),"")</f>
        <v/>
      </c>
    </row>
    <row r="747">
      <c r="A747" t="n">
        <v>745</v>
      </c>
      <c r="B747" t="n">
        <v>0</v>
      </c>
      <c r="C747" t="inlineStr">
        <is>
          <t>No</t>
        </is>
      </c>
      <c r="D747">
        <f>IF(AND(B742=1,B743=1,B744=1,B745=1,B746=1),"Yes","")</f>
        <v/>
      </c>
      <c r="E747" t="inlineStr">
        <is>
          <t>No</t>
        </is>
      </c>
      <c r="F747" t="inlineStr">
        <is>
          <t>No</t>
        </is>
      </c>
      <c r="G747">
        <f>IF(F747="Yes",1-B747,B747)</f>
        <v/>
      </c>
      <c r="H747">
        <f>IF(E747="Yes","",COUNTIFS($E$2:E747,"No"))</f>
        <v/>
      </c>
      <c r="I747">
        <f>IF(H747="","",IF(H747&lt;=128,"address",IF(H747&lt;=600,"data1",IF(H747&lt;=1264,"zero-run1",IF(H747&lt;=1648,"data2",IF(H747&lt;=2176,"zero-run2",IF(H747&lt;=2192,"FCS","trailing")))))))</f>
        <v/>
      </c>
      <c r="J747">
        <f>IFERROR(IF(AND(H747&lt;&gt;"",H747&gt;=129,H747&lt;=2176),INDEX(Fields!$B$2:$B$206,MATCH(H747-129,Fields!$D$2:$D$206,1)),""),"")</f>
        <v/>
      </c>
      <c r="K747">
        <f>IFERROR(IF(AND(H747&lt;&gt;"",H747&gt;=129,H747&lt;=2176),INDEX(Fields!$C$2:$C$206,MATCH(H747-129,Fields!$D$2:$D$206,1)),""),"")</f>
        <v/>
      </c>
      <c r="L747">
        <f>IFERROR(IF(AND(H747&lt;&gt;"",H747&gt;=129,H747&lt;=2176),INDEX(Fields!$J$2:$J$206,MATCH(H747-129,Fields!$D$2:$D$206,1)),""),"")</f>
        <v/>
      </c>
      <c r="M747">
        <f>IFERROR(IF(AND(H747&lt;&gt;"",H747&gt;=129,H747&lt;=2176),INDEX(Fields!$K$2:$K$206,MATCH(H747-129,Fields!$D$2:$D$206,1)),""),"")</f>
        <v/>
      </c>
    </row>
    <row r="748">
      <c r="A748" t="n">
        <v>746</v>
      </c>
      <c r="B748" t="n">
        <v>0</v>
      </c>
      <c r="C748" t="inlineStr">
        <is>
          <t>No</t>
        </is>
      </c>
      <c r="D748">
        <f>IF(AND(B743=1,B744=1,B745=1,B746=1,B747=1),"Yes","")</f>
        <v/>
      </c>
      <c r="E748" t="inlineStr">
        <is>
          <t>No</t>
        </is>
      </c>
      <c r="F748" t="inlineStr">
        <is>
          <t>No</t>
        </is>
      </c>
      <c r="G748">
        <f>IF(F748="Yes",1-B748,B748)</f>
        <v/>
      </c>
      <c r="H748">
        <f>IF(E748="Yes","",COUNTIFS($E$2:E748,"No"))</f>
        <v/>
      </c>
      <c r="I748">
        <f>IF(H748="","",IF(H748&lt;=128,"address",IF(H748&lt;=600,"data1",IF(H748&lt;=1264,"zero-run1",IF(H748&lt;=1648,"data2",IF(H748&lt;=2176,"zero-run2",IF(H748&lt;=2192,"FCS","trailing")))))))</f>
        <v/>
      </c>
      <c r="J748">
        <f>IFERROR(IF(AND(H748&lt;&gt;"",H748&gt;=129,H748&lt;=2176),INDEX(Fields!$B$2:$B$206,MATCH(H748-129,Fields!$D$2:$D$206,1)),""),"")</f>
        <v/>
      </c>
      <c r="K748">
        <f>IFERROR(IF(AND(H748&lt;&gt;"",H748&gt;=129,H748&lt;=2176),INDEX(Fields!$C$2:$C$206,MATCH(H748-129,Fields!$D$2:$D$206,1)),""),"")</f>
        <v/>
      </c>
      <c r="L748">
        <f>IFERROR(IF(AND(H748&lt;&gt;"",H748&gt;=129,H748&lt;=2176),INDEX(Fields!$J$2:$J$206,MATCH(H748-129,Fields!$D$2:$D$206,1)),""),"")</f>
        <v/>
      </c>
      <c r="M748">
        <f>IFERROR(IF(AND(H748&lt;&gt;"",H748&gt;=129,H748&lt;=2176),INDEX(Fields!$K$2:$K$206,MATCH(H748-129,Fields!$D$2:$D$206,1)),""),"")</f>
        <v/>
      </c>
    </row>
    <row r="749">
      <c r="A749" t="n">
        <v>747</v>
      </c>
      <c r="B749" t="n">
        <v>0</v>
      </c>
      <c r="C749" t="inlineStr">
        <is>
          <t>No</t>
        </is>
      </c>
      <c r="D749">
        <f>IF(AND(B744=1,B745=1,B746=1,B747=1,B748=1),"Yes","")</f>
        <v/>
      </c>
      <c r="E749" t="inlineStr">
        <is>
          <t>No</t>
        </is>
      </c>
      <c r="F749" t="inlineStr">
        <is>
          <t>No</t>
        </is>
      </c>
      <c r="G749">
        <f>IF(F749="Yes",1-B749,B749)</f>
        <v/>
      </c>
      <c r="H749">
        <f>IF(E749="Yes","",COUNTIFS($E$2:E749,"No"))</f>
        <v/>
      </c>
      <c r="I749">
        <f>IF(H749="","",IF(H749&lt;=128,"address",IF(H749&lt;=600,"data1",IF(H749&lt;=1264,"zero-run1",IF(H749&lt;=1648,"data2",IF(H749&lt;=2176,"zero-run2",IF(H749&lt;=2192,"FCS","trailing")))))))</f>
        <v/>
      </c>
      <c r="J749">
        <f>IFERROR(IF(AND(H749&lt;&gt;"",H749&gt;=129,H749&lt;=2176),INDEX(Fields!$B$2:$B$206,MATCH(H749-129,Fields!$D$2:$D$206,1)),""),"")</f>
        <v/>
      </c>
      <c r="K749">
        <f>IFERROR(IF(AND(H749&lt;&gt;"",H749&gt;=129,H749&lt;=2176),INDEX(Fields!$C$2:$C$206,MATCH(H749-129,Fields!$D$2:$D$206,1)),""),"")</f>
        <v/>
      </c>
      <c r="L749">
        <f>IFERROR(IF(AND(H749&lt;&gt;"",H749&gt;=129,H749&lt;=2176),INDEX(Fields!$J$2:$J$206,MATCH(H749-129,Fields!$D$2:$D$206,1)),""),"")</f>
        <v/>
      </c>
      <c r="M749">
        <f>IFERROR(IF(AND(H749&lt;&gt;"",H749&gt;=129,H749&lt;=2176),INDEX(Fields!$K$2:$K$206,MATCH(H749-129,Fields!$D$2:$D$206,1)),""),"")</f>
        <v/>
      </c>
    </row>
    <row r="750">
      <c r="A750" t="n">
        <v>748</v>
      </c>
      <c r="B750" t="n">
        <v>0</v>
      </c>
      <c r="C750" t="inlineStr">
        <is>
          <t>No</t>
        </is>
      </c>
      <c r="D750">
        <f>IF(AND(B745=1,B746=1,B747=1,B748=1,B749=1),"Yes","")</f>
        <v/>
      </c>
      <c r="E750" t="inlineStr">
        <is>
          <t>No</t>
        </is>
      </c>
      <c r="F750" t="inlineStr">
        <is>
          <t>No</t>
        </is>
      </c>
      <c r="G750">
        <f>IF(F750="Yes",1-B750,B750)</f>
        <v/>
      </c>
      <c r="H750">
        <f>IF(E750="Yes","",COUNTIFS($E$2:E750,"No"))</f>
        <v/>
      </c>
      <c r="I750">
        <f>IF(H750="","",IF(H750&lt;=128,"address",IF(H750&lt;=600,"data1",IF(H750&lt;=1264,"zero-run1",IF(H750&lt;=1648,"data2",IF(H750&lt;=2176,"zero-run2",IF(H750&lt;=2192,"FCS","trailing")))))))</f>
        <v/>
      </c>
      <c r="J750">
        <f>IFERROR(IF(AND(H750&lt;&gt;"",H750&gt;=129,H750&lt;=2176),INDEX(Fields!$B$2:$B$206,MATCH(H750-129,Fields!$D$2:$D$206,1)),""),"")</f>
        <v/>
      </c>
      <c r="K750">
        <f>IFERROR(IF(AND(H750&lt;&gt;"",H750&gt;=129,H750&lt;=2176),INDEX(Fields!$C$2:$C$206,MATCH(H750-129,Fields!$D$2:$D$206,1)),""),"")</f>
        <v/>
      </c>
      <c r="L750">
        <f>IFERROR(IF(AND(H750&lt;&gt;"",H750&gt;=129,H750&lt;=2176),INDEX(Fields!$J$2:$J$206,MATCH(H750-129,Fields!$D$2:$D$206,1)),""),"")</f>
        <v/>
      </c>
      <c r="M750">
        <f>IFERROR(IF(AND(H750&lt;&gt;"",H750&gt;=129,H750&lt;=2176),INDEX(Fields!$K$2:$K$206,MATCH(H750-129,Fields!$D$2:$D$206,1)),""),"")</f>
        <v/>
      </c>
    </row>
    <row r="751">
      <c r="A751" t="n">
        <v>749</v>
      </c>
      <c r="B751" t="n">
        <v>0</v>
      </c>
      <c r="C751" t="inlineStr">
        <is>
          <t>No</t>
        </is>
      </c>
      <c r="D751">
        <f>IF(AND(B746=1,B747=1,B748=1,B749=1,B750=1),"Yes","")</f>
        <v/>
      </c>
      <c r="E751" t="inlineStr">
        <is>
          <t>No</t>
        </is>
      </c>
      <c r="F751" t="inlineStr">
        <is>
          <t>No</t>
        </is>
      </c>
      <c r="G751">
        <f>IF(F751="Yes",1-B751,B751)</f>
        <v/>
      </c>
      <c r="H751">
        <f>IF(E751="Yes","",COUNTIFS($E$2:E751,"No"))</f>
        <v/>
      </c>
      <c r="I751">
        <f>IF(H751="","",IF(H751&lt;=128,"address",IF(H751&lt;=600,"data1",IF(H751&lt;=1264,"zero-run1",IF(H751&lt;=1648,"data2",IF(H751&lt;=2176,"zero-run2",IF(H751&lt;=2192,"FCS","trailing")))))))</f>
        <v/>
      </c>
      <c r="J751">
        <f>IFERROR(IF(AND(H751&lt;&gt;"",H751&gt;=129,H751&lt;=2176),INDEX(Fields!$B$2:$B$206,MATCH(H751-129,Fields!$D$2:$D$206,1)),""),"")</f>
        <v/>
      </c>
      <c r="K751">
        <f>IFERROR(IF(AND(H751&lt;&gt;"",H751&gt;=129,H751&lt;=2176),INDEX(Fields!$C$2:$C$206,MATCH(H751-129,Fields!$D$2:$D$206,1)),""),"")</f>
        <v/>
      </c>
      <c r="L751">
        <f>IFERROR(IF(AND(H751&lt;&gt;"",H751&gt;=129,H751&lt;=2176),INDEX(Fields!$J$2:$J$206,MATCH(H751-129,Fields!$D$2:$D$206,1)),""),"")</f>
        <v/>
      </c>
      <c r="M751">
        <f>IFERROR(IF(AND(H751&lt;&gt;"",H751&gt;=129,H751&lt;=2176),INDEX(Fields!$K$2:$K$206,MATCH(H751-129,Fields!$D$2:$D$206,1)),""),"")</f>
        <v/>
      </c>
    </row>
    <row r="752">
      <c r="A752" t="n">
        <v>750</v>
      </c>
      <c r="B752" t="n">
        <v>0</v>
      </c>
      <c r="C752" t="inlineStr">
        <is>
          <t>No</t>
        </is>
      </c>
      <c r="D752">
        <f>IF(AND(B747=1,B748=1,B749=1,B750=1,B751=1),"Yes","")</f>
        <v/>
      </c>
      <c r="E752" t="inlineStr">
        <is>
          <t>No</t>
        </is>
      </c>
      <c r="F752" t="inlineStr">
        <is>
          <t>No</t>
        </is>
      </c>
      <c r="G752">
        <f>IF(F752="Yes",1-B752,B752)</f>
        <v/>
      </c>
      <c r="H752">
        <f>IF(E752="Yes","",COUNTIFS($E$2:E752,"No"))</f>
        <v/>
      </c>
      <c r="I752">
        <f>IF(H752="","",IF(H752&lt;=128,"address",IF(H752&lt;=600,"data1",IF(H752&lt;=1264,"zero-run1",IF(H752&lt;=1648,"data2",IF(H752&lt;=2176,"zero-run2",IF(H752&lt;=2192,"FCS","trailing")))))))</f>
        <v/>
      </c>
      <c r="J752">
        <f>IFERROR(IF(AND(H752&lt;&gt;"",H752&gt;=129,H752&lt;=2176),INDEX(Fields!$B$2:$B$206,MATCH(H752-129,Fields!$D$2:$D$206,1)),""),"")</f>
        <v/>
      </c>
      <c r="K752">
        <f>IFERROR(IF(AND(H752&lt;&gt;"",H752&gt;=129,H752&lt;=2176),INDEX(Fields!$C$2:$C$206,MATCH(H752-129,Fields!$D$2:$D$206,1)),""),"")</f>
        <v/>
      </c>
      <c r="L752">
        <f>IFERROR(IF(AND(H752&lt;&gt;"",H752&gt;=129,H752&lt;=2176),INDEX(Fields!$J$2:$J$206,MATCH(H752-129,Fields!$D$2:$D$206,1)),""),"")</f>
        <v/>
      </c>
      <c r="M752">
        <f>IFERROR(IF(AND(H752&lt;&gt;"",H752&gt;=129,H752&lt;=2176),INDEX(Fields!$K$2:$K$206,MATCH(H752-129,Fields!$D$2:$D$206,1)),""),"")</f>
        <v/>
      </c>
    </row>
    <row r="753">
      <c r="A753" t="n">
        <v>751</v>
      </c>
      <c r="B753" t="n">
        <v>0</v>
      </c>
      <c r="C753" t="inlineStr">
        <is>
          <t>No</t>
        </is>
      </c>
      <c r="D753">
        <f>IF(AND(B748=1,B749=1,B750=1,B751=1,B752=1),"Yes","")</f>
        <v/>
      </c>
      <c r="E753" t="inlineStr">
        <is>
          <t>No</t>
        </is>
      </c>
      <c r="F753" t="inlineStr">
        <is>
          <t>No</t>
        </is>
      </c>
      <c r="G753">
        <f>IF(F753="Yes",1-B753,B753)</f>
        <v/>
      </c>
      <c r="H753">
        <f>IF(E753="Yes","",COUNTIFS($E$2:E753,"No"))</f>
        <v/>
      </c>
      <c r="I753">
        <f>IF(H753="","",IF(H753&lt;=128,"address",IF(H753&lt;=600,"data1",IF(H753&lt;=1264,"zero-run1",IF(H753&lt;=1648,"data2",IF(H753&lt;=2176,"zero-run2",IF(H753&lt;=2192,"FCS","trailing")))))))</f>
        <v/>
      </c>
      <c r="J753">
        <f>IFERROR(IF(AND(H753&lt;&gt;"",H753&gt;=129,H753&lt;=2176),INDEX(Fields!$B$2:$B$206,MATCH(H753-129,Fields!$D$2:$D$206,1)),""),"")</f>
        <v/>
      </c>
      <c r="K753">
        <f>IFERROR(IF(AND(H753&lt;&gt;"",H753&gt;=129,H753&lt;=2176),INDEX(Fields!$C$2:$C$206,MATCH(H753-129,Fields!$D$2:$D$206,1)),""),"")</f>
        <v/>
      </c>
      <c r="L753">
        <f>IFERROR(IF(AND(H753&lt;&gt;"",H753&gt;=129,H753&lt;=2176),INDEX(Fields!$J$2:$J$206,MATCH(H753-129,Fields!$D$2:$D$206,1)),""),"")</f>
        <v/>
      </c>
      <c r="M753">
        <f>IFERROR(IF(AND(H753&lt;&gt;"",H753&gt;=129,H753&lt;=2176),INDEX(Fields!$K$2:$K$206,MATCH(H753-129,Fields!$D$2:$D$206,1)),""),"")</f>
        <v/>
      </c>
    </row>
    <row r="754">
      <c r="A754" t="n">
        <v>752</v>
      </c>
      <c r="B754" t="n">
        <v>0</v>
      </c>
      <c r="C754" t="inlineStr">
        <is>
          <t>No</t>
        </is>
      </c>
      <c r="D754">
        <f>IF(AND(B749=1,B750=1,B751=1,B752=1,B753=1),"Yes","")</f>
        <v/>
      </c>
      <c r="E754" t="inlineStr">
        <is>
          <t>No</t>
        </is>
      </c>
      <c r="F754" t="inlineStr">
        <is>
          <t>No</t>
        </is>
      </c>
      <c r="G754">
        <f>IF(F754="Yes",1-B754,B754)</f>
        <v/>
      </c>
      <c r="H754">
        <f>IF(E754="Yes","",COUNTIFS($E$2:E754,"No"))</f>
        <v/>
      </c>
      <c r="I754">
        <f>IF(H754="","",IF(H754&lt;=128,"address",IF(H754&lt;=600,"data1",IF(H754&lt;=1264,"zero-run1",IF(H754&lt;=1648,"data2",IF(H754&lt;=2176,"zero-run2",IF(H754&lt;=2192,"FCS","trailing")))))))</f>
        <v/>
      </c>
      <c r="J754">
        <f>IFERROR(IF(AND(H754&lt;&gt;"",H754&gt;=129,H754&lt;=2176),INDEX(Fields!$B$2:$B$206,MATCH(H754-129,Fields!$D$2:$D$206,1)),""),"")</f>
        <v/>
      </c>
      <c r="K754">
        <f>IFERROR(IF(AND(H754&lt;&gt;"",H754&gt;=129,H754&lt;=2176),INDEX(Fields!$C$2:$C$206,MATCH(H754-129,Fields!$D$2:$D$206,1)),""),"")</f>
        <v/>
      </c>
      <c r="L754">
        <f>IFERROR(IF(AND(H754&lt;&gt;"",H754&gt;=129,H754&lt;=2176),INDEX(Fields!$J$2:$J$206,MATCH(H754-129,Fields!$D$2:$D$206,1)),""),"")</f>
        <v/>
      </c>
      <c r="M754">
        <f>IFERROR(IF(AND(H754&lt;&gt;"",H754&gt;=129,H754&lt;=2176),INDEX(Fields!$K$2:$K$206,MATCH(H754-129,Fields!$D$2:$D$206,1)),""),"")</f>
        <v/>
      </c>
    </row>
    <row r="755">
      <c r="A755" t="n">
        <v>753</v>
      </c>
      <c r="B755" t="n">
        <v>0</v>
      </c>
      <c r="C755" t="inlineStr">
        <is>
          <t>No</t>
        </is>
      </c>
      <c r="D755">
        <f>IF(AND(B750=1,B751=1,B752=1,B753=1,B754=1),"Yes","")</f>
        <v/>
      </c>
      <c r="E755" t="inlineStr">
        <is>
          <t>No</t>
        </is>
      </c>
      <c r="F755" t="inlineStr">
        <is>
          <t>No</t>
        </is>
      </c>
      <c r="G755">
        <f>IF(F755="Yes",1-B755,B755)</f>
        <v/>
      </c>
      <c r="H755">
        <f>IF(E755="Yes","",COUNTIFS($E$2:E755,"No"))</f>
        <v/>
      </c>
      <c r="I755">
        <f>IF(H755="","",IF(H755&lt;=128,"address",IF(H755&lt;=600,"data1",IF(H755&lt;=1264,"zero-run1",IF(H755&lt;=1648,"data2",IF(H755&lt;=2176,"zero-run2",IF(H755&lt;=2192,"FCS","trailing")))))))</f>
        <v/>
      </c>
      <c r="J755">
        <f>IFERROR(IF(AND(H755&lt;&gt;"",H755&gt;=129,H755&lt;=2176),INDEX(Fields!$B$2:$B$206,MATCH(H755-129,Fields!$D$2:$D$206,1)),""),"")</f>
        <v/>
      </c>
      <c r="K755">
        <f>IFERROR(IF(AND(H755&lt;&gt;"",H755&gt;=129,H755&lt;=2176),INDEX(Fields!$C$2:$C$206,MATCH(H755-129,Fields!$D$2:$D$206,1)),""),"")</f>
        <v/>
      </c>
      <c r="L755">
        <f>IFERROR(IF(AND(H755&lt;&gt;"",H755&gt;=129,H755&lt;=2176),INDEX(Fields!$J$2:$J$206,MATCH(H755-129,Fields!$D$2:$D$206,1)),""),"")</f>
        <v/>
      </c>
      <c r="M755">
        <f>IFERROR(IF(AND(H755&lt;&gt;"",H755&gt;=129,H755&lt;=2176),INDEX(Fields!$K$2:$K$206,MATCH(H755-129,Fields!$D$2:$D$206,1)),""),"")</f>
        <v/>
      </c>
    </row>
    <row r="756">
      <c r="A756" t="n">
        <v>754</v>
      </c>
      <c r="B756" t="n">
        <v>0</v>
      </c>
      <c r="C756" t="inlineStr">
        <is>
          <t>No</t>
        </is>
      </c>
      <c r="D756">
        <f>IF(AND(B751=1,B752=1,B753=1,B754=1,B755=1),"Yes","")</f>
        <v/>
      </c>
      <c r="E756" t="inlineStr">
        <is>
          <t>No</t>
        </is>
      </c>
      <c r="F756" t="inlineStr">
        <is>
          <t>No</t>
        </is>
      </c>
      <c r="G756">
        <f>IF(F756="Yes",1-B756,B756)</f>
        <v/>
      </c>
      <c r="H756">
        <f>IF(E756="Yes","",COUNTIFS($E$2:E756,"No"))</f>
        <v/>
      </c>
      <c r="I756">
        <f>IF(H756="","",IF(H756&lt;=128,"address",IF(H756&lt;=600,"data1",IF(H756&lt;=1264,"zero-run1",IF(H756&lt;=1648,"data2",IF(H756&lt;=2176,"zero-run2",IF(H756&lt;=2192,"FCS","trailing")))))))</f>
        <v/>
      </c>
      <c r="J756">
        <f>IFERROR(IF(AND(H756&lt;&gt;"",H756&gt;=129,H756&lt;=2176),INDEX(Fields!$B$2:$B$206,MATCH(H756-129,Fields!$D$2:$D$206,1)),""),"")</f>
        <v/>
      </c>
      <c r="K756">
        <f>IFERROR(IF(AND(H756&lt;&gt;"",H756&gt;=129,H756&lt;=2176),INDEX(Fields!$C$2:$C$206,MATCH(H756-129,Fields!$D$2:$D$206,1)),""),"")</f>
        <v/>
      </c>
      <c r="L756">
        <f>IFERROR(IF(AND(H756&lt;&gt;"",H756&gt;=129,H756&lt;=2176),INDEX(Fields!$J$2:$J$206,MATCH(H756-129,Fields!$D$2:$D$206,1)),""),"")</f>
        <v/>
      </c>
      <c r="M756">
        <f>IFERROR(IF(AND(H756&lt;&gt;"",H756&gt;=129,H756&lt;=2176),INDEX(Fields!$K$2:$K$206,MATCH(H756-129,Fields!$D$2:$D$206,1)),""),"")</f>
        <v/>
      </c>
    </row>
    <row r="757">
      <c r="A757" t="n">
        <v>755</v>
      </c>
      <c r="B757" t="n">
        <v>0</v>
      </c>
      <c r="C757" t="inlineStr">
        <is>
          <t>No</t>
        </is>
      </c>
      <c r="D757">
        <f>IF(AND(B752=1,B753=1,B754=1,B755=1,B756=1),"Yes","")</f>
        <v/>
      </c>
      <c r="E757" t="inlineStr">
        <is>
          <t>No</t>
        </is>
      </c>
      <c r="F757" t="inlineStr">
        <is>
          <t>No</t>
        </is>
      </c>
      <c r="G757">
        <f>IF(F757="Yes",1-B757,B757)</f>
        <v/>
      </c>
      <c r="H757">
        <f>IF(E757="Yes","",COUNTIFS($E$2:E757,"No"))</f>
        <v/>
      </c>
      <c r="I757">
        <f>IF(H757="","",IF(H757&lt;=128,"address",IF(H757&lt;=600,"data1",IF(H757&lt;=1264,"zero-run1",IF(H757&lt;=1648,"data2",IF(H757&lt;=2176,"zero-run2",IF(H757&lt;=2192,"FCS","trailing")))))))</f>
        <v/>
      </c>
      <c r="J757">
        <f>IFERROR(IF(AND(H757&lt;&gt;"",H757&gt;=129,H757&lt;=2176),INDEX(Fields!$B$2:$B$206,MATCH(H757-129,Fields!$D$2:$D$206,1)),""),"")</f>
        <v/>
      </c>
      <c r="K757">
        <f>IFERROR(IF(AND(H757&lt;&gt;"",H757&gt;=129,H757&lt;=2176),INDEX(Fields!$C$2:$C$206,MATCH(H757-129,Fields!$D$2:$D$206,1)),""),"")</f>
        <v/>
      </c>
      <c r="L757">
        <f>IFERROR(IF(AND(H757&lt;&gt;"",H757&gt;=129,H757&lt;=2176),INDEX(Fields!$J$2:$J$206,MATCH(H757-129,Fields!$D$2:$D$206,1)),""),"")</f>
        <v/>
      </c>
      <c r="M757">
        <f>IFERROR(IF(AND(H757&lt;&gt;"",H757&gt;=129,H757&lt;=2176),INDEX(Fields!$K$2:$K$206,MATCH(H757-129,Fields!$D$2:$D$206,1)),""),"")</f>
        <v/>
      </c>
    </row>
    <row r="758">
      <c r="A758" t="n">
        <v>756</v>
      </c>
      <c r="B758" t="n">
        <v>0</v>
      </c>
      <c r="C758" t="inlineStr">
        <is>
          <t>No</t>
        </is>
      </c>
      <c r="D758">
        <f>IF(AND(B753=1,B754=1,B755=1,B756=1,B757=1),"Yes","")</f>
        <v/>
      </c>
      <c r="E758" t="inlineStr">
        <is>
          <t>No</t>
        </is>
      </c>
      <c r="F758" t="inlineStr">
        <is>
          <t>No</t>
        </is>
      </c>
      <c r="G758">
        <f>IF(F758="Yes",1-B758,B758)</f>
        <v/>
      </c>
      <c r="H758">
        <f>IF(E758="Yes","",COUNTIFS($E$2:E758,"No"))</f>
        <v/>
      </c>
      <c r="I758">
        <f>IF(H758="","",IF(H758&lt;=128,"address",IF(H758&lt;=600,"data1",IF(H758&lt;=1264,"zero-run1",IF(H758&lt;=1648,"data2",IF(H758&lt;=2176,"zero-run2",IF(H758&lt;=2192,"FCS","trailing")))))))</f>
        <v/>
      </c>
      <c r="J758">
        <f>IFERROR(IF(AND(H758&lt;&gt;"",H758&gt;=129,H758&lt;=2176),INDEX(Fields!$B$2:$B$206,MATCH(H758-129,Fields!$D$2:$D$206,1)),""),"")</f>
        <v/>
      </c>
      <c r="K758">
        <f>IFERROR(IF(AND(H758&lt;&gt;"",H758&gt;=129,H758&lt;=2176),INDEX(Fields!$C$2:$C$206,MATCH(H758-129,Fields!$D$2:$D$206,1)),""),"")</f>
        <v/>
      </c>
      <c r="L758">
        <f>IFERROR(IF(AND(H758&lt;&gt;"",H758&gt;=129,H758&lt;=2176),INDEX(Fields!$J$2:$J$206,MATCH(H758-129,Fields!$D$2:$D$206,1)),""),"")</f>
        <v/>
      </c>
      <c r="M758">
        <f>IFERROR(IF(AND(H758&lt;&gt;"",H758&gt;=129,H758&lt;=2176),INDEX(Fields!$K$2:$K$206,MATCH(H758-129,Fields!$D$2:$D$206,1)),""),"")</f>
        <v/>
      </c>
    </row>
    <row r="759">
      <c r="A759" t="n">
        <v>757</v>
      </c>
      <c r="B759" t="n">
        <v>0</v>
      </c>
      <c r="C759" t="inlineStr">
        <is>
          <t>No</t>
        </is>
      </c>
      <c r="D759">
        <f>IF(AND(B754=1,B755=1,B756=1,B757=1,B758=1),"Yes","")</f>
        <v/>
      </c>
      <c r="E759" t="inlineStr">
        <is>
          <t>No</t>
        </is>
      </c>
      <c r="F759" t="inlineStr">
        <is>
          <t>No</t>
        </is>
      </c>
      <c r="G759">
        <f>IF(F759="Yes",1-B759,B759)</f>
        <v/>
      </c>
      <c r="H759">
        <f>IF(E759="Yes","",COUNTIFS($E$2:E759,"No"))</f>
        <v/>
      </c>
      <c r="I759">
        <f>IF(H759="","",IF(H759&lt;=128,"address",IF(H759&lt;=600,"data1",IF(H759&lt;=1264,"zero-run1",IF(H759&lt;=1648,"data2",IF(H759&lt;=2176,"zero-run2",IF(H759&lt;=2192,"FCS","trailing")))))))</f>
        <v/>
      </c>
      <c r="J759">
        <f>IFERROR(IF(AND(H759&lt;&gt;"",H759&gt;=129,H759&lt;=2176),INDEX(Fields!$B$2:$B$206,MATCH(H759-129,Fields!$D$2:$D$206,1)),""),"")</f>
        <v/>
      </c>
      <c r="K759">
        <f>IFERROR(IF(AND(H759&lt;&gt;"",H759&gt;=129,H759&lt;=2176),INDEX(Fields!$C$2:$C$206,MATCH(H759-129,Fields!$D$2:$D$206,1)),""),"")</f>
        <v/>
      </c>
      <c r="L759">
        <f>IFERROR(IF(AND(H759&lt;&gt;"",H759&gt;=129,H759&lt;=2176),INDEX(Fields!$J$2:$J$206,MATCH(H759-129,Fields!$D$2:$D$206,1)),""),"")</f>
        <v/>
      </c>
      <c r="M759">
        <f>IFERROR(IF(AND(H759&lt;&gt;"",H759&gt;=129,H759&lt;=2176),INDEX(Fields!$K$2:$K$206,MATCH(H759-129,Fields!$D$2:$D$206,1)),""),"")</f>
        <v/>
      </c>
    </row>
    <row r="760">
      <c r="A760" t="n">
        <v>758</v>
      </c>
      <c r="B760" t="n">
        <v>0</v>
      </c>
      <c r="C760" t="inlineStr">
        <is>
          <t>No</t>
        </is>
      </c>
      <c r="D760">
        <f>IF(AND(B755=1,B756=1,B757=1,B758=1,B759=1),"Yes","")</f>
        <v/>
      </c>
      <c r="E760" t="inlineStr">
        <is>
          <t>No</t>
        </is>
      </c>
      <c r="F760" t="inlineStr">
        <is>
          <t>No</t>
        </is>
      </c>
      <c r="G760">
        <f>IF(F760="Yes",1-B760,B760)</f>
        <v/>
      </c>
      <c r="H760">
        <f>IF(E760="Yes","",COUNTIFS($E$2:E760,"No"))</f>
        <v/>
      </c>
      <c r="I760">
        <f>IF(H760="","",IF(H760&lt;=128,"address",IF(H760&lt;=600,"data1",IF(H760&lt;=1264,"zero-run1",IF(H760&lt;=1648,"data2",IF(H760&lt;=2176,"zero-run2",IF(H760&lt;=2192,"FCS","trailing")))))))</f>
        <v/>
      </c>
      <c r="J760">
        <f>IFERROR(IF(AND(H760&lt;&gt;"",H760&gt;=129,H760&lt;=2176),INDEX(Fields!$B$2:$B$206,MATCH(H760-129,Fields!$D$2:$D$206,1)),""),"")</f>
        <v/>
      </c>
      <c r="K760">
        <f>IFERROR(IF(AND(H760&lt;&gt;"",H760&gt;=129,H760&lt;=2176),INDEX(Fields!$C$2:$C$206,MATCH(H760-129,Fields!$D$2:$D$206,1)),""),"")</f>
        <v/>
      </c>
      <c r="L760">
        <f>IFERROR(IF(AND(H760&lt;&gt;"",H760&gt;=129,H760&lt;=2176),INDEX(Fields!$J$2:$J$206,MATCH(H760-129,Fields!$D$2:$D$206,1)),""),"")</f>
        <v/>
      </c>
      <c r="M760">
        <f>IFERROR(IF(AND(H760&lt;&gt;"",H760&gt;=129,H760&lt;=2176),INDEX(Fields!$K$2:$K$206,MATCH(H760-129,Fields!$D$2:$D$206,1)),""),"")</f>
        <v/>
      </c>
    </row>
    <row r="761">
      <c r="A761" t="n">
        <v>759</v>
      </c>
      <c r="B761" t="n">
        <v>0</v>
      </c>
      <c r="C761" t="inlineStr">
        <is>
          <t>No</t>
        </is>
      </c>
      <c r="D761">
        <f>IF(AND(B756=1,B757=1,B758=1,B759=1,B760=1),"Yes","")</f>
        <v/>
      </c>
      <c r="E761" t="inlineStr">
        <is>
          <t>No</t>
        </is>
      </c>
      <c r="F761" t="inlineStr">
        <is>
          <t>No</t>
        </is>
      </c>
      <c r="G761">
        <f>IF(F761="Yes",1-B761,B761)</f>
        <v/>
      </c>
      <c r="H761">
        <f>IF(E761="Yes","",COUNTIFS($E$2:E761,"No"))</f>
        <v/>
      </c>
      <c r="I761">
        <f>IF(H761="","",IF(H761&lt;=128,"address",IF(H761&lt;=600,"data1",IF(H761&lt;=1264,"zero-run1",IF(H761&lt;=1648,"data2",IF(H761&lt;=2176,"zero-run2",IF(H761&lt;=2192,"FCS","trailing")))))))</f>
        <v/>
      </c>
      <c r="J761">
        <f>IFERROR(IF(AND(H761&lt;&gt;"",H761&gt;=129,H761&lt;=2176),INDEX(Fields!$B$2:$B$206,MATCH(H761-129,Fields!$D$2:$D$206,1)),""),"")</f>
        <v/>
      </c>
      <c r="K761">
        <f>IFERROR(IF(AND(H761&lt;&gt;"",H761&gt;=129,H761&lt;=2176),INDEX(Fields!$C$2:$C$206,MATCH(H761-129,Fields!$D$2:$D$206,1)),""),"")</f>
        <v/>
      </c>
      <c r="L761">
        <f>IFERROR(IF(AND(H761&lt;&gt;"",H761&gt;=129,H761&lt;=2176),INDEX(Fields!$J$2:$J$206,MATCH(H761-129,Fields!$D$2:$D$206,1)),""),"")</f>
        <v/>
      </c>
      <c r="M761">
        <f>IFERROR(IF(AND(H761&lt;&gt;"",H761&gt;=129,H761&lt;=2176),INDEX(Fields!$K$2:$K$206,MATCH(H761-129,Fields!$D$2:$D$206,1)),""),"")</f>
        <v/>
      </c>
    </row>
    <row r="762">
      <c r="A762" t="n">
        <v>760</v>
      </c>
      <c r="B762" t="n">
        <v>0</v>
      </c>
      <c r="C762" t="inlineStr">
        <is>
          <t>No</t>
        </is>
      </c>
      <c r="D762">
        <f>IF(AND(B757=1,B758=1,B759=1,B760=1,B761=1),"Yes","")</f>
        <v/>
      </c>
      <c r="E762" t="inlineStr">
        <is>
          <t>No</t>
        </is>
      </c>
      <c r="F762" t="inlineStr">
        <is>
          <t>No</t>
        </is>
      </c>
      <c r="G762">
        <f>IF(F762="Yes",1-B762,B762)</f>
        <v/>
      </c>
      <c r="H762">
        <f>IF(E762="Yes","",COUNTIFS($E$2:E762,"No"))</f>
        <v/>
      </c>
      <c r="I762">
        <f>IF(H762="","",IF(H762&lt;=128,"address",IF(H762&lt;=600,"data1",IF(H762&lt;=1264,"zero-run1",IF(H762&lt;=1648,"data2",IF(H762&lt;=2176,"zero-run2",IF(H762&lt;=2192,"FCS","trailing")))))))</f>
        <v/>
      </c>
      <c r="J762">
        <f>IFERROR(IF(AND(H762&lt;&gt;"",H762&gt;=129,H762&lt;=2176),INDEX(Fields!$B$2:$B$206,MATCH(H762-129,Fields!$D$2:$D$206,1)),""),"")</f>
        <v/>
      </c>
      <c r="K762">
        <f>IFERROR(IF(AND(H762&lt;&gt;"",H762&gt;=129,H762&lt;=2176),INDEX(Fields!$C$2:$C$206,MATCH(H762-129,Fields!$D$2:$D$206,1)),""),"")</f>
        <v/>
      </c>
      <c r="L762">
        <f>IFERROR(IF(AND(H762&lt;&gt;"",H762&gt;=129,H762&lt;=2176),INDEX(Fields!$J$2:$J$206,MATCH(H762-129,Fields!$D$2:$D$206,1)),""),"")</f>
        <v/>
      </c>
      <c r="M762">
        <f>IFERROR(IF(AND(H762&lt;&gt;"",H762&gt;=129,H762&lt;=2176),INDEX(Fields!$K$2:$K$206,MATCH(H762-129,Fields!$D$2:$D$206,1)),""),"")</f>
        <v/>
      </c>
    </row>
    <row r="763">
      <c r="A763" t="n">
        <v>761</v>
      </c>
      <c r="B763" t="n">
        <v>0</v>
      </c>
      <c r="C763" t="inlineStr">
        <is>
          <t>No</t>
        </is>
      </c>
      <c r="D763">
        <f>IF(AND(B758=1,B759=1,B760=1,B761=1,B762=1),"Yes","")</f>
        <v/>
      </c>
      <c r="E763" t="inlineStr">
        <is>
          <t>No</t>
        </is>
      </c>
      <c r="F763" t="inlineStr">
        <is>
          <t>No</t>
        </is>
      </c>
      <c r="G763">
        <f>IF(F763="Yes",1-B763,B763)</f>
        <v/>
      </c>
      <c r="H763">
        <f>IF(E763="Yes","",COUNTIFS($E$2:E763,"No"))</f>
        <v/>
      </c>
      <c r="I763">
        <f>IF(H763="","",IF(H763&lt;=128,"address",IF(H763&lt;=600,"data1",IF(H763&lt;=1264,"zero-run1",IF(H763&lt;=1648,"data2",IF(H763&lt;=2176,"zero-run2",IF(H763&lt;=2192,"FCS","trailing")))))))</f>
        <v/>
      </c>
      <c r="J763">
        <f>IFERROR(IF(AND(H763&lt;&gt;"",H763&gt;=129,H763&lt;=2176),INDEX(Fields!$B$2:$B$206,MATCH(H763-129,Fields!$D$2:$D$206,1)),""),"")</f>
        <v/>
      </c>
      <c r="K763">
        <f>IFERROR(IF(AND(H763&lt;&gt;"",H763&gt;=129,H763&lt;=2176),INDEX(Fields!$C$2:$C$206,MATCH(H763-129,Fields!$D$2:$D$206,1)),""),"")</f>
        <v/>
      </c>
      <c r="L763">
        <f>IFERROR(IF(AND(H763&lt;&gt;"",H763&gt;=129,H763&lt;=2176),INDEX(Fields!$J$2:$J$206,MATCH(H763-129,Fields!$D$2:$D$206,1)),""),"")</f>
        <v/>
      </c>
      <c r="M763">
        <f>IFERROR(IF(AND(H763&lt;&gt;"",H763&gt;=129,H763&lt;=2176),INDEX(Fields!$K$2:$K$206,MATCH(H763-129,Fields!$D$2:$D$206,1)),""),"")</f>
        <v/>
      </c>
    </row>
    <row r="764">
      <c r="A764" t="n">
        <v>762</v>
      </c>
      <c r="B764" t="n">
        <v>0</v>
      </c>
      <c r="C764" t="inlineStr">
        <is>
          <t>No</t>
        </is>
      </c>
      <c r="D764">
        <f>IF(AND(B759=1,B760=1,B761=1,B762=1,B763=1),"Yes","")</f>
        <v/>
      </c>
      <c r="E764" t="inlineStr">
        <is>
          <t>No</t>
        </is>
      </c>
      <c r="F764" t="inlineStr">
        <is>
          <t>No</t>
        </is>
      </c>
      <c r="G764">
        <f>IF(F764="Yes",1-B764,B764)</f>
        <v/>
      </c>
      <c r="H764">
        <f>IF(E764="Yes","",COUNTIFS($E$2:E764,"No"))</f>
        <v/>
      </c>
      <c r="I764">
        <f>IF(H764="","",IF(H764&lt;=128,"address",IF(H764&lt;=600,"data1",IF(H764&lt;=1264,"zero-run1",IF(H764&lt;=1648,"data2",IF(H764&lt;=2176,"zero-run2",IF(H764&lt;=2192,"FCS","trailing")))))))</f>
        <v/>
      </c>
      <c r="J764">
        <f>IFERROR(IF(AND(H764&lt;&gt;"",H764&gt;=129,H764&lt;=2176),INDEX(Fields!$B$2:$B$206,MATCH(H764-129,Fields!$D$2:$D$206,1)),""),"")</f>
        <v/>
      </c>
      <c r="K764">
        <f>IFERROR(IF(AND(H764&lt;&gt;"",H764&gt;=129,H764&lt;=2176),INDEX(Fields!$C$2:$C$206,MATCH(H764-129,Fields!$D$2:$D$206,1)),""),"")</f>
        <v/>
      </c>
      <c r="L764">
        <f>IFERROR(IF(AND(H764&lt;&gt;"",H764&gt;=129,H764&lt;=2176),INDEX(Fields!$J$2:$J$206,MATCH(H764-129,Fields!$D$2:$D$206,1)),""),"")</f>
        <v/>
      </c>
      <c r="M764">
        <f>IFERROR(IF(AND(H764&lt;&gt;"",H764&gt;=129,H764&lt;=2176),INDEX(Fields!$K$2:$K$206,MATCH(H764-129,Fields!$D$2:$D$206,1)),""),"")</f>
        <v/>
      </c>
    </row>
    <row r="765">
      <c r="A765" t="n">
        <v>763</v>
      </c>
      <c r="B765" t="n">
        <v>0</v>
      </c>
      <c r="C765" t="inlineStr">
        <is>
          <t>No</t>
        </is>
      </c>
      <c r="D765">
        <f>IF(AND(B760=1,B761=1,B762=1,B763=1,B764=1),"Yes","")</f>
        <v/>
      </c>
      <c r="E765" t="inlineStr">
        <is>
          <t>No</t>
        </is>
      </c>
      <c r="F765" t="inlineStr">
        <is>
          <t>No</t>
        </is>
      </c>
      <c r="G765">
        <f>IF(F765="Yes",1-B765,B765)</f>
        <v/>
      </c>
      <c r="H765">
        <f>IF(E765="Yes","",COUNTIFS($E$2:E765,"No"))</f>
        <v/>
      </c>
      <c r="I765">
        <f>IF(H765="","",IF(H765&lt;=128,"address",IF(H765&lt;=600,"data1",IF(H765&lt;=1264,"zero-run1",IF(H765&lt;=1648,"data2",IF(H765&lt;=2176,"zero-run2",IF(H765&lt;=2192,"FCS","trailing")))))))</f>
        <v/>
      </c>
      <c r="J765">
        <f>IFERROR(IF(AND(H765&lt;&gt;"",H765&gt;=129,H765&lt;=2176),INDEX(Fields!$B$2:$B$206,MATCH(H765-129,Fields!$D$2:$D$206,1)),""),"")</f>
        <v/>
      </c>
      <c r="K765">
        <f>IFERROR(IF(AND(H765&lt;&gt;"",H765&gt;=129,H765&lt;=2176),INDEX(Fields!$C$2:$C$206,MATCH(H765-129,Fields!$D$2:$D$206,1)),""),"")</f>
        <v/>
      </c>
      <c r="L765">
        <f>IFERROR(IF(AND(H765&lt;&gt;"",H765&gt;=129,H765&lt;=2176),INDEX(Fields!$J$2:$J$206,MATCH(H765-129,Fields!$D$2:$D$206,1)),""),"")</f>
        <v/>
      </c>
      <c r="M765">
        <f>IFERROR(IF(AND(H765&lt;&gt;"",H765&gt;=129,H765&lt;=2176),INDEX(Fields!$K$2:$K$206,MATCH(H765-129,Fields!$D$2:$D$206,1)),""),"")</f>
        <v/>
      </c>
    </row>
    <row r="766">
      <c r="A766" t="n">
        <v>764</v>
      </c>
      <c r="B766" t="n">
        <v>0</v>
      </c>
      <c r="C766" t="inlineStr">
        <is>
          <t>No</t>
        </is>
      </c>
      <c r="D766">
        <f>IF(AND(B761=1,B762=1,B763=1,B764=1,B765=1),"Yes","")</f>
        <v/>
      </c>
      <c r="E766" t="inlineStr">
        <is>
          <t>No</t>
        </is>
      </c>
      <c r="F766" t="inlineStr">
        <is>
          <t>No</t>
        </is>
      </c>
      <c r="G766">
        <f>IF(F766="Yes",1-B766,B766)</f>
        <v/>
      </c>
      <c r="H766">
        <f>IF(E766="Yes","",COUNTIFS($E$2:E766,"No"))</f>
        <v/>
      </c>
      <c r="I766">
        <f>IF(H766="","",IF(H766&lt;=128,"address",IF(H766&lt;=600,"data1",IF(H766&lt;=1264,"zero-run1",IF(H766&lt;=1648,"data2",IF(H766&lt;=2176,"zero-run2",IF(H766&lt;=2192,"FCS","trailing")))))))</f>
        <v/>
      </c>
      <c r="J766">
        <f>IFERROR(IF(AND(H766&lt;&gt;"",H766&gt;=129,H766&lt;=2176),INDEX(Fields!$B$2:$B$206,MATCH(H766-129,Fields!$D$2:$D$206,1)),""),"")</f>
        <v/>
      </c>
      <c r="K766">
        <f>IFERROR(IF(AND(H766&lt;&gt;"",H766&gt;=129,H766&lt;=2176),INDEX(Fields!$C$2:$C$206,MATCH(H766-129,Fields!$D$2:$D$206,1)),""),"")</f>
        <v/>
      </c>
      <c r="L766">
        <f>IFERROR(IF(AND(H766&lt;&gt;"",H766&gt;=129,H766&lt;=2176),INDEX(Fields!$J$2:$J$206,MATCH(H766-129,Fields!$D$2:$D$206,1)),""),"")</f>
        <v/>
      </c>
      <c r="M766">
        <f>IFERROR(IF(AND(H766&lt;&gt;"",H766&gt;=129,H766&lt;=2176),INDEX(Fields!$K$2:$K$206,MATCH(H766-129,Fields!$D$2:$D$206,1)),""),"")</f>
        <v/>
      </c>
    </row>
    <row r="767">
      <c r="A767" t="n">
        <v>765</v>
      </c>
      <c r="B767" t="n">
        <v>0</v>
      </c>
      <c r="C767" t="inlineStr">
        <is>
          <t>No</t>
        </is>
      </c>
      <c r="D767">
        <f>IF(AND(B762=1,B763=1,B764=1,B765=1,B766=1),"Yes","")</f>
        <v/>
      </c>
      <c r="E767" t="inlineStr">
        <is>
          <t>No</t>
        </is>
      </c>
      <c r="F767" t="inlineStr">
        <is>
          <t>No</t>
        </is>
      </c>
      <c r="G767">
        <f>IF(F767="Yes",1-B767,B767)</f>
        <v/>
      </c>
      <c r="H767">
        <f>IF(E767="Yes","",COUNTIFS($E$2:E767,"No"))</f>
        <v/>
      </c>
      <c r="I767">
        <f>IF(H767="","",IF(H767&lt;=128,"address",IF(H767&lt;=600,"data1",IF(H767&lt;=1264,"zero-run1",IF(H767&lt;=1648,"data2",IF(H767&lt;=2176,"zero-run2",IF(H767&lt;=2192,"FCS","trailing")))))))</f>
        <v/>
      </c>
      <c r="J767">
        <f>IFERROR(IF(AND(H767&lt;&gt;"",H767&gt;=129,H767&lt;=2176),INDEX(Fields!$B$2:$B$206,MATCH(H767-129,Fields!$D$2:$D$206,1)),""),"")</f>
        <v/>
      </c>
      <c r="K767">
        <f>IFERROR(IF(AND(H767&lt;&gt;"",H767&gt;=129,H767&lt;=2176),INDEX(Fields!$C$2:$C$206,MATCH(H767-129,Fields!$D$2:$D$206,1)),""),"")</f>
        <v/>
      </c>
      <c r="L767">
        <f>IFERROR(IF(AND(H767&lt;&gt;"",H767&gt;=129,H767&lt;=2176),INDEX(Fields!$J$2:$J$206,MATCH(H767-129,Fields!$D$2:$D$206,1)),""),"")</f>
        <v/>
      </c>
      <c r="M767">
        <f>IFERROR(IF(AND(H767&lt;&gt;"",H767&gt;=129,H767&lt;=2176),INDEX(Fields!$K$2:$K$206,MATCH(H767-129,Fields!$D$2:$D$206,1)),""),"")</f>
        <v/>
      </c>
    </row>
    <row r="768">
      <c r="A768" t="n">
        <v>766</v>
      </c>
      <c r="B768" t="n">
        <v>0</v>
      </c>
      <c r="C768" t="inlineStr">
        <is>
          <t>No</t>
        </is>
      </c>
      <c r="D768">
        <f>IF(AND(B763=1,B764=1,B765=1,B766=1,B767=1),"Yes","")</f>
        <v/>
      </c>
      <c r="E768" t="inlineStr">
        <is>
          <t>No</t>
        </is>
      </c>
      <c r="F768" t="inlineStr">
        <is>
          <t>No</t>
        </is>
      </c>
      <c r="G768">
        <f>IF(F768="Yes",1-B768,B768)</f>
        <v/>
      </c>
      <c r="H768">
        <f>IF(E768="Yes","",COUNTIFS($E$2:E768,"No"))</f>
        <v/>
      </c>
      <c r="I768">
        <f>IF(H768="","",IF(H768&lt;=128,"address",IF(H768&lt;=600,"data1",IF(H768&lt;=1264,"zero-run1",IF(H768&lt;=1648,"data2",IF(H768&lt;=2176,"zero-run2",IF(H768&lt;=2192,"FCS","trailing")))))))</f>
        <v/>
      </c>
      <c r="J768">
        <f>IFERROR(IF(AND(H768&lt;&gt;"",H768&gt;=129,H768&lt;=2176),INDEX(Fields!$B$2:$B$206,MATCH(H768-129,Fields!$D$2:$D$206,1)),""),"")</f>
        <v/>
      </c>
      <c r="K768">
        <f>IFERROR(IF(AND(H768&lt;&gt;"",H768&gt;=129,H768&lt;=2176),INDEX(Fields!$C$2:$C$206,MATCH(H768-129,Fields!$D$2:$D$206,1)),""),"")</f>
        <v/>
      </c>
      <c r="L768">
        <f>IFERROR(IF(AND(H768&lt;&gt;"",H768&gt;=129,H768&lt;=2176),INDEX(Fields!$J$2:$J$206,MATCH(H768-129,Fields!$D$2:$D$206,1)),""),"")</f>
        <v/>
      </c>
      <c r="M768">
        <f>IFERROR(IF(AND(H768&lt;&gt;"",H768&gt;=129,H768&lt;=2176),INDEX(Fields!$K$2:$K$206,MATCH(H768-129,Fields!$D$2:$D$206,1)),""),"")</f>
        <v/>
      </c>
    </row>
    <row r="769">
      <c r="A769" t="n">
        <v>767</v>
      </c>
      <c r="B769" t="n">
        <v>0</v>
      </c>
      <c r="C769" t="inlineStr">
        <is>
          <t>No</t>
        </is>
      </c>
      <c r="D769">
        <f>IF(AND(B764=1,B765=1,B766=1,B767=1,B768=1),"Yes","")</f>
        <v/>
      </c>
      <c r="E769" t="inlineStr">
        <is>
          <t>No</t>
        </is>
      </c>
      <c r="F769" t="inlineStr">
        <is>
          <t>No</t>
        </is>
      </c>
      <c r="G769">
        <f>IF(F769="Yes",1-B769,B769)</f>
        <v/>
      </c>
      <c r="H769">
        <f>IF(E769="Yes","",COUNTIFS($E$2:E769,"No"))</f>
        <v/>
      </c>
      <c r="I769">
        <f>IF(H769="","",IF(H769&lt;=128,"address",IF(H769&lt;=600,"data1",IF(H769&lt;=1264,"zero-run1",IF(H769&lt;=1648,"data2",IF(H769&lt;=2176,"zero-run2",IF(H769&lt;=2192,"FCS","trailing")))))))</f>
        <v/>
      </c>
      <c r="J769">
        <f>IFERROR(IF(AND(H769&lt;&gt;"",H769&gt;=129,H769&lt;=2176),INDEX(Fields!$B$2:$B$206,MATCH(H769-129,Fields!$D$2:$D$206,1)),""),"")</f>
        <v/>
      </c>
      <c r="K769">
        <f>IFERROR(IF(AND(H769&lt;&gt;"",H769&gt;=129,H769&lt;=2176),INDEX(Fields!$C$2:$C$206,MATCH(H769-129,Fields!$D$2:$D$206,1)),""),"")</f>
        <v/>
      </c>
      <c r="L769">
        <f>IFERROR(IF(AND(H769&lt;&gt;"",H769&gt;=129,H769&lt;=2176),INDEX(Fields!$J$2:$J$206,MATCH(H769-129,Fields!$D$2:$D$206,1)),""),"")</f>
        <v/>
      </c>
      <c r="M769">
        <f>IFERROR(IF(AND(H769&lt;&gt;"",H769&gt;=129,H769&lt;=2176),INDEX(Fields!$K$2:$K$206,MATCH(H769-129,Fields!$D$2:$D$206,1)),""),"")</f>
        <v/>
      </c>
    </row>
    <row r="770">
      <c r="A770" t="n">
        <v>768</v>
      </c>
      <c r="B770" t="n">
        <v>0</v>
      </c>
      <c r="C770" t="inlineStr">
        <is>
          <t>No</t>
        </is>
      </c>
      <c r="D770">
        <f>IF(AND(B765=1,B766=1,B767=1,B768=1,B769=1),"Yes","")</f>
        <v/>
      </c>
      <c r="E770" t="inlineStr">
        <is>
          <t>No</t>
        </is>
      </c>
      <c r="F770" t="inlineStr">
        <is>
          <t>No</t>
        </is>
      </c>
      <c r="G770">
        <f>IF(F770="Yes",1-B770,B770)</f>
        <v/>
      </c>
      <c r="H770">
        <f>IF(E770="Yes","",COUNTIFS($E$2:E770,"No"))</f>
        <v/>
      </c>
      <c r="I770">
        <f>IF(H770="","",IF(H770&lt;=128,"address",IF(H770&lt;=600,"data1",IF(H770&lt;=1264,"zero-run1",IF(H770&lt;=1648,"data2",IF(H770&lt;=2176,"zero-run2",IF(H770&lt;=2192,"FCS","trailing")))))))</f>
        <v/>
      </c>
      <c r="J770">
        <f>IFERROR(IF(AND(H770&lt;&gt;"",H770&gt;=129,H770&lt;=2176),INDEX(Fields!$B$2:$B$206,MATCH(H770-129,Fields!$D$2:$D$206,1)),""),"")</f>
        <v/>
      </c>
      <c r="K770">
        <f>IFERROR(IF(AND(H770&lt;&gt;"",H770&gt;=129,H770&lt;=2176),INDEX(Fields!$C$2:$C$206,MATCH(H770-129,Fields!$D$2:$D$206,1)),""),"")</f>
        <v/>
      </c>
      <c r="L770">
        <f>IFERROR(IF(AND(H770&lt;&gt;"",H770&gt;=129,H770&lt;=2176),INDEX(Fields!$J$2:$J$206,MATCH(H770-129,Fields!$D$2:$D$206,1)),""),"")</f>
        <v/>
      </c>
      <c r="M770">
        <f>IFERROR(IF(AND(H770&lt;&gt;"",H770&gt;=129,H770&lt;=2176),INDEX(Fields!$K$2:$K$206,MATCH(H770-129,Fields!$D$2:$D$206,1)),""),"")</f>
        <v/>
      </c>
    </row>
    <row r="771">
      <c r="A771" t="n">
        <v>769</v>
      </c>
      <c r="B771" t="n">
        <v>0</v>
      </c>
      <c r="C771" t="inlineStr">
        <is>
          <t>No</t>
        </is>
      </c>
      <c r="D771">
        <f>IF(AND(B766=1,B767=1,B768=1,B769=1,B770=1),"Yes","")</f>
        <v/>
      </c>
      <c r="E771" t="inlineStr">
        <is>
          <t>No</t>
        </is>
      </c>
      <c r="F771" t="inlineStr">
        <is>
          <t>No</t>
        </is>
      </c>
      <c r="G771">
        <f>IF(F771="Yes",1-B771,B771)</f>
        <v/>
      </c>
      <c r="H771">
        <f>IF(E771="Yes","",COUNTIFS($E$2:E771,"No"))</f>
        <v/>
      </c>
      <c r="I771">
        <f>IF(H771="","",IF(H771&lt;=128,"address",IF(H771&lt;=600,"data1",IF(H771&lt;=1264,"zero-run1",IF(H771&lt;=1648,"data2",IF(H771&lt;=2176,"zero-run2",IF(H771&lt;=2192,"FCS","trailing")))))))</f>
        <v/>
      </c>
      <c r="J771">
        <f>IFERROR(IF(AND(H771&lt;&gt;"",H771&gt;=129,H771&lt;=2176),INDEX(Fields!$B$2:$B$206,MATCH(H771-129,Fields!$D$2:$D$206,1)),""),"")</f>
        <v/>
      </c>
      <c r="K771">
        <f>IFERROR(IF(AND(H771&lt;&gt;"",H771&gt;=129,H771&lt;=2176),INDEX(Fields!$C$2:$C$206,MATCH(H771-129,Fields!$D$2:$D$206,1)),""),"")</f>
        <v/>
      </c>
      <c r="L771">
        <f>IFERROR(IF(AND(H771&lt;&gt;"",H771&gt;=129,H771&lt;=2176),INDEX(Fields!$J$2:$J$206,MATCH(H771-129,Fields!$D$2:$D$206,1)),""),"")</f>
        <v/>
      </c>
      <c r="M771">
        <f>IFERROR(IF(AND(H771&lt;&gt;"",H771&gt;=129,H771&lt;=2176),INDEX(Fields!$K$2:$K$206,MATCH(H771-129,Fields!$D$2:$D$206,1)),""),"")</f>
        <v/>
      </c>
    </row>
    <row r="772">
      <c r="A772" t="n">
        <v>770</v>
      </c>
      <c r="B772" t="n">
        <v>0</v>
      </c>
      <c r="C772" t="inlineStr">
        <is>
          <t>No</t>
        </is>
      </c>
      <c r="D772">
        <f>IF(AND(B767=1,B768=1,B769=1,B770=1,B771=1),"Yes","")</f>
        <v/>
      </c>
      <c r="E772" t="inlineStr">
        <is>
          <t>No</t>
        </is>
      </c>
      <c r="F772" t="inlineStr">
        <is>
          <t>No</t>
        </is>
      </c>
      <c r="G772">
        <f>IF(F772="Yes",1-B772,B772)</f>
        <v/>
      </c>
      <c r="H772">
        <f>IF(E772="Yes","",COUNTIFS($E$2:E772,"No"))</f>
        <v/>
      </c>
      <c r="I772">
        <f>IF(H772="","",IF(H772&lt;=128,"address",IF(H772&lt;=600,"data1",IF(H772&lt;=1264,"zero-run1",IF(H772&lt;=1648,"data2",IF(H772&lt;=2176,"zero-run2",IF(H772&lt;=2192,"FCS","trailing")))))))</f>
        <v/>
      </c>
      <c r="J772">
        <f>IFERROR(IF(AND(H772&lt;&gt;"",H772&gt;=129,H772&lt;=2176),INDEX(Fields!$B$2:$B$206,MATCH(H772-129,Fields!$D$2:$D$206,1)),""),"")</f>
        <v/>
      </c>
      <c r="K772">
        <f>IFERROR(IF(AND(H772&lt;&gt;"",H772&gt;=129,H772&lt;=2176),INDEX(Fields!$C$2:$C$206,MATCH(H772-129,Fields!$D$2:$D$206,1)),""),"")</f>
        <v/>
      </c>
      <c r="L772">
        <f>IFERROR(IF(AND(H772&lt;&gt;"",H772&gt;=129,H772&lt;=2176),INDEX(Fields!$J$2:$J$206,MATCH(H772-129,Fields!$D$2:$D$206,1)),""),"")</f>
        <v/>
      </c>
      <c r="M772">
        <f>IFERROR(IF(AND(H772&lt;&gt;"",H772&gt;=129,H772&lt;=2176),INDEX(Fields!$K$2:$K$206,MATCH(H772-129,Fields!$D$2:$D$206,1)),""),"")</f>
        <v/>
      </c>
    </row>
    <row r="773">
      <c r="A773" t="n">
        <v>771</v>
      </c>
      <c r="B773" t="n">
        <v>0</v>
      </c>
      <c r="C773" t="inlineStr">
        <is>
          <t>No</t>
        </is>
      </c>
      <c r="D773">
        <f>IF(AND(B768=1,B769=1,B770=1,B771=1,B772=1),"Yes","")</f>
        <v/>
      </c>
      <c r="E773" t="inlineStr">
        <is>
          <t>No</t>
        </is>
      </c>
      <c r="F773" t="inlineStr">
        <is>
          <t>No</t>
        </is>
      </c>
      <c r="G773">
        <f>IF(F773="Yes",1-B773,B773)</f>
        <v/>
      </c>
      <c r="H773">
        <f>IF(E773="Yes","",COUNTIFS($E$2:E773,"No"))</f>
        <v/>
      </c>
      <c r="I773">
        <f>IF(H773="","",IF(H773&lt;=128,"address",IF(H773&lt;=600,"data1",IF(H773&lt;=1264,"zero-run1",IF(H773&lt;=1648,"data2",IF(H773&lt;=2176,"zero-run2",IF(H773&lt;=2192,"FCS","trailing")))))))</f>
        <v/>
      </c>
      <c r="J773">
        <f>IFERROR(IF(AND(H773&lt;&gt;"",H773&gt;=129,H773&lt;=2176),INDEX(Fields!$B$2:$B$206,MATCH(H773-129,Fields!$D$2:$D$206,1)),""),"")</f>
        <v/>
      </c>
      <c r="K773">
        <f>IFERROR(IF(AND(H773&lt;&gt;"",H773&gt;=129,H773&lt;=2176),INDEX(Fields!$C$2:$C$206,MATCH(H773-129,Fields!$D$2:$D$206,1)),""),"")</f>
        <v/>
      </c>
      <c r="L773">
        <f>IFERROR(IF(AND(H773&lt;&gt;"",H773&gt;=129,H773&lt;=2176),INDEX(Fields!$J$2:$J$206,MATCH(H773-129,Fields!$D$2:$D$206,1)),""),"")</f>
        <v/>
      </c>
      <c r="M773">
        <f>IFERROR(IF(AND(H773&lt;&gt;"",H773&gt;=129,H773&lt;=2176),INDEX(Fields!$K$2:$K$206,MATCH(H773-129,Fields!$D$2:$D$206,1)),""),"")</f>
        <v/>
      </c>
    </row>
    <row r="774">
      <c r="A774" t="n">
        <v>772</v>
      </c>
      <c r="B774" t="n">
        <v>0</v>
      </c>
      <c r="C774" t="inlineStr">
        <is>
          <t>No</t>
        </is>
      </c>
      <c r="D774">
        <f>IF(AND(B769=1,B770=1,B771=1,B772=1,B773=1),"Yes","")</f>
        <v/>
      </c>
      <c r="E774" t="inlineStr">
        <is>
          <t>No</t>
        </is>
      </c>
      <c r="F774" t="inlineStr">
        <is>
          <t>No</t>
        </is>
      </c>
      <c r="G774">
        <f>IF(F774="Yes",1-B774,B774)</f>
        <v/>
      </c>
      <c r="H774">
        <f>IF(E774="Yes","",COUNTIFS($E$2:E774,"No"))</f>
        <v/>
      </c>
      <c r="I774">
        <f>IF(H774="","",IF(H774&lt;=128,"address",IF(H774&lt;=600,"data1",IF(H774&lt;=1264,"zero-run1",IF(H774&lt;=1648,"data2",IF(H774&lt;=2176,"zero-run2",IF(H774&lt;=2192,"FCS","trailing")))))))</f>
        <v/>
      </c>
      <c r="J774">
        <f>IFERROR(IF(AND(H774&lt;&gt;"",H774&gt;=129,H774&lt;=2176),INDEX(Fields!$B$2:$B$206,MATCH(H774-129,Fields!$D$2:$D$206,1)),""),"")</f>
        <v/>
      </c>
      <c r="K774">
        <f>IFERROR(IF(AND(H774&lt;&gt;"",H774&gt;=129,H774&lt;=2176),INDEX(Fields!$C$2:$C$206,MATCH(H774-129,Fields!$D$2:$D$206,1)),""),"")</f>
        <v/>
      </c>
      <c r="L774">
        <f>IFERROR(IF(AND(H774&lt;&gt;"",H774&gt;=129,H774&lt;=2176),INDEX(Fields!$J$2:$J$206,MATCH(H774-129,Fields!$D$2:$D$206,1)),""),"")</f>
        <v/>
      </c>
      <c r="M774">
        <f>IFERROR(IF(AND(H774&lt;&gt;"",H774&gt;=129,H774&lt;=2176),INDEX(Fields!$K$2:$K$206,MATCH(H774-129,Fields!$D$2:$D$206,1)),""),"")</f>
        <v/>
      </c>
    </row>
    <row r="775">
      <c r="A775" t="n">
        <v>773</v>
      </c>
      <c r="B775" t="n">
        <v>0</v>
      </c>
      <c r="C775" t="inlineStr">
        <is>
          <t>No</t>
        </is>
      </c>
      <c r="D775">
        <f>IF(AND(B770=1,B771=1,B772=1,B773=1,B774=1),"Yes","")</f>
        <v/>
      </c>
      <c r="E775" t="inlineStr">
        <is>
          <t>No</t>
        </is>
      </c>
      <c r="F775" t="inlineStr">
        <is>
          <t>No</t>
        </is>
      </c>
      <c r="G775">
        <f>IF(F775="Yes",1-B775,B775)</f>
        <v/>
      </c>
      <c r="H775">
        <f>IF(E775="Yes","",COUNTIFS($E$2:E775,"No"))</f>
        <v/>
      </c>
      <c r="I775">
        <f>IF(H775="","",IF(H775&lt;=128,"address",IF(H775&lt;=600,"data1",IF(H775&lt;=1264,"zero-run1",IF(H775&lt;=1648,"data2",IF(H775&lt;=2176,"zero-run2",IF(H775&lt;=2192,"FCS","trailing")))))))</f>
        <v/>
      </c>
      <c r="J775">
        <f>IFERROR(IF(AND(H775&lt;&gt;"",H775&gt;=129,H775&lt;=2176),INDEX(Fields!$B$2:$B$206,MATCH(H775-129,Fields!$D$2:$D$206,1)),""),"")</f>
        <v/>
      </c>
      <c r="K775">
        <f>IFERROR(IF(AND(H775&lt;&gt;"",H775&gt;=129,H775&lt;=2176),INDEX(Fields!$C$2:$C$206,MATCH(H775-129,Fields!$D$2:$D$206,1)),""),"")</f>
        <v/>
      </c>
      <c r="L775">
        <f>IFERROR(IF(AND(H775&lt;&gt;"",H775&gt;=129,H775&lt;=2176),INDEX(Fields!$J$2:$J$206,MATCH(H775-129,Fields!$D$2:$D$206,1)),""),"")</f>
        <v/>
      </c>
      <c r="M775">
        <f>IFERROR(IF(AND(H775&lt;&gt;"",H775&gt;=129,H775&lt;=2176),INDEX(Fields!$K$2:$K$206,MATCH(H775-129,Fields!$D$2:$D$206,1)),""),"")</f>
        <v/>
      </c>
    </row>
    <row r="776">
      <c r="A776" t="n">
        <v>774</v>
      </c>
      <c r="B776" t="n">
        <v>0</v>
      </c>
      <c r="C776" t="inlineStr">
        <is>
          <t>No</t>
        </is>
      </c>
      <c r="D776">
        <f>IF(AND(B771=1,B772=1,B773=1,B774=1,B775=1),"Yes","")</f>
        <v/>
      </c>
      <c r="E776" t="inlineStr">
        <is>
          <t>No</t>
        </is>
      </c>
      <c r="F776" t="inlineStr">
        <is>
          <t>No</t>
        </is>
      </c>
      <c r="G776">
        <f>IF(F776="Yes",1-B776,B776)</f>
        <v/>
      </c>
      <c r="H776">
        <f>IF(E776="Yes","",COUNTIFS($E$2:E776,"No"))</f>
        <v/>
      </c>
      <c r="I776">
        <f>IF(H776="","",IF(H776&lt;=128,"address",IF(H776&lt;=600,"data1",IF(H776&lt;=1264,"zero-run1",IF(H776&lt;=1648,"data2",IF(H776&lt;=2176,"zero-run2",IF(H776&lt;=2192,"FCS","trailing")))))))</f>
        <v/>
      </c>
      <c r="J776">
        <f>IFERROR(IF(AND(H776&lt;&gt;"",H776&gt;=129,H776&lt;=2176),INDEX(Fields!$B$2:$B$206,MATCH(H776-129,Fields!$D$2:$D$206,1)),""),"")</f>
        <v/>
      </c>
      <c r="K776">
        <f>IFERROR(IF(AND(H776&lt;&gt;"",H776&gt;=129,H776&lt;=2176),INDEX(Fields!$C$2:$C$206,MATCH(H776-129,Fields!$D$2:$D$206,1)),""),"")</f>
        <v/>
      </c>
      <c r="L776">
        <f>IFERROR(IF(AND(H776&lt;&gt;"",H776&gt;=129,H776&lt;=2176),INDEX(Fields!$J$2:$J$206,MATCH(H776-129,Fields!$D$2:$D$206,1)),""),"")</f>
        <v/>
      </c>
      <c r="M776">
        <f>IFERROR(IF(AND(H776&lt;&gt;"",H776&gt;=129,H776&lt;=2176),INDEX(Fields!$K$2:$K$206,MATCH(H776-129,Fields!$D$2:$D$206,1)),""),"")</f>
        <v/>
      </c>
    </row>
    <row r="777">
      <c r="A777" t="n">
        <v>775</v>
      </c>
      <c r="B777" t="n">
        <v>0</v>
      </c>
      <c r="C777" t="inlineStr">
        <is>
          <t>No</t>
        </is>
      </c>
      <c r="D777">
        <f>IF(AND(B772=1,B773=1,B774=1,B775=1,B776=1),"Yes","")</f>
        <v/>
      </c>
      <c r="E777" t="inlineStr">
        <is>
          <t>No</t>
        </is>
      </c>
      <c r="F777" t="inlineStr">
        <is>
          <t>No</t>
        </is>
      </c>
      <c r="G777">
        <f>IF(F777="Yes",1-B777,B777)</f>
        <v/>
      </c>
      <c r="H777">
        <f>IF(E777="Yes","",COUNTIFS($E$2:E777,"No"))</f>
        <v/>
      </c>
      <c r="I777">
        <f>IF(H777="","",IF(H777&lt;=128,"address",IF(H777&lt;=600,"data1",IF(H777&lt;=1264,"zero-run1",IF(H777&lt;=1648,"data2",IF(H777&lt;=2176,"zero-run2",IF(H777&lt;=2192,"FCS","trailing")))))))</f>
        <v/>
      </c>
      <c r="J777">
        <f>IFERROR(IF(AND(H777&lt;&gt;"",H777&gt;=129,H777&lt;=2176),INDEX(Fields!$B$2:$B$206,MATCH(H777-129,Fields!$D$2:$D$206,1)),""),"")</f>
        <v/>
      </c>
      <c r="K777">
        <f>IFERROR(IF(AND(H777&lt;&gt;"",H777&gt;=129,H777&lt;=2176),INDEX(Fields!$C$2:$C$206,MATCH(H777-129,Fields!$D$2:$D$206,1)),""),"")</f>
        <v/>
      </c>
      <c r="L777">
        <f>IFERROR(IF(AND(H777&lt;&gt;"",H777&gt;=129,H777&lt;=2176),INDEX(Fields!$J$2:$J$206,MATCH(H777-129,Fields!$D$2:$D$206,1)),""),"")</f>
        <v/>
      </c>
      <c r="M777">
        <f>IFERROR(IF(AND(H777&lt;&gt;"",H777&gt;=129,H777&lt;=2176),INDEX(Fields!$K$2:$K$206,MATCH(H777-129,Fields!$D$2:$D$206,1)),""),"")</f>
        <v/>
      </c>
    </row>
    <row r="778">
      <c r="A778" t="n">
        <v>776</v>
      </c>
      <c r="B778" t="n">
        <v>0</v>
      </c>
      <c r="C778" t="inlineStr">
        <is>
          <t>No</t>
        </is>
      </c>
      <c r="D778">
        <f>IF(AND(B773=1,B774=1,B775=1,B776=1,B777=1),"Yes","")</f>
        <v/>
      </c>
      <c r="E778" t="inlineStr">
        <is>
          <t>No</t>
        </is>
      </c>
      <c r="F778" t="inlineStr">
        <is>
          <t>No</t>
        </is>
      </c>
      <c r="G778">
        <f>IF(F778="Yes",1-B778,B778)</f>
        <v/>
      </c>
      <c r="H778">
        <f>IF(E778="Yes","",COUNTIFS($E$2:E778,"No"))</f>
        <v/>
      </c>
      <c r="I778">
        <f>IF(H778="","",IF(H778&lt;=128,"address",IF(H778&lt;=600,"data1",IF(H778&lt;=1264,"zero-run1",IF(H778&lt;=1648,"data2",IF(H778&lt;=2176,"zero-run2",IF(H778&lt;=2192,"FCS","trailing")))))))</f>
        <v/>
      </c>
      <c r="J778">
        <f>IFERROR(IF(AND(H778&lt;&gt;"",H778&gt;=129,H778&lt;=2176),INDEX(Fields!$B$2:$B$206,MATCH(H778-129,Fields!$D$2:$D$206,1)),""),"")</f>
        <v/>
      </c>
      <c r="K778">
        <f>IFERROR(IF(AND(H778&lt;&gt;"",H778&gt;=129,H778&lt;=2176),INDEX(Fields!$C$2:$C$206,MATCH(H778-129,Fields!$D$2:$D$206,1)),""),"")</f>
        <v/>
      </c>
      <c r="L778">
        <f>IFERROR(IF(AND(H778&lt;&gt;"",H778&gt;=129,H778&lt;=2176),INDEX(Fields!$J$2:$J$206,MATCH(H778-129,Fields!$D$2:$D$206,1)),""),"")</f>
        <v/>
      </c>
      <c r="M778">
        <f>IFERROR(IF(AND(H778&lt;&gt;"",H778&gt;=129,H778&lt;=2176),INDEX(Fields!$K$2:$K$206,MATCH(H778-129,Fields!$D$2:$D$206,1)),""),"")</f>
        <v/>
      </c>
    </row>
    <row r="779">
      <c r="A779" t="n">
        <v>777</v>
      </c>
      <c r="B779" t="n">
        <v>0</v>
      </c>
      <c r="C779" t="inlineStr">
        <is>
          <t>No</t>
        </is>
      </c>
      <c r="D779">
        <f>IF(AND(B774=1,B775=1,B776=1,B777=1,B778=1),"Yes","")</f>
        <v/>
      </c>
      <c r="E779" t="inlineStr">
        <is>
          <t>No</t>
        </is>
      </c>
      <c r="F779" t="inlineStr">
        <is>
          <t>No</t>
        </is>
      </c>
      <c r="G779">
        <f>IF(F779="Yes",1-B779,B779)</f>
        <v/>
      </c>
      <c r="H779">
        <f>IF(E779="Yes","",COUNTIFS($E$2:E779,"No"))</f>
        <v/>
      </c>
      <c r="I779">
        <f>IF(H779="","",IF(H779&lt;=128,"address",IF(H779&lt;=600,"data1",IF(H779&lt;=1264,"zero-run1",IF(H779&lt;=1648,"data2",IF(H779&lt;=2176,"zero-run2",IF(H779&lt;=2192,"FCS","trailing")))))))</f>
        <v/>
      </c>
      <c r="J779">
        <f>IFERROR(IF(AND(H779&lt;&gt;"",H779&gt;=129,H779&lt;=2176),INDEX(Fields!$B$2:$B$206,MATCH(H779-129,Fields!$D$2:$D$206,1)),""),"")</f>
        <v/>
      </c>
      <c r="K779">
        <f>IFERROR(IF(AND(H779&lt;&gt;"",H779&gt;=129,H779&lt;=2176),INDEX(Fields!$C$2:$C$206,MATCH(H779-129,Fields!$D$2:$D$206,1)),""),"")</f>
        <v/>
      </c>
      <c r="L779">
        <f>IFERROR(IF(AND(H779&lt;&gt;"",H779&gt;=129,H779&lt;=2176),INDEX(Fields!$J$2:$J$206,MATCH(H779-129,Fields!$D$2:$D$206,1)),""),"")</f>
        <v/>
      </c>
      <c r="M779">
        <f>IFERROR(IF(AND(H779&lt;&gt;"",H779&gt;=129,H779&lt;=2176),INDEX(Fields!$K$2:$K$206,MATCH(H779-129,Fields!$D$2:$D$206,1)),""),"")</f>
        <v/>
      </c>
    </row>
    <row r="780">
      <c r="A780" t="n">
        <v>778</v>
      </c>
      <c r="B780" t="n">
        <v>0</v>
      </c>
      <c r="C780" t="inlineStr">
        <is>
          <t>No</t>
        </is>
      </c>
      <c r="D780">
        <f>IF(AND(B775=1,B776=1,B777=1,B778=1,B779=1),"Yes","")</f>
        <v/>
      </c>
      <c r="E780" t="inlineStr">
        <is>
          <t>No</t>
        </is>
      </c>
      <c r="F780" t="inlineStr">
        <is>
          <t>No</t>
        </is>
      </c>
      <c r="G780">
        <f>IF(F780="Yes",1-B780,B780)</f>
        <v/>
      </c>
      <c r="H780">
        <f>IF(E780="Yes","",COUNTIFS($E$2:E780,"No"))</f>
        <v/>
      </c>
      <c r="I780">
        <f>IF(H780="","",IF(H780&lt;=128,"address",IF(H780&lt;=600,"data1",IF(H780&lt;=1264,"zero-run1",IF(H780&lt;=1648,"data2",IF(H780&lt;=2176,"zero-run2",IF(H780&lt;=2192,"FCS","trailing")))))))</f>
        <v/>
      </c>
      <c r="J780">
        <f>IFERROR(IF(AND(H780&lt;&gt;"",H780&gt;=129,H780&lt;=2176),INDEX(Fields!$B$2:$B$206,MATCH(H780-129,Fields!$D$2:$D$206,1)),""),"")</f>
        <v/>
      </c>
      <c r="K780">
        <f>IFERROR(IF(AND(H780&lt;&gt;"",H780&gt;=129,H780&lt;=2176),INDEX(Fields!$C$2:$C$206,MATCH(H780-129,Fields!$D$2:$D$206,1)),""),"")</f>
        <v/>
      </c>
      <c r="L780">
        <f>IFERROR(IF(AND(H780&lt;&gt;"",H780&gt;=129,H780&lt;=2176),INDEX(Fields!$J$2:$J$206,MATCH(H780-129,Fields!$D$2:$D$206,1)),""),"")</f>
        <v/>
      </c>
      <c r="M780">
        <f>IFERROR(IF(AND(H780&lt;&gt;"",H780&gt;=129,H780&lt;=2176),INDEX(Fields!$K$2:$K$206,MATCH(H780-129,Fields!$D$2:$D$206,1)),""),"")</f>
        <v/>
      </c>
    </row>
    <row r="781">
      <c r="A781" t="n">
        <v>779</v>
      </c>
      <c r="B781" t="n">
        <v>0</v>
      </c>
      <c r="C781" t="inlineStr">
        <is>
          <t>No</t>
        </is>
      </c>
      <c r="D781">
        <f>IF(AND(B776=1,B777=1,B778=1,B779=1,B780=1),"Yes","")</f>
        <v/>
      </c>
      <c r="E781" t="inlineStr">
        <is>
          <t>No</t>
        </is>
      </c>
      <c r="F781" t="inlineStr">
        <is>
          <t>No</t>
        </is>
      </c>
      <c r="G781">
        <f>IF(F781="Yes",1-B781,B781)</f>
        <v/>
      </c>
      <c r="H781">
        <f>IF(E781="Yes","",COUNTIFS($E$2:E781,"No"))</f>
        <v/>
      </c>
      <c r="I781">
        <f>IF(H781="","",IF(H781&lt;=128,"address",IF(H781&lt;=600,"data1",IF(H781&lt;=1264,"zero-run1",IF(H781&lt;=1648,"data2",IF(H781&lt;=2176,"zero-run2",IF(H781&lt;=2192,"FCS","trailing")))))))</f>
        <v/>
      </c>
      <c r="J781">
        <f>IFERROR(IF(AND(H781&lt;&gt;"",H781&gt;=129,H781&lt;=2176),INDEX(Fields!$B$2:$B$206,MATCH(H781-129,Fields!$D$2:$D$206,1)),""),"")</f>
        <v/>
      </c>
      <c r="K781">
        <f>IFERROR(IF(AND(H781&lt;&gt;"",H781&gt;=129,H781&lt;=2176),INDEX(Fields!$C$2:$C$206,MATCH(H781-129,Fields!$D$2:$D$206,1)),""),"")</f>
        <v/>
      </c>
      <c r="L781">
        <f>IFERROR(IF(AND(H781&lt;&gt;"",H781&gt;=129,H781&lt;=2176),INDEX(Fields!$J$2:$J$206,MATCH(H781-129,Fields!$D$2:$D$206,1)),""),"")</f>
        <v/>
      </c>
      <c r="M781">
        <f>IFERROR(IF(AND(H781&lt;&gt;"",H781&gt;=129,H781&lt;=2176),INDEX(Fields!$K$2:$K$206,MATCH(H781-129,Fields!$D$2:$D$206,1)),""),"")</f>
        <v/>
      </c>
    </row>
    <row r="782">
      <c r="A782" t="n">
        <v>780</v>
      </c>
      <c r="B782" t="n">
        <v>0</v>
      </c>
      <c r="C782" t="inlineStr">
        <is>
          <t>No</t>
        </is>
      </c>
      <c r="D782">
        <f>IF(AND(B777=1,B778=1,B779=1,B780=1,B781=1),"Yes","")</f>
        <v/>
      </c>
      <c r="E782" t="inlineStr">
        <is>
          <t>No</t>
        </is>
      </c>
      <c r="F782" t="inlineStr">
        <is>
          <t>No</t>
        </is>
      </c>
      <c r="G782">
        <f>IF(F782="Yes",1-B782,B782)</f>
        <v/>
      </c>
      <c r="H782">
        <f>IF(E782="Yes","",COUNTIFS($E$2:E782,"No"))</f>
        <v/>
      </c>
      <c r="I782">
        <f>IF(H782="","",IF(H782&lt;=128,"address",IF(H782&lt;=600,"data1",IF(H782&lt;=1264,"zero-run1",IF(H782&lt;=1648,"data2",IF(H782&lt;=2176,"zero-run2",IF(H782&lt;=2192,"FCS","trailing")))))))</f>
        <v/>
      </c>
      <c r="J782">
        <f>IFERROR(IF(AND(H782&lt;&gt;"",H782&gt;=129,H782&lt;=2176),INDEX(Fields!$B$2:$B$206,MATCH(H782-129,Fields!$D$2:$D$206,1)),""),"")</f>
        <v/>
      </c>
      <c r="K782">
        <f>IFERROR(IF(AND(H782&lt;&gt;"",H782&gt;=129,H782&lt;=2176),INDEX(Fields!$C$2:$C$206,MATCH(H782-129,Fields!$D$2:$D$206,1)),""),"")</f>
        <v/>
      </c>
      <c r="L782">
        <f>IFERROR(IF(AND(H782&lt;&gt;"",H782&gt;=129,H782&lt;=2176),INDEX(Fields!$J$2:$J$206,MATCH(H782-129,Fields!$D$2:$D$206,1)),""),"")</f>
        <v/>
      </c>
      <c r="M782">
        <f>IFERROR(IF(AND(H782&lt;&gt;"",H782&gt;=129,H782&lt;=2176),INDEX(Fields!$K$2:$K$206,MATCH(H782-129,Fields!$D$2:$D$206,1)),""),"")</f>
        <v/>
      </c>
    </row>
    <row r="783">
      <c r="A783" t="n">
        <v>781</v>
      </c>
      <c r="B783" t="n">
        <v>0</v>
      </c>
      <c r="C783" t="inlineStr">
        <is>
          <t>No</t>
        </is>
      </c>
      <c r="D783">
        <f>IF(AND(B778=1,B779=1,B780=1,B781=1,B782=1),"Yes","")</f>
        <v/>
      </c>
      <c r="E783" t="inlineStr">
        <is>
          <t>No</t>
        </is>
      </c>
      <c r="F783" t="inlineStr">
        <is>
          <t>No</t>
        </is>
      </c>
      <c r="G783">
        <f>IF(F783="Yes",1-B783,B783)</f>
        <v/>
      </c>
      <c r="H783">
        <f>IF(E783="Yes","",COUNTIFS($E$2:E783,"No"))</f>
        <v/>
      </c>
      <c r="I783">
        <f>IF(H783="","",IF(H783&lt;=128,"address",IF(H783&lt;=600,"data1",IF(H783&lt;=1264,"zero-run1",IF(H783&lt;=1648,"data2",IF(H783&lt;=2176,"zero-run2",IF(H783&lt;=2192,"FCS","trailing")))))))</f>
        <v/>
      </c>
      <c r="J783">
        <f>IFERROR(IF(AND(H783&lt;&gt;"",H783&gt;=129,H783&lt;=2176),INDEX(Fields!$B$2:$B$206,MATCH(H783-129,Fields!$D$2:$D$206,1)),""),"")</f>
        <v/>
      </c>
      <c r="K783">
        <f>IFERROR(IF(AND(H783&lt;&gt;"",H783&gt;=129,H783&lt;=2176),INDEX(Fields!$C$2:$C$206,MATCH(H783-129,Fields!$D$2:$D$206,1)),""),"")</f>
        <v/>
      </c>
      <c r="L783">
        <f>IFERROR(IF(AND(H783&lt;&gt;"",H783&gt;=129,H783&lt;=2176),INDEX(Fields!$J$2:$J$206,MATCH(H783-129,Fields!$D$2:$D$206,1)),""),"")</f>
        <v/>
      </c>
      <c r="M783">
        <f>IFERROR(IF(AND(H783&lt;&gt;"",H783&gt;=129,H783&lt;=2176),INDEX(Fields!$K$2:$K$206,MATCH(H783-129,Fields!$D$2:$D$206,1)),""),"")</f>
        <v/>
      </c>
    </row>
    <row r="784">
      <c r="A784" t="n">
        <v>782</v>
      </c>
      <c r="B784" t="n">
        <v>0</v>
      </c>
      <c r="C784" t="inlineStr">
        <is>
          <t>No</t>
        </is>
      </c>
      <c r="D784">
        <f>IF(AND(B779=1,B780=1,B781=1,B782=1,B783=1),"Yes","")</f>
        <v/>
      </c>
      <c r="E784" t="inlineStr">
        <is>
          <t>No</t>
        </is>
      </c>
      <c r="F784" t="inlineStr">
        <is>
          <t>No</t>
        </is>
      </c>
      <c r="G784">
        <f>IF(F784="Yes",1-B784,B784)</f>
        <v/>
      </c>
      <c r="H784">
        <f>IF(E784="Yes","",COUNTIFS($E$2:E784,"No"))</f>
        <v/>
      </c>
      <c r="I784">
        <f>IF(H784="","",IF(H784&lt;=128,"address",IF(H784&lt;=600,"data1",IF(H784&lt;=1264,"zero-run1",IF(H784&lt;=1648,"data2",IF(H784&lt;=2176,"zero-run2",IF(H784&lt;=2192,"FCS","trailing")))))))</f>
        <v/>
      </c>
      <c r="J784">
        <f>IFERROR(IF(AND(H784&lt;&gt;"",H784&gt;=129,H784&lt;=2176),INDEX(Fields!$B$2:$B$206,MATCH(H784-129,Fields!$D$2:$D$206,1)),""),"")</f>
        <v/>
      </c>
      <c r="K784">
        <f>IFERROR(IF(AND(H784&lt;&gt;"",H784&gt;=129,H784&lt;=2176),INDEX(Fields!$C$2:$C$206,MATCH(H784-129,Fields!$D$2:$D$206,1)),""),"")</f>
        <v/>
      </c>
      <c r="L784">
        <f>IFERROR(IF(AND(H784&lt;&gt;"",H784&gt;=129,H784&lt;=2176),INDEX(Fields!$J$2:$J$206,MATCH(H784-129,Fields!$D$2:$D$206,1)),""),"")</f>
        <v/>
      </c>
      <c r="M784">
        <f>IFERROR(IF(AND(H784&lt;&gt;"",H784&gt;=129,H784&lt;=2176),INDEX(Fields!$K$2:$K$206,MATCH(H784-129,Fields!$D$2:$D$206,1)),""),"")</f>
        <v/>
      </c>
    </row>
    <row r="785">
      <c r="A785" t="n">
        <v>783</v>
      </c>
      <c r="B785" t="n">
        <v>0</v>
      </c>
      <c r="C785" t="inlineStr">
        <is>
          <t>No</t>
        </is>
      </c>
      <c r="D785">
        <f>IF(AND(B780=1,B781=1,B782=1,B783=1,B784=1),"Yes","")</f>
        <v/>
      </c>
      <c r="E785" t="inlineStr">
        <is>
          <t>No</t>
        </is>
      </c>
      <c r="F785" t="inlineStr">
        <is>
          <t>No</t>
        </is>
      </c>
      <c r="G785">
        <f>IF(F785="Yes",1-B785,B785)</f>
        <v/>
      </c>
      <c r="H785">
        <f>IF(E785="Yes","",COUNTIFS($E$2:E785,"No"))</f>
        <v/>
      </c>
      <c r="I785">
        <f>IF(H785="","",IF(H785&lt;=128,"address",IF(H785&lt;=600,"data1",IF(H785&lt;=1264,"zero-run1",IF(H785&lt;=1648,"data2",IF(H785&lt;=2176,"zero-run2",IF(H785&lt;=2192,"FCS","trailing")))))))</f>
        <v/>
      </c>
      <c r="J785">
        <f>IFERROR(IF(AND(H785&lt;&gt;"",H785&gt;=129,H785&lt;=2176),INDEX(Fields!$B$2:$B$206,MATCH(H785-129,Fields!$D$2:$D$206,1)),""),"")</f>
        <v/>
      </c>
      <c r="K785">
        <f>IFERROR(IF(AND(H785&lt;&gt;"",H785&gt;=129,H785&lt;=2176),INDEX(Fields!$C$2:$C$206,MATCH(H785-129,Fields!$D$2:$D$206,1)),""),"")</f>
        <v/>
      </c>
      <c r="L785">
        <f>IFERROR(IF(AND(H785&lt;&gt;"",H785&gt;=129,H785&lt;=2176),INDEX(Fields!$J$2:$J$206,MATCH(H785-129,Fields!$D$2:$D$206,1)),""),"")</f>
        <v/>
      </c>
      <c r="M785">
        <f>IFERROR(IF(AND(H785&lt;&gt;"",H785&gt;=129,H785&lt;=2176),INDEX(Fields!$K$2:$K$206,MATCH(H785-129,Fields!$D$2:$D$206,1)),""),"")</f>
        <v/>
      </c>
    </row>
    <row r="786">
      <c r="A786" t="n">
        <v>784</v>
      </c>
      <c r="B786" t="n">
        <v>0</v>
      </c>
      <c r="C786" t="inlineStr">
        <is>
          <t>No</t>
        </is>
      </c>
      <c r="D786">
        <f>IF(AND(B781=1,B782=1,B783=1,B784=1,B785=1),"Yes","")</f>
        <v/>
      </c>
      <c r="E786" t="inlineStr">
        <is>
          <t>No</t>
        </is>
      </c>
      <c r="F786" t="inlineStr">
        <is>
          <t>No</t>
        </is>
      </c>
      <c r="G786">
        <f>IF(F786="Yes",1-B786,B786)</f>
        <v/>
      </c>
      <c r="H786">
        <f>IF(E786="Yes","",COUNTIFS($E$2:E786,"No"))</f>
        <v/>
      </c>
      <c r="I786">
        <f>IF(H786="","",IF(H786&lt;=128,"address",IF(H786&lt;=600,"data1",IF(H786&lt;=1264,"zero-run1",IF(H786&lt;=1648,"data2",IF(H786&lt;=2176,"zero-run2",IF(H786&lt;=2192,"FCS","trailing")))))))</f>
        <v/>
      </c>
      <c r="J786">
        <f>IFERROR(IF(AND(H786&lt;&gt;"",H786&gt;=129,H786&lt;=2176),INDEX(Fields!$B$2:$B$206,MATCH(H786-129,Fields!$D$2:$D$206,1)),""),"")</f>
        <v/>
      </c>
      <c r="K786">
        <f>IFERROR(IF(AND(H786&lt;&gt;"",H786&gt;=129,H786&lt;=2176),INDEX(Fields!$C$2:$C$206,MATCH(H786-129,Fields!$D$2:$D$206,1)),""),"")</f>
        <v/>
      </c>
      <c r="L786">
        <f>IFERROR(IF(AND(H786&lt;&gt;"",H786&gt;=129,H786&lt;=2176),INDEX(Fields!$J$2:$J$206,MATCH(H786-129,Fields!$D$2:$D$206,1)),""),"")</f>
        <v/>
      </c>
      <c r="M786">
        <f>IFERROR(IF(AND(H786&lt;&gt;"",H786&gt;=129,H786&lt;=2176),INDEX(Fields!$K$2:$K$206,MATCH(H786-129,Fields!$D$2:$D$206,1)),""),"")</f>
        <v/>
      </c>
    </row>
    <row r="787">
      <c r="A787" t="n">
        <v>785</v>
      </c>
      <c r="B787" t="n">
        <v>0</v>
      </c>
      <c r="C787" t="inlineStr">
        <is>
          <t>No</t>
        </is>
      </c>
      <c r="D787">
        <f>IF(AND(B782=1,B783=1,B784=1,B785=1,B786=1),"Yes","")</f>
        <v/>
      </c>
      <c r="E787" t="inlineStr">
        <is>
          <t>No</t>
        </is>
      </c>
      <c r="F787" t="inlineStr">
        <is>
          <t>No</t>
        </is>
      </c>
      <c r="G787">
        <f>IF(F787="Yes",1-B787,B787)</f>
        <v/>
      </c>
      <c r="H787">
        <f>IF(E787="Yes","",COUNTIFS($E$2:E787,"No"))</f>
        <v/>
      </c>
      <c r="I787">
        <f>IF(H787="","",IF(H787&lt;=128,"address",IF(H787&lt;=600,"data1",IF(H787&lt;=1264,"zero-run1",IF(H787&lt;=1648,"data2",IF(H787&lt;=2176,"zero-run2",IF(H787&lt;=2192,"FCS","trailing")))))))</f>
        <v/>
      </c>
      <c r="J787">
        <f>IFERROR(IF(AND(H787&lt;&gt;"",H787&gt;=129,H787&lt;=2176),INDEX(Fields!$B$2:$B$206,MATCH(H787-129,Fields!$D$2:$D$206,1)),""),"")</f>
        <v/>
      </c>
      <c r="K787">
        <f>IFERROR(IF(AND(H787&lt;&gt;"",H787&gt;=129,H787&lt;=2176),INDEX(Fields!$C$2:$C$206,MATCH(H787-129,Fields!$D$2:$D$206,1)),""),"")</f>
        <v/>
      </c>
      <c r="L787">
        <f>IFERROR(IF(AND(H787&lt;&gt;"",H787&gt;=129,H787&lt;=2176),INDEX(Fields!$J$2:$J$206,MATCH(H787-129,Fields!$D$2:$D$206,1)),""),"")</f>
        <v/>
      </c>
      <c r="M787">
        <f>IFERROR(IF(AND(H787&lt;&gt;"",H787&gt;=129,H787&lt;=2176),INDEX(Fields!$K$2:$K$206,MATCH(H787-129,Fields!$D$2:$D$206,1)),""),"")</f>
        <v/>
      </c>
    </row>
    <row r="788">
      <c r="A788" t="n">
        <v>786</v>
      </c>
      <c r="B788" t="n">
        <v>0</v>
      </c>
      <c r="C788" t="inlineStr">
        <is>
          <t>No</t>
        </is>
      </c>
      <c r="D788">
        <f>IF(AND(B783=1,B784=1,B785=1,B786=1,B787=1),"Yes","")</f>
        <v/>
      </c>
      <c r="E788" t="inlineStr">
        <is>
          <t>No</t>
        </is>
      </c>
      <c r="F788" t="inlineStr">
        <is>
          <t>No</t>
        </is>
      </c>
      <c r="G788">
        <f>IF(F788="Yes",1-B788,B788)</f>
        <v/>
      </c>
      <c r="H788">
        <f>IF(E788="Yes","",COUNTIFS($E$2:E788,"No"))</f>
        <v/>
      </c>
      <c r="I788">
        <f>IF(H788="","",IF(H788&lt;=128,"address",IF(H788&lt;=600,"data1",IF(H788&lt;=1264,"zero-run1",IF(H788&lt;=1648,"data2",IF(H788&lt;=2176,"zero-run2",IF(H788&lt;=2192,"FCS","trailing")))))))</f>
        <v/>
      </c>
      <c r="J788">
        <f>IFERROR(IF(AND(H788&lt;&gt;"",H788&gt;=129,H788&lt;=2176),INDEX(Fields!$B$2:$B$206,MATCH(H788-129,Fields!$D$2:$D$206,1)),""),"")</f>
        <v/>
      </c>
      <c r="K788">
        <f>IFERROR(IF(AND(H788&lt;&gt;"",H788&gt;=129,H788&lt;=2176),INDEX(Fields!$C$2:$C$206,MATCH(H788-129,Fields!$D$2:$D$206,1)),""),"")</f>
        <v/>
      </c>
      <c r="L788">
        <f>IFERROR(IF(AND(H788&lt;&gt;"",H788&gt;=129,H788&lt;=2176),INDEX(Fields!$J$2:$J$206,MATCH(H788-129,Fields!$D$2:$D$206,1)),""),"")</f>
        <v/>
      </c>
      <c r="M788">
        <f>IFERROR(IF(AND(H788&lt;&gt;"",H788&gt;=129,H788&lt;=2176),INDEX(Fields!$K$2:$K$206,MATCH(H788-129,Fields!$D$2:$D$206,1)),""),"")</f>
        <v/>
      </c>
    </row>
    <row r="789">
      <c r="A789" t="n">
        <v>787</v>
      </c>
      <c r="B789" t="n">
        <v>0</v>
      </c>
      <c r="C789" t="inlineStr">
        <is>
          <t>No</t>
        </is>
      </c>
      <c r="D789">
        <f>IF(AND(B784=1,B785=1,B786=1,B787=1,B788=1),"Yes","")</f>
        <v/>
      </c>
      <c r="E789" t="inlineStr">
        <is>
          <t>No</t>
        </is>
      </c>
      <c r="F789" t="inlineStr">
        <is>
          <t>No</t>
        </is>
      </c>
      <c r="G789">
        <f>IF(F789="Yes",1-B789,B789)</f>
        <v/>
      </c>
      <c r="H789">
        <f>IF(E789="Yes","",COUNTIFS($E$2:E789,"No"))</f>
        <v/>
      </c>
      <c r="I789">
        <f>IF(H789="","",IF(H789&lt;=128,"address",IF(H789&lt;=600,"data1",IF(H789&lt;=1264,"zero-run1",IF(H789&lt;=1648,"data2",IF(H789&lt;=2176,"zero-run2",IF(H789&lt;=2192,"FCS","trailing")))))))</f>
        <v/>
      </c>
      <c r="J789">
        <f>IFERROR(IF(AND(H789&lt;&gt;"",H789&gt;=129,H789&lt;=2176),INDEX(Fields!$B$2:$B$206,MATCH(H789-129,Fields!$D$2:$D$206,1)),""),"")</f>
        <v/>
      </c>
      <c r="K789">
        <f>IFERROR(IF(AND(H789&lt;&gt;"",H789&gt;=129,H789&lt;=2176),INDEX(Fields!$C$2:$C$206,MATCH(H789-129,Fields!$D$2:$D$206,1)),""),"")</f>
        <v/>
      </c>
      <c r="L789">
        <f>IFERROR(IF(AND(H789&lt;&gt;"",H789&gt;=129,H789&lt;=2176),INDEX(Fields!$J$2:$J$206,MATCH(H789-129,Fields!$D$2:$D$206,1)),""),"")</f>
        <v/>
      </c>
      <c r="M789">
        <f>IFERROR(IF(AND(H789&lt;&gt;"",H789&gt;=129,H789&lt;=2176),INDEX(Fields!$K$2:$K$206,MATCH(H789-129,Fields!$D$2:$D$206,1)),""),"")</f>
        <v/>
      </c>
    </row>
    <row r="790">
      <c r="A790" t="n">
        <v>788</v>
      </c>
      <c r="B790" t="n">
        <v>0</v>
      </c>
      <c r="C790" t="inlineStr">
        <is>
          <t>No</t>
        </is>
      </c>
      <c r="D790">
        <f>IF(AND(B785=1,B786=1,B787=1,B788=1,B789=1),"Yes","")</f>
        <v/>
      </c>
      <c r="E790" t="inlineStr">
        <is>
          <t>No</t>
        </is>
      </c>
      <c r="F790" t="inlineStr">
        <is>
          <t>No</t>
        </is>
      </c>
      <c r="G790">
        <f>IF(F790="Yes",1-B790,B790)</f>
        <v/>
      </c>
      <c r="H790">
        <f>IF(E790="Yes","",COUNTIFS($E$2:E790,"No"))</f>
        <v/>
      </c>
      <c r="I790">
        <f>IF(H790="","",IF(H790&lt;=128,"address",IF(H790&lt;=600,"data1",IF(H790&lt;=1264,"zero-run1",IF(H790&lt;=1648,"data2",IF(H790&lt;=2176,"zero-run2",IF(H790&lt;=2192,"FCS","trailing")))))))</f>
        <v/>
      </c>
      <c r="J790">
        <f>IFERROR(IF(AND(H790&lt;&gt;"",H790&gt;=129,H790&lt;=2176),INDEX(Fields!$B$2:$B$206,MATCH(H790-129,Fields!$D$2:$D$206,1)),""),"")</f>
        <v/>
      </c>
      <c r="K790">
        <f>IFERROR(IF(AND(H790&lt;&gt;"",H790&gt;=129,H790&lt;=2176),INDEX(Fields!$C$2:$C$206,MATCH(H790-129,Fields!$D$2:$D$206,1)),""),"")</f>
        <v/>
      </c>
      <c r="L790">
        <f>IFERROR(IF(AND(H790&lt;&gt;"",H790&gt;=129,H790&lt;=2176),INDEX(Fields!$J$2:$J$206,MATCH(H790-129,Fields!$D$2:$D$206,1)),""),"")</f>
        <v/>
      </c>
      <c r="M790">
        <f>IFERROR(IF(AND(H790&lt;&gt;"",H790&gt;=129,H790&lt;=2176),INDEX(Fields!$K$2:$K$206,MATCH(H790-129,Fields!$D$2:$D$206,1)),""),"")</f>
        <v/>
      </c>
    </row>
    <row r="791">
      <c r="A791" t="n">
        <v>789</v>
      </c>
      <c r="B791" t="n">
        <v>0</v>
      </c>
      <c r="C791" t="inlineStr">
        <is>
          <t>No</t>
        </is>
      </c>
      <c r="D791">
        <f>IF(AND(B786=1,B787=1,B788=1,B789=1,B790=1),"Yes","")</f>
        <v/>
      </c>
      <c r="E791" t="inlineStr">
        <is>
          <t>No</t>
        </is>
      </c>
      <c r="F791" t="inlineStr">
        <is>
          <t>No</t>
        </is>
      </c>
      <c r="G791">
        <f>IF(F791="Yes",1-B791,B791)</f>
        <v/>
      </c>
      <c r="H791">
        <f>IF(E791="Yes","",COUNTIFS($E$2:E791,"No"))</f>
        <v/>
      </c>
      <c r="I791">
        <f>IF(H791="","",IF(H791&lt;=128,"address",IF(H791&lt;=600,"data1",IF(H791&lt;=1264,"zero-run1",IF(H791&lt;=1648,"data2",IF(H791&lt;=2176,"zero-run2",IF(H791&lt;=2192,"FCS","trailing")))))))</f>
        <v/>
      </c>
      <c r="J791">
        <f>IFERROR(IF(AND(H791&lt;&gt;"",H791&gt;=129,H791&lt;=2176),INDEX(Fields!$B$2:$B$206,MATCH(H791-129,Fields!$D$2:$D$206,1)),""),"")</f>
        <v/>
      </c>
      <c r="K791">
        <f>IFERROR(IF(AND(H791&lt;&gt;"",H791&gt;=129,H791&lt;=2176),INDEX(Fields!$C$2:$C$206,MATCH(H791-129,Fields!$D$2:$D$206,1)),""),"")</f>
        <v/>
      </c>
      <c r="L791">
        <f>IFERROR(IF(AND(H791&lt;&gt;"",H791&gt;=129,H791&lt;=2176),INDEX(Fields!$J$2:$J$206,MATCH(H791-129,Fields!$D$2:$D$206,1)),""),"")</f>
        <v/>
      </c>
      <c r="M791">
        <f>IFERROR(IF(AND(H791&lt;&gt;"",H791&gt;=129,H791&lt;=2176),INDEX(Fields!$K$2:$K$206,MATCH(H791-129,Fields!$D$2:$D$206,1)),""),"")</f>
        <v/>
      </c>
    </row>
    <row r="792">
      <c r="A792" t="n">
        <v>790</v>
      </c>
      <c r="B792" t="n">
        <v>0</v>
      </c>
      <c r="C792" t="inlineStr">
        <is>
          <t>No</t>
        </is>
      </c>
      <c r="D792">
        <f>IF(AND(B787=1,B788=1,B789=1,B790=1,B791=1),"Yes","")</f>
        <v/>
      </c>
      <c r="E792" t="inlineStr">
        <is>
          <t>No</t>
        </is>
      </c>
      <c r="F792" t="inlineStr">
        <is>
          <t>No</t>
        </is>
      </c>
      <c r="G792">
        <f>IF(F792="Yes",1-B792,B792)</f>
        <v/>
      </c>
      <c r="H792">
        <f>IF(E792="Yes","",COUNTIFS($E$2:E792,"No"))</f>
        <v/>
      </c>
      <c r="I792">
        <f>IF(H792="","",IF(H792&lt;=128,"address",IF(H792&lt;=600,"data1",IF(H792&lt;=1264,"zero-run1",IF(H792&lt;=1648,"data2",IF(H792&lt;=2176,"zero-run2",IF(H792&lt;=2192,"FCS","trailing")))))))</f>
        <v/>
      </c>
      <c r="J792">
        <f>IFERROR(IF(AND(H792&lt;&gt;"",H792&gt;=129,H792&lt;=2176),INDEX(Fields!$B$2:$B$206,MATCH(H792-129,Fields!$D$2:$D$206,1)),""),"")</f>
        <v/>
      </c>
      <c r="K792">
        <f>IFERROR(IF(AND(H792&lt;&gt;"",H792&gt;=129,H792&lt;=2176),INDEX(Fields!$C$2:$C$206,MATCH(H792-129,Fields!$D$2:$D$206,1)),""),"")</f>
        <v/>
      </c>
      <c r="L792">
        <f>IFERROR(IF(AND(H792&lt;&gt;"",H792&gt;=129,H792&lt;=2176),INDEX(Fields!$J$2:$J$206,MATCH(H792-129,Fields!$D$2:$D$206,1)),""),"")</f>
        <v/>
      </c>
      <c r="M792">
        <f>IFERROR(IF(AND(H792&lt;&gt;"",H792&gt;=129,H792&lt;=2176),INDEX(Fields!$K$2:$K$206,MATCH(H792-129,Fields!$D$2:$D$206,1)),""),"")</f>
        <v/>
      </c>
    </row>
    <row r="793">
      <c r="A793" t="n">
        <v>791</v>
      </c>
      <c r="B793" t="n">
        <v>0</v>
      </c>
      <c r="C793" t="inlineStr">
        <is>
          <t>No</t>
        </is>
      </c>
      <c r="D793">
        <f>IF(AND(B788=1,B789=1,B790=1,B791=1,B792=1),"Yes","")</f>
        <v/>
      </c>
      <c r="E793" t="inlineStr">
        <is>
          <t>No</t>
        </is>
      </c>
      <c r="F793" t="inlineStr">
        <is>
          <t>No</t>
        </is>
      </c>
      <c r="G793">
        <f>IF(F793="Yes",1-B793,B793)</f>
        <v/>
      </c>
      <c r="H793">
        <f>IF(E793="Yes","",COUNTIFS($E$2:E793,"No"))</f>
        <v/>
      </c>
      <c r="I793">
        <f>IF(H793="","",IF(H793&lt;=128,"address",IF(H793&lt;=600,"data1",IF(H793&lt;=1264,"zero-run1",IF(H793&lt;=1648,"data2",IF(H793&lt;=2176,"zero-run2",IF(H793&lt;=2192,"FCS","trailing")))))))</f>
        <v/>
      </c>
      <c r="J793">
        <f>IFERROR(IF(AND(H793&lt;&gt;"",H793&gt;=129,H793&lt;=2176),INDEX(Fields!$B$2:$B$206,MATCH(H793-129,Fields!$D$2:$D$206,1)),""),"")</f>
        <v/>
      </c>
      <c r="K793">
        <f>IFERROR(IF(AND(H793&lt;&gt;"",H793&gt;=129,H793&lt;=2176),INDEX(Fields!$C$2:$C$206,MATCH(H793-129,Fields!$D$2:$D$206,1)),""),"")</f>
        <v/>
      </c>
      <c r="L793">
        <f>IFERROR(IF(AND(H793&lt;&gt;"",H793&gt;=129,H793&lt;=2176),INDEX(Fields!$J$2:$J$206,MATCH(H793-129,Fields!$D$2:$D$206,1)),""),"")</f>
        <v/>
      </c>
      <c r="M793">
        <f>IFERROR(IF(AND(H793&lt;&gt;"",H793&gt;=129,H793&lt;=2176),INDEX(Fields!$K$2:$K$206,MATCH(H793-129,Fields!$D$2:$D$206,1)),""),"")</f>
        <v/>
      </c>
    </row>
    <row r="794">
      <c r="A794" t="n">
        <v>792</v>
      </c>
      <c r="B794" t="n">
        <v>0</v>
      </c>
      <c r="C794" t="inlineStr">
        <is>
          <t>No</t>
        </is>
      </c>
      <c r="D794">
        <f>IF(AND(B789=1,B790=1,B791=1,B792=1,B793=1),"Yes","")</f>
        <v/>
      </c>
      <c r="E794" t="inlineStr">
        <is>
          <t>No</t>
        </is>
      </c>
      <c r="F794" t="inlineStr">
        <is>
          <t>No</t>
        </is>
      </c>
      <c r="G794">
        <f>IF(F794="Yes",1-B794,B794)</f>
        <v/>
      </c>
      <c r="H794">
        <f>IF(E794="Yes","",COUNTIFS($E$2:E794,"No"))</f>
        <v/>
      </c>
      <c r="I794">
        <f>IF(H794="","",IF(H794&lt;=128,"address",IF(H794&lt;=600,"data1",IF(H794&lt;=1264,"zero-run1",IF(H794&lt;=1648,"data2",IF(H794&lt;=2176,"zero-run2",IF(H794&lt;=2192,"FCS","trailing")))))))</f>
        <v/>
      </c>
      <c r="J794">
        <f>IFERROR(IF(AND(H794&lt;&gt;"",H794&gt;=129,H794&lt;=2176),INDEX(Fields!$B$2:$B$206,MATCH(H794-129,Fields!$D$2:$D$206,1)),""),"")</f>
        <v/>
      </c>
      <c r="K794">
        <f>IFERROR(IF(AND(H794&lt;&gt;"",H794&gt;=129,H794&lt;=2176),INDEX(Fields!$C$2:$C$206,MATCH(H794-129,Fields!$D$2:$D$206,1)),""),"")</f>
        <v/>
      </c>
      <c r="L794">
        <f>IFERROR(IF(AND(H794&lt;&gt;"",H794&gt;=129,H794&lt;=2176),INDEX(Fields!$J$2:$J$206,MATCH(H794-129,Fields!$D$2:$D$206,1)),""),"")</f>
        <v/>
      </c>
      <c r="M794">
        <f>IFERROR(IF(AND(H794&lt;&gt;"",H794&gt;=129,H794&lt;=2176),INDEX(Fields!$K$2:$K$206,MATCH(H794-129,Fields!$D$2:$D$206,1)),""),"")</f>
        <v/>
      </c>
    </row>
    <row r="795">
      <c r="A795" t="n">
        <v>793</v>
      </c>
      <c r="B795" t="n">
        <v>0</v>
      </c>
      <c r="C795" t="inlineStr">
        <is>
          <t>No</t>
        </is>
      </c>
      <c r="D795">
        <f>IF(AND(B790=1,B791=1,B792=1,B793=1,B794=1),"Yes","")</f>
        <v/>
      </c>
      <c r="E795" t="inlineStr">
        <is>
          <t>No</t>
        </is>
      </c>
      <c r="F795" t="inlineStr">
        <is>
          <t>No</t>
        </is>
      </c>
      <c r="G795">
        <f>IF(F795="Yes",1-B795,B795)</f>
        <v/>
      </c>
      <c r="H795">
        <f>IF(E795="Yes","",COUNTIFS($E$2:E795,"No"))</f>
        <v/>
      </c>
      <c r="I795">
        <f>IF(H795="","",IF(H795&lt;=128,"address",IF(H795&lt;=600,"data1",IF(H795&lt;=1264,"zero-run1",IF(H795&lt;=1648,"data2",IF(H795&lt;=2176,"zero-run2",IF(H795&lt;=2192,"FCS","trailing")))))))</f>
        <v/>
      </c>
      <c r="J795">
        <f>IFERROR(IF(AND(H795&lt;&gt;"",H795&gt;=129,H795&lt;=2176),INDEX(Fields!$B$2:$B$206,MATCH(H795-129,Fields!$D$2:$D$206,1)),""),"")</f>
        <v/>
      </c>
      <c r="K795">
        <f>IFERROR(IF(AND(H795&lt;&gt;"",H795&gt;=129,H795&lt;=2176),INDEX(Fields!$C$2:$C$206,MATCH(H795-129,Fields!$D$2:$D$206,1)),""),"")</f>
        <v/>
      </c>
      <c r="L795">
        <f>IFERROR(IF(AND(H795&lt;&gt;"",H795&gt;=129,H795&lt;=2176),INDEX(Fields!$J$2:$J$206,MATCH(H795-129,Fields!$D$2:$D$206,1)),""),"")</f>
        <v/>
      </c>
      <c r="M795">
        <f>IFERROR(IF(AND(H795&lt;&gt;"",H795&gt;=129,H795&lt;=2176),INDEX(Fields!$K$2:$K$206,MATCH(H795-129,Fields!$D$2:$D$206,1)),""),"")</f>
        <v/>
      </c>
    </row>
    <row r="796">
      <c r="A796" t="n">
        <v>794</v>
      </c>
      <c r="B796" t="n">
        <v>0</v>
      </c>
      <c r="C796" t="inlineStr">
        <is>
          <t>No</t>
        </is>
      </c>
      <c r="D796">
        <f>IF(AND(B791=1,B792=1,B793=1,B794=1,B795=1),"Yes","")</f>
        <v/>
      </c>
      <c r="E796" t="inlineStr">
        <is>
          <t>No</t>
        </is>
      </c>
      <c r="F796" t="inlineStr">
        <is>
          <t>No</t>
        </is>
      </c>
      <c r="G796">
        <f>IF(F796="Yes",1-B796,B796)</f>
        <v/>
      </c>
      <c r="H796">
        <f>IF(E796="Yes","",COUNTIFS($E$2:E796,"No"))</f>
        <v/>
      </c>
      <c r="I796">
        <f>IF(H796="","",IF(H796&lt;=128,"address",IF(H796&lt;=600,"data1",IF(H796&lt;=1264,"zero-run1",IF(H796&lt;=1648,"data2",IF(H796&lt;=2176,"zero-run2",IF(H796&lt;=2192,"FCS","trailing")))))))</f>
        <v/>
      </c>
      <c r="J796">
        <f>IFERROR(IF(AND(H796&lt;&gt;"",H796&gt;=129,H796&lt;=2176),INDEX(Fields!$B$2:$B$206,MATCH(H796-129,Fields!$D$2:$D$206,1)),""),"")</f>
        <v/>
      </c>
      <c r="K796">
        <f>IFERROR(IF(AND(H796&lt;&gt;"",H796&gt;=129,H796&lt;=2176),INDEX(Fields!$C$2:$C$206,MATCH(H796-129,Fields!$D$2:$D$206,1)),""),"")</f>
        <v/>
      </c>
      <c r="L796">
        <f>IFERROR(IF(AND(H796&lt;&gt;"",H796&gt;=129,H796&lt;=2176),INDEX(Fields!$J$2:$J$206,MATCH(H796-129,Fields!$D$2:$D$206,1)),""),"")</f>
        <v/>
      </c>
      <c r="M796">
        <f>IFERROR(IF(AND(H796&lt;&gt;"",H796&gt;=129,H796&lt;=2176),INDEX(Fields!$K$2:$K$206,MATCH(H796-129,Fields!$D$2:$D$206,1)),""),"")</f>
        <v/>
      </c>
    </row>
    <row r="797">
      <c r="A797" t="n">
        <v>795</v>
      </c>
      <c r="B797" t="n">
        <v>0</v>
      </c>
      <c r="C797" t="inlineStr">
        <is>
          <t>No</t>
        </is>
      </c>
      <c r="D797">
        <f>IF(AND(B792=1,B793=1,B794=1,B795=1,B796=1),"Yes","")</f>
        <v/>
      </c>
      <c r="E797" t="inlineStr">
        <is>
          <t>No</t>
        </is>
      </c>
      <c r="F797" t="inlineStr">
        <is>
          <t>No</t>
        </is>
      </c>
      <c r="G797">
        <f>IF(F797="Yes",1-B797,B797)</f>
        <v/>
      </c>
      <c r="H797">
        <f>IF(E797="Yes","",COUNTIFS($E$2:E797,"No"))</f>
        <v/>
      </c>
      <c r="I797">
        <f>IF(H797="","",IF(H797&lt;=128,"address",IF(H797&lt;=600,"data1",IF(H797&lt;=1264,"zero-run1",IF(H797&lt;=1648,"data2",IF(H797&lt;=2176,"zero-run2",IF(H797&lt;=2192,"FCS","trailing")))))))</f>
        <v/>
      </c>
      <c r="J797">
        <f>IFERROR(IF(AND(H797&lt;&gt;"",H797&gt;=129,H797&lt;=2176),INDEX(Fields!$B$2:$B$206,MATCH(H797-129,Fields!$D$2:$D$206,1)),""),"")</f>
        <v/>
      </c>
      <c r="K797">
        <f>IFERROR(IF(AND(H797&lt;&gt;"",H797&gt;=129,H797&lt;=2176),INDEX(Fields!$C$2:$C$206,MATCH(H797-129,Fields!$D$2:$D$206,1)),""),"")</f>
        <v/>
      </c>
      <c r="L797">
        <f>IFERROR(IF(AND(H797&lt;&gt;"",H797&gt;=129,H797&lt;=2176),INDEX(Fields!$J$2:$J$206,MATCH(H797-129,Fields!$D$2:$D$206,1)),""),"")</f>
        <v/>
      </c>
      <c r="M797">
        <f>IFERROR(IF(AND(H797&lt;&gt;"",H797&gt;=129,H797&lt;=2176),INDEX(Fields!$K$2:$K$206,MATCH(H797-129,Fields!$D$2:$D$206,1)),""),"")</f>
        <v/>
      </c>
    </row>
    <row r="798">
      <c r="A798" t="n">
        <v>796</v>
      </c>
      <c r="B798" t="n">
        <v>0</v>
      </c>
      <c r="C798" t="inlineStr">
        <is>
          <t>No</t>
        </is>
      </c>
      <c r="D798">
        <f>IF(AND(B793=1,B794=1,B795=1,B796=1,B797=1),"Yes","")</f>
        <v/>
      </c>
      <c r="E798" t="inlineStr">
        <is>
          <t>No</t>
        </is>
      </c>
      <c r="F798" t="inlineStr">
        <is>
          <t>No</t>
        </is>
      </c>
      <c r="G798">
        <f>IF(F798="Yes",1-B798,B798)</f>
        <v/>
      </c>
      <c r="H798">
        <f>IF(E798="Yes","",COUNTIFS($E$2:E798,"No"))</f>
        <v/>
      </c>
      <c r="I798">
        <f>IF(H798="","",IF(H798&lt;=128,"address",IF(H798&lt;=600,"data1",IF(H798&lt;=1264,"zero-run1",IF(H798&lt;=1648,"data2",IF(H798&lt;=2176,"zero-run2",IF(H798&lt;=2192,"FCS","trailing")))))))</f>
        <v/>
      </c>
      <c r="J798">
        <f>IFERROR(IF(AND(H798&lt;&gt;"",H798&gt;=129,H798&lt;=2176),INDEX(Fields!$B$2:$B$206,MATCH(H798-129,Fields!$D$2:$D$206,1)),""),"")</f>
        <v/>
      </c>
      <c r="K798">
        <f>IFERROR(IF(AND(H798&lt;&gt;"",H798&gt;=129,H798&lt;=2176),INDEX(Fields!$C$2:$C$206,MATCH(H798-129,Fields!$D$2:$D$206,1)),""),"")</f>
        <v/>
      </c>
      <c r="L798">
        <f>IFERROR(IF(AND(H798&lt;&gt;"",H798&gt;=129,H798&lt;=2176),INDEX(Fields!$J$2:$J$206,MATCH(H798-129,Fields!$D$2:$D$206,1)),""),"")</f>
        <v/>
      </c>
      <c r="M798">
        <f>IFERROR(IF(AND(H798&lt;&gt;"",H798&gt;=129,H798&lt;=2176),INDEX(Fields!$K$2:$K$206,MATCH(H798-129,Fields!$D$2:$D$206,1)),""),"")</f>
        <v/>
      </c>
    </row>
    <row r="799">
      <c r="A799" t="n">
        <v>797</v>
      </c>
      <c r="B799" t="n">
        <v>0</v>
      </c>
      <c r="C799" t="inlineStr">
        <is>
          <t>No</t>
        </is>
      </c>
      <c r="D799">
        <f>IF(AND(B794=1,B795=1,B796=1,B797=1,B798=1),"Yes","")</f>
        <v/>
      </c>
      <c r="E799" t="inlineStr">
        <is>
          <t>No</t>
        </is>
      </c>
      <c r="F799" t="inlineStr">
        <is>
          <t>No</t>
        </is>
      </c>
      <c r="G799">
        <f>IF(F799="Yes",1-B799,B799)</f>
        <v/>
      </c>
      <c r="H799">
        <f>IF(E799="Yes","",COUNTIFS($E$2:E799,"No"))</f>
        <v/>
      </c>
      <c r="I799">
        <f>IF(H799="","",IF(H799&lt;=128,"address",IF(H799&lt;=600,"data1",IF(H799&lt;=1264,"zero-run1",IF(H799&lt;=1648,"data2",IF(H799&lt;=2176,"zero-run2",IF(H799&lt;=2192,"FCS","trailing")))))))</f>
        <v/>
      </c>
      <c r="J799">
        <f>IFERROR(IF(AND(H799&lt;&gt;"",H799&gt;=129,H799&lt;=2176),INDEX(Fields!$B$2:$B$206,MATCH(H799-129,Fields!$D$2:$D$206,1)),""),"")</f>
        <v/>
      </c>
      <c r="K799">
        <f>IFERROR(IF(AND(H799&lt;&gt;"",H799&gt;=129,H799&lt;=2176),INDEX(Fields!$C$2:$C$206,MATCH(H799-129,Fields!$D$2:$D$206,1)),""),"")</f>
        <v/>
      </c>
      <c r="L799">
        <f>IFERROR(IF(AND(H799&lt;&gt;"",H799&gt;=129,H799&lt;=2176),INDEX(Fields!$J$2:$J$206,MATCH(H799-129,Fields!$D$2:$D$206,1)),""),"")</f>
        <v/>
      </c>
      <c r="M799">
        <f>IFERROR(IF(AND(H799&lt;&gt;"",H799&gt;=129,H799&lt;=2176),INDEX(Fields!$K$2:$K$206,MATCH(H799-129,Fields!$D$2:$D$206,1)),""),"")</f>
        <v/>
      </c>
    </row>
    <row r="800">
      <c r="A800" t="n">
        <v>798</v>
      </c>
      <c r="B800" t="n">
        <v>0</v>
      </c>
      <c r="C800" t="inlineStr">
        <is>
          <t>No</t>
        </is>
      </c>
      <c r="D800">
        <f>IF(AND(B795=1,B796=1,B797=1,B798=1,B799=1),"Yes","")</f>
        <v/>
      </c>
      <c r="E800" t="inlineStr">
        <is>
          <t>No</t>
        </is>
      </c>
      <c r="F800" t="inlineStr">
        <is>
          <t>No</t>
        </is>
      </c>
      <c r="G800">
        <f>IF(F800="Yes",1-B800,B800)</f>
        <v/>
      </c>
      <c r="H800">
        <f>IF(E800="Yes","",COUNTIFS($E$2:E800,"No"))</f>
        <v/>
      </c>
      <c r="I800">
        <f>IF(H800="","",IF(H800&lt;=128,"address",IF(H800&lt;=600,"data1",IF(H800&lt;=1264,"zero-run1",IF(H800&lt;=1648,"data2",IF(H800&lt;=2176,"zero-run2",IF(H800&lt;=2192,"FCS","trailing")))))))</f>
        <v/>
      </c>
      <c r="J800">
        <f>IFERROR(IF(AND(H800&lt;&gt;"",H800&gt;=129,H800&lt;=2176),INDEX(Fields!$B$2:$B$206,MATCH(H800-129,Fields!$D$2:$D$206,1)),""),"")</f>
        <v/>
      </c>
      <c r="K800">
        <f>IFERROR(IF(AND(H800&lt;&gt;"",H800&gt;=129,H800&lt;=2176),INDEX(Fields!$C$2:$C$206,MATCH(H800-129,Fields!$D$2:$D$206,1)),""),"")</f>
        <v/>
      </c>
      <c r="L800">
        <f>IFERROR(IF(AND(H800&lt;&gt;"",H800&gt;=129,H800&lt;=2176),INDEX(Fields!$J$2:$J$206,MATCH(H800-129,Fields!$D$2:$D$206,1)),""),"")</f>
        <v/>
      </c>
      <c r="M800">
        <f>IFERROR(IF(AND(H800&lt;&gt;"",H800&gt;=129,H800&lt;=2176),INDEX(Fields!$K$2:$K$206,MATCH(H800-129,Fields!$D$2:$D$206,1)),""),"")</f>
        <v/>
      </c>
    </row>
    <row r="801">
      <c r="A801" t="n">
        <v>799</v>
      </c>
      <c r="B801" t="n">
        <v>0</v>
      </c>
      <c r="C801" t="inlineStr">
        <is>
          <t>No</t>
        </is>
      </c>
      <c r="D801">
        <f>IF(AND(B796=1,B797=1,B798=1,B799=1,B800=1),"Yes","")</f>
        <v/>
      </c>
      <c r="E801" t="inlineStr">
        <is>
          <t>No</t>
        </is>
      </c>
      <c r="F801" t="inlineStr">
        <is>
          <t>No</t>
        </is>
      </c>
      <c r="G801">
        <f>IF(F801="Yes",1-B801,B801)</f>
        <v/>
      </c>
      <c r="H801">
        <f>IF(E801="Yes","",COUNTIFS($E$2:E801,"No"))</f>
        <v/>
      </c>
      <c r="I801">
        <f>IF(H801="","",IF(H801&lt;=128,"address",IF(H801&lt;=600,"data1",IF(H801&lt;=1264,"zero-run1",IF(H801&lt;=1648,"data2",IF(H801&lt;=2176,"zero-run2",IF(H801&lt;=2192,"FCS","trailing")))))))</f>
        <v/>
      </c>
      <c r="J801">
        <f>IFERROR(IF(AND(H801&lt;&gt;"",H801&gt;=129,H801&lt;=2176),INDEX(Fields!$B$2:$B$206,MATCH(H801-129,Fields!$D$2:$D$206,1)),""),"")</f>
        <v/>
      </c>
      <c r="K801">
        <f>IFERROR(IF(AND(H801&lt;&gt;"",H801&gt;=129,H801&lt;=2176),INDEX(Fields!$C$2:$C$206,MATCH(H801-129,Fields!$D$2:$D$206,1)),""),"")</f>
        <v/>
      </c>
      <c r="L801">
        <f>IFERROR(IF(AND(H801&lt;&gt;"",H801&gt;=129,H801&lt;=2176),INDEX(Fields!$J$2:$J$206,MATCH(H801-129,Fields!$D$2:$D$206,1)),""),"")</f>
        <v/>
      </c>
      <c r="M801">
        <f>IFERROR(IF(AND(H801&lt;&gt;"",H801&gt;=129,H801&lt;=2176),INDEX(Fields!$K$2:$K$206,MATCH(H801-129,Fields!$D$2:$D$206,1)),""),"")</f>
        <v/>
      </c>
    </row>
    <row r="802">
      <c r="A802" t="n">
        <v>800</v>
      </c>
      <c r="B802" t="n">
        <v>0</v>
      </c>
      <c r="C802" t="inlineStr">
        <is>
          <t>No</t>
        </is>
      </c>
      <c r="D802">
        <f>IF(AND(B797=1,B798=1,B799=1,B800=1,B801=1),"Yes","")</f>
        <v/>
      </c>
      <c r="E802" t="inlineStr">
        <is>
          <t>No</t>
        </is>
      </c>
      <c r="F802" t="inlineStr">
        <is>
          <t>No</t>
        </is>
      </c>
      <c r="G802">
        <f>IF(F802="Yes",1-B802,B802)</f>
        <v/>
      </c>
      <c r="H802">
        <f>IF(E802="Yes","",COUNTIFS($E$2:E802,"No"))</f>
        <v/>
      </c>
      <c r="I802">
        <f>IF(H802="","",IF(H802&lt;=128,"address",IF(H802&lt;=600,"data1",IF(H802&lt;=1264,"zero-run1",IF(H802&lt;=1648,"data2",IF(H802&lt;=2176,"zero-run2",IF(H802&lt;=2192,"FCS","trailing")))))))</f>
        <v/>
      </c>
      <c r="J802">
        <f>IFERROR(IF(AND(H802&lt;&gt;"",H802&gt;=129,H802&lt;=2176),INDEX(Fields!$B$2:$B$206,MATCH(H802-129,Fields!$D$2:$D$206,1)),""),"")</f>
        <v/>
      </c>
      <c r="K802">
        <f>IFERROR(IF(AND(H802&lt;&gt;"",H802&gt;=129,H802&lt;=2176),INDEX(Fields!$C$2:$C$206,MATCH(H802-129,Fields!$D$2:$D$206,1)),""),"")</f>
        <v/>
      </c>
      <c r="L802">
        <f>IFERROR(IF(AND(H802&lt;&gt;"",H802&gt;=129,H802&lt;=2176),INDEX(Fields!$J$2:$J$206,MATCH(H802-129,Fields!$D$2:$D$206,1)),""),"")</f>
        <v/>
      </c>
      <c r="M802">
        <f>IFERROR(IF(AND(H802&lt;&gt;"",H802&gt;=129,H802&lt;=2176),INDEX(Fields!$K$2:$K$206,MATCH(H802-129,Fields!$D$2:$D$206,1)),""),"")</f>
        <v/>
      </c>
    </row>
    <row r="803">
      <c r="A803" t="n">
        <v>801</v>
      </c>
      <c r="B803" t="n">
        <v>0</v>
      </c>
      <c r="C803" t="inlineStr">
        <is>
          <t>No</t>
        </is>
      </c>
      <c r="D803">
        <f>IF(AND(B798=1,B799=1,B800=1,B801=1,B802=1),"Yes","")</f>
        <v/>
      </c>
      <c r="E803" t="inlineStr">
        <is>
          <t>No</t>
        </is>
      </c>
      <c r="F803" t="inlineStr">
        <is>
          <t>No</t>
        </is>
      </c>
      <c r="G803">
        <f>IF(F803="Yes",1-B803,B803)</f>
        <v/>
      </c>
      <c r="H803">
        <f>IF(E803="Yes","",COUNTIFS($E$2:E803,"No"))</f>
        <v/>
      </c>
      <c r="I803">
        <f>IF(H803="","",IF(H803&lt;=128,"address",IF(H803&lt;=600,"data1",IF(H803&lt;=1264,"zero-run1",IF(H803&lt;=1648,"data2",IF(H803&lt;=2176,"zero-run2",IF(H803&lt;=2192,"FCS","trailing")))))))</f>
        <v/>
      </c>
      <c r="J803">
        <f>IFERROR(IF(AND(H803&lt;&gt;"",H803&gt;=129,H803&lt;=2176),INDEX(Fields!$B$2:$B$206,MATCH(H803-129,Fields!$D$2:$D$206,1)),""),"")</f>
        <v/>
      </c>
      <c r="K803">
        <f>IFERROR(IF(AND(H803&lt;&gt;"",H803&gt;=129,H803&lt;=2176),INDEX(Fields!$C$2:$C$206,MATCH(H803-129,Fields!$D$2:$D$206,1)),""),"")</f>
        <v/>
      </c>
      <c r="L803">
        <f>IFERROR(IF(AND(H803&lt;&gt;"",H803&gt;=129,H803&lt;=2176),INDEX(Fields!$J$2:$J$206,MATCH(H803-129,Fields!$D$2:$D$206,1)),""),"")</f>
        <v/>
      </c>
      <c r="M803">
        <f>IFERROR(IF(AND(H803&lt;&gt;"",H803&gt;=129,H803&lt;=2176),INDEX(Fields!$K$2:$K$206,MATCH(H803-129,Fields!$D$2:$D$206,1)),""),"")</f>
        <v/>
      </c>
    </row>
    <row r="804">
      <c r="A804" t="n">
        <v>802</v>
      </c>
      <c r="B804" t="n">
        <v>0</v>
      </c>
      <c r="C804" t="inlineStr">
        <is>
          <t>No</t>
        </is>
      </c>
      <c r="D804">
        <f>IF(AND(B799=1,B800=1,B801=1,B802=1,B803=1),"Yes","")</f>
        <v/>
      </c>
      <c r="E804" t="inlineStr">
        <is>
          <t>No</t>
        </is>
      </c>
      <c r="F804" t="inlineStr">
        <is>
          <t>No</t>
        </is>
      </c>
      <c r="G804">
        <f>IF(F804="Yes",1-B804,B804)</f>
        <v/>
      </c>
      <c r="H804">
        <f>IF(E804="Yes","",COUNTIFS($E$2:E804,"No"))</f>
        <v/>
      </c>
      <c r="I804">
        <f>IF(H804="","",IF(H804&lt;=128,"address",IF(H804&lt;=600,"data1",IF(H804&lt;=1264,"zero-run1",IF(H804&lt;=1648,"data2",IF(H804&lt;=2176,"zero-run2",IF(H804&lt;=2192,"FCS","trailing")))))))</f>
        <v/>
      </c>
      <c r="J804">
        <f>IFERROR(IF(AND(H804&lt;&gt;"",H804&gt;=129,H804&lt;=2176),INDEX(Fields!$B$2:$B$206,MATCH(H804-129,Fields!$D$2:$D$206,1)),""),"")</f>
        <v/>
      </c>
      <c r="K804">
        <f>IFERROR(IF(AND(H804&lt;&gt;"",H804&gt;=129,H804&lt;=2176),INDEX(Fields!$C$2:$C$206,MATCH(H804-129,Fields!$D$2:$D$206,1)),""),"")</f>
        <v/>
      </c>
      <c r="L804">
        <f>IFERROR(IF(AND(H804&lt;&gt;"",H804&gt;=129,H804&lt;=2176),INDEX(Fields!$J$2:$J$206,MATCH(H804-129,Fields!$D$2:$D$206,1)),""),"")</f>
        <v/>
      </c>
      <c r="M804">
        <f>IFERROR(IF(AND(H804&lt;&gt;"",H804&gt;=129,H804&lt;=2176),INDEX(Fields!$K$2:$K$206,MATCH(H804-129,Fields!$D$2:$D$206,1)),""),"")</f>
        <v/>
      </c>
    </row>
    <row r="805">
      <c r="A805" t="n">
        <v>803</v>
      </c>
      <c r="B805" t="n">
        <v>0</v>
      </c>
      <c r="C805" t="inlineStr">
        <is>
          <t>No</t>
        </is>
      </c>
      <c r="D805">
        <f>IF(AND(B800=1,B801=1,B802=1,B803=1,B804=1),"Yes","")</f>
        <v/>
      </c>
      <c r="E805" t="inlineStr">
        <is>
          <t>No</t>
        </is>
      </c>
      <c r="F805" t="inlineStr">
        <is>
          <t>No</t>
        </is>
      </c>
      <c r="G805">
        <f>IF(F805="Yes",1-B805,B805)</f>
        <v/>
      </c>
      <c r="H805">
        <f>IF(E805="Yes","",COUNTIFS($E$2:E805,"No"))</f>
        <v/>
      </c>
      <c r="I805">
        <f>IF(H805="","",IF(H805&lt;=128,"address",IF(H805&lt;=600,"data1",IF(H805&lt;=1264,"zero-run1",IF(H805&lt;=1648,"data2",IF(H805&lt;=2176,"zero-run2",IF(H805&lt;=2192,"FCS","trailing")))))))</f>
        <v/>
      </c>
      <c r="J805">
        <f>IFERROR(IF(AND(H805&lt;&gt;"",H805&gt;=129,H805&lt;=2176),INDEX(Fields!$B$2:$B$206,MATCH(H805-129,Fields!$D$2:$D$206,1)),""),"")</f>
        <v/>
      </c>
      <c r="K805">
        <f>IFERROR(IF(AND(H805&lt;&gt;"",H805&gt;=129,H805&lt;=2176),INDEX(Fields!$C$2:$C$206,MATCH(H805-129,Fields!$D$2:$D$206,1)),""),"")</f>
        <v/>
      </c>
      <c r="L805">
        <f>IFERROR(IF(AND(H805&lt;&gt;"",H805&gt;=129,H805&lt;=2176),INDEX(Fields!$J$2:$J$206,MATCH(H805-129,Fields!$D$2:$D$206,1)),""),"")</f>
        <v/>
      </c>
      <c r="M805">
        <f>IFERROR(IF(AND(H805&lt;&gt;"",H805&gt;=129,H805&lt;=2176),INDEX(Fields!$K$2:$K$206,MATCH(H805-129,Fields!$D$2:$D$206,1)),""),"")</f>
        <v/>
      </c>
    </row>
    <row r="806">
      <c r="A806" t="n">
        <v>804</v>
      </c>
      <c r="B806" t="n">
        <v>0</v>
      </c>
      <c r="C806" t="inlineStr">
        <is>
          <t>No</t>
        </is>
      </c>
      <c r="D806">
        <f>IF(AND(B801=1,B802=1,B803=1,B804=1,B805=1),"Yes","")</f>
        <v/>
      </c>
      <c r="E806" t="inlineStr">
        <is>
          <t>No</t>
        </is>
      </c>
      <c r="F806" t="inlineStr">
        <is>
          <t>No</t>
        </is>
      </c>
      <c r="G806">
        <f>IF(F806="Yes",1-B806,B806)</f>
        <v/>
      </c>
      <c r="H806">
        <f>IF(E806="Yes","",COUNTIFS($E$2:E806,"No"))</f>
        <v/>
      </c>
      <c r="I806">
        <f>IF(H806="","",IF(H806&lt;=128,"address",IF(H806&lt;=600,"data1",IF(H806&lt;=1264,"zero-run1",IF(H806&lt;=1648,"data2",IF(H806&lt;=2176,"zero-run2",IF(H806&lt;=2192,"FCS","trailing")))))))</f>
        <v/>
      </c>
      <c r="J806">
        <f>IFERROR(IF(AND(H806&lt;&gt;"",H806&gt;=129,H806&lt;=2176),INDEX(Fields!$B$2:$B$206,MATCH(H806-129,Fields!$D$2:$D$206,1)),""),"")</f>
        <v/>
      </c>
      <c r="K806">
        <f>IFERROR(IF(AND(H806&lt;&gt;"",H806&gt;=129,H806&lt;=2176),INDEX(Fields!$C$2:$C$206,MATCH(H806-129,Fields!$D$2:$D$206,1)),""),"")</f>
        <v/>
      </c>
      <c r="L806">
        <f>IFERROR(IF(AND(H806&lt;&gt;"",H806&gt;=129,H806&lt;=2176),INDEX(Fields!$J$2:$J$206,MATCH(H806-129,Fields!$D$2:$D$206,1)),""),"")</f>
        <v/>
      </c>
      <c r="M806">
        <f>IFERROR(IF(AND(H806&lt;&gt;"",H806&gt;=129,H806&lt;=2176),INDEX(Fields!$K$2:$K$206,MATCH(H806-129,Fields!$D$2:$D$206,1)),""),"")</f>
        <v/>
      </c>
    </row>
    <row r="807">
      <c r="A807" t="n">
        <v>805</v>
      </c>
      <c r="B807" t="n">
        <v>0</v>
      </c>
      <c r="C807" t="inlineStr">
        <is>
          <t>No</t>
        </is>
      </c>
      <c r="D807">
        <f>IF(AND(B802=1,B803=1,B804=1,B805=1,B806=1),"Yes","")</f>
        <v/>
      </c>
      <c r="E807" t="inlineStr">
        <is>
          <t>No</t>
        </is>
      </c>
      <c r="F807" t="inlineStr">
        <is>
          <t>No</t>
        </is>
      </c>
      <c r="G807">
        <f>IF(F807="Yes",1-B807,B807)</f>
        <v/>
      </c>
      <c r="H807">
        <f>IF(E807="Yes","",COUNTIFS($E$2:E807,"No"))</f>
        <v/>
      </c>
      <c r="I807">
        <f>IF(H807="","",IF(H807&lt;=128,"address",IF(H807&lt;=600,"data1",IF(H807&lt;=1264,"zero-run1",IF(H807&lt;=1648,"data2",IF(H807&lt;=2176,"zero-run2",IF(H807&lt;=2192,"FCS","trailing")))))))</f>
        <v/>
      </c>
      <c r="J807">
        <f>IFERROR(IF(AND(H807&lt;&gt;"",H807&gt;=129,H807&lt;=2176),INDEX(Fields!$B$2:$B$206,MATCH(H807-129,Fields!$D$2:$D$206,1)),""),"")</f>
        <v/>
      </c>
      <c r="K807">
        <f>IFERROR(IF(AND(H807&lt;&gt;"",H807&gt;=129,H807&lt;=2176),INDEX(Fields!$C$2:$C$206,MATCH(H807-129,Fields!$D$2:$D$206,1)),""),"")</f>
        <v/>
      </c>
      <c r="L807">
        <f>IFERROR(IF(AND(H807&lt;&gt;"",H807&gt;=129,H807&lt;=2176),INDEX(Fields!$J$2:$J$206,MATCH(H807-129,Fields!$D$2:$D$206,1)),""),"")</f>
        <v/>
      </c>
      <c r="M807">
        <f>IFERROR(IF(AND(H807&lt;&gt;"",H807&gt;=129,H807&lt;=2176),INDEX(Fields!$K$2:$K$206,MATCH(H807-129,Fields!$D$2:$D$206,1)),""),"")</f>
        <v/>
      </c>
    </row>
    <row r="808">
      <c r="A808" t="n">
        <v>806</v>
      </c>
      <c r="B808" t="n">
        <v>0</v>
      </c>
      <c r="C808" t="inlineStr">
        <is>
          <t>No</t>
        </is>
      </c>
      <c r="D808">
        <f>IF(AND(B803=1,B804=1,B805=1,B806=1,B807=1),"Yes","")</f>
        <v/>
      </c>
      <c r="E808" t="inlineStr">
        <is>
          <t>No</t>
        </is>
      </c>
      <c r="F808" t="inlineStr">
        <is>
          <t>No</t>
        </is>
      </c>
      <c r="G808">
        <f>IF(F808="Yes",1-B808,B808)</f>
        <v/>
      </c>
      <c r="H808">
        <f>IF(E808="Yes","",COUNTIFS($E$2:E808,"No"))</f>
        <v/>
      </c>
      <c r="I808">
        <f>IF(H808="","",IF(H808&lt;=128,"address",IF(H808&lt;=600,"data1",IF(H808&lt;=1264,"zero-run1",IF(H808&lt;=1648,"data2",IF(H808&lt;=2176,"zero-run2",IF(H808&lt;=2192,"FCS","trailing")))))))</f>
        <v/>
      </c>
      <c r="J808">
        <f>IFERROR(IF(AND(H808&lt;&gt;"",H808&gt;=129,H808&lt;=2176),INDEX(Fields!$B$2:$B$206,MATCH(H808-129,Fields!$D$2:$D$206,1)),""),"")</f>
        <v/>
      </c>
      <c r="K808">
        <f>IFERROR(IF(AND(H808&lt;&gt;"",H808&gt;=129,H808&lt;=2176),INDEX(Fields!$C$2:$C$206,MATCH(H808-129,Fields!$D$2:$D$206,1)),""),"")</f>
        <v/>
      </c>
      <c r="L808">
        <f>IFERROR(IF(AND(H808&lt;&gt;"",H808&gt;=129,H808&lt;=2176),INDEX(Fields!$J$2:$J$206,MATCH(H808-129,Fields!$D$2:$D$206,1)),""),"")</f>
        <v/>
      </c>
      <c r="M808">
        <f>IFERROR(IF(AND(H808&lt;&gt;"",H808&gt;=129,H808&lt;=2176),INDEX(Fields!$K$2:$K$206,MATCH(H808-129,Fields!$D$2:$D$206,1)),""),"")</f>
        <v/>
      </c>
    </row>
    <row r="809">
      <c r="A809" t="n">
        <v>807</v>
      </c>
      <c r="B809" t="n">
        <v>0</v>
      </c>
      <c r="C809" t="inlineStr">
        <is>
          <t>No</t>
        </is>
      </c>
      <c r="D809">
        <f>IF(AND(B804=1,B805=1,B806=1,B807=1,B808=1),"Yes","")</f>
        <v/>
      </c>
      <c r="E809" t="inlineStr">
        <is>
          <t>No</t>
        </is>
      </c>
      <c r="F809" t="inlineStr">
        <is>
          <t>No</t>
        </is>
      </c>
      <c r="G809">
        <f>IF(F809="Yes",1-B809,B809)</f>
        <v/>
      </c>
      <c r="H809">
        <f>IF(E809="Yes","",COUNTIFS($E$2:E809,"No"))</f>
        <v/>
      </c>
      <c r="I809">
        <f>IF(H809="","",IF(H809&lt;=128,"address",IF(H809&lt;=600,"data1",IF(H809&lt;=1264,"zero-run1",IF(H809&lt;=1648,"data2",IF(H809&lt;=2176,"zero-run2",IF(H809&lt;=2192,"FCS","trailing")))))))</f>
        <v/>
      </c>
      <c r="J809">
        <f>IFERROR(IF(AND(H809&lt;&gt;"",H809&gt;=129,H809&lt;=2176),INDEX(Fields!$B$2:$B$206,MATCH(H809-129,Fields!$D$2:$D$206,1)),""),"")</f>
        <v/>
      </c>
      <c r="K809">
        <f>IFERROR(IF(AND(H809&lt;&gt;"",H809&gt;=129,H809&lt;=2176),INDEX(Fields!$C$2:$C$206,MATCH(H809-129,Fields!$D$2:$D$206,1)),""),"")</f>
        <v/>
      </c>
      <c r="L809">
        <f>IFERROR(IF(AND(H809&lt;&gt;"",H809&gt;=129,H809&lt;=2176),INDEX(Fields!$J$2:$J$206,MATCH(H809-129,Fields!$D$2:$D$206,1)),""),"")</f>
        <v/>
      </c>
      <c r="M809">
        <f>IFERROR(IF(AND(H809&lt;&gt;"",H809&gt;=129,H809&lt;=2176),INDEX(Fields!$K$2:$K$206,MATCH(H809-129,Fields!$D$2:$D$206,1)),""),"")</f>
        <v/>
      </c>
    </row>
    <row r="810">
      <c r="A810" t="n">
        <v>808</v>
      </c>
      <c r="B810" t="n">
        <v>0</v>
      </c>
      <c r="C810" t="inlineStr">
        <is>
          <t>No</t>
        </is>
      </c>
      <c r="D810">
        <f>IF(AND(B805=1,B806=1,B807=1,B808=1,B809=1),"Yes","")</f>
        <v/>
      </c>
      <c r="E810" t="inlineStr">
        <is>
          <t>No</t>
        </is>
      </c>
      <c r="F810" t="inlineStr">
        <is>
          <t>No</t>
        </is>
      </c>
      <c r="G810">
        <f>IF(F810="Yes",1-B810,B810)</f>
        <v/>
      </c>
      <c r="H810">
        <f>IF(E810="Yes","",COUNTIFS($E$2:E810,"No"))</f>
        <v/>
      </c>
      <c r="I810">
        <f>IF(H810="","",IF(H810&lt;=128,"address",IF(H810&lt;=600,"data1",IF(H810&lt;=1264,"zero-run1",IF(H810&lt;=1648,"data2",IF(H810&lt;=2176,"zero-run2",IF(H810&lt;=2192,"FCS","trailing")))))))</f>
        <v/>
      </c>
      <c r="J810">
        <f>IFERROR(IF(AND(H810&lt;&gt;"",H810&gt;=129,H810&lt;=2176),INDEX(Fields!$B$2:$B$206,MATCH(H810-129,Fields!$D$2:$D$206,1)),""),"")</f>
        <v/>
      </c>
      <c r="K810">
        <f>IFERROR(IF(AND(H810&lt;&gt;"",H810&gt;=129,H810&lt;=2176),INDEX(Fields!$C$2:$C$206,MATCH(H810-129,Fields!$D$2:$D$206,1)),""),"")</f>
        <v/>
      </c>
      <c r="L810">
        <f>IFERROR(IF(AND(H810&lt;&gt;"",H810&gt;=129,H810&lt;=2176),INDEX(Fields!$J$2:$J$206,MATCH(H810-129,Fields!$D$2:$D$206,1)),""),"")</f>
        <v/>
      </c>
      <c r="M810">
        <f>IFERROR(IF(AND(H810&lt;&gt;"",H810&gt;=129,H810&lt;=2176),INDEX(Fields!$K$2:$K$206,MATCH(H810-129,Fields!$D$2:$D$206,1)),""),"")</f>
        <v/>
      </c>
    </row>
    <row r="811">
      <c r="A811" t="n">
        <v>809</v>
      </c>
      <c r="B811" t="n">
        <v>0</v>
      </c>
      <c r="C811" t="inlineStr">
        <is>
          <t>No</t>
        </is>
      </c>
      <c r="D811">
        <f>IF(AND(B806=1,B807=1,B808=1,B809=1,B810=1),"Yes","")</f>
        <v/>
      </c>
      <c r="E811" t="inlineStr">
        <is>
          <t>No</t>
        </is>
      </c>
      <c r="F811" t="inlineStr">
        <is>
          <t>No</t>
        </is>
      </c>
      <c r="G811">
        <f>IF(F811="Yes",1-B811,B811)</f>
        <v/>
      </c>
      <c r="H811">
        <f>IF(E811="Yes","",COUNTIFS($E$2:E811,"No"))</f>
        <v/>
      </c>
      <c r="I811">
        <f>IF(H811="","",IF(H811&lt;=128,"address",IF(H811&lt;=600,"data1",IF(H811&lt;=1264,"zero-run1",IF(H811&lt;=1648,"data2",IF(H811&lt;=2176,"zero-run2",IF(H811&lt;=2192,"FCS","trailing")))))))</f>
        <v/>
      </c>
      <c r="J811">
        <f>IFERROR(IF(AND(H811&lt;&gt;"",H811&gt;=129,H811&lt;=2176),INDEX(Fields!$B$2:$B$206,MATCH(H811-129,Fields!$D$2:$D$206,1)),""),"")</f>
        <v/>
      </c>
      <c r="K811">
        <f>IFERROR(IF(AND(H811&lt;&gt;"",H811&gt;=129,H811&lt;=2176),INDEX(Fields!$C$2:$C$206,MATCH(H811-129,Fields!$D$2:$D$206,1)),""),"")</f>
        <v/>
      </c>
      <c r="L811">
        <f>IFERROR(IF(AND(H811&lt;&gt;"",H811&gt;=129,H811&lt;=2176),INDEX(Fields!$J$2:$J$206,MATCH(H811-129,Fields!$D$2:$D$206,1)),""),"")</f>
        <v/>
      </c>
      <c r="M811">
        <f>IFERROR(IF(AND(H811&lt;&gt;"",H811&gt;=129,H811&lt;=2176),INDEX(Fields!$K$2:$K$206,MATCH(H811-129,Fields!$D$2:$D$206,1)),""),"")</f>
        <v/>
      </c>
    </row>
    <row r="812">
      <c r="A812" t="n">
        <v>810</v>
      </c>
      <c r="B812" t="n">
        <v>0</v>
      </c>
      <c r="C812" t="inlineStr">
        <is>
          <t>No</t>
        </is>
      </c>
      <c r="D812">
        <f>IF(AND(B807=1,B808=1,B809=1,B810=1,B811=1),"Yes","")</f>
        <v/>
      </c>
      <c r="E812" t="inlineStr">
        <is>
          <t>No</t>
        </is>
      </c>
      <c r="F812" t="inlineStr">
        <is>
          <t>No</t>
        </is>
      </c>
      <c r="G812">
        <f>IF(F812="Yes",1-B812,B812)</f>
        <v/>
      </c>
      <c r="H812">
        <f>IF(E812="Yes","",COUNTIFS($E$2:E812,"No"))</f>
        <v/>
      </c>
      <c r="I812">
        <f>IF(H812="","",IF(H812&lt;=128,"address",IF(H812&lt;=600,"data1",IF(H812&lt;=1264,"zero-run1",IF(H812&lt;=1648,"data2",IF(H812&lt;=2176,"zero-run2",IF(H812&lt;=2192,"FCS","trailing")))))))</f>
        <v/>
      </c>
      <c r="J812">
        <f>IFERROR(IF(AND(H812&lt;&gt;"",H812&gt;=129,H812&lt;=2176),INDEX(Fields!$B$2:$B$206,MATCH(H812-129,Fields!$D$2:$D$206,1)),""),"")</f>
        <v/>
      </c>
      <c r="K812">
        <f>IFERROR(IF(AND(H812&lt;&gt;"",H812&gt;=129,H812&lt;=2176),INDEX(Fields!$C$2:$C$206,MATCH(H812-129,Fields!$D$2:$D$206,1)),""),"")</f>
        <v/>
      </c>
      <c r="L812">
        <f>IFERROR(IF(AND(H812&lt;&gt;"",H812&gt;=129,H812&lt;=2176),INDEX(Fields!$J$2:$J$206,MATCH(H812-129,Fields!$D$2:$D$206,1)),""),"")</f>
        <v/>
      </c>
      <c r="M812">
        <f>IFERROR(IF(AND(H812&lt;&gt;"",H812&gt;=129,H812&lt;=2176),INDEX(Fields!$K$2:$K$206,MATCH(H812-129,Fields!$D$2:$D$206,1)),""),"")</f>
        <v/>
      </c>
    </row>
    <row r="813">
      <c r="A813" t="n">
        <v>811</v>
      </c>
      <c r="B813" t="n">
        <v>0</v>
      </c>
      <c r="C813" t="inlineStr">
        <is>
          <t>No</t>
        </is>
      </c>
      <c r="D813">
        <f>IF(AND(B808=1,B809=1,B810=1,B811=1,B812=1),"Yes","")</f>
        <v/>
      </c>
      <c r="E813" t="inlineStr">
        <is>
          <t>No</t>
        </is>
      </c>
      <c r="F813" t="inlineStr">
        <is>
          <t>No</t>
        </is>
      </c>
      <c r="G813">
        <f>IF(F813="Yes",1-B813,B813)</f>
        <v/>
      </c>
      <c r="H813">
        <f>IF(E813="Yes","",COUNTIFS($E$2:E813,"No"))</f>
        <v/>
      </c>
      <c r="I813">
        <f>IF(H813="","",IF(H813&lt;=128,"address",IF(H813&lt;=600,"data1",IF(H813&lt;=1264,"zero-run1",IF(H813&lt;=1648,"data2",IF(H813&lt;=2176,"zero-run2",IF(H813&lt;=2192,"FCS","trailing")))))))</f>
        <v/>
      </c>
      <c r="J813">
        <f>IFERROR(IF(AND(H813&lt;&gt;"",H813&gt;=129,H813&lt;=2176),INDEX(Fields!$B$2:$B$206,MATCH(H813-129,Fields!$D$2:$D$206,1)),""),"")</f>
        <v/>
      </c>
      <c r="K813">
        <f>IFERROR(IF(AND(H813&lt;&gt;"",H813&gt;=129,H813&lt;=2176),INDEX(Fields!$C$2:$C$206,MATCH(H813-129,Fields!$D$2:$D$206,1)),""),"")</f>
        <v/>
      </c>
      <c r="L813">
        <f>IFERROR(IF(AND(H813&lt;&gt;"",H813&gt;=129,H813&lt;=2176),INDEX(Fields!$J$2:$J$206,MATCH(H813-129,Fields!$D$2:$D$206,1)),""),"")</f>
        <v/>
      </c>
      <c r="M813">
        <f>IFERROR(IF(AND(H813&lt;&gt;"",H813&gt;=129,H813&lt;=2176),INDEX(Fields!$K$2:$K$206,MATCH(H813-129,Fields!$D$2:$D$206,1)),""),"")</f>
        <v/>
      </c>
    </row>
    <row r="814">
      <c r="A814" t="n">
        <v>812</v>
      </c>
      <c r="B814" t="n">
        <v>0</v>
      </c>
      <c r="C814" t="inlineStr">
        <is>
          <t>No</t>
        </is>
      </c>
      <c r="D814">
        <f>IF(AND(B809=1,B810=1,B811=1,B812=1,B813=1),"Yes","")</f>
        <v/>
      </c>
      <c r="E814" t="inlineStr">
        <is>
          <t>No</t>
        </is>
      </c>
      <c r="F814" t="inlineStr">
        <is>
          <t>No</t>
        </is>
      </c>
      <c r="G814">
        <f>IF(F814="Yes",1-B814,B814)</f>
        <v/>
      </c>
      <c r="H814">
        <f>IF(E814="Yes","",COUNTIFS($E$2:E814,"No"))</f>
        <v/>
      </c>
      <c r="I814">
        <f>IF(H814="","",IF(H814&lt;=128,"address",IF(H814&lt;=600,"data1",IF(H814&lt;=1264,"zero-run1",IF(H814&lt;=1648,"data2",IF(H814&lt;=2176,"zero-run2",IF(H814&lt;=2192,"FCS","trailing")))))))</f>
        <v/>
      </c>
      <c r="J814">
        <f>IFERROR(IF(AND(H814&lt;&gt;"",H814&gt;=129,H814&lt;=2176),INDEX(Fields!$B$2:$B$206,MATCH(H814-129,Fields!$D$2:$D$206,1)),""),"")</f>
        <v/>
      </c>
      <c r="K814">
        <f>IFERROR(IF(AND(H814&lt;&gt;"",H814&gt;=129,H814&lt;=2176),INDEX(Fields!$C$2:$C$206,MATCH(H814-129,Fields!$D$2:$D$206,1)),""),"")</f>
        <v/>
      </c>
      <c r="L814">
        <f>IFERROR(IF(AND(H814&lt;&gt;"",H814&gt;=129,H814&lt;=2176),INDEX(Fields!$J$2:$J$206,MATCH(H814-129,Fields!$D$2:$D$206,1)),""),"")</f>
        <v/>
      </c>
      <c r="M814">
        <f>IFERROR(IF(AND(H814&lt;&gt;"",H814&gt;=129,H814&lt;=2176),INDEX(Fields!$K$2:$K$206,MATCH(H814-129,Fields!$D$2:$D$206,1)),""),"")</f>
        <v/>
      </c>
    </row>
    <row r="815">
      <c r="A815" t="n">
        <v>813</v>
      </c>
      <c r="B815" t="n">
        <v>0</v>
      </c>
      <c r="C815" t="inlineStr">
        <is>
          <t>No</t>
        </is>
      </c>
      <c r="D815">
        <f>IF(AND(B810=1,B811=1,B812=1,B813=1,B814=1),"Yes","")</f>
        <v/>
      </c>
      <c r="E815" t="inlineStr">
        <is>
          <t>No</t>
        </is>
      </c>
      <c r="F815" t="inlineStr">
        <is>
          <t>No</t>
        </is>
      </c>
      <c r="G815">
        <f>IF(F815="Yes",1-B815,B815)</f>
        <v/>
      </c>
      <c r="H815">
        <f>IF(E815="Yes","",COUNTIFS($E$2:E815,"No"))</f>
        <v/>
      </c>
      <c r="I815">
        <f>IF(H815="","",IF(H815&lt;=128,"address",IF(H815&lt;=600,"data1",IF(H815&lt;=1264,"zero-run1",IF(H815&lt;=1648,"data2",IF(H815&lt;=2176,"zero-run2",IF(H815&lt;=2192,"FCS","trailing")))))))</f>
        <v/>
      </c>
      <c r="J815">
        <f>IFERROR(IF(AND(H815&lt;&gt;"",H815&gt;=129,H815&lt;=2176),INDEX(Fields!$B$2:$B$206,MATCH(H815-129,Fields!$D$2:$D$206,1)),""),"")</f>
        <v/>
      </c>
      <c r="K815">
        <f>IFERROR(IF(AND(H815&lt;&gt;"",H815&gt;=129,H815&lt;=2176),INDEX(Fields!$C$2:$C$206,MATCH(H815-129,Fields!$D$2:$D$206,1)),""),"")</f>
        <v/>
      </c>
      <c r="L815">
        <f>IFERROR(IF(AND(H815&lt;&gt;"",H815&gt;=129,H815&lt;=2176),INDEX(Fields!$J$2:$J$206,MATCH(H815-129,Fields!$D$2:$D$206,1)),""),"")</f>
        <v/>
      </c>
      <c r="M815">
        <f>IFERROR(IF(AND(H815&lt;&gt;"",H815&gt;=129,H815&lt;=2176),INDEX(Fields!$K$2:$K$206,MATCH(H815-129,Fields!$D$2:$D$206,1)),""),"")</f>
        <v/>
      </c>
    </row>
    <row r="816">
      <c r="A816" t="n">
        <v>814</v>
      </c>
      <c r="B816" t="n">
        <v>0</v>
      </c>
      <c r="C816" t="inlineStr">
        <is>
          <t>No</t>
        </is>
      </c>
      <c r="D816">
        <f>IF(AND(B811=1,B812=1,B813=1,B814=1,B815=1),"Yes","")</f>
        <v/>
      </c>
      <c r="E816" t="inlineStr">
        <is>
          <t>No</t>
        </is>
      </c>
      <c r="F816" t="inlineStr">
        <is>
          <t>No</t>
        </is>
      </c>
      <c r="G816">
        <f>IF(F816="Yes",1-B816,B816)</f>
        <v/>
      </c>
      <c r="H816">
        <f>IF(E816="Yes","",COUNTIFS($E$2:E816,"No"))</f>
        <v/>
      </c>
      <c r="I816">
        <f>IF(H816="","",IF(H816&lt;=128,"address",IF(H816&lt;=600,"data1",IF(H816&lt;=1264,"zero-run1",IF(H816&lt;=1648,"data2",IF(H816&lt;=2176,"zero-run2",IF(H816&lt;=2192,"FCS","trailing")))))))</f>
        <v/>
      </c>
      <c r="J816">
        <f>IFERROR(IF(AND(H816&lt;&gt;"",H816&gt;=129,H816&lt;=2176),INDEX(Fields!$B$2:$B$206,MATCH(H816-129,Fields!$D$2:$D$206,1)),""),"")</f>
        <v/>
      </c>
      <c r="K816">
        <f>IFERROR(IF(AND(H816&lt;&gt;"",H816&gt;=129,H816&lt;=2176),INDEX(Fields!$C$2:$C$206,MATCH(H816-129,Fields!$D$2:$D$206,1)),""),"")</f>
        <v/>
      </c>
      <c r="L816">
        <f>IFERROR(IF(AND(H816&lt;&gt;"",H816&gt;=129,H816&lt;=2176),INDEX(Fields!$J$2:$J$206,MATCH(H816-129,Fields!$D$2:$D$206,1)),""),"")</f>
        <v/>
      </c>
      <c r="M816">
        <f>IFERROR(IF(AND(H816&lt;&gt;"",H816&gt;=129,H816&lt;=2176),INDEX(Fields!$K$2:$K$206,MATCH(H816-129,Fields!$D$2:$D$206,1)),""),"")</f>
        <v/>
      </c>
    </row>
    <row r="817">
      <c r="A817" t="n">
        <v>815</v>
      </c>
      <c r="B817" t="n">
        <v>0</v>
      </c>
      <c r="C817" t="inlineStr">
        <is>
          <t>No</t>
        </is>
      </c>
      <c r="D817">
        <f>IF(AND(B812=1,B813=1,B814=1,B815=1,B816=1),"Yes","")</f>
        <v/>
      </c>
      <c r="E817" t="inlineStr">
        <is>
          <t>No</t>
        </is>
      </c>
      <c r="F817" t="inlineStr">
        <is>
          <t>No</t>
        </is>
      </c>
      <c r="G817">
        <f>IF(F817="Yes",1-B817,B817)</f>
        <v/>
      </c>
      <c r="H817">
        <f>IF(E817="Yes","",COUNTIFS($E$2:E817,"No"))</f>
        <v/>
      </c>
      <c r="I817">
        <f>IF(H817="","",IF(H817&lt;=128,"address",IF(H817&lt;=600,"data1",IF(H817&lt;=1264,"zero-run1",IF(H817&lt;=1648,"data2",IF(H817&lt;=2176,"zero-run2",IF(H817&lt;=2192,"FCS","trailing")))))))</f>
        <v/>
      </c>
      <c r="J817">
        <f>IFERROR(IF(AND(H817&lt;&gt;"",H817&gt;=129,H817&lt;=2176),INDEX(Fields!$B$2:$B$206,MATCH(H817-129,Fields!$D$2:$D$206,1)),""),"")</f>
        <v/>
      </c>
      <c r="K817">
        <f>IFERROR(IF(AND(H817&lt;&gt;"",H817&gt;=129,H817&lt;=2176),INDEX(Fields!$C$2:$C$206,MATCH(H817-129,Fields!$D$2:$D$206,1)),""),"")</f>
        <v/>
      </c>
      <c r="L817">
        <f>IFERROR(IF(AND(H817&lt;&gt;"",H817&gt;=129,H817&lt;=2176),INDEX(Fields!$J$2:$J$206,MATCH(H817-129,Fields!$D$2:$D$206,1)),""),"")</f>
        <v/>
      </c>
      <c r="M817">
        <f>IFERROR(IF(AND(H817&lt;&gt;"",H817&gt;=129,H817&lt;=2176),INDEX(Fields!$K$2:$K$206,MATCH(H817-129,Fields!$D$2:$D$206,1)),""),"")</f>
        <v/>
      </c>
    </row>
    <row r="818">
      <c r="A818" t="n">
        <v>816</v>
      </c>
      <c r="B818" t="n">
        <v>0</v>
      </c>
      <c r="C818" t="inlineStr">
        <is>
          <t>No</t>
        </is>
      </c>
      <c r="D818">
        <f>IF(AND(B813=1,B814=1,B815=1,B816=1,B817=1),"Yes","")</f>
        <v/>
      </c>
      <c r="E818" t="inlineStr">
        <is>
          <t>No</t>
        </is>
      </c>
      <c r="F818" t="inlineStr">
        <is>
          <t>No</t>
        </is>
      </c>
      <c r="G818">
        <f>IF(F818="Yes",1-B818,B818)</f>
        <v/>
      </c>
      <c r="H818">
        <f>IF(E818="Yes","",COUNTIFS($E$2:E818,"No"))</f>
        <v/>
      </c>
      <c r="I818">
        <f>IF(H818="","",IF(H818&lt;=128,"address",IF(H818&lt;=600,"data1",IF(H818&lt;=1264,"zero-run1",IF(H818&lt;=1648,"data2",IF(H818&lt;=2176,"zero-run2",IF(H818&lt;=2192,"FCS","trailing")))))))</f>
        <v/>
      </c>
      <c r="J818">
        <f>IFERROR(IF(AND(H818&lt;&gt;"",H818&gt;=129,H818&lt;=2176),INDEX(Fields!$B$2:$B$206,MATCH(H818-129,Fields!$D$2:$D$206,1)),""),"")</f>
        <v/>
      </c>
      <c r="K818">
        <f>IFERROR(IF(AND(H818&lt;&gt;"",H818&gt;=129,H818&lt;=2176),INDEX(Fields!$C$2:$C$206,MATCH(H818-129,Fields!$D$2:$D$206,1)),""),"")</f>
        <v/>
      </c>
      <c r="L818">
        <f>IFERROR(IF(AND(H818&lt;&gt;"",H818&gt;=129,H818&lt;=2176),INDEX(Fields!$J$2:$J$206,MATCH(H818-129,Fields!$D$2:$D$206,1)),""),"")</f>
        <v/>
      </c>
      <c r="M818">
        <f>IFERROR(IF(AND(H818&lt;&gt;"",H818&gt;=129,H818&lt;=2176),INDEX(Fields!$K$2:$K$206,MATCH(H818-129,Fields!$D$2:$D$206,1)),""),"")</f>
        <v/>
      </c>
    </row>
    <row r="819">
      <c r="A819" t="n">
        <v>817</v>
      </c>
      <c r="B819" t="n">
        <v>0</v>
      </c>
      <c r="C819" t="inlineStr">
        <is>
          <t>No</t>
        </is>
      </c>
      <c r="D819">
        <f>IF(AND(B814=1,B815=1,B816=1,B817=1,B818=1),"Yes","")</f>
        <v/>
      </c>
      <c r="E819" t="inlineStr">
        <is>
          <t>No</t>
        </is>
      </c>
      <c r="F819" t="inlineStr">
        <is>
          <t>No</t>
        </is>
      </c>
      <c r="G819">
        <f>IF(F819="Yes",1-B819,B819)</f>
        <v/>
      </c>
      <c r="H819">
        <f>IF(E819="Yes","",COUNTIFS($E$2:E819,"No"))</f>
        <v/>
      </c>
      <c r="I819">
        <f>IF(H819="","",IF(H819&lt;=128,"address",IF(H819&lt;=600,"data1",IF(H819&lt;=1264,"zero-run1",IF(H819&lt;=1648,"data2",IF(H819&lt;=2176,"zero-run2",IF(H819&lt;=2192,"FCS","trailing")))))))</f>
        <v/>
      </c>
      <c r="J819">
        <f>IFERROR(IF(AND(H819&lt;&gt;"",H819&gt;=129,H819&lt;=2176),INDEX(Fields!$B$2:$B$206,MATCH(H819-129,Fields!$D$2:$D$206,1)),""),"")</f>
        <v/>
      </c>
      <c r="K819">
        <f>IFERROR(IF(AND(H819&lt;&gt;"",H819&gt;=129,H819&lt;=2176),INDEX(Fields!$C$2:$C$206,MATCH(H819-129,Fields!$D$2:$D$206,1)),""),"")</f>
        <v/>
      </c>
      <c r="L819">
        <f>IFERROR(IF(AND(H819&lt;&gt;"",H819&gt;=129,H819&lt;=2176),INDEX(Fields!$J$2:$J$206,MATCH(H819-129,Fields!$D$2:$D$206,1)),""),"")</f>
        <v/>
      </c>
      <c r="M819">
        <f>IFERROR(IF(AND(H819&lt;&gt;"",H819&gt;=129,H819&lt;=2176),INDEX(Fields!$K$2:$K$206,MATCH(H819-129,Fields!$D$2:$D$206,1)),""),"")</f>
        <v/>
      </c>
    </row>
    <row r="820">
      <c r="A820" t="n">
        <v>818</v>
      </c>
      <c r="B820" t="n">
        <v>0</v>
      </c>
      <c r="C820" t="inlineStr">
        <is>
          <t>No</t>
        </is>
      </c>
      <c r="D820">
        <f>IF(AND(B815=1,B816=1,B817=1,B818=1,B819=1),"Yes","")</f>
        <v/>
      </c>
      <c r="E820" t="inlineStr">
        <is>
          <t>No</t>
        </is>
      </c>
      <c r="F820" t="inlineStr">
        <is>
          <t>No</t>
        </is>
      </c>
      <c r="G820">
        <f>IF(F820="Yes",1-B820,B820)</f>
        <v/>
      </c>
      <c r="H820">
        <f>IF(E820="Yes","",COUNTIFS($E$2:E820,"No"))</f>
        <v/>
      </c>
      <c r="I820">
        <f>IF(H820="","",IF(H820&lt;=128,"address",IF(H820&lt;=600,"data1",IF(H820&lt;=1264,"zero-run1",IF(H820&lt;=1648,"data2",IF(H820&lt;=2176,"zero-run2",IF(H820&lt;=2192,"FCS","trailing")))))))</f>
        <v/>
      </c>
      <c r="J820">
        <f>IFERROR(IF(AND(H820&lt;&gt;"",H820&gt;=129,H820&lt;=2176),INDEX(Fields!$B$2:$B$206,MATCH(H820-129,Fields!$D$2:$D$206,1)),""),"")</f>
        <v/>
      </c>
      <c r="K820">
        <f>IFERROR(IF(AND(H820&lt;&gt;"",H820&gt;=129,H820&lt;=2176),INDEX(Fields!$C$2:$C$206,MATCH(H820-129,Fields!$D$2:$D$206,1)),""),"")</f>
        <v/>
      </c>
      <c r="L820">
        <f>IFERROR(IF(AND(H820&lt;&gt;"",H820&gt;=129,H820&lt;=2176),INDEX(Fields!$J$2:$J$206,MATCH(H820-129,Fields!$D$2:$D$206,1)),""),"")</f>
        <v/>
      </c>
      <c r="M820">
        <f>IFERROR(IF(AND(H820&lt;&gt;"",H820&gt;=129,H820&lt;=2176),INDEX(Fields!$K$2:$K$206,MATCH(H820-129,Fields!$D$2:$D$206,1)),""),"")</f>
        <v/>
      </c>
    </row>
    <row r="821">
      <c r="A821" t="n">
        <v>819</v>
      </c>
      <c r="B821" t="n">
        <v>0</v>
      </c>
      <c r="C821" t="inlineStr">
        <is>
          <t>No</t>
        </is>
      </c>
      <c r="D821">
        <f>IF(AND(B816=1,B817=1,B818=1,B819=1,B820=1),"Yes","")</f>
        <v/>
      </c>
      <c r="E821" t="inlineStr">
        <is>
          <t>No</t>
        </is>
      </c>
      <c r="F821" t="inlineStr">
        <is>
          <t>No</t>
        </is>
      </c>
      <c r="G821">
        <f>IF(F821="Yes",1-B821,B821)</f>
        <v/>
      </c>
      <c r="H821">
        <f>IF(E821="Yes","",COUNTIFS($E$2:E821,"No"))</f>
        <v/>
      </c>
      <c r="I821">
        <f>IF(H821="","",IF(H821&lt;=128,"address",IF(H821&lt;=600,"data1",IF(H821&lt;=1264,"zero-run1",IF(H821&lt;=1648,"data2",IF(H821&lt;=2176,"zero-run2",IF(H821&lt;=2192,"FCS","trailing")))))))</f>
        <v/>
      </c>
      <c r="J821">
        <f>IFERROR(IF(AND(H821&lt;&gt;"",H821&gt;=129,H821&lt;=2176),INDEX(Fields!$B$2:$B$206,MATCH(H821-129,Fields!$D$2:$D$206,1)),""),"")</f>
        <v/>
      </c>
      <c r="K821">
        <f>IFERROR(IF(AND(H821&lt;&gt;"",H821&gt;=129,H821&lt;=2176),INDEX(Fields!$C$2:$C$206,MATCH(H821-129,Fields!$D$2:$D$206,1)),""),"")</f>
        <v/>
      </c>
      <c r="L821">
        <f>IFERROR(IF(AND(H821&lt;&gt;"",H821&gt;=129,H821&lt;=2176),INDEX(Fields!$J$2:$J$206,MATCH(H821-129,Fields!$D$2:$D$206,1)),""),"")</f>
        <v/>
      </c>
      <c r="M821">
        <f>IFERROR(IF(AND(H821&lt;&gt;"",H821&gt;=129,H821&lt;=2176),INDEX(Fields!$K$2:$K$206,MATCH(H821-129,Fields!$D$2:$D$206,1)),""),"")</f>
        <v/>
      </c>
    </row>
    <row r="822">
      <c r="A822" t="n">
        <v>820</v>
      </c>
      <c r="B822" t="n">
        <v>0</v>
      </c>
      <c r="C822" t="inlineStr">
        <is>
          <t>No</t>
        </is>
      </c>
      <c r="D822">
        <f>IF(AND(B817=1,B818=1,B819=1,B820=1,B821=1),"Yes","")</f>
        <v/>
      </c>
      <c r="E822" t="inlineStr">
        <is>
          <t>No</t>
        </is>
      </c>
      <c r="F822" t="inlineStr">
        <is>
          <t>No</t>
        </is>
      </c>
      <c r="G822">
        <f>IF(F822="Yes",1-B822,B822)</f>
        <v/>
      </c>
      <c r="H822">
        <f>IF(E822="Yes","",COUNTIFS($E$2:E822,"No"))</f>
        <v/>
      </c>
      <c r="I822">
        <f>IF(H822="","",IF(H822&lt;=128,"address",IF(H822&lt;=600,"data1",IF(H822&lt;=1264,"zero-run1",IF(H822&lt;=1648,"data2",IF(H822&lt;=2176,"zero-run2",IF(H822&lt;=2192,"FCS","trailing")))))))</f>
        <v/>
      </c>
      <c r="J822">
        <f>IFERROR(IF(AND(H822&lt;&gt;"",H822&gt;=129,H822&lt;=2176),INDEX(Fields!$B$2:$B$206,MATCH(H822-129,Fields!$D$2:$D$206,1)),""),"")</f>
        <v/>
      </c>
      <c r="K822">
        <f>IFERROR(IF(AND(H822&lt;&gt;"",H822&gt;=129,H822&lt;=2176),INDEX(Fields!$C$2:$C$206,MATCH(H822-129,Fields!$D$2:$D$206,1)),""),"")</f>
        <v/>
      </c>
      <c r="L822">
        <f>IFERROR(IF(AND(H822&lt;&gt;"",H822&gt;=129,H822&lt;=2176),INDEX(Fields!$J$2:$J$206,MATCH(H822-129,Fields!$D$2:$D$206,1)),""),"")</f>
        <v/>
      </c>
      <c r="M822">
        <f>IFERROR(IF(AND(H822&lt;&gt;"",H822&gt;=129,H822&lt;=2176),INDEX(Fields!$K$2:$K$206,MATCH(H822-129,Fields!$D$2:$D$206,1)),""),"")</f>
        <v/>
      </c>
    </row>
    <row r="823">
      <c r="A823" t="n">
        <v>821</v>
      </c>
      <c r="B823" t="n">
        <v>0</v>
      </c>
      <c r="C823" t="inlineStr">
        <is>
          <t>No</t>
        </is>
      </c>
      <c r="D823">
        <f>IF(AND(B818=1,B819=1,B820=1,B821=1,B822=1),"Yes","")</f>
        <v/>
      </c>
      <c r="E823" t="inlineStr">
        <is>
          <t>No</t>
        </is>
      </c>
      <c r="F823" t="inlineStr">
        <is>
          <t>No</t>
        </is>
      </c>
      <c r="G823">
        <f>IF(F823="Yes",1-B823,B823)</f>
        <v/>
      </c>
      <c r="H823">
        <f>IF(E823="Yes","",COUNTIFS($E$2:E823,"No"))</f>
        <v/>
      </c>
      <c r="I823">
        <f>IF(H823="","",IF(H823&lt;=128,"address",IF(H823&lt;=600,"data1",IF(H823&lt;=1264,"zero-run1",IF(H823&lt;=1648,"data2",IF(H823&lt;=2176,"zero-run2",IF(H823&lt;=2192,"FCS","trailing")))))))</f>
        <v/>
      </c>
      <c r="J823">
        <f>IFERROR(IF(AND(H823&lt;&gt;"",H823&gt;=129,H823&lt;=2176),INDEX(Fields!$B$2:$B$206,MATCH(H823-129,Fields!$D$2:$D$206,1)),""),"")</f>
        <v/>
      </c>
      <c r="K823">
        <f>IFERROR(IF(AND(H823&lt;&gt;"",H823&gt;=129,H823&lt;=2176),INDEX(Fields!$C$2:$C$206,MATCH(H823-129,Fields!$D$2:$D$206,1)),""),"")</f>
        <v/>
      </c>
      <c r="L823">
        <f>IFERROR(IF(AND(H823&lt;&gt;"",H823&gt;=129,H823&lt;=2176),INDEX(Fields!$J$2:$J$206,MATCH(H823-129,Fields!$D$2:$D$206,1)),""),"")</f>
        <v/>
      </c>
      <c r="M823">
        <f>IFERROR(IF(AND(H823&lt;&gt;"",H823&gt;=129,H823&lt;=2176),INDEX(Fields!$K$2:$K$206,MATCH(H823-129,Fields!$D$2:$D$206,1)),""),"")</f>
        <v/>
      </c>
    </row>
    <row r="824">
      <c r="A824" t="n">
        <v>822</v>
      </c>
      <c r="B824" t="n">
        <v>0</v>
      </c>
      <c r="C824" t="inlineStr">
        <is>
          <t>No</t>
        </is>
      </c>
      <c r="D824">
        <f>IF(AND(B819=1,B820=1,B821=1,B822=1,B823=1),"Yes","")</f>
        <v/>
      </c>
      <c r="E824" t="inlineStr">
        <is>
          <t>No</t>
        </is>
      </c>
      <c r="F824" t="inlineStr">
        <is>
          <t>No</t>
        </is>
      </c>
      <c r="G824">
        <f>IF(F824="Yes",1-B824,B824)</f>
        <v/>
      </c>
      <c r="H824">
        <f>IF(E824="Yes","",COUNTIFS($E$2:E824,"No"))</f>
        <v/>
      </c>
      <c r="I824">
        <f>IF(H824="","",IF(H824&lt;=128,"address",IF(H824&lt;=600,"data1",IF(H824&lt;=1264,"zero-run1",IF(H824&lt;=1648,"data2",IF(H824&lt;=2176,"zero-run2",IF(H824&lt;=2192,"FCS","trailing")))))))</f>
        <v/>
      </c>
      <c r="J824">
        <f>IFERROR(IF(AND(H824&lt;&gt;"",H824&gt;=129,H824&lt;=2176),INDEX(Fields!$B$2:$B$206,MATCH(H824-129,Fields!$D$2:$D$206,1)),""),"")</f>
        <v/>
      </c>
      <c r="K824">
        <f>IFERROR(IF(AND(H824&lt;&gt;"",H824&gt;=129,H824&lt;=2176),INDEX(Fields!$C$2:$C$206,MATCH(H824-129,Fields!$D$2:$D$206,1)),""),"")</f>
        <v/>
      </c>
      <c r="L824">
        <f>IFERROR(IF(AND(H824&lt;&gt;"",H824&gt;=129,H824&lt;=2176),INDEX(Fields!$J$2:$J$206,MATCH(H824-129,Fields!$D$2:$D$206,1)),""),"")</f>
        <v/>
      </c>
      <c r="M824">
        <f>IFERROR(IF(AND(H824&lt;&gt;"",H824&gt;=129,H824&lt;=2176),INDEX(Fields!$K$2:$K$206,MATCH(H824-129,Fields!$D$2:$D$206,1)),""),"")</f>
        <v/>
      </c>
    </row>
    <row r="825">
      <c r="A825" t="n">
        <v>823</v>
      </c>
      <c r="B825" t="n">
        <v>0</v>
      </c>
      <c r="C825" t="inlineStr">
        <is>
          <t>No</t>
        </is>
      </c>
      <c r="D825">
        <f>IF(AND(B820=1,B821=1,B822=1,B823=1,B824=1),"Yes","")</f>
        <v/>
      </c>
      <c r="E825" t="inlineStr">
        <is>
          <t>No</t>
        </is>
      </c>
      <c r="F825" t="inlineStr">
        <is>
          <t>No</t>
        </is>
      </c>
      <c r="G825">
        <f>IF(F825="Yes",1-B825,B825)</f>
        <v/>
      </c>
      <c r="H825">
        <f>IF(E825="Yes","",COUNTIFS($E$2:E825,"No"))</f>
        <v/>
      </c>
      <c r="I825">
        <f>IF(H825="","",IF(H825&lt;=128,"address",IF(H825&lt;=600,"data1",IF(H825&lt;=1264,"zero-run1",IF(H825&lt;=1648,"data2",IF(H825&lt;=2176,"zero-run2",IF(H825&lt;=2192,"FCS","trailing")))))))</f>
        <v/>
      </c>
      <c r="J825">
        <f>IFERROR(IF(AND(H825&lt;&gt;"",H825&gt;=129,H825&lt;=2176),INDEX(Fields!$B$2:$B$206,MATCH(H825-129,Fields!$D$2:$D$206,1)),""),"")</f>
        <v/>
      </c>
      <c r="K825">
        <f>IFERROR(IF(AND(H825&lt;&gt;"",H825&gt;=129,H825&lt;=2176),INDEX(Fields!$C$2:$C$206,MATCH(H825-129,Fields!$D$2:$D$206,1)),""),"")</f>
        <v/>
      </c>
      <c r="L825">
        <f>IFERROR(IF(AND(H825&lt;&gt;"",H825&gt;=129,H825&lt;=2176),INDEX(Fields!$J$2:$J$206,MATCH(H825-129,Fields!$D$2:$D$206,1)),""),"")</f>
        <v/>
      </c>
      <c r="M825">
        <f>IFERROR(IF(AND(H825&lt;&gt;"",H825&gt;=129,H825&lt;=2176),INDEX(Fields!$K$2:$K$206,MATCH(H825-129,Fields!$D$2:$D$206,1)),""),"")</f>
        <v/>
      </c>
    </row>
    <row r="826">
      <c r="A826" t="n">
        <v>824</v>
      </c>
      <c r="B826" t="n">
        <v>0</v>
      </c>
      <c r="C826" t="inlineStr">
        <is>
          <t>No</t>
        </is>
      </c>
      <c r="D826">
        <f>IF(AND(B821=1,B822=1,B823=1,B824=1,B825=1),"Yes","")</f>
        <v/>
      </c>
      <c r="E826" t="inlineStr">
        <is>
          <t>No</t>
        </is>
      </c>
      <c r="F826" t="inlineStr">
        <is>
          <t>No</t>
        </is>
      </c>
      <c r="G826">
        <f>IF(F826="Yes",1-B826,B826)</f>
        <v/>
      </c>
      <c r="H826">
        <f>IF(E826="Yes","",COUNTIFS($E$2:E826,"No"))</f>
        <v/>
      </c>
      <c r="I826">
        <f>IF(H826="","",IF(H826&lt;=128,"address",IF(H826&lt;=600,"data1",IF(H826&lt;=1264,"zero-run1",IF(H826&lt;=1648,"data2",IF(H826&lt;=2176,"zero-run2",IF(H826&lt;=2192,"FCS","trailing")))))))</f>
        <v/>
      </c>
      <c r="J826">
        <f>IFERROR(IF(AND(H826&lt;&gt;"",H826&gt;=129,H826&lt;=2176),INDEX(Fields!$B$2:$B$206,MATCH(H826-129,Fields!$D$2:$D$206,1)),""),"")</f>
        <v/>
      </c>
      <c r="K826">
        <f>IFERROR(IF(AND(H826&lt;&gt;"",H826&gt;=129,H826&lt;=2176),INDEX(Fields!$C$2:$C$206,MATCH(H826-129,Fields!$D$2:$D$206,1)),""),"")</f>
        <v/>
      </c>
      <c r="L826">
        <f>IFERROR(IF(AND(H826&lt;&gt;"",H826&gt;=129,H826&lt;=2176),INDEX(Fields!$J$2:$J$206,MATCH(H826-129,Fields!$D$2:$D$206,1)),""),"")</f>
        <v/>
      </c>
      <c r="M826">
        <f>IFERROR(IF(AND(H826&lt;&gt;"",H826&gt;=129,H826&lt;=2176),INDEX(Fields!$K$2:$K$206,MATCH(H826-129,Fields!$D$2:$D$206,1)),""),"")</f>
        <v/>
      </c>
    </row>
    <row r="827">
      <c r="A827" t="n">
        <v>825</v>
      </c>
      <c r="B827" t="n">
        <v>0</v>
      </c>
      <c r="C827" t="inlineStr">
        <is>
          <t>No</t>
        </is>
      </c>
      <c r="D827">
        <f>IF(AND(B822=1,B823=1,B824=1,B825=1,B826=1),"Yes","")</f>
        <v/>
      </c>
      <c r="E827" t="inlineStr">
        <is>
          <t>No</t>
        </is>
      </c>
      <c r="F827" t="inlineStr">
        <is>
          <t>No</t>
        </is>
      </c>
      <c r="G827">
        <f>IF(F827="Yes",1-B827,B827)</f>
        <v/>
      </c>
      <c r="H827">
        <f>IF(E827="Yes","",COUNTIFS($E$2:E827,"No"))</f>
        <v/>
      </c>
      <c r="I827">
        <f>IF(H827="","",IF(H827&lt;=128,"address",IF(H827&lt;=600,"data1",IF(H827&lt;=1264,"zero-run1",IF(H827&lt;=1648,"data2",IF(H827&lt;=2176,"zero-run2",IF(H827&lt;=2192,"FCS","trailing")))))))</f>
        <v/>
      </c>
      <c r="J827">
        <f>IFERROR(IF(AND(H827&lt;&gt;"",H827&gt;=129,H827&lt;=2176),INDEX(Fields!$B$2:$B$206,MATCH(H827-129,Fields!$D$2:$D$206,1)),""),"")</f>
        <v/>
      </c>
      <c r="K827">
        <f>IFERROR(IF(AND(H827&lt;&gt;"",H827&gt;=129,H827&lt;=2176),INDEX(Fields!$C$2:$C$206,MATCH(H827-129,Fields!$D$2:$D$206,1)),""),"")</f>
        <v/>
      </c>
      <c r="L827">
        <f>IFERROR(IF(AND(H827&lt;&gt;"",H827&gt;=129,H827&lt;=2176),INDEX(Fields!$J$2:$J$206,MATCH(H827-129,Fields!$D$2:$D$206,1)),""),"")</f>
        <v/>
      </c>
      <c r="M827">
        <f>IFERROR(IF(AND(H827&lt;&gt;"",H827&gt;=129,H827&lt;=2176),INDEX(Fields!$K$2:$K$206,MATCH(H827-129,Fields!$D$2:$D$206,1)),""),"")</f>
        <v/>
      </c>
    </row>
    <row r="828">
      <c r="A828" t="n">
        <v>826</v>
      </c>
      <c r="B828" t="n">
        <v>0</v>
      </c>
      <c r="C828" t="inlineStr">
        <is>
          <t>No</t>
        </is>
      </c>
      <c r="D828">
        <f>IF(AND(B823=1,B824=1,B825=1,B826=1,B827=1),"Yes","")</f>
        <v/>
      </c>
      <c r="E828" t="inlineStr">
        <is>
          <t>No</t>
        </is>
      </c>
      <c r="F828" t="inlineStr">
        <is>
          <t>No</t>
        </is>
      </c>
      <c r="G828">
        <f>IF(F828="Yes",1-B828,B828)</f>
        <v/>
      </c>
      <c r="H828">
        <f>IF(E828="Yes","",COUNTIFS($E$2:E828,"No"))</f>
        <v/>
      </c>
      <c r="I828">
        <f>IF(H828="","",IF(H828&lt;=128,"address",IF(H828&lt;=600,"data1",IF(H828&lt;=1264,"zero-run1",IF(H828&lt;=1648,"data2",IF(H828&lt;=2176,"zero-run2",IF(H828&lt;=2192,"FCS","trailing")))))))</f>
        <v/>
      </c>
      <c r="J828">
        <f>IFERROR(IF(AND(H828&lt;&gt;"",H828&gt;=129,H828&lt;=2176),INDEX(Fields!$B$2:$B$206,MATCH(H828-129,Fields!$D$2:$D$206,1)),""),"")</f>
        <v/>
      </c>
      <c r="K828">
        <f>IFERROR(IF(AND(H828&lt;&gt;"",H828&gt;=129,H828&lt;=2176),INDEX(Fields!$C$2:$C$206,MATCH(H828-129,Fields!$D$2:$D$206,1)),""),"")</f>
        <v/>
      </c>
      <c r="L828">
        <f>IFERROR(IF(AND(H828&lt;&gt;"",H828&gt;=129,H828&lt;=2176),INDEX(Fields!$J$2:$J$206,MATCH(H828-129,Fields!$D$2:$D$206,1)),""),"")</f>
        <v/>
      </c>
      <c r="M828">
        <f>IFERROR(IF(AND(H828&lt;&gt;"",H828&gt;=129,H828&lt;=2176),INDEX(Fields!$K$2:$K$206,MATCH(H828-129,Fields!$D$2:$D$206,1)),""),"")</f>
        <v/>
      </c>
    </row>
    <row r="829">
      <c r="A829" t="n">
        <v>827</v>
      </c>
      <c r="B829" t="n">
        <v>0</v>
      </c>
      <c r="C829" t="inlineStr">
        <is>
          <t>No</t>
        </is>
      </c>
      <c r="D829">
        <f>IF(AND(B824=1,B825=1,B826=1,B827=1,B828=1),"Yes","")</f>
        <v/>
      </c>
      <c r="E829" t="inlineStr">
        <is>
          <t>No</t>
        </is>
      </c>
      <c r="F829" t="inlineStr">
        <is>
          <t>No</t>
        </is>
      </c>
      <c r="G829">
        <f>IF(F829="Yes",1-B829,B829)</f>
        <v/>
      </c>
      <c r="H829">
        <f>IF(E829="Yes","",COUNTIFS($E$2:E829,"No"))</f>
        <v/>
      </c>
      <c r="I829">
        <f>IF(H829="","",IF(H829&lt;=128,"address",IF(H829&lt;=600,"data1",IF(H829&lt;=1264,"zero-run1",IF(H829&lt;=1648,"data2",IF(H829&lt;=2176,"zero-run2",IF(H829&lt;=2192,"FCS","trailing")))))))</f>
        <v/>
      </c>
      <c r="J829">
        <f>IFERROR(IF(AND(H829&lt;&gt;"",H829&gt;=129,H829&lt;=2176),INDEX(Fields!$B$2:$B$206,MATCH(H829-129,Fields!$D$2:$D$206,1)),""),"")</f>
        <v/>
      </c>
      <c r="K829">
        <f>IFERROR(IF(AND(H829&lt;&gt;"",H829&gt;=129,H829&lt;=2176),INDEX(Fields!$C$2:$C$206,MATCH(H829-129,Fields!$D$2:$D$206,1)),""),"")</f>
        <v/>
      </c>
      <c r="L829">
        <f>IFERROR(IF(AND(H829&lt;&gt;"",H829&gt;=129,H829&lt;=2176),INDEX(Fields!$J$2:$J$206,MATCH(H829-129,Fields!$D$2:$D$206,1)),""),"")</f>
        <v/>
      </c>
      <c r="M829">
        <f>IFERROR(IF(AND(H829&lt;&gt;"",H829&gt;=129,H829&lt;=2176),INDEX(Fields!$K$2:$K$206,MATCH(H829-129,Fields!$D$2:$D$206,1)),""),"")</f>
        <v/>
      </c>
    </row>
    <row r="830">
      <c r="A830" t="n">
        <v>828</v>
      </c>
      <c r="B830" t="n">
        <v>0</v>
      </c>
      <c r="C830" t="inlineStr">
        <is>
          <t>No</t>
        </is>
      </c>
      <c r="D830">
        <f>IF(AND(B825=1,B826=1,B827=1,B828=1,B829=1),"Yes","")</f>
        <v/>
      </c>
      <c r="E830" t="inlineStr">
        <is>
          <t>No</t>
        </is>
      </c>
      <c r="F830" t="inlineStr">
        <is>
          <t>No</t>
        </is>
      </c>
      <c r="G830">
        <f>IF(F830="Yes",1-B830,B830)</f>
        <v/>
      </c>
      <c r="H830">
        <f>IF(E830="Yes","",COUNTIFS($E$2:E830,"No"))</f>
        <v/>
      </c>
      <c r="I830">
        <f>IF(H830="","",IF(H830&lt;=128,"address",IF(H830&lt;=600,"data1",IF(H830&lt;=1264,"zero-run1",IF(H830&lt;=1648,"data2",IF(H830&lt;=2176,"zero-run2",IF(H830&lt;=2192,"FCS","trailing")))))))</f>
        <v/>
      </c>
      <c r="J830">
        <f>IFERROR(IF(AND(H830&lt;&gt;"",H830&gt;=129,H830&lt;=2176),INDEX(Fields!$B$2:$B$206,MATCH(H830-129,Fields!$D$2:$D$206,1)),""),"")</f>
        <v/>
      </c>
      <c r="K830">
        <f>IFERROR(IF(AND(H830&lt;&gt;"",H830&gt;=129,H830&lt;=2176),INDEX(Fields!$C$2:$C$206,MATCH(H830-129,Fields!$D$2:$D$206,1)),""),"")</f>
        <v/>
      </c>
      <c r="L830">
        <f>IFERROR(IF(AND(H830&lt;&gt;"",H830&gt;=129,H830&lt;=2176),INDEX(Fields!$J$2:$J$206,MATCH(H830-129,Fields!$D$2:$D$206,1)),""),"")</f>
        <v/>
      </c>
      <c r="M830">
        <f>IFERROR(IF(AND(H830&lt;&gt;"",H830&gt;=129,H830&lt;=2176),INDEX(Fields!$K$2:$K$206,MATCH(H830-129,Fields!$D$2:$D$206,1)),""),"")</f>
        <v/>
      </c>
    </row>
    <row r="831">
      <c r="A831" t="n">
        <v>829</v>
      </c>
      <c r="B831" t="n">
        <v>0</v>
      </c>
      <c r="C831" t="inlineStr">
        <is>
          <t>No</t>
        </is>
      </c>
      <c r="D831">
        <f>IF(AND(B826=1,B827=1,B828=1,B829=1,B830=1),"Yes","")</f>
        <v/>
      </c>
      <c r="E831" t="inlineStr">
        <is>
          <t>No</t>
        </is>
      </c>
      <c r="F831" t="inlineStr">
        <is>
          <t>No</t>
        </is>
      </c>
      <c r="G831">
        <f>IF(F831="Yes",1-B831,B831)</f>
        <v/>
      </c>
      <c r="H831">
        <f>IF(E831="Yes","",COUNTIFS($E$2:E831,"No"))</f>
        <v/>
      </c>
      <c r="I831">
        <f>IF(H831="","",IF(H831&lt;=128,"address",IF(H831&lt;=600,"data1",IF(H831&lt;=1264,"zero-run1",IF(H831&lt;=1648,"data2",IF(H831&lt;=2176,"zero-run2",IF(H831&lt;=2192,"FCS","trailing")))))))</f>
        <v/>
      </c>
      <c r="J831">
        <f>IFERROR(IF(AND(H831&lt;&gt;"",H831&gt;=129,H831&lt;=2176),INDEX(Fields!$B$2:$B$206,MATCH(H831-129,Fields!$D$2:$D$206,1)),""),"")</f>
        <v/>
      </c>
      <c r="K831">
        <f>IFERROR(IF(AND(H831&lt;&gt;"",H831&gt;=129,H831&lt;=2176),INDEX(Fields!$C$2:$C$206,MATCH(H831-129,Fields!$D$2:$D$206,1)),""),"")</f>
        <v/>
      </c>
      <c r="L831">
        <f>IFERROR(IF(AND(H831&lt;&gt;"",H831&gt;=129,H831&lt;=2176),INDEX(Fields!$J$2:$J$206,MATCH(H831-129,Fields!$D$2:$D$206,1)),""),"")</f>
        <v/>
      </c>
      <c r="M831">
        <f>IFERROR(IF(AND(H831&lt;&gt;"",H831&gt;=129,H831&lt;=2176),INDEX(Fields!$K$2:$K$206,MATCH(H831-129,Fields!$D$2:$D$206,1)),""),"")</f>
        <v/>
      </c>
    </row>
    <row r="832">
      <c r="A832" t="n">
        <v>830</v>
      </c>
      <c r="B832" t="n">
        <v>0</v>
      </c>
      <c r="C832" t="inlineStr">
        <is>
          <t>No</t>
        </is>
      </c>
      <c r="D832">
        <f>IF(AND(B827=1,B828=1,B829=1,B830=1,B831=1),"Yes","")</f>
        <v/>
      </c>
      <c r="E832" t="inlineStr">
        <is>
          <t>No</t>
        </is>
      </c>
      <c r="F832" t="inlineStr">
        <is>
          <t>No</t>
        </is>
      </c>
      <c r="G832">
        <f>IF(F832="Yes",1-B832,B832)</f>
        <v/>
      </c>
      <c r="H832">
        <f>IF(E832="Yes","",COUNTIFS($E$2:E832,"No"))</f>
        <v/>
      </c>
      <c r="I832">
        <f>IF(H832="","",IF(H832&lt;=128,"address",IF(H832&lt;=600,"data1",IF(H832&lt;=1264,"zero-run1",IF(H832&lt;=1648,"data2",IF(H832&lt;=2176,"zero-run2",IF(H832&lt;=2192,"FCS","trailing")))))))</f>
        <v/>
      </c>
      <c r="J832">
        <f>IFERROR(IF(AND(H832&lt;&gt;"",H832&gt;=129,H832&lt;=2176),INDEX(Fields!$B$2:$B$206,MATCH(H832-129,Fields!$D$2:$D$206,1)),""),"")</f>
        <v/>
      </c>
      <c r="K832">
        <f>IFERROR(IF(AND(H832&lt;&gt;"",H832&gt;=129,H832&lt;=2176),INDEX(Fields!$C$2:$C$206,MATCH(H832-129,Fields!$D$2:$D$206,1)),""),"")</f>
        <v/>
      </c>
      <c r="L832">
        <f>IFERROR(IF(AND(H832&lt;&gt;"",H832&gt;=129,H832&lt;=2176),INDEX(Fields!$J$2:$J$206,MATCH(H832-129,Fields!$D$2:$D$206,1)),""),"")</f>
        <v/>
      </c>
      <c r="M832">
        <f>IFERROR(IF(AND(H832&lt;&gt;"",H832&gt;=129,H832&lt;=2176),INDEX(Fields!$K$2:$K$206,MATCH(H832-129,Fields!$D$2:$D$206,1)),""),"")</f>
        <v/>
      </c>
    </row>
    <row r="833">
      <c r="A833" t="n">
        <v>831</v>
      </c>
      <c r="B833" t="n">
        <v>0</v>
      </c>
      <c r="C833" t="inlineStr">
        <is>
          <t>No</t>
        </is>
      </c>
      <c r="D833">
        <f>IF(AND(B828=1,B829=1,B830=1,B831=1,B832=1),"Yes","")</f>
        <v/>
      </c>
      <c r="E833" t="inlineStr">
        <is>
          <t>No</t>
        </is>
      </c>
      <c r="F833" t="inlineStr">
        <is>
          <t>No</t>
        </is>
      </c>
      <c r="G833">
        <f>IF(F833="Yes",1-B833,B833)</f>
        <v/>
      </c>
      <c r="H833">
        <f>IF(E833="Yes","",COUNTIFS($E$2:E833,"No"))</f>
        <v/>
      </c>
      <c r="I833">
        <f>IF(H833="","",IF(H833&lt;=128,"address",IF(H833&lt;=600,"data1",IF(H833&lt;=1264,"zero-run1",IF(H833&lt;=1648,"data2",IF(H833&lt;=2176,"zero-run2",IF(H833&lt;=2192,"FCS","trailing")))))))</f>
        <v/>
      </c>
      <c r="J833">
        <f>IFERROR(IF(AND(H833&lt;&gt;"",H833&gt;=129,H833&lt;=2176),INDEX(Fields!$B$2:$B$206,MATCH(H833-129,Fields!$D$2:$D$206,1)),""),"")</f>
        <v/>
      </c>
      <c r="K833">
        <f>IFERROR(IF(AND(H833&lt;&gt;"",H833&gt;=129,H833&lt;=2176),INDEX(Fields!$C$2:$C$206,MATCH(H833-129,Fields!$D$2:$D$206,1)),""),"")</f>
        <v/>
      </c>
      <c r="L833">
        <f>IFERROR(IF(AND(H833&lt;&gt;"",H833&gt;=129,H833&lt;=2176),INDEX(Fields!$J$2:$J$206,MATCH(H833-129,Fields!$D$2:$D$206,1)),""),"")</f>
        <v/>
      </c>
      <c r="M833">
        <f>IFERROR(IF(AND(H833&lt;&gt;"",H833&gt;=129,H833&lt;=2176),INDEX(Fields!$K$2:$K$206,MATCH(H833-129,Fields!$D$2:$D$206,1)),""),"")</f>
        <v/>
      </c>
    </row>
    <row r="834">
      <c r="A834" t="n">
        <v>832</v>
      </c>
      <c r="B834" t="n">
        <v>0</v>
      </c>
      <c r="C834" t="inlineStr">
        <is>
          <t>No</t>
        </is>
      </c>
      <c r="D834">
        <f>IF(AND(B829=1,B830=1,B831=1,B832=1,B833=1),"Yes","")</f>
        <v/>
      </c>
      <c r="E834" t="inlineStr">
        <is>
          <t>No</t>
        </is>
      </c>
      <c r="F834" t="inlineStr">
        <is>
          <t>No</t>
        </is>
      </c>
      <c r="G834">
        <f>IF(F834="Yes",1-B834,B834)</f>
        <v/>
      </c>
      <c r="H834">
        <f>IF(E834="Yes","",COUNTIFS($E$2:E834,"No"))</f>
        <v/>
      </c>
      <c r="I834">
        <f>IF(H834="","",IF(H834&lt;=128,"address",IF(H834&lt;=600,"data1",IF(H834&lt;=1264,"zero-run1",IF(H834&lt;=1648,"data2",IF(H834&lt;=2176,"zero-run2",IF(H834&lt;=2192,"FCS","trailing")))))))</f>
        <v/>
      </c>
      <c r="J834">
        <f>IFERROR(IF(AND(H834&lt;&gt;"",H834&gt;=129,H834&lt;=2176),INDEX(Fields!$B$2:$B$206,MATCH(H834-129,Fields!$D$2:$D$206,1)),""),"")</f>
        <v/>
      </c>
      <c r="K834">
        <f>IFERROR(IF(AND(H834&lt;&gt;"",H834&gt;=129,H834&lt;=2176),INDEX(Fields!$C$2:$C$206,MATCH(H834-129,Fields!$D$2:$D$206,1)),""),"")</f>
        <v/>
      </c>
      <c r="L834">
        <f>IFERROR(IF(AND(H834&lt;&gt;"",H834&gt;=129,H834&lt;=2176),INDEX(Fields!$J$2:$J$206,MATCH(H834-129,Fields!$D$2:$D$206,1)),""),"")</f>
        <v/>
      </c>
      <c r="M834">
        <f>IFERROR(IF(AND(H834&lt;&gt;"",H834&gt;=129,H834&lt;=2176),INDEX(Fields!$K$2:$K$206,MATCH(H834-129,Fields!$D$2:$D$206,1)),""),"")</f>
        <v/>
      </c>
    </row>
    <row r="835">
      <c r="A835" t="n">
        <v>833</v>
      </c>
      <c r="B835" t="n">
        <v>0</v>
      </c>
      <c r="C835" t="inlineStr">
        <is>
          <t>No</t>
        </is>
      </c>
      <c r="D835">
        <f>IF(AND(B830=1,B831=1,B832=1,B833=1,B834=1),"Yes","")</f>
        <v/>
      </c>
      <c r="E835" t="inlineStr">
        <is>
          <t>No</t>
        </is>
      </c>
      <c r="F835" t="inlineStr">
        <is>
          <t>No</t>
        </is>
      </c>
      <c r="G835">
        <f>IF(F835="Yes",1-B835,B835)</f>
        <v/>
      </c>
      <c r="H835">
        <f>IF(E835="Yes","",COUNTIFS($E$2:E835,"No"))</f>
        <v/>
      </c>
      <c r="I835">
        <f>IF(H835="","",IF(H835&lt;=128,"address",IF(H835&lt;=600,"data1",IF(H835&lt;=1264,"zero-run1",IF(H835&lt;=1648,"data2",IF(H835&lt;=2176,"zero-run2",IF(H835&lt;=2192,"FCS","trailing")))))))</f>
        <v/>
      </c>
      <c r="J835">
        <f>IFERROR(IF(AND(H835&lt;&gt;"",H835&gt;=129,H835&lt;=2176),INDEX(Fields!$B$2:$B$206,MATCH(H835-129,Fields!$D$2:$D$206,1)),""),"")</f>
        <v/>
      </c>
      <c r="K835">
        <f>IFERROR(IF(AND(H835&lt;&gt;"",H835&gt;=129,H835&lt;=2176),INDEX(Fields!$C$2:$C$206,MATCH(H835-129,Fields!$D$2:$D$206,1)),""),"")</f>
        <v/>
      </c>
      <c r="L835">
        <f>IFERROR(IF(AND(H835&lt;&gt;"",H835&gt;=129,H835&lt;=2176),INDEX(Fields!$J$2:$J$206,MATCH(H835-129,Fields!$D$2:$D$206,1)),""),"")</f>
        <v/>
      </c>
      <c r="M835">
        <f>IFERROR(IF(AND(H835&lt;&gt;"",H835&gt;=129,H835&lt;=2176),INDEX(Fields!$K$2:$K$206,MATCH(H835-129,Fields!$D$2:$D$206,1)),""),"")</f>
        <v/>
      </c>
    </row>
    <row r="836">
      <c r="A836" t="n">
        <v>834</v>
      </c>
      <c r="B836" t="n">
        <v>0</v>
      </c>
      <c r="C836" t="inlineStr">
        <is>
          <t>No</t>
        </is>
      </c>
      <c r="D836">
        <f>IF(AND(B831=1,B832=1,B833=1,B834=1,B835=1),"Yes","")</f>
        <v/>
      </c>
      <c r="E836" t="inlineStr">
        <is>
          <t>No</t>
        </is>
      </c>
      <c r="F836" t="inlineStr">
        <is>
          <t>No</t>
        </is>
      </c>
      <c r="G836">
        <f>IF(F836="Yes",1-B836,B836)</f>
        <v/>
      </c>
      <c r="H836">
        <f>IF(E836="Yes","",COUNTIFS($E$2:E836,"No"))</f>
        <v/>
      </c>
      <c r="I836">
        <f>IF(H836="","",IF(H836&lt;=128,"address",IF(H836&lt;=600,"data1",IF(H836&lt;=1264,"zero-run1",IF(H836&lt;=1648,"data2",IF(H836&lt;=2176,"zero-run2",IF(H836&lt;=2192,"FCS","trailing")))))))</f>
        <v/>
      </c>
      <c r="J836">
        <f>IFERROR(IF(AND(H836&lt;&gt;"",H836&gt;=129,H836&lt;=2176),INDEX(Fields!$B$2:$B$206,MATCH(H836-129,Fields!$D$2:$D$206,1)),""),"")</f>
        <v/>
      </c>
      <c r="K836">
        <f>IFERROR(IF(AND(H836&lt;&gt;"",H836&gt;=129,H836&lt;=2176),INDEX(Fields!$C$2:$C$206,MATCH(H836-129,Fields!$D$2:$D$206,1)),""),"")</f>
        <v/>
      </c>
      <c r="L836">
        <f>IFERROR(IF(AND(H836&lt;&gt;"",H836&gt;=129,H836&lt;=2176),INDEX(Fields!$J$2:$J$206,MATCH(H836-129,Fields!$D$2:$D$206,1)),""),"")</f>
        <v/>
      </c>
      <c r="M836">
        <f>IFERROR(IF(AND(H836&lt;&gt;"",H836&gt;=129,H836&lt;=2176),INDEX(Fields!$K$2:$K$206,MATCH(H836-129,Fields!$D$2:$D$206,1)),""),"")</f>
        <v/>
      </c>
    </row>
    <row r="837">
      <c r="A837" t="n">
        <v>835</v>
      </c>
      <c r="B837" t="n">
        <v>0</v>
      </c>
      <c r="C837" t="inlineStr">
        <is>
          <t>No</t>
        </is>
      </c>
      <c r="D837">
        <f>IF(AND(B832=1,B833=1,B834=1,B835=1,B836=1),"Yes","")</f>
        <v/>
      </c>
      <c r="E837" t="inlineStr">
        <is>
          <t>No</t>
        </is>
      </c>
      <c r="F837" t="inlineStr">
        <is>
          <t>No</t>
        </is>
      </c>
      <c r="G837">
        <f>IF(F837="Yes",1-B837,B837)</f>
        <v/>
      </c>
      <c r="H837">
        <f>IF(E837="Yes","",COUNTIFS($E$2:E837,"No"))</f>
        <v/>
      </c>
      <c r="I837">
        <f>IF(H837="","",IF(H837&lt;=128,"address",IF(H837&lt;=600,"data1",IF(H837&lt;=1264,"zero-run1",IF(H837&lt;=1648,"data2",IF(H837&lt;=2176,"zero-run2",IF(H837&lt;=2192,"FCS","trailing")))))))</f>
        <v/>
      </c>
      <c r="J837">
        <f>IFERROR(IF(AND(H837&lt;&gt;"",H837&gt;=129,H837&lt;=2176),INDEX(Fields!$B$2:$B$206,MATCH(H837-129,Fields!$D$2:$D$206,1)),""),"")</f>
        <v/>
      </c>
      <c r="K837">
        <f>IFERROR(IF(AND(H837&lt;&gt;"",H837&gt;=129,H837&lt;=2176),INDEX(Fields!$C$2:$C$206,MATCH(H837-129,Fields!$D$2:$D$206,1)),""),"")</f>
        <v/>
      </c>
      <c r="L837">
        <f>IFERROR(IF(AND(H837&lt;&gt;"",H837&gt;=129,H837&lt;=2176),INDEX(Fields!$J$2:$J$206,MATCH(H837-129,Fields!$D$2:$D$206,1)),""),"")</f>
        <v/>
      </c>
      <c r="M837">
        <f>IFERROR(IF(AND(H837&lt;&gt;"",H837&gt;=129,H837&lt;=2176),INDEX(Fields!$K$2:$K$206,MATCH(H837-129,Fields!$D$2:$D$206,1)),""),"")</f>
        <v/>
      </c>
    </row>
    <row r="838">
      <c r="A838" t="n">
        <v>836</v>
      </c>
      <c r="B838" t="n">
        <v>0</v>
      </c>
      <c r="C838" t="inlineStr">
        <is>
          <t>No</t>
        </is>
      </c>
      <c r="D838">
        <f>IF(AND(B833=1,B834=1,B835=1,B836=1,B837=1),"Yes","")</f>
        <v/>
      </c>
      <c r="E838" t="inlineStr">
        <is>
          <t>No</t>
        </is>
      </c>
      <c r="F838" t="inlineStr">
        <is>
          <t>No</t>
        </is>
      </c>
      <c r="G838">
        <f>IF(F838="Yes",1-B838,B838)</f>
        <v/>
      </c>
      <c r="H838">
        <f>IF(E838="Yes","",COUNTIFS($E$2:E838,"No"))</f>
        <v/>
      </c>
      <c r="I838">
        <f>IF(H838="","",IF(H838&lt;=128,"address",IF(H838&lt;=600,"data1",IF(H838&lt;=1264,"zero-run1",IF(H838&lt;=1648,"data2",IF(H838&lt;=2176,"zero-run2",IF(H838&lt;=2192,"FCS","trailing")))))))</f>
        <v/>
      </c>
      <c r="J838">
        <f>IFERROR(IF(AND(H838&lt;&gt;"",H838&gt;=129,H838&lt;=2176),INDEX(Fields!$B$2:$B$206,MATCH(H838-129,Fields!$D$2:$D$206,1)),""),"")</f>
        <v/>
      </c>
      <c r="K838">
        <f>IFERROR(IF(AND(H838&lt;&gt;"",H838&gt;=129,H838&lt;=2176),INDEX(Fields!$C$2:$C$206,MATCH(H838-129,Fields!$D$2:$D$206,1)),""),"")</f>
        <v/>
      </c>
      <c r="L838">
        <f>IFERROR(IF(AND(H838&lt;&gt;"",H838&gt;=129,H838&lt;=2176),INDEX(Fields!$J$2:$J$206,MATCH(H838-129,Fields!$D$2:$D$206,1)),""),"")</f>
        <v/>
      </c>
      <c r="M838">
        <f>IFERROR(IF(AND(H838&lt;&gt;"",H838&gt;=129,H838&lt;=2176),INDEX(Fields!$K$2:$K$206,MATCH(H838-129,Fields!$D$2:$D$206,1)),""),"")</f>
        <v/>
      </c>
    </row>
    <row r="839">
      <c r="A839" t="n">
        <v>837</v>
      </c>
      <c r="B839" t="n">
        <v>0</v>
      </c>
      <c r="C839" t="inlineStr">
        <is>
          <t>No</t>
        </is>
      </c>
      <c r="D839">
        <f>IF(AND(B834=1,B835=1,B836=1,B837=1,B838=1),"Yes","")</f>
        <v/>
      </c>
      <c r="E839" t="inlineStr">
        <is>
          <t>No</t>
        </is>
      </c>
      <c r="F839" t="inlineStr">
        <is>
          <t>No</t>
        </is>
      </c>
      <c r="G839">
        <f>IF(F839="Yes",1-B839,B839)</f>
        <v/>
      </c>
      <c r="H839">
        <f>IF(E839="Yes","",COUNTIFS($E$2:E839,"No"))</f>
        <v/>
      </c>
      <c r="I839">
        <f>IF(H839="","",IF(H839&lt;=128,"address",IF(H839&lt;=600,"data1",IF(H839&lt;=1264,"zero-run1",IF(H839&lt;=1648,"data2",IF(H839&lt;=2176,"zero-run2",IF(H839&lt;=2192,"FCS","trailing")))))))</f>
        <v/>
      </c>
      <c r="J839">
        <f>IFERROR(IF(AND(H839&lt;&gt;"",H839&gt;=129,H839&lt;=2176),INDEX(Fields!$B$2:$B$206,MATCH(H839-129,Fields!$D$2:$D$206,1)),""),"")</f>
        <v/>
      </c>
      <c r="K839">
        <f>IFERROR(IF(AND(H839&lt;&gt;"",H839&gt;=129,H839&lt;=2176),INDEX(Fields!$C$2:$C$206,MATCH(H839-129,Fields!$D$2:$D$206,1)),""),"")</f>
        <v/>
      </c>
      <c r="L839">
        <f>IFERROR(IF(AND(H839&lt;&gt;"",H839&gt;=129,H839&lt;=2176),INDEX(Fields!$J$2:$J$206,MATCH(H839-129,Fields!$D$2:$D$206,1)),""),"")</f>
        <v/>
      </c>
      <c r="M839">
        <f>IFERROR(IF(AND(H839&lt;&gt;"",H839&gt;=129,H839&lt;=2176),INDEX(Fields!$K$2:$K$206,MATCH(H839-129,Fields!$D$2:$D$206,1)),""),"")</f>
        <v/>
      </c>
    </row>
    <row r="840">
      <c r="A840" t="n">
        <v>838</v>
      </c>
      <c r="B840" t="n">
        <v>0</v>
      </c>
      <c r="C840" t="inlineStr">
        <is>
          <t>No</t>
        </is>
      </c>
      <c r="D840">
        <f>IF(AND(B835=1,B836=1,B837=1,B838=1,B839=1),"Yes","")</f>
        <v/>
      </c>
      <c r="E840" t="inlineStr">
        <is>
          <t>No</t>
        </is>
      </c>
      <c r="F840" t="inlineStr">
        <is>
          <t>No</t>
        </is>
      </c>
      <c r="G840">
        <f>IF(F840="Yes",1-B840,B840)</f>
        <v/>
      </c>
      <c r="H840">
        <f>IF(E840="Yes","",COUNTIFS($E$2:E840,"No"))</f>
        <v/>
      </c>
      <c r="I840">
        <f>IF(H840="","",IF(H840&lt;=128,"address",IF(H840&lt;=600,"data1",IF(H840&lt;=1264,"zero-run1",IF(H840&lt;=1648,"data2",IF(H840&lt;=2176,"zero-run2",IF(H840&lt;=2192,"FCS","trailing")))))))</f>
        <v/>
      </c>
      <c r="J840">
        <f>IFERROR(IF(AND(H840&lt;&gt;"",H840&gt;=129,H840&lt;=2176),INDEX(Fields!$B$2:$B$206,MATCH(H840-129,Fields!$D$2:$D$206,1)),""),"")</f>
        <v/>
      </c>
      <c r="K840">
        <f>IFERROR(IF(AND(H840&lt;&gt;"",H840&gt;=129,H840&lt;=2176),INDEX(Fields!$C$2:$C$206,MATCH(H840-129,Fields!$D$2:$D$206,1)),""),"")</f>
        <v/>
      </c>
      <c r="L840">
        <f>IFERROR(IF(AND(H840&lt;&gt;"",H840&gt;=129,H840&lt;=2176),INDEX(Fields!$J$2:$J$206,MATCH(H840-129,Fields!$D$2:$D$206,1)),""),"")</f>
        <v/>
      </c>
      <c r="M840">
        <f>IFERROR(IF(AND(H840&lt;&gt;"",H840&gt;=129,H840&lt;=2176),INDEX(Fields!$K$2:$K$206,MATCH(H840-129,Fields!$D$2:$D$206,1)),""),"")</f>
        <v/>
      </c>
    </row>
    <row r="841">
      <c r="A841" t="n">
        <v>839</v>
      </c>
      <c r="B841" t="n">
        <v>0</v>
      </c>
      <c r="C841" t="inlineStr">
        <is>
          <t>No</t>
        </is>
      </c>
      <c r="D841">
        <f>IF(AND(B836=1,B837=1,B838=1,B839=1,B840=1),"Yes","")</f>
        <v/>
      </c>
      <c r="E841" t="inlineStr">
        <is>
          <t>No</t>
        </is>
      </c>
      <c r="F841" t="inlineStr">
        <is>
          <t>No</t>
        </is>
      </c>
      <c r="G841">
        <f>IF(F841="Yes",1-B841,B841)</f>
        <v/>
      </c>
      <c r="H841">
        <f>IF(E841="Yes","",COUNTIFS($E$2:E841,"No"))</f>
        <v/>
      </c>
      <c r="I841">
        <f>IF(H841="","",IF(H841&lt;=128,"address",IF(H841&lt;=600,"data1",IF(H841&lt;=1264,"zero-run1",IF(H841&lt;=1648,"data2",IF(H841&lt;=2176,"zero-run2",IF(H841&lt;=2192,"FCS","trailing")))))))</f>
        <v/>
      </c>
      <c r="J841">
        <f>IFERROR(IF(AND(H841&lt;&gt;"",H841&gt;=129,H841&lt;=2176),INDEX(Fields!$B$2:$B$206,MATCH(H841-129,Fields!$D$2:$D$206,1)),""),"")</f>
        <v/>
      </c>
      <c r="K841">
        <f>IFERROR(IF(AND(H841&lt;&gt;"",H841&gt;=129,H841&lt;=2176),INDEX(Fields!$C$2:$C$206,MATCH(H841-129,Fields!$D$2:$D$206,1)),""),"")</f>
        <v/>
      </c>
      <c r="L841">
        <f>IFERROR(IF(AND(H841&lt;&gt;"",H841&gt;=129,H841&lt;=2176),INDEX(Fields!$J$2:$J$206,MATCH(H841-129,Fields!$D$2:$D$206,1)),""),"")</f>
        <v/>
      </c>
      <c r="M841">
        <f>IFERROR(IF(AND(H841&lt;&gt;"",H841&gt;=129,H841&lt;=2176),INDEX(Fields!$K$2:$K$206,MATCH(H841-129,Fields!$D$2:$D$206,1)),""),"")</f>
        <v/>
      </c>
    </row>
    <row r="842">
      <c r="A842" t="n">
        <v>840</v>
      </c>
      <c r="B842" t="n">
        <v>0</v>
      </c>
      <c r="C842" t="inlineStr">
        <is>
          <t>No</t>
        </is>
      </c>
      <c r="D842">
        <f>IF(AND(B837=1,B838=1,B839=1,B840=1,B841=1),"Yes","")</f>
        <v/>
      </c>
      <c r="E842" t="inlineStr">
        <is>
          <t>No</t>
        </is>
      </c>
      <c r="F842" t="inlineStr">
        <is>
          <t>No</t>
        </is>
      </c>
      <c r="G842">
        <f>IF(F842="Yes",1-B842,B842)</f>
        <v/>
      </c>
      <c r="H842">
        <f>IF(E842="Yes","",COUNTIFS($E$2:E842,"No"))</f>
        <v/>
      </c>
      <c r="I842">
        <f>IF(H842="","",IF(H842&lt;=128,"address",IF(H842&lt;=600,"data1",IF(H842&lt;=1264,"zero-run1",IF(H842&lt;=1648,"data2",IF(H842&lt;=2176,"zero-run2",IF(H842&lt;=2192,"FCS","trailing")))))))</f>
        <v/>
      </c>
      <c r="J842">
        <f>IFERROR(IF(AND(H842&lt;&gt;"",H842&gt;=129,H842&lt;=2176),INDEX(Fields!$B$2:$B$206,MATCH(H842-129,Fields!$D$2:$D$206,1)),""),"")</f>
        <v/>
      </c>
      <c r="K842">
        <f>IFERROR(IF(AND(H842&lt;&gt;"",H842&gt;=129,H842&lt;=2176),INDEX(Fields!$C$2:$C$206,MATCH(H842-129,Fields!$D$2:$D$206,1)),""),"")</f>
        <v/>
      </c>
      <c r="L842">
        <f>IFERROR(IF(AND(H842&lt;&gt;"",H842&gt;=129,H842&lt;=2176),INDEX(Fields!$J$2:$J$206,MATCH(H842-129,Fields!$D$2:$D$206,1)),""),"")</f>
        <v/>
      </c>
      <c r="M842">
        <f>IFERROR(IF(AND(H842&lt;&gt;"",H842&gt;=129,H842&lt;=2176),INDEX(Fields!$K$2:$K$206,MATCH(H842-129,Fields!$D$2:$D$206,1)),""),"")</f>
        <v/>
      </c>
    </row>
    <row r="843">
      <c r="A843" t="n">
        <v>841</v>
      </c>
      <c r="B843" t="n">
        <v>0</v>
      </c>
      <c r="C843" t="inlineStr">
        <is>
          <t>No</t>
        </is>
      </c>
      <c r="D843">
        <f>IF(AND(B838=1,B839=1,B840=1,B841=1,B842=1),"Yes","")</f>
        <v/>
      </c>
      <c r="E843" t="inlineStr">
        <is>
          <t>No</t>
        </is>
      </c>
      <c r="F843" t="inlineStr">
        <is>
          <t>No</t>
        </is>
      </c>
      <c r="G843">
        <f>IF(F843="Yes",1-B843,B843)</f>
        <v/>
      </c>
      <c r="H843">
        <f>IF(E843="Yes","",COUNTIFS($E$2:E843,"No"))</f>
        <v/>
      </c>
      <c r="I843">
        <f>IF(H843="","",IF(H843&lt;=128,"address",IF(H843&lt;=600,"data1",IF(H843&lt;=1264,"zero-run1",IF(H843&lt;=1648,"data2",IF(H843&lt;=2176,"zero-run2",IF(H843&lt;=2192,"FCS","trailing")))))))</f>
        <v/>
      </c>
      <c r="J843">
        <f>IFERROR(IF(AND(H843&lt;&gt;"",H843&gt;=129,H843&lt;=2176),INDEX(Fields!$B$2:$B$206,MATCH(H843-129,Fields!$D$2:$D$206,1)),""),"")</f>
        <v/>
      </c>
      <c r="K843">
        <f>IFERROR(IF(AND(H843&lt;&gt;"",H843&gt;=129,H843&lt;=2176),INDEX(Fields!$C$2:$C$206,MATCH(H843-129,Fields!$D$2:$D$206,1)),""),"")</f>
        <v/>
      </c>
      <c r="L843">
        <f>IFERROR(IF(AND(H843&lt;&gt;"",H843&gt;=129,H843&lt;=2176),INDEX(Fields!$J$2:$J$206,MATCH(H843-129,Fields!$D$2:$D$206,1)),""),"")</f>
        <v/>
      </c>
      <c r="M843">
        <f>IFERROR(IF(AND(H843&lt;&gt;"",H843&gt;=129,H843&lt;=2176),INDEX(Fields!$K$2:$K$206,MATCH(H843-129,Fields!$D$2:$D$206,1)),""),"")</f>
        <v/>
      </c>
    </row>
    <row r="844">
      <c r="A844" t="n">
        <v>842</v>
      </c>
      <c r="B844" t="n">
        <v>0</v>
      </c>
      <c r="C844" t="inlineStr">
        <is>
          <t>No</t>
        </is>
      </c>
      <c r="D844">
        <f>IF(AND(B839=1,B840=1,B841=1,B842=1,B843=1),"Yes","")</f>
        <v/>
      </c>
      <c r="E844" t="inlineStr">
        <is>
          <t>No</t>
        </is>
      </c>
      <c r="F844" t="inlineStr">
        <is>
          <t>No</t>
        </is>
      </c>
      <c r="G844">
        <f>IF(F844="Yes",1-B844,B844)</f>
        <v/>
      </c>
      <c r="H844">
        <f>IF(E844="Yes","",COUNTIFS($E$2:E844,"No"))</f>
        <v/>
      </c>
      <c r="I844">
        <f>IF(H844="","",IF(H844&lt;=128,"address",IF(H844&lt;=600,"data1",IF(H844&lt;=1264,"zero-run1",IF(H844&lt;=1648,"data2",IF(H844&lt;=2176,"zero-run2",IF(H844&lt;=2192,"FCS","trailing")))))))</f>
        <v/>
      </c>
      <c r="J844">
        <f>IFERROR(IF(AND(H844&lt;&gt;"",H844&gt;=129,H844&lt;=2176),INDEX(Fields!$B$2:$B$206,MATCH(H844-129,Fields!$D$2:$D$206,1)),""),"")</f>
        <v/>
      </c>
      <c r="K844">
        <f>IFERROR(IF(AND(H844&lt;&gt;"",H844&gt;=129,H844&lt;=2176),INDEX(Fields!$C$2:$C$206,MATCH(H844-129,Fields!$D$2:$D$206,1)),""),"")</f>
        <v/>
      </c>
      <c r="L844">
        <f>IFERROR(IF(AND(H844&lt;&gt;"",H844&gt;=129,H844&lt;=2176),INDEX(Fields!$J$2:$J$206,MATCH(H844-129,Fields!$D$2:$D$206,1)),""),"")</f>
        <v/>
      </c>
      <c r="M844">
        <f>IFERROR(IF(AND(H844&lt;&gt;"",H844&gt;=129,H844&lt;=2176),INDEX(Fields!$K$2:$K$206,MATCH(H844-129,Fields!$D$2:$D$206,1)),""),"")</f>
        <v/>
      </c>
    </row>
    <row r="845">
      <c r="A845" t="n">
        <v>843</v>
      </c>
      <c r="B845" t="n">
        <v>0</v>
      </c>
      <c r="C845" t="inlineStr">
        <is>
          <t>No</t>
        </is>
      </c>
      <c r="D845">
        <f>IF(AND(B840=1,B841=1,B842=1,B843=1,B844=1),"Yes","")</f>
        <v/>
      </c>
      <c r="E845" t="inlineStr">
        <is>
          <t>No</t>
        </is>
      </c>
      <c r="F845" t="inlineStr">
        <is>
          <t>No</t>
        </is>
      </c>
      <c r="G845">
        <f>IF(F845="Yes",1-B845,B845)</f>
        <v/>
      </c>
      <c r="H845">
        <f>IF(E845="Yes","",COUNTIFS($E$2:E845,"No"))</f>
        <v/>
      </c>
      <c r="I845">
        <f>IF(H845="","",IF(H845&lt;=128,"address",IF(H845&lt;=600,"data1",IF(H845&lt;=1264,"zero-run1",IF(H845&lt;=1648,"data2",IF(H845&lt;=2176,"zero-run2",IF(H845&lt;=2192,"FCS","trailing")))))))</f>
        <v/>
      </c>
      <c r="J845">
        <f>IFERROR(IF(AND(H845&lt;&gt;"",H845&gt;=129,H845&lt;=2176),INDEX(Fields!$B$2:$B$206,MATCH(H845-129,Fields!$D$2:$D$206,1)),""),"")</f>
        <v/>
      </c>
      <c r="K845">
        <f>IFERROR(IF(AND(H845&lt;&gt;"",H845&gt;=129,H845&lt;=2176),INDEX(Fields!$C$2:$C$206,MATCH(H845-129,Fields!$D$2:$D$206,1)),""),"")</f>
        <v/>
      </c>
      <c r="L845">
        <f>IFERROR(IF(AND(H845&lt;&gt;"",H845&gt;=129,H845&lt;=2176),INDEX(Fields!$J$2:$J$206,MATCH(H845-129,Fields!$D$2:$D$206,1)),""),"")</f>
        <v/>
      </c>
      <c r="M845">
        <f>IFERROR(IF(AND(H845&lt;&gt;"",H845&gt;=129,H845&lt;=2176),INDEX(Fields!$K$2:$K$206,MATCH(H845-129,Fields!$D$2:$D$206,1)),""),"")</f>
        <v/>
      </c>
    </row>
    <row r="846">
      <c r="A846" t="n">
        <v>844</v>
      </c>
      <c r="B846" t="n">
        <v>0</v>
      </c>
      <c r="C846" t="inlineStr">
        <is>
          <t>No</t>
        </is>
      </c>
      <c r="D846">
        <f>IF(AND(B841=1,B842=1,B843=1,B844=1,B845=1),"Yes","")</f>
        <v/>
      </c>
      <c r="E846" t="inlineStr">
        <is>
          <t>No</t>
        </is>
      </c>
      <c r="F846" t="inlineStr">
        <is>
          <t>No</t>
        </is>
      </c>
      <c r="G846">
        <f>IF(F846="Yes",1-B846,B846)</f>
        <v/>
      </c>
      <c r="H846">
        <f>IF(E846="Yes","",COUNTIFS($E$2:E846,"No"))</f>
        <v/>
      </c>
      <c r="I846">
        <f>IF(H846="","",IF(H846&lt;=128,"address",IF(H846&lt;=600,"data1",IF(H846&lt;=1264,"zero-run1",IF(H846&lt;=1648,"data2",IF(H846&lt;=2176,"zero-run2",IF(H846&lt;=2192,"FCS","trailing")))))))</f>
        <v/>
      </c>
      <c r="J846">
        <f>IFERROR(IF(AND(H846&lt;&gt;"",H846&gt;=129,H846&lt;=2176),INDEX(Fields!$B$2:$B$206,MATCH(H846-129,Fields!$D$2:$D$206,1)),""),"")</f>
        <v/>
      </c>
      <c r="K846">
        <f>IFERROR(IF(AND(H846&lt;&gt;"",H846&gt;=129,H846&lt;=2176),INDEX(Fields!$C$2:$C$206,MATCH(H846-129,Fields!$D$2:$D$206,1)),""),"")</f>
        <v/>
      </c>
      <c r="L846">
        <f>IFERROR(IF(AND(H846&lt;&gt;"",H846&gt;=129,H846&lt;=2176),INDEX(Fields!$J$2:$J$206,MATCH(H846-129,Fields!$D$2:$D$206,1)),""),"")</f>
        <v/>
      </c>
      <c r="M846">
        <f>IFERROR(IF(AND(H846&lt;&gt;"",H846&gt;=129,H846&lt;=2176),INDEX(Fields!$K$2:$K$206,MATCH(H846-129,Fields!$D$2:$D$206,1)),""),"")</f>
        <v/>
      </c>
    </row>
    <row r="847">
      <c r="A847" t="n">
        <v>845</v>
      </c>
      <c r="B847" t="n">
        <v>0</v>
      </c>
      <c r="C847" t="inlineStr">
        <is>
          <t>No</t>
        </is>
      </c>
      <c r="D847">
        <f>IF(AND(B842=1,B843=1,B844=1,B845=1,B846=1),"Yes","")</f>
        <v/>
      </c>
      <c r="E847" t="inlineStr">
        <is>
          <t>No</t>
        </is>
      </c>
      <c r="F847" t="inlineStr">
        <is>
          <t>No</t>
        </is>
      </c>
      <c r="G847">
        <f>IF(F847="Yes",1-B847,B847)</f>
        <v/>
      </c>
      <c r="H847">
        <f>IF(E847="Yes","",COUNTIFS($E$2:E847,"No"))</f>
        <v/>
      </c>
      <c r="I847">
        <f>IF(H847="","",IF(H847&lt;=128,"address",IF(H847&lt;=600,"data1",IF(H847&lt;=1264,"zero-run1",IF(H847&lt;=1648,"data2",IF(H847&lt;=2176,"zero-run2",IF(H847&lt;=2192,"FCS","trailing")))))))</f>
        <v/>
      </c>
      <c r="J847">
        <f>IFERROR(IF(AND(H847&lt;&gt;"",H847&gt;=129,H847&lt;=2176),INDEX(Fields!$B$2:$B$206,MATCH(H847-129,Fields!$D$2:$D$206,1)),""),"")</f>
        <v/>
      </c>
      <c r="K847">
        <f>IFERROR(IF(AND(H847&lt;&gt;"",H847&gt;=129,H847&lt;=2176),INDEX(Fields!$C$2:$C$206,MATCH(H847-129,Fields!$D$2:$D$206,1)),""),"")</f>
        <v/>
      </c>
      <c r="L847">
        <f>IFERROR(IF(AND(H847&lt;&gt;"",H847&gt;=129,H847&lt;=2176),INDEX(Fields!$J$2:$J$206,MATCH(H847-129,Fields!$D$2:$D$206,1)),""),"")</f>
        <v/>
      </c>
      <c r="M847">
        <f>IFERROR(IF(AND(H847&lt;&gt;"",H847&gt;=129,H847&lt;=2176),INDEX(Fields!$K$2:$K$206,MATCH(H847-129,Fields!$D$2:$D$206,1)),""),"")</f>
        <v/>
      </c>
    </row>
    <row r="848">
      <c r="A848" t="n">
        <v>846</v>
      </c>
      <c r="B848" t="n">
        <v>0</v>
      </c>
      <c r="C848" t="inlineStr">
        <is>
          <t>No</t>
        </is>
      </c>
      <c r="D848">
        <f>IF(AND(B843=1,B844=1,B845=1,B846=1,B847=1),"Yes","")</f>
        <v/>
      </c>
      <c r="E848" t="inlineStr">
        <is>
          <t>No</t>
        </is>
      </c>
      <c r="F848" t="inlineStr">
        <is>
          <t>No</t>
        </is>
      </c>
      <c r="G848">
        <f>IF(F848="Yes",1-B848,B848)</f>
        <v/>
      </c>
      <c r="H848">
        <f>IF(E848="Yes","",COUNTIFS($E$2:E848,"No"))</f>
        <v/>
      </c>
      <c r="I848">
        <f>IF(H848="","",IF(H848&lt;=128,"address",IF(H848&lt;=600,"data1",IF(H848&lt;=1264,"zero-run1",IF(H848&lt;=1648,"data2",IF(H848&lt;=2176,"zero-run2",IF(H848&lt;=2192,"FCS","trailing")))))))</f>
        <v/>
      </c>
      <c r="J848">
        <f>IFERROR(IF(AND(H848&lt;&gt;"",H848&gt;=129,H848&lt;=2176),INDEX(Fields!$B$2:$B$206,MATCH(H848-129,Fields!$D$2:$D$206,1)),""),"")</f>
        <v/>
      </c>
      <c r="K848">
        <f>IFERROR(IF(AND(H848&lt;&gt;"",H848&gt;=129,H848&lt;=2176),INDEX(Fields!$C$2:$C$206,MATCH(H848-129,Fields!$D$2:$D$206,1)),""),"")</f>
        <v/>
      </c>
      <c r="L848">
        <f>IFERROR(IF(AND(H848&lt;&gt;"",H848&gt;=129,H848&lt;=2176),INDEX(Fields!$J$2:$J$206,MATCH(H848-129,Fields!$D$2:$D$206,1)),""),"")</f>
        <v/>
      </c>
      <c r="M848">
        <f>IFERROR(IF(AND(H848&lt;&gt;"",H848&gt;=129,H848&lt;=2176),INDEX(Fields!$K$2:$K$206,MATCH(H848-129,Fields!$D$2:$D$206,1)),""),"")</f>
        <v/>
      </c>
    </row>
    <row r="849">
      <c r="A849" t="n">
        <v>847</v>
      </c>
      <c r="B849" t="n">
        <v>0</v>
      </c>
      <c r="C849" t="inlineStr">
        <is>
          <t>No</t>
        </is>
      </c>
      <c r="D849">
        <f>IF(AND(B844=1,B845=1,B846=1,B847=1,B848=1),"Yes","")</f>
        <v/>
      </c>
      <c r="E849" t="inlineStr">
        <is>
          <t>No</t>
        </is>
      </c>
      <c r="F849" t="inlineStr">
        <is>
          <t>No</t>
        </is>
      </c>
      <c r="G849">
        <f>IF(F849="Yes",1-B849,B849)</f>
        <v/>
      </c>
      <c r="H849">
        <f>IF(E849="Yes","",COUNTIFS($E$2:E849,"No"))</f>
        <v/>
      </c>
      <c r="I849">
        <f>IF(H849="","",IF(H849&lt;=128,"address",IF(H849&lt;=600,"data1",IF(H849&lt;=1264,"zero-run1",IF(H849&lt;=1648,"data2",IF(H849&lt;=2176,"zero-run2",IF(H849&lt;=2192,"FCS","trailing")))))))</f>
        <v/>
      </c>
      <c r="J849">
        <f>IFERROR(IF(AND(H849&lt;&gt;"",H849&gt;=129,H849&lt;=2176),INDEX(Fields!$B$2:$B$206,MATCH(H849-129,Fields!$D$2:$D$206,1)),""),"")</f>
        <v/>
      </c>
      <c r="K849">
        <f>IFERROR(IF(AND(H849&lt;&gt;"",H849&gt;=129,H849&lt;=2176),INDEX(Fields!$C$2:$C$206,MATCH(H849-129,Fields!$D$2:$D$206,1)),""),"")</f>
        <v/>
      </c>
      <c r="L849">
        <f>IFERROR(IF(AND(H849&lt;&gt;"",H849&gt;=129,H849&lt;=2176),INDEX(Fields!$J$2:$J$206,MATCH(H849-129,Fields!$D$2:$D$206,1)),""),"")</f>
        <v/>
      </c>
      <c r="M849">
        <f>IFERROR(IF(AND(H849&lt;&gt;"",H849&gt;=129,H849&lt;=2176),INDEX(Fields!$K$2:$K$206,MATCH(H849-129,Fields!$D$2:$D$206,1)),""),"")</f>
        <v/>
      </c>
    </row>
    <row r="850">
      <c r="A850" t="n">
        <v>848</v>
      </c>
      <c r="B850" t="n">
        <v>0</v>
      </c>
      <c r="C850" t="inlineStr">
        <is>
          <t>No</t>
        </is>
      </c>
      <c r="D850">
        <f>IF(AND(B845=1,B846=1,B847=1,B848=1,B849=1),"Yes","")</f>
        <v/>
      </c>
      <c r="E850" t="inlineStr">
        <is>
          <t>No</t>
        </is>
      </c>
      <c r="F850" t="inlineStr">
        <is>
          <t>No</t>
        </is>
      </c>
      <c r="G850">
        <f>IF(F850="Yes",1-B850,B850)</f>
        <v/>
      </c>
      <c r="H850">
        <f>IF(E850="Yes","",COUNTIFS($E$2:E850,"No"))</f>
        <v/>
      </c>
      <c r="I850">
        <f>IF(H850="","",IF(H850&lt;=128,"address",IF(H850&lt;=600,"data1",IF(H850&lt;=1264,"zero-run1",IF(H850&lt;=1648,"data2",IF(H850&lt;=2176,"zero-run2",IF(H850&lt;=2192,"FCS","trailing")))))))</f>
        <v/>
      </c>
      <c r="J850">
        <f>IFERROR(IF(AND(H850&lt;&gt;"",H850&gt;=129,H850&lt;=2176),INDEX(Fields!$B$2:$B$206,MATCH(H850-129,Fields!$D$2:$D$206,1)),""),"")</f>
        <v/>
      </c>
      <c r="K850">
        <f>IFERROR(IF(AND(H850&lt;&gt;"",H850&gt;=129,H850&lt;=2176),INDEX(Fields!$C$2:$C$206,MATCH(H850-129,Fields!$D$2:$D$206,1)),""),"")</f>
        <v/>
      </c>
      <c r="L850">
        <f>IFERROR(IF(AND(H850&lt;&gt;"",H850&gt;=129,H850&lt;=2176),INDEX(Fields!$J$2:$J$206,MATCH(H850-129,Fields!$D$2:$D$206,1)),""),"")</f>
        <v/>
      </c>
      <c r="M850">
        <f>IFERROR(IF(AND(H850&lt;&gt;"",H850&gt;=129,H850&lt;=2176),INDEX(Fields!$K$2:$K$206,MATCH(H850-129,Fields!$D$2:$D$206,1)),""),"")</f>
        <v/>
      </c>
    </row>
    <row r="851">
      <c r="A851" t="n">
        <v>849</v>
      </c>
      <c r="B851" t="n">
        <v>0</v>
      </c>
      <c r="C851" t="inlineStr">
        <is>
          <t>No</t>
        </is>
      </c>
      <c r="D851">
        <f>IF(AND(B846=1,B847=1,B848=1,B849=1,B850=1),"Yes","")</f>
        <v/>
      </c>
      <c r="E851" t="inlineStr">
        <is>
          <t>No</t>
        </is>
      </c>
      <c r="F851" t="inlineStr">
        <is>
          <t>No</t>
        </is>
      </c>
      <c r="G851">
        <f>IF(F851="Yes",1-B851,B851)</f>
        <v/>
      </c>
      <c r="H851">
        <f>IF(E851="Yes","",COUNTIFS($E$2:E851,"No"))</f>
        <v/>
      </c>
      <c r="I851">
        <f>IF(H851="","",IF(H851&lt;=128,"address",IF(H851&lt;=600,"data1",IF(H851&lt;=1264,"zero-run1",IF(H851&lt;=1648,"data2",IF(H851&lt;=2176,"zero-run2",IF(H851&lt;=2192,"FCS","trailing")))))))</f>
        <v/>
      </c>
      <c r="J851">
        <f>IFERROR(IF(AND(H851&lt;&gt;"",H851&gt;=129,H851&lt;=2176),INDEX(Fields!$B$2:$B$206,MATCH(H851-129,Fields!$D$2:$D$206,1)),""),"")</f>
        <v/>
      </c>
      <c r="K851">
        <f>IFERROR(IF(AND(H851&lt;&gt;"",H851&gt;=129,H851&lt;=2176),INDEX(Fields!$C$2:$C$206,MATCH(H851-129,Fields!$D$2:$D$206,1)),""),"")</f>
        <v/>
      </c>
      <c r="L851">
        <f>IFERROR(IF(AND(H851&lt;&gt;"",H851&gt;=129,H851&lt;=2176),INDEX(Fields!$J$2:$J$206,MATCH(H851-129,Fields!$D$2:$D$206,1)),""),"")</f>
        <v/>
      </c>
      <c r="M851">
        <f>IFERROR(IF(AND(H851&lt;&gt;"",H851&gt;=129,H851&lt;=2176),INDEX(Fields!$K$2:$K$206,MATCH(H851-129,Fields!$D$2:$D$206,1)),""),"")</f>
        <v/>
      </c>
    </row>
    <row r="852">
      <c r="A852" t="n">
        <v>850</v>
      </c>
      <c r="B852" t="n">
        <v>0</v>
      </c>
      <c r="C852" t="inlineStr">
        <is>
          <t>No</t>
        </is>
      </c>
      <c r="D852">
        <f>IF(AND(B847=1,B848=1,B849=1,B850=1,B851=1),"Yes","")</f>
        <v/>
      </c>
      <c r="E852" t="inlineStr">
        <is>
          <t>No</t>
        </is>
      </c>
      <c r="F852" t="inlineStr">
        <is>
          <t>No</t>
        </is>
      </c>
      <c r="G852">
        <f>IF(F852="Yes",1-B852,B852)</f>
        <v/>
      </c>
      <c r="H852">
        <f>IF(E852="Yes","",COUNTIFS($E$2:E852,"No"))</f>
        <v/>
      </c>
      <c r="I852">
        <f>IF(H852="","",IF(H852&lt;=128,"address",IF(H852&lt;=600,"data1",IF(H852&lt;=1264,"zero-run1",IF(H852&lt;=1648,"data2",IF(H852&lt;=2176,"zero-run2",IF(H852&lt;=2192,"FCS","trailing")))))))</f>
        <v/>
      </c>
      <c r="J852">
        <f>IFERROR(IF(AND(H852&lt;&gt;"",H852&gt;=129,H852&lt;=2176),INDEX(Fields!$B$2:$B$206,MATCH(H852-129,Fields!$D$2:$D$206,1)),""),"")</f>
        <v/>
      </c>
      <c r="K852">
        <f>IFERROR(IF(AND(H852&lt;&gt;"",H852&gt;=129,H852&lt;=2176),INDEX(Fields!$C$2:$C$206,MATCH(H852-129,Fields!$D$2:$D$206,1)),""),"")</f>
        <v/>
      </c>
      <c r="L852">
        <f>IFERROR(IF(AND(H852&lt;&gt;"",H852&gt;=129,H852&lt;=2176),INDEX(Fields!$J$2:$J$206,MATCH(H852-129,Fields!$D$2:$D$206,1)),""),"")</f>
        <v/>
      </c>
      <c r="M852">
        <f>IFERROR(IF(AND(H852&lt;&gt;"",H852&gt;=129,H852&lt;=2176),INDEX(Fields!$K$2:$K$206,MATCH(H852-129,Fields!$D$2:$D$206,1)),""),"")</f>
        <v/>
      </c>
    </row>
    <row r="853">
      <c r="A853" t="n">
        <v>851</v>
      </c>
      <c r="B853" t="n">
        <v>0</v>
      </c>
      <c r="C853" t="inlineStr">
        <is>
          <t>No</t>
        </is>
      </c>
      <c r="D853">
        <f>IF(AND(B848=1,B849=1,B850=1,B851=1,B852=1),"Yes","")</f>
        <v/>
      </c>
      <c r="E853" t="inlineStr">
        <is>
          <t>No</t>
        </is>
      </c>
      <c r="F853" t="inlineStr">
        <is>
          <t>No</t>
        </is>
      </c>
      <c r="G853">
        <f>IF(F853="Yes",1-B853,B853)</f>
        <v/>
      </c>
      <c r="H853">
        <f>IF(E853="Yes","",COUNTIFS($E$2:E853,"No"))</f>
        <v/>
      </c>
      <c r="I853">
        <f>IF(H853="","",IF(H853&lt;=128,"address",IF(H853&lt;=600,"data1",IF(H853&lt;=1264,"zero-run1",IF(H853&lt;=1648,"data2",IF(H853&lt;=2176,"zero-run2",IF(H853&lt;=2192,"FCS","trailing")))))))</f>
        <v/>
      </c>
      <c r="J853">
        <f>IFERROR(IF(AND(H853&lt;&gt;"",H853&gt;=129,H853&lt;=2176),INDEX(Fields!$B$2:$B$206,MATCH(H853-129,Fields!$D$2:$D$206,1)),""),"")</f>
        <v/>
      </c>
      <c r="K853">
        <f>IFERROR(IF(AND(H853&lt;&gt;"",H853&gt;=129,H853&lt;=2176),INDEX(Fields!$C$2:$C$206,MATCH(H853-129,Fields!$D$2:$D$206,1)),""),"")</f>
        <v/>
      </c>
      <c r="L853">
        <f>IFERROR(IF(AND(H853&lt;&gt;"",H853&gt;=129,H853&lt;=2176),INDEX(Fields!$J$2:$J$206,MATCH(H853-129,Fields!$D$2:$D$206,1)),""),"")</f>
        <v/>
      </c>
      <c r="M853">
        <f>IFERROR(IF(AND(H853&lt;&gt;"",H853&gt;=129,H853&lt;=2176),INDEX(Fields!$K$2:$K$206,MATCH(H853-129,Fields!$D$2:$D$206,1)),""),"")</f>
        <v/>
      </c>
    </row>
    <row r="854">
      <c r="A854" t="n">
        <v>852</v>
      </c>
      <c r="B854" t="n">
        <v>0</v>
      </c>
      <c r="C854" t="inlineStr">
        <is>
          <t>No</t>
        </is>
      </c>
      <c r="D854">
        <f>IF(AND(B849=1,B850=1,B851=1,B852=1,B853=1),"Yes","")</f>
        <v/>
      </c>
      <c r="E854" t="inlineStr">
        <is>
          <t>No</t>
        </is>
      </c>
      <c r="F854" t="inlineStr">
        <is>
          <t>No</t>
        </is>
      </c>
      <c r="G854">
        <f>IF(F854="Yes",1-B854,B854)</f>
        <v/>
      </c>
      <c r="H854">
        <f>IF(E854="Yes","",COUNTIFS($E$2:E854,"No"))</f>
        <v/>
      </c>
      <c r="I854">
        <f>IF(H854="","",IF(H854&lt;=128,"address",IF(H854&lt;=600,"data1",IF(H854&lt;=1264,"zero-run1",IF(H854&lt;=1648,"data2",IF(H854&lt;=2176,"zero-run2",IF(H854&lt;=2192,"FCS","trailing")))))))</f>
        <v/>
      </c>
      <c r="J854">
        <f>IFERROR(IF(AND(H854&lt;&gt;"",H854&gt;=129,H854&lt;=2176),INDEX(Fields!$B$2:$B$206,MATCH(H854-129,Fields!$D$2:$D$206,1)),""),"")</f>
        <v/>
      </c>
      <c r="K854">
        <f>IFERROR(IF(AND(H854&lt;&gt;"",H854&gt;=129,H854&lt;=2176),INDEX(Fields!$C$2:$C$206,MATCH(H854-129,Fields!$D$2:$D$206,1)),""),"")</f>
        <v/>
      </c>
      <c r="L854">
        <f>IFERROR(IF(AND(H854&lt;&gt;"",H854&gt;=129,H854&lt;=2176),INDEX(Fields!$J$2:$J$206,MATCH(H854-129,Fields!$D$2:$D$206,1)),""),"")</f>
        <v/>
      </c>
      <c r="M854">
        <f>IFERROR(IF(AND(H854&lt;&gt;"",H854&gt;=129,H854&lt;=2176),INDEX(Fields!$K$2:$K$206,MATCH(H854-129,Fields!$D$2:$D$206,1)),""),"")</f>
        <v/>
      </c>
    </row>
    <row r="855">
      <c r="A855" t="n">
        <v>853</v>
      </c>
      <c r="B855" t="n">
        <v>0</v>
      </c>
      <c r="C855" t="inlineStr">
        <is>
          <t>No</t>
        </is>
      </c>
      <c r="D855">
        <f>IF(AND(B850=1,B851=1,B852=1,B853=1,B854=1),"Yes","")</f>
        <v/>
      </c>
      <c r="E855" t="inlineStr">
        <is>
          <t>No</t>
        </is>
      </c>
      <c r="F855" t="inlineStr">
        <is>
          <t>No</t>
        </is>
      </c>
      <c r="G855">
        <f>IF(F855="Yes",1-B855,B855)</f>
        <v/>
      </c>
      <c r="H855">
        <f>IF(E855="Yes","",COUNTIFS($E$2:E855,"No"))</f>
        <v/>
      </c>
      <c r="I855">
        <f>IF(H855="","",IF(H855&lt;=128,"address",IF(H855&lt;=600,"data1",IF(H855&lt;=1264,"zero-run1",IF(H855&lt;=1648,"data2",IF(H855&lt;=2176,"zero-run2",IF(H855&lt;=2192,"FCS","trailing")))))))</f>
        <v/>
      </c>
      <c r="J855">
        <f>IFERROR(IF(AND(H855&lt;&gt;"",H855&gt;=129,H855&lt;=2176),INDEX(Fields!$B$2:$B$206,MATCH(H855-129,Fields!$D$2:$D$206,1)),""),"")</f>
        <v/>
      </c>
      <c r="K855">
        <f>IFERROR(IF(AND(H855&lt;&gt;"",H855&gt;=129,H855&lt;=2176),INDEX(Fields!$C$2:$C$206,MATCH(H855-129,Fields!$D$2:$D$206,1)),""),"")</f>
        <v/>
      </c>
      <c r="L855">
        <f>IFERROR(IF(AND(H855&lt;&gt;"",H855&gt;=129,H855&lt;=2176),INDEX(Fields!$J$2:$J$206,MATCH(H855-129,Fields!$D$2:$D$206,1)),""),"")</f>
        <v/>
      </c>
      <c r="M855">
        <f>IFERROR(IF(AND(H855&lt;&gt;"",H855&gt;=129,H855&lt;=2176),INDEX(Fields!$K$2:$K$206,MATCH(H855-129,Fields!$D$2:$D$206,1)),""),"")</f>
        <v/>
      </c>
    </row>
    <row r="856">
      <c r="A856" t="n">
        <v>854</v>
      </c>
      <c r="B856" t="n">
        <v>0</v>
      </c>
      <c r="C856" t="inlineStr">
        <is>
          <t>No</t>
        </is>
      </c>
      <c r="D856">
        <f>IF(AND(B851=1,B852=1,B853=1,B854=1,B855=1),"Yes","")</f>
        <v/>
      </c>
      <c r="E856" t="inlineStr">
        <is>
          <t>No</t>
        </is>
      </c>
      <c r="F856" t="inlineStr">
        <is>
          <t>No</t>
        </is>
      </c>
      <c r="G856">
        <f>IF(F856="Yes",1-B856,B856)</f>
        <v/>
      </c>
      <c r="H856">
        <f>IF(E856="Yes","",COUNTIFS($E$2:E856,"No"))</f>
        <v/>
      </c>
      <c r="I856">
        <f>IF(H856="","",IF(H856&lt;=128,"address",IF(H856&lt;=600,"data1",IF(H856&lt;=1264,"zero-run1",IF(H856&lt;=1648,"data2",IF(H856&lt;=2176,"zero-run2",IF(H856&lt;=2192,"FCS","trailing")))))))</f>
        <v/>
      </c>
      <c r="J856">
        <f>IFERROR(IF(AND(H856&lt;&gt;"",H856&gt;=129,H856&lt;=2176),INDEX(Fields!$B$2:$B$206,MATCH(H856-129,Fields!$D$2:$D$206,1)),""),"")</f>
        <v/>
      </c>
      <c r="K856">
        <f>IFERROR(IF(AND(H856&lt;&gt;"",H856&gt;=129,H856&lt;=2176),INDEX(Fields!$C$2:$C$206,MATCH(H856-129,Fields!$D$2:$D$206,1)),""),"")</f>
        <v/>
      </c>
      <c r="L856">
        <f>IFERROR(IF(AND(H856&lt;&gt;"",H856&gt;=129,H856&lt;=2176),INDEX(Fields!$J$2:$J$206,MATCH(H856-129,Fields!$D$2:$D$206,1)),""),"")</f>
        <v/>
      </c>
      <c r="M856">
        <f>IFERROR(IF(AND(H856&lt;&gt;"",H856&gt;=129,H856&lt;=2176),INDEX(Fields!$K$2:$K$206,MATCH(H856-129,Fields!$D$2:$D$206,1)),""),"")</f>
        <v/>
      </c>
    </row>
    <row r="857">
      <c r="A857" t="n">
        <v>855</v>
      </c>
      <c r="B857" t="n">
        <v>0</v>
      </c>
      <c r="C857" t="inlineStr">
        <is>
          <t>No</t>
        </is>
      </c>
      <c r="D857">
        <f>IF(AND(B852=1,B853=1,B854=1,B855=1,B856=1),"Yes","")</f>
        <v/>
      </c>
      <c r="E857" t="inlineStr">
        <is>
          <t>No</t>
        </is>
      </c>
      <c r="F857" t="inlineStr">
        <is>
          <t>No</t>
        </is>
      </c>
      <c r="G857">
        <f>IF(F857="Yes",1-B857,B857)</f>
        <v/>
      </c>
      <c r="H857">
        <f>IF(E857="Yes","",COUNTIFS($E$2:E857,"No"))</f>
        <v/>
      </c>
      <c r="I857">
        <f>IF(H857="","",IF(H857&lt;=128,"address",IF(H857&lt;=600,"data1",IF(H857&lt;=1264,"zero-run1",IF(H857&lt;=1648,"data2",IF(H857&lt;=2176,"zero-run2",IF(H857&lt;=2192,"FCS","trailing")))))))</f>
        <v/>
      </c>
      <c r="J857">
        <f>IFERROR(IF(AND(H857&lt;&gt;"",H857&gt;=129,H857&lt;=2176),INDEX(Fields!$B$2:$B$206,MATCH(H857-129,Fields!$D$2:$D$206,1)),""),"")</f>
        <v/>
      </c>
      <c r="K857">
        <f>IFERROR(IF(AND(H857&lt;&gt;"",H857&gt;=129,H857&lt;=2176),INDEX(Fields!$C$2:$C$206,MATCH(H857-129,Fields!$D$2:$D$206,1)),""),"")</f>
        <v/>
      </c>
      <c r="L857">
        <f>IFERROR(IF(AND(H857&lt;&gt;"",H857&gt;=129,H857&lt;=2176),INDEX(Fields!$J$2:$J$206,MATCH(H857-129,Fields!$D$2:$D$206,1)),""),"")</f>
        <v/>
      </c>
      <c r="M857">
        <f>IFERROR(IF(AND(H857&lt;&gt;"",H857&gt;=129,H857&lt;=2176),INDEX(Fields!$K$2:$K$206,MATCH(H857-129,Fields!$D$2:$D$206,1)),""),"")</f>
        <v/>
      </c>
    </row>
    <row r="858">
      <c r="A858" t="n">
        <v>856</v>
      </c>
      <c r="B858" t="n">
        <v>0</v>
      </c>
      <c r="C858" t="inlineStr">
        <is>
          <t>No</t>
        </is>
      </c>
      <c r="D858">
        <f>IF(AND(B853=1,B854=1,B855=1,B856=1,B857=1),"Yes","")</f>
        <v/>
      </c>
      <c r="E858" t="inlineStr">
        <is>
          <t>No</t>
        </is>
      </c>
      <c r="F858" t="inlineStr">
        <is>
          <t>No</t>
        </is>
      </c>
      <c r="G858">
        <f>IF(F858="Yes",1-B858,B858)</f>
        <v/>
      </c>
      <c r="H858">
        <f>IF(E858="Yes","",COUNTIFS($E$2:E858,"No"))</f>
        <v/>
      </c>
      <c r="I858">
        <f>IF(H858="","",IF(H858&lt;=128,"address",IF(H858&lt;=600,"data1",IF(H858&lt;=1264,"zero-run1",IF(H858&lt;=1648,"data2",IF(H858&lt;=2176,"zero-run2",IF(H858&lt;=2192,"FCS","trailing")))))))</f>
        <v/>
      </c>
      <c r="J858">
        <f>IFERROR(IF(AND(H858&lt;&gt;"",H858&gt;=129,H858&lt;=2176),INDEX(Fields!$B$2:$B$206,MATCH(H858-129,Fields!$D$2:$D$206,1)),""),"")</f>
        <v/>
      </c>
      <c r="K858">
        <f>IFERROR(IF(AND(H858&lt;&gt;"",H858&gt;=129,H858&lt;=2176),INDEX(Fields!$C$2:$C$206,MATCH(H858-129,Fields!$D$2:$D$206,1)),""),"")</f>
        <v/>
      </c>
      <c r="L858">
        <f>IFERROR(IF(AND(H858&lt;&gt;"",H858&gt;=129,H858&lt;=2176),INDEX(Fields!$J$2:$J$206,MATCH(H858-129,Fields!$D$2:$D$206,1)),""),"")</f>
        <v/>
      </c>
      <c r="M858">
        <f>IFERROR(IF(AND(H858&lt;&gt;"",H858&gt;=129,H858&lt;=2176),INDEX(Fields!$K$2:$K$206,MATCH(H858-129,Fields!$D$2:$D$206,1)),""),"")</f>
        <v/>
      </c>
    </row>
    <row r="859">
      <c r="A859" t="n">
        <v>857</v>
      </c>
      <c r="B859" t="n">
        <v>0</v>
      </c>
      <c r="C859" t="inlineStr">
        <is>
          <t>No</t>
        </is>
      </c>
      <c r="D859">
        <f>IF(AND(B854=1,B855=1,B856=1,B857=1,B858=1),"Yes","")</f>
        <v/>
      </c>
      <c r="E859" t="inlineStr">
        <is>
          <t>No</t>
        </is>
      </c>
      <c r="F859" t="inlineStr">
        <is>
          <t>No</t>
        </is>
      </c>
      <c r="G859">
        <f>IF(F859="Yes",1-B859,B859)</f>
        <v/>
      </c>
      <c r="H859">
        <f>IF(E859="Yes","",COUNTIFS($E$2:E859,"No"))</f>
        <v/>
      </c>
      <c r="I859">
        <f>IF(H859="","",IF(H859&lt;=128,"address",IF(H859&lt;=600,"data1",IF(H859&lt;=1264,"zero-run1",IF(H859&lt;=1648,"data2",IF(H859&lt;=2176,"zero-run2",IF(H859&lt;=2192,"FCS","trailing")))))))</f>
        <v/>
      </c>
      <c r="J859">
        <f>IFERROR(IF(AND(H859&lt;&gt;"",H859&gt;=129,H859&lt;=2176),INDEX(Fields!$B$2:$B$206,MATCH(H859-129,Fields!$D$2:$D$206,1)),""),"")</f>
        <v/>
      </c>
      <c r="K859">
        <f>IFERROR(IF(AND(H859&lt;&gt;"",H859&gt;=129,H859&lt;=2176),INDEX(Fields!$C$2:$C$206,MATCH(H859-129,Fields!$D$2:$D$206,1)),""),"")</f>
        <v/>
      </c>
      <c r="L859">
        <f>IFERROR(IF(AND(H859&lt;&gt;"",H859&gt;=129,H859&lt;=2176),INDEX(Fields!$J$2:$J$206,MATCH(H859-129,Fields!$D$2:$D$206,1)),""),"")</f>
        <v/>
      </c>
      <c r="M859">
        <f>IFERROR(IF(AND(H859&lt;&gt;"",H859&gt;=129,H859&lt;=2176),INDEX(Fields!$K$2:$K$206,MATCH(H859-129,Fields!$D$2:$D$206,1)),""),"")</f>
        <v/>
      </c>
    </row>
    <row r="860">
      <c r="A860" t="n">
        <v>858</v>
      </c>
      <c r="B860" t="n">
        <v>0</v>
      </c>
      <c r="C860" t="inlineStr">
        <is>
          <t>No</t>
        </is>
      </c>
      <c r="D860">
        <f>IF(AND(B855=1,B856=1,B857=1,B858=1,B859=1),"Yes","")</f>
        <v/>
      </c>
      <c r="E860" t="inlineStr">
        <is>
          <t>No</t>
        </is>
      </c>
      <c r="F860" t="inlineStr">
        <is>
          <t>No</t>
        </is>
      </c>
      <c r="G860">
        <f>IF(F860="Yes",1-B860,B860)</f>
        <v/>
      </c>
      <c r="H860">
        <f>IF(E860="Yes","",COUNTIFS($E$2:E860,"No"))</f>
        <v/>
      </c>
      <c r="I860">
        <f>IF(H860="","",IF(H860&lt;=128,"address",IF(H860&lt;=600,"data1",IF(H860&lt;=1264,"zero-run1",IF(H860&lt;=1648,"data2",IF(H860&lt;=2176,"zero-run2",IF(H860&lt;=2192,"FCS","trailing")))))))</f>
        <v/>
      </c>
      <c r="J860">
        <f>IFERROR(IF(AND(H860&lt;&gt;"",H860&gt;=129,H860&lt;=2176),INDEX(Fields!$B$2:$B$206,MATCH(H860-129,Fields!$D$2:$D$206,1)),""),"")</f>
        <v/>
      </c>
      <c r="K860">
        <f>IFERROR(IF(AND(H860&lt;&gt;"",H860&gt;=129,H860&lt;=2176),INDEX(Fields!$C$2:$C$206,MATCH(H860-129,Fields!$D$2:$D$206,1)),""),"")</f>
        <v/>
      </c>
      <c r="L860">
        <f>IFERROR(IF(AND(H860&lt;&gt;"",H860&gt;=129,H860&lt;=2176),INDEX(Fields!$J$2:$J$206,MATCH(H860-129,Fields!$D$2:$D$206,1)),""),"")</f>
        <v/>
      </c>
      <c r="M860">
        <f>IFERROR(IF(AND(H860&lt;&gt;"",H860&gt;=129,H860&lt;=2176),INDEX(Fields!$K$2:$K$206,MATCH(H860-129,Fields!$D$2:$D$206,1)),""),"")</f>
        <v/>
      </c>
    </row>
    <row r="861">
      <c r="A861" t="n">
        <v>859</v>
      </c>
      <c r="B861" t="n">
        <v>0</v>
      </c>
      <c r="C861" t="inlineStr">
        <is>
          <t>No</t>
        </is>
      </c>
      <c r="D861">
        <f>IF(AND(B856=1,B857=1,B858=1,B859=1,B860=1),"Yes","")</f>
        <v/>
      </c>
      <c r="E861" t="inlineStr">
        <is>
          <t>No</t>
        </is>
      </c>
      <c r="F861" t="inlineStr">
        <is>
          <t>No</t>
        </is>
      </c>
      <c r="G861">
        <f>IF(F861="Yes",1-B861,B861)</f>
        <v/>
      </c>
      <c r="H861">
        <f>IF(E861="Yes","",COUNTIFS($E$2:E861,"No"))</f>
        <v/>
      </c>
      <c r="I861">
        <f>IF(H861="","",IF(H861&lt;=128,"address",IF(H861&lt;=600,"data1",IF(H861&lt;=1264,"zero-run1",IF(H861&lt;=1648,"data2",IF(H861&lt;=2176,"zero-run2",IF(H861&lt;=2192,"FCS","trailing")))))))</f>
        <v/>
      </c>
      <c r="J861">
        <f>IFERROR(IF(AND(H861&lt;&gt;"",H861&gt;=129,H861&lt;=2176),INDEX(Fields!$B$2:$B$206,MATCH(H861-129,Fields!$D$2:$D$206,1)),""),"")</f>
        <v/>
      </c>
      <c r="K861">
        <f>IFERROR(IF(AND(H861&lt;&gt;"",H861&gt;=129,H861&lt;=2176),INDEX(Fields!$C$2:$C$206,MATCH(H861-129,Fields!$D$2:$D$206,1)),""),"")</f>
        <v/>
      </c>
      <c r="L861">
        <f>IFERROR(IF(AND(H861&lt;&gt;"",H861&gt;=129,H861&lt;=2176),INDEX(Fields!$J$2:$J$206,MATCH(H861-129,Fields!$D$2:$D$206,1)),""),"")</f>
        <v/>
      </c>
      <c r="M861">
        <f>IFERROR(IF(AND(H861&lt;&gt;"",H861&gt;=129,H861&lt;=2176),INDEX(Fields!$K$2:$K$206,MATCH(H861-129,Fields!$D$2:$D$206,1)),""),"")</f>
        <v/>
      </c>
    </row>
    <row r="862">
      <c r="A862" t="n">
        <v>860</v>
      </c>
      <c r="B862" t="n">
        <v>0</v>
      </c>
      <c r="C862" t="inlineStr">
        <is>
          <t>No</t>
        </is>
      </c>
      <c r="D862">
        <f>IF(AND(B857=1,B858=1,B859=1,B860=1,B861=1),"Yes","")</f>
        <v/>
      </c>
      <c r="E862" t="inlineStr">
        <is>
          <t>No</t>
        </is>
      </c>
      <c r="F862" t="inlineStr">
        <is>
          <t>No</t>
        </is>
      </c>
      <c r="G862">
        <f>IF(F862="Yes",1-B862,B862)</f>
        <v/>
      </c>
      <c r="H862">
        <f>IF(E862="Yes","",COUNTIFS($E$2:E862,"No"))</f>
        <v/>
      </c>
      <c r="I862">
        <f>IF(H862="","",IF(H862&lt;=128,"address",IF(H862&lt;=600,"data1",IF(H862&lt;=1264,"zero-run1",IF(H862&lt;=1648,"data2",IF(H862&lt;=2176,"zero-run2",IF(H862&lt;=2192,"FCS","trailing")))))))</f>
        <v/>
      </c>
      <c r="J862">
        <f>IFERROR(IF(AND(H862&lt;&gt;"",H862&gt;=129,H862&lt;=2176),INDEX(Fields!$B$2:$B$206,MATCH(H862-129,Fields!$D$2:$D$206,1)),""),"")</f>
        <v/>
      </c>
      <c r="K862">
        <f>IFERROR(IF(AND(H862&lt;&gt;"",H862&gt;=129,H862&lt;=2176),INDEX(Fields!$C$2:$C$206,MATCH(H862-129,Fields!$D$2:$D$206,1)),""),"")</f>
        <v/>
      </c>
      <c r="L862">
        <f>IFERROR(IF(AND(H862&lt;&gt;"",H862&gt;=129,H862&lt;=2176),INDEX(Fields!$J$2:$J$206,MATCH(H862-129,Fields!$D$2:$D$206,1)),""),"")</f>
        <v/>
      </c>
      <c r="M862">
        <f>IFERROR(IF(AND(H862&lt;&gt;"",H862&gt;=129,H862&lt;=2176),INDEX(Fields!$K$2:$K$206,MATCH(H862-129,Fields!$D$2:$D$206,1)),""),"")</f>
        <v/>
      </c>
    </row>
    <row r="863">
      <c r="A863" t="n">
        <v>861</v>
      </c>
      <c r="B863" t="n">
        <v>0</v>
      </c>
      <c r="C863" t="inlineStr">
        <is>
          <t>No</t>
        </is>
      </c>
      <c r="D863">
        <f>IF(AND(B858=1,B859=1,B860=1,B861=1,B862=1),"Yes","")</f>
        <v/>
      </c>
      <c r="E863" t="inlineStr">
        <is>
          <t>No</t>
        </is>
      </c>
      <c r="F863" t="inlineStr">
        <is>
          <t>No</t>
        </is>
      </c>
      <c r="G863">
        <f>IF(F863="Yes",1-B863,B863)</f>
        <v/>
      </c>
      <c r="H863">
        <f>IF(E863="Yes","",COUNTIFS($E$2:E863,"No"))</f>
        <v/>
      </c>
      <c r="I863">
        <f>IF(H863="","",IF(H863&lt;=128,"address",IF(H863&lt;=600,"data1",IF(H863&lt;=1264,"zero-run1",IF(H863&lt;=1648,"data2",IF(H863&lt;=2176,"zero-run2",IF(H863&lt;=2192,"FCS","trailing")))))))</f>
        <v/>
      </c>
      <c r="J863">
        <f>IFERROR(IF(AND(H863&lt;&gt;"",H863&gt;=129,H863&lt;=2176),INDEX(Fields!$B$2:$B$206,MATCH(H863-129,Fields!$D$2:$D$206,1)),""),"")</f>
        <v/>
      </c>
      <c r="K863">
        <f>IFERROR(IF(AND(H863&lt;&gt;"",H863&gt;=129,H863&lt;=2176),INDEX(Fields!$C$2:$C$206,MATCH(H863-129,Fields!$D$2:$D$206,1)),""),"")</f>
        <v/>
      </c>
      <c r="L863">
        <f>IFERROR(IF(AND(H863&lt;&gt;"",H863&gt;=129,H863&lt;=2176),INDEX(Fields!$J$2:$J$206,MATCH(H863-129,Fields!$D$2:$D$206,1)),""),"")</f>
        <v/>
      </c>
      <c r="M863">
        <f>IFERROR(IF(AND(H863&lt;&gt;"",H863&gt;=129,H863&lt;=2176),INDEX(Fields!$K$2:$K$206,MATCH(H863-129,Fields!$D$2:$D$206,1)),""),"")</f>
        <v/>
      </c>
    </row>
    <row r="864">
      <c r="A864" t="n">
        <v>862</v>
      </c>
      <c r="B864" t="n">
        <v>0</v>
      </c>
      <c r="C864" t="inlineStr">
        <is>
          <t>No</t>
        </is>
      </c>
      <c r="D864">
        <f>IF(AND(B859=1,B860=1,B861=1,B862=1,B863=1),"Yes","")</f>
        <v/>
      </c>
      <c r="E864" t="inlineStr">
        <is>
          <t>No</t>
        </is>
      </c>
      <c r="F864" t="inlineStr">
        <is>
          <t>No</t>
        </is>
      </c>
      <c r="G864">
        <f>IF(F864="Yes",1-B864,B864)</f>
        <v/>
      </c>
      <c r="H864">
        <f>IF(E864="Yes","",COUNTIFS($E$2:E864,"No"))</f>
        <v/>
      </c>
      <c r="I864">
        <f>IF(H864="","",IF(H864&lt;=128,"address",IF(H864&lt;=600,"data1",IF(H864&lt;=1264,"zero-run1",IF(H864&lt;=1648,"data2",IF(H864&lt;=2176,"zero-run2",IF(H864&lt;=2192,"FCS","trailing")))))))</f>
        <v/>
      </c>
      <c r="J864">
        <f>IFERROR(IF(AND(H864&lt;&gt;"",H864&gt;=129,H864&lt;=2176),INDEX(Fields!$B$2:$B$206,MATCH(H864-129,Fields!$D$2:$D$206,1)),""),"")</f>
        <v/>
      </c>
      <c r="K864">
        <f>IFERROR(IF(AND(H864&lt;&gt;"",H864&gt;=129,H864&lt;=2176),INDEX(Fields!$C$2:$C$206,MATCH(H864-129,Fields!$D$2:$D$206,1)),""),"")</f>
        <v/>
      </c>
      <c r="L864">
        <f>IFERROR(IF(AND(H864&lt;&gt;"",H864&gt;=129,H864&lt;=2176),INDEX(Fields!$J$2:$J$206,MATCH(H864-129,Fields!$D$2:$D$206,1)),""),"")</f>
        <v/>
      </c>
      <c r="M864">
        <f>IFERROR(IF(AND(H864&lt;&gt;"",H864&gt;=129,H864&lt;=2176),INDEX(Fields!$K$2:$K$206,MATCH(H864-129,Fields!$D$2:$D$206,1)),""),"")</f>
        <v/>
      </c>
    </row>
    <row r="865">
      <c r="A865" t="n">
        <v>863</v>
      </c>
      <c r="B865" t="n">
        <v>0</v>
      </c>
      <c r="C865" t="inlineStr">
        <is>
          <t>No</t>
        </is>
      </c>
      <c r="D865">
        <f>IF(AND(B860=1,B861=1,B862=1,B863=1,B864=1),"Yes","")</f>
        <v/>
      </c>
      <c r="E865" t="inlineStr">
        <is>
          <t>No</t>
        </is>
      </c>
      <c r="F865" t="inlineStr">
        <is>
          <t>No</t>
        </is>
      </c>
      <c r="G865">
        <f>IF(F865="Yes",1-B865,B865)</f>
        <v/>
      </c>
      <c r="H865">
        <f>IF(E865="Yes","",COUNTIFS($E$2:E865,"No"))</f>
        <v/>
      </c>
      <c r="I865">
        <f>IF(H865="","",IF(H865&lt;=128,"address",IF(H865&lt;=600,"data1",IF(H865&lt;=1264,"zero-run1",IF(H865&lt;=1648,"data2",IF(H865&lt;=2176,"zero-run2",IF(H865&lt;=2192,"FCS","trailing")))))))</f>
        <v/>
      </c>
      <c r="J865">
        <f>IFERROR(IF(AND(H865&lt;&gt;"",H865&gt;=129,H865&lt;=2176),INDEX(Fields!$B$2:$B$206,MATCH(H865-129,Fields!$D$2:$D$206,1)),""),"")</f>
        <v/>
      </c>
      <c r="K865">
        <f>IFERROR(IF(AND(H865&lt;&gt;"",H865&gt;=129,H865&lt;=2176),INDEX(Fields!$C$2:$C$206,MATCH(H865-129,Fields!$D$2:$D$206,1)),""),"")</f>
        <v/>
      </c>
      <c r="L865">
        <f>IFERROR(IF(AND(H865&lt;&gt;"",H865&gt;=129,H865&lt;=2176),INDEX(Fields!$J$2:$J$206,MATCH(H865-129,Fields!$D$2:$D$206,1)),""),"")</f>
        <v/>
      </c>
      <c r="M865">
        <f>IFERROR(IF(AND(H865&lt;&gt;"",H865&gt;=129,H865&lt;=2176),INDEX(Fields!$K$2:$K$206,MATCH(H865-129,Fields!$D$2:$D$206,1)),""),"")</f>
        <v/>
      </c>
    </row>
    <row r="866">
      <c r="A866" t="n">
        <v>864</v>
      </c>
      <c r="B866" t="n">
        <v>0</v>
      </c>
      <c r="C866" t="inlineStr">
        <is>
          <t>No</t>
        </is>
      </c>
      <c r="D866">
        <f>IF(AND(B861=1,B862=1,B863=1,B864=1,B865=1),"Yes","")</f>
        <v/>
      </c>
      <c r="E866" t="inlineStr">
        <is>
          <t>No</t>
        </is>
      </c>
      <c r="F866" t="inlineStr">
        <is>
          <t>No</t>
        </is>
      </c>
      <c r="G866">
        <f>IF(F866="Yes",1-B866,B866)</f>
        <v/>
      </c>
      <c r="H866">
        <f>IF(E866="Yes","",COUNTIFS($E$2:E866,"No"))</f>
        <v/>
      </c>
      <c r="I866">
        <f>IF(H866="","",IF(H866&lt;=128,"address",IF(H866&lt;=600,"data1",IF(H866&lt;=1264,"zero-run1",IF(H866&lt;=1648,"data2",IF(H866&lt;=2176,"zero-run2",IF(H866&lt;=2192,"FCS","trailing")))))))</f>
        <v/>
      </c>
      <c r="J866">
        <f>IFERROR(IF(AND(H866&lt;&gt;"",H866&gt;=129,H866&lt;=2176),INDEX(Fields!$B$2:$B$206,MATCH(H866-129,Fields!$D$2:$D$206,1)),""),"")</f>
        <v/>
      </c>
      <c r="K866">
        <f>IFERROR(IF(AND(H866&lt;&gt;"",H866&gt;=129,H866&lt;=2176),INDEX(Fields!$C$2:$C$206,MATCH(H866-129,Fields!$D$2:$D$206,1)),""),"")</f>
        <v/>
      </c>
      <c r="L866">
        <f>IFERROR(IF(AND(H866&lt;&gt;"",H866&gt;=129,H866&lt;=2176),INDEX(Fields!$J$2:$J$206,MATCH(H866-129,Fields!$D$2:$D$206,1)),""),"")</f>
        <v/>
      </c>
      <c r="M866">
        <f>IFERROR(IF(AND(H866&lt;&gt;"",H866&gt;=129,H866&lt;=2176),INDEX(Fields!$K$2:$K$206,MATCH(H866-129,Fields!$D$2:$D$206,1)),""),"")</f>
        <v/>
      </c>
    </row>
    <row r="867">
      <c r="A867" t="n">
        <v>865</v>
      </c>
      <c r="B867" t="n">
        <v>0</v>
      </c>
      <c r="C867" t="inlineStr">
        <is>
          <t>No</t>
        </is>
      </c>
      <c r="D867">
        <f>IF(AND(B862=1,B863=1,B864=1,B865=1,B866=1),"Yes","")</f>
        <v/>
      </c>
      <c r="E867" t="inlineStr">
        <is>
          <t>No</t>
        </is>
      </c>
      <c r="F867" t="inlineStr">
        <is>
          <t>No</t>
        </is>
      </c>
      <c r="G867">
        <f>IF(F867="Yes",1-B867,B867)</f>
        <v/>
      </c>
      <c r="H867">
        <f>IF(E867="Yes","",COUNTIFS($E$2:E867,"No"))</f>
        <v/>
      </c>
      <c r="I867">
        <f>IF(H867="","",IF(H867&lt;=128,"address",IF(H867&lt;=600,"data1",IF(H867&lt;=1264,"zero-run1",IF(H867&lt;=1648,"data2",IF(H867&lt;=2176,"zero-run2",IF(H867&lt;=2192,"FCS","trailing")))))))</f>
        <v/>
      </c>
      <c r="J867">
        <f>IFERROR(IF(AND(H867&lt;&gt;"",H867&gt;=129,H867&lt;=2176),INDEX(Fields!$B$2:$B$206,MATCH(H867-129,Fields!$D$2:$D$206,1)),""),"")</f>
        <v/>
      </c>
      <c r="K867">
        <f>IFERROR(IF(AND(H867&lt;&gt;"",H867&gt;=129,H867&lt;=2176),INDEX(Fields!$C$2:$C$206,MATCH(H867-129,Fields!$D$2:$D$206,1)),""),"")</f>
        <v/>
      </c>
      <c r="L867">
        <f>IFERROR(IF(AND(H867&lt;&gt;"",H867&gt;=129,H867&lt;=2176),INDEX(Fields!$J$2:$J$206,MATCH(H867-129,Fields!$D$2:$D$206,1)),""),"")</f>
        <v/>
      </c>
      <c r="M867">
        <f>IFERROR(IF(AND(H867&lt;&gt;"",H867&gt;=129,H867&lt;=2176),INDEX(Fields!$K$2:$K$206,MATCH(H867-129,Fields!$D$2:$D$206,1)),""),"")</f>
        <v/>
      </c>
    </row>
    <row r="868">
      <c r="A868" t="n">
        <v>866</v>
      </c>
      <c r="B868" t="n">
        <v>0</v>
      </c>
      <c r="C868" t="inlineStr">
        <is>
          <t>No</t>
        </is>
      </c>
      <c r="D868">
        <f>IF(AND(B863=1,B864=1,B865=1,B866=1,B867=1),"Yes","")</f>
        <v/>
      </c>
      <c r="E868" t="inlineStr">
        <is>
          <t>No</t>
        </is>
      </c>
      <c r="F868" t="inlineStr">
        <is>
          <t>No</t>
        </is>
      </c>
      <c r="G868">
        <f>IF(F868="Yes",1-B868,B868)</f>
        <v/>
      </c>
      <c r="H868">
        <f>IF(E868="Yes","",COUNTIFS($E$2:E868,"No"))</f>
        <v/>
      </c>
      <c r="I868">
        <f>IF(H868="","",IF(H868&lt;=128,"address",IF(H868&lt;=600,"data1",IF(H868&lt;=1264,"zero-run1",IF(H868&lt;=1648,"data2",IF(H868&lt;=2176,"zero-run2",IF(H868&lt;=2192,"FCS","trailing")))))))</f>
        <v/>
      </c>
      <c r="J868">
        <f>IFERROR(IF(AND(H868&lt;&gt;"",H868&gt;=129,H868&lt;=2176),INDEX(Fields!$B$2:$B$206,MATCH(H868-129,Fields!$D$2:$D$206,1)),""),"")</f>
        <v/>
      </c>
      <c r="K868">
        <f>IFERROR(IF(AND(H868&lt;&gt;"",H868&gt;=129,H868&lt;=2176),INDEX(Fields!$C$2:$C$206,MATCH(H868-129,Fields!$D$2:$D$206,1)),""),"")</f>
        <v/>
      </c>
      <c r="L868">
        <f>IFERROR(IF(AND(H868&lt;&gt;"",H868&gt;=129,H868&lt;=2176),INDEX(Fields!$J$2:$J$206,MATCH(H868-129,Fields!$D$2:$D$206,1)),""),"")</f>
        <v/>
      </c>
      <c r="M868">
        <f>IFERROR(IF(AND(H868&lt;&gt;"",H868&gt;=129,H868&lt;=2176),INDEX(Fields!$K$2:$K$206,MATCH(H868-129,Fields!$D$2:$D$206,1)),""),"")</f>
        <v/>
      </c>
    </row>
    <row r="869">
      <c r="A869" t="n">
        <v>867</v>
      </c>
      <c r="B869" t="n">
        <v>0</v>
      </c>
      <c r="C869" t="inlineStr">
        <is>
          <t>No</t>
        </is>
      </c>
      <c r="D869">
        <f>IF(AND(B864=1,B865=1,B866=1,B867=1,B868=1),"Yes","")</f>
        <v/>
      </c>
      <c r="E869" t="inlineStr">
        <is>
          <t>No</t>
        </is>
      </c>
      <c r="F869" t="inlineStr">
        <is>
          <t>No</t>
        </is>
      </c>
      <c r="G869">
        <f>IF(F869="Yes",1-B869,B869)</f>
        <v/>
      </c>
      <c r="H869">
        <f>IF(E869="Yes","",COUNTIFS($E$2:E869,"No"))</f>
        <v/>
      </c>
      <c r="I869">
        <f>IF(H869="","",IF(H869&lt;=128,"address",IF(H869&lt;=600,"data1",IF(H869&lt;=1264,"zero-run1",IF(H869&lt;=1648,"data2",IF(H869&lt;=2176,"zero-run2",IF(H869&lt;=2192,"FCS","trailing")))))))</f>
        <v/>
      </c>
      <c r="J869">
        <f>IFERROR(IF(AND(H869&lt;&gt;"",H869&gt;=129,H869&lt;=2176),INDEX(Fields!$B$2:$B$206,MATCH(H869-129,Fields!$D$2:$D$206,1)),""),"")</f>
        <v/>
      </c>
      <c r="K869">
        <f>IFERROR(IF(AND(H869&lt;&gt;"",H869&gt;=129,H869&lt;=2176),INDEX(Fields!$C$2:$C$206,MATCH(H869-129,Fields!$D$2:$D$206,1)),""),"")</f>
        <v/>
      </c>
      <c r="L869">
        <f>IFERROR(IF(AND(H869&lt;&gt;"",H869&gt;=129,H869&lt;=2176),INDEX(Fields!$J$2:$J$206,MATCH(H869-129,Fields!$D$2:$D$206,1)),""),"")</f>
        <v/>
      </c>
      <c r="M869">
        <f>IFERROR(IF(AND(H869&lt;&gt;"",H869&gt;=129,H869&lt;=2176),INDEX(Fields!$K$2:$K$206,MATCH(H869-129,Fields!$D$2:$D$206,1)),""),"")</f>
        <v/>
      </c>
    </row>
    <row r="870">
      <c r="A870" t="n">
        <v>868</v>
      </c>
      <c r="B870" t="n">
        <v>0</v>
      </c>
      <c r="C870" t="inlineStr">
        <is>
          <t>No</t>
        </is>
      </c>
      <c r="D870">
        <f>IF(AND(B865=1,B866=1,B867=1,B868=1,B869=1),"Yes","")</f>
        <v/>
      </c>
      <c r="E870" t="inlineStr">
        <is>
          <t>No</t>
        </is>
      </c>
      <c r="F870" t="inlineStr">
        <is>
          <t>No</t>
        </is>
      </c>
      <c r="G870">
        <f>IF(F870="Yes",1-B870,B870)</f>
        <v/>
      </c>
      <c r="H870">
        <f>IF(E870="Yes","",COUNTIFS($E$2:E870,"No"))</f>
        <v/>
      </c>
      <c r="I870">
        <f>IF(H870="","",IF(H870&lt;=128,"address",IF(H870&lt;=600,"data1",IF(H870&lt;=1264,"zero-run1",IF(H870&lt;=1648,"data2",IF(H870&lt;=2176,"zero-run2",IF(H870&lt;=2192,"FCS","trailing")))))))</f>
        <v/>
      </c>
      <c r="J870">
        <f>IFERROR(IF(AND(H870&lt;&gt;"",H870&gt;=129,H870&lt;=2176),INDEX(Fields!$B$2:$B$206,MATCH(H870-129,Fields!$D$2:$D$206,1)),""),"")</f>
        <v/>
      </c>
      <c r="K870">
        <f>IFERROR(IF(AND(H870&lt;&gt;"",H870&gt;=129,H870&lt;=2176),INDEX(Fields!$C$2:$C$206,MATCH(H870-129,Fields!$D$2:$D$206,1)),""),"")</f>
        <v/>
      </c>
      <c r="L870">
        <f>IFERROR(IF(AND(H870&lt;&gt;"",H870&gt;=129,H870&lt;=2176),INDEX(Fields!$J$2:$J$206,MATCH(H870-129,Fields!$D$2:$D$206,1)),""),"")</f>
        <v/>
      </c>
      <c r="M870">
        <f>IFERROR(IF(AND(H870&lt;&gt;"",H870&gt;=129,H870&lt;=2176),INDEX(Fields!$K$2:$K$206,MATCH(H870-129,Fields!$D$2:$D$206,1)),""),"")</f>
        <v/>
      </c>
    </row>
    <row r="871">
      <c r="A871" t="n">
        <v>869</v>
      </c>
      <c r="B871" t="n">
        <v>0</v>
      </c>
      <c r="C871" t="inlineStr">
        <is>
          <t>No</t>
        </is>
      </c>
      <c r="D871">
        <f>IF(AND(B866=1,B867=1,B868=1,B869=1,B870=1),"Yes","")</f>
        <v/>
      </c>
      <c r="E871" t="inlineStr">
        <is>
          <t>No</t>
        </is>
      </c>
      <c r="F871" t="inlineStr">
        <is>
          <t>No</t>
        </is>
      </c>
      <c r="G871">
        <f>IF(F871="Yes",1-B871,B871)</f>
        <v/>
      </c>
      <c r="H871">
        <f>IF(E871="Yes","",COUNTIFS($E$2:E871,"No"))</f>
        <v/>
      </c>
      <c r="I871">
        <f>IF(H871="","",IF(H871&lt;=128,"address",IF(H871&lt;=600,"data1",IF(H871&lt;=1264,"zero-run1",IF(H871&lt;=1648,"data2",IF(H871&lt;=2176,"zero-run2",IF(H871&lt;=2192,"FCS","trailing")))))))</f>
        <v/>
      </c>
      <c r="J871">
        <f>IFERROR(IF(AND(H871&lt;&gt;"",H871&gt;=129,H871&lt;=2176),INDEX(Fields!$B$2:$B$206,MATCH(H871-129,Fields!$D$2:$D$206,1)),""),"")</f>
        <v/>
      </c>
      <c r="K871">
        <f>IFERROR(IF(AND(H871&lt;&gt;"",H871&gt;=129,H871&lt;=2176),INDEX(Fields!$C$2:$C$206,MATCH(H871-129,Fields!$D$2:$D$206,1)),""),"")</f>
        <v/>
      </c>
      <c r="L871">
        <f>IFERROR(IF(AND(H871&lt;&gt;"",H871&gt;=129,H871&lt;=2176),INDEX(Fields!$J$2:$J$206,MATCH(H871-129,Fields!$D$2:$D$206,1)),""),"")</f>
        <v/>
      </c>
      <c r="M871">
        <f>IFERROR(IF(AND(H871&lt;&gt;"",H871&gt;=129,H871&lt;=2176),INDEX(Fields!$K$2:$K$206,MATCH(H871-129,Fields!$D$2:$D$206,1)),""),"")</f>
        <v/>
      </c>
    </row>
    <row r="872">
      <c r="A872" t="n">
        <v>870</v>
      </c>
      <c r="B872" t="n">
        <v>0</v>
      </c>
      <c r="C872" t="inlineStr">
        <is>
          <t>No</t>
        </is>
      </c>
      <c r="D872">
        <f>IF(AND(B867=1,B868=1,B869=1,B870=1,B871=1),"Yes","")</f>
        <v/>
      </c>
      <c r="E872" t="inlineStr">
        <is>
          <t>No</t>
        </is>
      </c>
      <c r="F872" t="inlineStr">
        <is>
          <t>No</t>
        </is>
      </c>
      <c r="G872">
        <f>IF(F872="Yes",1-B872,B872)</f>
        <v/>
      </c>
      <c r="H872">
        <f>IF(E872="Yes","",COUNTIFS($E$2:E872,"No"))</f>
        <v/>
      </c>
      <c r="I872">
        <f>IF(H872="","",IF(H872&lt;=128,"address",IF(H872&lt;=600,"data1",IF(H872&lt;=1264,"zero-run1",IF(H872&lt;=1648,"data2",IF(H872&lt;=2176,"zero-run2",IF(H872&lt;=2192,"FCS","trailing")))))))</f>
        <v/>
      </c>
      <c r="J872">
        <f>IFERROR(IF(AND(H872&lt;&gt;"",H872&gt;=129,H872&lt;=2176),INDEX(Fields!$B$2:$B$206,MATCH(H872-129,Fields!$D$2:$D$206,1)),""),"")</f>
        <v/>
      </c>
      <c r="K872">
        <f>IFERROR(IF(AND(H872&lt;&gt;"",H872&gt;=129,H872&lt;=2176),INDEX(Fields!$C$2:$C$206,MATCH(H872-129,Fields!$D$2:$D$206,1)),""),"")</f>
        <v/>
      </c>
      <c r="L872">
        <f>IFERROR(IF(AND(H872&lt;&gt;"",H872&gt;=129,H872&lt;=2176),INDEX(Fields!$J$2:$J$206,MATCH(H872-129,Fields!$D$2:$D$206,1)),""),"")</f>
        <v/>
      </c>
      <c r="M872">
        <f>IFERROR(IF(AND(H872&lt;&gt;"",H872&gt;=129,H872&lt;=2176),INDEX(Fields!$K$2:$K$206,MATCH(H872-129,Fields!$D$2:$D$206,1)),""),"")</f>
        <v/>
      </c>
    </row>
    <row r="873">
      <c r="A873" t="n">
        <v>871</v>
      </c>
      <c r="B873" t="n">
        <v>0</v>
      </c>
      <c r="C873" t="inlineStr">
        <is>
          <t>No</t>
        </is>
      </c>
      <c r="D873">
        <f>IF(AND(B868=1,B869=1,B870=1,B871=1,B872=1),"Yes","")</f>
        <v/>
      </c>
      <c r="E873" t="inlineStr">
        <is>
          <t>No</t>
        </is>
      </c>
      <c r="F873" t="inlineStr">
        <is>
          <t>No</t>
        </is>
      </c>
      <c r="G873">
        <f>IF(F873="Yes",1-B873,B873)</f>
        <v/>
      </c>
      <c r="H873">
        <f>IF(E873="Yes","",COUNTIFS($E$2:E873,"No"))</f>
        <v/>
      </c>
      <c r="I873">
        <f>IF(H873="","",IF(H873&lt;=128,"address",IF(H873&lt;=600,"data1",IF(H873&lt;=1264,"zero-run1",IF(H873&lt;=1648,"data2",IF(H873&lt;=2176,"zero-run2",IF(H873&lt;=2192,"FCS","trailing")))))))</f>
        <v/>
      </c>
      <c r="J873">
        <f>IFERROR(IF(AND(H873&lt;&gt;"",H873&gt;=129,H873&lt;=2176),INDEX(Fields!$B$2:$B$206,MATCH(H873-129,Fields!$D$2:$D$206,1)),""),"")</f>
        <v/>
      </c>
      <c r="K873">
        <f>IFERROR(IF(AND(H873&lt;&gt;"",H873&gt;=129,H873&lt;=2176),INDEX(Fields!$C$2:$C$206,MATCH(H873-129,Fields!$D$2:$D$206,1)),""),"")</f>
        <v/>
      </c>
      <c r="L873">
        <f>IFERROR(IF(AND(H873&lt;&gt;"",H873&gt;=129,H873&lt;=2176),INDEX(Fields!$J$2:$J$206,MATCH(H873-129,Fields!$D$2:$D$206,1)),""),"")</f>
        <v/>
      </c>
      <c r="M873">
        <f>IFERROR(IF(AND(H873&lt;&gt;"",H873&gt;=129,H873&lt;=2176),INDEX(Fields!$K$2:$K$206,MATCH(H873-129,Fields!$D$2:$D$206,1)),""),"")</f>
        <v/>
      </c>
    </row>
    <row r="874">
      <c r="A874" t="n">
        <v>872</v>
      </c>
      <c r="B874" t="n">
        <v>0</v>
      </c>
      <c r="C874" t="inlineStr">
        <is>
          <t>No</t>
        </is>
      </c>
      <c r="D874">
        <f>IF(AND(B869=1,B870=1,B871=1,B872=1,B873=1),"Yes","")</f>
        <v/>
      </c>
      <c r="E874" t="inlineStr">
        <is>
          <t>No</t>
        </is>
      </c>
      <c r="F874" t="inlineStr">
        <is>
          <t>No</t>
        </is>
      </c>
      <c r="G874">
        <f>IF(F874="Yes",1-B874,B874)</f>
        <v/>
      </c>
      <c r="H874">
        <f>IF(E874="Yes","",COUNTIFS($E$2:E874,"No"))</f>
        <v/>
      </c>
      <c r="I874">
        <f>IF(H874="","",IF(H874&lt;=128,"address",IF(H874&lt;=600,"data1",IF(H874&lt;=1264,"zero-run1",IF(H874&lt;=1648,"data2",IF(H874&lt;=2176,"zero-run2",IF(H874&lt;=2192,"FCS","trailing")))))))</f>
        <v/>
      </c>
      <c r="J874">
        <f>IFERROR(IF(AND(H874&lt;&gt;"",H874&gt;=129,H874&lt;=2176),INDEX(Fields!$B$2:$B$206,MATCH(H874-129,Fields!$D$2:$D$206,1)),""),"")</f>
        <v/>
      </c>
      <c r="K874">
        <f>IFERROR(IF(AND(H874&lt;&gt;"",H874&gt;=129,H874&lt;=2176),INDEX(Fields!$C$2:$C$206,MATCH(H874-129,Fields!$D$2:$D$206,1)),""),"")</f>
        <v/>
      </c>
      <c r="L874">
        <f>IFERROR(IF(AND(H874&lt;&gt;"",H874&gt;=129,H874&lt;=2176),INDEX(Fields!$J$2:$J$206,MATCH(H874-129,Fields!$D$2:$D$206,1)),""),"")</f>
        <v/>
      </c>
      <c r="M874">
        <f>IFERROR(IF(AND(H874&lt;&gt;"",H874&gt;=129,H874&lt;=2176),INDEX(Fields!$K$2:$K$206,MATCH(H874-129,Fields!$D$2:$D$206,1)),""),"")</f>
        <v/>
      </c>
    </row>
    <row r="875">
      <c r="A875" t="n">
        <v>873</v>
      </c>
      <c r="B875" t="n">
        <v>0</v>
      </c>
      <c r="C875" t="inlineStr">
        <is>
          <t>No</t>
        </is>
      </c>
      <c r="D875">
        <f>IF(AND(B870=1,B871=1,B872=1,B873=1,B874=1),"Yes","")</f>
        <v/>
      </c>
      <c r="E875" t="inlineStr">
        <is>
          <t>No</t>
        </is>
      </c>
      <c r="F875" t="inlineStr">
        <is>
          <t>No</t>
        </is>
      </c>
      <c r="G875">
        <f>IF(F875="Yes",1-B875,B875)</f>
        <v/>
      </c>
      <c r="H875">
        <f>IF(E875="Yes","",COUNTIFS($E$2:E875,"No"))</f>
        <v/>
      </c>
      <c r="I875">
        <f>IF(H875="","",IF(H875&lt;=128,"address",IF(H875&lt;=600,"data1",IF(H875&lt;=1264,"zero-run1",IF(H875&lt;=1648,"data2",IF(H875&lt;=2176,"zero-run2",IF(H875&lt;=2192,"FCS","trailing")))))))</f>
        <v/>
      </c>
      <c r="J875">
        <f>IFERROR(IF(AND(H875&lt;&gt;"",H875&gt;=129,H875&lt;=2176),INDEX(Fields!$B$2:$B$206,MATCH(H875-129,Fields!$D$2:$D$206,1)),""),"")</f>
        <v/>
      </c>
      <c r="K875">
        <f>IFERROR(IF(AND(H875&lt;&gt;"",H875&gt;=129,H875&lt;=2176),INDEX(Fields!$C$2:$C$206,MATCH(H875-129,Fields!$D$2:$D$206,1)),""),"")</f>
        <v/>
      </c>
      <c r="L875">
        <f>IFERROR(IF(AND(H875&lt;&gt;"",H875&gt;=129,H875&lt;=2176),INDEX(Fields!$J$2:$J$206,MATCH(H875-129,Fields!$D$2:$D$206,1)),""),"")</f>
        <v/>
      </c>
      <c r="M875">
        <f>IFERROR(IF(AND(H875&lt;&gt;"",H875&gt;=129,H875&lt;=2176),INDEX(Fields!$K$2:$K$206,MATCH(H875-129,Fields!$D$2:$D$206,1)),""),"")</f>
        <v/>
      </c>
    </row>
    <row r="876">
      <c r="A876" t="n">
        <v>874</v>
      </c>
      <c r="B876" t="n">
        <v>0</v>
      </c>
      <c r="C876" t="inlineStr">
        <is>
          <t>No</t>
        </is>
      </c>
      <c r="D876">
        <f>IF(AND(B871=1,B872=1,B873=1,B874=1,B875=1),"Yes","")</f>
        <v/>
      </c>
      <c r="E876" t="inlineStr">
        <is>
          <t>No</t>
        </is>
      </c>
      <c r="F876" t="inlineStr">
        <is>
          <t>No</t>
        </is>
      </c>
      <c r="G876">
        <f>IF(F876="Yes",1-B876,B876)</f>
        <v/>
      </c>
      <c r="H876">
        <f>IF(E876="Yes","",COUNTIFS($E$2:E876,"No"))</f>
        <v/>
      </c>
      <c r="I876">
        <f>IF(H876="","",IF(H876&lt;=128,"address",IF(H876&lt;=600,"data1",IF(H876&lt;=1264,"zero-run1",IF(H876&lt;=1648,"data2",IF(H876&lt;=2176,"zero-run2",IF(H876&lt;=2192,"FCS","trailing")))))))</f>
        <v/>
      </c>
      <c r="J876">
        <f>IFERROR(IF(AND(H876&lt;&gt;"",H876&gt;=129,H876&lt;=2176),INDEX(Fields!$B$2:$B$206,MATCH(H876-129,Fields!$D$2:$D$206,1)),""),"")</f>
        <v/>
      </c>
      <c r="K876">
        <f>IFERROR(IF(AND(H876&lt;&gt;"",H876&gt;=129,H876&lt;=2176),INDEX(Fields!$C$2:$C$206,MATCH(H876-129,Fields!$D$2:$D$206,1)),""),"")</f>
        <v/>
      </c>
      <c r="L876">
        <f>IFERROR(IF(AND(H876&lt;&gt;"",H876&gt;=129,H876&lt;=2176),INDEX(Fields!$J$2:$J$206,MATCH(H876-129,Fields!$D$2:$D$206,1)),""),"")</f>
        <v/>
      </c>
      <c r="M876">
        <f>IFERROR(IF(AND(H876&lt;&gt;"",H876&gt;=129,H876&lt;=2176),INDEX(Fields!$K$2:$K$206,MATCH(H876-129,Fields!$D$2:$D$206,1)),""),"")</f>
        <v/>
      </c>
    </row>
    <row r="877">
      <c r="A877" t="n">
        <v>875</v>
      </c>
      <c r="B877" t="n">
        <v>0</v>
      </c>
      <c r="C877" t="inlineStr">
        <is>
          <t>No</t>
        </is>
      </c>
      <c r="D877">
        <f>IF(AND(B872=1,B873=1,B874=1,B875=1,B876=1),"Yes","")</f>
        <v/>
      </c>
      <c r="E877" t="inlineStr">
        <is>
          <t>No</t>
        </is>
      </c>
      <c r="F877" t="inlineStr">
        <is>
          <t>No</t>
        </is>
      </c>
      <c r="G877">
        <f>IF(F877="Yes",1-B877,B877)</f>
        <v/>
      </c>
      <c r="H877">
        <f>IF(E877="Yes","",COUNTIFS($E$2:E877,"No"))</f>
        <v/>
      </c>
      <c r="I877">
        <f>IF(H877="","",IF(H877&lt;=128,"address",IF(H877&lt;=600,"data1",IF(H877&lt;=1264,"zero-run1",IF(H877&lt;=1648,"data2",IF(H877&lt;=2176,"zero-run2",IF(H877&lt;=2192,"FCS","trailing")))))))</f>
        <v/>
      </c>
      <c r="J877">
        <f>IFERROR(IF(AND(H877&lt;&gt;"",H877&gt;=129,H877&lt;=2176),INDEX(Fields!$B$2:$B$206,MATCH(H877-129,Fields!$D$2:$D$206,1)),""),"")</f>
        <v/>
      </c>
      <c r="K877">
        <f>IFERROR(IF(AND(H877&lt;&gt;"",H877&gt;=129,H877&lt;=2176),INDEX(Fields!$C$2:$C$206,MATCH(H877-129,Fields!$D$2:$D$206,1)),""),"")</f>
        <v/>
      </c>
      <c r="L877">
        <f>IFERROR(IF(AND(H877&lt;&gt;"",H877&gt;=129,H877&lt;=2176),INDEX(Fields!$J$2:$J$206,MATCH(H877-129,Fields!$D$2:$D$206,1)),""),"")</f>
        <v/>
      </c>
      <c r="M877">
        <f>IFERROR(IF(AND(H877&lt;&gt;"",H877&gt;=129,H877&lt;=2176),INDEX(Fields!$K$2:$K$206,MATCH(H877-129,Fields!$D$2:$D$206,1)),""),"")</f>
        <v/>
      </c>
    </row>
    <row r="878">
      <c r="A878" t="n">
        <v>876</v>
      </c>
      <c r="B878" t="n">
        <v>0</v>
      </c>
      <c r="C878" t="inlineStr">
        <is>
          <t>No</t>
        </is>
      </c>
      <c r="D878">
        <f>IF(AND(B873=1,B874=1,B875=1,B876=1,B877=1),"Yes","")</f>
        <v/>
      </c>
      <c r="E878" t="inlineStr">
        <is>
          <t>No</t>
        </is>
      </c>
      <c r="F878" t="inlineStr">
        <is>
          <t>No</t>
        </is>
      </c>
      <c r="G878">
        <f>IF(F878="Yes",1-B878,B878)</f>
        <v/>
      </c>
      <c r="H878">
        <f>IF(E878="Yes","",COUNTIFS($E$2:E878,"No"))</f>
        <v/>
      </c>
      <c r="I878">
        <f>IF(H878="","",IF(H878&lt;=128,"address",IF(H878&lt;=600,"data1",IF(H878&lt;=1264,"zero-run1",IF(H878&lt;=1648,"data2",IF(H878&lt;=2176,"zero-run2",IF(H878&lt;=2192,"FCS","trailing")))))))</f>
        <v/>
      </c>
      <c r="J878">
        <f>IFERROR(IF(AND(H878&lt;&gt;"",H878&gt;=129,H878&lt;=2176),INDEX(Fields!$B$2:$B$206,MATCH(H878-129,Fields!$D$2:$D$206,1)),""),"")</f>
        <v/>
      </c>
      <c r="K878">
        <f>IFERROR(IF(AND(H878&lt;&gt;"",H878&gt;=129,H878&lt;=2176),INDEX(Fields!$C$2:$C$206,MATCH(H878-129,Fields!$D$2:$D$206,1)),""),"")</f>
        <v/>
      </c>
      <c r="L878">
        <f>IFERROR(IF(AND(H878&lt;&gt;"",H878&gt;=129,H878&lt;=2176),INDEX(Fields!$J$2:$J$206,MATCH(H878-129,Fields!$D$2:$D$206,1)),""),"")</f>
        <v/>
      </c>
      <c r="M878">
        <f>IFERROR(IF(AND(H878&lt;&gt;"",H878&gt;=129,H878&lt;=2176),INDEX(Fields!$K$2:$K$206,MATCH(H878-129,Fields!$D$2:$D$206,1)),""),"")</f>
        <v/>
      </c>
    </row>
    <row r="879">
      <c r="A879" t="n">
        <v>877</v>
      </c>
      <c r="B879" t="n">
        <v>0</v>
      </c>
      <c r="C879" t="inlineStr">
        <is>
          <t>No</t>
        </is>
      </c>
      <c r="D879">
        <f>IF(AND(B874=1,B875=1,B876=1,B877=1,B878=1),"Yes","")</f>
        <v/>
      </c>
      <c r="E879" t="inlineStr">
        <is>
          <t>No</t>
        </is>
      </c>
      <c r="F879" t="inlineStr">
        <is>
          <t>No</t>
        </is>
      </c>
      <c r="G879">
        <f>IF(F879="Yes",1-B879,B879)</f>
        <v/>
      </c>
      <c r="H879">
        <f>IF(E879="Yes","",COUNTIFS($E$2:E879,"No"))</f>
        <v/>
      </c>
      <c r="I879">
        <f>IF(H879="","",IF(H879&lt;=128,"address",IF(H879&lt;=600,"data1",IF(H879&lt;=1264,"zero-run1",IF(H879&lt;=1648,"data2",IF(H879&lt;=2176,"zero-run2",IF(H879&lt;=2192,"FCS","trailing")))))))</f>
        <v/>
      </c>
      <c r="J879">
        <f>IFERROR(IF(AND(H879&lt;&gt;"",H879&gt;=129,H879&lt;=2176),INDEX(Fields!$B$2:$B$206,MATCH(H879-129,Fields!$D$2:$D$206,1)),""),"")</f>
        <v/>
      </c>
      <c r="K879">
        <f>IFERROR(IF(AND(H879&lt;&gt;"",H879&gt;=129,H879&lt;=2176),INDEX(Fields!$C$2:$C$206,MATCH(H879-129,Fields!$D$2:$D$206,1)),""),"")</f>
        <v/>
      </c>
      <c r="L879">
        <f>IFERROR(IF(AND(H879&lt;&gt;"",H879&gt;=129,H879&lt;=2176),INDEX(Fields!$J$2:$J$206,MATCH(H879-129,Fields!$D$2:$D$206,1)),""),"")</f>
        <v/>
      </c>
      <c r="M879">
        <f>IFERROR(IF(AND(H879&lt;&gt;"",H879&gt;=129,H879&lt;=2176),INDEX(Fields!$K$2:$K$206,MATCH(H879-129,Fields!$D$2:$D$206,1)),""),"")</f>
        <v/>
      </c>
    </row>
    <row r="880">
      <c r="A880" t="n">
        <v>878</v>
      </c>
      <c r="B880" t="n">
        <v>0</v>
      </c>
      <c r="C880" t="inlineStr">
        <is>
          <t>No</t>
        </is>
      </c>
      <c r="D880">
        <f>IF(AND(B875=1,B876=1,B877=1,B878=1,B879=1),"Yes","")</f>
        <v/>
      </c>
      <c r="E880" t="inlineStr">
        <is>
          <t>No</t>
        </is>
      </c>
      <c r="F880" t="inlineStr">
        <is>
          <t>No</t>
        </is>
      </c>
      <c r="G880">
        <f>IF(F880="Yes",1-B880,B880)</f>
        <v/>
      </c>
      <c r="H880">
        <f>IF(E880="Yes","",COUNTIFS($E$2:E880,"No"))</f>
        <v/>
      </c>
      <c r="I880">
        <f>IF(H880="","",IF(H880&lt;=128,"address",IF(H880&lt;=600,"data1",IF(H880&lt;=1264,"zero-run1",IF(H880&lt;=1648,"data2",IF(H880&lt;=2176,"zero-run2",IF(H880&lt;=2192,"FCS","trailing")))))))</f>
        <v/>
      </c>
      <c r="J880">
        <f>IFERROR(IF(AND(H880&lt;&gt;"",H880&gt;=129,H880&lt;=2176),INDEX(Fields!$B$2:$B$206,MATCH(H880-129,Fields!$D$2:$D$206,1)),""),"")</f>
        <v/>
      </c>
      <c r="K880">
        <f>IFERROR(IF(AND(H880&lt;&gt;"",H880&gt;=129,H880&lt;=2176),INDEX(Fields!$C$2:$C$206,MATCH(H880-129,Fields!$D$2:$D$206,1)),""),"")</f>
        <v/>
      </c>
      <c r="L880">
        <f>IFERROR(IF(AND(H880&lt;&gt;"",H880&gt;=129,H880&lt;=2176),INDEX(Fields!$J$2:$J$206,MATCH(H880-129,Fields!$D$2:$D$206,1)),""),"")</f>
        <v/>
      </c>
      <c r="M880">
        <f>IFERROR(IF(AND(H880&lt;&gt;"",H880&gt;=129,H880&lt;=2176),INDEX(Fields!$K$2:$K$206,MATCH(H880-129,Fields!$D$2:$D$206,1)),""),"")</f>
        <v/>
      </c>
    </row>
    <row r="881">
      <c r="A881" t="n">
        <v>879</v>
      </c>
      <c r="B881" t="n">
        <v>0</v>
      </c>
      <c r="C881" t="inlineStr">
        <is>
          <t>No</t>
        </is>
      </c>
      <c r="D881">
        <f>IF(AND(B876=1,B877=1,B878=1,B879=1,B880=1),"Yes","")</f>
        <v/>
      </c>
      <c r="E881" t="inlineStr">
        <is>
          <t>No</t>
        </is>
      </c>
      <c r="F881" t="inlineStr">
        <is>
          <t>No</t>
        </is>
      </c>
      <c r="G881">
        <f>IF(F881="Yes",1-B881,B881)</f>
        <v/>
      </c>
      <c r="H881">
        <f>IF(E881="Yes","",COUNTIFS($E$2:E881,"No"))</f>
        <v/>
      </c>
      <c r="I881">
        <f>IF(H881="","",IF(H881&lt;=128,"address",IF(H881&lt;=600,"data1",IF(H881&lt;=1264,"zero-run1",IF(H881&lt;=1648,"data2",IF(H881&lt;=2176,"zero-run2",IF(H881&lt;=2192,"FCS","trailing")))))))</f>
        <v/>
      </c>
      <c r="J881">
        <f>IFERROR(IF(AND(H881&lt;&gt;"",H881&gt;=129,H881&lt;=2176),INDEX(Fields!$B$2:$B$206,MATCH(H881-129,Fields!$D$2:$D$206,1)),""),"")</f>
        <v/>
      </c>
      <c r="K881">
        <f>IFERROR(IF(AND(H881&lt;&gt;"",H881&gt;=129,H881&lt;=2176),INDEX(Fields!$C$2:$C$206,MATCH(H881-129,Fields!$D$2:$D$206,1)),""),"")</f>
        <v/>
      </c>
      <c r="L881">
        <f>IFERROR(IF(AND(H881&lt;&gt;"",H881&gt;=129,H881&lt;=2176),INDEX(Fields!$J$2:$J$206,MATCH(H881-129,Fields!$D$2:$D$206,1)),""),"")</f>
        <v/>
      </c>
      <c r="M881">
        <f>IFERROR(IF(AND(H881&lt;&gt;"",H881&gt;=129,H881&lt;=2176),INDEX(Fields!$K$2:$K$206,MATCH(H881-129,Fields!$D$2:$D$206,1)),""),"")</f>
        <v/>
      </c>
    </row>
    <row r="882">
      <c r="A882" t="n">
        <v>880</v>
      </c>
      <c r="B882" t="n">
        <v>0</v>
      </c>
      <c r="C882" t="inlineStr">
        <is>
          <t>No</t>
        </is>
      </c>
      <c r="D882">
        <f>IF(AND(B877=1,B878=1,B879=1,B880=1,B881=1),"Yes","")</f>
        <v/>
      </c>
      <c r="E882" t="inlineStr">
        <is>
          <t>No</t>
        </is>
      </c>
      <c r="F882" t="inlineStr">
        <is>
          <t>No</t>
        </is>
      </c>
      <c r="G882">
        <f>IF(F882="Yes",1-B882,B882)</f>
        <v/>
      </c>
      <c r="H882">
        <f>IF(E882="Yes","",COUNTIFS($E$2:E882,"No"))</f>
        <v/>
      </c>
      <c r="I882">
        <f>IF(H882="","",IF(H882&lt;=128,"address",IF(H882&lt;=600,"data1",IF(H882&lt;=1264,"zero-run1",IF(H882&lt;=1648,"data2",IF(H882&lt;=2176,"zero-run2",IF(H882&lt;=2192,"FCS","trailing")))))))</f>
        <v/>
      </c>
      <c r="J882">
        <f>IFERROR(IF(AND(H882&lt;&gt;"",H882&gt;=129,H882&lt;=2176),INDEX(Fields!$B$2:$B$206,MATCH(H882-129,Fields!$D$2:$D$206,1)),""),"")</f>
        <v/>
      </c>
      <c r="K882">
        <f>IFERROR(IF(AND(H882&lt;&gt;"",H882&gt;=129,H882&lt;=2176),INDEX(Fields!$C$2:$C$206,MATCH(H882-129,Fields!$D$2:$D$206,1)),""),"")</f>
        <v/>
      </c>
      <c r="L882">
        <f>IFERROR(IF(AND(H882&lt;&gt;"",H882&gt;=129,H882&lt;=2176),INDEX(Fields!$J$2:$J$206,MATCH(H882-129,Fields!$D$2:$D$206,1)),""),"")</f>
        <v/>
      </c>
      <c r="M882">
        <f>IFERROR(IF(AND(H882&lt;&gt;"",H882&gt;=129,H882&lt;=2176),INDEX(Fields!$K$2:$K$206,MATCH(H882-129,Fields!$D$2:$D$206,1)),""),"")</f>
        <v/>
      </c>
    </row>
    <row r="883">
      <c r="A883" t="n">
        <v>881</v>
      </c>
      <c r="B883" t="n">
        <v>0</v>
      </c>
      <c r="C883" t="inlineStr">
        <is>
          <t>No</t>
        </is>
      </c>
      <c r="D883">
        <f>IF(AND(B878=1,B879=1,B880=1,B881=1,B882=1),"Yes","")</f>
        <v/>
      </c>
      <c r="E883" t="inlineStr">
        <is>
          <t>No</t>
        </is>
      </c>
      <c r="F883" t="inlineStr">
        <is>
          <t>No</t>
        </is>
      </c>
      <c r="G883">
        <f>IF(F883="Yes",1-B883,B883)</f>
        <v/>
      </c>
      <c r="H883">
        <f>IF(E883="Yes","",COUNTIFS($E$2:E883,"No"))</f>
        <v/>
      </c>
      <c r="I883">
        <f>IF(H883="","",IF(H883&lt;=128,"address",IF(H883&lt;=600,"data1",IF(H883&lt;=1264,"zero-run1",IF(H883&lt;=1648,"data2",IF(H883&lt;=2176,"zero-run2",IF(H883&lt;=2192,"FCS","trailing")))))))</f>
        <v/>
      </c>
      <c r="J883">
        <f>IFERROR(IF(AND(H883&lt;&gt;"",H883&gt;=129,H883&lt;=2176),INDEX(Fields!$B$2:$B$206,MATCH(H883-129,Fields!$D$2:$D$206,1)),""),"")</f>
        <v/>
      </c>
      <c r="K883">
        <f>IFERROR(IF(AND(H883&lt;&gt;"",H883&gt;=129,H883&lt;=2176),INDEX(Fields!$C$2:$C$206,MATCH(H883-129,Fields!$D$2:$D$206,1)),""),"")</f>
        <v/>
      </c>
      <c r="L883">
        <f>IFERROR(IF(AND(H883&lt;&gt;"",H883&gt;=129,H883&lt;=2176),INDEX(Fields!$J$2:$J$206,MATCH(H883-129,Fields!$D$2:$D$206,1)),""),"")</f>
        <v/>
      </c>
      <c r="M883">
        <f>IFERROR(IF(AND(H883&lt;&gt;"",H883&gt;=129,H883&lt;=2176),INDEX(Fields!$K$2:$K$206,MATCH(H883-129,Fields!$D$2:$D$206,1)),""),"")</f>
        <v/>
      </c>
    </row>
    <row r="884">
      <c r="A884" t="n">
        <v>882</v>
      </c>
      <c r="B884" t="n">
        <v>0</v>
      </c>
      <c r="C884" t="inlineStr">
        <is>
          <t>No</t>
        </is>
      </c>
      <c r="D884">
        <f>IF(AND(B879=1,B880=1,B881=1,B882=1,B883=1),"Yes","")</f>
        <v/>
      </c>
      <c r="E884" t="inlineStr">
        <is>
          <t>No</t>
        </is>
      </c>
      <c r="F884" t="inlineStr">
        <is>
          <t>No</t>
        </is>
      </c>
      <c r="G884">
        <f>IF(F884="Yes",1-B884,B884)</f>
        <v/>
      </c>
      <c r="H884">
        <f>IF(E884="Yes","",COUNTIFS($E$2:E884,"No"))</f>
        <v/>
      </c>
      <c r="I884">
        <f>IF(H884="","",IF(H884&lt;=128,"address",IF(H884&lt;=600,"data1",IF(H884&lt;=1264,"zero-run1",IF(H884&lt;=1648,"data2",IF(H884&lt;=2176,"zero-run2",IF(H884&lt;=2192,"FCS","trailing")))))))</f>
        <v/>
      </c>
      <c r="J884">
        <f>IFERROR(IF(AND(H884&lt;&gt;"",H884&gt;=129,H884&lt;=2176),INDEX(Fields!$B$2:$B$206,MATCH(H884-129,Fields!$D$2:$D$206,1)),""),"")</f>
        <v/>
      </c>
      <c r="K884">
        <f>IFERROR(IF(AND(H884&lt;&gt;"",H884&gt;=129,H884&lt;=2176),INDEX(Fields!$C$2:$C$206,MATCH(H884-129,Fields!$D$2:$D$206,1)),""),"")</f>
        <v/>
      </c>
      <c r="L884">
        <f>IFERROR(IF(AND(H884&lt;&gt;"",H884&gt;=129,H884&lt;=2176),INDEX(Fields!$J$2:$J$206,MATCH(H884-129,Fields!$D$2:$D$206,1)),""),"")</f>
        <v/>
      </c>
      <c r="M884">
        <f>IFERROR(IF(AND(H884&lt;&gt;"",H884&gt;=129,H884&lt;=2176),INDEX(Fields!$K$2:$K$206,MATCH(H884-129,Fields!$D$2:$D$206,1)),""),"")</f>
        <v/>
      </c>
    </row>
    <row r="885">
      <c r="A885" t="n">
        <v>883</v>
      </c>
      <c r="B885" t="n">
        <v>0</v>
      </c>
      <c r="C885" t="inlineStr">
        <is>
          <t>No</t>
        </is>
      </c>
      <c r="D885">
        <f>IF(AND(B880=1,B881=1,B882=1,B883=1,B884=1),"Yes","")</f>
        <v/>
      </c>
      <c r="E885" t="inlineStr">
        <is>
          <t>No</t>
        </is>
      </c>
      <c r="F885" t="inlineStr">
        <is>
          <t>No</t>
        </is>
      </c>
      <c r="G885">
        <f>IF(F885="Yes",1-B885,B885)</f>
        <v/>
      </c>
      <c r="H885">
        <f>IF(E885="Yes","",COUNTIFS($E$2:E885,"No"))</f>
        <v/>
      </c>
      <c r="I885">
        <f>IF(H885="","",IF(H885&lt;=128,"address",IF(H885&lt;=600,"data1",IF(H885&lt;=1264,"zero-run1",IF(H885&lt;=1648,"data2",IF(H885&lt;=2176,"zero-run2",IF(H885&lt;=2192,"FCS","trailing")))))))</f>
        <v/>
      </c>
      <c r="J885">
        <f>IFERROR(IF(AND(H885&lt;&gt;"",H885&gt;=129,H885&lt;=2176),INDEX(Fields!$B$2:$B$206,MATCH(H885-129,Fields!$D$2:$D$206,1)),""),"")</f>
        <v/>
      </c>
      <c r="K885">
        <f>IFERROR(IF(AND(H885&lt;&gt;"",H885&gt;=129,H885&lt;=2176),INDEX(Fields!$C$2:$C$206,MATCH(H885-129,Fields!$D$2:$D$206,1)),""),"")</f>
        <v/>
      </c>
      <c r="L885">
        <f>IFERROR(IF(AND(H885&lt;&gt;"",H885&gt;=129,H885&lt;=2176),INDEX(Fields!$J$2:$J$206,MATCH(H885-129,Fields!$D$2:$D$206,1)),""),"")</f>
        <v/>
      </c>
      <c r="M885">
        <f>IFERROR(IF(AND(H885&lt;&gt;"",H885&gt;=129,H885&lt;=2176),INDEX(Fields!$K$2:$K$206,MATCH(H885-129,Fields!$D$2:$D$206,1)),""),"")</f>
        <v/>
      </c>
    </row>
    <row r="886">
      <c r="A886" t="n">
        <v>884</v>
      </c>
      <c r="B886" t="n">
        <v>0</v>
      </c>
      <c r="C886" t="inlineStr">
        <is>
          <t>No</t>
        </is>
      </c>
      <c r="D886">
        <f>IF(AND(B881=1,B882=1,B883=1,B884=1,B885=1),"Yes","")</f>
        <v/>
      </c>
      <c r="E886" t="inlineStr">
        <is>
          <t>No</t>
        </is>
      </c>
      <c r="F886" t="inlineStr">
        <is>
          <t>No</t>
        </is>
      </c>
      <c r="G886">
        <f>IF(F886="Yes",1-B886,B886)</f>
        <v/>
      </c>
      <c r="H886">
        <f>IF(E886="Yes","",COUNTIFS($E$2:E886,"No"))</f>
        <v/>
      </c>
      <c r="I886">
        <f>IF(H886="","",IF(H886&lt;=128,"address",IF(H886&lt;=600,"data1",IF(H886&lt;=1264,"zero-run1",IF(H886&lt;=1648,"data2",IF(H886&lt;=2176,"zero-run2",IF(H886&lt;=2192,"FCS","trailing")))))))</f>
        <v/>
      </c>
      <c r="J886">
        <f>IFERROR(IF(AND(H886&lt;&gt;"",H886&gt;=129,H886&lt;=2176),INDEX(Fields!$B$2:$B$206,MATCH(H886-129,Fields!$D$2:$D$206,1)),""),"")</f>
        <v/>
      </c>
      <c r="K886">
        <f>IFERROR(IF(AND(H886&lt;&gt;"",H886&gt;=129,H886&lt;=2176),INDEX(Fields!$C$2:$C$206,MATCH(H886-129,Fields!$D$2:$D$206,1)),""),"")</f>
        <v/>
      </c>
      <c r="L886">
        <f>IFERROR(IF(AND(H886&lt;&gt;"",H886&gt;=129,H886&lt;=2176),INDEX(Fields!$J$2:$J$206,MATCH(H886-129,Fields!$D$2:$D$206,1)),""),"")</f>
        <v/>
      </c>
      <c r="M886">
        <f>IFERROR(IF(AND(H886&lt;&gt;"",H886&gt;=129,H886&lt;=2176),INDEX(Fields!$K$2:$K$206,MATCH(H886-129,Fields!$D$2:$D$206,1)),""),"")</f>
        <v/>
      </c>
    </row>
    <row r="887">
      <c r="A887" t="n">
        <v>885</v>
      </c>
      <c r="B887" t="n">
        <v>0</v>
      </c>
      <c r="C887" t="inlineStr">
        <is>
          <t>No</t>
        </is>
      </c>
      <c r="D887">
        <f>IF(AND(B882=1,B883=1,B884=1,B885=1,B886=1),"Yes","")</f>
        <v/>
      </c>
      <c r="E887" t="inlineStr">
        <is>
          <t>No</t>
        </is>
      </c>
      <c r="F887" t="inlineStr">
        <is>
          <t>No</t>
        </is>
      </c>
      <c r="G887">
        <f>IF(F887="Yes",1-B887,B887)</f>
        <v/>
      </c>
      <c r="H887">
        <f>IF(E887="Yes","",COUNTIFS($E$2:E887,"No"))</f>
        <v/>
      </c>
      <c r="I887">
        <f>IF(H887="","",IF(H887&lt;=128,"address",IF(H887&lt;=600,"data1",IF(H887&lt;=1264,"zero-run1",IF(H887&lt;=1648,"data2",IF(H887&lt;=2176,"zero-run2",IF(H887&lt;=2192,"FCS","trailing")))))))</f>
        <v/>
      </c>
      <c r="J887">
        <f>IFERROR(IF(AND(H887&lt;&gt;"",H887&gt;=129,H887&lt;=2176),INDEX(Fields!$B$2:$B$206,MATCH(H887-129,Fields!$D$2:$D$206,1)),""),"")</f>
        <v/>
      </c>
      <c r="K887">
        <f>IFERROR(IF(AND(H887&lt;&gt;"",H887&gt;=129,H887&lt;=2176),INDEX(Fields!$C$2:$C$206,MATCH(H887-129,Fields!$D$2:$D$206,1)),""),"")</f>
        <v/>
      </c>
      <c r="L887">
        <f>IFERROR(IF(AND(H887&lt;&gt;"",H887&gt;=129,H887&lt;=2176),INDEX(Fields!$J$2:$J$206,MATCH(H887-129,Fields!$D$2:$D$206,1)),""),"")</f>
        <v/>
      </c>
      <c r="M887">
        <f>IFERROR(IF(AND(H887&lt;&gt;"",H887&gt;=129,H887&lt;=2176),INDEX(Fields!$K$2:$K$206,MATCH(H887-129,Fields!$D$2:$D$206,1)),""),"")</f>
        <v/>
      </c>
    </row>
    <row r="888">
      <c r="A888" t="n">
        <v>886</v>
      </c>
      <c r="B888" t="n">
        <v>0</v>
      </c>
      <c r="C888" t="inlineStr">
        <is>
          <t>No</t>
        </is>
      </c>
      <c r="D888">
        <f>IF(AND(B883=1,B884=1,B885=1,B886=1,B887=1),"Yes","")</f>
        <v/>
      </c>
      <c r="E888" t="inlineStr">
        <is>
          <t>No</t>
        </is>
      </c>
      <c r="F888" t="inlineStr">
        <is>
          <t>No</t>
        </is>
      </c>
      <c r="G888">
        <f>IF(F888="Yes",1-B888,B888)</f>
        <v/>
      </c>
      <c r="H888">
        <f>IF(E888="Yes","",COUNTIFS($E$2:E888,"No"))</f>
        <v/>
      </c>
      <c r="I888">
        <f>IF(H888="","",IF(H888&lt;=128,"address",IF(H888&lt;=600,"data1",IF(H888&lt;=1264,"zero-run1",IF(H888&lt;=1648,"data2",IF(H888&lt;=2176,"zero-run2",IF(H888&lt;=2192,"FCS","trailing")))))))</f>
        <v/>
      </c>
      <c r="J888">
        <f>IFERROR(IF(AND(H888&lt;&gt;"",H888&gt;=129,H888&lt;=2176),INDEX(Fields!$B$2:$B$206,MATCH(H888-129,Fields!$D$2:$D$206,1)),""),"")</f>
        <v/>
      </c>
      <c r="K888">
        <f>IFERROR(IF(AND(H888&lt;&gt;"",H888&gt;=129,H888&lt;=2176),INDEX(Fields!$C$2:$C$206,MATCH(H888-129,Fields!$D$2:$D$206,1)),""),"")</f>
        <v/>
      </c>
      <c r="L888">
        <f>IFERROR(IF(AND(H888&lt;&gt;"",H888&gt;=129,H888&lt;=2176),INDEX(Fields!$J$2:$J$206,MATCH(H888-129,Fields!$D$2:$D$206,1)),""),"")</f>
        <v/>
      </c>
      <c r="M888">
        <f>IFERROR(IF(AND(H888&lt;&gt;"",H888&gt;=129,H888&lt;=2176),INDEX(Fields!$K$2:$K$206,MATCH(H888-129,Fields!$D$2:$D$206,1)),""),"")</f>
        <v/>
      </c>
    </row>
    <row r="889">
      <c r="A889" t="n">
        <v>887</v>
      </c>
      <c r="B889" t="n">
        <v>0</v>
      </c>
      <c r="C889" t="inlineStr">
        <is>
          <t>No</t>
        </is>
      </c>
      <c r="D889">
        <f>IF(AND(B884=1,B885=1,B886=1,B887=1,B888=1),"Yes","")</f>
        <v/>
      </c>
      <c r="E889" t="inlineStr">
        <is>
          <t>No</t>
        </is>
      </c>
      <c r="F889" t="inlineStr">
        <is>
          <t>No</t>
        </is>
      </c>
      <c r="G889">
        <f>IF(F889="Yes",1-B889,B889)</f>
        <v/>
      </c>
      <c r="H889">
        <f>IF(E889="Yes","",COUNTIFS($E$2:E889,"No"))</f>
        <v/>
      </c>
      <c r="I889">
        <f>IF(H889="","",IF(H889&lt;=128,"address",IF(H889&lt;=600,"data1",IF(H889&lt;=1264,"zero-run1",IF(H889&lt;=1648,"data2",IF(H889&lt;=2176,"zero-run2",IF(H889&lt;=2192,"FCS","trailing")))))))</f>
        <v/>
      </c>
      <c r="J889">
        <f>IFERROR(IF(AND(H889&lt;&gt;"",H889&gt;=129,H889&lt;=2176),INDEX(Fields!$B$2:$B$206,MATCH(H889-129,Fields!$D$2:$D$206,1)),""),"")</f>
        <v/>
      </c>
      <c r="K889">
        <f>IFERROR(IF(AND(H889&lt;&gt;"",H889&gt;=129,H889&lt;=2176),INDEX(Fields!$C$2:$C$206,MATCH(H889-129,Fields!$D$2:$D$206,1)),""),"")</f>
        <v/>
      </c>
      <c r="L889">
        <f>IFERROR(IF(AND(H889&lt;&gt;"",H889&gt;=129,H889&lt;=2176),INDEX(Fields!$J$2:$J$206,MATCH(H889-129,Fields!$D$2:$D$206,1)),""),"")</f>
        <v/>
      </c>
      <c r="M889">
        <f>IFERROR(IF(AND(H889&lt;&gt;"",H889&gt;=129,H889&lt;=2176),INDEX(Fields!$K$2:$K$206,MATCH(H889-129,Fields!$D$2:$D$206,1)),""),"")</f>
        <v/>
      </c>
    </row>
    <row r="890">
      <c r="A890" t="n">
        <v>888</v>
      </c>
      <c r="B890" t="n">
        <v>0</v>
      </c>
      <c r="C890" t="inlineStr">
        <is>
          <t>No</t>
        </is>
      </c>
      <c r="D890">
        <f>IF(AND(B885=1,B886=1,B887=1,B888=1,B889=1),"Yes","")</f>
        <v/>
      </c>
      <c r="E890" t="inlineStr">
        <is>
          <t>No</t>
        </is>
      </c>
      <c r="F890" t="inlineStr">
        <is>
          <t>No</t>
        </is>
      </c>
      <c r="G890">
        <f>IF(F890="Yes",1-B890,B890)</f>
        <v/>
      </c>
      <c r="H890">
        <f>IF(E890="Yes","",COUNTIFS($E$2:E890,"No"))</f>
        <v/>
      </c>
      <c r="I890">
        <f>IF(H890="","",IF(H890&lt;=128,"address",IF(H890&lt;=600,"data1",IF(H890&lt;=1264,"zero-run1",IF(H890&lt;=1648,"data2",IF(H890&lt;=2176,"zero-run2",IF(H890&lt;=2192,"FCS","trailing")))))))</f>
        <v/>
      </c>
      <c r="J890">
        <f>IFERROR(IF(AND(H890&lt;&gt;"",H890&gt;=129,H890&lt;=2176),INDEX(Fields!$B$2:$B$206,MATCH(H890-129,Fields!$D$2:$D$206,1)),""),"")</f>
        <v/>
      </c>
      <c r="K890">
        <f>IFERROR(IF(AND(H890&lt;&gt;"",H890&gt;=129,H890&lt;=2176),INDEX(Fields!$C$2:$C$206,MATCH(H890-129,Fields!$D$2:$D$206,1)),""),"")</f>
        <v/>
      </c>
      <c r="L890">
        <f>IFERROR(IF(AND(H890&lt;&gt;"",H890&gt;=129,H890&lt;=2176),INDEX(Fields!$J$2:$J$206,MATCH(H890-129,Fields!$D$2:$D$206,1)),""),"")</f>
        <v/>
      </c>
      <c r="M890">
        <f>IFERROR(IF(AND(H890&lt;&gt;"",H890&gt;=129,H890&lt;=2176),INDEX(Fields!$K$2:$K$206,MATCH(H890-129,Fields!$D$2:$D$206,1)),""),"")</f>
        <v/>
      </c>
    </row>
    <row r="891">
      <c r="A891" t="n">
        <v>889</v>
      </c>
      <c r="B891" t="n">
        <v>0</v>
      </c>
      <c r="C891" t="inlineStr">
        <is>
          <t>No</t>
        </is>
      </c>
      <c r="D891">
        <f>IF(AND(B886=1,B887=1,B888=1,B889=1,B890=1),"Yes","")</f>
        <v/>
      </c>
      <c r="E891" t="inlineStr">
        <is>
          <t>No</t>
        </is>
      </c>
      <c r="F891" t="inlineStr">
        <is>
          <t>No</t>
        </is>
      </c>
      <c r="G891">
        <f>IF(F891="Yes",1-B891,B891)</f>
        <v/>
      </c>
      <c r="H891">
        <f>IF(E891="Yes","",COUNTIFS($E$2:E891,"No"))</f>
        <v/>
      </c>
      <c r="I891">
        <f>IF(H891="","",IF(H891&lt;=128,"address",IF(H891&lt;=600,"data1",IF(H891&lt;=1264,"zero-run1",IF(H891&lt;=1648,"data2",IF(H891&lt;=2176,"zero-run2",IF(H891&lt;=2192,"FCS","trailing")))))))</f>
        <v/>
      </c>
      <c r="J891">
        <f>IFERROR(IF(AND(H891&lt;&gt;"",H891&gt;=129,H891&lt;=2176),INDEX(Fields!$B$2:$B$206,MATCH(H891-129,Fields!$D$2:$D$206,1)),""),"")</f>
        <v/>
      </c>
      <c r="K891">
        <f>IFERROR(IF(AND(H891&lt;&gt;"",H891&gt;=129,H891&lt;=2176),INDEX(Fields!$C$2:$C$206,MATCH(H891-129,Fields!$D$2:$D$206,1)),""),"")</f>
        <v/>
      </c>
      <c r="L891">
        <f>IFERROR(IF(AND(H891&lt;&gt;"",H891&gt;=129,H891&lt;=2176),INDEX(Fields!$J$2:$J$206,MATCH(H891-129,Fields!$D$2:$D$206,1)),""),"")</f>
        <v/>
      </c>
      <c r="M891">
        <f>IFERROR(IF(AND(H891&lt;&gt;"",H891&gt;=129,H891&lt;=2176),INDEX(Fields!$K$2:$K$206,MATCH(H891-129,Fields!$D$2:$D$206,1)),""),"")</f>
        <v/>
      </c>
    </row>
    <row r="892">
      <c r="A892" t="n">
        <v>890</v>
      </c>
      <c r="B892" t="n">
        <v>0</v>
      </c>
      <c r="C892" t="inlineStr">
        <is>
          <t>No</t>
        </is>
      </c>
      <c r="D892">
        <f>IF(AND(B887=1,B888=1,B889=1,B890=1,B891=1),"Yes","")</f>
        <v/>
      </c>
      <c r="E892" t="inlineStr">
        <is>
          <t>No</t>
        </is>
      </c>
      <c r="F892" t="inlineStr">
        <is>
          <t>No</t>
        </is>
      </c>
      <c r="G892">
        <f>IF(F892="Yes",1-B892,B892)</f>
        <v/>
      </c>
      <c r="H892">
        <f>IF(E892="Yes","",COUNTIFS($E$2:E892,"No"))</f>
        <v/>
      </c>
      <c r="I892">
        <f>IF(H892="","",IF(H892&lt;=128,"address",IF(H892&lt;=600,"data1",IF(H892&lt;=1264,"zero-run1",IF(H892&lt;=1648,"data2",IF(H892&lt;=2176,"zero-run2",IF(H892&lt;=2192,"FCS","trailing")))))))</f>
        <v/>
      </c>
      <c r="J892">
        <f>IFERROR(IF(AND(H892&lt;&gt;"",H892&gt;=129,H892&lt;=2176),INDEX(Fields!$B$2:$B$206,MATCH(H892-129,Fields!$D$2:$D$206,1)),""),"")</f>
        <v/>
      </c>
      <c r="K892">
        <f>IFERROR(IF(AND(H892&lt;&gt;"",H892&gt;=129,H892&lt;=2176),INDEX(Fields!$C$2:$C$206,MATCH(H892-129,Fields!$D$2:$D$206,1)),""),"")</f>
        <v/>
      </c>
      <c r="L892">
        <f>IFERROR(IF(AND(H892&lt;&gt;"",H892&gt;=129,H892&lt;=2176),INDEX(Fields!$J$2:$J$206,MATCH(H892-129,Fields!$D$2:$D$206,1)),""),"")</f>
        <v/>
      </c>
      <c r="M892">
        <f>IFERROR(IF(AND(H892&lt;&gt;"",H892&gt;=129,H892&lt;=2176),INDEX(Fields!$K$2:$K$206,MATCH(H892-129,Fields!$D$2:$D$206,1)),""),"")</f>
        <v/>
      </c>
    </row>
    <row r="893">
      <c r="A893" t="n">
        <v>891</v>
      </c>
      <c r="B893" t="n">
        <v>0</v>
      </c>
      <c r="C893" t="inlineStr">
        <is>
          <t>No</t>
        </is>
      </c>
      <c r="D893">
        <f>IF(AND(B888=1,B889=1,B890=1,B891=1,B892=1),"Yes","")</f>
        <v/>
      </c>
      <c r="E893" t="inlineStr">
        <is>
          <t>No</t>
        </is>
      </c>
      <c r="F893" t="inlineStr">
        <is>
          <t>No</t>
        </is>
      </c>
      <c r="G893">
        <f>IF(F893="Yes",1-B893,B893)</f>
        <v/>
      </c>
      <c r="H893">
        <f>IF(E893="Yes","",COUNTIFS($E$2:E893,"No"))</f>
        <v/>
      </c>
      <c r="I893">
        <f>IF(H893="","",IF(H893&lt;=128,"address",IF(H893&lt;=600,"data1",IF(H893&lt;=1264,"zero-run1",IF(H893&lt;=1648,"data2",IF(H893&lt;=2176,"zero-run2",IF(H893&lt;=2192,"FCS","trailing")))))))</f>
        <v/>
      </c>
      <c r="J893">
        <f>IFERROR(IF(AND(H893&lt;&gt;"",H893&gt;=129,H893&lt;=2176),INDEX(Fields!$B$2:$B$206,MATCH(H893-129,Fields!$D$2:$D$206,1)),""),"")</f>
        <v/>
      </c>
      <c r="K893">
        <f>IFERROR(IF(AND(H893&lt;&gt;"",H893&gt;=129,H893&lt;=2176),INDEX(Fields!$C$2:$C$206,MATCH(H893-129,Fields!$D$2:$D$206,1)),""),"")</f>
        <v/>
      </c>
      <c r="L893">
        <f>IFERROR(IF(AND(H893&lt;&gt;"",H893&gt;=129,H893&lt;=2176),INDEX(Fields!$J$2:$J$206,MATCH(H893-129,Fields!$D$2:$D$206,1)),""),"")</f>
        <v/>
      </c>
      <c r="M893">
        <f>IFERROR(IF(AND(H893&lt;&gt;"",H893&gt;=129,H893&lt;=2176),INDEX(Fields!$K$2:$K$206,MATCH(H893-129,Fields!$D$2:$D$206,1)),""),"")</f>
        <v/>
      </c>
    </row>
    <row r="894">
      <c r="A894" t="n">
        <v>892</v>
      </c>
      <c r="B894" t="n">
        <v>0</v>
      </c>
      <c r="C894" t="inlineStr">
        <is>
          <t>No</t>
        </is>
      </c>
      <c r="D894">
        <f>IF(AND(B889=1,B890=1,B891=1,B892=1,B893=1),"Yes","")</f>
        <v/>
      </c>
      <c r="E894" t="inlineStr">
        <is>
          <t>No</t>
        </is>
      </c>
      <c r="F894" t="inlineStr">
        <is>
          <t>No</t>
        </is>
      </c>
      <c r="G894">
        <f>IF(F894="Yes",1-B894,B894)</f>
        <v/>
      </c>
      <c r="H894">
        <f>IF(E894="Yes","",COUNTIFS($E$2:E894,"No"))</f>
        <v/>
      </c>
      <c r="I894">
        <f>IF(H894="","",IF(H894&lt;=128,"address",IF(H894&lt;=600,"data1",IF(H894&lt;=1264,"zero-run1",IF(H894&lt;=1648,"data2",IF(H894&lt;=2176,"zero-run2",IF(H894&lt;=2192,"FCS","trailing")))))))</f>
        <v/>
      </c>
      <c r="J894">
        <f>IFERROR(IF(AND(H894&lt;&gt;"",H894&gt;=129,H894&lt;=2176),INDEX(Fields!$B$2:$B$206,MATCH(H894-129,Fields!$D$2:$D$206,1)),""),"")</f>
        <v/>
      </c>
      <c r="K894">
        <f>IFERROR(IF(AND(H894&lt;&gt;"",H894&gt;=129,H894&lt;=2176),INDEX(Fields!$C$2:$C$206,MATCH(H894-129,Fields!$D$2:$D$206,1)),""),"")</f>
        <v/>
      </c>
      <c r="L894">
        <f>IFERROR(IF(AND(H894&lt;&gt;"",H894&gt;=129,H894&lt;=2176),INDEX(Fields!$J$2:$J$206,MATCH(H894-129,Fields!$D$2:$D$206,1)),""),"")</f>
        <v/>
      </c>
      <c r="M894">
        <f>IFERROR(IF(AND(H894&lt;&gt;"",H894&gt;=129,H894&lt;=2176),INDEX(Fields!$K$2:$K$206,MATCH(H894-129,Fields!$D$2:$D$206,1)),""),"")</f>
        <v/>
      </c>
    </row>
    <row r="895">
      <c r="A895" t="n">
        <v>893</v>
      </c>
      <c r="B895" t="n">
        <v>0</v>
      </c>
      <c r="C895" t="inlineStr">
        <is>
          <t>No</t>
        </is>
      </c>
      <c r="D895">
        <f>IF(AND(B890=1,B891=1,B892=1,B893=1,B894=1),"Yes","")</f>
        <v/>
      </c>
      <c r="E895" t="inlineStr">
        <is>
          <t>No</t>
        </is>
      </c>
      <c r="F895" t="inlineStr">
        <is>
          <t>No</t>
        </is>
      </c>
      <c r="G895">
        <f>IF(F895="Yes",1-B895,B895)</f>
        <v/>
      </c>
      <c r="H895">
        <f>IF(E895="Yes","",COUNTIFS($E$2:E895,"No"))</f>
        <v/>
      </c>
      <c r="I895">
        <f>IF(H895="","",IF(H895&lt;=128,"address",IF(H895&lt;=600,"data1",IF(H895&lt;=1264,"zero-run1",IF(H895&lt;=1648,"data2",IF(H895&lt;=2176,"zero-run2",IF(H895&lt;=2192,"FCS","trailing")))))))</f>
        <v/>
      </c>
      <c r="J895">
        <f>IFERROR(IF(AND(H895&lt;&gt;"",H895&gt;=129,H895&lt;=2176),INDEX(Fields!$B$2:$B$206,MATCH(H895-129,Fields!$D$2:$D$206,1)),""),"")</f>
        <v/>
      </c>
      <c r="K895">
        <f>IFERROR(IF(AND(H895&lt;&gt;"",H895&gt;=129,H895&lt;=2176),INDEX(Fields!$C$2:$C$206,MATCH(H895-129,Fields!$D$2:$D$206,1)),""),"")</f>
        <v/>
      </c>
      <c r="L895">
        <f>IFERROR(IF(AND(H895&lt;&gt;"",H895&gt;=129,H895&lt;=2176),INDEX(Fields!$J$2:$J$206,MATCH(H895-129,Fields!$D$2:$D$206,1)),""),"")</f>
        <v/>
      </c>
      <c r="M895">
        <f>IFERROR(IF(AND(H895&lt;&gt;"",H895&gt;=129,H895&lt;=2176),INDEX(Fields!$K$2:$K$206,MATCH(H895-129,Fields!$D$2:$D$206,1)),""),"")</f>
        <v/>
      </c>
    </row>
    <row r="896">
      <c r="A896" t="n">
        <v>894</v>
      </c>
      <c r="B896" t="n">
        <v>0</v>
      </c>
      <c r="C896" t="inlineStr">
        <is>
          <t>No</t>
        </is>
      </c>
      <c r="D896">
        <f>IF(AND(B891=1,B892=1,B893=1,B894=1,B895=1),"Yes","")</f>
        <v/>
      </c>
      <c r="E896" t="inlineStr">
        <is>
          <t>No</t>
        </is>
      </c>
      <c r="F896" t="inlineStr">
        <is>
          <t>No</t>
        </is>
      </c>
      <c r="G896">
        <f>IF(F896="Yes",1-B896,B896)</f>
        <v/>
      </c>
      <c r="H896">
        <f>IF(E896="Yes","",COUNTIFS($E$2:E896,"No"))</f>
        <v/>
      </c>
      <c r="I896">
        <f>IF(H896="","",IF(H896&lt;=128,"address",IF(H896&lt;=600,"data1",IF(H896&lt;=1264,"zero-run1",IF(H896&lt;=1648,"data2",IF(H896&lt;=2176,"zero-run2",IF(H896&lt;=2192,"FCS","trailing")))))))</f>
        <v/>
      </c>
      <c r="J896">
        <f>IFERROR(IF(AND(H896&lt;&gt;"",H896&gt;=129,H896&lt;=2176),INDEX(Fields!$B$2:$B$206,MATCH(H896-129,Fields!$D$2:$D$206,1)),""),"")</f>
        <v/>
      </c>
      <c r="K896">
        <f>IFERROR(IF(AND(H896&lt;&gt;"",H896&gt;=129,H896&lt;=2176),INDEX(Fields!$C$2:$C$206,MATCH(H896-129,Fields!$D$2:$D$206,1)),""),"")</f>
        <v/>
      </c>
      <c r="L896">
        <f>IFERROR(IF(AND(H896&lt;&gt;"",H896&gt;=129,H896&lt;=2176),INDEX(Fields!$J$2:$J$206,MATCH(H896-129,Fields!$D$2:$D$206,1)),""),"")</f>
        <v/>
      </c>
      <c r="M896">
        <f>IFERROR(IF(AND(H896&lt;&gt;"",H896&gt;=129,H896&lt;=2176),INDEX(Fields!$K$2:$K$206,MATCH(H896-129,Fields!$D$2:$D$206,1)),""),"")</f>
        <v/>
      </c>
    </row>
    <row r="897">
      <c r="A897" t="n">
        <v>895</v>
      </c>
      <c r="B897" t="n">
        <v>0</v>
      </c>
      <c r="C897" t="inlineStr">
        <is>
          <t>No</t>
        </is>
      </c>
      <c r="D897">
        <f>IF(AND(B892=1,B893=1,B894=1,B895=1,B896=1),"Yes","")</f>
        <v/>
      </c>
      <c r="E897" t="inlineStr">
        <is>
          <t>No</t>
        </is>
      </c>
      <c r="F897" t="inlineStr">
        <is>
          <t>No</t>
        </is>
      </c>
      <c r="G897">
        <f>IF(F897="Yes",1-B897,B897)</f>
        <v/>
      </c>
      <c r="H897">
        <f>IF(E897="Yes","",COUNTIFS($E$2:E897,"No"))</f>
        <v/>
      </c>
      <c r="I897">
        <f>IF(H897="","",IF(H897&lt;=128,"address",IF(H897&lt;=600,"data1",IF(H897&lt;=1264,"zero-run1",IF(H897&lt;=1648,"data2",IF(H897&lt;=2176,"zero-run2",IF(H897&lt;=2192,"FCS","trailing")))))))</f>
        <v/>
      </c>
      <c r="J897">
        <f>IFERROR(IF(AND(H897&lt;&gt;"",H897&gt;=129,H897&lt;=2176),INDEX(Fields!$B$2:$B$206,MATCH(H897-129,Fields!$D$2:$D$206,1)),""),"")</f>
        <v/>
      </c>
      <c r="K897">
        <f>IFERROR(IF(AND(H897&lt;&gt;"",H897&gt;=129,H897&lt;=2176),INDEX(Fields!$C$2:$C$206,MATCH(H897-129,Fields!$D$2:$D$206,1)),""),"")</f>
        <v/>
      </c>
      <c r="L897">
        <f>IFERROR(IF(AND(H897&lt;&gt;"",H897&gt;=129,H897&lt;=2176),INDEX(Fields!$J$2:$J$206,MATCH(H897-129,Fields!$D$2:$D$206,1)),""),"")</f>
        <v/>
      </c>
      <c r="M897">
        <f>IFERROR(IF(AND(H897&lt;&gt;"",H897&gt;=129,H897&lt;=2176),INDEX(Fields!$K$2:$K$206,MATCH(H897-129,Fields!$D$2:$D$206,1)),""),"")</f>
        <v/>
      </c>
    </row>
    <row r="898">
      <c r="A898" t="n">
        <v>896</v>
      </c>
      <c r="B898" t="n">
        <v>0</v>
      </c>
      <c r="C898" t="inlineStr">
        <is>
          <t>No</t>
        </is>
      </c>
      <c r="D898">
        <f>IF(AND(B893=1,B894=1,B895=1,B896=1,B897=1),"Yes","")</f>
        <v/>
      </c>
      <c r="E898" t="inlineStr">
        <is>
          <t>No</t>
        </is>
      </c>
      <c r="F898" t="inlineStr">
        <is>
          <t>No</t>
        </is>
      </c>
      <c r="G898">
        <f>IF(F898="Yes",1-B898,B898)</f>
        <v/>
      </c>
      <c r="H898">
        <f>IF(E898="Yes","",COUNTIFS($E$2:E898,"No"))</f>
        <v/>
      </c>
      <c r="I898">
        <f>IF(H898="","",IF(H898&lt;=128,"address",IF(H898&lt;=600,"data1",IF(H898&lt;=1264,"zero-run1",IF(H898&lt;=1648,"data2",IF(H898&lt;=2176,"zero-run2",IF(H898&lt;=2192,"FCS","trailing")))))))</f>
        <v/>
      </c>
      <c r="J898">
        <f>IFERROR(IF(AND(H898&lt;&gt;"",H898&gt;=129,H898&lt;=2176),INDEX(Fields!$B$2:$B$206,MATCH(H898-129,Fields!$D$2:$D$206,1)),""),"")</f>
        <v/>
      </c>
      <c r="K898">
        <f>IFERROR(IF(AND(H898&lt;&gt;"",H898&gt;=129,H898&lt;=2176),INDEX(Fields!$C$2:$C$206,MATCH(H898-129,Fields!$D$2:$D$206,1)),""),"")</f>
        <v/>
      </c>
      <c r="L898">
        <f>IFERROR(IF(AND(H898&lt;&gt;"",H898&gt;=129,H898&lt;=2176),INDEX(Fields!$J$2:$J$206,MATCH(H898-129,Fields!$D$2:$D$206,1)),""),"")</f>
        <v/>
      </c>
      <c r="M898">
        <f>IFERROR(IF(AND(H898&lt;&gt;"",H898&gt;=129,H898&lt;=2176),INDEX(Fields!$K$2:$K$206,MATCH(H898-129,Fields!$D$2:$D$206,1)),""),"")</f>
        <v/>
      </c>
    </row>
    <row r="899">
      <c r="A899" t="n">
        <v>897</v>
      </c>
      <c r="B899" t="n">
        <v>0</v>
      </c>
      <c r="C899" t="inlineStr">
        <is>
          <t>No</t>
        </is>
      </c>
      <c r="D899">
        <f>IF(AND(B894=1,B895=1,B896=1,B897=1,B898=1),"Yes","")</f>
        <v/>
      </c>
      <c r="E899" t="inlineStr">
        <is>
          <t>No</t>
        </is>
      </c>
      <c r="F899" t="inlineStr">
        <is>
          <t>No</t>
        </is>
      </c>
      <c r="G899">
        <f>IF(F899="Yes",1-B899,B899)</f>
        <v/>
      </c>
      <c r="H899">
        <f>IF(E899="Yes","",COUNTIFS($E$2:E899,"No"))</f>
        <v/>
      </c>
      <c r="I899">
        <f>IF(H899="","",IF(H899&lt;=128,"address",IF(H899&lt;=600,"data1",IF(H899&lt;=1264,"zero-run1",IF(H899&lt;=1648,"data2",IF(H899&lt;=2176,"zero-run2",IF(H899&lt;=2192,"FCS","trailing")))))))</f>
        <v/>
      </c>
      <c r="J899">
        <f>IFERROR(IF(AND(H899&lt;&gt;"",H899&gt;=129,H899&lt;=2176),INDEX(Fields!$B$2:$B$206,MATCH(H899-129,Fields!$D$2:$D$206,1)),""),"")</f>
        <v/>
      </c>
      <c r="K899">
        <f>IFERROR(IF(AND(H899&lt;&gt;"",H899&gt;=129,H899&lt;=2176),INDEX(Fields!$C$2:$C$206,MATCH(H899-129,Fields!$D$2:$D$206,1)),""),"")</f>
        <v/>
      </c>
      <c r="L899">
        <f>IFERROR(IF(AND(H899&lt;&gt;"",H899&gt;=129,H899&lt;=2176),INDEX(Fields!$J$2:$J$206,MATCH(H899-129,Fields!$D$2:$D$206,1)),""),"")</f>
        <v/>
      </c>
      <c r="M899">
        <f>IFERROR(IF(AND(H899&lt;&gt;"",H899&gt;=129,H899&lt;=2176),INDEX(Fields!$K$2:$K$206,MATCH(H899-129,Fields!$D$2:$D$206,1)),""),"")</f>
        <v/>
      </c>
    </row>
    <row r="900">
      <c r="A900" t="n">
        <v>898</v>
      </c>
      <c r="B900" t="n">
        <v>0</v>
      </c>
      <c r="C900" t="inlineStr">
        <is>
          <t>No</t>
        </is>
      </c>
      <c r="D900">
        <f>IF(AND(B895=1,B896=1,B897=1,B898=1,B899=1),"Yes","")</f>
        <v/>
      </c>
      <c r="E900" t="inlineStr">
        <is>
          <t>No</t>
        </is>
      </c>
      <c r="F900" t="inlineStr">
        <is>
          <t>No</t>
        </is>
      </c>
      <c r="G900">
        <f>IF(F900="Yes",1-B900,B900)</f>
        <v/>
      </c>
      <c r="H900">
        <f>IF(E900="Yes","",COUNTIFS($E$2:E900,"No"))</f>
        <v/>
      </c>
      <c r="I900">
        <f>IF(H900="","",IF(H900&lt;=128,"address",IF(H900&lt;=600,"data1",IF(H900&lt;=1264,"zero-run1",IF(H900&lt;=1648,"data2",IF(H900&lt;=2176,"zero-run2",IF(H900&lt;=2192,"FCS","trailing")))))))</f>
        <v/>
      </c>
      <c r="J900">
        <f>IFERROR(IF(AND(H900&lt;&gt;"",H900&gt;=129,H900&lt;=2176),INDEX(Fields!$B$2:$B$206,MATCH(H900-129,Fields!$D$2:$D$206,1)),""),"")</f>
        <v/>
      </c>
      <c r="K900">
        <f>IFERROR(IF(AND(H900&lt;&gt;"",H900&gt;=129,H900&lt;=2176),INDEX(Fields!$C$2:$C$206,MATCH(H900-129,Fields!$D$2:$D$206,1)),""),"")</f>
        <v/>
      </c>
      <c r="L900">
        <f>IFERROR(IF(AND(H900&lt;&gt;"",H900&gt;=129,H900&lt;=2176),INDEX(Fields!$J$2:$J$206,MATCH(H900-129,Fields!$D$2:$D$206,1)),""),"")</f>
        <v/>
      </c>
      <c r="M900">
        <f>IFERROR(IF(AND(H900&lt;&gt;"",H900&gt;=129,H900&lt;=2176),INDEX(Fields!$K$2:$K$206,MATCH(H900-129,Fields!$D$2:$D$206,1)),""),"")</f>
        <v/>
      </c>
    </row>
    <row r="901">
      <c r="A901" t="n">
        <v>899</v>
      </c>
      <c r="B901" t="n">
        <v>0</v>
      </c>
      <c r="C901" t="inlineStr">
        <is>
          <t>No</t>
        </is>
      </c>
      <c r="D901">
        <f>IF(AND(B896=1,B897=1,B898=1,B899=1,B900=1),"Yes","")</f>
        <v/>
      </c>
      <c r="E901" t="inlineStr">
        <is>
          <t>No</t>
        </is>
      </c>
      <c r="F901" t="inlineStr">
        <is>
          <t>No</t>
        </is>
      </c>
      <c r="G901">
        <f>IF(F901="Yes",1-B901,B901)</f>
        <v/>
      </c>
      <c r="H901">
        <f>IF(E901="Yes","",COUNTIFS($E$2:E901,"No"))</f>
        <v/>
      </c>
      <c r="I901">
        <f>IF(H901="","",IF(H901&lt;=128,"address",IF(H901&lt;=600,"data1",IF(H901&lt;=1264,"zero-run1",IF(H901&lt;=1648,"data2",IF(H901&lt;=2176,"zero-run2",IF(H901&lt;=2192,"FCS","trailing")))))))</f>
        <v/>
      </c>
      <c r="J901">
        <f>IFERROR(IF(AND(H901&lt;&gt;"",H901&gt;=129,H901&lt;=2176),INDEX(Fields!$B$2:$B$206,MATCH(H901-129,Fields!$D$2:$D$206,1)),""),"")</f>
        <v/>
      </c>
      <c r="K901">
        <f>IFERROR(IF(AND(H901&lt;&gt;"",H901&gt;=129,H901&lt;=2176),INDEX(Fields!$C$2:$C$206,MATCH(H901-129,Fields!$D$2:$D$206,1)),""),"")</f>
        <v/>
      </c>
      <c r="L901">
        <f>IFERROR(IF(AND(H901&lt;&gt;"",H901&gt;=129,H901&lt;=2176),INDEX(Fields!$J$2:$J$206,MATCH(H901-129,Fields!$D$2:$D$206,1)),""),"")</f>
        <v/>
      </c>
      <c r="M901">
        <f>IFERROR(IF(AND(H901&lt;&gt;"",H901&gt;=129,H901&lt;=2176),INDEX(Fields!$K$2:$K$206,MATCH(H901-129,Fields!$D$2:$D$206,1)),""),"")</f>
        <v/>
      </c>
    </row>
    <row r="902">
      <c r="A902" t="n">
        <v>900</v>
      </c>
      <c r="B902" t="n">
        <v>0</v>
      </c>
      <c r="C902" t="inlineStr">
        <is>
          <t>No</t>
        </is>
      </c>
      <c r="D902">
        <f>IF(AND(B897=1,B898=1,B899=1,B900=1,B901=1),"Yes","")</f>
        <v/>
      </c>
      <c r="E902" t="inlineStr">
        <is>
          <t>No</t>
        </is>
      </c>
      <c r="F902" t="inlineStr">
        <is>
          <t>No</t>
        </is>
      </c>
      <c r="G902">
        <f>IF(F902="Yes",1-B902,B902)</f>
        <v/>
      </c>
      <c r="H902">
        <f>IF(E902="Yes","",COUNTIFS($E$2:E902,"No"))</f>
        <v/>
      </c>
      <c r="I902">
        <f>IF(H902="","",IF(H902&lt;=128,"address",IF(H902&lt;=600,"data1",IF(H902&lt;=1264,"zero-run1",IF(H902&lt;=1648,"data2",IF(H902&lt;=2176,"zero-run2",IF(H902&lt;=2192,"FCS","trailing")))))))</f>
        <v/>
      </c>
      <c r="J902">
        <f>IFERROR(IF(AND(H902&lt;&gt;"",H902&gt;=129,H902&lt;=2176),INDEX(Fields!$B$2:$B$206,MATCH(H902-129,Fields!$D$2:$D$206,1)),""),"")</f>
        <v/>
      </c>
      <c r="K902">
        <f>IFERROR(IF(AND(H902&lt;&gt;"",H902&gt;=129,H902&lt;=2176),INDEX(Fields!$C$2:$C$206,MATCH(H902-129,Fields!$D$2:$D$206,1)),""),"")</f>
        <v/>
      </c>
      <c r="L902">
        <f>IFERROR(IF(AND(H902&lt;&gt;"",H902&gt;=129,H902&lt;=2176),INDEX(Fields!$J$2:$J$206,MATCH(H902-129,Fields!$D$2:$D$206,1)),""),"")</f>
        <v/>
      </c>
      <c r="M902">
        <f>IFERROR(IF(AND(H902&lt;&gt;"",H902&gt;=129,H902&lt;=2176),INDEX(Fields!$K$2:$K$206,MATCH(H902-129,Fields!$D$2:$D$206,1)),""),"")</f>
        <v/>
      </c>
    </row>
    <row r="903">
      <c r="A903" t="n">
        <v>901</v>
      </c>
      <c r="B903" t="n">
        <v>0</v>
      </c>
      <c r="C903" t="inlineStr">
        <is>
          <t>No</t>
        </is>
      </c>
      <c r="D903">
        <f>IF(AND(B898=1,B899=1,B900=1,B901=1,B902=1),"Yes","")</f>
        <v/>
      </c>
      <c r="E903" t="inlineStr">
        <is>
          <t>No</t>
        </is>
      </c>
      <c r="F903" t="inlineStr">
        <is>
          <t>No</t>
        </is>
      </c>
      <c r="G903">
        <f>IF(F903="Yes",1-B903,B903)</f>
        <v/>
      </c>
      <c r="H903">
        <f>IF(E903="Yes","",COUNTIFS($E$2:E903,"No"))</f>
        <v/>
      </c>
      <c r="I903">
        <f>IF(H903="","",IF(H903&lt;=128,"address",IF(H903&lt;=600,"data1",IF(H903&lt;=1264,"zero-run1",IF(H903&lt;=1648,"data2",IF(H903&lt;=2176,"zero-run2",IF(H903&lt;=2192,"FCS","trailing")))))))</f>
        <v/>
      </c>
      <c r="J903">
        <f>IFERROR(IF(AND(H903&lt;&gt;"",H903&gt;=129,H903&lt;=2176),INDEX(Fields!$B$2:$B$206,MATCH(H903-129,Fields!$D$2:$D$206,1)),""),"")</f>
        <v/>
      </c>
      <c r="K903">
        <f>IFERROR(IF(AND(H903&lt;&gt;"",H903&gt;=129,H903&lt;=2176),INDEX(Fields!$C$2:$C$206,MATCH(H903-129,Fields!$D$2:$D$206,1)),""),"")</f>
        <v/>
      </c>
      <c r="L903">
        <f>IFERROR(IF(AND(H903&lt;&gt;"",H903&gt;=129,H903&lt;=2176),INDEX(Fields!$J$2:$J$206,MATCH(H903-129,Fields!$D$2:$D$206,1)),""),"")</f>
        <v/>
      </c>
      <c r="M903">
        <f>IFERROR(IF(AND(H903&lt;&gt;"",H903&gt;=129,H903&lt;=2176),INDEX(Fields!$K$2:$K$206,MATCH(H903-129,Fields!$D$2:$D$206,1)),""),"")</f>
        <v/>
      </c>
    </row>
    <row r="904">
      <c r="A904" t="n">
        <v>902</v>
      </c>
      <c r="B904" t="n">
        <v>0</v>
      </c>
      <c r="C904" t="inlineStr">
        <is>
          <t>No</t>
        </is>
      </c>
      <c r="D904">
        <f>IF(AND(B899=1,B900=1,B901=1,B902=1,B903=1),"Yes","")</f>
        <v/>
      </c>
      <c r="E904" t="inlineStr">
        <is>
          <t>No</t>
        </is>
      </c>
      <c r="F904" t="inlineStr">
        <is>
          <t>No</t>
        </is>
      </c>
      <c r="G904">
        <f>IF(F904="Yes",1-B904,B904)</f>
        <v/>
      </c>
      <c r="H904">
        <f>IF(E904="Yes","",COUNTIFS($E$2:E904,"No"))</f>
        <v/>
      </c>
      <c r="I904">
        <f>IF(H904="","",IF(H904&lt;=128,"address",IF(H904&lt;=600,"data1",IF(H904&lt;=1264,"zero-run1",IF(H904&lt;=1648,"data2",IF(H904&lt;=2176,"zero-run2",IF(H904&lt;=2192,"FCS","trailing")))))))</f>
        <v/>
      </c>
      <c r="J904">
        <f>IFERROR(IF(AND(H904&lt;&gt;"",H904&gt;=129,H904&lt;=2176),INDEX(Fields!$B$2:$B$206,MATCH(H904-129,Fields!$D$2:$D$206,1)),""),"")</f>
        <v/>
      </c>
      <c r="K904">
        <f>IFERROR(IF(AND(H904&lt;&gt;"",H904&gt;=129,H904&lt;=2176),INDEX(Fields!$C$2:$C$206,MATCH(H904-129,Fields!$D$2:$D$206,1)),""),"")</f>
        <v/>
      </c>
      <c r="L904">
        <f>IFERROR(IF(AND(H904&lt;&gt;"",H904&gt;=129,H904&lt;=2176),INDEX(Fields!$J$2:$J$206,MATCH(H904-129,Fields!$D$2:$D$206,1)),""),"")</f>
        <v/>
      </c>
      <c r="M904">
        <f>IFERROR(IF(AND(H904&lt;&gt;"",H904&gt;=129,H904&lt;=2176),INDEX(Fields!$K$2:$K$206,MATCH(H904-129,Fields!$D$2:$D$206,1)),""),"")</f>
        <v/>
      </c>
    </row>
    <row r="905">
      <c r="A905" t="n">
        <v>903</v>
      </c>
      <c r="B905" t="n">
        <v>0</v>
      </c>
      <c r="C905" t="inlineStr">
        <is>
          <t>No</t>
        </is>
      </c>
      <c r="D905">
        <f>IF(AND(B900=1,B901=1,B902=1,B903=1,B904=1),"Yes","")</f>
        <v/>
      </c>
      <c r="E905" t="inlineStr">
        <is>
          <t>No</t>
        </is>
      </c>
      <c r="F905" t="inlineStr">
        <is>
          <t>No</t>
        </is>
      </c>
      <c r="G905">
        <f>IF(F905="Yes",1-B905,B905)</f>
        <v/>
      </c>
      <c r="H905">
        <f>IF(E905="Yes","",COUNTIFS($E$2:E905,"No"))</f>
        <v/>
      </c>
      <c r="I905">
        <f>IF(H905="","",IF(H905&lt;=128,"address",IF(H905&lt;=600,"data1",IF(H905&lt;=1264,"zero-run1",IF(H905&lt;=1648,"data2",IF(H905&lt;=2176,"zero-run2",IF(H905&lt;=2192,"FCS","trailing")))))))</f>
        <v/>
      </c>
      <c r="J905">
        <f>IFERROR(IF(AND(H905&lt;&gt;"",H905&gt;=129,H905&lt;=2176),INDEX(Fields!$B$2:$B$206,MATCH(H905-129,Fields!$D$2:$D$206,1)),""),"")</f>
        <v/>
      </c>
      <c r="K905">
        <f>IFERROR(IF(AND(H905&lt;&gt;"",H905&gt;=129,H905&lt;=2176),INDEX(Fields!$C$2:$C$206,MATCH(H905-129,Fields!$D$2:$D$206,1)),""),"")</f>
        <v/>
      </c>
      <c r="L905">
        <f>IFERROR(IF(AND(H905&lt;&gt;"",H905&gt;=129,H905&lt;=2176),INDEX(Fields!$J$2:$J$206,MATCH(H905-129,Fields!$D$2:$D$206,1)),""),"")</f>
        <v/>
      </c>
      <c r="M905">
        <f>IFERROR(IF(AND(H905&lt;&gt;"",H905&gt;=129,H905&lt;=2176),INDEX(Fields!$K$2:$K$206,MATCH(H905-129,Fields!$D$2:$D$206,1)),""),"")</f>
        <v/>
      </c>
    </row>
    <row r="906">
      <c r="A906" t="n">
        <v>904</v>
      </c>
      <c r="B906" t="n">
        <v>0</v>
      </c>
      <c r="C906" t="inlineStr">
        <is>
          <t>No</t>
        </is>
      </c>
      <c r="D906">
        <f>IF(AND(B901=1,B902=1,B903=1,B904=1,B905=1),"Yes","")</f>
        <v/>
      </c>
      <c r="E906" t="inlineStr">
        <is>
          <t>No</t>
        </is>
      </c>
      <c r="F906" t="inlineStr">
        <is>
          <t>No</t>
        </is>
      </c>
      <c r="G906">
        <f>IF(F906="Yes",1-B906,B906)</f>
        <v/>
      </c>
      <c r="H906">
        <f>IF(E906="Yes","",COUNTIFS($E$2:E906,"No"))</f>
        <v/>
      </c>
      <c r="I906">
        <f>IF(H906="","",IF(H906&lt;=128,"address",IF(H906&lt;=600,"data1",IF(H906&lt;=1264,"zero-run1",IF(H906&lt;=1648,"data2",IF(H906&lt;=2176,"zero-run2",IF(H906&lt;=2192,"FCS","trailing")))))))</f>
        <v/>
      </c>
      <c r="J906">
        <f>IFERROR(IF(AND(H906&lt;&gt;"",H906&gt;=129,H906&lt;=2176),INDEX(Fields!$B$2:$B$206,MATCH(H906-129,Fields!$D$2:$D$206,1)),""),"")</f>
        <v/>
      </c>
      <c r="K906">
        <f>IFERROR(IF(AND(H906&lt;&gt;"",H906&gt;=129,H906&lt;=2176),INDEX(Fields!$C$2:$C$206,MATCH(H906-129,Fields!$D$2:$D$206,1)),""),"")</f>
        <v/>
      </c>
      <c r="L906">
        <f>IFERROR(IF(AND(H906&lt;&gt;"",H906&gt;=129,H906&lt;=2176),INDEX(Fields!$J$2:$J$206,MATCH(H906-129,Fields!$D$2:$D$206,1)),""),"")</f>
        <v/>
      </c>
      <c r="M906">
        <f>IFERROR(IF(AND(H906&lt;&gt;"",H906&gt;=129,H906&lt;=2176),INDEX(Fields!$K$2:$K$206,MATCH(H906-129,Fields!$D$2:$D$206,1)),""),"")</f>
        <v/>
      </c>
    </row>
    <row r="907">
      <c r="A907" t="n">
        <v>905</v>
      </c>
      <c r="B907" t="n">
        <v>0</v>
      </c>
      <c r="C907" t="inlineStr">
        <is>
          <t>No</t>
        </is>
      </c>
      <c r="D907">
        <f>IF(AND(B902=1,B903=1,B904=1,B905=1,B906=1),"Yes","")</f>
        <v/>
      </c>
      <c r="E907" t="inlineStr">
        <is>
          <t>No</t>
        </is>
      </c>
      <c r="F907" t="inlineStr">
        <is>
          <t>No</t>
        </is>
      </c>
      <c r="G907">
        <f>IF(F907="Yes",1-B907,B907)</f>
        <v/>
      </c>
      <c r="H907">
        <f>IF(E907="Yes","",COUNTIFS($E$2:E907,"No"))</f>
        <v/>
      </c>
      <c r="I907">
        <f>IF(H907="","",IF(H907&lt;=128,"address",IF(H907&lt;=600,"data1",IF(H907&lt;=1264,"zero-run1",IF(H907&lt;=1648,"data2",IF(H907&lt;=2176,"zero-run2",IF(H907&lt;=2192,"FCS","trailing")))))))</f>
        <v/>
      </c>
      <c r="J907">
        <f>IFERROR(IF(AND(H907&lt;&gt;"",H907&gt;=129,H907&lt;=2176),INDEX(Fields!$B$2:$B$206,MATCH(H907-129,Fields!$D$2:$D$206,1)),""),"")</f>
        <v/>
      </c>
      <c r="K907">
        <f>IFERROR(IF(AND(H907&lt;&gt;"",H907&gt;=129,H907&lt;=2176),INDEX(Fields!$C$2:$C$206,MATCH(H907-129,Fields!$D$2:$D$206,1)),""),"")</f>
        <v/>
      </c>
      <c r="L907">
        <f>IFERROR(IF(AND(H907&lt;&gt;"",H907&gt;=129,H907&lt;=2176),INDEX(Fields!$J$2:$J$206,MATCH(H907-129,Fields!$D$2:$D$206,1)),""),"")</f>
        <v/>
      </c>
      <c r="M907">
        <f>IFERROR(IF(AND(H907&lt;&gt;"",H907&gt;=129,H907&lt;=2176),INDEX(Fields!$K$2:$K$206,MATCH(H907-129,Fields!$D$2:$D$206,1)),""),"")</f>
        <v/>
      </c>
    </row>
    <row r="908">
      <c r="A908" t="n">
        <v>906</v>
      </c>
      <c r="B908" t="n">
        <v>0</v>
      </c>
      <c r="C908" t="inlineStr">
        <is>
          <t>No</t>
        </is>
      </c>
      <c r="D908">
        <f>IF(AND(B903=1,B904=1,B905=1,B906=1,B907=1),"Yes","")</f>
        <v/>
      </c>
      <c r="E908" t="inlineStr">
        <is>
          <t>No</t>
        </is>
      </c>
      <c r="F908" t="inlineStr">
        <is>
          <t>No</t>
        </is>
      </c>
      <c r="G908">
        <f>IF(F908="Yes",1-B908,B908)</f>
        <v/>
      </c>
      <c r="H908">
        <f>IF(E908="Yes","",COUNTIFS($E$2:E908,"No"))</f>
        <v/>
      </c>
      <c r="I908">
        <f>IF(H908="","",IF(H908&lt;=128,"address",IF(H908&lt;=600,"data1",IF(H908&lt;=1264,"zero-run1",IF(H908&lt;=1648,"data2",IF(H908&lt;=2176,"zero-run2",IF(H908&lt;=2192,"FCS","trailing")))))))</f>
        <v/>
      </c>
      <c r="J908">
        <f>IFERROR(IF(AND(H908&lt;&gt;"",H908&gt;=129,H908&lt;=2176),INDEX(Fields!$B$2:$B$206,MATCH(H908-129,Fields!$D$2:$D$206,1)),""),"")</f>
        <v/>
      </c>
      <c r="K908">
        <f>IFERROR(IF(AND(H908&lt;&gt;"",H908&gt;=129,H908&lt;=2176),INDEX(Fields!$C$2:$C$206,MATCH(H908-129,Fields!$D$2:$D$206,1)),""),"")</f>
        <v/>
      </c>
      <c r="L908">
        <f>IFERROR(IF(AND(H908&lt;&gt;"",H908&gt;=129,H908&lt;=2176),INDEX(Fields!$J$2:$J$206,MATCH(H908-129,Fields!$D$2:$D$206,1)),""),"")</f>
        <v/>
      </c>
      <c r="M908">
        <f>IFERROR(IF(AND(H908&lt;&gt;"",H908&gt;=129,H908&lt;=2176),INDEX(Fields!$K$2:$K$206,MATCH(H908-129,Fields!$D$2:$D$206,1)),""),"")</f>
        <v/>
      </c>
    </row>
    <row r="909">
      <c r="A909" t="n">
        <v>907</v>
      </c>
      <c r="B909" t="n">
        <v>0</v>
      </c>
      <c r="C909" t="inlineStr">
        <is>
          <t>No</t>
        </is>
      </c>
      <c r="D909">
        <f>IF(AND(B904=1,B905=1,B906=1,B907=1,B908=1),"Yes","")</f>
        <v/>
      </c>
      <c r="E909" t="inlineStr">
        <is>
          <t>No</t>
        </is>
      </c>
      <c r="F909" t="inlineStr">
        <is>
          <t>No</t>
        </is>
      </c>
      <c r="G909">
        <f>IF(F909="Yes",1-B909,B909)</f>
        <v/>
      </c>
      <c r="H909">
        <f>IF(E909="Yes","",COUNTIFS($E$2:E909,"No"))</f>
        <v/>
      </c>
      <c r="I909">
        <f>IF(H909="","",IF(H909&lt;=128,"address",IF(H909&lt;=600,"data1",IF(H909&lt;=1264,"zero-run1",IF(H909&lt;=1648,"data2",IF(H909&lt;=2176,"zero-run2",IF(H909&lt;=2192,"FCS","trailing")))))))</f>
        <v/>
      </c>
      <c r="J909">
        <f>IFERROR(IF(AND(H909&lt;&gt;"",H909&gt;=129,H909&lt;=2176),INDEX(Fields!$B$2:$B$206,MATCH(H909-129,Fields!$D$2:$D$206,1)),""),"")</f>
        <v/>
      </c>
      <c r="K909">
        <f>IFERROR(IF(AND(H909&lt;&gt;"",H909&gt;=129,H909&lt;=2176),INDEX(Fields!$C$2:$C$206,MATCH(H909-129,Fields!$D$2:$D$206,1)),""),"")</f>
        <v/>
      </c>
      <c r="L909">
        <f>IFERROR(IF(AND(H909&lt;&gt;"",H909&gt;=129,H909&lt;=2176),INDEX(Fields!$J$2:$J$206,MATCH(H909-129,Fields!$D$2:$D$206,1)),""),"")</f>
        <v/>
      </c>
      <c r="M909">
        <f>IFERROR(IF(AND(H909&lt;&gt;"",H909&gt;=129,H909&lt;=2176),INDEX(Fields!$K$2:$K$206,MATCH(H909-129,Fields!$D$2:$D$206,1)),""),"")</f>
        <v/>
      </c>
    </row>
    <row r="910">
      <c r="A910" t="n">
        <v>908</v>
      </c>
      <c r="B910" t="n">
        <v>0</v>
      </c>
      <c r="C910" t="inlineStr">
        <is>
          <t>No</t>
        </is>
      </c>
      <c r="D910">
        <f>IF(AND(B905=1,B906=1,B907=1,B908=1,B909=1),"Yes","")</f>
        <v/>
      </c>
      <c r="E910" t="inlineStr">
        <is>
          <t>No</t>
        </is>
      </c>
      <c r="F910" t="inlineStr">
        <is>
          <t>No</t>
        </is>
      </c>
      <c r="G910">
        <f>IF(F910="Yes",1-B910,B910)</f>
        <v/>
      </c>
      <c r="H910">
        <f>IF(E910="Yes","",COUNTIFS($E$2:E910,"No"))</f>
        <v/>
      </c>
      <c r="I910">
        <f>IF(H910="","",IF(H910&lt;=128,"address",IF(H910&lt;=600,"data1",IF(H910&lt;=1264,"zero-run1",IF(H910&lt;=1648,"data2",IF(H910&lt;=2176,"zero-run2",IF(H910&lt;=2192,"FCS","trailing")))))))</f>
        <v/>
      </c>
      <c r="J910">
        <f>IFERROR(IF(AND(H910&lt;&gt;"",H910&gt;=129,H910&lt;=2176),INDEX(Fields!$B$2:$B$206,MATCH(H910-129,Fields!$D$2:$D$206,1)),""),"")</f>
        <v/>
      </c>
      <c r="K910">
        <f>IFERROR(IF(AND(H910&lt;&gt;"",H910&gt;=129,H910&lt;=2176),INDEX(Fields!$C$2:$C$206,MATCH(H910-129,Fields!$D$2:$D$206,1)),""),"")</f>
        <v/>
      </c>
      <c r="L910">
        <f>IFERROR(IF(AND(H910&lt;&gt;"",H910&gt;=129,H910&lt;=2176),INDEX(Fields!$J$2:$J$206,MATCH(H910-129,Fields!$D$2:$D$206,1)),""),"")</f>
        <v/>
      </c>
      <c r="M910">
        <f>IFERROR(IF(AND(H910&lt;&gt;"",H910&gt;=129,H910&lt;=2176),INDEX(Fields!$K$2:$K$206,MATCH(H910-129,Fields!$D$2:$D$206,1)),""),"")</f>
        <v/>
      </c>
    </row>
    <row r="911">
      <c r="A911" t="n">
        <v>909</v>
      </c>
      <c r="B911" t="n">
        <v>0</v>
      </c>
      <c r="C911" t="inlineStr">
        <is>
          <t>No</t>
        </is>
      </c>
      <c r="D911">
        <f>IF(AND(B906=1,B907=1,B908=1,B909=1,B910=1),"Yes","")</f>
        <v/>
      </c>
      <c r="E911" t="inlineStr">
        <is>
          <t>No</t>
        </is>
      </c>
      <c r="F911" t="inlineStr">
        <is>
          <t>No</t>
        </is>
      </c>
      <c r="G911">
        <f>IF(F911="Yes",1-B911,B911)</f>
        <v/>
      </c>
      <c r="H911">
        <f>IF(E911="Yes","",COUNTIFS($E$2:E911,"No"))</f>
        <v/>
      </c>
      <c r="I911">
        <f>IF(H911="","",IF(H911&lt;=128,"address",IF(H911&lt;=600,"data1",IF(H911&lt;=1264,"zero-run1",IF(H911&lt;=1648,"data2",IF(H911&lt;=2176,"zero-run2",IF(H911&lt;=2192,"FCS","trailing")))))))</f>
        <v/>
      </c>
      <c r="J911">
        <f>IFERROR(IF(AND(H911&lt;&gt;"",H911&gt;=129,H911&lt;=2176),INDEX(Fields!$B$2:$B$206,MATCH(H911-129,Fields!$D$2:$D$206,1)),""),"")</f>
        <v/>
      </c>
      <c r="K911">
        <f>IFERROR(IF(AND(H911&lt;&gt;"",H911&gt;=129,H911&lt;=2176),INDEX(Fields!$C$2:$C$206,MATCH(H911-129,Fields!$D$2:$D$206,1)),""),"")</f>
        <v/>
      </c>
      <c r="L911">
        <f>IFERROR(IF(AND(H911&lt;&gt;"",H911&gt;=129,H911&lt;=2176),INDEX(Fields!$J$2:$J$206,MATCH(H911-129,Fields!$D$2:$D$206,1)),""),"")</f>
        <v/>
      </c>
      <c r="M911">
        <f>IFERROR(IF(AND(H911&lt;&gt;"",H911&gt;=129,H911&lt;=2176),INDEX(Fields!$K$2:$K$206,MATCH(H911-129,Fields!$D$2:$D$206,1)),""),"")</f>
        <v/>
      </c>
    </row>
    <row r="912">
      <c r="A912" t="n">
        <v>910</v>
      </c>
      <c r="B912" t="n">
        <v>0</v>
      </c>
      <c r="C912" t="inlineStr">
        <is>
          <t>No</t>
        </is>
      </c>
      <c r="D912">
        <f>IF(AND(B907=1,B908=1,B909=1,B910=1,B911=1),"Yes","")</f>
        <v/>
      </c>
      <c r="E912" t="inlineStr">
        <is>
          <t>No</t>
        </is>
      </c>
      <c r="F912" t="inlineStr">
        <is>
          <t>No</t>
        </is>
      </c>
      <c r="G912">
        <f>IF(F912="Yes",1-B912,B912)</f>
        <v/>
      </c>
      <c r="H912">
        <f>IF(E912="Yes","",COUNTIFS($E$2:E912,"No"))</f>
        <v/>
      </c>
      <c r="I912">
        <f>IF(H912="","",IF(H912&lt;=128,"address",IF(H912&lt;=600,"data1",IF(H912&lt;=1264,"zero-run1",IF(H912&lt;=1648,"data2",IF(H912&lt;=2176,"zero-run2",IF(H912&lt;=2192,"FCS","trailing")))))))</f>
        <v/>
      </c>
      <c r="J912">
        <f>IFERROR(IF(AND(H912&lt;&gt;"",H912&gt;=129,H912&lt;=2176),INDEX(Fields!$B$2:$B$206,MATCH(H912-129,Fields!$D$2:$D$206,1)),""),"")</f>
        <v/>
      </c>
      <c r="K912">
        <f>IFERROR(IF(AND(H912&lt;&gt;"",H912&gt;=129,H912&lt;=2176),INDEX(Fields!$C$2:$C$206,MATCH(H912-129,Fields!$D$2:$D$206,1)),""),"")</f>
        <v/>
      </c>
      <c r="L912">
        <f>IFERROR(IF(AND(H912&lt;&gt;"",H912&gt;=129,H912&lt;=2176),INDEX(Fields!$J$2:$J$206,MATCH(H912-129,Fields!$D$2:$D$206,1)),""),"")</f>
        <v/>
      </c>
      <c r="M912">
        <f>IFERROR(IF(AND(H912&lt;&gt;"",H912&gt;=129,H912&lt;=2176),INDEX(Fields!$K$2:$K$206,MATCH(H912-129,Fields!$D$2:$D$206,1)),""),"")</f>
        <v/>
      </c>
    </row>
    <row r="913">
      <c r="A913" t="n">
        <v>911</v>
      </c>
      <c r="B913" t="n">
        <v>0</v>
      </c>
      <c r="C913" t="inlineStr">
        <is>
          <t>No</t>
        </is>
      </c>
      <c r="D913">
        <f>IF(AND(B908=1,B909=1,B910=1,B911=1,B912=1),"Yes","")</f>
        <v/>
      </c>
      <c r="E913" t="inlineStr">
        <is>
          <t>No</t>
        </is>
      </c>
      <c r="F913" t="inlineStr">
        <is>
          <t>No</t>
        </is>
      </c>
      <c r="G913">
        <f>IF(F913="Yes",1-B913,B913)</f>
        <v/>
      </c>
      <c r="H913">
        <f>IF(E913="Yes","",COUNTIFS($E$2:E913,"No"))</f>
        <v/>
      </c>
      <c r="I913">
        <f>IF(H913="","",IF(H913&lt;=128,"address",IF(H913&lt;=600,"data1",IF(H913&lt;=1264,"zero-run1",IF(H913&lt;=1648,"data2",IF(H913&lt;=2176,"zero-run2",IF(H913&lt;=2192,"FCS","trailing")))))))</f>
        <v/>
      </c>
      <c r="J913">
        <f>IFERROR(IF(AND(H913&lt;&gt;"",H913&gt;=129,H913&lt;=2176),INDEX(Fields!$B$2:$B$206,MATCH(H913-129,Fields!$D$2:$D$206,1)),""),"")</f>
        <v/>
      </c>
      <c r="K913">
        <f>IFERROR(IF(AND(H913&lt;&gt;"",H913&gt;=129,H913&lt;=2176),INDEX(Fields!$C$2:$C$206,MATCH(H913-129,Fields!$D$2:$D$206,1)),""),"")</f>
        <v/>
      </c>
      <c r="L913">
        <f>IFERROR(IF(AND(H913&lt;&gt;"",H913&gt;=129,H913&lt;=2176),INDEX(Fields!$J$2:$J$206,MATCH(H913-129,Fields!$D$2:$D$206,1)),""),"")</f>
        <v/>
      </c>
      <c r="M913">
        <f>IFERROR(IF(AND(H913&lt;&gt;"",H913&gt;=129,H913&lt;=2176),INDEX(Fields!$K$2:$K$206,MATCH(H913-129,Fields!$D$2:$D$206,1)),""),"")</f>
        <v/>
      </c>
    </row>
    <row r="914">
      <c r="A914" t="n">
        <v>912</v>
      </c>
      <c r="B914" t="n">
        <v>0</v>
      </c>
      <c r="C914" t="inlineStr">
        <is>
          <t>No</t>
        </is>
      </c>
      <c r="D914">
        <f>IF(AND(B909=1,B910=1,B911=1,B912=1,B913=1),"Yes","")</f>
        <v/>
      </c>
      <c r="E914" t="inlineStr">
        <is>
          <t>No</t>
        </is>
      </c>
      <c r="F914" t="inlineStr">
        <is>
          <t>No</t>
        </is>
      </c>
      <c r="G914">
        <f>IF(F914="Yes",1-B914,B914)</f>
        <v/>
      </c>
      <c r="H914">
        <f>IF(E914="Yes","",COUNTIFS($E$2:E914,"No"))</f>
        <v/>
      </c>
      <c r="I914">
        <f>IF(H914="","",IF(H914&lt;=128,"address",IF(H914&lt;=600,"data1",IF(H914&lt;=1264,"zero-run1",IF(H914&lt;=1648,"data2",IF(H914&lt;=2176,"zero-run2",IF(H914&lt;=2192,"FCS","trailing")))))))</f>
        <v/>
      </c>
      <c r="J914">
        <f>IFERROR(IF(AND(H914&lt;&gt;"",H914&gt;=129,H914&lt;=2176),INDEX(Fields!$B$2:$B$206,MATCH(H914-129,Fields!$D$2:$D$206,1)),""),"")</f>
        <v/>
      </c>
      <c r="K914">
        <f>IFERROR(IF(AND(H914&lt;&gt;"",H914&gt;=129,H914&lt;=2176),INDEX(Fields!$C$2:$C$206,MATCH(H914-129,Fields!$D$2:$D$206,1)),""),"")</f>
        <v/>
      </c>
      <c r="L914">
        <f>IFERROR(IF(AND(H914&lt;&gt;"",H914&gt;=129,H914&lt;=2176),INDEX(Fields!$J$2:$J$206,MATCH(H914-129,Fields!$D$2:$D$206,1)),""),"")</f>
        <v/>
      </c>
      <c r="M914">
        <f>IFERROR(IF(AND(H914&lt;&gt;"",H914&gt;=129,H914&lt;=2176),INDEX(Fields!$K$2:$K$206,MATCH(H914-129,Fields!$D$2:$D$206,1)),""),"")</f>
        <v/>
      </c>
    </row>
    <row r="915">
      <c r="A915" t="n">
        <v>913</v>
      </c>
      <c r="B915" t="n">
        <v>0</v>
      </c>
      <c r="C915" t="inlineStr">
        <is>
          <t>No</t>
        </is>
      </c>
      <c r="D915">
        <f>IF(AND(B910=1,B911=1,B912=1,B913=1,B914=1),"Yes","")</f>
        <v/>
      </c>
      <c r="E915" t="inlineStr">
        <is>
          <t>No</t>
        </is>
      </c>
      <c r="F915" t="inlineStr">
        <is>
          <t>No</t>
        </is>
      </c>
      <c r="G915">
        <f>IF(F915="Yes",1-B915,B915)</f>
        <v/>
      </c>
      <c r="H915">
        <f>IF(E915="Yes","",COUNTIFS($E$2:E915,"No"))</f>
        <v/>
      </c>
      <c r="I915">
        <f>IF(H915="","",IF(H915&lt;=128,"address",IF(H915&lt;=600,"data1",IF(H915&lt;=1264,"zero-run1",IF(H915&lt;=1648,"data2",IF(H915&lt;=2176,"zero-run2",IF(H915&lt;=2192,"FCS","trailing")))))))</f>
        <v/>
      </c>
      <c r="J915">
        <f>IFERROR(IF(AND(H915&lt;&gt;"",H915&gt;=129,H915&lt;=2176),INDEX(Fields!$B$2:$B$206,MATCH(H915-129,Fields!$D$2:$D$206,1)),""),"")</f>
        <v/>
      </c>
      <c r="K915">
        <f>IFERROR(IF(AND(H915&lt;&gt;"",H915&gt;=129,H915&lt;=2176),INDEX(Fields!$C$2:$C$206,MATCH(H915-129,Fields!$D$2:$D$206,1)),""),"")</f>
        <v/>
      </c>
      <c r="L915">
        <f>IFERROR(IF(AND(H915&lt;&gt;"",H915&gt;=129,H915&lt;=2176),INDEX(Fields!$J$2:$J$206,MATCH(H915-129,Fields!$D$2:$D$206,1)),""),"")</f>
        <v/>
      </c>
      <c r="M915">
        <f>IFERROR(IF(AND(H915&lt;&gt;"",H915&gt;=129,H915&lt;=2176),INDEX(Fields!$K$2:$K$206,MATCH(H915-129,Fields!$D$2:$D$206,1)),""),"")</f>
        <v/>
      </c>
    </row>
    <row r="916">
      <c r="A916" t="n">
        <v>914</v>
      </c>
      <c r="B916" t="n">
        <v>0</v>
      </c>
      <c r="C916" t="inlineStr">
        <is>
          <t>No</t>
        </is>
      </c>
      <c r="D916">
        <f>IF(AND(B911=1,B912=1,B913=1,B914=1,B915=1),"Yes","")</f>
        <v/>
      </c>
      <c r="E916" t="inlineStr">
        <is>
          <t>No</t>
        </is>
      </c>
      <c r="F916" t="inlineStr">
        <is>
          <t>No</t>
        </is>
      </c>
      <c r="G916">
        <f>IF(F916="Yes",1-B916,B916)</f>
        <v/>
      </c>
      <c r="H916">
        <f>IF(E916="Yes","",COUNTIFS($E$2:E916,"No"))</f>
        <v/>
      </c>
      <c r="I916">
        <f>IF(H916="","",IF(H916&lt;=128,"address",IF(H916&lt;=600,"data1",IF(H916&lt;=1264,"zero-run1",IF(H916&lt;=1648,"data2",IF(H916&lt;=2176,"zero-run2",IF(H916&lt;=2192,"FCS","trailing")))))))</f>
        <v/>
      </c>
      <c r="J916">
        <f>IFERROR(IF(AND(H916&lt;&gt;"",H916&gt;=129,H916&lt;=2176),INDEX(Fields!$B$2:$B$206,MATCH(H916-129,Fields!$D$2:$D$206,1)),""),"")</f>
        <v/>
      </c>
      <c r="K916">
        <f>IFERROR(IF(AND(H916&lt;&gt;"",H916&gt;=129,H916&lt;=2176),INDEX(Fields!$C$2:$C$206,MATCH(H916-129,Fields!$D$2:$D$206,1)),""),"")</f>
        <v/>
      </c>
      <c r="L916">
        <f>IFERROR(IF(AND(H916&lt;&gt;"",H916&gt;=129,H916&lt;=2176),INDEX(Fields!$J$2:$J$206,MATCH(H916-129,Fields!$D$2:$D$206,1)),""),"")</f>
        <v/>
      </c>
      <c r="M916">
        <f>IFERROR(IF(AND(H916&lt;&gt;"",H916&gt;=129,H916&lt;=2176),INDEX(Fields!$K$2:$K$206,MATCH(H916-129,Fields!$D$2:$D$206,1)),""),"")</f>
        <v/>
      </c>
    </row>
    <row r="917">
      <c r="A917" t="n">
        <v>915</v>
      </c>
      <c r="B917" t="n">
        <v>0</v>
      </c>
      <c r="C917" t="inlineStr">
        <is>
          <t>No</t>
        </is>
      </c>
      <c r="D917">
        <f>IF(AND(B912=1,B913=1,B914=1,B915=1,B916=1),"Yes","")</f>
        <v/>
      </c>
      <c r="E917" t="inlineStr">
        <is>
          <t>No</t>
        </is>
      </c>
      <c r="F917" t="inlineStr">
        <is>
          <t>No</t>
        </is>
      </c>
      <c r="G917">
        <f>IF(F917="Yes",1-B917,B917)</f>
        <v/>
      </c>
      <c r="H917">
        <f>IF(E917="Yes","",COUNTIFS($E$2:E917,"No"))</f>
        <v/>
      </c>
      <c r="I917">
        <f>IF(H917="","",IF(H917&lt;=128,"address",IF(H917&lt;=600,"data1",IF(H917&lt;=1264,"zero-run1",IF(H917&lt;=1648,"data2",IF(H917&lt;=2176,"zero-run2",IF(H917&lt;=2192,"FCS","trailing")))))))</f>
        <v/>
      </c>
      <c r="J917">
        <f>IFERROR(IF(AND(H917&lt;&gt;"",H917&gt;=129,H917&lt;=2176),INDEX(Fields!$B$2:$B$206,MATCH(H917-129,Fields!$D$2:$D$206,1)),""),"")</f>
        <v/>
      </c>
      <c r="K917">
        <f>IFERROR(IF(AND(H917&lt;&gt;"",H917&gt;=129,H917&lt;=2176),INDEX(Fields!$C$2:$C$206,MATCH(H917-129,Fields!$D$2:$D$206,1)),""),"")</f>
        <v/>
      </c>
      <c r="L917">
        <f>IFERROR(IF(AND(H917&lt;&gt;"",H917&gt;=129,H917&lt;=2176),INDEX(Fields!$J$2:$J$206,MATCH(H917-129,Fields!$D$2:$D$206,1)),""),"")</f>
        <v/>
      </c>
      <c r="M917">
        <f>IFERROR(IF(AND(H917&lt;&gt;"",H917&gt;=129,H917&lt;=2176),INDEX(Fields!$K$2:$K$206,MATCH(H917-129,Fields!$D$2:$D$206,1)),""),"")</f>
        <v/>
      </c>
    </row>
    <row r="918">
      <c r="A918" t="n">
        <v>916</v>
      </c>
      <c r="B918" t="n">
        <v>0</v>
      </c>
      <c r="C918" t="inlineStr">
        <is>
          <t>No</t>
        </is>
      </c>
      <c r="D918">
        <f>IF(AND(B913=1,B914=1,B915=1,B916=1,B917=1),"Yes","")</f>
        <v/>
      </c>
      <c r="E918" t="inlineStr">
        <is>
          <t>No</t>
        </is>
      </c>
      <c r="F918" t="inlineStr">
        <is>
          <t>No</t>
        </is>
      </c>
      <c r="G918">
        <f>IF(F918="Yes",1-B918,B918)</f>
        <v/>
      </c>
      <c r="H918">
        <f>IF(E918="Yes","",COUNTIFS($E$2:E918,"No"))</f>
        <v/>
      </c>
      <c r="I918">
        <f>IF(H918="","",IF(H918&lt;=128,"address",IF(H918&lt;=600,"data1",IF(H918&lt;=1264,"zero-run1",IF(H918&lt;=1648,"data2",IF(H918&lt;=2176,"zero-run2",IF(H918&lt;=2192,"FCS","trailing")))))))</f>
        <v/>
      </c>
      <c r="J918">
        <f>IFERROR(IF(AND(H918&lt;&gt;"",H918&gt;=129,H918&lt;=2176),INDEX(Fields!$B$2:$B$206,MATCH(H918-129,Fields!$D$2:$D$206,1)),""),"")</f>
        <v/>
      </c>
      <c r="K918">
        <f>IFERROR(IF(AND(H918&lt;&gt;"",H918&gt;=129,H918&lt;=2176),INDEX(Fields!$C$2:$C$206,MATCH(H918-129,Fields!$D$2:$D$206,1)),""),"")</f>
        <v/>
      </c>
      <c r="L918">
        <f>IFERROR(IF(AND(H918&lt;&gt;"",H918&gt;=129,H918&lt;=2176),INDEX(Fields!$J$2:$J$206,MATCH(H918-129,Fields!$D$2:$D$206,1)),""),"")</f>
        <v/>
      </c>
      <c r="M918">
        <f>IFERROR(IF(AND(H918&lt;&gt;"",H918&gt;=129,H918&lt;=2176),INDEX(Fields!$K$2:$K$206,MATCH(H918-129,Fields!$D$2:$D$206,1)),""),"")</f>
        <v/>
      </c>
    </row>
    <row r="919">
      <c r="A919" t="n">
        <v>917</v>
      </c>
      <c r="B919" t="n">
        <v>0</v>
      </c>
      <c r="C919" t="inlineStr">
        <is>
          <t>No</t>
        </is>
      </c>
      <c r="D919">
        <f>IF(AND(B914=1,B915=1,B916=1,B917=1,B918=1),"Yes","")</f>
        <v/>
      </c>
      <c r="E919" t="inlineStr">
        <is>
          <t>No</t>
        </is>
      </c>
      <c r="F919" t="inlineStr">
        <is>
          <t>No</t>
        </is>
      </c>
      <c r="G919">
        <f>IF(F919="Yes",1-B919,B919)</f>
        <v/>
      </c>
      <c r="H919">
        <f>IF(E919="Yes","",COUNTIFS($E$2:E919,"No"))</f>
        <v/>
      </c>
      <c r="I919">
        <f>IF(H919="","",IF(H919&lt;=128,"address",IF(H919&lt;=600,"data1",IF(H919&lt;=1264,"zero-run1",IF(H919&lt;=1648,"data2",IF(H919&lt;=2176,"zero-run2",IF(H919&lt;=2192,"FCS","trailing")))))))</f>
        <v/>
      </c>
      <c r="J919">
        <f>IFERROR(IF(AND(H919&lt;&gt;"",H919&gt;=129,H919&lt;=2176),INDEX(Fields!$B$2:$B$206,MATCH(H919-129,Fields!$D$2:$D$206,1)),""),"")</f>
        <v/>
      </c>
      <c r="K919">
        <f>IFERROR(IF(AND(H919&lt;&gt;"",H919&gt;=129,H919&lt;=2176),INDEX(Fields!$C$2:$C$206,MATCH(H919-129,Fields!$D$2:$D$206,1)),""),"")</f>
        <v/>
      </c>
      <c r="L919">
        <f>IFERROR(IF(AND(H919&lt;&gt;"",H919&gt;=129,H919&lt;=2176),INDEX(Fields!$J$2:$J$206,MATCH(H919-129,Fields!$D$2:$D$206,1)),""),"")</f>
        <v/>
      </c>
      <c r="M919">
        <f>IFERROR(IF(AND(H919&lt;&gt;"",H919&gt;=129,H919&lt;=2176),INDEX(Fields!$K$2:$K$206,MATCH(H919-129,Fields!$D$2:$D$206,1)),""),"")</f>
        <v/>
      </c>
    </row>
    <row r="920">
      <c r="A920" t="n">
        <v>918</v>
      </c>
      <c r="B920" t="n">
        <v>0</v>
      </c>
      <c r="C920" t="inlineStr">
        <is>
          <t>No</t>
        </is>
      </c>
      <c r="D920">
        <f>IF(AND(B915=1,B916=1,B917=1,B918=1,B919=1),"Yes","")</f>
        <v/>
      </c>
      <c r="E920" t="inlineStr">
        <is>
          <t>No</t>
        </is>
      </c>
      <c r="F920" t="inlineStr">
        <is>
          <t>No</t>
        </is>
      </c>
      <c r="G920">
        <f>IF(F920="Yes",1-B920,B920)</f>
        <v/>
      </c>
      <c r="H920">
        <f>IF(E920="Yes","",COUNTIFS($E$2:E920,"No"))</f>
        <v/>
      </c>
      <c r="I920">
        <f>IF(H920="","",IF(H920&lt;=128,"address",IF(H920&lt;=600,"data1",IF(H920&lt;=1264,"zero-run1",IF(H920&lt;=1648,"data2",IF(H920&lt;=2176,"zero-run2",IF(H920&lt;=2192,"FCS","trailing")))))))</f>
        <v/>
      </c>
      <c r="J920">
        <f>IFERROR(IF(AND(H920&lt;&gt;"",H920&gt;=129,H920&lt;=2176),INDEX(Fields!$B$2:$B$206,MATCH(H920-129,Fields!$D$2:$D$206,1)),""),"")</f>
        <v/>
      </c>
      <c r="K920">
        <f>IFERROR(IF(AND(H920&lt;&gt;"",H920&gt;=129,H920&lt;=2176),INDEX(Fields!$C$2:$C$206,MATCH(H920-129,Fields!$D$2:$D$206,1)),""),"")</f>
        <v/>
      </c>
      <c r="L920">
        <f>IFERROR(IF(AND(H920&lt;&gt;"",H920&gt;=129,H920&lt;=2176),INDEX(Fields!$J$2:$J$206,MATCH(H920-129,Fields!$D$2:$D$206,1)),""),"")</f>
        <v/>
      </c>
      <c r="M920">
        <f>IFERROR(IF(AND(H920&lt;&gt;"",H920&gt;=129,H920&lt;=2176),INDEX(Fields!$K$2:$K$206,MATCH(H920-129,Fields!$D$2:$D$206,1)),""),"")</f>
        <v/>
      </c>
    </row>
    <row r="921">
      <c r="A921" t="n">
        <v>919</v>
      </c>
      <c r="B921" t="n">
        <v>0</v>
      </c>
      <c r="C921" t="inlineStr">
        <is>
          <t>No</t>
        </is>
      </c>
      <c r="D921">
        <f>IF(AND(B916=1,B917=1,B918=1,B919=1,B920=1),"Yes","")</f>
        <v/>
      </c>
      <c r="E921" t="inlineStr">
        <is>
          <t>No</t>
        </is>
      </c>
      <c r="F921" t="inlineStr">
        <is>
          <t>No</t>
        </is>
      </c>
      <c r="G921">
        <f>IF(F921="Yes",1-B921,B921)</f>
        <v/>
      </c>
      <c r="H921">
        <f>IF(E921="Yes","",COUNTIFS($E$2:E921,"No"))</f>
        <v/>
      </c>
      <c r="I921">
        <f>IF(H921="","",IF(H921&lt;=128,"address",IF(H921&lt;=600,"data1",IF(H921&lt;=1264,"zero-run1",IF(H921&lt;=1648,"data2",IF(H921&lt;=2176,"zero-run2",IF(H921&lt;=2192,"FCS","trailing")))))))</f>
        <v/>
      </c>
      <c r="J921">
        <f>IFERROR(IF(AND(H921&lt;&gt;"",H921&gt;=129,H921&lt;=2176),INDEX(Fields!$B$2:$B$206,MATCH(H921-129,Fields!$D$2:$D$206,1)),""),"")</f>
        <v/>
      </c>
      <c r="K921">
        <f>IFERROR(IF(AND(H921&lt;&gt;"",H921&gt;=129,H921&lt;=2176),INDEX(Fields!$C$2:$C$206,MATCH(H921-129,Fields!$D$2:$D$206,1)),""),"")</f>
        <v/>
      </c>
      <c r="L921">
        <f>IFERROR(IF(AND(H921&lt;&gt;"",H921&gt;=129,H921&lt;=2176),INDEX(Fields!$J$2:$J$206,MATCH(H921-129,Fields!$D$2:$D$206,1)),""),"")</f>
        <v/>
      </c>
      <c r="M921">
        <f>IFERROR(IF(AND(H921&lt;&gt;"",H921&gt;=129,H921&lt;=2176),INDEX(Fields!$K$2:$K$206,MATCH(H921-129,Fields!$D$2:$D$206,1)),""),"")</f>
        <v/>
      </c>
    </row>
    <row r="922">
      <c r="A922" t="n">
        <v>920</v>
      </c>
      <c r="B922" t="n">
        <v>0</v>
      </c>
      <c r="C922" t="inlineStr">
        <is>
          <t>No</t>
        </is>
      </c>
      <c r="D922">
        <f>IF(AND(B917=1,B918=1,B919=1,B920=1,B921=1),"Yes","")</f>
        <v/>
      </c>
      <c r="E922" t="inlineStr">
        <is>
          <t>No</t>
        </is>
      </c>
      <c r="F922" t="inlineStr">
        <is>
          <t>No</t>
        </is>
      </c>
      <c r="G922">
        <f>IF(F922="Yes",1-B922,B922)</f>
        <v/>
      </c>
      <c r="H922">
        <f>IF(E922="Yes","",COUNTIFS($E$2:E922,"No"))</f>
        <v/>
      </c>
      <c r="I922">
        <f>IF(H922="","",IF(H922&lt;=128,"address",IF(H922&lt;=600,"data1",IF(H922&lt;=1264,"zero-run1",IF(H922&lt;=1648,"data2",IF(H922&lt;=2176,"zero-run2",IF(H922&lt;=2192,"FCS","trailing")))))))</f>
        <v/>
      </c>
      <c r="J922">
        <f>IFERROR(IF(AND(H922&lt;&gt;"",H922&gt;=129,H922&lt;=2176),INDEX(Fields!$B$2:$B$206,MATCH(H922-129,Fields!$D$2:$D$206,1)),""),"")</f>
        <v/>
      </c>
      <c r="K922">
        <f>IFERROR(IF(AND(H922&lt;&gt;"",H922&gt;=129,H922&lt;=2176),INDEX(Fields!$C$2:$C$206,MATCH(H922-129,Fields!$D$2:$D$206,1)),""),"")</f>
        <v/>
      </c>
      <c r="L922">
        <f>IFERROR(IF(AND(H922&lt;&gt;"",H922&gt;=129,H922&lt;=2176),INDEX(Fields!$J$2:$J$206,MATCH(H922-129,Fields!$D$2:$D$206,1)),""),"")</f>
        <v/>
      </c>
      <c r="M922">
        <f>IFERROR(IF(AND(H922&lt;&gt;"",H922&gt;=129,H922&lt;=2176),INDEX(Fields!$K$2:$K$206,MATCH(H922-129,Fields!$D$2:$D$206,1)),""),"")</f>
        <v/>
      </c>
    </row>
    <row r="923">
      <c r="A923" t="n">
        <v>921</v>
      </c>
      <c r="B923" t="n">
        <v>0</v>
      </c>
      <c r="C923" t="inlineStr">
        <is>
          <t>No</t>
        </is>
      </c>
      <c r="D923">
        <f>IF(AND(B918=1,B919=1,B920=1,B921=1,B922=1),"Yes","")</f>
        <v/>
      </c>
      <c r="E923" t="inlineStr">
        <is>
          <t>No</t>
        </is>
      </c>
      <c r="F923" t="inlineStr">
        <is>
          <t>No</t>
        </is>
      </c>
      <c r="G923">
        <f>IF(F923="Yes",1-B923,B923)</f>
        <v/>
      </c>
      <c r="H923">
        <f>IF(E923="Yes","",COUNTIFS($E$2:E923,"No"))</f>
        <v/>
      </c>
      <c r="I923">
        <f>IF(H923="","",IF(H923&lt;=128,"address",IF(H923&lt;=600,"data1",IF(H923&lt;=1264,"zero-run1",IF(H923&lt;=1648,"data2",IF(H923&lt;=2176,"zero-run2",IF(H923&lt;=2192,"FCS","trailing")))))))</f>
        <v/>
      </c>
      <c r="J923">
        <f>IFERROR(IF(AND(H923&lt;&gt;"",H923&gt;=129,H923&lt;=2176),INDEX(Fields!$B$2:$B$206,MATCH(H923-129,Fields!$D$2:$D$206,1)),""),"")</f>
        <v/>
      </c>
      <c r="K923">
        <f>IFERROR(IF(AND(H923&lt;&gt;"",H923&gt;=129,H923&lt;=2176),INDEX(Fields!$C$2:$C$206,MATCH(H923-129,Fields!$D$2:$D$206,1)),""),"")</f>
        <v/>
      </c>
      <c r="L923">
        <f>IFERROR(IF(AND(H923&lt;&gt;"",H923&gt;=129,H923&lt;=2176),INDEX(Fields!$J$2:$J$206,MATCH(H923-129,Fields!$D$2:$D$206,1)),""),"")</f>
        <v/>
      </c>
      <c r="M923">
        <f>IFERROR(IF(AND(H923&lt;&gt;"",H923&gt;=129,H923&lt;=2176),INDEX(Fields!$K$2:$K$206,MATCH(H923-129,Fields!$D$2:$D$206,1)),""),"")</f>
        <v/>
      </c>
    </row>
    <row r="924">
      <c r="A924" t="n">
        <v>922</v>
      </c>
      <c r="B924" t="n">
        <v>0</v>
      </c>
      <c r="C924" t="inlineStr">
        <is>
          <t>No</t>
        </is>
      </c>
      <c r="D924">
        <f>IF(AND(B919=1,B920=1,B921=1,B922=1,B923=1),"Yes","")</f>
        <v/>
      </c>
      <c r="E924" t="inlineStr">
        <is>
          <t>No</t>
        </is>
      </c>
      <c r="F924" t="inlineStr">
        <is>
          <t>No</t>
        </is>
      </c>
      <c r="G924">
        <f>IF(F924="Yes",1-B924,B924)</f>
        <v/>
      </c>
      <c r="H924">
        <f>IF(E924="Yes","",COUNTIFS($E$2:E924,"No"))</f>
        <v/>
      </c>
      <c r="I924">
        <f>IF(H924="","",IF(H924&lt;=128,"address",IF(H924&lt;=600,"data1",IF(H924&lt;=1264,"zero-run1",IF(H924&lt;=1648,"data2",IF(H924&lt;=2176,"zero-run2",IF(H924&lt;=2192,"FCS","trailing")))))))</f>
        <v/>
      </c>
      <c r="J924">
        <f>IFERROR(IF(AND(H924&lt;&gt;"",H924&gt;=129,H924&lt;=2176),INDEX(Fields!$B$2:$B$206,MATCH(H924-129,Fields!$D$2:$D$206,1)),""),"")</f>
        <v/>
      </c>
      <c r="K924">
        <f>IFERROR(IF(AND(H924&lt;&gt;"",H924&gt;=129,H924&lt;=2176),INDEX(Fields!$C$2:$C$206,MATCH(H924-129,Fields!$D$2:$D$206,1)),""),"")</f>
        <v/>
      </c>
      <c r="L924">
        <f>IFERROR(IF(AND(H924&lt;&gt;"",H924&gt;=129,H924&lt;=2176),INDEX(Fields!$J$2:$J$206,MATCH(H924-129,Fields!$D$2:$D$206,1)),""),"")</f>
        <v/>
      </c>
      <c r="M924">
        <f>IFERROR(IF(AND(H924&lt;&gt;"",H924&gt;=129,H924&lt;=2176),INDEX(Fields!$K$2:$K$206,MATCH(H924-129,Fields!$D$2:$D$206,1)),""),"")</f>
        <v/>
      </c>
    </row>
    <row r="925">
      <c r="A925" t="n">
        <v>923</v>
      </c>
      <c r="B925" t="n">
        <v>0</v>
      </c>
      <c r="C925" t="inlineStr">
        <is>
          <t>No</t>
        </is>
      </c>
      <c r="D925">
        <f>IF(AND(B920=1,B921=1,B922=1,B923=1,B924=1),"Yes","")</f>
        <v/>
      </c>
      <c r="E925" t="inlineStr">
        <is>
          <t>No</t>
        </is>
      </c>
      <c r="F925" t="inlineStr">
        <is>
          <t>No</t>
        </is>
      </c>
      <c r="G925">
        <f>IF(F925="Yes",1-B925,B925)</f>
        <v/>
      </c>
      <c r="H925">
        <f>IF(E925="Yes","",COUNTIFS($E$2:E925,"No"))</f>
        <v/>
      </c>
      <c r="I925">
        <f>IF(H925="","",IF(H925&lt;=128,"address",IF(H925&lt;=600,"data1",IF(H925&lt;=1264,"zero-run1",IF(H925&lt;=1648,"data2",IF(H925&lt;=2176,"zero-run2",IF(H925&lt;=2192,"FCS","trailing")))))))</f>
        <v/>
      </c>
      <c r="J925">
        <f>IFERROR(IF(AND(H925&lt;&gt;"",H925&gt;=129,H925&lt;=2176),INDEX(Fields!$B$2:$B$206,MATCH(H925-129,Fields!$D$2:$D$206,1)),""),"")</f>
        <v/>
      </c>
      <c r="K925">
        <f>IFERROR(IF(AND(H925&lt;&gt;"",H925&gt;=129,H925&lt;=2176),INDEX(Fields!$C$2:$C$206,MATCH(H925-129,Fields!$D$2:$D$206,1)),""),"")</f>
        <v/>
      </c>
      <c r="L925">
        <f>IFERROR(IF(AND(H925&lt;&gt;"",H925&gt;=129,H925&lt;=2176),INDEX(Fields!$J$2:$J$206,MATCH(H925-129,Fields!$D$2:$D$206,1)),""),"")</f>
        <v/>
      </c>
      <c r="M925">
        <f>IFERROR(IF(AND(H925&lt;&gt;"",H925&gt;=129,H925&lt;=2176),INDEX(Fields!$K$2:$K$206,MATCH(H925-129,Fields!$D$2:$D$206,1)),""),"")</f>
        <v/>
      </c>
    </row>
    <row r="926">
      <c r="A926" t="n">
        <v>924</v>
      </c>
      <c r="B926" t="n">
        <v>0</v>
      </c>
      <c r="C926" t="inlineStr">
        <is>
          <t>No</t>
        </is>
      </c>
      <c r="D926">
        <f>IF(AND(B921=1,B922=1,B923=1,B924=1,B925=1),"Yes","")</f>
        <v/>
      </c>
      <c r="E926" t="inlineStr">
        <is>
          <t>No</t>
        </is>
      </c>
      <c r="F926" t="inlineStr">
        <is>
          <t>No</t>
        </is>
      </c>
      <c r="G926">
        <f>IF(F926="Yes",1-B926,B926)</f>
        <v/>
      </c>
      <c r="H926">
        <f>IF(E926="Yes","",COUNTIFS($E$2:E926,"No"))</f>
        <v/>
      </c>
      <c r="I926">
        <f>IF(H926="","",IF(H926&lt;=128,"address",IF(H926&lt;=600,"data1",IF(H926&lt;=1264,"zero-run1",IF(H926&lt;=1648,"data2",IF(H926&lt;=2176,"zero-run2",IF(H926&lt;=2192,"FCS","trailing")))))))</f>
        <v/>
      </c>
      <c r="J926">
        <f>IFERROR(IF(AND(H926&lt;&gt;"",H926&gt;=129,H926&lt;=2176),INDEX(Fields!$B$2:$B$206,MATCH(H926-129,Fields!$D$2:$D$206,1)),""),"")</f>
        <v/>
      </c>
      <c r="K926">
        <f>IFERROR(IF(AND(H926&lt;&gt;"",H926&gt;=129,H926&lt;=2176),INDEX(Fields!$C$2:$C$206,MATCH(H926-129,Fields!$D$2:$D$206,1)),""),"")</f>
        <v/>
      </c>
      <c r="L926">
        <f>IFERROR(IF(AND(H926&lt;&gt;"",H926&gt;=129,H926&lt;=2176),INDEX(Fields!$J$2:$J$206,MATCH(H926-129,Fields!$D$2:$D$206,1)),""),"")</f>
        <v/>
      </c>
      <c r="M926">
        <f>IFERROR(IF(AND(H926&lt;&gt;"",H926&gt;=129,H926&lt;=2176),INDEX(Fields!$K$2:$K$206,MATCH(H926-129,Fields!$D$2:$D$206,1)),""),"")</f>
        <v/>
      </c>
    </row>
    <row r="927">
      <c r="A927" t="n">
        <v>925</v>
      </c>
      <c r="B927" t="n">
        <v>0</v>
      </c>
      <c r="C927" t="inlineStr">
        <is>
          <t>No</t>
        </is>
      </c>
      <c r="D927">
        <f>IF(AND(B922=1,B923=1,B924=1,B925=1,B926=1),"Yes","")</f>
        <v/>
      </c>
      <c r="E927" t="inlineStr">
        <is>
          <t>No</t>
        </is>
      </c>
      <c r="F927" t="inlineStr">
        <is>
          <t>No</t>
        </is>
      </c>
      <c r="G927">
        <f>IF(F927="Yes",1-B927,B927)</f>
        <v/>
      </c>
      <c r="H927">
        <f>IF(E927="Yes","",COUNTIFS($E$2:E927,"No"))</f>
        <v/>
      </c>
      <c r="I927">
        <f>IF(H927="","",IF(H927&lt;=128,"address",IF(H927&lt;=600,"data1",IF(H927&lt;=1264,"zero-run1",IF(H927&lt;=1648,"data2",IF(H927&lt;=2176,"zero-run2",IF(H927&lt;=2192,"FCS","trailing")))))))</f>
        <v/>
      </c>
      <c r="J927">
        <f>IFERROR(IF(AND(H927&lt;&gt;"",H927&gt;=129,H927&lt;=2176),INDEX(Fields!$B$2:$B$206,MATCH(H927-129,Fields!$D$2:$D$206,1)),""),"")</f>
        <v/>
      </c>
      <c r="K927">
        <f>IFERROR(IF(AND(H927&lt;&gt;"",H927&gt;=129,H927&lt;=2176),INDEX(Fields!$C$2:$C$206,MATCH(H927-129,Fields!$D$2:$D$206,1)),""),"")</f>
        <v/>
      </c>
      <c r="L927">
        <f>IFERROR(IF(AND(H927&lt;&gt;"",H927&gt;=129,H927&lt;=2176),INDEX(Fields!$J$2:$J$206,MATCH(H927-129,Fields!$D$2:$D$206,1)),""),"")</f>
        <v/>
      </c>
      <c r="M927">
        <f>IFERROR(IF(AND(H927&lt;&gt;"",H927&gt;=129,H927&lt;=2176),INDEX(Fields!$K$2:$K$206,MATCH(H927-129,Fields!$D$2:$D$206,1)),""),"")</f>
        <v/>
      </c>
    </row>
    <row r="928">
      <c r="A928" t="n">
        <v>926</v>
      </c>
      <c r="B928" t="n">
        <v>0</v>
      </c>
      <c r="C928" t="inlineStr">
        <is>
          <t>No</t>
        </is>
      </c>
      <c r="D928">
        <f>IF(AND(B923=1,B924=1,B925=1,B926=1,B927=1),"Yes","")</f>
        <v/>
      </c>
      <c r="E928" t="inlineStr">
        <is>
          <t>No</t>
        </is>
      </c>
      <c r="F928" t="inlineStr">
        <is>
          <t>No</t>
        </is>
      </c>
      <c r="G928">
        <f>IF(F928="Yes",1-B928,B928)</f>
        <v/>
      </c>
      <c r="H928">
        <f>IF(E928="Yes","",COUNTIFS($E$2:E928,"No"))</f>
        <v/>
      </c>
      <c r="I928">
        <f>IF(H928="","",IF(H928&lt;=128,"address",IF(H928&lt;=600,"data1",IF(H928&lt;=1264,"zero-run1",IF(H928&lt;=1648,"data2",IF(H928&lt;=2176,"zero-run2",IF(H928&lt;=2192,"FCS","trailing")))))))</f>
        <v/>
      </c>
      <c r="J928">
        <f>IFERROR(IF(AND(H928&lt;&gt;"",H928&gt;=129,H928&lt;=2176),INDEX(Fields!$B$2:$B$206,MATCH(H928-129,Fields!$D$2:$D$206,1)),""),"")</f>
        <v/>
      </c>
      <c r="K928">
        <f>IFERROR(IF(AND(H928&lt;&gt;"",H928&gt;=129,H928&lt;=2176),INDEX(Fields!$C$2:$C$206,MATCH(H928-129,Fields!$D$2:$D$206,1)),""),"")</f>
        <v/>
      </c>
      <c r="L928">
        <f>IFERROR(IF(AND(H928&lt;&gt;"",H928&gt;=129,H928&lt;=2176),INDEX(Fields!$J$2:$J$206,MATCH(H928-129,Fields!$D$2:$D$206,1)),""),"")</f>
        <v/>
      </c>
      <c r="M928">
        <f>IFERROR(IF(AND(H928&lt;&gt;"",H928&gt;=129,H928&lt;=2176),INDEX(Fields!$K$2:$K$206,MATCH(H928-129,Fields!$D$2:$D$206,1)),""),"")</f>
        <v/>
      </c>
    </row>
    <row r="929">
      <c r="A929" t="n">
        <v>927</v>
      </c>
      <c r="B929" t="n">
        <v>0</v>
      </c>
      <c r="C929" t="inlineStr">
        <is>
          <t>No</t>
        </is>
      </c>
      <c r="D929">
        <f>IF(AND(B924=1,B925=1,B926=1,B927=1,B928=1),"Yes","")</f>
        <v/>
      </c>
      <c r="E929" t="inlineStr">
        <is>
          <t>No</t>
        </is>
      </c>
      <c r="F929" t="inlineStr">
        <is>
          <t>No</t>
        </is>
      </c>
      <c r="G929">
        <f>IF(F929="Yes",1-B929,B929)</f>
        <v/>
      </c>
      <c r="H929">
        <f>IF(E929="Yes","",COUNTIFS($E$2:E929,"No"))</f>
        <v/>
      </c>
      <c r="I929">
        <f>IF(H929="","",IF(H929&lt;=128,"address",IF(H929&lt;=600,"data1",IF(H929&lt;=1264,"zero-run1",IF(H929&lt;=1648,"data2",IF(H929&lt;=2176,"zero-run2",IF(H929&lt;=2192,"FCS","trailing")))))))</f>
        <v/>
      </c>
      <c r="J929">
        <f>IFERROR(IF(AND(H929&lt;&gt;"",H929&gt;=129,H929&lt;=2176),INDEX(Fields!$B$2:$B$206,MATCH(H929-129,Fields!$D$2:$D$206,1)),""),"")</f>
        <v/>
      </c>
      <c r="K929">
        <f>IFERROR(IF(AND(H929&lt;&gt;"",H929&gt;=129,H929&lt;=2176),INDEX(Fields!$C$2:$C$206,MATCH(H929-129,Fields!$D$2:$D$206,1)),""),"")</f>
        <v/>
      </c>
      <c r="L929">
        <f>IFERROR(IF(AND(H929&lt;&gt;"",H929&gt;=129,H929&lt;=2176),INDEX(Fields!$J$2:$J$206,MATCH(H929-129,Fields!$D$2:$D$206,1)),""),"")</f>
        <v/>
      </c>
      <c r="M929">
        <f>IFERROR(IF(AND(H929&lt;&gt;"",H929&gt;=129,H929&lt;=2176),INDEX(Fields!$K$2:$K$206,MATCH(H929-129,Fields!$D$2:$D$206,1)),""),"")</f>
        <v/>
      </c>
    </row>
    <row r="930">
      <c r="A930" t="n">
        <v>928</v>
      </c>
      <c r="B930" t="n">
        <v>0</v>
      </c>
      <c r="C930" t="inlineStr">
        <is>
          <t>No</t>
        </is>
      </c>
      <c r="D930">
        <f>IF(AND(B925=1,B926=1,B927=1,B928=1,B929=1),"Yes","")</f>
        <v/>
      </c>
      <c r="E930" t="inlineStr">
        <is>
          <t>No</t>
        </is>
      </c>
      <c r="F930" t="inlineStr">
        <is>
          <t>No</t>
        </is>
      </c>
      <c r="G930">
        <f>IF(F930="Yes",1-B930,B930)</f>
        <v/>
      </c>
      <c r="H930">
        <f>IF(E930="Yes","",COUNTIFS($E$2:E930,"No"))</f>
        <v/>
      </c>
      <c r="I930">
        <f>IF(H930="","",IF(H930&lt;=128,"address",IF(H930&lt;=600,"data1",IF(H930&lt;=1264,"zero-run1",IF(H930&lt;=1648,"data2",IF(H930&lt;=2176,"zero-run2",IF(H930&lt;=2192,"FCS","trailing")))))))</f>
        <v/>
      </c>
      <c r="J930">
        <f>IFERROR(IF(AND(H930&lt;&gt;"",H930&gt;=129,H930&lt;=2176),INDEX(Fields!$B$2:$B$206,MATCH(H930-129,Fields!$D$2:$D$206,1)),""),"")</f>
        <v/>
      </c>
      <c r="K930">
        <f>IFERROR(IF(AND(H930&lt;&gt;"",H930&gt;=129,H930&lt;=2176),INDEX(Fields!$C$2:$C$206,MATCH(H930-129,Fields!$D$2:$D$206,1)),""),"")</f>
        <v/>
      </c>
      <c r="L930">
        <f>IFERROR(IF(AND(H930&lt;&gt;"",H930&gt;=129,H930&lt;=2176),INDEX(Fields!$J$2:$J$206,MATCH(H930-129,Fields!$D$2:$D$206,1)),""),"")</f>
        <v/>
      </c>
      <c r="M930">
        <f>IFERROR(IF(AND(H930&lt;&gt;"",H930&gt;=129,H930&lt;=2176),INDEX(Fields!$K$2:$K$206,MATCH(H930-129,Fields!$D$2:$D$206,1)),""),"")</f>
        <v/>
      </c>
    </row>
    <row r="931">
      <c r="A931" t="n">
        <v>929</v>
      </c>
      <c r="B931" t="n">
        <v>0</v>
      </c>
      <c r="C931" t="inlineStr">
        <is>
          <t>No</t>
        </is>
      </c>
      <c r="D931">
        <f>IF(AND(B926=1,B927=1,B928=1,B929=1,B930=1),"Yes","")</f>
        <v/>
      </c>
      <c r="E931" t="inlineStr">
        <is>
          <t>No</t>
        </is>
      </c>
      <c r="F931" t="inlineStr">
        <is>
          <t>No</t>
        </is>
      </c>
      <c r="G931">
        <f>IF(F931="Yes",1-B931,B931)</f>
        <v/>
      </c>
      <c r="H931">
        <f>IF(E931="Yes","",COUNTIFS($E$2:E931,"No"))</f>
        <v/>
      </c>
      <c r="I931">
        <f>IF(H931="","",IF(H931&lt;=128,"address",IF(H931&lt;=600,"data1",IF(H931&lt;=1264,"zero-run1",IF(H931&lt;=1648,"data2",IF(H931&lt;=2176,"zero-run2",IF(H931&lt;=2192,"FCS","trailing")))))))</f>
        <v/>
      </c>
      <c r="J931">
        <f>IFERROR(IF(AND(H931&lt;&gt;"",H931&gt;=129,H931&lt;=2176),INDEX(Fields!$B$2:$B$206,MATCH(H931-129,Fields!$D$2:$D$206,1)),""),"")</f>
        <v/>
      </c>
      <c r="K931">
        <f>IFERROR(IF(AND(H931&lt;&gt;"",H931&gt;=129,H931&lt;=2176),INDEX(Fields!$C$2:$C$206,MATCH(H931-129,Fields!$D$2:$D$206,1)),""),"")</f>
        <v/>
      </c>
      <c r="L931">
        <f>IFERROR(IF(AND(H931&lt;&gt;"",H931&gt;=129,H931&lt;=2176),INDEX(Fields!$J$2:$J$206,MATCH(H931-129,Fields!$D$2:$D$206,1)),""),"")</f>
        <v/>
      </c>
      <c r="M931">
        <f>IFERROR(IF(AND(H931&lt;&gt;"",H931&gt;=129,H931&lt;=2176),INDEX(Fields!$K$2:$K$206,MATCH(H931-129,Fields!$D$2:$D$206,1)),""),"")</f>
        <v/>
      </c>
    </row>
    <row r="932">
      <c r="A932" t="n">
        <v>930</v>
      </c>
      <c r="B932" t="n">
        <v>0</v>
      </c>
      <c r="C932" t="inlineStr">
        <is>
          <t>No</t>
        </is>
      </c>
      <c r="D932">
        <f>IF(AND(B927=1,B928=1,B929=1,B930=1,B931=1),"Yes","")</f>
        <v/>
      </c>
      <c r="E932" t="inlineStr">
        <is>
          <t>No</t>
        </is>
      </c>
      <c r="F932" t="inlineStr">
        <is>
          <t>No</t>
        </is>
      </c>
      <c r="G932">
        <f>IF(F932="Yes",1-B932,B932)</f>
        <v/>
      </c>
      <c r="H932">
        <f>IF(E932="Yes","",COUNTIFS($E$2:E932,"No"))</f>
        <v/>
      </c>
      <c r="I932">
        <f>IF(H932="","",IF(H932&lt;=128,"address",IF(H932&lt;=600,"data1",IF(H932&lt;=1264,"zero-run1",IF(H932&lt;=1648,"data2",IF(H932&lt;=2176,"zero-run2",IF(H932&lt;=2192,"FCS","trailing")))))))</f>
        <v/>
      </c>
      <c r="J932">
        <f>IFERROR(IF(AND(H932&lt;&gt;"",H932&gt;=129,H932&lt;=2176),INDEX(Fields!$B$2:$B$206,MATCH(H932-129,Fields!$D$2:$D$206,1)),""),"")</f>
        <v/>
      </c>
      <c r="K932">
        <f>IFERROR(IF(AND(H932&lt;&gt;"",H932&gt;=129,H932&lt;=2176),INDEX(Fields!$C$2:$C$206,MATCH(H932-129,Fields!$D$2:$D$206,1)),""),"")</f>
        <v/>
      </c>
      <c r="L932">
        <f>IFERROR(IF(AND(H932&lt;&gt;"",H932&gt;=129,H932&lt;=2176),INDEX(Fields!$J$2:$J$206,MATCH(H932-129,Fields!$D$2:$D$206,1)),""),"")</f>
        <v/>
      </c>
      <c r="M932">
        <f>IFERROR(IF(AND(H932&lt;&gt;"",H932&gt;=129,H932&lt;=2176),INDEX(Fields!$K$2:$K$206,MATCH(H932-129,Fields!$D$2:$D$206,1)),""),"")</f>
        <v/>
      </c>
    </row>
    <row r="933">
      <c r="A933" t="n">
        <v>931</v>
      </c>
      <c r="B933" t="n">
        <v>0</v>
      </c>
      <c r="C933" t="inlineStr">
        <is>
          <t>No</t>
        </is>
      </c>
      <c r="D933">
        <f>IF(AND(B928=1,B929=1,B930=1,B931=1,B932=1),"Yes","")</f>
        <v/>
      </c>
      <c r="E933" t="inlineStr">
        <is>
          <t>No</t>
        </is>
      </c>
      <c r="F933" t="inlineStr">
        <is>
          <t>No</t>
        </is>
      </c>
      <c r="G933">
        <f>IF(F933="Yes",1-B933,B933)</f>
        <v/>
      </c>
      <c r="H933">
        <f>IF(E933="Yes","",COUNTIFS($E$2:E933,"No"))</f>
        <v/>
      </c>
      <c r="I933">
        <f>IF(H933="","",IF(H933&lt;=128,"address",IF(H933&lt;=600,"data1",IF(H933&lt;=1264,"zero-run1",IF(H933&lt;=1648,"data2",IF(H933&lt;=2176,"zero-run2",IF(H933&lt;=2192,"FCS","trailing")))))))</f>
        <v/>
      </c>
      <c r="J933">
        <f>IFERROR(IF(AND(H933&lt;&gt;"",H933&gt;=129,H933&lt;=2176),INDEX(Fields!$B$2:$B$206,MATCH(H933-129,Fields!$D$2:$D$206,1)),""),"")</f>
        <v/>
      </c>
      <c r="K933">
        <f>IFERROR(IF(AND(H933&lt;&gt;"",H933&gt;=129,H933&lt;=2176),INDEX(Fields!$C$2:$C$206,MATCH(H933-129,Fields!$D$2:$D$206,1)),""),"")</f>
        <v/>
      </c>
      <c r="L933">
        <f>IFERROR(IF(AND(H933&lt;&gt;"",H933&gt;=129,H933&lt;=2176),INDEX(Fields!$J$2:$J$206,MATCH(H933-129,Fields!$D$2:$D$206,1)),""),"")</f>
        <v/>
      </c>
      <c r="M933">
        <f>IFERROR(IF(AND(H933&lt;&gt;"",H933&gt;=129,H933&lt;=2176),INDEX(Fields!$K$2:$K$206,MATCH(H933-129,Fields!$D$2:$D$206,1)),""),"")</f>
        <v/>
      </c>
    </row>
    <row r="934">
      <c r="A934" t="n">
        <v>932</v>
      </c>
      <c r="B934" t="n">
        <v>0</v>
      </c>
      <c r="C934" t="inlineStr">
        <is>
          <t>No</t>
        </is>
      </c>
      <c r="D934">
        <f>IF(AND(B929=1,B930=1,B931=1,B932=1,B933=1),"Yes","")</f>
        <v/>
      </c>
      <c r="E934" t="inlineStr">
        <is>
          <t>No</t>
        </is>
      </c>
      <c r="F934" t="inlineStr">
        <is>
          <t>No</t>
        </is>
      </c>
      <c r="G934">
        <f>IF(F934="Yes",1-B934,B934)</f>
        <v/>
      </c>
      <c r="H934">
        <f>IF(E934="Yes","",COUNTIFS($E$2:E934,"No"))</f>
        <v/>
      </c>
      <c r="I934">
        <f>IF(H934="","",IF(H934&lt;=128,"address",IF(H934&lt;=600,"data1",IF(H934&lt;=1264,"zero-run1",IF(H934&lt;=1648,"data2",IF(H934&lt;=2176,"zero-run2",IF(H934&lt;=2192,"FCS","trailing")))))))</f>
        <v/>
      </c>
      <c r="J934">
        <f>IFERROR(IF(AND(H934&lt;&gt;"",H934&gt;=129,H934&lt;=2176),INDEX(Fields!$B$2:$B$206,MATCH(H934-129,Fields!$D$2:$D$206,1)),""),"")</f>
        <v/>
      </c>
      <c r="K934">
        <f>IFERROR(IF(AND(H934&lt;&gt;"",H934&gt;=129,H934&lt;=2176),INDEX(Fields!$C$2:$C$206,MATCH(H934-129,Fields!$D$2:$D$206,1)),""),"")</f>
        <v/>
      </c>
      <c r="L934">
        <f>IFERROR(IF(AND(H934&lt;&gt;"",H934&gt;=129,H934&lt;=2176),INDEX(Fields!$J$2:$J$206,MATCH(H934-129,Fields!$D$2:$D$206,1)),""),"")</f>
        <v/>
      </c>
      <c r="M934">
        <f>IFERROR(IF(AND(H934&lt;&gt;"",H934&gt;=129,H934&lt;=2176),INDEX(Fields!$K$2:$K$206,MATCH(H934-129,Fields!$D$2:$D$206,1)),""),"")</f>
        <v/>
      </c>
    </row>
    <row r="935">
      <c r="A935" t="n">
        <v>933</v>
      </c>
      <c r="B935" t="n">
        <v>0</v>
      </c>
      <c r="C935" t="inlineStr">
        <is>
          <t>No</t>
        </is>
      </c>
      <c r="D935">
        <f>IF(AND(B930=1,B931=1,B932=1,B933=1,B934=1),"Yes","")</f>
        <v/>
      </c>
      <c r="E935" t="inlineStr">
        <is>
          <t>No</t>
        </is>
      </c>
      <c r="F935" t="inlineStr">
        <is>
          <t>No</t>
        </is>
      </c>
      <c r="G935">
        <f>IF(F935="Yes",1-B935,B935)</f>
        <v/>
      </c>
      <c r="H935">
        <f>IF(E935="Yes","",COUNTIFS($E$2:E935,"No"))</f>
        <v/>
      </c>
      <c r="I935">
        <f>IF(H935="","",IF(H935&lt;=128,"address",IF(H935&lt;=600,"data1",IF(H935&lt;=1264,"zero-run1",IF(H935&lt;=1648,"data2",IF(H935&lt;=2176,"zero-run2",IF(H935&lt;=2192,"FCS","trailing")))))))</f>
        <v/>
      </c>
      <c r="J935">
        <f>IFERROR(IF(AND(H935&lt;&gt;"",H935&gt;=129,H935&lt;=2176),INDEX(Fields!$B$2:$B$206,MATCH(H935-129,Fields!$D$2:$D$206,1)),""),"")</f>
        <v/>
      </c>
      <c r="K935">
        <f>IFERROR(IF(AND(H935&lt;&gt;"",H935&gt;=129,H935&lt;=2176),INDEX(Fields!$C$2:$C$206,MATCH(H935-129,Fields!$D$2:$D$206,1)),""),"")</f>
        <v/>
      </c>
      <c r="L935">
        <f>IFERROR(IF(AND(H935&lt;&gt;"",H935&gt;=129,H935&lt;=2176),INDEX(Fields!$J$2:$J$206,MATCH(H935-129,Fields!$D$2:$D$206,1)),""),"")</f>
        <v/>
      </c>
      <c r="M935">
        <f>IFERROR(IF(AND(H935&lt;&gt;"",H935&gt;=129,H935&lt;=2176),INDEX(Fields!$K$2:$K$206,MATCH(H935-129,Fields!$D$2:$D$206,1)),""),"")</f>
        <v/>
      </c>
    </row>
    <row r="936">
      <c r="A936" t="n">
        <v>934</v>
      </c>
      <c r="B936" t="n">
        <v>0</v>
      </c>
      <c r="C936" t="inlineStr">
        <is>
          <t>No</t>
        </is>
      </c>
      <c r="D936">
        <f>IF(AND(B931=1,B932=1,B933=1,B934=1,B935=1),"Yes","")</f>
        <v/>
      </c>
      <c r="E936" t="inlineStr">
        <is>
          <t>No</t>
        </is>
      </c>
      <c r="F936" t="inlineStr">
        <is>
          <t>No</t>
        </is>
      </c>
      <c r="G936">
        <f>IF(F936="Yes",1-B936,B936)</f>
        <v/>
      </c>
      <c r="H936">
        <f>IF(E936="Yes","",COUNTIFS($E$2:E936,"No"))</f>
        <v/>
      </c>
      <c r="I936">
        <f>IF(H936="","",IF(H936&lt;=128,"address",IF(H936&lt;=600,"data1",IF(H936&lt;=1264,"zero-run1",IF(H936&lt;=1648,"data2",IF(H936&lt;=2176,"zero-run2",IF(H936&lt;=2192,"FCS","trailing")))))))</f>
        <v/>
      </c>
      <c r="J936">
        <f>IFERROR(IF(AND(H936&lt;&gt;"",H936&gt;=129,H936&lt;=2176),INDEX(Fields!$B$2:$B$206,MATCH(H936-129,Fields!$D$2:$D$206,1)),""),"")</f>
        <v/>
      </c>
      <c r="K936">
        <f>IFERROR(IF(AND(H936&lt;&gt;"",H936&gt;=129,H936&lt;=2176),INDEX(Fields!$C$2:$C$206,MATCH(H936-129,Fields!$D$2:$D$206,1)),""),"")</f>
        <v/>
      </c>
      <c r="L936">
        <f>IFERROR(IF(AND(H936&lt;&gt;"",H936&gt;=129,H936&lt;=2176),INDEX(Fields!$J$2:$J$206,MATCH(H936-129,Fields!$D$2:$D$206,1)),""),"")</f>
        <v/>
      </c>
      <c r="M936">
        <f>IFERROR(IF(AND(H936&lt;&gt;"",H936&gt;=129,H936&lt;=2176),INDEX(Fields!$K$2:$K$206,MATCH(H936-129,Fields!$D$2:$D$206,1)),""),"")</f>
        <v/>
      </c>
    </row>
    <row r="937">
      <c r="A937" t="n">
        <v>935</v>
      </c>
      <c r="B937" t="n">
        <v>0</v>
      </c>
      <c r="C937" t="inlineStr">
        <is>
          <t>No</t>
        </is>
      </c>
      <c r="D937">
        <f>IF(AND(B932=1,B933=1,B934=1,B935=1,B936=1),"Yes","")</f>
        <v/>
      </c>
      <c r="E937" t="inlineStr">
        <is>
          <t>No</t>
        </is>
      </c>
      <c r="F937" t="inlineStr">
        <is>
          <t>No</t>
        </is>
      </c>
      <c r="G937">
        <f>IF(F937="Yes",1-B937,B937)</f>
        <v/>
      </c>
      <c r="H937">
        <f>IF(E937="Yes","",COUNTIFS($E$2:E937,"No"))</f>
        <v/>
      </c>
      <c r="I937">
        <f>IF(H937="","",IF(H937&lt;=128,"address",IF(H937&lt;=600,"data1",IF(H937&lt;=1264,"zero-run1",IF(H937&lt;=1648,"data2",IF(H937&lt;=2176,"zero-run2",IF(H937&lt;=2192,"FCS","trailing")))))))</f>
        <v/>
      </c>
      <c r="J937">
        <f>IFERROR(IF(AND(H937&lt;&gt;"",H937&gt;=129,H937&lt;=2176),INDEX(Fields!$B$2:$B$206,MATCH(H937-129,Fields!$D$2:$D$206,1)),""),"")</f>
        <v/>
      </c>
      <c r="K937">
        <f>IFERROR(IF(AND(H937&lt;&gt;"",H937&gt;=129,H937&lt;=2176),INDEX(Fields!$C$2:$C$206,MATCH(H937-129,Fields!$D$2:$D$206,1)),""),"")</f>
        <v/>
      </c>
      <c r="L937">
        <f>IFERROR(IF(AND(H937&lt;&gt;"",H937&gt;=129,H937&lt;=2176),INDEX(Fields!$J$2:$J$206,MATCH(H937-129,Fields!$D$2:$D$206,1)),""),"")</f>
        <v/>
      </c>
      <c r="M937">
        <f>IFERROR(IF(AND(H937&lt;&gt;"",H937&gt;=129,H937&lt;=2176),INDEX(Fields!$K$2:$K$206,MATCH(H937-129,Fields!$D$2:$D$206,1)),""),"")</f>
        <v/>
      </c>
    </row>
    <row r="938">
      <c r="A938" t="n">
        <v>936</v>
      </c>
      <c r="B938" t="n">
        <v>0</v>
      </c>
      <c r="C938" t="inlineStr">
        <is>
          <t>No</t>
        </is>
      </c>
      <c r="D938">
        <f>IF(AND(B933=1,B934=1,B935=1,B936=1,B937=1),"Yes","")</f>
        <v/>
      </c>
      <c r="E938" t="inlineStr">
        <is>
          <t>No</t>
        </is>
      </c>
      <c r="F938" t="inlineStr">
        <is>
          <t>No</t>
        </is>
      </c>
      <c r="G938">
        <f>IF(F938="Yes",1-B938,B938)</f>
        <v/>
      </c>
      <c r="H938">
        <f>IF(E938="Yes","",COUNTIFS($E$2:E938,"No"))</f>
        <v/>
      </c>
      <c r="I938">
        <f>IF(H938="","",IF(H938&lt;=128,"address",IF(H938&lt;=600,"data1",IF(H938&lt;=1264,"zero-run1",IF(H938&lt;=1648,"data2",IF(H938&lt;=2176,"zero-run2",IF(H938&lt;=2192,"FCS","trailing")))))))</f>
        <v/>
      </c>
      <c r="J938">
        <f>IFERROR(IF(AND(H938&lt;&gt;"",H938&gt;=129,H938&lt;=2176),INDEX(Fields!$B$2:$B$206,MATCH(H938-129,Fields!$D$2:$D$206,1)),""),"")</f>
        <v/>
      </c>
      <c r="K938">
        <f>IFERROR(IF(AND(H938&lt;&gt;"",H938&gt;=129,H938&lt;=2176),INDEX(Fields!$C$2:$C$206,MATCH(H938-129,Fields!$D$2:$D$206,1)),""),"")</f>
        <v/>
      </c>
      <c r="L938">
        <f>IFERROR(IF(AND(H938&lt;&gt;"",H938&gt;=129,H938&lt;=2176),INDEX(Fields!$J$2:$J$206,MATCH(H938-129,Fields!$D$2:$D$206,1)),""),"")</f>
        <v/>
      </c>
      <c r="M938">
        <f>IFERROR(IF(AND(H938&lt;&gt;"",H938&gt;=129,H938&lt;=2176),INDEX(Fields!$K$2:$K$206,MATCH(H938-129,Fields!$D$2:$D$206,1)),""),"")</f>
        <v/>
      </c>
    </row>
    <row r="939">
      <c r="A939" t="n">
        <v>937</v>
      </c>
      <c r="B939" t="n">
        <v>0</v>
      </c>
      <c r="C939" t="inlineStr">
        <is>
          <t>No</t>
        </is>
      </c>
      <c r="D939">
        <f>IF(AND(B934=1,B935=1,B936=1,B937=1,B938=1),"Yes","")</f>
        <v/>
      </c>
      <c r="E939" t="inlineStr">
        <is>
          <t>No</t>
        </is>
      </c>
      <c r="F939" t="inlineStr">
        <is>
          <t>No</t>
        </is>
      </c>
      <c r="G939">
        <f>IF(F939="Yes",1-B939,B939)</f>
        <v/>
      </c>
      <c r="H939">
        <f>IF(E939="Yes","",COUNTIFS($E$2:E939,"No"))</f>
        <v/>
      </c>
      <c r="I939">
        <f>IF(H939="","",IF(H939&lt;=128,"address",IF(H939&lt;=600,"data1",IF(H939&lt;=1264,"zero-run1",IF(H939&lt;=1648,"data2",IF(H939&lt;=2176,"zero-run2",IF(H939&lt;=2192,"FCS","trailing")))))))</f>
        <v/>
      </c>
      <c r="J939">
        <f>IFERROR(IF(AND(H939&lt;&gt;"",H939&gt;=129,H939&lt;=2176),INDEX(Fields!$B$2:$B$206,MATCH(H939-129,Fields!$D$2:$D$206,1)),""),"")</f>
        <v/>
      </c>
      <c r="K939">
        <f>IFERROR(IF(AND(H939&lt;&gt;"",H939&gt;=129,H939&lt;=2176),INDEX(Fields!$C$2:$C$206,MATCH(H939-129,Fields!$D$2:$D$206,1)),""),"")</f>
        <v/>
      </c>
      <c r="L939">
        <f>IFERROR(IF(AND(H939&lt;&gt;"",H939&gt;=129,H939&lt;=2176),INDEX(Fields!$J$2:$J$206,MATCH(H939-129,Fields!$D$2:$D$206,1)),""),"")</f>
        <v/>
      </c>
      <c r="M939">
        <f>IFERROR(IF(AND(H939&lt;&gt;"",H939&gt;=129,H939&lt;=2176),INDEX(Fields!$K$2:$K$206,MATCH(H939-129,Fields!$D$2:$D$206,1)),""),"")</f>
        <v/>
      </c>
    </row>
    <row r="940">
      <c r="A940" t="n">
        <v>938</v>
      </c>
      <c r="B940" t="n">
        <v>0</v>
      </c>
      <c r="C940" t="inlineStr">
        <is>
          <t>No</t>
        </is>
      </c>
      <c r="D940">
        <f>IF(AND(B935=1,B936=1,B937=1,B938=1,B939=1),"Yes","")</f>
        <v/>
      </c>
      <c r="E940" t="inlineStr">
        <is>
          <t>No</t>
        </is>
      </c>
      <c r="F940" t="inlineStr">
        <is>
          <t>No</t>
        </is>
      </c>
      <c r="G940">
        <f>IF(F940="Yes",1-B940,B940)</f>
        <v/>
      </c>
      <c r="H940">
        <f>IF(E940="Yes","",COUNTIFS($E$2:E940,"No"))</f>
        <v/>
      </c>
      <c r="I940">
        <f>IF(H940="","",IF(H940&lt;=128,"address",IF(H940&lt;=600,"data1",IF(H940&lt;=1264,"zero-run1",IF(H940&lt;=1648,"data2",IF(H940&lt;=2176,"zero-run2",IF(H940&lt;=2192,"FCS","trailing")))))))</f>
        <v/>
      </c>
      <c r="J940">
        <f>IFERROR(IF(AND(H940&lt;&gt;"",H940&gt;=129,H940&lt;=2176),INDEX(Fields!$B$2:$B$206,MATCH(H940-129,Fields!$D$2:$D$206,1)),""),"")</f>
        <v/>
      </c>
      <c r="K940">
        <f>IFERROR(IF(AND(H940&lt;&gt;"",H940&gt;=129,H940&lt;=2176),INDEX(Fields!$C$2:$C$206,MATCH(H940-129,Fields!$D$2:$D$206,1)),""),"")</f>
        <v/>
      </c>
      <c r="L940">
        <f>IFERROR(IF(AND(H940&lt;&gt;"",H940&gt;=129,H940&lt;=2176),INDEX(Fields!$J$2:$J$206,MATCH(H940-129,Fields!$D$2:$D$206,1)),""),"")</f>
        <v/>
      </c>
      <c r="M940">
        <f>IFERROR(IF(AND(H940&lt;&gt;"",H940&gt;=129,H940&lt;=2176),INDEX(Fields!$K$2:$K$206,MATCH(H940-129,Fields!$D$2:$D$206,1)),""),"")</f>
        <v/>
      </c>
    </row>
    <row r="941">
      <c r="A941" t="n">
        <v>939</v>
      </c>
      <c r="B941" t="n">
        <v>0</v>
      </c>
      <c r="C941" t="inlineStr">
        <is>
          <t>No</t>
        </is>
      </c>
      <c r="D941">
        <f>IF(AND(B936=1,B937=1,B938=1,B939=1,B940=1),"Yes","")</f>
        <v/>
      </c>
      <c r="E941" t="inlineStr">
        <is>
          <t>No</t>
        </is>
      </c>
      <c r="F941" t="inlineStr">
        <is>
          <t>No</t>
        </is>
      </c>
      <c r="G941">
        <f>IF(F941="Yes",1-B941,B941)</f>
        <v/>
      </c>
      <c r="H941">
        <f>IF(E941="Yes","",COUNTIFS($E$2:E941,"No"))</f>
        <v/>
      </c>
      <c r="I941">
        <f>IF(H941="","",IF(H941&lt;=128,"address",IF(H941&lt;=600,"data1",IF(H941&lt;=1264,"zero-run1",IF(H941&lt;=1648,"data2",IF(H941&lt;=2176,"zero-run2",IF(H941&lt;=2192,"FCS","trailing")))))))</f>
        <v/>
      </c>
      <c r="J941">
        <f>IFERROR(IF(AND(H941&lt;&gt;"",H941&gt;=129,H941&lt;=2176),INDEX(Fields!$B$2:$B$206,MATCH(H941-129,Fields!$D$2:$D$206,1)),""),"")</f>
        <v/>
      </c>
      <c r="K941">
        <f>IFERROR(IF(AND(H941&lt;&gt;"",H941&gt;=129,H941&lt;=2176),INDEX(Fields!$C$2:$C$206,MATCH(H941-129,Fields!$D$2:$D$206,1)),""),"")</f>
        <v/>
      </c>
      <c r="L941">
        <f>IFERROR(IF(AND(H941&lt;&gt;"",H941&gt;=129,H941&lt;=2176),INDEX(Fields!$J$2:$J$206,MATCH(H941-129,Fields!$D$2:$D$206,1)),""),"")</f>
        <v/>
      </c>
      <c r="M941">
        <f>IFERROR(IF(AND(H941&lt;&gt;"",H941&gt;=129,H941&lt;=2176),INDEX(Fields!$K$2:$K$206,MATCH(H941-129,Fields!$D$2:$D$206,1)),""),"")</f>
        <v/>
      </c>
    </row>
    <row r="942">
      <c r="A942" t="n">
        <v>940</v>
      </c>
      <c r="B942" t="n">
        <v>0</v>
      </c>
      <c r="C942" t="inlineStr">
        <is>
          <t>No</t>
        </is>
      </c>
      <c r="D942">
        <f>IF(AND(B937=1,B938=1,B939=1,B940=1,B941=1),"Yes","")</f>
        <v/>
      </c>
      <c r="E942" t="inlineStr">
        <is>
          <t>No</t>
        </is>
      </c>
      <c r="F942" t="inlineStr">
        <is>
          <t>No</t>
        </is>
      </c>
      <c r="G942">
        <f>IF(F942="Yes",1-B942,B942)</f>
        <v/>
      </c>
      <c r="H942">
        <f>IF(E942="Yes","",COUNTIFS($E$2:E942,"No"))</f>
        <v/>
      </c>
      <c r="I942">
        <f>IF(H942="","",IF(H942&lt;=128,"address",IF(H942&lt;=600,"data1",IF(H942&lt;=1264,"zero-run1",IF(H942&lt;=1648,"data2",IF(H942&lt;=2176,"zero-run2",IF(H942&lt;=2192,"FCS","trailing")))))))</f>
        <v/>
      </c>
      <c r="J942">
        <f>IFERROR(IF(AND(H942&lt;&gt;"",H942&gt;=129,H942&lt;=2176),INDEX(Fields!$B$2:$B$206,MATCH(H942-129,Fields!$D$2:$D$206,1)),""),"")</f>
        <v/>
      </c>
      <c r="K942">
        <f>IFERROR(IF(AND(H942&lt;&gt;"",H942&gt;=129,H942&lt;=2176),INDEX(Fields!$C$2:$C$206,MATCH(H942-129,Fields!$D$2:$D$206,1)),""),"")</f>
        <v/>
      </c>
      <c r="L942">
        <f>IFERROR(IF(AND(H942&lt;&gt;"",H942&gt;=129,H942&lt;=2176),INDEX(Fields!$J$2:$J$206,MATCH(H942-129,Fields!$D$2:$D$206,1)),""),"")</f>
        <v/>
      </c>
      <c r="M942">
        <f>IFERROR(IF(AND(H942&lt;&gt;"",H942&gt;=129,H942&lt;=2176),INDEX(Fields!$K$2:$K$206,MATCH(H942-129,Fields!$D$2:$D$206,1)),""),"")</f>
        <v/>
      </c>
    </row>
    <row r="943">
      <c r="A943" t="n">
        <v>941</v>
      </c>
      <c r="B943" t="n">
        <v>0</v>
      </c>
      <c r="C943" t="inlineStr">
        <is>
          <t>No</t>
        </is>
      </c>
      <c r="D943">
        <f>IF(AND(B938=1,B939=1,B940=1,B941=1,B942=1),"Yes","")</f>
        <v/>
      </c>
      <c r="E943" t="inlineStr">
        <is>
          <t>No</t>
        </is>
      </c>
      <c r="F943" t="inlineStr">
        <is>
          <t>No</t>
        </is>
      </c>
      <c r="G943">
        <f>IF(F943="Yes",1-B943,B943)</f>
        <v/>
      </c>
      <c r="H943">
        <f>IF(E943="Yes","",COUNTIFS($E$2:E943,"No"))</f>
        <v/>
      </c>
      <c r="I943">
        <f>IF(H943="","",IF(H943&lt;=128,"address",IF(H943&lt;=600,"data1",IF(H943&lt;=1264,"zero-run1",IF(H943&lt;=1648,"data2",IF(H943&lt;=2176,"zero-run2",IF(H943&lt;=2192,"FCS","trailing")))))))</f>
        <v/>
      </c>
      <c r="J943">
        <f>IFERROR(IF(AND(H943&lt;&gt;"",H943&gt;=129,H943&lt;=2176),INDEX(Fields!$B$2:$B$206,MATCH(H943-129,Fields!$D$2:$D$206,1)),""),"")</f>
        <v/>
      </c>
      <c r="K943">
        <f>IFERROR(IF(AND(H943&lt;&gt;"",H943&gt;=129,H943&lt;=2176),INDEX(Fields!$C$2:$C$206,MATCH(H943-129,Fields!$D$2:$D$206,1)),""),"")</f>
        <v/>
      </c>
      <c r="L943">
        <f>IFERROR(IF(AND(H943&lt;&gt;"",H943&gt;=129,H943&lt;=2176),INDEX(Fields!$J$2:$J$206,MATCH(H943-129,Fields!$D$2:$D$206,1)),""),"")</f>
        <v/>
      </c>
      <c r="M943">
        <f>IFERROR(IF(AND(H943&lt;&gt;"",H943&gt;=129,H943&lt;=2176),INDEX(Fields!$K$2:$K$206,MATCH(H943-129,Fields!$D$2:$D$206,1)),""),"")</f>
        <v/>
      </c>
    </row>
    <row r="944">
      <c r="A944" t="n">
        <v>942</v>
      </c>
      <c r="B944" t="n">
        <v>0</v>
      </c>
      <c r="C944" t="inlineStr">
        <is>
          <t>No</t>
        </is>
      </c>
      <c r="D944">
        <f>IF(AND(B939=1,B940=1,B941=1,B942=1,B943=1),"Yes","")</f>
        <v/>
      </c>
      <c r="E944" t="inlineStr">
        <is>
          <t>No</t>
        </is>
      </c>
      <c r="F944" t="inlineStr">
        <is>
          <t>No</t>
        </is>
      </c>
      <c r="G944">
        <f>IF(F944="Yes",1-B944,B944)</f>
        <v/>
      </c>
      <c r="H944">
        <f>IF(E944="Yes","",COUNTIFS($E$2:E944,"No"))</f>
        <v/>
      </c>
      <c r="I944">
        <f>IF(H944="","",IF(H944&lt;=128,"address",IF(H944&lt;=600,"data1",IF(H944&lt;=1264,"zero-run1",IF(H944&lt;=1648,"data2",IF(H944&lt;=2176,"zero-run2",IF(H944&lt;=2192,"FCS","trailing")))))))</f>
        <v/>
      </c>
      <c r="J944">
        <f>IFERROR(IF(AND(H944&lt;&gt;"",H944&gt;=129,H944&lt;=2176),INDEX(Fields!$B$2:$B$206,MATCH(H944-129,Fields!$D$2:$D$206,1)),""),"")</f>
        <v/>
      </c>
      <c r="K944">
        <f>IFERROR(IF(AND(H944&lt;&gt;"",H944&gt;=129,H944&lt;=2176),INDEX(Fields!$C$2:$C$206,MATCH(H944-129,Fields!$D$2:$D$206,1)),""),"")</f>
        <v/>
      </c>
      <c r="L944">
        <f>IFERROR(IF(AND(H944&lt;&gt;"",H944&gt;=129,H944&lt;=2176),INDEX(Fields!$J$2:$J$206,MATCH(H944-129,Fields!$D$2:$D$206,1)),""),"")</f>
        <v/>
      </c>
      <c r="M944">
        <f>IFERROR(IF(AND(H944&lt;&gt;"",H944&gt;=129,H944&lt;=2176),INDEX(Fields!$K$2:$K$206,MATCH(H944-129,Fields!$D$2:$D$206,1)),""),"")</f>
        <v/>
      </c>
    </row>
    <row r="945">
      <c r="A945" t="n">
        <v>943</v>
      </c>
      <c r="B945" t="n">
        <v>0</v>
      </c>
      <c r="C945" t="inlineStr">
        <is>
          <t>No</t>
        </is>
      </c>
      <c r="D945">
        <f>IF(AND(B940=1,B941=1,B942=1,B943=1,B944=1),"Yes","")</f>
        <v/>
      </c>
      <c r="E945" t="inlineStr">
        <is>
          <t>No</t>
        </is>
      </c>
      <c r="F945" t="inlineStr">
        <is>
          <t>No</t>
        </is>
      </c>
      <c r="G945">
        <f>IF(F945="Yes",1-B945,B945)</f>
        <v/>
      </c>
      <c r="H945">
        <f>IF(E945="Yes","",COUNTIFS($E$2:E945,"No"))</f>
        <v/>
      </c>
      <c r="I945">
        <f>IF(H945="","",IF(H945&lt;=128,"address",IF(H945&lt;=600,"data1",IF(H945&lt;=1264,"zero-run1",IF(H945&lt;=1648,"data2",IF(H945&lt;=2176,"zero-run2",IF(H945&lt;=2192,"FCS","trailing")))))))</f>
        <v/>
      </c>
      <c r="J945">
        <f>IFERROR(IF(AND(H945&lt;&gt;"",H945&gt;=129,H945&lt;=2176),INDEX(Fields!$B$2:$B$206,MATCH(H945-129,Fields!$D$2:$D$206,1)),""),"")</f>
        <v/>
      </c>
      <c r="K945">
        <f>IFERROR(IF(AND(H945&lt;&gt;"",H945&gt;=129,H945&lt;=2176),INDEX(Fields!$C$2:$C$206,MATCH(H945-129,Fields!$D$2:$D$206,1)),""),"")</f>
        <v/>
      </c>
      <c r="L945">
        <f>IFERROR(IF(AND(H945&lt;&gt;"",H945&gt;=129,H945&lt;=2176),INDEX(Fields!$J$2:$J$206,MATCH(H945-129,Fields!$D$2:$D$206,1)),""),"")</f>
        <v/>
      </c>
      <c r="M945">
        <f>IFERROR(IF(AND(H945&lt;&gt;"",H945&gt;=129,H945&lt;=2176),INDEX(Fields!$K$2:$K$206,MATCH(H945-129,Fields!$D$2:$D$206,1)),""),"")</f>
        <v/>
      </c>
    </row>
    <row r="946">
      <c r="A946" t="n">
        <v>944</v>
      </c>
      <c r="B946" t="n">
        <v>0</v>
      </c>
      <c r="C946" t="inlineStr">
        <is>
          <t>No</t>
        </is>
      </c>
      <c r="D946">
        <f>IF(AND(B941=1,B942=1,B943=1,B944=1,B945=1),"Yes","")</f>
        <v/>
      </c>
      <c r="E946" t="inlineStr">
        <is>
          <t>No</t>
        </is>
      </c>
      <c r="F946" t="inlineStr">
        <is>
          <t>No</t>
        </is>
      </c>
      <c r="G946">
        <f>IF(F946="Yes",1-B946,B946)</f>
        <v/>
      </c>
      <c r="H946">
        <f>IF(E946="Yes","",COUNTIFS($E$2:E946,"No"))</f>
        <v/>
      </c>
      <c r="I946">
        <f>IF(H946="","",IF(H946&lt;=128,"address",IF(H946&lt;=600,"data1",IF(H946&lt;=1264,"zero-run1",IF(H946&lt;=1648,"data2",IF(H946&lt;=2176,"zero-run2",IF(H946&lt;=2192,"FCS","trailing")))))))</f>
        <v/>
      </c>
      <c r="J946">
        <f>IFERROR(IF(AND(H946&lt;&gt;"",H946&gt;=129,H946&lt;=2176),INDEX(Fields!$B$2:$B$206,MATCH(H946-129,Fields!$D$2:$D$206,1)),""),"")</f>
        <v/>
      </c>
      <c r="K946">
        <f>IFERROR(IF(AND(H946&lt;&gt;"",H946&gt;=129,H946&lt;=2176),INDEX(Fields!$C$2:$C$206,MATCH(H946-129,Fields!$D$2:$D$206,1)),""),"")</f>
        <v/>
      </c>
      <c r="L946">
        <f>IFERROR(IF(AND(H946&lt;&gt;"",H946&gt;=129,H946&lt;=2176),INDEX(Fields!$J$2:$J$206,MATCH(H946-129,Fields!$D$2:$D$206,1)),""),"")</f>
        <v/>
      </c>
      <c r="M946">
        <f>IFERROR(IF(AND(H946&lt;&gt;"",H946&gt;=129,H946&lt;=2176),INDEX(Fields!$K$2:$K$206,MATCH(H946-129,Fields!$D$2:$D$206,1)),""),"")</f>
        <v/>
      </c>
    </row>
    <row r="947">
      <c r="A947" t="n">
        <v>945</v>
      </c>
      <c r="B947" t="n">
        <v>0</v>
      </c>
      <c r="C947" t="inlineStr">
        <is>
          <t>No</t>
        </is>
      </c>
      <c r="D947">
        <f>IF(AND(B942=1,B943=1,B944=1,B945=1,B946=1),"Yes","")</f>
        <v/>
      </c>
      <c r="E947" t="inlineStr">
        <is>
          <t>No</t>
        </is>
      </c>
      <c r="F947" t="inlineStr">
        <is>
          <t>No</t>
        </is>
      </c>
      <c r="G947">
        <f>IF(F947="Yes",1-B947,B947)</f>
        <v/>
      </c>
      <c r="H947">
        <f>IF(E947="Yes","",COUNTIFS($E$2:E947,"No"))</f>
        <v/>
      </c>
      <c r="I947">
        <f>IF(H947="","",IF(H947&lt;=128,"address",IF(H947&lt;=600,"data1",IF(H947&lt;=1264,"zero-run1",IF(H947&lt;=1648,"data2",IF(H947&lt;=2176,"zero-run2",IF(H947&lt;=2192,"FCS","trailing")))))))</f>
        <v/>
      </c>
      <c r="J947">
        <f>IFERROR(IF(AND(H947&lt;&gt;"",H947&gt;=129,H947&lt;=2176),INDEX(Fields!$B$2:$B$206,MATCH(H947-129,Fields!$D$2:$D$206,1)),""),"")</f>
        <v/>
      </c>
      <c r="K947">
        <f>IFERROR(IF(AND(H947&lt;&gt;"",H947&gt;=129,H947&lt;=2176),INDEX(Fields!$C$2:$C$206,MATCH(H947-129,Fields!$D$2:$D$206,1)),""),"")</f>
        <v/>
      </c>
      <c r="L947">
        <f>IFERROR(IF(AND(H947&lt;&gt;"",H947&gt;=129,H947&lt;=2176),INDEX(Fields!$J$2:$J$206,MATCH(H947-129,Fields!$D$2:$D$206,1)),""),"")</f>
        <v/>
      </c>
      <c r="M947">
        <f>IFERROR(IF(AND(H947&lt;&gt;"",H947&gt;=129,H947&lt;=2176),INDEX(Fields!$K$2:$K$206,MATCH(H947-129,Fields!$D$2:$D$206,1)),""),"")</f>
        <v/>
      </c>
    </row>
    <row r="948">
      <c r="A948" t="n">
        <v>946</v>
      </c>
      <c r="B948" t="n">
        <v>0</v>
      </c>
      <c r="C948" t="inlineStr">
        <is>
          <t>No</t>
        </is>
      </c>
      <c r="D948">
        <f>IF(AND(B943=1,B944=1,B945=1,B946=1,B947=1),"Yes","")</f>
        <v/>
      </c>
      <c r="E948" t="inlineStr">
        <is>
          <t>No</t>
        </is>
      </c>
      <c r="F948" t="inlineStr">
        <is>
          <t>No</t>
        </is>
      </c>
      <c r="G948">
        <f>IF(F948="Yes",1-B948,B948)</f>
        <v/>
      </c>
      <c r="H948">
        <f>IF(E948="Yes","",COUNTIFS($E$2:E948,"No"))</f>
        <v/>
      </c>
      <c r="I948">
        <f>IF(H948="","",IF(H948&lt;=128,"address",IF(H948&lt;=600,"data1",IF(H948&lt;=1264,"zero-run1",IF(H948&lt;=1648,"data2",IF(H948&lt;=2176,"zero-run2",IF(H948&lt;=2192,"FCS","trailing")))))))</f>
        <v/>
      </c>
      <c r="J948">
        <f>IFERROR(IF(AND(H948&lt;&gt;"",H948&gt;=129,H948&lt;=2176),INDEX(Fields!$B$2:$B$206,MATCH(H948-129,Fields!$D$2:$D$206,1)),""),"")</f>
        <v/>
      </c>
      <c r="K948">
        <f>IFERROR(IF(AND(H948&lt;&gt;"",H948&gt;=129,H948&lt;=2176),INDEX(Fields!$C$2:$C$206,MATCH(H948-129,Fields!$D$2:$D$206,1)),""),"")</f>
        <v/>
      </c>
      <c r="L948">
        <f>IFERROR(IF(AND(H948&lt;&gt;"",H948&gt;=129,H948&lt;=2176),INDEX(Fields!$J$2:$J$206,MATCH(H948-129,Fields!$D$2:$D$206,1)),""),"")</f>
        <v/>
      </c>
      <c r="M948">
        <f>IFERROR(IF(AND(H948&lt;&gt;"",H948&gt;=129,H948&lt;=2176),INDEX(Fields!$K$2:$K$206,MATCH(H948-129,Fields!$D$2:$D$206,1)),""),"")</f>
        <v/>
      </c>
    </row>
    <row r="949">
      <c r="A949" t="n">
        <v>947</v>
      </c>
      <c r="B949" t="n">
        <v>0</v>
      </c>
      <c r="C949" t="inlineStr">
        <is>
          <t>No</t>
        </is>
      </c>
      <c r="D949">
        <f>IF(AND(B944=1,B945=1,B946=1,B947=1,B948=1),"Yes","")</f>
        <v/>
      </c>
      <c r="E949" t="inlineStr">
        <is>
          <t>No</t>
        </is>
      </c>
      <c r="F949" t="inlineStr">
        <is>
          <t>No</t>
        </is>
      </c>
      <c r="G949">
        <f>IF(F949="Yes",1-B949,B949)</f>
        <v/>
      </c>
      <c r="H949">
        <f>IF(E949="Yes","",COUNTIFS($E$2:E949,"No"))</f>
        <v/>
      </c>
      <c r="I949">
        <f>IF(H949="","",IF(H949&lt;=128,"address",IF(H949&lt;=600,"data1",IF(H949&lt;=1264,"zero-run1",IF(H949&lt;=1648,"data2",IF(H949&lt;=2176,"zero-run2",IF(H949&lt;=2192,"FCS","trailing")))))))</f>
        <v/>
      </c>
      <c r="J949">
        <f>IFERROR(IF(AND(H949&lt;&gt;"",H949&gt;=129,H949&lt;=2176),INDEX(Fields!$B$2:$B$206,MATCH(H949-129,Fields!$D$2:$D$206,1)),""),"")</f>
        <v/>
      </c>
      <c r="K949">
        <f>IFERROR(IF(AND(H949&lt;&gt;"",H949&gt;=129,H949&lt;=2176),INDEX(Fields!$C$2:$C$206,MATCH(H949-129,Fields!$D$2:$D$206,1)),""),"")</f>
        <v/>
      </c>
      <c r="L949">
        <f>IFERROR(IF(AND(H949&lt;&gt;"",H949&gt;=129,H949&lt;=2176),INDEX(Fields!$J$2:$J$206,MATCH(H949-129,Fields!$D$2:$D$206,1)),""),"")</f>
        <v/>
      </c>
      <c r="M949">
        <f>IFERROR(IF(AND(H949&lt;&gt;"",H949&gt;=129,H949&lt;=2176),INDEX(Fields!$K$2:$K$206,MATCH(H949-129,Fields!$D$2:$D$206,1)),""),"")</f>
        <v/>
      </c>
    </row>
    <row r="950">
      <c r="A950" t="n">
        <v>948</v>
      </c>
      <c r="B950" t="n">
        <v>0</v>
      </c>
      <c r="C950" t="inlineStr">
        <is>
          <t>No</t>
        </is>
      </c>
      <c r="D950">
        <f>IF(AND(B945=1,B946=1,B947=1,B948=1,B949=1),"Yes","")</f>
        <v/>
      </c>
      <c r="E950" t="inlineStr">
        <is>
          <t>No</t>
        </is>
      </c>
      <c r="F950" t="inlineStr">
        <is>
          <t>No</t>
        </is>
      </c>
      <c r="G950">
        <f>IF(F950="Yes",1-B950,B950)</f>
        <v/>
      </c>
      <c r="H950">
        <f>IF(E950="Yes","",COUNTIFS($E$2:E950,"No"))</f>
        <v/>
      </c>
      <c r="I950">
        <f>IF(H950="","",IF(H950&lt;=128,"address",IF(H950&lt;=600,"data1",IF(H950&lt;=1264,"zero-run1",IF(H950&lt;=1648,"data2",IF(H950&lt;=2176,"zero-run2",IF(H950&lt;=2192,"FCS","trailing")))))))</f>
        <v/>
      </c>
      <c r="J950">
        <f>IFERROR(IF(AND(H950&lt;&gt;"",H950&gt;=129,H950&lt;=2176),INDEX(Fields!$B$2:$B$206,MATCH(H950-129,Fields!$D$2:$D$206,1)),""),"")</f>
        <v/>
      </c>
      <c r="K950">
        <f>IFERROR(IF(AND(H950&lt;&gt;"",H950&gt;=129,H950&lt;=2176),INDEX(Fields!$C$2:$C$206,MATCH(H950-129,Fields!$D$2:$D$206,1)),""),"")</f>
        <v/>
      </c>
      <c r="L950">
        <f>IFERROR(IF(AND(H950&lt;&gt;"",H950&gt;=129,H950&lt;=2176),INDEX(Fields!$J$2:$J$206,MATCH(H950-129,Fields!$D$2:$D$206,1)),""),"")</f>
        <v/>
      </c>
      <c r="M950">
        <f>IFERROR(IF(AND(H950&lt;&gt;"",H950&gt;=129,H950&lt;=2176),INDEX(Fields!$K$2:$K$206,MATCH(H950-129,Fields!$D$2:$D$206,1)),""),"")</f>
        <v/>
      </c>
    </row>
    <row r="951">
      <c r="A951" t="n">
        <v>949</v>
      </c>
      <c r="B951" t="n">
        <v>0</v>
      </c>
      <c r="C951" t="inlineStr">
        <is>
          <t>No</t>
        </is>
      </c>
      <c r="D951">
        <f>IF(AND(B946=1,B947=1,B948=1,B949=1,B950=1),"Yes","")</f>
        <v/>
      </c>
      <c r="E951" t="inlineStr">
        <is>
          <t>No</t>
        </is>
      </c>
      <c r="F951" t="inlineStr">
        <is>
          <t>No</t>
        </is>
      </c>
      <c r="G951">
        <f>IF(F951="Yes",1-B951,B951)</f>
        <v/>
      </c>
      <c r="H951">
        <f>IF(E951="Yes","",COUNTIFS($E$2:E951,"No"))</f>
        <v/>
      </c>
      <c r="I951">
        <f>IF(H951="","",IF(H951&lt;=128,"address",IF(H951&lt;=600,"data1",IF(H951&lt;=1264,"zero-run1",IF(H951&lt;=1648,"data2",IF(H951&lt;=2176,"zero-run2",IF(H951&lt;=2192,"FCS","trailing")))))))</f>
        <v/>
      </c>
      <c r="J951">
        <f>IFERROR(IF(AND(H951&lt;&gt;"",H951&gt;=129,H951&lt;=2176),INDEX(Fields!$B$2:$B$206,MATCH(H951-129,Fields!$D$2:$D$206,1)),""),"")</f>
        <v/>
      </c>
      <c r="K951">
        <f>IFERROR(IF(AND(H951&lt;&gt;"",H951&gt;=129,H951&lt;=2176),INDEX(Fields!$C$2:$C$206,MATCH(H951-129,Fields!$D$2:$D$206,1)),""),"")</f>
        <v/>
      </c>
      <c r="L951">
        <f>IFERROR(IF(AND(H951&lt;&gt;"",H951&gt;=129,H951&lt;=2176),INDEX(Fields!$J$2:$J$206,MATCH(H951-129,Fields!$D$2:$D$206,1)),""),"")</f>
        <v/>
      </c>
      <c r="M951">
        <f>IFERROR(IF(AND(H951&lt;&gt;"",H951&gt;=129,H951&lt;=2176),INDEX(Fields!$K$2:$K$206,MATCH(H951-129,Fields!$D$2:$D$206,1)),""),"")</f>
        <v/>
      </c>
    </row>
    <row r="952">
      <c r="A952" t="n">
        <v>950</v>
      </c>
      <c r="B952" t="n">
        <v>0</v>
      </c>
      <c r="C952" t="inlineStr">
        <is>
          <t>No</t>
        </is>
      </c>
      <c r="D952">
        <f>IF(AND(B947=1,B948=1,B949=1,B950=1,B951=1),"Yes","")</f>
        <v/>
      </c>
      <c r="E952" t="inlineStr">
        <is>
          <t>No</t>
        </is>
      </c>
      <c r="F952" t="inlineStr">
        <is>
          <t>No</t>
        </is>
      </c>
      <c r="G952">
        <f>IF(F952="Yes",1-B952,B952)</f>
        <v/>
      </c>
      <c r="H952">
        <f>IF(E952="Yes","",COUNTIFS($E$2:E952,"No"))</f>
        <v/>
      </c>
      <c r="I952">
        <f>IF(H952="","",IF(H952&lt;=128,"address",IF(H952&lt;=600,"data1",IF(H952&lt;=1264,"zero-run1",IF(H952&lt;=1648,"data2",IF(H952&lt;=2176,"zero-run2",IF(H952&lt;=2192,"FCS","trailing")))))))</f>
        <v/>
      </c>
      <c r="J952">
        <f>IFERROR(IF(AND(H952&lt;&gt;"",H952&gt;=129,H952&lt;=2176),INDEX(Fields!$B$2:$B$206,MATCH(H952-129,Fields!$D$2:$D$206,1)),""),"")</f>
        <v/>
      </c>
      <c r="K952">
        <f>IFERROR(IF(AND(H952&lt;&gt;"",H952&gt;=129,H952&lt;=2176),INDEX(Fields!$C$2:$C$206,MATCH(H952-129,Fields!$D$2:$D$206,1)),""),"")</f>
        <v/>
      </c>
      <c r="L952">
        <f>IFERROR(IF(AND(H952&lt;&gt;"",H952&gt;=129,H952&lt;=2176),INDEX(Fields!$J$2:$J$206,MATCH(H952-129,Fields!$D$2:$D$206,1)),""),"")</f>
        <v/>
      </c>
      <c r="M952">
        <f>IFERROR(IF(AND(H952&lt;&gt;"",H952&gt;=129,H952&lt;=2176),INDEX(Fields!$K$2:$K$206,MATCH(H952-129,Fields!$D$2:$D$206,1)),""),"")</f>
        <v/>
      </c>
    </row>
    <row r="953">
      <c r="A953" t="n">
        <v>951</v>
      </c>
      <c r="B953" t="n">
        <v>0</v>
      </c>
      <c r="C953" t="inlineStr">
        <is>
          <t>No</t>
        </is>
      </c>
      <c r="D953">
        <f>IF(AND(B948=1,B949=1,B950=1,B951=1,B952=1),"Yes","")</f>
        <v/>
      </c>
      <c r="E953" t="inlineStr">
        <is>
          <t>No</t>
        </is>
      </c>
      <c r="F953" t="inlineStr">
        <is>
          <t>No</t>
        </is>
      </c>
      <c r="G953">
        <f>IF(F953="Yes",1-B953,B953)</f>
        <v/>
      </c>
      <c r="H953">
        <f>IF(E953="Yes","",COUNTIFS($E$2:E953,"No"))</f>
        <v/>
      </c>
      <c r="I953">
        <f>IF(H953="","",IF(H953&lt;=128,"address",IF(H953&lt;=600,"data1",IF(H953&lt;=1264,"zero-run1",IF(H953&lt;=1648,"data2",IF(H953&lt;=2176,"zero-run2",IF(H953&lt;=2192,"FCS","trailing")))))))</f>
        <v/>
      </c>
      <c r="J953">
        <f>IFERROR(IF(AND(H953&lt;&gt;"",H953&gt;=129,H953&lt;=2176),INDEX(Fields!$B$2:$B$206,MATCH(H953-129,Fields!$D$2:$D$206,1)),""),"")</f>
        <v/>
      </c>
      <c r="K953">
        <f>IFERROR(IF(AND(H953&lt;&gt;"",H953&gt;=129,H953&lt;=2176),INDEX(Fields!$C$2:$C$206,MATCH(H953-129,Fields!$D$2:$D$206,1)),""),"")</f>
        <v/>
      </c>
      <c r="L953">
        <f>IFERROR(IF(AND(H953&lt;&gt;"",H953&gt;=129,H953&lt;=2176),INDEX(Fields!$J$2:$J$206,MATCH(H953-129,Fields!$D$2:$D$206,1)),""),"")</f>
        <v/>
      </c>
      <c r="M953">
        <f>IFERROR(IF(AND(H953&lt;&gt;"",H953&gt;=129,H953&lt;=2176),INDEX(Fields!$K$2:$K$206,MATCH(H953-129,Fields!$D$2:$D$206,1)),""),"")</f>
        <v/>
      </c>
    </row>
    <row r="954">
      <c r="A954" t="n">
        <v>952</v>
      </c>
      <c r="B954" t="n">
        <v>0</v>
      </c>
      <c r="C954" t="inlineStr">
        <is>
          <t>No</t>
        </is>
      </c>
      <c r="D954">
        <f>IF(AND(B949=1,B950=1,B951=1,B952=1,B953=1),"Yes","")</f>
        <v/>
      </c>
      <c r="E954" t="inlineStr">
        <is>
          <t>No</t>
        </is>
      </c>
      <c r="F954" t="inlineStr">
        <is>
          <t>No</t>
        </is>
      </c>
      <c r="G954">
        <f>IF(F954="Yes",1-B954,B954)</f>
        <v/>
      </c>
      <c r="H954">
        <f>IF(E954="Yes","",COUNTIFS($E$2:E954,"No"))</f>
        <v/>
      </c>
      <c r="I954">
        <f>IF(H954="","",IF(H954&lt;=128,"address",IF(H954&lt;=600,"data1",IF(H954&lt;=1264,"zero-run1",IF(H954&lt;=1648,"data2",IF(H954&lt;=2176,"zero-run2",IF(H954&lt;=2192,"FCS","trailing")))))))</f>
        <v/>
      </c>
      <c r="J954">
        <f>IFERROR(IF(AND(H954&lt;&gt;"",H954&gt;=129,H954&lt;=2176),INDEX(Fields!$B$2:$B$206,MATCH(H954-129,Fields!$D$2:$D$206,1)),""),"")</f>
        <v/>
      </c>
      <c r="K954">
        <f>IFERROR(IF(AND(H954&lt;&gt;"",H954&gt;=129,H954&lt;=2176),INDEX(Fields!$C$2:$C$206,MATCH(H954-129,Fields!$D$2:$D$206,1)),""),"")</f>
        <v/>
      </c>
      <c r="L954">
        <f>IFERROR(IF(AND(H954&lt;&gt;"",H954&gt;=129,H954&lt;=2176),INDEX(Fields!$J$2:$J$206,MATCH(H954-129,Fields!$D$2:$D$206,1)),""),"")</f>
        <v/>
      </c>
      <c r="M954">
        <f>IFERROR(IF(AND(H954&lt;&gt;"",H954&gt;=129,H954&lt;=2176),INDEX(Fields!$K$2:$K$206,MATCH(H954-129,Fields!$D$2:$D$206,1)),""),"")</f>
        <v/>
      </c>
    </row>
    <row r="955">
      <c r="A955" t="n">
        <v>953</v>
      </c>
      <c r="B955" t="n">
        <v>0</v>
      </c>
      <c r="C955" t="inlineStr">
        <is>
          <t>No</t>
        </is>
      </c>
      <c r="D955">
        <f>IF(AND(B950=1,B951=1,B952=1,B953=1,B954=1),"Yes","")</f>
        <v/>
      </c>
      <c r="E955" t="inlineStr">
        <is>
          <t>No</t>
        </is>
      </c>
      <c r="F955" t="inlineStr">
        <is>
          <t>No</t>
        </is>
      </c>
      <c r="G955">
        <f>IF(F955="Yes",1-B955,B955)</f>
        <v/>
      </c>
      <c r="H955">
        <f>IF(E955="Yes","",COUNTIFS($E$2:E955,"No"))</f>
        <v/>
      </c>
      <c r="I955">
        <f>IF(H955="","",IF(H955&lt;=128,"address",IF(H955&lt;=600,"data1",IF(H955&lt;=1264,"zero-run1",IF(H955&lt;=1648,"data2",IF(H955&lt;=2176,"zero-run2",IF(H955&lt;=2192,"FCS","trailing")))))))</f>
        <v/>
      </c>
      <c r="J955">
        <f>IFERROR(IF(AND(H955&lt;&gt;"",H955&gt;=129,H955&lt;=2176),INDEX(Fields!$B$2:$B$206,MATCH(H955-129,Fields!$D$2:$D$206,1)),""),"")</f>
        <v/>
      </c>
      <c r="K955">
        <f>IFERROR(IF(AND(H955&lt;&gt;"",H955&gt;=129,H955&lt;=2176),INDEX(Fields!$C$2:$C$206,MATCH(H955-129,Fields!$D$2:$D$206,1)),""),"")</f>
        <v/>
      </c>
      <c r="L955">
        <f>IFERROR(IF(AND(H955&lt;&gt;"",H955&gt;=129,H955&lt;=2176),INDEX(Fields!$J$2:$J$206,MATCH(H955-129,Fields!$D$2:$D$206,1)),""),"")</f>
        <v/>
      </c>
      <c r="M955">
        <f>IFERROR(IF(AND(H955&lt;&gt;"",H955&gt;=129,H955&lt;=2176),INDEX(Fields!$K$2:$K$206,MATCH(H955-129,Fields!$D$2:$D$206,1)),""),"")</f>
        <v/>
      </c>
    </row>
    <row r="956">
      <c r="A956" t="n">
        <v>954</v>
      </c>
      <c r="B956" t="n">
        <v>0</v>
      </c>
      <c r="C956" t="inlineStr">
        <is>
          <t>No</t>
        </is>
      </c>
      <c r="D956">
        <f>IF(AND(B951=1,B952=1,B953=1,B954=1,B955=1),"Yes","")</f>
        <v/>
      </c>
      <c r="E956" t="inlineStr">
        <is>
          <t>No</t>
        </is>
      </c>
      <c r="F956" t="inlineStr">
        <is>
          <t>No</t>
        </is>
      </c>
      <c r="G956">
        <f>IF(F956="Yes",1-B956,B956)</f>
        <v/>
      </c>
      <c r="H956">
        <f>IF(E956="Yes","",COUNTIFS($E$2:E956,"No"))</f>
        <v/>
      </c>
      <c r="I956">
        <f>IF(H956="","",IF(H956&lt;=128,"address",IF(H956&lt;=600,"data1",IF(H956&lt;=1264,"zero-run1",IF(H956&lt;=1648,"data2",IF(H956&lt;=2176,"zero-run2",IF(H956&lt;=2192,"FCS","trailing")))))))</f>
        <v/>
      </c>
      <c r="J956">
        <f>IFERROR(IF(AND(H956&lt;&gt;"",H956&gt;=129,H956&lt;=2176),INDEX(Fields!$B$2:$B$206,MATCH(H956-129,Fields!$D$2:$D$206,1)),""),"")</f>
        <v/>
      </c>
      <c r="K956">
        <f>IFERROR(IF(AND(H956&lt;&gt;"",H956&gt;=129,H956&lt;=2176),INDEX(Fields!$C$2:$C$206,MATCH(H956-129,Fields!$D$2:$D$206,1)),""),"")</f>
        <v/>
      </c>
      <c r="L956">
        <f>IFERROR(IF(AND(H956&lt;&gt;"",H956&gt;=129,H956&lt;=2176),INDEX(Fields!$J$2:$J$206,MATCH(H956-129,Fields!$D$2:$D$206,1)),""),"")</f>
        <v/>
      </c>
      <c r="M956">
        <f>IFERROR(IF(AND(H956&lt;&gt;"",H956&gt;=129,H956&lt;=2176),INDEX(Fields!$K$2:$K$206,MATCH(H956-129,Fields!$D$2:$D$206,1)),""),"")</f>
        <v/>
      </c>
    </row>
    <row r="957">
      <c r="A957" t="n">
        <v>955</v>
      </c>
      <c r="B957" t="n">
        <v>0</v>
      </c>
      <c r="C957" t="inlineStr">
        <is>
          <t>No</t>
        </is>
      </c>
      <c r="D957">
        <f>IF(AND(B952=1,B953=1,B954=1,B955=1,B956=1),"Yes","")</f>
        <v/>
      </c>
      <c r="E957" t="inlineStr">
        <is>
          <t>No</t>
        </is>
      </c>
      <c r="F957" t="inlineStr">
        <is>
          <t>No</t>
        </is>
      </c>
      <c r="G957">
        <f>IF(F957="Yes",1-B957,B957)</f>
        <v/>
      </c>
      <c r="H957">
        <f>IF(E957="Yes","",COUNTIFS($E$2:E957,"No"))</f>
        <v/>
      </c>
      <c r="I957">
        <f>IF(H957="","",IF(H957&lt;=128,"address",IF(H957&lt;=600,"data1",IF(H957&lt;=1264,"zero-run1",IF(H957&lt;=1648,"data2",IF(H957&lt;=2176,"zero-run2",IF(H957&lt;=2192,"FCS","trailing")))))))</f>
        <v/>
      </c>
      <c r="J957">
        <f>IFERROR(IF(AND(H957&lt;&gt;"",H957&gt;=129,H957&lt;=2176),INDEX(Fields!$B$2:$B$206,MATCH(H957-129,Fields!$D$2:$D$206,1)),""),"")</f>
        <v/>
      </c>
      <c r="K957">
        <f>IFERROR(IF(AND(H957&lt;&gt;"",H957&gt;=129,H957&lt;=2176),INDEX(Fields!$C$2:$C$206,MATCH(H957-129,Fields!$D$2:$D$206,1)),""),"")</f>
        <v/>
      </c>
      <c r="L957">
        <f>IFERROR(IF(AND(H957&lt;&gt;"",H957&gt;=129,H957&lt;=2176),INDEX(Fields!$J$2:$J$206,MATCH(H957-129,Fields!$D$2:$D$206,1)),""),"")</f>
        <v/>
      </c>
      <c r="M957">
        <f>IFERROR(IF(AND(H957&lt;&gt;"",H957&gt;=129,H957&lt;=2176),INDEX(Fields!$K$2:$K$206,MATCH(H957-129,Fields!$D$2:$D$206,1)),""),"")</f>
        <v/>
      </c>
    </row>
    <row r="958">
      <c r="A958" t="n">
        <v>956</v>
      </c>
      <c r="B958" t="n">
        <v>0</v>
      </c>
      <c r="C958" t="inlineStr">
        <is>
          <t>No</t>
        </is>
      </c>
      <c r="D958">
        <f>IF(AND(B953=1,B954=1,B955=1,B956=1,B957=1),"Yes","")</f>
        <v/>
      </c>
      <c r="E958" t="inlineStr">
        <is>
          <t>No</t>
        </is>
      </c>
      <c r="F958" t="inlineStr">
        <is>
          <t>No</t>
        </is>
      </c>
      <c r="G958">
        <f>IF(F958="Yes",1-B958,B958)</f>
        <v/>
      </c>
      <c r="H958">
        <f>IF(E958="Yes","",COUNTIFS($E$2:E958,"No"))</f>
        <v/>
      </c>
      <c r="I958">
        <f>IF(H958="","",IF(H958&lt;=128,"address",IF(H958&lt;=600,"data1",IF(H958&lt;=1264,"zero-run1",IF(H958&lt;=1648,"data2",IF(H958&lt;=2176,"zero-run2",IF(H958&lt;=2192,"FCS","trailing")))))))</f>
        <v/>
      </c>
      <c r="J958">
        <f>IFERROR(IF(AND(H958&lt;&gt;"",H958&gt;=129,H958&lt;=2176),INDEX(Fields!$B$2:$B$206,MATCH(H958-129,Fields!$D$2:$D$206,1)),""),"")</f>
        <v/>
      </c>
      <c r="K958">
        <f>IFERROR(IF(AND(H958&lt;&gt;"",H958&gt;=129,H958&lt;=2176),INDEX(Fields!$C$2:$C$206,MATCH(H958-129,Fields!$D$2:$D$206,1)),""),"")</f>
        <v/>
      </c>
      <c r="L958">
        <f>IFERROR(IF(AND(H958&lt;&gt;"",H958&gt;=129,H958&lt;=2176),INDEX(Fields!$J$2:$J$206,MATCH(H958-129,Fields!$D$2:$D$206,1)),""),"")</f>
        <v/>
      </c>
      <c r="M958">
        <f>IFERROR(IF(AND(H958&lt;&gt;"",H958&gt;=129,H958&lt;=2176),INDEX(Fields!$K$2:$K$206,MATCH(H958-129,Fields!$D$2:$D$206,1)),""),"")</f>
        <v/>
      </c>
    </row>
    <row r="959">
      <c r="A959" t="n">
        <v>957</v>
      </c>
      <c r="B959" t="n">
        <v>0</v>
      </c>
      <c r="C959" t="inlineStr">
        <is>
          <t>No</t>
        </is>
      </c>
      <c r="D959">
        <f>IF(AND(B954=1,B955=1,B956=1,B957=1,B958=1),"Yes","")</f>
        <v/>
      </c>
      <c r="E959" t="inlineStr">
        <is>
          <t>No</t>
        </is>
      </c>
      <c r="F959" t="inlineStr">
        <is>
          <t>No</t>
        </is>
      </c>
      <c r="G959">
        <f>IF(F959="Yes",1-B959,B959)</f>
        <v/>
      </c>
      <c r="H959">
        <f>IF(E959="Yes","",COUNTIFS($E$2:E959,"No"))</f>
        <v/>
      </c>
      <c r="I959">
        <f>IF(H959="","",IF(H959&lt;=128,"address",IF(H959&lt;=600,"data1",IF(H959&lt;=1264,"zero-run1",IF(H959&lt;=1648,"data2",IF(H959&lt;=2176,"zero-run2",IF(H959&lt;=2192,"FCS","trailing")))))))</f>
        <v/>
      </c>
      <c r="J959">
        <f>IFERROR(IF(AND(H959&lt;&gt;"",H959&gt;=129,H959&lt;=2176),INDEX(Fields!$B$2:$B$206,MATCH(H959-129,Fields!$D$2:$D$206,1)),""),"")</f>
        <v/>
      </c>
      <c r="K959">
        <f>IFERROR(IF(AND(H959&lt;&gt;"",H959&gt;=129,H959&lt;=2176),INDEX(Fields!$C$2:$C$206,MATCH(H959-129,Fields!$D$2:$D$206,1)),""),"")</f>
        <v/>
      </c>
      <c r="L959">
        <f>IFERROR(IF(AND(H959&lt;&gt;"",H959&gt;=129,H959&lt;=2176),INDEX(Fields!$J$2:$J$206,MATCH(H959-129,Fields!$D$2:$D$206,1)),""),"")</f>
        <v/>
      </c>
      <c r="M959">
        <f>IFERROR(IF(AND(H959&lt;&gt;"",H959&gt;=129,H959&lt;=2176),INDEX(Fields!$K$2:$K$206,MATCH(H959-129,Fields!$D$2:$D$206,1)),""),"")</f>
        <v/>
      </c>
    </row>
    <row r="960">
      <c r="A960" t="n">
        <v>958</v>
      </c>
      <c r="B960" t="n">
        <v>0</v>
      </c>
      <c r="C960" t="inlineStr">
        <is>
          <t>No</t>
        </is>
      </c>
      <c r="D960">
        <f>IF(AND(B955=1,B956=1,B957=1,B958=1,B959=1),"Yes","")</f>
        <v/>
      </c>
      <c r="E960" t="inlineStr">
        <is>
          <t>No</t>
        </is>
      </c>
      <c r="F960" t="inlineStr">
        <is>
          <t>No</t>
        </is>
      </c>
      <c r="G960">
        <f>IF(F960="Yes",1-B960,B960)</f>
        <v/>
      </c>
      <c r="H960">
        <f>IF(E960="Yes","",COUNTIFS($E$2:E960,"No"))</f>
        <v/>
      </c>
      <c r="I960">
        <f>IF(H960="","",IF(H960&lt;=128,"address",IF(H960&lt;=600,"data1",IF(H960&lt;=1264,"zero-run1",IF(H960&lt;=1648,"data2",IF(H960&lt;=2176,"zero-run2",IF(H960&lt;=2192,"FCS","trailing")))))))</f>
        <v/>
      </c>
      <c r="J960">
        <f>IFERROR(IF(AND(H960&lt;&gt;"",H960&gt;=129,H960&lt;=2176),INDEX(Fields!$B$2:$B$206,MATCH(H960-129,Fields!$D$2:$D$206,1)),""),"")</f>
        <v/>
      </c>
      <c r="K960">
        <f>IFERROR(IF(AND(H960&lt;&gt;"",H960&gt;=129,H960&lt;=2176),INDEX(Fields!$C$2:$C$206,MATCH(H960-129,Fields!$D$2:$D$206,1)),""),"")</f>
        <v/>
      </c>
      <c r="L960">
        <f>IFERROR(IF(AND(H960&lt;&gt;"",H960&gt;=129,H960&lt;=2176),INDEX(Fields!$J$2:$J$206,MATCH(H960-129,Fields!$D$2:$D$206,1)),""),"")</f>
        <v/>
      </c>
      <c r="M960">
        <f>IFERROR(IF(AND(H960&lt;&gt;"",H960&gt;=129,H960&lt;=2176),INDEX(Fields!$K$2:$K$206,MATCH(H960-129,Fields!$D$2:$D$206,1)),""),"")</f>
        <v/>
      </c>
    </row>
    <row r="961">
      <c r="A961" t="n">
        <v>959</v>
      </c>
      <c r="B961" t="n">
        <v>0</v>
      </c>
      <c r="C961" t="inlineStr">
        <is>
          <t>No</t>
        </is>
      </c>
      <c r="D961">
        <f>IF(AND(B956=1,B957=1,B958=1,B959=1,B960=1),"Yes","")</f>
        <v/>
      </c>
      <c r="E961" t="inlineStr">
        <is>
          <t>No</t>
        </is>
      </c>
      <c r="F961" t="inlineStr">
        <is>
          <t>No</t>
        </is>
      </c>
      <c r="G961">
        <f>IF(F961="Yes",1-B961,B961)</f>
        <v/>
      </c>
      <c r="H961">
        <f>IF(E961="Yes","",COUNTIFS($E$2:E961,"No"))</f>
        <v/>
      </c>
      <c r="I961">
        <f>IF(H961="","",IF(H961&lt;=128,"address",IF(H961&lt;=600,"data1",IF(H961&lt;=1264,"zero-run1",IF(H961&lt;=1648,"data2",IF(H961&lt;=2176,"zero-run2",IF(H961&lt;=2192,"FCS","trailing")))))))</f>
        <v/>
      </c>
      <c r="J961">
        <f>IFERROR(IF(AND(H961&lt;&gt;"",H961&gt;=129,H961&lt;=2176),INDEX(Fields!$B$2:$B$206,MATCH(H961-129,Fields!$D$2:$D$206,1)),""),"")</f>
        <v/>
      </c>
      <c r="K961">
        <f>IFERROR(IF(AND(H961&lt;&gt;"",H961&gt;=129,H961&lt;=2176),INDEX(Fields!$C$2:$C$206,MATCH(H961-129,Fields!$D$2:$D$206,1)),""),"")</f>
        <v/>
      </c>
      <c r="L961">
        <f>IFERROR(IF(AND(H961&lt;&gt;"",H961&gt;=129,H961&lt;=2176),INDEX(Fields!$J$2:$J$206,MATCH(H961-129,Fields!$D$2:$D$206,1)),""),"")</f>
        <v/>
      </c>
      <c r="M961">
        <f>IFERROR(IF(AND(H961&lt;&gt;"",H961&gt;=129,H961&lt;=2176),INDEX(Fields!$K$2:$K$206,MATCH(H961-129,Fields!$D$2:$D$206,1)),""),"")</f>
        <v/>
      </c>
    </row>
    <row r="962">
      <c r="A962" t="n">
        <v>960</v>
      </c>
      <c r="B962" t="n">
        <v>0</v>
      </c>
      <c r="C962" t="inlineStr">
        <is>
          <t>No</t>
        </is>
      </c>
      <c r="D962">
        <f>IF(AND(B957=1,B958=1,B959=1,B960=1,B961=1),"Yes","")</f>
        <v/>
      </c>
      <c r="E962" t="inlineStr">
        <is>
          <t>No</t>
        </is>
      </c>
      <c r="F962" t="inlineStr">
        <is>
          <t>No</t>
        </is>
      </c>
      <c r="G962">
        <f>IF(F962="Yes",1-B962,B962)</f>
        <v/>
      </c>
      <c r="H962">
        <f>IF(E962="Yes","",COUNTIFS($E$2:E962,"No"))</f>
        <v/>
      </c>
      <c r="I962">
        <f>IF(H962="","",IF(H962&lt;=128,"address",IF(H962&lt;=600,"data1",IF(H962&lt;=1264,"zero-run1",IF(H962&lt;=1648,"data2",IF(H962&lt;=2176,"zero-run2",IF(H962&lt;=2192,"FCS","trailing")))))))</f>
        <v/>
      </c>
      <c r="J962">
        <f>IFERROR(IF(AND(H962&lt;&gt;"",H962&gt;=129,H962&lt;=2176),INDEX(Fields!$B$2:$B$206,MATCH(H962-129,Fields!$D$2:$D$206,1)),""),"")</f>
        <v/>
      </c>
      <c r="K962">
        <f>IFERROR(IF(AND(H962&lt;&gt;"",H962&gt;=129,H962&lt;=2176),INDEX(Fields!$C$2:$C$206,MATCH(H962-129,Fields!$D$2:$D$206,1)),""),"")</f>
        <v/>
      </c>
      <c r="L962">
        <f>IFERROR(IF(AND(H962&lt;&gt;"",H962&gt;=129,H962&lt;=2176),INDEX(Fields!$J$2:$J$206,MATCH(H962-129,Fields!$D$2:$D$206,1)),""),"")</f>
        <v/>
      </c>
      <c r="M962">
        <f>IFERROR(IF(AND(H962&lt;&gt;"",H962&gt;=129,H962&lt;=2176),INDEX(Fields!$K$2:$K$206,MATCH(H962-129,Fields!$D$2:$D$206,1)),""),"")</f>
        <v/>
      </c>
    </row>
    <row r="963">
      <c r="A963" t="n">
        <v>961</v>
      </c>
      <c r="B963" t="n">
        <v>0</v>
      </c>
      <c r="C963" t="inlineStr">
        <is>
          <t>No</t>
        </is>
      </c>
      <c r="D963">
        <f>IF(AND(B958=1,B959=1,B960=1,B961=1,B962=1),"Yes","")</f>
        <v/>
      </c>
      <c r="E963" t="inlineStr">
        <is>
          <t>No</t>
        </is>
      </c>
      <c r="F963" t="inlineStr">
        <is>
          <t>No</t>
        </is>
      </c>
      <c r="G963">
        <f>IF(F963="Yes",1-B963,B963)</f>
        <v/>
      </c>
      <c r="H963">
        <f>IF(E963="Yes","",COUNTIFS($E$2:E963,"No"))</f>
        <v/>
      </c>
      <c r="I963">
        <f>IF(H963="","",IF(H963&lt;=128,"address",IF(H963&lt;=600,"data1",IF(H963&lt;=1264,"zero-run1",IF(H963&lt;=1648,"data2",IF(H963&lt;=2176,"zero-run2",IF(H963&lt;=2192,"FCS","trailing")))))))</f>
        <v/>
      </c>
      <c r="J963">
        <f>IFERROR(IF(AND(H963&lt;&gt;"",H963&gt;=129,H963&lt;=2176),INDEX(Fields!$B$2:$B$206,MATCH(H963-129,Fields!$D$2:$D$206,1)),""),"")</f>
        <v/>
      </c>
      <c r="K963">
        <f>IFERROR(IF(AND(H963&lt;&gt;"",H963&gt;=129,H963&lt;=2176),INDEX(Fields!$C$2:$C$206,MATCH(H963-129,Fields!$D$2:$D$206,1)),""),"")</f>
        <v/>
      </c>
      <c r="L963">
        <f>IFERROR(IF(AND(H963&lt;&gt;"",H963&gt;=129,H963&lt;=2176),INDEX(Fields!$J$2:$J$206,MATCH(H963-129,Fields!$D$2:$D$206,1)),""),"")</f>
        <v/>
      </c>
      <c r="M963">
        <f>IFERROR(IF(AND(H963&lt;&gt;"",H963&gt;=129,H963&lt;=2176),INDEX(Fields!$K$2:$K$206,MATCH(H963-129,Fields!$D$2:$D$206,1)),""),"")</f>
        <v/>
      </c>
    </row>
    <row r="964">
      <c r="A964" t="n">
        <v>962</v>
      </c>
      <c r="B964" t="n">
        <v>0</v>
      </c>
      <c r="C964" t="inlineStr">
        <is>
          <t>No</t>
        </is>
      </c>
      <c r="D964">
        <f>IF(AND(B959=1,B960=1,B961=1,B962=1,B963=1),"Yes","")</f>
        <v/>
      </c>
      <c r="E964" t="inlineStr">
        <is>
          <t>No</t>
        </is>
      </c>
      <c r="F964" t="inlineStr">
        <is>
          <t>No</t>
        </is>
      </c>
      <c r="G964">
        <f>IF(F964="Yes",1-B964,B964)</f>
        <v/>
      </c>
      <c r="H964">
        <f>IF(E964="Yes","",COUNTIFS($E$2:E964,"No"))</f>
        <v/>
      </c>
      <c r="I964">
        <f>IF(H964="","",IF(H964&lt;=128,"address",IF(H964&lt;=600,"data1",IF(H964&lt;=1264,"zero-run1",IF(H964&lt;=1648,"data2",IF(H964&lt;=2176,"zero-run2",IF(H964&lt;=2192,"FCS","trailing")))))))</f>
        <v/>
      </c>
      <c r="J964">
        <f>IFERROR(IF(AND(H964&lt;&gt;"",H964&gt;=129,H964&lt;=2176),INDEX(Fields!$B$2:$B$206,MATCH(H964-129,Fields!$D$2:$D$206,1)),""),"")</f>
        <v/>
      </c>
      <c r="K964">
        <f>IFERROR(IF(AND(H964&lt;&gt;"",H964&gt;=129,H964&lt;=2176),INDEX(Fields!$C$2:$C$206,MATCH(H964-129,Fields!$D$2:$D$206,1)),""),"")</f>
        <v/>
      </c>
      <c r="L964">
        <f>IFERROR(IF(AND(H964&lt;&gt;"",H964&gt;=129,H964&lt;=2176),INDEX(Fields!$J$2:$J$206,MATCH(H964-129,Fields!$D$2:$D$206,1)),""),"")</f>
        <v/>
      </c>
      <c r="M964">
        <f>IFERROR(IF(AND(H964&lt;&gt;"",H964&gt;=129,H964&lt;=2176),INDEX(Fields!$K$2:$K$206,MATCH(H964-129,Fields!$D$2:$D$206,1)),""),"")</f>
        <v/>
      </c>
    </row>
    <row r="965">
      <c r="A965" t="n">
        <v>963</v>
      </c>
      <c r="B965" t="n">
        <v>0</v>
      </c>
      <c r="C965" t="inlineStr">
        <is>
          <t>No</t>
        </is>
      </c>
      <c r="D965">
        <f>IF(AND(B960=1,B961=1,B962=1,B963=1,B964=1),"Yes","")</f>
        <v/>
      </c>
      <c r="E965" t="inlineStr">
        <is>
          <t>No</t>
        </is>
      </c>
      <c r="F965" t="inlineStr">
        <is>
          <t>No</t>
        </is>
      </c>
      <c r="G965">
        <f>IF(F965="Yes",1-B965,B965)</f>
        <v/>
      </c>
      <c r="H965">
        <f>IF(E965="Yes","",COUNTIFS($E$2:E965,"No"))</f>
        <v/>
      </c>
      <c r="I965">
        <f>IF(H965="","",IF(H965&lt;=128,"address",IF(H965&lt;=600,"data1",IF(H965&lt;=1264,"zero-run1",IF(H965&lt;=1648,"data2",IF(H965&lt;=2176,"zero-run2",IF(H965&lt;=2192,"FCS","trailing")))))))</f>
        <v/>
      </c>
      <c r="J965">
        <f>IFERROR(IF(AND(H965&lt;&gt;"",H965&gt;=129,H965&lt;=2176),INDEX(Fields!$B$2:$B$206,MATCH(H965-129,Fields!$D$2:$D$206,1)),""),"")</f>
        <v/>
      </c>
      <c r="K965">
        <f>IFERROR(IF(AND(H965&lt;&gt;"",H965&gt;=129,H965&lt;=2176),INDEX(Fields!$C$2:$C$206,MATCH(H965-129,Fields!$D$2:$D$206,1)),""),"")</f>
        <v/>
      </c>
      <c r="L965">
        <f>IFERROR(IF(AND(H965&lt;&gt;"",H965&gt;=129,H965&lt;=2176),INDEX(Fields!$J$2:$J$206,MATCH(H965-129,Fields!$D$2:$D$206,1)),""),"")</f>
        <v/>
      </c>
      <c r="M965">
        <f>IFERROR(IF(AND(H965&lt;&gt;"",H965&gt;=129,H965&lt;=2176),INDEX(Fields!$K$2:$K$206,MATCH(H965-129,Fields!$D$2:$D$206,1)),""),"")</f>
        <v/>
      </c>
    </row>
    <row r="966">
      <c r="A966" t="n">
        <v>964</v>
      </c>
      <c r="B966" t="n">
        <v>0</v>
      </c>
      <c r="C966" t="inlineStr">
        <is>
          <t>No</t>
        </is>
      </c>
      <c r="D966">
        <f>IF(AND(B961=1,B962=1,B963=1,B964=1,B965=1),"Yes","")</f>
        <v/>
      </c>
      <c r="E966" t="inlineStr">
        <is>
          <t>No</t>
        </is>
      </c>
      <c r="F966" t="inlineStr">
        <is>
          <t>No</t>
        </is>
      </c>
      <c r="G966">
        <f>IF(F966="Yes",1-B966,B966)</f>
        <v/>
      </c>
      <c r="H966">
        <f>IF(E966="Yes","",COUNTIFS($E$2:E966,"No"))</f>
        <v/>
      </c>
      <c r="I966">
        <f>IF(H966="","",IF(H966&lt;=128,"address",IF(H966&lt;=600,"data1",IF(H966&lt;=1264,"zero-run1",IF(H966&lt;=1648,"data2",IF(H966&lt;=2176,"zero-run2",IF(H966&lt;=2192,"FCS","trailing")))))))</f>
        <v/>
      </c>
      <c r="J966">
        <f>IFERROR(IF(AND(H966&lt;&gt;"",H966&gt;=129,H966&lt;=2176),INDEX(Fields!$B$2:$B$206,MATCH(H966-129,Fields!$D$2:$D$206,1)),""),"")</f>
        <v/>
      </c>
      <c r="K966">
        <f>IFERROR(IF(AND(H966&lt;&gt;"",H966&gt;=129,H966&lt;=2176),INDEX(Fields!$C$2:$C$206,MATCH(H966-129,Fields!$D$2:$D$206,1)),""),"")</f>
        <v/>
      </c>
      <c r="L966">
        <f>IFERROR(IF(AND(H966&lt;&gt;"",H966&gt;=129,H966&lt;=2176),INDEX(Fields!$J$2:$J$206,MATCH(H966-129,Fields!$D$2:$D$206,1)),""),"")</f>
        <v/>
      </c>
      <c r="M966">
        <f>IFERROR(IF(AND(H966&lt;&gt;"",H966&gt;=129,H966&lt;=2176),INDEX(Fields!$K$2:$K$206,MATCH(H966-129,Fields!$D$2:$D$206,1)),""),"")</f>
        <v/>
      </c>
    </row>
    <row r="967">
      <c r="A967" t="n">
        <v>965</v>
      </c>
      <c r="B967" t="n">
        <v>0</v>
      </c>
      <c r="C967" t="inlineStr">
        <is>
          <t>No</t>
        </is>
      </c>
      <c r="D967">
        <f>IF(AND(B962=1,B963=1,B964=1,B965=1,B966=1),"Yes","")</f>
        <v/>
      </c>
      <c r="E967" t="inlineStr">
        <is>
          <t>No</t>
        </is>
      </c>
      <c r="F967" t="inlineStr">
        <is>
          <t>No</t>
        </is>
      </c>
      <c r="G967">
        <f>IF(F967="Yes",1-B967,B967)</f>
        <v/>
      </c>
      <c r="H967">
        <f>IF(E967="Yes","",COUNTIFS($E$2:E967,"No"))</f>
        <v/>
      </c>
      <c r="I967">
        <f>IF(H967="","",IF(H967&lt;=128,"address",IF(H967&lt;=600,"data1",IF(H967&lt;=1264,"zero-run1",IF(H967&lt;=1648,"data2",IF(H967&lt;=2176,"zero-run2",IF(H967&lt;=2192,"FCS","trailing")))))))</f>
        <v/>
      </c>
      <c r="J967">
        <f>IFERROR(IF(AND(H967&lt;&gt;"",H967&gt;=129,H967&lt;=2176),INDEX(Fields!$B$2:$B$206,MATCH(H967-129,Fields!$D$2:$D$206,1)),""),"")</f>
        <v/>
      </c>
      <c r="K967">
        <f>IFERROR(IF(AND(H967&lt;&gt;"",H967&gt;=129,H967&lt;=2176),INDEX(Fields!$C$2:$C$206,MATCH(H967-129,Fields!$D$2:$D$206,1)),""),"")</f>
        <v/>
      </c>
      <c r="L967">
        <f>IFERROR(IF(AND(H967&lt;&gt;"",H967&gt;=129,H967&lt;=2176),INDEX(Fields!$J$2:$J$206,MATCH(H967-129,Fields!$D$2:$D$206,1)),""),"")</f>
        <v/>
      </c>
      <c r="M967">
        <f>IFERROR(IF(AND(H967&lt;&gt;"",H967&gt;=129,H967&lt;=2176),INDEX(Fields!$K$2:$K$206,MATCH(H967-129,Fields!$D$2:$D$206,1)),""),"")</f>
        <v/>
      </c>
    </row>
    <row r="968">
      <c r="A968" t="n">
        <v>966</v>
      </c>
      <c r="B968" t="n">
        <v>0</v>
      </c>
      <c r="C968" t="inlineStr">
        <is>
          <t>No</t>
        </is>
      </c>
      <c r="D968">
        <f>IF(AND(B963=1,B964=1,B965=1,B966=1,B967=1),"Yes","")</f>
        <v/>
      </c>
      <c r="E968" t="inlineStr">
        <is>
          <t>No</t>
        </is>
      </c>
      <c r="F968" t="inlineStr">
        <is>
          <t>No</t>
        </is>
      </c>
      <c r="G968">
        <f>IF(F968="Yes",1-B968,B968)</f>
        <v/>
      </c>
      <c r="H968">
        <f>IF(E968="Yes","",COUNTIFS($E$2:E968,"No"))</f>
        <v/>
      </c>
      <c r="I968">
        <f>IF(H968="","",IF(H968&lt;=128,"address",IF(H968&lt;=600,"data1",IF(H968&lt;=1264,"zero-run1",IF(H968&lt;=1648,"data2",IF(H968&lt;=2176,"zero-run2",IF(H968&lt;=2192,"FCS","trailing")))))))</f>
        <v/>
      </c>
      <c r="J968">
        <f>IFERROR(IF(AND(H968&lt;&gt;"",H968&gt;=129,H968&lt;=2176),INDEX(Fields!$B$2:$B$206,MATCH(H968-129,Fields!$D$2:$D$206,1)),""),"")</f>
        <v/>
      </c>
      <c r="K968">
        <f>IFERROR(IF(AND(H968&lt;&gt;"",H968&gt;=129,H968&lt;=2176),INDEX(Fields!$C$2:$C$206,MATCH(H968-129,Fields!$D$2:$D$206,1)),""),"")</f>
        <v/>
      </c>
      <c r="L968">
        <f>IFERROR(IF(AND(H968&lt;&gt;"",H968&gt;=129,H968&lt;=2176),INDEX(Fields!$J$2:$J$206,MATCH(H968-129,Fields!$D$2:$D$206,1)),""),"")</f>
        <v/>
      </c>
      <c r="M968">
        <f>IFERROR(IF(AND(H968&lt;&gt;"",H968&gt;=129,H968&lt;=2176),INDEX(Fields!$K$2:$K$206,MATCH(H968-129,Fields!$D$2:$D$206,1)),""),"")</f>
        <v/>
      </c>
    </row>
    <row r="969">
      <c r="A969" t="n">
        <v>967</v>
      </c>
      <c r="B969" t="n">
        <v>0</v>
      </c>
      <c r="C969" t="inlineStr">
        <is>
          <t>No</t>
        </is>
      </c>
      <c r="D969">
        <f>IF(AND(B964=1,B965=1,B966=1,B967=1,B968=1),"Yes","")</f>
        <v/>
      </c>
      <c r="E969" t="inlineStr">
        <is>
          <t>No</t>
        </is>
      </c>
      <c r="F969" t="inlineStr">
        <is>
          <t>No</t>
        </is>
      </c>
      <c r="G969">
        <f>IF(F969="Yes",1-B969,B969)</f>
        <v/>
      </c>
      <c r="H969">
        <f>IF(E969="Yes","",COUNTIFS($E$2:E969,"No"))</f>
        <v/>
      </c>
      <c r="I969">
        <f>IF(H969="","",IF(H969&lt;=128,"address",IF(H969&lt;=600,"data1",IF(H969&lt;=1264,"zero-run1",IF(H969&lt;=1648,"data2",IF(H969&lt;=2176,"zero-run2",IF(H969&lt;=2192,"FCS","trailing")))))))</f>
        <v/>
      </c>
      <c r="J969">
        <f>IFERROR(IF(AND(H969&lt;&gt;"",H969&gt;=129,H969&lt;=2176),INDEX(Fields!$B$2:$B$206,MATCH(H969-129,Fields!$D$2:$D$206,1)),""),"")</f>
        <v/>
      </c>
      <c r="K969">
        <f>IFERROR(IF(AND(H969&lt;&gt;"",H969&gt;=129,H969&lt;=2176),INDEX(Fields!$C$2:$C$206,MATCH(H969-129,Fields!$D$2:$D$206,1)),""),"")</f>
        <v/>
      </c>
      <c r="L969">
        <f>IFERROR(IF(AND(H969&lt;&gt;"",H969&gt;=129,H969&lt;=2176),INDEX(Fields!$J$2:$J$206,MATCH(H969-129,Fields!$D$2:$D$206,1)),""),"")</f>
        <v/>
      </c>
      <c r="M969">
        <f>IFERROR(IF(AND(H969&lt;&gt;"",H969&gt;=129,H969&lt;=2176),INDEX(Fields!$K$2:$K$206,MATCH(H969-129,Fields!$D$2:$D$206,1)),""),"")</f>
        <v/>
      </c>
    </row>
    <row r="970">
      <c r="A970" t="n">
        <v>968</v>
      </c>
      <c r="B970" t="n">
        <v>0</v>
      </c>
      <c r="C970" t="inlineStr">
        <is>
          <t>No</t>
        </is>
      </c>
      <c r="D970">
        <f>IF(AND(B965=1,B966=1,B967=1,B968=1,B969=1),"Yes","")</f>
        <v/>
      </c>
      <c r="E970" t="inlineStr">
        <is>
          <t>No</t>
        </is>
      </c>
      <c r="F970" t="inlineStr">
        <is>
          <t>No</t>
        </is>
      </c>
      <c r="G970">
        <f>IF(F970="Yes",1-B970,B970)</f>
        <v/>
      </c>
      <c r="H970">
        <f>IF(E970="Yes","",COUNTIFS($E$2:E970,"No"))</f>
        <v/>
      </c>
      <c r="I970">
        <f>IF(H970="","",IF(H970&lt;=128,"address",IF(H970&lt;=600,"data1",IF(H970&lt;=1264,"zero-run1",IF(H970&lt;=1648,"data2",IF(H970&lt;=2176,"zero-run2",IF(H970&lt;=2192,"FCS","trailing")))))))</f>
        <v/>
      </c>
      <c r="J970">
        <f>IFERROR(IF(AND(H970&lt;&gt;"",H970&gt;=129,H970&lt;=2176),INDEX(Fields!$B$2:$B$206,MATCH(H970-129,Fields!$D$2:$D$206,1)),""),"")</f>
        <v/>
      </c>
      <c r="K970">
        <f>IFERROR(IF(AND(H970&lt;&gt;"",H970&gt;=129,H970&lt;=2176),INDEX(Fields!$C$2:$C$206,MATCH(H970-129,Fields!$D$2:$D$206,1)),""),"")</f>
        <v/>
      </c>
      <c r="L970">
        <f>IFERROR(IF(AND(H970&lt;&gt;"",H970&gt;=129,H970&lt;=2176),INDEX(Fields!$J$2:$J$206,MATCH(H970-129,Fields!$D$2:$D$206,1)),""),"")</f>
        <v/>
      </c>
      <c r="M970">
        <f>IFERROR(IF(AND(H970&lt;&gt;"",H970&gt;=129,H970&lt;=2176),INDEX(Fields!$K$2:$K$206,MATCH(H970-129,Fields!$D$2:$D$206,1)),""),"")</f>
        <v/>
      </c>
    </row>
    <row r="971">
      <c r="A971" t="n">
        <v>969</v>
      </c>
      <c r="B971" t="n">
        <v>0</v>
      </c>
      <c r="C971" t="inlineStr">
        <is>
          <t>No</t>
        </is>
      </c>
      <c r="D971">
        <f>IF(AND(B966=1,B967=1,B968=1,B969=1,B970=1),"Yes","")</f>
        <v/>
      </c>
      <c r="E971" t="inlineStr">
        <is>
          <t>No</t>
        </is>
      </c>
      <c r="F971" t="inlineStr">
        <is>
          <t>No</t>
        </is>
      </c>
      <c r="G971">
        <f>IF(F971="Yes",1-B971,B971)</f>
        <v/>
      </c>
      <c r="H971">
        <f>IF(E971="Yes","",COUNTIFS($E$2:E971,"No"))</f>
        <v/>
      </c>
      <c r="I971">
        <f>IF(H971="","",IF(H971&lt;=128,"address",IF(H971&lt;=600,"data1",IF(H971&lt;=1264,"zero-run1",IF(H971&lt;=1648,"data2",IF(H971&lt;=2176,"zero-run2",IF(H971&lt;=2192,"FCS","trailing")))))))</f>
        <v/>
      </c>
      <c r="J971">
        <f>IFERROR(IF(AND(H971&lt;&gt;"",H971&gt;=129,H971&lt;=2176),INDEX(Fields!$B$2:$B$206,MATCH(H971-129,Fields!$D$2:$D$206,1)),""),"")</f>
        <v/>
      </c>
      <c r="K971">
        <f>IFERROR(IF(AND(H971&lt;&gt;"",H971&gt;=129,H971&lt;=2176),INDEX(Fields!$C$2:$C$206,MATCH(H971-129,Fields!$D$2:$D$206,1)),""),"")</f>
        <v/>
      </c>
      <c r="L971">
        <f>IFERROR(IF(AND(H971&lt;&gt;"",H971&gt;=129,H971&lt;=2176),INDEX(Fields!$J$2:$J$206,MATCH(H971-129,Fields!$D$2:$D$206,1)),""),"")</f>
        <v/>
      </c>
      <c r="M971">
        <f>IFERROR(IF(AND(H971&lt;&gt;"",H971&gt;=129,H971&lt;=2176),INDEX(Fields!$K$2:$K$206,MATCH(H971-129,Fields!$D$2:$D$206,1)),""),"")</f>
        <v/>
      </c>
    </row>
    <row r="972">
      <c r="A972" t="n">
        <v>970</v>
      </c>
      <c r="B972" t="n">
        <v>0</v>
      </c>
      <c r="C972" t="inlineStr">
        <is>
          <t>No</t>
        </is>
      </c>
      <c r="D972">
        <f>IF(AND(B967=1,B968=1,B969=1,B970=1,B971=1),"Yes","")</f>
        <v/>
      </c>
      <c r="E972" t="inlineStr">
        <is>
          <t>No</t>
        </is>
      </c>
      <c r="F972" t="inlineStr">
        <is>
          <t>No</t>
        </is>
      </c>
      <c r="G972">
        <f>IF(F972="Yes",1-B972,B972)</f>
        <v/>
      </c>
      <c r="H972">
        <f>IF(E972="Yes","",COUNTIFS($E$2:E972,"No"))</f>
        <v/>
      </c>
      <c r="I972">
        <f>IF(H972="","",IF(H972&lt;=128,"address",IF(H972&lt;=600,"data1",IF(H972&lt;=1264,"zero-run1",IF(H972&lt;=1648,"data2",IF(H972&lt;=2176,"zero-run2",IF(H972&lt;=2192,"FCS","trailing")))))))</f>
        <v/>
      </c>
      <c r="J972">
        <f>IFERROR(IF(AND(H972&lt;&gt;"",H972&gt;=129,H972&lt;=2176),INDEX(Fields!$B$2:$B$206,MATCH(H972-129,Fields!$D$2:$D$206,1)),""),"")</f>
        <v/>
      </c>
      <c r="K972">
        <f>IFERROR(IF(AND(H972&lt;&gt;"",H972&gt;=129,H972&lt;=2176),INDEX(Fields!$C$2:$C$206,MATCH(H972-129,Fields!$D$2:$D$206,1)),""),"")</f>
        <v/>
      </c>
      <c r="L972">
        <f>IFERROR(IF(AND(H972&lt;&gt;"",H972&gt;=129,H972&lt;=2176),INDEX(Fields!$J$2:$J$206,MATCH(H972-129,Fields!$D$2:$D$206,1)),""),"")</f>
        <v/>
      </c>
      <c r="M972">
        <f>IFERROR(IF(AND(H972&lt;&gt;"",H972&gt;=129,H972&lt;=2176),INDEX(Fields!$K$2:$K$206,MATCH(H972-129,Fields!$D$2:$D$206,1)),""),"")</f>
        <v/>
      </c>
    </row>
    <row r="973">
      <c r="A973" t="n">
        <v>971</v>
      </c>
      <c r="B973" t="n">
        <v>0</v>
      </c>
      <c r="C973" t="inlineStr">
        <is>
          <t>No</t>
        </is>
      </c>
      <c r="D973">
        <f>IF(AND(B968=1,B969=1,B970=1,B971=1,B972=1),"Yes","")</f>
        <v/>
      </c>
      <c r="E973" t="inlineStr">
        <is>
          <t>No</t>
        </is>
      </c>
      <c r="F973" t="inlineStr">
        <is>
          <t>No</t>
        </is>
      </c>
      <c r="G973">
        <f>IF(F973="Yes",1-B973,B973)</f>
        <v/>
      </c>
      <c r="H973">
        <f>IF(E973="Yes","",COUNTIFS($E$2:E973,"No"))</f>
        <v/>
      </c>
      <c r="I973">
        <f>IF(H973="","",IF(H973&lt;=128,"address",IF(H973&lt;=600,"data1",IF(H973&lt;=1264,"zero-run1",IF(H973&lt;=1648,"data2",IF(H973&lt;=2176,"zero-run2",IF(H973&lt;=2192,"FCS","trailing")))))))</f>
        <v/>
      </c>
      <c r="J973">
        <f>IFERROR(IF(AND(H973&lt;&gt;"",H973&gt;=129,H973&lt;=2176),INDEX(Fields!$B$2:$B$206,MATCH(H973-129,Fields!$D$2:$D$206,1)),""),"")</f>
        <v/>
      </c>
      <c r="K973">
        <f>IFERROR(IF(AND(H973&lt;&gt;"",H973&gt;=129,H973&lt;=2176),INDEX(Fields!$C$2:$C$206,MATCH(H973-129,Fields!$D$2:$D$206,1)),""),"")</f>
        <v/>
      </c>
      <c r="L973">
        <f>IFERROR(IF(AND(H973&lt;&gt;"",H973&gt;=129,H973&lt;=2176),INDEX(Fields!$J$2:$J$206,MATCH(H973-129,Fields!$D$2:$D$206,1)),""),"")</f>
        <v/>
      </c>
      <c r="M973">
        <f>IFERROR(IF(AND(H973&lt;&gt;"",H973&gt;=129,H973&lt;=2176),INDEX(Fields!$K$2:$K$206,MATCH(H973-129,Fields!$D$2:$D$206,1)),""),"")</f>
        <v/>
      </c>
    </row>
    <row r="974">
      <c r="A974" t="n">
        <v>972</v>
      </c>
      <c r="B974" t="n">
        <v>0</v>
      </c>
      <c r="C974" t="inlineStr">
        <is>
          <t>No</t>
        </is>
      </c>
      <c r="D974">
        <f>IF(AND(B969=1,B970=1,B971=1,B972=1,B973=1),"Yes","")</f>
        <v/>
      </c>
      <c r="E974" t="inlineStr">
        <is>
          <t>No</t>
        </is>
      </c>
      <c r="F974" t="inlineStr">
        <is>
          <t>No</t>
        </is>
      </c>
      <c r="G974">
        <f>IF(F974="Yes",1-B974,B974)</f>
        <v/>
      </c>
      <c r="H974">
        <f>IF(E974="Yes","",COUNTIFS($E$2:E974,"No"))</f>
        <v/>
      </c>
      <c r="I974">
        <f>IF(H974="","",IF(H974&lt;=128,"address",IF(H974&lt;=600,"data1",IF(H974&lt;=1264,"zero-run1",IF(H974&lt;=1648,"data2",IF(H974&lt;=2176,"zero-run2",IF(H974&lt;=2192,"FCS","trailing")))))))</f>
        <v/>
      </c>
      <c r="J974">
        <f>IFERROR(IF(AND(H974&lt;&gt;"",H974&gt;=129,H974&lt;=2176),INDEX(Fields!$B$2:$B$206,MATCH(H974-129,Fields!$D$2:$D$206,1)),""),"")</f>
        <v/>
      </c>
      <c r="K974">
        <f>IFERROR(IF(AND(H974&lt;&gt;"",H974&gt;=129,H974&lt;=2176),INDEX(Fields!$C$2:$C$206,MATCH(H974-129,Fields!$D$2:$D$206,1)),""),"")</f>
        <v/>
      </c>
      <c r="L974">
        <f>IFERROR(IF(AND(H974&lt;&gt;"",H974&gt;=129,H974&lt;=2176),INDEX(Fields!$J$2:$J$206,MATCH(H974-129,Fields!$D$2:$D$206,1)),""),"")</f>
        <v/>
      </c>
      <c r="M974">
        <f>IFERROR(IF(AND(H974&lt;&gt;"",H974&gt;=129,H974&lt;=2176),INDEX(Fields!$K$2:$K$206,MATCH(H974-129,Fields!$D$2:$D$206,1)),""),"")</f>
        <v/>
      </c>
    </row>
    <row r="975">
      <c r="A975" t="n">
        <v>973</v>
      </c>
      <c r="B975" t="n">
        <v>0</v>
      </c>
      <c r="C975" t="inlineStr">
        <is>
          <t>No</t>
        </is>
      </c>
      <c r="D975">
        <f>IF(AND(B970=1,B971=1,B972=1,B973=1,B974=1),"Yes","")</f>
        <v/>
      </c>
      <c r="E975" t="inlineStr">
        <is>
          <t>No</t>
        </is>
      </c>
      <c r="F975" t="inlineStr">
        <is>
          <t>No</t>
        </is>
      </c>
      <c r="G975">
        <f>IF(F975="Yes",1-B975,B975)</f>
        <v/>
      </c>
      <c r="H975">
        <f>IF(E975="Yes","",COUNTIFS($E$2:E975,"No"))</f>
        <v/>
      </c>
      <c r="I975">
        <f>IF(H975="","",IF(H975&lt;=128,"address",IF(H975&lt;=600,"data1",IF(H975&lt;=1264,"zero-run1",IF(H975&lt;=1648,"data2",IF(H975&lt;=2176,"zero-run2",IF(H975&lt;=2192,"FCS","trailing")))))))</f>
        <v/>
      </c>
      <c r="J975">
        <f>IFERROR(IF(AND(H975&lt;&gt;"",H975&gt;=129,H975&lt;=2176),INDEX(Fields!$B$2:$B$206,MATCH(H975-129,Fields!$D$2:$D$206,1)),""),"")</f>
        <v/>
      </c>
      <c r="K975">
        <f>IFERROR(IF(AND(H975&lt;&gt;"",H975&gt;=129,H975&lt;=2176),INDEX(Fields!$C$2:$C$206,MATCH(H975-129,Fields!$D$2:$D$206,1)),""),"")</f>
        <v/>
      </c>
      <c r="L975">
        <f>IFERROR(IF(AND(H975&lt;&gt;"",H975&gt;=129,H975&lt;=2176),INDEX(Fields!$J$2:$J$206,MATCH(H975-129,Fields!$D$2:$D$206,1)),""),"")</f>
        <v/>
      </c>
      <c r="M975">
        <f>IFERROR(IF(AND(H975&lt;&gt;"",H975&gt;=129,H975&lt;=2176),INDEX(Fields!$K$2:$K$206,MATCH(H975-129,Fields!$D$2:$D$206,1)),""),"")</f>
        <v/>
      </c>
    </row>
    <row r="976">
      <c r="A976" t="n">
        <v>974</v>
      </c>
      <c r="B976" t="n">
        <v>0</v>
      </c>
      <c r="C976" t="inlineStr">
        <is>
          <t>No</t>
        </is>
      </c>
      <c r="D976">
        <f>IF(AND(B971=1,B972=1,B973=1,B974=1,B975=1),"Yes","")</f>
        <v/>
      </c>
      <c r="E976" t="inlineStr">
        <is>
          <t>No</t>
        </is>
      </c>
      <c r="F976" t="inlineStr">
        <is>
          <t>No</t>
        </is>
      </c>
      <c r="G976">
        <f>IF(F976="Yes",1-B976,B976)</f>
        <v/>
      </c>
      <c r="H976">
        <f>IF(E976="Yes","",COUNTIFS($E$2:E976,"No"))</f>
        <v/>
      </c>
      <c r="I976">
        <f>IF(H976="","",IF(H976&lt;=128,"address",IF(H976&lt;=600,"data1",IF(H976&lt;=1264,"zero-run1",IF(H976&lt;=1648,"data2",IF(H976&lt;=2176,"zero-run2",IF(H976&lt;=2192,"FCS","trailing")))))))</f>
        <v/>
      </c>
      <c r="J976">
        <f>IFERROR(IF(AND(H976&lt;&gt;"",H976&gt;=129,H976&lt;=2176),INDEX(Fields!$B$2:$B$206,MATCH(H976-129,Fields!$D$2:$D$206,1)),""),"")</f>
        <v/>
      </c>
      <c r="K976">
        <f>IFERROR(IF(AND(H976&lt;&gt;"",H976&gt;=129,H976&lt;=2176),INDEX(Fields!$C$2:$C$206,MATCH(H976-129,Fields!$D$2:$D$206,1)),""),"")</f>
        <v/>
      </c>
      <c r="L976">
        <f>IFERROR(IF(AND(H976&lt;&gt;"",H976&gt;=129,H976&lt;=2176),INDEX(Fields!$J$2:$J$206,MATCH(H976-129,Fields!$D$2:$D$206,1)),""),"")</f>
        <v/>
      </c>
      <c r="M976">
        <f>IFERROR(IF(AND(H976&lt;&gt;"",H976&gt;=129,H976&lt;=2176),INDEX(Fields!$K$2:$K$206,MATCH(H976-129,Fields!$D$2:$D$206,1)),""),"")</f>
        <v/>
      </c>
    </row>
    <row r="977">
      <c r="A977" t="n">
        <v>975</v>
      </c>
      <c r="B977" t="n">
        <v>0</v>
      </c>
      <c r="C977" t="inlineStr">
        <is>
          <t>No</t>
        </is>
      </c>
      <c r="D977">
        <f>IF(AND(B972=1,B973=1,B974=1,B975=1,B976=1),"Yes","")</f>
        <v/>
      </c>
      <c r="E977" t="inlineStr">
        <is>
          <t>No</t>
        </is>
      </c>
      <c r="F977" t="inlineStr">
        <is>
          <t>No</t>
        </is>
      </c>
      <c r="G977">
        <f>IF(F977="Yes",1-B977,B977)</f>
        <v/>
      </c>
      <c r="H977">
        <f>IF(E977="Yes","",COUNTIFS($E$2:E977,"No"))</f>
        <v/>
      </c>
      <c r="I977">
        <f>IF(H977="","",IF(H977&lt;=128,"address",IF(H977&lt;=600,"data1",IF(H977&lt;=1264,"zero-run1",IF(H977&lt;=1648,"data2",IF(H977&lt;=2176,"zero-run2",IF(H977&lt;=2192,"FCS","trailing")))))))</f>
        <v/>
      </c>
      <c r="J977">
        <f>IFERROR(IF(AND(H977&lt;&gt;"",H977&gt;=129,H977&lt;=2176),INDEX(Fields!$B$2:$B$206,MATCH(H977-129,Fields!$D$2:$D$206,1)),""),"")</f>
        <v/>
      </c>
      <c r="K977">
        <f>IFERROR(IF(AND(H977&lt;&gt;"",H977&gt;=129,H977&lt;=2176),INDEX(Fields!$C$2:$C$206,MATCH(H977-129,Fields!$D$2:$D$206,1)),""),"")</f>
        <v/>
      </c>
      <c r="L977">
        <f>IFERROR(IF(AND(H977&lt;&gt;"",H977&gt;=129,H977&lt;=2176),INDEX(Fields!$J$2:$J$206,MATCH(H977-129,Fields!$D$2:$D$206,1)),""),"")</f>
        <v/>
      </c>
      <c r="M977">
        <f>IFERROR(IF(AND(H977&lt;&gt;"",H977&gt;=129,H977&lt;=2176),INDEX(Fields!$K$2:$K$206,MATCH(H977-129,Fields!$D$2:$D$206,1)),""),"")</f>
        <v/>
      </c>
    </row>
    <row r="978">
      <c r="A978" t="n">
        <v>976</v>
      </c>
      <c r="B978" t="n">
        <v>0</v>
      </c>
      <c r="C978" t="inlineStr">
        <is>
          <t>No</t>
        </is>
      </c>
      <c r="D978">
        <f>IF(AND(B973=1,B974=1,B975=1,B976=1,B977=1),"Yes","")</f>
        <v/>
      </c>
      <c r="E978" t="inlineStr">
        <is>
          <t>No</t>
        </is>
      </c>
      <c r="F978" t="inlineStr">
        <is>
          <t>No</t>
        </is>
      </c>
      <c r="G978">
        <f>IF(F978="Yes",1-B978,B978)</f>
        <v/>
      </c>
      <c r="H978">
        <f>IF(E978="Yes","",COUNTIFS($E$2:E978,"No"))</f>
        <v/>
      </c>
      <c r="I978">
        <f>IF(H978="","",IF(H978&lt;=128,"address",IF(H978&lt;=600,"data1",IF(H978&lt;=1264,"zero-run1",IF(H978&lt;=1648,"data2",IF(H978&lt;=2176,"zero-run2",IF(H978&lt;=2192,"FCS","trailing")))))))</f>
        <v/>
      </c>
      <c r="J978">
        <f>IFERROR(IF(AND(H978&lt;&gt;"",H978&gt;=129,H978&lt;=2176),INDEX(Fields!$B$2:$B$206,MATCH(H978-129,Fields!$D$2:$D$206,1)),""),"")</f>
        <v/>
      </c>
      <c r="K978">
        <f>IFERROR(IF(AND(H978&lt;&gt;"",H978&gt;=129,H978&lt;=2176),INDEX(Fields!$C$2:$C$206,MATCH(H978-129,Fields!$D$2:$D$206,1)),""),"")</f>
        <v/>
      </c>
      <c r="L978">
        <f>IFERROR(IF(AND(H978&lt;&gt;"",H978&gt;=129,H978&lt;=2176),INDEX(Fields!$J$2:$J$206,MATCH(H978-129,Fields!$D$2:$D$206,1)),""),"")</f>
        <v/>
      </c>
      <c r="M978">
        <f>IFERROR(IF(AND(H978&lt;&gt;"",H978&gt;=129,H978&lt;=2176),INDEX(Fields!$K$2:$K$206,MATCH(H978-129,Fields!$D$2:$D$206,1)),""),"")</f>
        <v/>
      </c>
    </row>
    <row r="979">
      <c r="A979" t="n">
        <v>977</v>
      </c>
      <c r="B979" t="n">
        <v>0</v>
      </c>
      <c r="C979" t="inlineStr">
        <is>
          <t>No</t>
        </is>
      </c>
      <c r="D979">
        <f>IF(AND(B974=1,B975=1,B976=1,B977=1,B978=1),"Yes","")</f>
        <v/>
      </c>
      <c r="E979" t="inlineStr">
        <is>
          <t>No</t>
        </is>
      </c>
      <c r="F979" t="inlineStr">
        <is>
          <t>No</t>
        </is>
      </c>
      <c r="G979">
        <f>IF(F979="Yes",1-B979,B979)</f>
        <v/>
      </c>
      <c r="H979">
        <f>IF(E979="Yes","",COUNTIFS($E$2:E979,"No"))</f>
        <v/>
      </c>
      <c r="I979">
        <f>IF(H979="","",IF(H979&lt;=128,"address",IF(H979&lt;=600,"data1",IF(H979&lt;=1264,"zero-run1",IF(H979&lt;=1648,"data2",IF(H979&lt;=2176,"zero-run2",IF(H979&lt;=2192,"FCS","trailing")))))))</f>
        <v/>
      </c>
      <c r="J979">
        <f>IFERROR(IF(AND(H979&lt;&gt;"",H979&gt;=129,H979&lt;=2176),INDEX(Fields!$B$2:$B$206,MATCH(H979-129,Fields!$D$2:$D$206,1)),""),"")</f>
        <v/>
      </c>
      <c r="K979">
        <f>IFERROR(IF(AND(H979&lt;&gt;"",H979&gt;=129,H979&lt;=2176),INDEX(Fields!$C$2:$C$206,MATCH(H979-129,Fields!$D$2:$D$206,1)),""),"")</f>
        <v/>
      </c>
      <c r="L979">
        <f>IFERROR(IF(AND(H979&lt;&gt;"",H979&gt;=129,H979&lt;=2176),INDEX(Fields!$J$2:$J$206,MATCH(H979-129,Fields!$D$2:$D$206,1)),""),"")</f>
        <v/>
      </c>
      <c r="M979">
        <f>IFERROR(IF(AND(H979&lt;&gt;"",H979&gt;=129,H979&lt;=2176),INDEX(Fields!$K$2:$K$206,MATCH(H979-129,Fields!$D$2:$D$206,1)),""),"")</f>
        <v/>
      </c>
    </row>
    <row r="980">
      <c r="A980" t="n">
        <v>978</v>
      </c>
      <c r="B980" t="n">
        <v>0</v>
      </c>
      <c r="C980" t="inlineStr">
        <is>
          <t>No</t>
        </is>
      </c>
      <c r="D980">
        <f>IF(AND(B975=1,B976=1,B977=1,B978=1,B979=1),"Yes","")</f>
        <v/>
      </c>
      <c r="E980" t="inlineStr">
        <is>
          <t>No</t>
        </is>
      </c>
      <c r="F980" t="inlineStr">
        <is>
          <t>No</t>
        </is>
      </c>
      <c r="G980">
        <f>IF(F980="Yes",1-B980,B980)</f>
        <v/>
      </c>
      <c r="H980">
        <f>IF(E980="Yes","",COUNTIFS($E$2:E980,"No"))</f>
        <v/>
      </c>
      <c r="I980">
        <f>IF(H980="","",IF(H980&lt;=128,"address",IF(H980&lt;=600,"data1",IF(H980&lt;=1264,"zero-run1",IF(H980&lt;=1648,"data2",IF(H980&lt;=2176,"zero-run2",IF(H980&lt;=2192,"FCS","trailing")))))))</f>
        <v/>
      </c>
      <c r="J980">
        <f>IFERROR(IF(AND(H980&lt;&gt;"",H980&gt;=129,H980&lt;=2176),INDEX(Fields!$B$2:$B$206,MATCH(H980-129,Fields!$D$2:$D$206,1)),""),"")</f>
        <v/>
      </c>
      <c r="K980">
        <f>IFERROR(IF(AND(H980&lt;&gt;"",H980&gt;=129,H980&lt;=2176),INDEX(Fields!$C$2:$C$206,MATCH(H980-129,Fields!$D$2:$D$206,1)),""),"")</f>
        <v/>
      </c>
      <c r="L980">
        <f>IFERROR(IF(AND(H980&lt;&gt;"",H980&gt;=129,H980&lt;=2176),INDEX(Fields!$J$2:$J$206,MATCH(H980-129,Fields!$D$2:$D$206,1)),""),"")</f>
        <v/>
      </c>
      <c r="M980">
        <f>IFERROR(IF(AND(H980&lt;&gt;"",H980&gt;=129,H980&lt;=2176),INDEX(Fields!$K$2:$K$206,MATCH(H980-129,Fields!$D$2:$D$206,1)),""),"")</f>
        <v/>
      </c>
    </row>
    <row r="981">
      <c r="A981" t="n">
        <v>979</v>
      </c>
      <c r="B981" t="n">
        <v>0</v>
      </c>
      <c r="C981" t="inlineStr">
        <is>
          <t>No</t>
        </is>
      </c>
      <c r="D981">
        <f>IF(AND(B976=1,B977=1,B978=1,B979=1,B980=1),"Yes","")</f>
        <v/>
      </c>
      <c r="E981" t="inlineStr">
        <is>
          <t>No</t>
        </is>
      </c>
      <c r="F981" t="inlineStr">
        <is>
          <t>No</t>
        </is>
      </c>
      <c r="G981">
        <f>IF(F981="Yes",1-B981,B981)</f>
        <v/>
      </c>
      <c r="H981">
        <f>IF(E981="Yes","",COUNTIFS($E$2:E981,"No"))</f>
        <v/>
      </c>
      <c r="I981">
        <f>IF(H981="","",IF(H981&lt;=128,"address",IF(H981&lt;=600,"data1",IF(H981&lt;=1264,"zero-run1",IF(H981&lt;=1648,"data2",IF(H981&lt;=2176,"zero-run2",IF(H981&lt;=2192,"FCS","trailing")))))))</f>
        <v/>
      </c>
      <c r="J981">
        <f>IFERROR(IF(AND(H981&lt;&gt;"",H981&gt;=129,H981&lt;=2176),INDEX(Fields!$B$2:$B$206,MATCH(H981-129,Fields!$D$2:$D$206,1)),""),"")</f>
        <v/>
      </c>
      <c r="K981">
        <f>IFERROR(IF(AND(H981&lt;&gt;"",H981&gt;=129,H981&lt;=2176),INDEX(Fields!$C$2:$C$206,MATCH(H981-129,Fields!$D$2:$D$206,1)),""),"")</f>
        <v/>
      </c>
      <c r="L981">
        <f>IFERROR(IF(AND(H981&lt;&gt;"",H981&gt;=129,H981&lt;=2176),INDEX(Fields!$J$2:$J$206,MATCH(H981-129,Fields!$D$2:$D$206,1)),""),"")</f>
        <v/>
      </c>
      <c r="M981">
        <f>IFERROR(IF(AND(H981&lt;&gt;"",H981&gt;=129,H981&lt;=2176),INDEX(Fields!$K$2:$K$206,MATCH(H981-129,Fields!$D$2:$D$206,1)),""),"")</f>
        <v/>
      </c>
    </row>
    <row r="982">
      <c r="A982" t="n">
        <v>980</v>
      </c>
      <c r="B982" t="n">
        <v>0</v>
      </c>
      <c r="C982" t="inlineStr">
        <is>
          <t>No</t>
        </is>
      </c>
      <c r="D982">
        <f>IF(AND(B977=1,B978=1,B979=1,B980=1,B981=1),"Yes","")</f>
        <v/>
      </c>
      <c r="E982" t="inlineStr">
        <is>
          <t>No</t>
        </is>
      </c>
      <c r="F982" t="inlineStr">
        <is>
          <t>No</t>
        </is>
      </c>
      <c r="G982">
        <f>IF(F982="Yes",1-B982,B982)</f>
        <v/>
      </c>
      <c r="H982">
        <f>IF(E982="Yes","",COUNTIFS($E$2:E982,"No"))</f>
        <v/>
      </c>
      <c r="I982">
        <f>IF(H982="","",IF(H982&lt;=128,"address",IF(H982&lt;=600,"data1",IF(H982&lt;=1264,"zero-run1",IF(H982&lt;=1648,"data2",IF(H982&lt;=2176,"zero-run2",IF(H982&lt;=2192,"FCS","trailing")))))))</f>
        <v/>
      </c>
      <c r="J982">
        <f>IFERROR(IF(AND(H982&lt;&gt;"",H982&gt;=129,H982&lt;=2176),INDEX(Fields!$B$2:$B$206,MATCH(H982-129,Fields!$D$2:$D$206,1)),""),"")</f>
        <v/>
      </c>
      <c r="K982">
        <f>IFERROR(IF(AND(H982&lt;&gt;"",H982&gt;=129,H982&lt;=2176),INDEX(Fields!$C$2:$C$206,MATCH(H982-129,Fields!$D$2:$D$206,1)),""),"")</f>
        <v/>
      </c>
      <c r="L982">
        <f>IFERROR(IF(AND(H982&lt;&gt;"",H982&gt;=129,H982&lt;=2176),INDEX(Fields!$J$2:$J$206,MATCH(H982-129,Fields!$D$2:$D$206,1)),""),"")</f>
        <v/>
      </c>
      <c r="M982">
        <f>IFERROR(IF(AND(H982&lt;&gt;"",H982&gt;=129,H982&lt;=2176),INDEX(Fields!$K$2:$K$206,MATCH(H982-129,Fields!$D$2:$D$206,1)),""),"")</f>
        <v/>
      </c>
    </row>
    <row r="983">
      <c r="A983" t="n">
        <v>981</v>
      </c>
      <c r="B983" t="n">
        <v>0</v>
      </c>
      <c r="C983" t="inlineStr">
        <is>
          <t>No</t>
        </is>
      </c>
      <c r="D983">
        <f>IF(AND(B978=1,B979=1,B980=1,B981=1,B982=1),"Yes","")</f>
        <v/>
      </c>
      <c r="E983" t="inlineStr">
        <is>
          <t>No</t>
        </is>
      </c>
      <c r="F983" t="inlineStr">
        <is>
          <t>No</t>
        </is>
      </c>
      <c r="G983">
        <f>IF(F983="Yes",1-B983,B983)</f>
        <v/>
      </c>
      <c r="H983">
        <f>IF(E983="Yes","",COUNTIFS($E$2:E983,"No"))</f>
        <v/>
      </c>
      <c r="I983">
        <f>IF(H983="","",IF(H983&lt;=128,"address",IF(H983&lt;=600,"data1",IF(H983&lt;=1264,"zero-run1",IF(H983&lt;=1648,"data2",IF(H983&lt;=2176,"zero-run2",IF(H983&lt;=2192,"FCS","trailing")))))))</f>
        <v/>
      </c>
      <c r="J983">
        <f>IFERROR(IF(AND(H983&lt;&gt;"",H983&gt;=129,H983&lt;=2176),INDEX(Fields!$B$2:$B$206,MATCH(H983-129,Fields!$D$2:$D$206,1)),""),"")</f>
        <v/>
      </c>
      <c r="K983">
        <f>IFERROR(IF(AND(H983&lt;&gt;"",H983&gt;=129,H983&lt;=2176),INDEX(Fields!$C$2:$C$206,MATCH(H983-129,Fields!$D$2:$D$206,1)),""),"")</f>
        <v/>
      </c>
      <c r="L983">
        <f>IFERROR(IF(AND(H983&lt;&gt;"",H983&gt;=129,H983&lt;=2176),INDEX(Fields!$J$2:$J$206,MATCH(H983-129,Fields!$D$2:$D$206,1)),""),"")</f>
        <v/>
      </c>
      <c r="M983">
        <f>IFERROR(IF(AND(H983&lt;&gt;"",H983&gt;=129,H983&lt;=2176),INDEX(Fields!$K$2:$K$206,MATCH(H983-129,Fields!$D$2:$D$206,1)),""),"")</f>
        <v/>
      </c>
    </row>
    <row r="984">
      <c r="A984" t="n">
        <v>982</v>
      </c>
      <c r="B984" t="n">
        <v>0</v>
      </c>
      <c r="C984" t="inlineStr">
        <is>
          <t>No</t>
        </is>
      </c>
      <c r="D984">
        <f>IF(AND(B979=1,B980=1,B981=1,B982=1,B983=1),"Yes","")</f>
        <v/>
      </c>
      <c r="E984" t="inlineStr">
        <is>
          <t>No</t>
        </is>
      </c>
      <c r="F984" t="inlineStr">
        <is>
          <t>No</t>
        </is>
      </c>
      <c r="G984">
        <f>IF(F984="Yes",1-B984,B984)</f>
        <v/>
      </c>
      <c r="H984">
        <f>IF(E984="Yes","",COUNTIFS($E$2:E984,"No"))</f>
        <v/>
      </c>
      <c r="I984">
        <f>IF(H984="","",IF(H984&lt;=128,"address",IF(H984&lt;=600,"data1",IF(H984&lt;=1264,"zero-run1",IF(H984&lt;=1648,"data2",IF(H984&lt;=2176,"zero-run2",IF(H984&lt;=2192,"FCS","trailing")))))))</f>
        <v/>
      </c>
      <c r="J984">
        <f>IFERROR(IF(AND(H984&lt;&gt;"",H984&gt;=129,H984&lt;=2176),INDEX(Fields!$B$2:$B$206,MATCH(H984-129,Fields!$D$2:$D$206,1)),""),"")</f>
        <v/>
      </c>
      <c r="K984">
        <f>IFERROR(IF(AND(H984&lt;&gt;"",H984&gt;=129,H984&lt;=2176),INDEX(Fields!$C$2:$C$206,MATCH(H984-129,Fields!$D$2:$D$206,1)),""),"")</f>
        <v/>
      </c>
      <c r="L984">
        <f>IFERROR(IF(AND(H984&lt;&gt;"",H984&gt;=129,H984&lt;=2176),INDEX(Fields!$J$2:$J$206,MATCH(H984-129,Fields!$D$2:$D$206,1)),""),"")</f>
        <v/>
      </c>
      <c r="M984">
        <f>IFERROR(IF(AND(H984&lt;&gt;"",H984&gt;=129,H984&lt;=2176),INDEX(Fields!$K$2:$K$206,MATCH(H984-129,Fields!$D$2:$D$206,1)),""),"")</f>
        <v/>
      </c>
    </row>
    <row r="985">
      <c r="A985" t="n">
        <v>983</v>
      </c>
      <c r="B985" t="n">
        <v>0</v>
      </c>
      <c r="C985" t="inlineStr">
        <is>
          <t>No</t>
        </is>
      </c>
      <c r="D985">
        <f>IF(AND(B980=1,B981=1,B982=1,B983=1,B984=1),"Yes","")</f>
        <v/>
      </c>
      <c r="E985" t="inlineStr">
        <is>
          <t>No</t>
        </is>
      </c>
      <c r="F985" t="inlineStr">
        <is>
          <t>No</t>
        </is>
      </c>
      <c r="G985">
        <f>IF(F985="Yes",1-B985,B985)</f>
        <v/>
      </c>
      <c r="H985">
        <f>IF(E985="Yes","",COUNTIFS($E$2:E985,"No"))</f>
        <v/>
      </c>
      <c r="I985">
        <f>IF(H985="","",IF(H985&lt;=128,"address",IF(H985&lt;=600,"data1",IF(H985&lt;=1264,"zero-run1",IF(H985&lt;=1648,"data2",IF(H985&lt;=2176,"zero-run2",IF(H985&lt;=2192,"FCS","trailing")))))))</f>
        <v/>
      </c>
      <c r="J985">
        <f>IFERROR(IF(AND(H985&lt;&gt;"",H985&gt;=129,H985&lt;=2176),INDEX(Fields!$B$2:$B$206,MATCH(H985-129,Fields!$D$2:$D$206,1)),""),"")</f>
        <v/>
      </c>
      <c r="K985">
        <f>IFERROR(IF(AND(H985&lt;&gt;"",H985&gt;=129,H985&lt;=2176),INDEX(Fields!$C$2:$C$206,MATCH(H985-129,Fields!$D$2:$D$206,1)),""),"")</f>
        <v/>
      </c>
      <c r="L985">
        <f>IFERROR(IF(AND(H985&lt;&gt;"",H985&gt;=129,H985&lt;=2176),INDEX(Fields!$J$2:$J$206,MATCH(H985-129,Fields!$D$2:$D$206,1)),""),"")</f>
        <v/>
      </c>
      <c r="M985">
        <f>IFERROR(IF(AND(H985&lt;&gt;"",H985&gt;=129,H985&lt;=2176),INDEX(Fields!$K$2:$K$206,MATCH(H985-129,Fields!$D$2:$D$206,1)),""),"")</f>
        <v/>
      </c>
    </row>
    <row r="986">
      <c r="A986" t="n">
        <v>984</v>
      </c>
      <c r="B986" t="n">
        <v>0</v>
      </c>
      <c r="C986" t="inlineStr">
        <is>
          <t>No</t>
        </is>
      </c>
      <c r="D986">
        <f>IF(AND(B981=1,B982=1,B983=1,B984=1,B985=1),"Yes","")</f>
        <v/>
      </c>
      <c r="E986" t="inlineStr">
        <is>
          <t>No</t>
        </is>
      </c>
      <c r="F986" t="inlineStr">
        <is>
          <t>No</t>
        </is>
      </c>
      <c r="G986">
        <f>IF(F986="Yes",1-B986,B986)</f>
        <v/>
      </c>
      <c r="H986">
        <f>IF(E986="Yes","",COUNTIFS($E$2:E986,"No"))</f>
        <v/>
      </c>
      <c r="I986">
        <f>IF(H986="","",IF(H986&lt;=128,"address",IF(H986&lt;=600,"data1",IF(H986&lt;=1264,"zero-run1",IF(H986&lt;=1648,"data2",IF(H986&lt;=2176,"zero-run2",IF(H986&lt;=2192,"FCS","trailing")))))))</f>
        <v/>
      </c>
      <c r="J986">
        <f>IFERROR(IF(AND(H986&lt;&gt;"",H986&gt;=129,H986&lt;=2176),INDEX(Fields!$B$2:$B$206,MATCH(H986-129,Fields!$D$2:$D$206,1)),""),"")</f>
        <v/>
      </c>
      <c r="K986">
        <f>IFERROR(IF(AND(H986&lt;&gt;"",H986&gt;=129,H986&lt;=2176),INDEX(Fields!$C$2:$C$206,MATCH(H986-129,Fields!$D$2:$D$206,1)),""),"")</f>
        <v/>
      </c>
      <c r="L986">
        <f>IFERROR(IF(AND(H986&lt;&gt;"",H986&gt;=129,H986&lt;=2176),INDEX(Fields!$J$2:$J$206,MATCH(H986-129,Fields!$D$2:$D$206,1)),""),"")</f>
        <v/>
      </c>
      <c r="M986">
        <f>IFERROR(IF(AND(H986&lt;&gt;"",H986&gt;=129,H986&lt;=2176),INDEX(Fields!$K$2:$K$206,MATCH(H986-129,Fields!$D$2:$D$206,1)),""),"")</f>
        <v/>
      </c>
    </row>
    <row r="987">
      <c r="A987" t="n">
        <v>985</v>
      </c>
      <c r="B987" t="n">
        <v>0</v>
      </c>
      <c r="C987" t="inlineStr">
        <is>
          <t>No</t>
        </is>
      </c>
      <c r="D987">
        <f>IF(AND(B982=1,B983=1,B984=1,B985=1,B986=1),"Yes","")</f>
        <v/>
      </c>
      <c r="E987" t="inlineStr">
        <is>
          <t>No</t>
        </is>
      </c>
      <c r="F987" t="inlineStr">
        <is>
          <t>No</t>
        </is>
      </c>
      <c r="G987">
        <f>IF(F987="Yes",1-B987,B987)</f>
        <v/>
      </c>
      <c r="H987">
        <f>IF(E987="Yes","",COUNTIFS($E$2:E987,"No"))</f>
        <v/>
      </c>
      <c r="I987">
        <f>IF(H987="","",IF(H987&lt;=128,"address",IF(H987&lt;=600,"data1",IF(H987&lt;=1264,"zero-run1",IF(H987&lt;=1648,"data2",IF(H987&lt;=2176,"zero-run2",IF(H987&lt;=2192,"FCS","trailing")))))))</f>
        <v/>
      </c>
      <c r="J987">
        <f>IFERROR(IF(AND(H987&lt;&gt;"",H987&gt;=129,H987&lt;=2176),INDEX(Fields!$B$2:$B$206,MATCH(H987-129,Fields!$D$2:$D$206,1)),""),"")</f>
        <v/>
      </c>
      <c r="K987">
        <f>IFERROR(IF(AND(H987&lt;&gt;"",H987&gt;=129,H987&lt;=2176),INDEX(Fields!$C$2:$C$206,MATCH(H987-129,Fields!$D$2:$D$206,1)),""),"")</f>
        <v/>
      </c>
      <c r="L987">
        <f>IFERROR(IF(AND(H987&lt;&gt;"",H987&gt;=129,H987&lt;=2176),INDEX(Fields!$J$2:$J$206,MATCH(H987-129,Fields!$D$2:$D$206,1)),""),"")</f>
        <v/>
      </c>
      <c r="M987">
        <f>IFERROR(IF(AND(H987&lt;&gt;"",H987&gt;=129,H987&lt;=2176),INDEX(Fields!$K$2:$K$206,MATCH(H987-129,Fields!$D$2:$D$206,1)),""),"")</f>
        <v/>
      </c>
    </row>
    <row r="988">
      <c r="A988" t="n">
        <v>986</v>
      </c>
      <c r="B988" t="n">
        <v>0</v>
      </c>
      <c r="C988" t="inlineStr">
        <is>
          <t>No</t>
        </is>
      </c>
      <c r="D988">
        <f>IF(AND(B983=1,B984=1,B985=1,B986=1,B987=1),"Yes","")</f>
        <v/>
      </c>
      <c r="E988" t="inlineStr">
        <is>
          <t>No</t>
        </is>
      </c>
      <c r="F988" t="inlineStr">
        <is>
          <t>No</t>
        </is>
      </c>
      <c r="G988">
        <f>IF(F988="Yes",1-B988,B988)</f>
        <v/>
      </c>
      <c r="H988">
        <f>IF(E988="Yes","",COUNTIFS($E$2:E988,"No"))</f>
        <v/>
      </c>
      <c r="I988">
        <f>IF(H988="","",IF(H988&lt;=128,"address",IF(H988&lt;=600,"data1",IF(H988&lt;=1264,"zero-run1",IF(H988&lt;=1648,"data2",IF(H988&lt;=2176,"zero-run2",IF(H988&lt;=2192,"FCS","trailing")))))))</f>
        <v/>
      </c>
      <c r="J988">
        <f>IFERROR(IF(AND(H988&lt;&gt;"",H988&gt;=129,H988&lt;=2176),INDEX(Fields!$B$2:$B$206,MATCH(H988-129,Fields!$D$2:$D$206,1)),""),"")</f>
        <v/>
      </c>
      <c r="K988">
        <f>IFERROR(IF(AND(H988&lt;&gt;"",H988&gt;=129,H988&lt;=2176),INDEX(Fields!$C$2:$C$206,MATCH(H988-129,Fields!$D$2:$D$206,1)),""),"")</f>
        <v/>
      </c>
      <c r="L988">
        <f>IFERROR(IF(AND(H988&lt;&gt;"",H988&gt;=129,H988&lt;=2176),INDEX(Fields!$J$2:$J$206,MATCH(H988-129,Fields!$D$2:$D$206,1)),""),"")</f>
        <v/>
      </c>
      <c r="M988">
        <f>IFERROR(IF(AND(H988&lt;&gt;"",H988&gt;=129,H988&lt;=2176),INDEX(Fields!$K$2:$K$206,MATCH(H988-129,Fields!$D$2:$D$206,1)),""),"")</f>
        <v/>
      </c>
    </row>
    <row r="989">
      <c r="A989" t="n">
        <v>987</v>
      </c>
      <c r="B989" t="n">
        <v>0</v>
      </c>
      <c r="C989" t="inlineStr">
        <is>
          <t>No</t>
        </is>
      </c>
      <c r="D989">
        <f>IF(AND(B984=1,B985=1,B986=1,B987=1,B988=1),"Yes","")</f>
        <v/>
      </c>
      <c r="E989" t="inlineStr">
        <is>
          <t>No</t>
        </is>
      </c>
      <c r="F989" t="inlineStr">
        <is>
          <t>No</t>
        </is>
      </c>
      <c r="G989">
        <f>IF(F989="Yes",1-B989,B989)</f>
        <v/>
      </c>
      <c r="H989">
        <f>IF(E989="Yes","",COUNTIFS($E$2:E989,"No"))</f>
        <v/>
      </c>
      <c r="I989">
        <f>IF(H989="","",IF(H989&lt;=128,"address",IF(H989&lt;=600,"data1",IF(H989&lt;=1264,"zero-run1",IF(H989&lt;=1648,"data2",IF(H989&lt;=2176,"zero-run2",IF(H989&lt;=2192,"FCS","trailing")))))))</f>
        <v/>
      </c>
      <c r="J989">
        <f>IFERROR(IF(AND(H989&lt;&gt;"",H989&gt;=129,H989&lt;=2176),INDEX(Fields!$B$2:$B$206,MATCH(H989-129,Fields!$D$2:$D$206,1)),""),"")</f>
        <v/>
      </c>
      <c r="K989">
        <f>IFERROR(IF(AND(H989&lt;&gt;"",H989&gt;=129,H989&lt;=2176),INDEX(Fields!$C$2:$C$206,MATCH(H989-129,Fields!$D$2:$D$206,1)),""),"")</f>
        <v/>
      </c>
      <c r="L989">
        <f>IFERROR(IF(AND(H989&lt;&gt;"",H989&gt;=129,H989&lt;=2176),INDEX(Fields!$J$2:$J$206,MATCH(H989-129,Fields!$D$2:$D$206,1)),""),"")</f>
        <v/>
      </c>
      <c r="M989">
        <f>IFERROR(IF(AND(H989&lt;&gt;"",H989&gt;=129,H989&lt;=2176),INDEX(Fields!$K$2:$K$206,MATCH(H989-129,Fields!$D$2:$D$206,1)),""),"")</f>
        <v/>
      </c>
    </row>
    <row r="990">
      <c r="A990" t="n">
        <v>988</v>
      </c>
      <c r="B990" t="n">
        <v>0</v>
      </c>
      <c r="C990" t="inlineStr">
        <is>
          <t>No</t>
        </is>
      </c>
      <c r="D990">
        <f>IF(AND(B985=1,B986=1,B987=1,B988=1,B989=1),"Yes","")</f>
        <v/>
      </c>
      <c r="E990" t="inlineStr">
        <is>
          <t>No</t>
        </is>
      </c>
      <c r="F990" t="inlineStr">
        <is>
          <t>No</t>
        </is>
      </c>
      <c r="G990">
        <f>IF(F990="Yes",1-B990,B990)</f>
        <v/>
      </c>
      <c r="H990">
        <f>IF(E990="Yes","",COUNTIFS($E$2:E990,"No"))</f>
        <v/>
      </c>
      <c r="I990">
        <f>IF(H990="","",IF(H990&lt;=128,"address",IF(H990&lt;=600,"data1",IF(H990&lt;=1264,"zero-run1",IF(H990&lt;=1648,"data2",IF(H990&lt;=2176,"zero-run2",IF(H990&lt;=2192,"FCS","trailing")))))))</f>
        <v/>
      </c>
      <c r="J990">
        <f>IFERROR(IF(AND(H990&lt;&gt;"",H990&gt;=129,H990&lt;=2176),INDEX(Fields!$B$2:$B$206,MATCH(H990-129,Fields!$D$2:$D$206,1)),""),"")</f>
        <v/>
      </c>
      <c r="K990">
        <f>IFERROR(IF(AND(H990&lt;&gt;"",H990&gt;=129,H990&lt;=2176),INDEX(Fields!$C$2:$C$206,MATCH(H990-129,Fields!$D$2:$D$206,1)),""),"")</f>
        <v/>
      </c>
      <c r="L990">
        <f>IFERROR(IF(AND(H990&lt;&gt;"",H990&gt;=129,H990&lt;=2176),INDEX(Fields!$J$2:$J$206,MATCH(H990-129,Fields!$D$2:$D$206,1)),""),"")</f>
        <v/>
      </c>
      <c r="M990">
        <f>IFERROR(IF(AND(H990&lt;&gt;"",H990&gt;=129,H990&lt;=2176),INDEX(Fields!$K$2:$K$206,MATCH(H990-129,Fields!$D$2:$D$206,1)),""),"")</f>
        <v/>
      </c>
    </row>
    <row r="991">
      <c r="A991" t="n">
        <v>989</v>
      </c>
      <c r="B991" t="n">
        <v>0</v>
      </c>
      <c r="C991" t="inlineStr">
        <is>
          <t>No</t>
        </is>
      </c>
      <c r="D991">
        <f>IF(AND(B986=1,B987=1,B988=1,B989=1,B990=1),"Yes","")</f>
        <v/>
      </c>
      <c r="E991" t="inlineStr">
        <is>
          <t>No</t>
        </is>
      </c>
      <c r="F991" t="inlineStr">
        <is>
          <t>No</t>
        </is>
      </c>
      <c r="G991">
        <f>IF(F991="Yes",1-B991,B991)</f>
        <v/>
      </c>
      <c r="H991">
        <f>IF(E991="Yes","",COUNTIFS($E$2:E991,"No"))</f>
        <v/>
      </c>
      <c r="I991">
        <f>IF(H991="","",IF(H991&lt;=128,"address",IF(H991&lt;=600,"data1",IF(H991&lt;=1264,"zero-run1",IF(H991&lt;=1648,"data2",IF(H991&lt;=2176,"zero-run2",IF(H991&lt;=2192,"FCS","trailing")))))))</f>
        <v/>
      </c>
      <c r="J991">
        <f>IFERROR(IF(AND(H991&lt;&gt;"",H991&gt;=129,H991&lt;=2176),INDEX(Fields!$B$2:$B$206,MATCH(H991-129,Fields!$D$2:$D$206,1)),""),"")</f>
        <v/>
      </c>
      <c r="K991">
        <f>IFERROR(IF(AND(H991&lt;&gt;"",H991&gt;=129,H991&lt;=2176),INDEX(Fields!$C$2:$C$206,MATCH(H991-129,Fields!$D$2:$D$206,1)),""),"")</f>
        <v/>
      </c>
      <c r="L991">
        <f>IFERROR(IF(AND(H991&lt;&gt;"",H991&gt;=129,H991&lt;=2176),INDEX(Fields!$J$2:$J$206,MATCH(H991-129,Fields!$D$2:$D$206,1)),""),"")</f>
        <v/>
      </c>
      <c r="M991">
        <f>IFERROR(IF(AND(H991&lt;&gt;"",H991&gt;=129,H991&lt;=2176),INDEX(Fields!$K$2:$K$206,MATCH(H991-129,Fields!$D$2:$D$206,1)),""),"")</f>
        <v/>
      </c>
    </row>
    <row r="992">
      <c r="A992" t="n">
        <v>990</v>
      </c>
      <c r="B992" t="n">
        <v>0</v>
      </c>
      <c r="C992" t="inlineStr">
        <is>
          <t>No</t>
        </is>
      </c>
      <c r="D992">
        <f>IF(AND(B987=1,B988=1,B989=1,B990=1,B991=1),"Yes","")</f>
        <v/>
      </c>
      <c r="E992" t="inlineStr">
        <is>
          <t>No</t>
        </is>
      </c>
      <c r="F992" t="inlineStr">
        <is>
          <t>No</t>
        </is>
      </c>
      <c r="G992">
        <f>IF(F992="Yes",1-B992,B992)</f>
        <v/>
      </c>
      <c r="H992">
        <f>IF(E992="Yes","",COUNTIFS($E$2:E992,"No"))</f>
        <v/>
      </c>
      <c r="I992">
        <f>IF(H992="","",IF(H992&lt;=128,"address",IF(H992&lt;=600,"data1",IF(H992&lt;=1264,"zero-run1",IF(H992&lt;=1648,"data2",IF(H992&lt;=2176,"zero-run2",IF(H992&lt;=2192,"FCS","trailing")))))))</f>
        <v/>
      </c>
      <c r="J992">
        <f>IFERROR(IF(AND(H992&lt;&gt;"",H992&gt;=129,H992&lt;=2176),INDEX(Fields!$B$2:$B$206,MATCH(H992-129,Fields!$D$2:$D$206,1)),""),"")</f>
        <v/>
      </c>
      <c r="K992">
        <f>IFERROR(IF(AND(H992&lt;&gt;"",H992&gt;=129,H992&lt;=2176),INDEX(Fields!$C$2:$C$206,MATCH(H992-129,Fields!$D$2:$D$206,1)),""),"")</f>
        <v/>
      </c>
      <c r="L992">
        <f>IFERROR(IF(AND(H992&lt;&gt;"",H992&gt;=129,H992&lt;=2176),INDEX(Fields!$J$2:$J$206,MATCH(H992-129,Fields!$D$2:$D$206,1)),""),"")</f>
        <v/>
      </c>
      <c r="M992">
        <f>IFERROR(IF(AND(H992&lt;&gt;"",H992&gt;=129,H992&lt;=2176),INDEX(Fields!$K$2:$K$206,MATCH(H992-129,Fields!$D$2:$D$206,1)),""),"")</f>
        <v/>
      </c>
    </row>
    <row r="993">
      <c r="A993" t="n">
        <v>991</v>
      </c>
      <c r="B993" t="n">
        <v>0</v>
      </c>
      <c r="C993" t="inlineStr">
        <is>
          <t>No</t>
        </is>
      </c>
      <c r="D993">
        <f>IF(AND(B988=1,B989=1,B990=1,B991=1,B992=1),"Yes","")</f>
        <v/>
      </c>
      <c r="E993" t="inlineStr">
        <is>
          <t>No</t>
        </is>
      </c>
      <c r="F993" t="inlineStr">
        <is>
          <t>No</t>
        </is>
      </c>
      <c r="G993">
        <f>IF(F993="Yes",1-B993,B993)</f>
        <v/>
      </c>
      <c r="H993">
        <f>IF(E993="Yes","",COUNTIFS($E$2:E993,"No"))</f>
        <v/>
      </c>
      <c r="I993">
        <f>IF(H993="","",IF(H993&lt;=128,"address",IF(H993&lt;=600,"data1",IF(H993&lt;=1264,"zero-run1",IF(H993&lt;=1648,"data2",IF(H993&lt;=2176,"zero-run2",IF(H993&lt;=2192,"FCS","trailing")))))))</f>
        <v/>
      </c>
      <c r="J993">
        <f>IFERROR(IF(AND(H993&lt;&gt;"",H993&gt;=129,H993&lt;=2176),INDEX(Fields!$B$2:$B$206,MATCH(H993-129,Fields!$D$2:$D$206,1)),""),"")</f>
        <v/>
      </c>
      <c r="K993">
        <f>IFERROR(IF(AND(H993&lt;&gt;"",H993&gt;=129,H993&lt;=2176),INDEX(Fields!$C$2:$C$206,MATCH(H993-129,Fields!$D$2:$D$206,1)),""),"")</f>
        <v/>
      </c>
      <c r="L993">
        <f>IFERROR(IF(AND(H993&lt;&gt;"",H993&gt;=129,H993&lt;=2176),INDEX(Fields!$J$2:$J$206,MATCH(H993-129,Fields!$D$2:$D$206,1)),""),"")</f>
        <v/>
      </c>
      <c r="M993">
        <f>IFERROR(IF(AND(H993&lt;&gt;"",H993&gt;=129,H993&lt;=2176),INDEX(Fields!$K$2:$K$206,MATCH(H993-129,Fields!$D$2:$D$206,1)),""),"")</f>
        <v/>
      </c>
    </row>
    <row r="994">
      <c r="A994" t="n">
        <v>992</v>
      </c>
      <c r="B994" t="n">
        <v>0</v>
      </c>
      <c r="C994" t="inlineStr">
        <is>
          <t>No</t>
        </is>
      </c>
      <c r="D994">
        <f>IF(AND(B989=1,B990=1,B991=1,B992=1,B993=1),"Yes","")</f>
        <v/>
      </c>
      <c r="E994" t="inlineStr">
        <is>
          <t>No</t>
        </is>
      </c>
      <c r="F994" t="inlineStr">
        <is>
          <t>No</t>
        </is>
      </c>
      <c r="G994">
        <f>IF(F994="Yes",1-B994,B994)</f>
        <v/>
      </c>
      <c r="H994">
        <f>IF(E994="Yes","",COUNTIFS($E$2:E994,"No"))</f>
        <v/>
      </c>
      <c r="I994">
        <f>IF(H994="","",IF(H994&lt;=128,"address",IF(H994&lt;=600,"data1",IF(H994&lt;=1264,"zero-run1",IF(H994&lt;=1648,"data2",IF(H994&lt;=2176,"zero-run2",IF(H994&lt;=2192,"FCS","trailing")))))))</f>
        <v/>
      </c>
      <c r="J994">
        <f>IFERROR(IF(AND(H994&lt;&gt;"",H994&gt;=129,H994&lt;=2176),INDEX(Fields!$B$2:$B$206,MATCH(H994-129,Fields!$D$2:$D$206,1)),""),"")</f>
        <v/>
      </c>
      <c r="K994">
        <f>IFERROR(IF(AND(H994&lt;&gt;"",H994&gt;=129,H994&lt;=2176),INDEX(Fields!$C$2:$C$206,MATCH(H994-129,Fields!$D$2:$D$206,1)),""),"")</f>
        <v/>
      </c>
      <c r="L994">
        <f>IFERROR(IF(AND(H994&lt;&gt;"",H994&gt;=129,H994&lt;=2176),INDEX(Fields!$J$2:$J$206,MATCH(H994-129,Fields!$D$2:$D$206,1)),""),"")</f>
        <v/>
      </c>
      <c r="M994">
        <f>IFERROR(IF(AND(H994&lt;&gt;"",H994&gt;=129,H994&lt;=2176),INDEX(Fields!$K$2:$K$206,MATCH(H994-129,Fields!$D$2:$D$206,1)),""),"")</f>
        <v/>
      </c>
    </row>
    <row r="995">
      <c r="A995" t="n">
        <v>993</v>
      </c>
      <c r="B995" t="n">
        <v>0</v>
      </c>
      <c r="C995" t="inlineStr">
        <is>
          <t>No</t>
        </is>
      </c>
      <c r="D995">
        <f>IF(AND(B990=1,B991=1,B992=1,B993=1,B994=1),"Yes","")</f>
        <v/>
      </c>
      <c r="E995" t="inlineStr">
        <is>
          <t>No</t>
        </is>
      </c>
      <c r="F995" t="inlineStr">
        <is>
          <t>No</t>
        </is>
      </c>
      <c r="G995">
        <f>IF(F995="Yes",1-B995,B995)</f>
        <v/>
      </c>
      <c r="H995">
        <f>IF(E995="Yes","",COUNTIFS($E$2:E995,"No"))</f>
        <v/>
      </c>
      <c r="I995">
        <f>IF(H995="","",IF(H995&lt;=128,"address",IF(H995&lt;=600,"data1",IF(H995&lt;=1264,"zero-run1",IF(H995&lt;=1648,"data2",IF(H995&lt;=2176,"zero-run2",IF(H995&lt;=2192,"FCS","trailing")))))))</f>
        <v/>
      </c>
      <c r="J995">
        <f>IFERROR(IF(AND(H995&lt;&gt;"",H995&gt;=129,H995&lt;=2176),INDEX(Fields!$B$2:$B$206,MATCH(H995-129,Fields!$D$2:$D$206,1)),""),"")</f>
        <v/>
      </c>
      <c r="K995">
        <f>IFERROR(IF(AND(H995&lt;&gt;"",H995&gt;=129,H995&lt;=2176),INDEX(Fields!$C$2:$C$206,MATCH(H995-129,Fields!$D$2:$D$206,1)),""),"")</f>
        <v/>
      </c>
      <c r="L995">
        <f>IFERROR(IF(AND(H995&lt;&gt;"",H995&gt;=129,H995&lt;=2176),INDEX(Fields!$J$2:$J$206,MATCH(H995-129,Fields!$D$2:$D$206,1)),""),"")</f>
        <v/>
      </c>
      <c r="M995">
        <f>IFERROR(IF(AND(H995&lt;&gt;"",H995&gt;=129,H995&lt;=2176),INDEX(Fields!$K$2:$K$206,MATCH(H995-129,Fields!$D$2:$D$206,1)),""),"")</f>
        <v/>
      </c>
    </row>
    <row r="996">
      <c r="A996" t="n">
        <v>994</v>
      </c>
      <c r="B996" t="n">
        <v>0</v>
      </c>
      <c r="C996" t="inlineStr">
        <is>
          <t>No</t>
        </is>
      </c>
      <c r="D996">
        <f>IF(AND(B991=1,B992=1,B993=1,B994=1,B995=1),"Yes","")</f>
        <v/>
      </c>
      <c r="E996" t="inlineStr">
        <is>
          <t>No</t>
        </is>
      </c>
      <c r="F996" t="inlineStr">
        <is>
          <t>No</t>
        </is>
      </c>
      <c r="G996">
        <f>IF(F996="Yes",1-B996,B996)</f>
        <v/>
      </c>
      <c r="H996">
        <f>IF(E996="Yes","",COUNTIFS($E$2:E996,"No"))</f>
        <v/>
      </c>
      <c r="I996">
        <f>IF(H996="","",IF(H996&lt;=128,"address",IF(H996&lt;=600,"data1",IF(H996&lt;=1264,"zero-run1",IF(H996&lt;=1648,"data2",IF(H996&lt;=2176,"zero-run2",IF(H996&lt;=2192,"FCS","trailing")))))))</f>
        <v/>
      </c>
      <c r="J996">
        <f>IFERROR(IF(AND(H996&lt;&gt;"",H996&gt;=129,H996&lt;=2176),INDEX(Fields!$B$2:$B$206,MATCH(H996-129,Fields!$D$2:$D$206,1)),""),"")</f>
        <v/>
      </c>
      <c r="K996">
        <f>IFERROR(IF(AND(H996&lt;&gt;"",H996&gt;=129,H996&lt;=2176),INDEX(Fields!$C$2:$C$206,MATCH(H996-129,Fields!$D$2:$D$206,1)),""),"")</f>
        <v/>
      </c>
      <c r="L996">
        <f>IFERROR(IF(AND(H996&lt;&gt;"",H996&gt;=129,H996&lt;=2176),INDEX(Fields!$J$2:$J$206,MATCH(H996-129,Fields!$D$2:$D$206,1)),""),"")</f>
        <v/>
      </c>
      <c r="M996">
        <f>IFERROR(IF(AND(H996&lt;&gt;"",H996&gt;=129,H996&lt;=2176),INDEX(Fields!$K$2:$K$206,MATCH(H996-129,Fields!$D$2:$D$206,1)),""),"")</f>
        <v/>
      </c>
    </row>
    <row r="997">
      <c r="A997" t="n">
        <v>995</v>
      </c>
      <c r="B997" t="n">
        <v>0</v>
      </c>
      <c r="C997" t="inlineStr">
        <is>
          <t>No</t>
        </is>
      </c>
      <c r="D997">
        <f>IF(AND(B992=1,B993=1,B994=1,B995=1,B996=1),"Yes","")</f>
        <v/>
      </c>
      <c r="E997" t="inlineStr">
        <is>
          <t>No</t>
        </is>
      </c>
      <c r="F997" t="inlineStr">
        <is>
          <t>No</t>
        </is>
      </c>
      <c r="G997">
        <f>IF(F997="Yes",1-B997,B997)</f>
        <v/>
      </c>
      <c r="H997">
        <f>IF(E997="Yes","",COUNTIFS($E$2:E997,"No"))</f>
        <v/>
      </c>
      <c r="I997">
        <f>IF(H997="","",IF(H997&lt;=128,"address",IF(H997&lt;=600,"data1",IF(H997&lt;=1264,"zero-run1",IF(H997&lt;=1648,"data2",IF(H997&lt;=2176,"zero-run2",IF(H997&lt;=2192,"FCS","trailing")))))))</f>
        <v/>
      </c>
      <c r="J997">
        <f>IFERROR(IF(AND(H997&lt;&gt;"",H997&gt;=129,H997&lt;=2176),INDEX(Fields!$B$2:$B$206,MATCH(H997-129,Fields!$D$2:$D$206,1)),""),"")</f>
        <v/>
      </c>
      <c r="K997">
        <f>IFERROR(IF(AND(H997&lt;&gt;"",H997&gt;=129,H997&lt;=2176),INDEX(Fields!$C$2:$C$206,MATCH(H997-129,Fields!$D$2:$D$206,1)),""),"")</f>
        <v/>
      </c>
      <c r="L997">
        <f>IFERROR(IF(AND(H997&lt;&gt;"",H997&gt;=129,H997&lt;=2176),INDEX(Fields!$J$2:$J$206,MATCH(H997-129,Fields!$D$2:$D$206,1)),""),"")</f>
        <v/>
      </c>
      <c r="M997">
        <f>IFERROR(IF(AND(H997&lt;&gt;"",H997&gt;=129,H997&lt;=2176),INDEX(Fields!$K$2:$K$206,MATCH(H997-129,Fields!$D$2:$D$206,1)),""),"")</f>
        <v/>
      </c>
    </row>
    <row r="998">
      <c r="A998" t="n">
        <v>996</v>
      </c>
      <c r="B998" t="n">
        <v>0</v>
      </c>
      <c r="C998" t="inlineStr">
        <is>
          <t>No</t>
        </is>
      </c>
      <c r="D998">
        <f>IF(AND(B993=1,B994=1,B995=1,B996=1,B997=1),"Yes","")</f>
        <v/>
      </c>
      <c r="E998" t="inlineStr">
        <is>
          <t>No</t>
        </is>
      </c>
      <c r="F998" t="inlineStr">
        <is>
          <t>No</t>
        </is>
      </c>
      <c r="G998">
        <f>IF(F998="Yes",1-B998,B998)</f>
        <v/>
      </c>
      <c r="H998">
        <f>IF(E998="Yes","",COUNTIFS($E$2:E998,"No"))</f>
        <v/>
      </c>
      <c r="I998">
        <f>IF(H998="","",IF(H998&lt;=128,"address",IF(H998&lt;=600,"data1",IF(H998&lt;=1264,"zero-run1",IF(H998&lt;=1648,"data2",IF(H998&lt;=2176,"zero-run2",IF(H998&lt;=2192,"FCS","trailing")))))))</f>
        <v/>
      </c>
      <c r="J998">
        <f>IFERROR(IF(AND(H998&lt;&gt;"",H998&gt;=129,H998&lt;=2176),INDEX(Fields!$B$2:$B$206,MATCH(H998-129,Fields!$D$2:$D$206,1)),""),"")</f>
        <v/>
      </c>
      <c r="K998">
        <f>IFERROR(IF(AND(H998&lt;&gt;"",H998&gt;=129,H998&lt;=2176),INDEX(Fields!$C$2:$C$206,MATCH(H998-129,Fields!$D$2:$D$206,1)),""),"")</f>
        <v/>
      </c>
      <c r="L998">
        <f>IFERROR(IF(AND(H998&lt;&gt;"",H998&gt;=129,H998&lt;=2176),INDEX(Fields!$J$2:$J$206,MATCH(H998-129,Fields!$D$2:$D$206,1)),""),"")</f>
        <v/>
      </c>
      <c r="M998">
        <f>IFERROR(IF(AND(H998&lt;&gt;"",H998&gt;=129,H998&lt;=2176),INDEX(Fields!$K$2:$K$206,MATCH(H998-129,Fields!$D$2:$D$206,1)),""),"")</f>
        <v/>
      </c>
    </row>
    <row r="999">
      <c r="A999" t="n">
        <v>997</v>
      </c>
      <c r="B999" t="n">
        <v>0</v>
      </c>
      <c r="C999" t="inlineStr">
        <is>
          <t>No</t>
        </is>
      </c>
      <c r="D999">
        <f>IF(AND(B994=1,B995=1,B996=1,B997=1,B998=1),"Yes","")</f>
        <v/>
      </c>
      <c r="E999" t="inlineStr">
        <is>
          <t>No</t>
        </is>
      </c>
      <c r="F999" t="inlineStr">
        <is>
          <t>No</t>
        </is>
      </c>
      <c r="G999">
        <f>IF(F999="Yes",1-B999,B999)</f>
        <v/>
      </c>
      <c r="H999">
        <f>IF(E999="Yes","",COUNTIFS($E$2:E999,"No"))</f>
        <v/>
      </c>
      <c r="I999">
        <f>IF(H999="","",IF(H999&lt;=128,"address",IF(H999&lt;=600,"data1",IF(H999&lt;=1264,"zero-run1",IF(H999&lt;=1648,"data2",IF(H999&lt;=2176,"zero-run2",IF(H999&lt;=2192,"FCS","trailing")))))))</f>
        <v/>
      </c>
      <c r="J999">
        <f>IFERROR(IF(AND(H999&lt;&gt;"",H999&gt;=129,H999&lt;=2176),INDEX(Fields!$B$2:$B$206,MATCH(H999-129,Fields!$D$2:$D$206,1)),""),"")</f>
        <v/>
      </c>
      <c r="K999">
        <f>IFERROR(IF(AND(H999&lt;&gt;"",H999&gt;=129,H999&lt;=2176),INDEX(Fields!$C$2:$C$206,MATCH(H999-129,Fields!$D$2:$D$206,1)),""),"")</f>
        <v/>
      </c>
      <c r="L999">
        <f>IFERROR(IF(AND(H999&lt;&gt;"",H999&gt;=129,H999&lt;=2176),INDEX(Fields!$J$2:$J$206,MATCH(H999-129,Fields!$D$2:$D$206,1)),""),"")</f>
        <v/>
      </c>
      <c r="M999">
        <f>IFERROR(IF(AND(H999&lt;&gt;"",H999&gt;=129,H999&lt;=2176),INDEX(Fields!$K$2:$K$206,MATCH(H999-129,Fields!$D$2:$D$206,1)),""),"")</f>
        <v/>
      </c>
    </row>
    <row r="1000">
      <c r="A1000" t="n">
        <v>998</v>
      </c>
      <c r="B1000" t="n">
        <v>0</v>
      </c>
      <c r="C1000" t="inlineStr">
        <is>
          <t>No</t>
        </is>
      </c>
      <c r="D1000">
        <f>IF(AND(B995=1,B996=1,B997=1,B998=1,B999=1),"Yes","")</f>
        <v/>
      </c>
      <c r="E1000" t="inlineStr">
        <is>
          <t>No</t>
        </is>
      </c>
      <c r="F1000" t="inlineStr">
        <is>
          <t>No</t>
        </is>
      </c>
      <c r="G1000">
        <f>IF(F1000="Yes",1-B1000,B1000)</f>
        <v/>
      </c>
      <c r="H1000">
        <f>IF(E1000="Yes","",COUNTIFS($E$2:E1000,"No"))</f>
        <v/>
      </c>
      <c r="I1000">
        <f>IF(H1000="","",IF(H1000&lt;=128,"address",IF(H1000&lt;=600,"data1",IF(H1000&lt;=1264,"zero-run1",IF(H1000&lt;=1648,"data2",IF(H1000&lt;=2176,"zero-run2",IF(H1000&lt;=2192,"FCS","trailing")))))))</f>
        <v/>
      </c>
      <c r="J1000">
        <f>IFERROR(IF(AND(H1000&lt;&gt;"",H1000&gt;=129,H1000&lt;=2176),INDEX(Fields!$B$2:$B$206,MATCH(H1000-129,Fields!$D$2:$D$206,1)),""),"")</f>
        <v/>
      </c>
      <c r="K1000">
        <f>IFERROR(IF(AND(H1000&lt;&gt;"",H1000&gt;=129,H1000&lt;=2176),INDEX(Fields!$C$2:$C$206,MATCH(H1000-129,Fields!$D$2:$D$206,1)),""),"")</f>
        <v/>
      </c>
      <c r="L1000">
        <f>IFERROR(IF(AND(H1000&lt;&gt;"",H1000&gt;=129,H1000&lt;=2176),INDEX(Fields!$J$2:$J$206,MATCH(H1000-129,Fields!$D$2:$D$206,1)),""),"")</f>
        <v/>
      </c>
      <c r="M1000">
        <f>IFERROR(IF(AND(H1000&lt;&gt;"",H1000&gt;=129,H1000&lt;=2176),INDEX(Fields!$K$2:$K$206,MATCH(H1000-129,Fields!$D$2:$D$206,1)),""),"")</f>
        <v/>
      </c>
    </row>
    <row r="1001">
      <c r="A1001" t="n">
        <v>999</v>
      </c>
      <c r="B1001" t="n">
        <v>0</v>
      </c>
      <c r="C1001" t="inlineStr">
        <is>
          <t>No</t>
        </is>
      </c>
      <c r="D1001">
        <f>IF(AND(B996=1,B997=1,B998=1,B999=1,B1000=1),"Yes","")</f>
        <v/>
      </c>
      <c r="E1001" t="inlineStr">
        <is>
          <t>No</t>
        </is>
      </c>
      <c r="F1001" t="inlineStr">
        <is>
          <t>No</t>
        </is>
      </c>
      <c r="G1001">
        <f>IF(F1001="Yes",1-B1001,B1001)</f>
        <v/>
      </c>
      <c r="H1001">
        <f>IF(E1001="Yes","",COUNTIFS($E$2:E1001,"No"))</f>
        <v/>
      </c>
      <c r="I1001">
        <f>IF(H1001="","",IF(H1001&lt;=128,"address",IF(H1001&lt;=600,"data1",IF(H1001&lt;=1264,"zero-run1",IF(H1001&lt;=1648,"data2",IF(H1001&lt;=2176,"zero-run2",IF(H1001&lt;=2192,"FCS","trailing")))))))</f>
        <v/>
      </c>
      <c r="J1001">
        <f>IFERROR(IF(AND(H1001&lt;&gt;"",H1001&gt;=129,H1001&lt;=2176),INDEX(Fields!$B$2:$B$206,MATCH(H1001-129,Fields!$D$2:$D$206,1)),""),"")</f>
        <v/>
      </c>
      <c r="K1001">
        <f>IFERROR(IF(AND(H1001&lt;&gt;"",H1001&gt;=129,H1001&lt;=2176),INDEX(Fields!$C$2:$C$206,MATCH(H1001-129,Fields!$D$2:$D$206,1)),""),"")</f>
        <v/>
      </c>
      <c r="L1001">
        <f>IFERROR(IF(AND(H1001&lt;&gt;"",H1001&gt;=129,H1001&lt;=2176),INDEX(Fields!$J$2:$J$206,MATCH(H1001-129,Fields!$D$2:$D$206,1)),""),"")</f>
        <v/>
      </c>
      <c r="M1001">
        <f>IFERROR(IF(AND(H1001&lt;&gt;"",H1001&gt;=129,H1001&lt;=2176),INDEX(Fields!$K$2:$K$206,MATCH(H1001-129,Fields!$D$2:$D$206,1)),""),"")</f>
        <v/>
      </c>
    </row>
    <row r="1002">
      <c r="A1002" t="n">
        <v>1000</v>
      </c>
      <c r="B1002" t="n">
        <v>0</v>
      </c>
      <c r="C1002" t="inlineStr">
        <is>
          <t>No</t>
        </is>
      </c>
      <c r="D1002">
        <f>IF(AND(B997=1,B998=1,B999=1,B1000=1,B1001=1),"Yes","")</f>
        <v/>
      </c>
      <c r="E1002" t="inlineStr">
        <is>
          <t>No</t>
        </is>
      </c>
      <c r="F1002" t="inlineStr">
        <is>
          <t>No</t>
        </is>
      </c>
      <c r="G1002">
        <f>IF(F1002="Yes",1-B1002,B1002)</f>
        <v/>
      </c>
      <c r="H1002">
        <f>IF(E1002="Yes","",COUNTIFS($E$2:E1002,"No"))</f>
        <v/>
      </c>
      <c r="I1002">
        <f>IF(H1002="","",IF(H1002&lt;=128,"address",IF(H1002&lt;=600,"data1",IF(H1002&lt;=1264,"zero-run1",IF(H1002&lt;=1648,"data2",IF(H1002&lt;=2176,"zero-run2",IF(H1002&lt;=2192,"FCS","trailing")))))))</f>
        <v/>
      </c>
      <c r="J1002">
        <f>IFERROR(IF(AND(H1002&lt;&gt;"",H1002&gt;=129,H1002&lt;=2176),INDEX(Fields!$B$2:$B$206,MATCH(H1002-129,Fields!$D$2:$D$206,1)),""),"")</f>
        <v/>
      </c>
      <c r="K1002">
        <f>IFERROR(IF(AND(H1002&lt;&gt;"",H1002&gt;=129,H1002&lt;=2176),INDEX(Fields!$C$2:$C$206,MATCH(H1002-129,Fields!$D$2:$D$206,1)),""),"")</f>
        <v/>
      </c>
      <c r="L1002">
        <f>IFERROR(IF(AND(H1002&lt;&gt;"",H1002&gt;=129,H1002&lt;=2176),INDEX(Fields!$J$2:$J$206,MATCH(H1002-129,Fields!$D$2:$D$206,1)),""),"")</f>
        <v/>
      </c>
      <c r="M1002">
        <f>IFERROR(IF(AND(H1002&lt;&gt;"",H1002&gt;=129,H1002&lt;=2176),INDEX(Fields!$K$2:$K$206,MATCH(H1002-129,Fields!$D$2:$D$206,1)),""),"")</f>
        <v/>
      </c>
    </row>
    <row r="1003">
      <c r="A1003" t="n">
        <v>1001</v>
      </c>
      <c r="B1003" t="n">
        <v>0</v>
      </c>
      <c r="C1003" t="inlineStr">
        <is>
          <t>No</t>
        </is>
      </c>
      <c r="D1003">
        <f>IF(AND(B998=1,B999=1,B1000=1,B1001=1,B1002=1),"Yes","")</f>
        <v/>
      </c>
      <c r="E1003" t="inlineStr">
        <is>
          <t>No</t>
        </is>
      </c>
      <c r="F1003" t="inlineStr">
        <is>
          <t>No</t>
        </is>
      </c>
      <c r="G1003">
        <f>IF(F1003="Yes",1-B1003,B1003)</f>
        <v/>
      </c>
      <c r="H1003">
        <f>IF(E1003="Yes","",COUNTIFS($E$2:E1003,"No"))</f>
        <v/>
      </c>
      <c r="I1003">
        <f>IF(H1003="","",IF(H1003&lt;=128,"address",IF(H1003&lt;=600,"data1",IF(H1003&lt;=1264,"zero-run1",IF(H1003&lt;=1648,"data2",IF(H1003&lt;=2176,"zero-run2",IF(H1003&lt;=2192,"FCS","trailing")))))))</f>
        <v/>
      </c>
      <c r="J1003">
        <f>IFERROR(IF(AND(H1003&lt;&gt;"",H1003&gt;=129,H1003&lt;=2176),INDEX(Fields!$B$2:$B$206,MATCH(H1003-129,Fields!$D$2:$D$206,1)),""),"")</f>
        <v/>
      </c>
      <c r="K1003">
        <f>IFERROR(IF(AND(H1003&lt;&gt;"",H1003&gt;=129,H1003&lt;=2176),INDEX(Fields!$C$2:$C$206,MATCH(H1003-129,Fields!$D$2:$D$206,1)),""),"")</f>
        <v/>
      </c>
      <c r="L1003">
        <f>IFERROR(IF(AND(H1003&lt;&gt;"",H1003&gt;=129,H1003&lt;=2176),INDEX(Fields!$J$2:$J$206,MATCH(H1003-129,Fields!$D$2:$D$206,1)),""),"")</f>
        <v/>
      </c>
      <c r="M1003">
        <f>IFERROR(IF(AND(H1003&lt;&gt;"",H1003&gt;=129,H1003&lt;=2176),INDEX(Fields!$K$2:$K$206,MATCH(H1003-129,Fields!$D$2:$D$206,1)),""),"")</f>
        <v/>
      </c>
    </row>
    <row r="1004">
      <c r="A1004" t="n">
        <v>1002</v>
      </c>
      <c r="B1004" t="n">
        <v>0</v>
      </c>
      <c r="C1004" t="inlineStr">
        <is>
          <t>No</t>
        </is>
      </c>
      <c r="D1004">
        <f>IF(AND(B999=1,B1000=1,B1001=1,B1002=1,B1003=1),"Yes","")</f>
        <v/>
      </c>
      <c r="E1004" t="inlineStr">
        <is>
          <t>No</t>
        </is>
      </c>
      <c r="F1004" t="inlineStr">
        <is>
          <t>No</t>
        </is>
      </c>
      <c r="G1004">
        <f>IF(F1004="Yes",1-B1004,B1004)</f>
        <v/>
      </c>
      <c r="H1004">
        <f>IF(E1004="Yes","",COUNTIFS($E$2:E1004,"No"))</f>
        <v/>
      </c>
      <c r="I1004">
        <f>IF(H1004="","",IF(H1004&lt;=128,"address",IF(H1004&lt;=600,"data1",IF(H1004&lt;=1264,"zero-run1",IF(H1004&lt;=1648,"data2",IF(H1004&lt;=2176,"zero-run2",IF(H1004&lt;=2192,"FCS","trailing")))))))</f>
        <v/>
      </c>
      <c r="J1004">
        <f>IFERROR(IF(AND(H1004&lt;&gt;"",H1004&gt;=129,H1004&lt;=2176),INDEX(Fields!$B$2:$B$206,MATCH(H1004-129,Fields!$D$2:$D$206,1)),""),"")</f>
        <v/>
      </c>
      <c r="K1004">
        <f>IFERROR(IF(AND(H1004&lt;&gt;"",H1004&gt;=129,H1004&lt;=2176),INDEX(Fields!$C$2:$C$206,MATCH(H1004-129,Fields!$D$2:$D$206,1)),""),"")</f>
        <v/>
      </c>
      <c r="L1004">
        <f>IFERROR(IF(AND(H1004&lt;&gt;"",H1004&gt;=129,H1004&lt;=2176),INDEX(Fields!$J$2:$J$206,MATCH(H1004-129,Fields!$D$2:$D$206,1)),""),"")</f>
        <v/>
      </c>
      <c r="M1004">
        <f>IFERROR(IF(AND(H1004&lt;&gt;"",H1004&gt;=129,H1004&lt;=2176),INDEX(Fields!$K$2:$K$206,MATCH(H1004-129,Fields!$D$2:$D$206,1)),""),"")</f>
        <v/>
      </c>
    </row>
    <row r="1005">
      <c r="A1005" t="n">
        <v>1003</v>
      </c>
      <c r="B1005" t="n">
        <v>0</v>
      </c>
      <c r="C1005" t="inlineStr">
        <is>
          <t>No</t>
        </is>
      </c>
      <c r="D1005">
        <f>IF(AND(B1000=1,B1001=1,B1002=1,B1003=1,B1004=1),"Yes","")</f>
        <v/>
      </c>
      <c r="E1005" t="inlineStr">
        <is>
          <t>No</t>
        </is>
      </c>
      <c r="F1005" t="inlineStr">
        <is>
          <t>No</t>
        </is>
      </c>
      <c r="G1005">
        <f>IF(F1005="Yes",1-B1005,B1005)</f>
        <v/>
      </c>
      <c r="H1005">
        <f>IF(E1005="Yes","",COUNTIFS($E$2:E1005,"No"))</f>
        <v/>
      </c>
      <c r="I1005">
        <f>IF(H1005="","",IF(H1005&lt;=128,"address",IF(H1005&lt;=600,"data1",IF(H1005&lt;=1264,"zero-run1",IF(H1005&lt;=1648,"data2",IF(H1005&lt;=2176,"zero-run2",IF(H1005&lt;=2192,"FCS","trailing")))))))</f>
        <v/>
      </c>
      <c r="J1005">
        <f>IFERROR(IF(AND(H1005&lt;&gt;"",H1005&gt;=129,H1005&lt;=2176),INDEX(Fields!$B$2:$B$206,MATCH(H1005-129,Fields!$D$2:$D$206,1)),""),"")</f>
        <v/>
      </c>
      <c r="K1005">
        <f>IFERROR(IF(AND(H1005&lt;&gt;"",H1005&gt;=129,H1005&lt;=2176),INDEX(Fields!$C$2:$C$206,MATCH(H1005-129,Fields!$D$2:$D$206,1)),""),"")</f>
        <v/>
      </c>
      <c r="L1005">
        <f>IFERROR(IF(AND(H1005&lt;&gt;"",H1005&gt;=129,H1005&lt;=2176),INDEX(Fields!$J$2:$J$206,MATCH(H1005-129,Fields!$D$2:$D$206,1)),""),"")</f>
        <v/>
      </c>
      <c r="M1005">
        <f>IFERROR(IF(AND(H1005&lt;&gt;"",H1005&gt;=129,H1005&lt;=2176),INDEX(Fields!$K$2:$K$206,MATCH(H1005-129,Fields!$D$2:$D$206,1)),""),"")</f>
        <v/>
      </c>
    </row>
    <row r="1006">
      <c r="A1006" t="n">
        <v>1004</v>
      </c>
      <c r="B1006" t="n">
        <v>0</v>
      </c>
      <c r="C1006" t="inlineStr">
        <is>
          <t>No</t>
        </is>
      </c>
      <c r="D1006">
        <f>IF(AND(B1001=1,B1002=1,B1003=1,B1004=1,B1005=1),"Yes","")</f>
        <v/>
      </c>
      <c r="E1006" t="inlineStr">
        <is>
          <t>No</t>
        </is>
      </c>
      <c r="F1006" t="inlineStr">
        <is>
          <t>No</t>
        </is>
      </c>
      <c r="G1006">
        <f>IF(F1006="Yes",1-B1006,B1006)</f>
        <v/>
      </c>
      <c r="H1006">
        <f>IF(E1006="Yes","",COUNTIFS($E$2:E1006,"No"))</f>
        <v/>
      </c>
      <c r="I1006">
        <f>IF(H1006="","",IF(H1006&lt;=128,"address",IF(H1006&lt;=600,"data1",IF(H1006&lt;=1264,"zero-run1",IF(H1006&lt;=1648,"data2",IF(H1006&lt;=2176,"zero-run2",IF(H1006&lt;=2192,"FCS","trailing")))))))</f>
        <v/>
      </c>
      <c r="J1006">
        <f>IFERROR(IF(AND(H1006&lt;&gt;"",H1006&gt;=129,H1006&lt;=2176),INDEX(Fields!$B$2:$B$206,MATCH(H1006-129,Fields!$D$2:$D$206,1)),""),"")</f>
        <v/>
      </c>
      <c r="K1006">
        <f>IFERROR(IF(AND(H1006&lt;&gt;"",H1006&gt;=129,H1006&lt;=2176),INDEX(Fields!$C$2:$C$206,MATCH(H1006-129,Fields!$D$2:$D$206,1)),""),"")</f>
        <v/>
      </c>
      <c r="L1006">
        <f>IFERROR(IF(AND(H1006&lt;&gt;"",H1006&gt;=129,H1006&lt;=2176),INDEX(Fields!$J$2:$J$206,MATCH(H1006-129,Fields!$D$2:$D$206,1)),""),"")</f>
        <v/>
      </c>
      <c r="M1006">
        <f>IFERROR(IF(AND(H1006&lt;&gt;"",H1006&gt;=129,H1006&lt;=2176),INDEX(Fields!$K$2:$K$206,MATCH(H1006-129,Fields!$D$2:$D$206,1)),""),"")</f>
        <v/>
      </c>
    </row>
    <row r="1007">
      <c r="A1007" t="n">
        <v>1005</v>
      </c>
      <c r="B1007" t="n">
        <v>0</v>
      </c>
      <c r="C1007" t="inlineStr">
        <is>
          <t>No</t>
        </is>
      </c>
      <c r="D1007">
        <f>IF(AND(B1002=1,B1003=1,B1004=1,B1005=1,B1006=1),"Yes","")</f>
        <v/>
      </c>
      <c r="E1007" t="inlineStr">
        <is>
          <t>No</t>
        </is>
      </c>
      <c r="F1007" t="inlineStr">
        <is>
          <t>No</t>
        </is>
      </c>
      <c r="G1007">
        <f>IF(F1007="Yes",1-B1007,B1007)</f>
        <v/>
      </c>
      <c r="H1007">
        <f>IF(E1007="Yes","",COUNTIFS($E$2:E1007,"No"))</f>
        <v/>
      </c>
      <c r="I1007">
        <f>IF(H1007="","",IF(H1007&lt;=128,"address",IF(H1007&lt;=600,"data1",IF(H1007&lt;=1264,"zero-run1",IF(H1007&lt;=1648,"data2",IF(H1007&lt;=2176,"zero-run2",IF(H1007&lt;=2192,"FCS","trailing")))))))</f>
        <v/>
      </c>
      <c r="J1007">
        <f>IFERROR(IF(AND(H1007&lt;&gt;"",H1007&gt;=129,H1007&lt;=2176),INDEX(Fields!$B$2:$B$206,MATCH(H1007-129,Fields!$D$2:$D$206,1)),""),"")</f>
        <v/>
      </c>
      <c r="K1007">
        <f>IFERROR(IF(AND(H1007&lt;&gt;"",H1007&gt;=129,H1007&lt;=2176),INDEX(Fields!$C$2:$C$206,MATCH(H1007-129,Fields!$D$2:$D$206,1)),""),"")</f>
        <v/>
      </c>
      <c r="L1007">
        <f>IFERROR(IF(AND(H1007&lt;&gt;"",H1007&gt;=129,H1007&lt;=2176),INDEX(Fields!$J$2:$J$206,MATCH(H1007-129,Fields!$D$2:$D$206,1)),""),"")</f>
        <v/>
      </c>
      <c r="M1007">
        <f>IFERROR(IF(AND(H1007&lt;&gt;"",H1007&gt;=129,H1007&lt;=2176),INDEX(Fields!$K$2:$K$206,MATCH(H1007-129,Fields!$D$2:$D$206,1)),""),"")</f>
        <v/>
      </c>
    </row>
    <row r="1008">
      <c r="A1008" t="n">
        <v>1006</v>
      </c>
      <c r="B1008" t="n">
        <v>0</v>
      </c>
      <c r="C1008" t="inlineStr">
        <is>
          <t>No</t>
        </is>
      </c>
      <c r="D1008">
        <f>IF(AND(B1003=1,B1004=1,B1005=1,B1006=1,B1007=1),"Yes","")</f>
        <v/>
      </c>
      <c r="E1008" t="inlineStr">
        <is>
          <t>No</t>
        </is>
      </c>
      <c r="F1008" t="inlineStr">
        <is>
          <t>No</t>
        </is>
      </c>
      <c r="G1008">
        <f>IF(F1008="Yes",1-B1008,B1008)</f>
        <v/>
      </c>
      <c r="H1008">
        <f>IF(E1008="Yes","",COUNTIFS($E$2:E1008,"No"))</f>
        <v/>
      </c>
      <c r="I1008">
        <f>IF(H1008="","",IF(H1008&lt;=128,"address",IF(H1008&lt;=600,"data1",IF(H1008&lt;=1264,"zero-run1",IF(H1008&lt;=1648,"data2",IF(H1008&lt;=2176,"zero-run2",IF(H1008&lt;=2192,"FCS","trailing")))))))</f>
        <v/>
      </c>
      <c r="J1008">
        <f>IFERROR(IF(AND(H1008&lt;&gt;"",H1008&gt;=129,H1008&lt;=2176),INDEX(Fields!$B$2:$B$206,MATCH(H1008-129,Fields!$D$2:$D$206,1)),""),"")</f>
        <v/>
      </c>
      <c r="K1008">
        <f>IFERROR(IF(AND(H1008&lt;&gt;"",H1008&gt;=129,H1008&lt;=2176),INDEX(Fields!$C$2:$C$206,MATCH(H1008-129,Fields!$D$2:$D$206,1)),""),"")</f>
        <v/>
      </c>
      <c r="L1008">
        <f>IFERROR(IF(AND(H1008&lt;&gt;"",H1008&gt;=129,H1008&lt;=2176),INDEX(Fields!$J$2:$J$206,MATCH(H1008-129,Fields!$D$2:$D$206,1)),""),"")</f>
        <v/>
      </c>
      <c r="M1008">
        <f>IFERROR(IF(AND(H1008&lt;&gt;"",H1008&gt;=129,H1008&lt;=2176),INDEX(Fields!$K$2:$K$206,MATCH(H1008-129,Fields!$D$2:$D$206,1)),""),"")</f>
        <v/>
      </c>
    </row>
    <row r="1009">
      <c r="A1009" t="n">
        <v>1007</v>
      </c>
      <c r="B1009" t="n">
        <v>0</v>
      </c>
      <c r="C1009" t="inlineStr">
        <is>
          <t>No</t>
        </is>
      </c>
      <c r="D1009">
        <f>IF(AND(B1004=1,B1005=1,B1006=1,B1007=1,B1008=1),"Yes","")</f>
        <v/>
      </c>
      <c r="E1009" t="inlineStr">
        <is>
          <t>No</t>
        </is>
      </c>
      <c r="F1009" t="inlineStr">
        <is>
          <t>No</t>
        </is>
      </c>
      <c r="G1009">
        <f>IF(F1009="Yes",1-B1009,B1009)</f>
        <v/>
      </c>
      <c r="H1009">
        <f>IF(E1009="Yes","",COUNTIFS($E$2:E1009,"No"))</f>
        <v/>
      </c>
      <c r="I1009">
        <f>IF(H1009="","",IF(H1009&lt;=128,"address",IF(H1009&lt;=600,"data1",IF(H1009&lt;=1264,"zero-run1",IF(H1009&lt;=1648,"data2",IF(H1009&lt;=2176,"zero-run2",IF(H1009&lt;=2192,"FCS","trailing")))))))</f>
        <v/>
      </c>
      <c r="J1009">
        <f>IFERROR(IF(AND(H1009&lt;&gt;"",H1009&gt;=129,H1009&lt;=2176),INDEX(Fields!$B$2:$B$206,MATCH(H1009-129,Fields!$D$2:$D$206,1)),""),"")</f>
        <v/>
      </c>
      <c r="K1009">
        <f>IFERROR(IF(AND(H1009&lt;&gt;"",H1009&gt;=129,H1009&lt;=2176),INDEX(Fields!$C$2:$C$206,MATCH(H1009-129,Fields!$D$2:$D$206,1)),""),"")</f>
        <v/>
      </c>
      <c r="L1009">
        <f>IFERROR(IF(AND(H1009&lt;&gt;"",H1009&gt;=129,H1009&lt;=2176),INDEX(Fields!$J$2:$J$206,MATCH(H1009-129,Fields!$D$2:$D$206,1)),""),"")</f>
        <v/>
      </c>
      <c r="M1009">
        <f>IFERROR(IF(AND(H1009&lt;&gt;"",H1009&gt;=129,H1009&lt;=2176),INDEX(Fields!$K$2:$K$206,MATCH(H1009-129,Fields!$D$2:$D$206,1)),""),"")</f>
        <v/>
      </c>
    </row>
    <row r="1010">
      <c r="A1010" t="n">
        <v>1008</v>
      </c>
      <c r="B1010" t="n">
        <v>0</v>
      </c>
      <c r="C1010" t="inlineStr">
        <is>
          <t>No</t>
        </is>
      </c>
      <c r="D1010">
        <f>IF(AND(B1005=1,B1006=1,B1007=1,B1008=1,B1009=1),"Yes","")</f>
        <v/>
      </c>
      <c r="E1010" t="inlineStr">
        <is>
          <t>No</t>
        </is>
      </c>
      <c r="F1010" t="inlineStr">
        <is>
          <t>No</t>
        </is>
      </c>
      <c r="G1010">
        <f>IF(F1010="Yes",1-B1010,B1010)</f>
        <v/>
      </c>
      <c r="H1010">
        <f>IF(E1010="Yes","",COUNTIFS($E$2:E1010,"No"))</f>
        <v/>
      </c>
      <c r="I1010">
        <f>IF(H1010="","",IF(H1010&lt;=128,"address",IF(H1010&lt;=600,"data1",IF(H1010&lt;=1264,"zero-run1",IF(H1010&lt;=1648,"data2",IF(H1010&lt;=2176,"zero-run2",IF(H1010&lt;=2192,"FCS","trailing")))))))</f>
        <v/>
      </c>
      <c r="J1010">
        <f>IFERROR(IF(AND(H1010&lt;&gt;"",H1010&gt;=129,H1010&lt;=2176),INDEX(Fields!$B$2:$B$206,MATCH(H1010-129,Fields!$D$2:$D$206,1)),""),"")</f>
        <v/>
      </c>
      <c r="K1010">
        <f>IFERROR(IF(AND(H1010&lt;&gt;"",H1010&gt;=129,H1010&lt;=2176),INDEX(Fields!$C$2:$C$206,MATCH(H1010-129,Fields!$D$2:$D$206,1)),""),"")</f>
        <v/>
      </c>
      <c r="L1010">
        <f>IFERROR(IF(AND(H1010&lt;&gt;"",H1010&gt;=129,H1010&lt;=2176),INDEX(Fields!$J$2:$J$206,MATCH(H1010-129,Fields!$D$2:$D$206,1)),""),"")</f>
        <v/>
      </c>
      <c r="M1010">
        <f>IFERROR(IF(AND(H1010&lt;&gt;"",H1010&gt;=129,H1010&lt;=2176),INDEX(Fields!$K$2:$K$206,MATCH(H1010-129,Fields!$D$2:$D$206,1)),""),"")</f>
        <v/>
      </c>
    </row>
    <row r="1011">
      <c r="A1011" t="n">
        <v>1009</v>
      </c>
      <c r="B1011" t="n">
        <v>0</v>
      </c>
      <c r="C1011" t="inlineStr">
        <is>
          <t>No</t>
        </is>
      </c>
      <c r="D1011">
        <f>IF(AND(B1006=1,B1007=1,B1008=1,B1009=1,B1010=1),"Yes","")</f>
        <v/>
      </c>
      <c r="E1011" t="inlineStr">
        <is>
          <t>No</t>
        </is>
      </c>
      <c r="F1011" t="inlineStr">
        <is>
          <t>No</t>
        </is>
      </c>
      <c r="G1011">
        <f>IF(F1011="Yes",1-B1011,B1011)</f>
        <v/>
      </c>
      <c r="H1011">
        <f>IF(E1011="Yes","",COUNTIFS($E$2:E1011,"No"))</f>
        <v/>
      </c>
      <c r="I1011">
        <f>IF(H1011="","",IF(H1011&lt;=128,"address",IF(H1011&lt;=600,"data1",IF(H1011&lt;=1264,"zero-run1",IF(H1011&lt;=1648,"data2",IF(H1011&lt;=2176,"zero-run2",IF(H1011&lt;=2192,"FCS","trailing")))))))</f>
        <v/>
      </c>
      <c r="J1011">
        <f>IFERROR(IF(AND(H1011&lt;&gt;"",H1011&gt;=129,H1011&lt;=2176),INDEX(Fields!$B$2:$B$206,MATCH(H1011-129,Fields!$D$2:$D$206,1)),""),"")</f>
        <v/>
      </c>
      <c r="K1011">
        <f>IFERROR(IF(AND(H1011&lt;&gt;"",H1011&gt;=129,H1011&lt;=2176),INDEX(Fields!$C$2:$C$206,MATCH(H1011-129,Fields!$D$2:$D$206,1)),""),"")</f>
        <v/>
      </c>
      <c r="L1011">
        <f>IFERROR(IF(AND(H1011&lt;&gt;"",H1011&gt;=129,H1011&lt;=2176),INDEX(Fields!$J$2:$J$206,MATCH(H1011-129,Fields!$D$2:$D$206,1)),""),"")</f>
        <v/>
      </c>
      <c r="M1011">
        <f>IFERROR(IF(AND(H1011&lt;&gt;"",H1011&gt;=129,H1011&lt;=2176),INDEX(Fields!$K$2:$K$206,MATCH(H1011-129,Fields!$D$2:$D$206,1)),""),"")</f>
        <v/>
      </c>
    </row>
    <row r="1012">
      <c r="A1012" t="n">
        <v>1010</v>
      </c>
      <c r="B1012" t="n">
        <v>0</v>
      </c>
      <c r="C1012" t="inlineStr">
        <is>
          <t>No</t>
        </is>
      </c>
      <c r="D1012">
        <f>IF(AND(B1007=1,B1008=1,B1009=1,B1010=1,B1011=1),"Yes","")</f>
        <v/>
      </c>
      <c r="E1012" t="inlineStr">
        <is>
          <t>No</t>
        </is>
      </c>
      <c r="F1012" t="inlineStr">
        <is>
          <t>No</t>
        </is>
      </c>
      <c r="G1012">
        <f>IF(F1012="Yes",1-B1012,B1012)</f>
        <v/>
      </c>
      <c r="H1012">
        <f>IF(E1012="Yes","",COUNTIFS($E$2:E1012,"No"))</f>
        <v/>
      </c>
      <c r="I1012">
        <f>IF(H1012="","",IF(H1012&lt;=128,"address",IF(H1012&lt;=600,"data1",IF(H1012&lt;=1264,"zero-run1",IF(H1012&lt;=1648,"data2",IF(H1012&lt;=2176,"zero-run2",IF(H1012&lt;=2192,"FCS","trailing")))))))</f>
        <v/>
      </c>
      <c r="J1012">
        <f>IFERROR(IF(AND(H1012&lt;&gt;"",H1012&gt;=129,H1012&lt;=2176),INDEX(Fields!$B$2:$B$206,MATCH(H1012-129,Fields!$D$2:$D$206,1)),""),"")</f>
        <v/>
      </c>
      <c r="K1012">
        <f>IFERROR(IF(AND(H1012&lt;&gt;"",H1012&gt;=129,H1012&lt;=2176),INDEX(Fields!$C$2:$C$206,MATCH(H1012-129,Fields!$D$2:$D$206,1)),""),"")</f>
        <v/>
      </c>
      <c r="L1012">
        <f>IFERROR(IF(AND(H1012&lt;&gt;"",H1012&gt;=129,H1012&lt;=2176),INDEX(Fields!$J$2:$J$206,MATCH(H1012-129,Fields!$D$2:$D$206,1)),""),"")</f>
        <v/>
      </c>
      <c r="M1012">
        <f>IFERROR(IF(AND(H1012&lt;&gt;"",H1012&gt;=129,H1012&lt;=2176),INDEX(Fields!$K$2:$K$206,MATCH(H1012-129,Fields!$D$2:$D$206,1)),""),"")</f>
        <v/>
      </c>
    </row>
    <row r="1013">
      <c r="A1013" t="n">
        <v>1011</v>
      </c>
      <c r="B1013" t="n">
        <v>0</v>
      </c>
      <c r="C1013" t="inlineStr">
        <is>
          <t>No</t>
        </is>
      </c>
      <c r="D1013">
        <f>IF(AND(B1008=1,B1009=1,B1010=1,B1011=1,B1012=1),"Yes","")</f>
        <v/>
      </c>
      <c r="E1013" t="inlineStr">
        <is>
          <t>No</t>
        </is>
      </c>
      <c r="F1013" t="inlineStr">
        <is>
          <t>No</t>
        </is>
      </c>
      <c r="G1013">
        <f>IF(F1013="Yes",1-B1013,B1013)</f>
        <v/>
      </c>
      <c r="H1013">
        <f>IF(E1013="Yes","",COUNTIFS($E$2:E1013,"No"))</f>
        <v/>
      </c>
      <c r="I1013">
        <f>IF(H1013="","",IF(H1013&lt;=128,"address",IF(H1013&lt;=600,"data1",IF(H1013&lt;=1264,"zero-run1",IF(H1013&lt;=1648,"data2",IF(H1013&lt;=2176,"zero-run2",IF(H1013&lt;=2192,"FCS","trailing")))))))</f>
        <v/>
      </c>
      <c r="J1013">
        <f>IFERROR(IF(AND(H1013&lt;&gt;"",H1013&gt;=129,H1013&lt;=2176),INDEX(Fields!$B$2:$B$206,MATCH(H1013-129,Fields!$D$2:$D$206,1)),""),"")</f>
        <v/>
      </c>
      <c r="K1013">
        <f>IFERROR(IF(AND(H1013&lt;&gt;"",H1013&gt;=129,H1013&lt;=2176),INDEX(Fields!$C$2:$C$206,MATCH(H1013-129,Fields!$D$2:$D$206,1)),""),"")</f>
        <v/>
      </c>
      <c r="L1013">
        <f>IFERROR(IF(AND(H1013&lt;&gt;"",H1013&gt;=129,H1013&lt;=2176),INDEX(Fields!$J$2:$J$206,MATCH(H1013-129,Fields!$D$2:$D$206,1)),""),"")</f>
        <v/>
      </c>
      <c r="M1013">
        <f>IFERROR(IF(AND(H1013&lt;&gt;"",H1013&gt;=129,H1013&lt;=2176),INDEX(Fields!$K$2:$K$206,MATCH(H1013-129,Fields!$D$2:$D$206,1)),""),"")</f>
        <v/>
      </c>
    </row>
    <row r="1014">
      <c r="A1014" t="n">
        <v>1012</v>
      </c>
      <c r="B1014" t="n">
        <v>0</v>
      </c>
      <c r="C1014" t="inlineStr">
        <is>
          <t>No</t>
        </is>
      </c>
      <c r="D1014">
        <f>IF(AND(B1009=1,B1010=1,B1011=1,B1012=1,B1013=1),"Yes","")</f>
        <v/>
      </c>
      <c r="E1014" t="inlineStr">
        <is>
          <t>No</t>
        </is>
      </c>
      <c r="F1014" t="inlineStr">
        <is>
          <t>No</t>
        </is>
      </c>
      <c r="G1014">
        <f>IF(F1014="Yes",1-B1014,B1014)</f>
        <v/>
      </c>
      <c r="H1014">
        <f>IF(E1014="Yes","",COUNTIFS($E$2:E1014,"No"))</f>
        <v/>
      </c>
      <c r="I1014">
        <f>IF(H1014="","",IF(H1014&lt;=128,"address",IF(H1014&lt;=600,"data1",IF(H1014&lt;=1264,"zero-run1",IF(H1014&lt;=1648,"data2",IF(H1014&lt;=2176,"zero-run2",IF(H1014&lt;=2192,"FCS","trailing")))))))</f>
        <v/>
      </c>
      <c r="J1014">
        <f>IFERROR(IF(AND(H1014&lt;&gt;"",H1014&gt;=129,H1014&lt;=2176),INDEX(Fields!$B$2:$B$206,MATCH(H1014-129,Fields!$D$2:$D$206,1)),""),"")</f>
        <v/>
      </c>
      <c r="K1014">
        <f>IFERROR(IF(AND(H1014&lt;&gt;"",H1014&gt;=129,H1014&lt;=2176),INDEX(Fields!$C$2:$C$206,MATCH(H1014-129,Fields!$D$2:$D$206,1)),""),"")</f>
        <v/>
      </c>
      <c r="L1014">
        <f>IFERROR(IF(AND(H1014&lt;&gt;"",H1014&gt;=129,H1014&lt;=2176),INDEX(Fields!$J$2:$J$206,MATCH(H1014-129,Fields!$D$2:$D$206,1)),""),"")</f>
        <v/>
      </c>
      <c r="M1014">
        <f>IFERROR(IF(AND(H1014&lt;&gt;"",H1014&gt;=129,H1014&lt;=2176),INDEX(Fields!$K$2:$K$206,MATCH(H1014-129,Fields!$D$2:$D$206,1)),""),"")</f>
        <v/>
      </c>
    </row>
    <row r="1015">
      <c r="A1015" t="n">
        <v>1013</v>
      </c>
      <c r="B1015" t="n">
        <v>0</v>
      </c>
      <c r="C1015" t="inlineStr">
        <is>
          <t>No</t>
        </is>
      </c>
      <c r="D1015">
        <f>IF(AND(B1010=1,B1011=1,B1012=1,B1013=1,B1014=1),"Yes","")</f>
        <v/>
      </c>
      <c r="E1015" t="inlineStr">
        <is>
          <t>No</t>
        </is>
      </c>
      <c r="F1015" t="inlineStr">
        <is>
          <t>No</t>
        </is>
      </c>
      <c r="G1015">
        <f>IF(F1015="Yes",1-B1015,B1015)</f>
        <v/>
      </c>
      <c r="H1015">
        <f>IF(E1015="Yes","",COUNTIFS($E$2:E1015,"No"))</f>
        <v/>
      </c>
      <c r="I1015">
        <f>IF(H1015="","",IF(H1015&lt;=128,"address",IF(H1015&lt;=600,"data1",IF(H1015&lt;=1264,"zero-run1",IF(H1015&lt;=1648,"data2",IF(H1015&lt;=2176,"zero-run2",IF(H1015&lt;=2192,"FCS","trailing")))))))</f>
        <v/>
      </c>
      <c r="J1015">
        <f>IFERROR(IF(AND(H1015&lt;&gt;"",H1015&gt;=129,H1015&lt;=2176),INDEX(Fields!$B$2:$B$206,MATCH(H1015-129,Fields!$D$2:$D$206,1)),""),"")</f>
        <v/>
      </c>
      <c r="K1015">
        <f>IFERROR(IF(AND(H1015&lt;&gt;"",H1015&gt;=129,H1015&lt;=2176),INDEX(Fields!$C$2:$C$206,MATCH(H1015-129,Fields!$D$2:$D$206,1)),""),"")</f>
        <v/>
      </c>
      <c r="L1015">
        <f>IFERROR(IF(AND(H1015&lt;&gt;"",H1015&gt;=129,H1015&lt;=2176),INDEX(Fields!$J$2:$J$206,MATCH(H1015-129,Fields!$D$2:$D$206,1)),""),"")</f>
        <v/>
      </c>
      <c r="M1015">
        <f>IFERROR(IF(AND(H1015&lt;&gt;"",H1015&gt;=129,H1015&lt;=2176),INDEX(Fields!$K$2:$K$206,MATCH(H1015-129,Fields!$D$2:$D$206,1)),""),"")</f>
        <v/>
      </c>
    </row>
    <row r="1016">
      <c r="A1016" t="n">
        <v>1014</v>
      </c>
      <c r="B1016" t="n">
        <v>0</v>
      </c>
      <c r="C1016" t="inlineStr">
        <is>
          <t>No</t>
        </is>
      </c>
      <c r="D1016">
        <f>IF(AND(B1011=1,B1012=1,B1013=1,B1014=1,B1015=1),"Yes","")</f>
        <v/>
      </c>
      <c r="E1016" t="inlineStr">
        <is>
          <t>No</t>
        </is>
      </c>
      <c r="F1016" t="inlineStr">
        <is>
          <t>No</t>
        </is>
      </c>
      <c r="G1016">
        <f>IF(F1016="Yes",1-B1016,B1016)</f>
        <v/>
      </c>
      <c r="H1016">
        <f>IF(E1016="Yes","",COUNTIFS($E$2:E1016,"No"))</f>
        <v/>
      </c>
      <c r="I1016">
        <f>IF(H1016="","",IF(H1016&lt;=128,"address",IF(H1016&lt;=600,"data1",IF(H1016&lt;=1264,"zero-run1",IF(H1016&lt;=1648,"data2",IF(H1016&lt;=2176,"zero-run2",IF(H1016&lt;=2192,"FCS","trailing")))))))</f>
        <v/>
      </c>
      <c r="J1016">
        <f>IFERROR(IF(AND(H1016&lt;&gt;"",H1016&gt;=129,H1016&lt;=2176),INDEX(Fields!$B$2:$B$206,MATCH(H1016-129,Fields!$D$2:$D$206,1)),""),"")</f>
        <v/>
      </c>
      <c r="K1016">
        <f>IFERROR(IF(AND(H1016&lt;&gt;"",H1016&gt;=129,H1016&lt;=2176),INDEX(Fields!$C$2:$C$206,MATCH(H1016-129,Fields!$D$2:$D$206,1)),""),"")</f>
        <v/>
      </c>
      <c r="L1016">
        <f>IFERROR(IF(AND(H1016&lt;&gt;"",H1016&gt;=129,H1016&lt;=2176),INDEX(Fields!$J$2:$J$206,MATCH(H1016-129,Fields!$D$2:$D$206,1)),""),"")</f>
        <v/>
      </c>
      <c r="M1016">
        <f>IFERROR(IF(AND(H1016&lt;&gt;"",H1016&gt;=129,H1016&lt;=2176),INDEX(Fields!$K$2:$K$206,MATCH(H1016-129,Fields!$D$2:$D$206,1)),""),"")</f>
        <v/>
      </c>
    </row>
    <row r="1017">
      <c r="A1017" t="n">
        <v>1015</v>
      </c>
      <c r="B1017" t="n">
        <v>0</v>
      </c>
      <c r="C1017" t="inlineStr">
        <is>
          <t>No</t>
        </is>
      </c>
      <c r="D1017">
        <f>IF(AND(B1012=1,B1013=1,B1014=1,B1015=1,B1016=1),"Yes","")</f>
        <v/>
      </c>
      <c r="E1017" t="inlineStr">
        <is>
          <t>No</t>
        </is>
      </c>
      <c r="F1017" t="inlineStr">
        <is>
          <t>No</t>
        </is>
      </c>
      <c r="G1017">
        <f>IF(F1017="Yes",1-B1017,B1017)</f>
        <v/>
      </c>
      <c r="H1017">
        <f>IF(E1017="Yes","",COUNTIFS($E$2:E1017,"No"))</f>
        <v/>
      </c>
      <c r="I1017">
        <f>IF(H1017="","",IF(H1017&lt;=128,"address",IF(H1017&lt;=600,"data1",IF(H1017&lt;=1264,"zero-run1",IF(H1017&lt;=1648,"data2",IF(H1017&lt;=2176,"zero-run2",IF(H1017&lt;=2192,"FCS","trailing")))))))</f>
        <v/>
      </c>
      <c r="J1017">
        <f>IFERROR(IF(AND(H1017&lt;&gt;"",H1017&gt;=129,H1017&lt;=2176),INDEX(Fields!$B$2:$B$206,MATCH(H1017-129,Fields!$D$2:$D$206,1)),""),"")</f>
        <v/>
      </c>
      <c r="K1017">
        <f>IFERROR(IF(AND(H1017&lt;&gt;"",H1017&gt;=129,H1017&lt;=2176),INDEX(Fields!$C$2:$C$206,MATCH(H1017-129,Fields!$D$2:$D$206,1)),""),"")</f>
        <v/>
      </c>
      <c r="L1017">
        <f>IFERROR(IF(AND(H1017&lt;&gt;"",H1017&gt;=129,H1017&lt;=2176),INDEX(Fields!$J$2:$J$206,MATCH(H1017-129,Fields!$D$2:$D$206,1)),""),"")</f>
        <v/>
      </c>
      <c r="M1017">
        <f>IFERROR(IF(AND(H1017&lt;&gt;"",H1017&gt;=129,H1017&lt;=2176),INDEX(Fields!$K$2:$K$206,MATCH(H1017-129,Fields!$D$2:$D$206,1)),""),"")</f>
        <v/>
      </c>
    </row>
    <row r="1018">
      <c r="A1018" t="n">
        <v>1016</v>
      </c>
      <c r="B1018" t="n">
        <v>0</v>
      </c>
      <c r="C1018" t="inlineStr">
        <is>
          <t>No</t>
        </is>
      </c>
      <c r="D1018">
        <f>IF(AND(B1013=1,B1014=1,B1015=1,B1016=1,B1017=1),"Yes","")</f>
        <v/>
      </c>
      <c r="E1018" t="inlineStr">
        <is>
          <t>No</t>
        </is>
      </c>
      <c r="F1018" t="inlineStr">
        <is>
          <t>No</t>
        </is>
      </c>
      <c r="G1018">
        <f>IF(F1018="Yes",1-B1018,B1018)</f>
        <v/>
      </c>
      <c r="H1018">
        <f>IF(E1018="Yes","",COUNTIFS($E$2:E1018,"No"))</f>
        <v/>
      </c>
      <c r="I1018">
        <f>IF(H1018="","",IF(H1018&lt;=128,"address",IF(H1018&lt;=600,"data1",IF(H1018&lt;=1264,"zero-run1",IF(H1018&lt;=1648,"data2",IF(H1018&lt;=2176,"zero-run2",IF(H1018&lt;=2192,"FCS","trailing")))))))</f>
        <v/>
      </c>
      <c r="J1018">
        <f>IFERROR(IF(AND(H1018&lt;&gt;"",H1018&gt;=129,H1018&lt;=2176),INDEX(Fields!$B$2:$B$206,MATCH(H1018-129,Fields!$D$2:$D$206,1)),""),"")</f>
        <v/>
      </c>
      <c r="K1018">
        <f>IFERROR(IF(AND(H1018&lt;&gt;"",H1018&gt;=129,H1018&lt;=2176),INDEX(Fields!$C$2:$C$206,MATCH(H1018-129,Fields!$D$2:$D$206,1)),""),"")</f>
        <v/>
      </c>
      <c r="L1018">
        <f>IFERROR(IF(AND(H1018&lt;&gt;"",H1018&gt;=129,H1018&lt;=2176),INDEX(Fields!$J$2:$J$206,MATCH(H1018-129,Fields!$D$2:$D$206,1)),""),"")</f>
        <v/>
      </c>
      <c r="M1018">
        <f>IFERROR(IF(AND(H1018&lt;&gt;"",H1018&gt;=129,H1018&lt;=2176),INDEX(Fields!$K$2:$K$206,MATCH(H1018-129,Fields!$D$2:$D$206,1)),""),"")</f>
        <v/>
      </c>
    </row>
    <row r="1019">
      <c r="A1019" t="n">
        <v>1017</v>
      </c>
      <c r="B1019" t="n">
        <v>0</v>
      </c>
      <c r="C1019" t="inlineStr">
        <is>
          <t>No</t>
        </is>
      </c>
      <c r="D1019">
        <f>IF(AND(B1014=1,B1015=1,B1016=1,B1017=1,B1018=1),"Yes","")</f>
        <v/>
      </c>
      <c r="E1019" t="inlineStr">
        <is>
          <t>No</t>
        </is>
      </c>
      <c r="F1019" t="inlineStr">
        <is>
          <t>No</t>
        </is>
      </c>
      <c r="G1019">
        <f>IF(F1019="Yes",1-B1019,B1019)</f>
        <v/>
      </c>
      <c r="H1019">
        <f>IF(E1019="Yes","",COUNTIFS($E$2:E1019,"No"))</f>
        <v/>
      </c>
      <c r="I1019">
        <f>IF(H1019="","",IF(H1019&lt;=128,"address",IF(H1019&lt;=600,"data1",IF(H1019&lt;=1264,"zero-run1",IF(H1019&lt;=1648,"data2",IF(H1019&lt;=2176,"zero-run2",IF(H1019&lt;=2192,"FCS","trailing")))))))</f>
        <v/>
      </c>
      <c r="J1019">
        <f>IFERROR(IF(AND(H1019&lt;&gt;"",H1019&gt;=129,H1019&lt;=2176),INDEX(Fields!$B$2:$B$206,MATCH(H1019-129,Fields!$D$2:$D$206,1)),""),"")</f>
        <v/>
      </c>
      <c r="K1019">
        <f>IFERROR(IF(AND(H1019&lt;&gt;"",H1019&gt;=129,H1019&lt;=2176),INDEX(Fields!$C$2:$C$206,MATCH(H1019-129,Fields!$D$2:$D$206,1)),""),"")</f>
        <v/>
      </c>
      <c r="L1019">
        <f>IFERROR(IF(AND(H1019&lt;&gt;"",H1019&gt;=129,H1019&lt;=2176),INDEX(Fields!$J$2:$J$206,MATCH(H1019-129,Fields!$D$2:$D$206,1)),""),"")</f>
        <v/>
      </c>
      <c r="M1019">
        <f>IFERROR(IF(AND(H1019&lt;&gt;"",H1019&gt;=129,H1019&lt;=2176),INDEX(Fields!$K$2:$K$206,MATCH(H1019-129,Fields!$D$2:$D$206,1)),""),"")</f>
        <v/>
      </c>
    </row>
    <row r="1020">
      <c r="A1020" t="n">
        <v>1018</v>
      </c>
      <c r="B1020" t="n">
        <v>0</v>
      </c>
      <c r="C1020" t="inlineStr">
        <is>
          <t>No</t>
        </is>
      </c>
      <c r="D1020">
        <f>IF(AND(B1015=1,B1016=1,B1017=1,B1018=1,B1019=1),"Yes","")</f>
        <v/>
      </c>
      <c r="E1020" t="inlineStr">
        <is>
          <t>No</t>
        </is>
      </c>
      <c r="F1020" t="inlineStr">
        <is>
          <t>No</t>
        </is>
      </c>
      <c r="G1020">
        <f>IF(F1020="Yes",1-B1020,B1020)</f>
        <v/>
      </c>
      <c r="H1020">
        <f>IF(E1020="Yes","",COUNTIFS($E$2:E1020,"No"))</f>
        <v/>
      </c>
      <c r="I1020">
        <f>IF(H1020="","",IF(H1020&lt;=128,"address",IF(H1020&lt;=600,"data1",IF(H1020&lt;=1264,"zero-run1",IF(H1020&lt;=1648,"data2",IF(H1020&lt;=2176,"zero-run2",IF(H1020&lt;=2192,"FCS","trailing")))))))</f>
        <v/>
      </c>
      <c r="J1020">
        <f>IFERROR(IF(AND(H1020&lt;&gt;"",H1020&gt;=129,H1020&lt;=2176),INDEX(Fields!$B$2:$B$206,MATCH(H1020-129,Fields!$D$2:$D$206,1)),""),"")</f>
        <v/>
      </c>
      <c r="K1020">
        <f>IFERROR(IF(AND(H1020&lt;&gt;"",H1020&gt;=129,H1020&lt;=2176),INDEX(Fields!$C$2:$C$206,MATCH(H1020-129,Fields!$D$2:$D$206,1)),""),"")</f>
        <v/>
      </c>
      <c r="L1020">
        <f>IFERROR(IF(AND(H1020&lt;&gt;"",H1020&gt;=129,H1020&lt;=2176),INDEX(Fields!$J$2:$J$206,MATCH(H1020-129,Fields!$D$2:$D$206,1)),""),"")</f>
        <v/>
      </c>
      <c r="M1020">
        <f>IFERROR(IF(AND(H1020&lt;&gt;"",H1020&gt;=129,H1020&lt;=2176),INDEX(Fields!$K$2:$K$206,MATCH(H1020-129,Fields!$D$2:$D$206,1)),""),"")</f>
        <v/>
      </c>
    </row>
    <row r="1021">
      <c r="A1021" t="n">
        <v>1019</v>
      </c>
      <c r="B1021" t="n">
        <v>0</v>
      </c>
      <c r="C1021" t="inlineStr">
        <is>
          <t>No</t>
        </is>
      </c>
      <c r="D1021">
        <f>IF(AND(B1016=1,B1017=1,B1018=1,B1019=1,B1020=1),"Yes","")</f>
        <v/>
      </c>
      <c r="E1021" t="inlineStr">
        <is>
          <t>No</t>
        </is>
      </c>
      <c r="F1021" t="inlineStr">
        <is>
          <t>No</t>
        </is>
      </c>
      <c r="G1021">
        <f>IF(F1021="Yes",1-B1021,B1021)</f>
        <v/>
      </c>
      <c r="H1021">
        <f>IF(E1021="Yes","",COUNTIFS($E$2:E1021,"No"))</f>
        <v/>
      </c>
      <c r="I1021">
        <f>IF(H1021="","",IF(H1021&lt;=128,"address",IF(H1021&lt;=600,"data1",IF(H1021&lt;=1264,"zero-run1",IF(H1021&lt;=1648,"data2",IF(H1021&lt;=2176,"zero-run2",IF(H1021&lt;=2192,"FCS","trailing")))))))</f>
        <v/>
      </c>
      <c r="J1021">
        <f>IFERROR(IF(AND(H1021&lt;&gt;"",H1021&gt;=129,H1021&lt;=2176),INDEX(Fields!$B$2:$B$206,MATCH(H1021-129,Fields!$D$2:$D$206,1)),""),"")</f>
        <v/>
      </c>
      <c r="K1021">
        <f>IFERROR(IF(AND(H1021&lt;&gt;"",H1021&gt;=129,H1021&lt;=2176),INDEX(Fields!$C$2:$C$206,MATCH(H1021-129,Fields!$D$2:$D$206,1)),""),"")</f>
        <v/>
      </c>
      <c r="L1021">
        <f>IFERROR(IF(AND(H1021&lt;&gt;"",H1021&gt;=129,H1021&lt;=2176),INDEX(Fields!$J$2:$J$206,MATCH(H1021-129,Fields!$D$2:$D$206,1)),""),"")</f>
        <v/>
      </c>
      <c r="M1021">
        <f>IFERROR(IF(AND(H1021&lt;&gt;"",H1021&gt;=129,H1021&lt;=2176),INDEX(Fields!$K$2:$K$206,MATCH(H1021-129,Fields!$D$2:$D$206,1)),""),"")</f>
        <v/>
      </c>
    </row>
    <row r="1022">
      <c r="A1022" t="n">
        <v>1020</v>
      </c>
      <c r="B1022" t="n">
        <v>0</v>
      </c>
      <c r="C1022" t="inlineStr">
        <is>
          <t>No</t>
        </is>
      </c>
      <c r="D1022">
        <f>IF(AND(B1017=1,B1018=1,B1019=1,B1020=1,B1021=1),"Yes","")</f>
        <v/>
      </c>
      <c r="E1022" t="inlineStr">
        <is>
          <t>No</t>
        </is>
      </c>
      <c r="F1022" t="inlineStr">
        <is>
          <t>No</t>
        </is>
      </c>
      <c r="G1022">
        <f>IF(F1022="Yes",1-B1022,B1022)</f>
        <v/>
      </c>
      <c r="H1022">
        <f>IF(E1022="Yes","",COUNTIFS($E$2:E1022,"No"))</f>
        <v/>
      </c>
      <c r="I1022">
        <f>IF(H1022="","",IF(H1022&lt;=128,"address",IF(H1022&lt;=600,"data1",IF(H1022&lt;=1264,"zero-run1",IF(H1022&lt;=1648,"data2",IF(H1022&lt;=2176,"zero-run2",IF(H1022&lt;=2192,"FCS","trailing")))))))</f>
        <v/>
      </c>
      <c r="J1022">
        <f>IFERROR(IF(AND(H1022&lt;&gt;"",H1022&gt;=129,H1022&lt;=2176),INDEX(Fields!$B$2:$B$206,MATCH(H1022-129,Fields!$D$2:$D$206,1)),""),"")</f>
        <v/>
      </c>
      <c r="K1022">
        <f>IFERROR(IF(AND(H1022&lt;&gt;"",H1022&gt;=129,H1022&lt;=2176),INDEX(Fields!$C$2:$C$206,MATCH(H1022-129,Fields!$D$2:$D$206,1)),""),"")</f>
        <v/>
      </c>
      <c r="L1022">
        <f>IFERROR(IF(AND(H1022&lt;&gt;"",H1022&gt;=129,H1022&lt;=2176),INDEX(Fields!$J$2:$J$206,MATCH(H1022-129,Fields!$D$2:$D$206,1)),""),"")</f>
        <v/>
      </c>
      <c r="M1022">
        <f>IFERROR(IF(AND(H1022&lt;&gt;"",H1022&gt;=129,H1022&lt;=2176),INDEX(Fields!$K$2:$K$206,MATCH(H1022-129,Fields!$D$2:$D$206,1)),""),"")</f>
        <v/>
      </c>
    </row>
    <row r="1023">
      <c r="A1023" t="n">
        <v>1021</v>
      </c>
      <c r="B1023" t="n">
        <v>0</v>
      </c>
      <c r="C1023" t="inlineStr">
        <is>
          <t>No</t>
        </is>
      </c>
      <c r="D1023">
        <f>IF(AND(B1018=1,B1019=1,B1020=1,B1021=1,B1022=1),"Yes","")</f>
        <v/>
      </c>
      <c r="E1023" t="inlineStr">
        <is>
          <t>No</t>
        </is>
      </c>
      <c r="F1023" t="inlineStr">
        <is>
          <t>No</t>
        </is>
      </c>
      <c r="G1023">
        <f>IF(F1023="Yes",1-B1023,B1023)</f>
        <v/>
      </c>
      <c r="H1023">
        <f>IF(E1023="Yes","",COUNTIFS($E$2:E1023,"No"))</f>
        <v/>
      </c>
      <c r="I1023">
        <f>IF(H1023="","",IF(H1023&lt;=128,"address",IF(H1023&lt;=600,"data1",IF(H1023&lt;=1264,"zero-run1",IF(H1023&lt;=1648,"data2",IF(H1023&lt;=2176,"zero-run2",IF(H1023&lt;=2192,"FCS","trailing")))))))</f>
        <v/>
      </c>
      <c r="J1023">
        <f>IFERROR(IF(AND(H1023&lt;&gt;"",H1023&gt;=129,H1023&lt;=2176),INDEX(Fields!$B$2:$B$206,MATCH(H1023-129,Fields!$D$2:$D$206,1)),""),"")</f>
        <v/>
      </c>
      <c r="K1023">
        <f>IFERROR(IF(AND(H1023&lt;&gt;"",H1023&gt;=129,H1023&lt;=2176),INDEX(Fields!$C$2:$C$206,MATCH(H1023-129,Fields!$D$2:$D$206,1)),""),"")</f>
        <v/>
      </c>
      <c r="L1023">
        <f>IFERROR(IF(AND(H1023&lt;&gt;"",H1023&gt;=129,H1023&lt;=2176),INDEX(Fields!$J$2:$J$206,MATCH(H1023-129,Fields!$D$2:$D$206,1)),""),"")</f>
        <v/>
      </c>
      <c r="M1023">
        <f>IFERROR(IF(AND(H1023&lt;&gt;"",H1023&gt;=129,H1023&lt;=2176),INDEX(Fields!$K$2:$K$206,MATCH(H1023-129,Fields!$D$2:$D$206,1)),""),"")</f>
        <v/>
      </c>
    </row>
    <row r="1024">
      <c r="A1024" t="n">
        <v>1022</v>
      </c>
      <c r="B1024" t="n">
        <v>0</v>
      </c>
      <c r="C1024" t="inlineStr">
        <is>
          <t>No</t>
        </is>
      </c>
      <c r="D1024">
        <f>IF(AND(B1019=1,B1020=1,B1021=1,B1022=1,B1023=1),"Yes","")</f>
        <v/>
      </c>
      <c r="E1024" t="inlineStr">
        <is>
          <t>No</t>
        </is>
      </c>
      <c r="F1024" t="inlineStr">
        <is>
          <t>No</t>
        </is>
      </c>
      <c r="G1024">
        <f>IF(F1024="Yes",1-B1024,B1024)</f>
        <v/>
      </c>
      <c r="H1024">
        <f>IF(E1024="Yes","",COUNTIFS($E$2:E1024,"No"))</f>
        <v/>
      </c>
      <c r="I1024">
        <f>IF(H1024="","",IF(H1024&lt;=128,"address",IF(H1024&lt;=600,"data1",IF(H1024&lt;=1264,"zero-run1",IF(H1024&lt;=1648,"data2",IF(H1024&lt;=2176,"zero-run2",IF(H1024&lt;=2192,"FCS","trailing")))))))</f>
        <v/>
      </c>
      <c r="J1024">
        <f>IFERROR(IF(AND(H1024&lt;&gt;"",H1024&gt;=129,H1024&lt;=2176),INDEX(Fields!$B$2:$B$206,MATCH(H1024-129,Fields!$D$2:$D$206,1)),""),"")</f>
        <v/>
      </c>
      <c r="K1024">
        <f>IFERROR(IF(AND(H1024&lt;&gt;"",H1024&gt;=129,H1024&lt;=2176),INDEX(Fields!$C$2:$C$206,MATCH(H1024-129,Fields!$D$2:$D$206,1)),""),"")</f>
        <v/>
      </c>
      <c r="L1024">
        <f>IFERROR(IF(AND(H1024&lt;&gt;"",H1024&gt;=129,H1024&lt;=2176),INDEX(Fields!$J$2:$J$206,MATCH(H1024-129,Fields!$D$2:$D$206,1)),""),"")</f>
        <v/>
      </c>
      <c r="M1024">
        <f>IFERROR(IF(AND(H1024&lt;&gt;"",H1024&gt;=129,H1024&lt;=2176),INDEX(Fields!$K$2:$K$206,MATCH(H1024-129,Fields!$D$2:$D$206,1)),""),"")</f>
        <v/>
      </c>
    </row>
    <row r="1025">
      <c r="A1025" t="n">
        <v>1023</v>
      </c>
      <c r="B1025" t="n">
        <v>0</v>
      </c>
      <c r="C1025" t="inlineStr">
        <is>
          <t>No</t>
        </is>
      </c>
      <c r="D1025">
        <f>IF(AND(B1020=1,B1021=1,B1022=1,B1023=1,B1024=1),"Yes","")</f>
        <v/>
      </c>
      <c r="E1025" t="inlineStr">
        <is>
          <t>No</t>
        </is>
      </c>
      <c r="F1025" t="inlineStr">
        <is>
          <t>No</t>
        </is>
      </c>
      <c r="G1025">
        <f>IF(F1025="Yes",1-B1025,B1025)</f>
        <v/>
      </c>
      <c r="H1025">
        <f>IF(E1025="Yes","",COUNTIFS($E$2:E1025,"No"))</f>
        <v/>
      </c>
      <c r="I1025">
        <f>IF(H1025="","",IF(H1025&lt;=128,"address",IF(H1025&lt;=600,"data1",IF(H1025&lt;=1264,"zero-run1",IF(H1025&lt;=1648,"data2",IF(H1025&lt;=2176,"zero-run2",IF(H1025&lt;=2192,"FCS","trailing")))))))</f>
        <v/>
      </c>
      <c r="J1025">
        <f>IFERROR(IF(AND(H1025&lt;&gt;"",H1025&gt;=129,H1025&lt;=2176),INDEX(Fields!$B$2:$B$206,MATCH(H1025-129,Fields!$D$2:$D$206,1)),""),"")</f>
        <v/>
      </c>
      <c r="K1025">
        <f>IFERROR(IF(AND(H1025&lt;&gt;"",H1025&gt;=129,H1025&lt;=2176),INDEX(Fields!$C$2:$C$206,MATCH(H1025-129,Fields!$D$2:$D$206,1)),""),"")</f>
        <v/>
      </c>
      <c r="L1025">
        <f>IFERROR(IF(AND(H1025&lt;&gt;"",H1025&gt;=129,H1025&lt;=2176),INDEX(Fields!$J$2:$J$206,MATCH(H1025-129,Fields!$D$2:$D$206,1)),""),"")</f>
        <v/>
      </c>
      <c r="M1025">
        <f>IFERROR(IF(AND(H1025&lt;&gt;"",H1025&gt;=129,H1025&lt;=2176),INDEX(Fields!$K$2:$K$206,MATCH(H1025-129,Fields!$D$2:$D$206,1)),""),"")</f>
        <v/>
      </c>
    </row>
    <row r="1026">
      <c r="A1026" t="n">
        <v>1024</v>
      </c>
      <c r="B1026" t="n">
        <v>0</v>
      </c>
      <c r="C1026" t="inlineStr">
        <is>
          <t>No</t>
        </is>
      </c>
      <c r="D1026">
        <f>IF(AND(B1021=1,B1022=1,B1023=1,B1024=1,B1025=1),"Yes","")</f>
        <v/>
      </c>
      <c r="E1026" t="inlineStr">
        <is>
          <t>No</t>
        </is>
      </c>
      <c r="F1026" t="inlineStr">
        <is>
          <t>No</t>
        </is>
      </c>
      <c r="G1026">
        <f>IF(F1026="Yes",1-B1026,B1026)</f>
        <v/>
      </c>
      <c r="H1026">
        <f>IF(E1026="Yes","",COUNTIFS($E$2:E1026,"No"))</f>
        <v/>
      </c>
      <c r="I1026">
        <f>IF(H1026="","",IF(H1026&lt;=128,"address",IF(H1026&lt;=600,"data1",IF(H1026&lt;=1264,"zero-run1",IF(H1026&lt;=1648,"data2",IF(H1026&lt;=2176,"zero-run2",IF(H1026&lt;=2192,"FCS","trailing")))))))</f>
        <v/>
      </c>
      <c r="J1026">
        <f>IFERROR(IF(AND(H1026&lt;&gt;"",H1026&gt;=129,H1026&lt;=2176),INDEX(Fields!$B$2:$B$206,MATCH(H1026-129,Fields!$D$2:$D$206,1)),""),"")</f>
        <v/>
      </c>
      <c r="K1026">
        <f>IFERROR(IF(AND(H1026&lt;&gt;"",H1026&gt;=129,H1026&lt;=2176),INDEX(Fields!$C$2:$C$206,MATCH(H1026-129,Fields!$D$2:$D$206,1)),""),"")</f>
        <v/>
      </c>
      <c r="L1026">
        <f>IFERROR(IF(AND(H1026&lt;&gt;"",H1026&gt;=129,H1026&lt;=2176),INDEX(Fields!$J$2:$J$206,MATCH(H1026-129,Fields!$D$2:$D$206,1)),""),"")</f>
        <v/>
      </c>
      <c r="M1026">
        <f>IFERROR(IF(AND(H1026&lt;&gt;"",H1026&gt;=129,H1026&lt;=2176),INDEX(Fields!$K$2:$K$206,MATCH(H1026-129,Fields!$D$2:$D$206,1)),""),"")</f>
        <v/>
      </c>
    </row>
    <row r="1027">
      <c r="A1027" t="n">
        <v>1025</v>
      </c>
      <c r="B1027" t="n">
        <v>0</v>
      </c>
      <c r="C1027" t="inlineStr">
        <is>
          <t>No</t>
        </is>
      </c>
      <c r="D1027">
        <f>IF(AND(B1022=1,B1023=1,B1024=1,B1025=1,B1026=1),"Yes","")</f>
        <v/>
      </c>
      <c r="E1027" t="inlineStr">
        <is>
          <t>No</t>
        </is>
      </c>
      <c r="F1027" t="inlineStr">
        <is>
          <t>No</t>
        </is>
      </c>
      <c r="G1027">
        <f>IF(F1027="Yes",1-B1027,B1027)</f>
        <v/>
      </c>
      <c r="H1027">
        <f>IF(E1027="Yes","",COUNTIFS($E$2:E1027,"No"))</f>
        <v/>
      </c>
      <c r="I1027">
        <f>IF(H1027="","",IF(H1027&lt;=128,"address",IF(H1027&lt;=600,"data1",IF(H1027&lt;=1264,"zero-run1",IF(H1027&lt;=1648,"data2",IF(H1027&lt;=2176,"zero-run2",IF(H1027&lt;=2192,"FCS","trailing")))))))</f>
        <v/>
      </c>
      <c r="J1027">
        <f>IFERROR(IF(AND(H1027&lt;&gt;"",H1027&gt;=129,H1027&lt;=2176),INDEX(Fields!$B$2:$B$206,MATCH(H1027-129,Fields!$D$2:$D$206,1)),""),"")</f>
        <v/>
      </c>
      <c r="K1027">
        <f>IFERROR(IF(AND(H1027&lt;&gt;"",H1027&gt;=129,H1027&lt;=2176),INDEX(Fields!$C$2:$C$206,MATCH(H1027-129,Fields!$D$2:$D$206,1)),""),"")</f>
        <v/>
      </c>
      <c r="L1027">
        <f>IFERROR(IF(AND(H1027&lt;&gt;"",H1027&gt;=129,H1027&lt;=2176),INDEX(Fields!$J$2:$J$206,MATCH(H1027-129,Fields!$D$2:$D$206,1)),""),"")</f>
        <v/>
      </c>
      <c r="M1027">
        <f>IFERROR(IF(AND(H1027&lt;&gt;"",H1027&gt;=129,H1027&lt;=2176),INDEX(Fields!$K$2:$K$206,MATCH(H1027-129,Fields!$D$2:$D$206,1)),""),"")</f>
        <v/>
      </c>
    </row>
    <row r="1028">
      <c r="A1028" t="n">
        <v>1026</v>
      </c>
      <c r="B1028" t="n">
        <v>0</v>
      </c>
      <c r="C1028" t="inlineStr">
        <is>
          <t>No</t>
        </is>
      </c>
      <c r="D1028">
        <f>IF(AND(B1023=1,B1024=1,B1025=1,B1026=1,B1027=1),"Yes","")</f>
        <v/>
      </c>
      <c r="E1028" t="inlineStr">
        <is>
          <t>No</t>
        </is>
      </c>
      <c r="F1028" t="inlineStr">
        <is>
          <t>No</t>
        </is>
      </c>
      <c r="G1028">
        <f>IF(F1028="Yes",1-B1028,B1028)</f>
        <v/>
      </c>
      <c r="H1028">
        <f>IF(E1028="Yes","",COUNTIFS($E$2:E1028,"No"))</f>
        <v/>
      </c>
      <c r="I1028">
        <f>IF(H1028="","",IF(H1028&lt;=128,"address",IF(H1028&lt;=600,"data1",IF(H1028&lt;=1264,"zero-run1",IF(H1028&lt;=1648,"data2",IF(H1028&lt;=2176,"zero-run2",IF(H1028&lt;=2192,"FCS","trailing")))))))</f>
        <v/>
      </c>
      <c r="J1028">
        <f>IFERROR(IF(AND(H1028&lt;&gt;"",H1028&gt;=129,H1028&lt;=2176),INDEX(Fields!$B$2:$B$206,MATCH(H1028-129,Fields!$D$2:$D$206,1)),""),"")</f>
        <v/>
      </c>
      <c r="K1028">
        <f>IFERROR(IF(AND(H1028&lt;&gt;"",H1028&gt;=129,H1028&lt;=2176),INDEX(Fields!$C$2:$C$206,MATCH(H1028-129,Fields!$D$2:$D$206,1)),""),"")</f>
        <v/>
      </c>
      <c r="L1028">
        <f>IFERROR(IF(AND(H1028&lt;&gt;"",H1028&gt;=129,H1028&lt;=2176),INDEX(Fields!$J$2:$J$206,MATCH(H1028-129,Fields!$D$2:$D$206,1)),""),"")</f>
        <v/>
      </c>
      <c r="M1028">
        <f>IFERROR(IF(AND(H1028&lt;&gt;"",H1028&gt;=129,H1028&lt;=2176),INDEX(Fields!$K$2:$K$206,MATCH(H1028-129,Fields!$D$2:$D$206,1)),""),"")</f>
        <v/>
      </c>
    </row>
    <row r="1029">
      <c r="A1029" t="n">
        <v>1027</v>
      </c>
      <c r="B1029" t="n">
        <v>0</v>
      </c>
      <c r="C1029" t="inlineStr">
        <is>
          <t>No</t>
        </is>
      </c>
      <c r="D1029">
        <f>IF(AND(B1024=1,B1025=1,B1026=1,B1027=1,B1028=1),"Yes","")</f>
        <v/>
      </c>
      <c r="E1029" t="inlineStr">
        <is>
          <t>No</t>
        </is>
      </c>
      <c r="F1029" t="inlineStr">
        <is>
          <t>No</t>
        </is>
      </c>
      <c r="G1029">
        <f>IF(F1029="Yes",1-B1029,B1029)</f>
        <v/>
      </c>
      <c r="H1029">
        <f>IF(E1029="Yes","",COUNTIFS($E$2:E1029,"No"))</f>
        <v/>
      </c>
      <c r="I1029">
        <f>IF(H1029="","",IF(H1029&lt;=128,"address",IF(H1029&lt;=600,"data1",IF(H1029&lt;=1264,"zero-run1",IF(H1029&lt;=1648,"data2",IF(H1029&lt;=2176,"zero-run2",IF(H1029&lt;=2192,"FCS","trailing")))))))</f>
        <v/>
      </c>
      <c r="J1029">
        <f>IFERROR(IF(AND(H1029&lt;&gt;"",H1029&gt;=129,H1029&lt;=2176),INDEX(Fields!$B$2:$B$206,MATCH(H1029-129,Fields!$D$2:$D$206,1)),""),"")</f>
        <v/>
      </c>
      <c r="K1029">
        <f>IFERROR(IF(AND(H1029&lt;&gt;"",H1029&gt;=129,H1029&lt;=2176),INDEX(Fields!$C$2:$C$206,MATCH(H1029-129,Fields!$D$2:$D$206,1)),""),"")</f>
        <v/>
      </c>
      <c r="L1029">
        <f>IFERROR(IF(AND(H1029&lt;&gt;"",H1029&gt;=129,H1029&lt;=2176),INDEX(Fields!$J$2:$J$206,MATCH(H1029-129,Fields!$D$2:$D$206,1)),""),"")</f>
        <v/>
      </c>
      <c r="M1029">
        <f>IFERROR(IF(AND(H1029&lt;&gt;"",H1029&gt;=129,H1029&lt;=2176),INDEX(Fields!$K$2:$K$206,MATCH(H1029-129,Fields!$D$2:$D$206,1)),""),"")</f>
        <v/>
      </c>
    </row>
    <row r="1030">
      <c r="A1030" t="n">
        <v>1028</v>
      </c>
      <c r="B1030" t="n">
        <v>0</v>
      </c>
      <c r="C1030" t="inlineStr">
        <is>
          <t>No</t>
        </is>
      </c>
      <c r="D1030">
        <f>IF(AND(B1025=1,B1026=1,B1027=1,B1028=1,B1029=1),"Yes","")</f>
        <v/>
      </c>
      <c r="E1030" t="inlineStr">
        <is>
          <t>No</t>
        </is>
      </c>
      <c r="F1030" t="inlineStr">
        <is>
          <t>No</t>
        </is>
      </c>
      <c r="G1030">
        <f>IF(F1030="Yes",1-B1030,B1030)</f>
        <v/>
      </c>
      <c r="H1030">
        <f>IF(E1030="Yes","",COUNTIFS($E$2:E1030,"No"))</f>
        <v/>
      </c>
      <c r="I1030">
        <f>IF(H1030="","",IF(H1030&lt;=128,"address",IF(H1030&lt;=600,"data1",IF(H1030&lt;=1264,"zero-run1",IF(H1030&lt;=1648,"data2",IF(H1030&lt;=2176,"zero-run2",IF(H1030&lt;=2192,"FCS","trailing")))))))</f>
        <v/>
      </c>
      <c r="J1030">
        <f>IFERROR(IF(AND(H1030&lt;&gt;"",H1030&gt;=129,H1030&lt;=2176),INDEX(Fields!$B$2:$B$206,MATCH(H1030-129,Fields!$D$2:$D$206,1)),""),"")</f>
        <v/>
      </c>
      <c r="K1030">
        <f>IFERROR(IF(AND(H1030&lt;&gt;"",H1030&gt;=129,H1030&lt;=2176),INDEX(Fields!$C$2:$C$206,MATCH(H1030-129,Fields!$D$2:$D$206,1)),""),"")</f>
        <v/>
      </c>
      <c r="L1030">
        <f>IFERROR(IF(AND(H1030&lt;&gt;"",H1030&gt;=129,H1030&lt;=2176),INDEX(Fields!$J$2:$J$206,MATCH(H1030-129,Fields!$D$2:$D$206,1)),""),"")</f>
        <v/>
      </c>
      <c r="M1030">
        <f>IFERROR(IF(AND(H1030&lt;&gt;"",H1030&gt;=129,H1030&lt;=2176),INDEX(Fields!$K$2:$K$206,MATCH(H1030-129,Fields!$D$2:$D$206,1)),""),"")</f>
        <v/>
      </c>
    </row>
    <row r="1031">
      <c r="A1031" t="n">
        <v>1029</v>
      </c>
      <c r="B1031" t="n">
        <v>0</v>
      </c>
      <c r="C1031" t="inlineStr">
        <is>
          <t>No</t>
        </is>
      </c>
      <c r="D1031">
        <f>IF(AND(B1026=1,B1027=1,B1028=1,B1029=1,B1030=1),"Yes","")</f>
        <v/>
      </c>
      <c r="E1031" t="inlineStr">
        <is>
          <t>No</t>
        </is>
      </c>
      <c r="F1031" t="inlineStr">
        <is>
          <t>No</t>
        </is>
      </c>
      <c r="G1031">
        <f>IF(F1031="Yes",1-B1031,B1031)</f>
        <v/>
      </c>
      <c r="H1031">
        <f>IF(E1031="Yes","",COUNTIFS($E$2:E1031,"No"))</f>
        <v/>
      </c>
      <c r="I1031">
        <f>IF(H1031="","",IF(H1031&lt;=128,"address",IF(H1031&lt;=600,"data1",IF(H1031&lt;=1264,"zero-run1",IF(H1031&lt;=1648,"data2",IF(H1031&lt;=2176,"zero-run2",IF(H1031&lt;=2192,"FCS","trailing")))))))</f>
        <v/>
      </c>
      <c r="J1031">
        <f>IFERROR(IF(AND(H1031&lt;&gt;"",H1031&gt;=129,H1031&lt;=2176),INDEX(Fields!$B$2:$B$206,MATCH(H1031-129,Fields!$D$2:$D$206,1)),""),"")</f>
        <v/>
      </c>
      <c r="K1031">
        <f>IFERROR(IF(AND(H1031&lt;&gt;"",H1031&gt;=129,H1031&lt;=2176),INDEX(Fields!$C$2:$C$206,MATCH(H1031-129,Fields!$D$2:$D$206,1)),""),"")</f>
        <v/>
      </c>
      <c r="L1031">
        <f>IFERROR(IF(AND(H1031&lt;&gt;"",H1031&gt;=129,H1031&lt;=2176),INDEX(Fields!$J$2:$J$206,MATCH(H1031-129,Fields!$D$2:$D$206,1)),""),"")</f>
        <v/>
      </c>
      <c r="M1031">
        <f>IFERROR(IF(AND(H1031&lt;&gt;"",H1031&gt;=129,H1031&lt;=2176),INDEX(Fields!$K$2:$K$206,MATCH(H1031-129,Fields!$D$2:$D$206,1)),""),"")</f>
        <v/>
      </c>
    </row>
    <row r="1032">
      <c r="A1032" t="n">
        <v>1030</v>
      </c>
      <c r="B1032" t="n">
        <v>0</v>
      </c>
      <c r="C1032" t="inlineStr">
        <is>
          <t>No</t>
        </is>
      </c>
      <c r="D1032">
        <f>IF(AND(B1027=1,B1028=1,B1029=1,B1030=1,B1031=1),"Yes","")</f>
        <v/>
      </c>
      <c r="E1032" t="inlineStr">
        <is>
          <t>No</t>
        </is>
      </c>
      <c r="F1032" t="inlineStr">
        <is>
          <t>No</t>
        </is>
      </c>
      <c r="G1032">
        <f>IF(F1032="Yes",1-B1032,B1032)</f>
        <v/>
      </c>
      <c r="H1032">
        <f>IF(E1032="Yes","",COUNTIFS($E$2:E1032,"No"))</f>
        <v/>
      </c>
      <c r="I1032">
        <f>IF(H1032="","",IF(H1032&lt;=128,"address",IF(H1032&lt;=600,"data1",IF(H1032&lt;=1264,"zero-run1",IF(H1032&lt;=1648,"data2",IF(H1032&lt;=2176,"zero-run2",IF(H1032&lt;=2192,"FCS","trailing")))))))</f>
        <v/>
      </c>
      <c r="J1032">
        <f>IFERROR(IF(AND(H1032&lt;&gt;"",H1032&gt;=129,H1032&lt;=2176),INDEX(Fields!$B$2:$B$206,MATCH(H1032-129,Fields!$D$2:$D$206,1)),""),"")</f>
        <v/>
      </c>
      <c r="K1032">
        <f>IFERROR(IF(AND(H1032&lt;&gt;"",H1032&gt;=129,H1032&lt;=2176),INDEX(Fields!$C$2:$C$206,MATCH(H1032-129,Fields!$D$2:$D$206,1)),""),"")</f>
        <v/>
      </c>
      <c r="L1032">
        <f>IFERROR(IF(AND(H1032&lt;&gt;"",H1032&gt;=129,H1032&lt;=2176),INDEX(Fields!$J$2:$J$206,MATCH(H1032-129,Fields!$D$2:$D$206,1)),""),"")</f>
        <v/>
      </c>
      <c r="M1032">
        <f>IFERROR(IF(AND(H1032&lt;&gt;"",H1032&gt;=129,H1032&lt;=2176),INDEX(Fields!$K$2:$K$206,MATCH(H1032-129,Fields!$D$2:$D$206,1)),""),"")</f>
        <v/>
      </c>
    </row>
    <row r="1033">
      <c r="A1033" t="n">
        <v>1031</v>
      </c>
      <c r="B1033" t="n">
        <v>0</v>
      </c>
      <c r="C1033" t="inlineStr">
        <is>
          <t>No</t>
        </is>
      </c>
      <c r="D1033">
        <f>IF(AND(B1028=1,B1029=1,B1030=1,B1031=1,B1032=1),"Yes","")</f>
        <v/>
      </c>
      <c r="E1033" t="inlineStr">
        <is>
          <t>No</t>
        </is>
      </c>
      <c r="F1033" t="inlineStr">
        <is>
          <t>No</t>
        </is>
      </c>
      <c r="G1033">
        <f>IF(F1033="Yes",1-B1033,B1033)</f>
        <v/>
      </c>
      <c r="H1033">
        <f>IF(E1033="Yes","",COUNTIFS($E$2:E1033,"No"))</f>
        <v/>
      </c>
      <c r="I1033">
        <f>IF(H1033="","",IF(H1033&lt;=128,"address",IF(H1033&lt;=600,"data1",IF(H1033&lt;=1264,"zero-run1",IF(H1033&lt;=1648,"data2",IF(H1033&lt;=2176,"zero-run2",IF(H1033&lt;=2192,"FCS","trailing")))))))</f>
        <v/>
      </c>
      <c r="J1033">
        <f>IFERROR(IF(AND(H1033&lt;&gt;"",H1033&gt;=129,H1033&lt;=2176),INDEX(Fields!$B$2:$B$206,MATCH(H1033-129,Fields!$D$2:$D$206,1)),""),"")</f>
        <v/>
      </c>
      <c r="K1033">
        <f>IFERROR(IF(AND(H1033&lt;&gt;"",H1033&gt;=129,H1033&lt;=2176),INDEX(Fields!$C$2:$C$206,MATCH(H1033-129,Fields!$D$2:$D$206,1)),""),"")</f>
        <v/>
      </c>
      <c r="L1033">
        <f>IFERROR(IF(AND(H1033&lt;&gt;"",H1033&gt;=129,H1033&lt;=2176),INDEX(Fields!$J$2:$J$206,MATCH(H1033-129,Fields!$D$2:$D$206,1)),""),"")</f>
        <v/>
      </c>
      <c r="M1033">
        <f>IFERROR(IF(AND(H1033&lt;&gt;"",H1033&gt;=129,H1033&lt;=2176),INDEX(Fields!$K$2:$K$206,MATCH(H1033-129,Fields!$D$2:$D$206,1)),""),"")</f>
        <v/>
      </c>
    </row>
    <row r="1034">
      <c r="A1034" t="n">
        <v>1032</v>
      </c>
      <c r="B1034" t="n">
        <v>0</v>
      </c>
      <c r="C1034" t="inlineStr">
        <is>
          <t>No</t>
        </is>
      </c>
      <c r="D1034">
        <f>IF(AND(B1029=1,B1030=1,B1031=1,B1032=1,B1033=1),"Yes","")</f>
        <v/>
      </c>
      <c r="E1034" t="inlineStr">
        <is>
          <t>No</t>
        </is>
      </c>
      <c r="F1034" t="inlineStr">
        <is>
          <t>No</t>
        </is>
      </c>
      <c r="G1034">
        <f>IF(F1034="Yes",1-B1034,B1034)</f>
        <v/>
      </c>
      <c r="H1034">
        <f>IF(E1034="Yes","",COUNTIFS($E$2:E1034,"No"))</f>
        <v/>
      </c>
      <c r="I1034">
        <f>IF(H1034="","",IF(H1034&lt;=128,"address",IF(H1034&lt;=600,"data1",IF(H1034&lt;=1264,"zero-run1",IF(H1034&lt;=1648,"data2",IF(H1034&lt;=2176,"zero-run2",IF(H1034&lt;=2192,"FCS","trailing")))))))</f>
        <v/>
      </c>
      <c r="J1034">
        <f>IFERROR(IF(AND(H1034&lt;&gt;"",H1034&gt;=129,H1034&lt;=2176),INDEX(Fields!$B$2:$B$206,MATCH(H1034-129,Fields!$D$2:$D$206,1)),""),"")</f>
        <v/>
      </c>
      <c r="K1034">
        <f>IFERROR(IF(AND(H1034&lt;&gt;"",H1034&gt;=129,H1034&lt;=2176),INDEX(Fields!$C$2:$C$206,MATCH(H1034-129,Fields!$D$2:$D$206,1)),""),"")</f>
        <v/>
      </c>
      <c r="L1034">
        <f>IFERROR(IF(AND(H1034&lt;&gt;"",H1034&gt;=129,H1034&lt;=2176),INDEX(Fields!$J$2:$J$206,MATCH(H1034-129,Fields!$D$2:$D$206,1)),""),"")</f>
        <v/>
      </c>
      <c r="M1034">
        <f>IFERROR(IF(AND(H1034&lt;&gt;"",H1034&gt;=129,H1034&lt;=2176),INDEX(Fields!$K$2:$K$206,MATCH(H1034-129,Fields!$D$2:$D$206,1)),""),"")</f>
        <v/>
      </c>
    </row>
    <row r="1035">
      <c r="A1035" t="n">
        <v>1033</v>
      </c>
      <c r="B1035" t="n">
        <v>0</v>
      </c>
      <c r="C1035" t="inlineStr">
        <is>
          <t>No</t>
        </is>
      </c>
      <c r="D1035">
        <f>IF(AND(B1030=1,B1031=1,B1032=1,B1033=1,B1034=1),"Yes","")</f>
        <v/>
      </c>
      <c r="E1035" t="inlineStr">
        <is>
          <t>No</t>
        </is>
      </c>
      <c r="F1035" t="inlineStr">
        <is>
          <t>No</t>
        </is>
      </c>
      <c r="G1035">
        <f>IF(F1035="Yes",1-B1035,B1035)</f>
        <v/>
      </c>
      <c r="H1035">
        <f>IF(E1035="Yes","",COUNTIFS($E$2:E1035,"No"))</f>
        <v/>
      </c>
      <c r="I1035">
        <f>IF(H1035="","",IF(H1035&lt;=128,"address",IF(H1035&lt;=600,"data1",IF(H1035&lt;=1264,"zero-run1",IF(H1035&lt;=1648,"data2",IF(H1035&lt;=2176,"zero-run2",IF(H1035&lt;=2192,"FCS","trailing")))))))</f>
        <v/>
      </c>
      <c r="J1035">
        <f>IFERROR(IF(AND(H1035&lt;&gt;"",H1035&gt;=129,H1035&lt;=2176),INDEX(Fields!$B$2:$B$206,MATCH(H1035-129,Fields!$D$2:$D$206,1)),""),"")</f>
        <v/>
      </c>
      <c r="K1035">
        <f>IFERROR(IF(AND(H1035&lt;&gt;"",H1035&gt;=129,H1035&lt;=2176),INDEX(Fields!$C$2:$C$206,MATCH(H1035-129,Fields!$D$2:$D$206,1)),""),"")</f>
        <v/>
      </c>
      <c r="L1035">
        <f>IFERROR(IF(AND(H1035&lt;&gt;"",H1035&gt;=129,H1035&lt;=2176),INDEX(Fields!$J$2:$J$206,MATCH(H1035-129,Fields!$D$2:$D$206,1)),""),"")</f>
        <v/>
      </c>
      <c r="M1035">
        <f>IFERROR(IF(AND(H1035&lt;&gt;"",H1035&gt;=129,H1035&lt;=2176),INDEX(Fields!$K$2:$K$206,MATCH(H1035-129,Fields!$D$2:$D$206,1)),""),"")</f>
        <v/>
      </c>
    </row>
    <row r="1036">
      <c r="A1036" t="n">
        <v>1034</v>
      </c>
      <c r="B1036" t="n">
        <v>0</v>
      </c>
      <c r="C1036" t="inlineStr">
        <is>
          <t>No</t>
        </is>
      </c>
      <c r="D1036">
        <f>IF(AND(B1031=1,B1032=1,B1033=1,B1034=1,B1035=1),"Yes","")</f>
        <v/>
      </c>
      <c r="E1036" t="inlineStr">
        <is>
          <t>No</t>
        </is>
      </c>
      <c r="F1036" t="inlineStr">
        <is>
          <t>No</t>
        </is>
      </c>
      <c r="G1036">
        <f>IF(F1036="Yes",1-B1036,B1036)</f>
        <v/>
      </c>
      <c r="H1036">
        <f>IF(E1036="Yes","",COUNTIFS($E$2:E1036,"No"))</f>
        <v/>
      </c>
      <c r="I1036">
        <f>IF(H1036="","",IF(H1036&lt;=128,"address",IF(H1036&lt;=600,"data1",IF(H1036&lt;=1264,"zero-run1",IF(H1036&lt;=1648,"data2",IF(H1036&lt;=2176,"zero-run2",IF(H1036&lt;=2192,"FCS","trailing")))))))</f>
        <v/>
      </c>
      <c r="J1036">
        <f>IFERROR(IF(AND(H1036&lt;&gt;"",H1036&gt;=129,H1036&lt;=2176),INDEX(Fields!$B$2:$B$206,MATCH(H1036-129,Fields!$D$2:$D$206,1)),""),"")</f>
        <v/>
      </c>
      <c r="K1036">
        <f>IFERROR(IF(AND(H1036&lt;&gt;"",H1036&gt;=129,H1036&lt;=2176),INDEX(Fields!$C$2:$C$206,MATCH(H1036-129,Fields!$D$2:$D$206,1)),""),"")</f>
        <v/>
      </c>
      <c r="L1036">
        <f>IFERROR(IF(AND(H1036&lt;&gt;"",H1036&gt;=129,H1036&lt;=2176),INDEX(Fields!$J$2:$J$206,MATCH(H1036-129,Fields!$D$2:$D$206,1)),""),"")</f>
        <v/>
      </c>
      <c r="M1036">
        <f>IFERROR(IF(AND(H1036&lt;&gt;"",H1036&gt;=129,H1036&lt;=2176),INDEX(Fields!$K$2:$K$206,MATCH(H1036-129,Fields!$D$2:$D$206,1)),""),"")</f>
        <v/>
      </c>
    </row>
    <row r="1037">
      <c r="A1037" t="n">
        <v>1035</v>
      </c>
      <c r="B1037" t="n">
        <v>0</v>
      </c>
      <c r="C1037" t="inlineStr">
        <is>
          <t>No</t>
        </is>
      </c>
      <c r="D1037">
        <f>IF(AND(B1032=1,B1033=1,B1034=1,B1035=1,B1036=1),"Yes","")</f>
        <v/>
      </c>
      <c r="E1037" t="inlineStr">
        <is>
          <t>No</t>
        </is>
      </c>
      <c r="F1037" t="inlineStr">
        <is>
          <t>No</t>
        </is>
      </c>
      <c r="G1037">
        <f>IF(F1037="Yes",1-B1037,B1037)</f>
        <v/>
      </c>
      <c r="H1037">
        <f>IF(E1037="Yes","",COUNTIFS($E$2:E1037,"No"))</f>
        <v/>
      </c>
      <c r="I1037">
        <f>IF(H1037="","",IF(H1037&lt;=128,"address",IF(H1037&lt;=600,"data1",IF(H1037&lt;=1264,"zero-run1",IF(H1037&lt;=1648,"data2",IF(H1037&lt;=2176,"zero-run2",IF(H1037&lt;=2192,"FCS","trailing")))))))</f>
        <v/>
      </c>
      <c r="J1037">
        <f>IFERROR(IF(AND(H1037&lt;&gt;"",H1037&gt;=129,H1037&lt;=2176),INDEX(Fields!$B$2:$B$206,MATCH(H1037-129,Fields!$D$2:$D$206,1)),""),"")</f>
        <v/>
      </c>
      <c r="K1037">
        <f>IFERROR(IF(AND(H1037&lt;&gt;"",H1037&gt;=129,H1037&lt;=2176),INDEX(Fields!$C$2:$C$206,MATCH(H1037-129,Fields!$D$2:$D$206,1)),""),"")</f>
        <v/>
      </c>
      <c r="L1037">
        <f>IFERROR(IF(AND(H1037&lt;&gt;"",H1037&gt;=129,H1037&lt;=2176),INDEX(Fields!$J$2:$J$206,MATCH(H1037-129,Fields!$D$2:$D$206,1)),""),"")</f>
        <v/>
      </c>
      <c r="M1037">
        <f>IFERROR(IF(AND(H1037&lt;&gt;"",H1037&gt;=129,H1037&lt;=2176),INDEX(Fields!$K$2:$K$206,MATCH(H1037-129,Fields!$D$2:$D$206,1)),""),"")</f>
        <v/>
      </c>
    </row>
    <row r="1038">
      <c r="A1038" t="n">
        <v>1036</v>
      </c>
      <c r="B1038" t="n">
        <v>0</v>
      </c>
      <c r="C1038" t="inlineStr">
        <is>
          <t>No</t>
        </is>
      </c>
      <c r="D1038">
        <f>IF(AND(B1033=1,B1034=1,B1035=1,B1036=1,B1037=1),"Yes","")</f>
        <v/>
      </c>
      <c r="E1038" t="inlineStr">
        <is>
          <t>No</t>
        </is>
      </c>
      <c r="F1038" t="inlineStr">
        <is>
          <t>No</t>
        </is>
      </c>
      <c r="G1038">
        <f>IF(F1038="Yes",1-B1038,B1038)</f>
        <v/>
      </c>
      <c r="H1038">
        <f>IF(E1038="Yes","",COUNTIFS($E$2:E1038,"No"))</f>
        <v/>
      </c>
      <c r="I1038">
        <f>IF(H1038="","",IF(H1038&lt;=128,"address",IF(H1038&lt;=600,"data1",IF(H1038&lt;=1264,"zero-run1",IF(H1038&lt;=1648,"data2",IF(H1038&lt;=2176,"zero-run2",IF(H1038&lt;=2192,"FCS","trailing")))))))</f>
        <v/>
      </c>
      <c r="J1038">
        <f>IFERROR(IF(AND(H1038&lt;&gt;"",H1038&gt;=129,H1038&lt;=2176),INDEX(Fields!$B$2:$B$206,MATCH(H1038-129,Fields!$D$2:$D$206,1)),""),"")</f>
        <v/>
      </c>
      <c r="K1038">
        <f>IFERROR(IF(AND(H1038&lt;&gt;"",H1038&gt;=129,H1038&lt;=2176),INDEX(Fields!$C$2:$C$206,MATCH(H1038-129,Fields!$D$2:$D$206,1)),""),"")</f>
        <v/>
      </c>
      <c r="L1038">
        <f>IFERROR(IF(AND(H1038&lt;&gt;"",H1038&gt;=129,H1038&lt;=2176),INDEX(Fields!$J$2:$J$206,MATCH(H1038-129,Fields!$D$2:$D$206,1)),""),"")</f>
        <v/>
      </c>
      <c r="M1038">
        <f>IFERROR(IF(AND(H1038&lt;&gt;"",H1038&gt;=129,H1038&lt;=2176),INDEX(Fields!$K$2:$K$206,MATCH(H1038-129,Fields!$D$2:$D$206,1)),""),"")</f>
        <v/>
      </c>
    </row>
    <row r="1039">
      <c r="A1039" t="n">
        <v>1037</v>
      </c>
      <c r="B1039" t="n">
        <v>0</v>
      </c>
      <c r="C1039" t="inlineStr">
        <is>
          <t>No</t>
        </is>
      </c>
      <c r="D1039">
        <f>IF(AND(B1034=1,B1035=1,B1036=1,B1037=1,B1038=1),"Yes","")</f>
        <v/>
      </c>
      <c r="E1039" t="inlineStr">
        <is>
          <t>No</t>
        </is>
      </c>
      <c r="F1039" t="inlineStr">
        <is>
          <t>No</t>
        </is>
      </c>
      <c r="G1039">
        <f>IF(F1039="Yes",1-B1039,B1039)</f>
        <v/>
      </c>
      <c r="H1039">
        <f>IF(E1039="Yes","",COUNTIFS($E$2:E1039,"No"))</f>
        <v/>
      </c>
      <c r="I1039">
        <f>IF(H1039="","",IF(H1039&lt;=128,"address",IF(H1039&lt;=600,"data1",IF(H1039&lt;=1264,"zero-run1",IF(H1039&lt;=1648,"data2",IF(H1039&lt;=2176,"zero-run2",IF(H1039&lt;=2192,"FCS","trailing")))))))</f>
        <v/>
      </c>
      <c r="J1039">
        <f>IFERROR(IF(AND(H1039&lt;&gt;"",H1039&gt;=129,H1039&lt;=2176),INDEX(Fields!$B$2:$B$206,MATCH(H1039-129,Fields!$D$2:$D$206,1)),""),"")</f>
        <v/>
      </c>
      <c r="K1039">
        <f>IFERROR(IF(AND(H1039&lt;&gt;"",H1039&gt;=129,H1039&lt;=2176),INDEX(Fields!$C$2:$C$206,MATCH(H1039-129,Fields!$D$2:$D$206,1)),""),"")</f>
        <v/>
      </c>
      <c r="L1039">
        <f>IFERROR(IF(AND(H1039&lt;&gt;"",H1039&gt;=129,H1039&lt;=2176),INDEX(Fields!$J$2:$J$206,MATCH(H1039-129,Fields!$D$2:$D$206,1)),""),"")</f>
        <v/>
      </c>
      <c r="M1039">
        <f>IFERROR(IF(AND(H1039&lt;&gt;"",H1039&gt;=129,H1039&lt;=2176),INDEX(Fields!$K$2:$K$206,MATCH(H1039-129,Fields!$D$2:$D$206,1)),""),"")</f>
        <v/>
      </c>
    </row>
    <row r="1040">
      <c r="A1040" t="n">
        <v>1038</v>
      </c>
      <c r="B1040" t="n">
        <v>0</v>
      </c>
      <c r="C1040" t="inlineStr">
        <is>
          <t>No</t>
        </is>
      </c>
      <c r="D1040">
        <f>IF(AND(B1035=1,B1036=1,B1037=1,B1038=1,B1039=1),"Yes","")</f>
        <v/>
      </c>
      <c r="E1040" t="inlineStr">
        <is>
          <t>No</t>
        </is>
      </c>
      <c r="F1040" t="inlineStr">
        <is>
          <t>No</t>
        </is>
      </c>
      <c r="G1040">
        <f>IF(F1040="Yes",1-B1040,B1040)</f>
        <v/>
      </c>
      <c r="H1040">
        <f>IF(E1040="Yes","",COUNTIFS($E$2:E1040,"No"))</f>
        <v/>
      </c>
      <c r="I1040">
        <f>IF(H1040="","",IF(H1040&lt;=128,"address",IF(H1040&lt;=600,"data1",IF(H1040&lt;=1264,"zero-run1",IF(H1040&lt;=1648,"data2",IF(H1040&lt;=2176,"zero-run2",IF(H1040&lt;=2192,"FCS","trailing")))))))</f>
        <v/>
      </c>
      <c r="J1040">
        <f>IFERROR(IF(AND(H1040&lt;&gt;"",H1040&gt;=129,H1040&lt;=2176),INDEX(Fields!$B$2:$B$206,MATCH(H1040-129,Fields!$D$2:$D$206,1)),""),"")</f>
        <v/>
      </c>
      <c r="K1040">
        <f>IFERROR(IF(AND(H1040&lt;&gt;"",H1040&gt;=129,H1040&lt;=2176),INDEX(Fields!$C$2:$C$206,MATCH(H1040-129,Fields!$D$2:$D$206,1)),""),"")</f>
        <v/>
      </c>
      <c r="L1040">
        <f>IFERROR(IF(AND(H1040&lt;&gt;"",H1040&gt;=129,H1040&lt;=2176),INDEX(Fields!$J$2:$J$206,MATCH(H1040-129,Fields!$D$2:$D$206,1)),""),"")</f>
        <v/>
      </c>
      <c r="M1040">
        <f>IFERROR(IF(AND(H1040&lt;&gt;"",H1040&gt;=129,H1040&lt;=2176),INDEX(Fields!$K$2:$K$206,MATCH(H1040-129,Fields!$D$2:$D$206,1)),""),"")</f>
        <v/>
      </c>
    </row>
    <row r="1041">
      <c r="A1041" t="n">
        <v>1039</v>
      </c>
      <c r="B1041" t="n">
        <v>0</v>
      </c>
      <c r="C1041" t="inlineStr">
        <is>
          <t>No</t>
        </is>
      </c>
      <c r="D1041">
        <f>IF(AND(B1036=1,B1037=1,B1038=1,B1039=1,B1040=1),"Yes","")</f>
        <v/>
      </c>
      <c r="E1041" t="inlineStr">
        <is>
          <t>No</t>
        </is>
      </c>
      <c r="F1041" t="inlineStr">
        <is>
          <t>No</t>
        </is>
      </c>
      <c r="G1041">
        <f>IF(F1041="Yes",1-B1041,B1041)</f>
        <v/>
      </c>
      <c r="H1041">
        <f>IF(E1041="Yes","",COUNTIFS($E$2:E1041,"No"))</f>
        <v/>
      </c>
      <c r="I1041">
        <f>IF(H1041="","",IF(H1041&lt;=128,"address",IF(H1041&lt;=600,"data1",IF(H1041&lt;=1264,"zero-run1",IF(H1041&lt;=1648,"data2",IF(H1041&lt;=2176,"zero-run2",IF(H1041&lt;=2192,"FCS","trailing")))))))</f>
        <v/>
      </c>
      <c r="J1041">
        <f>IFERROR(IF(AND(H1041&lt;&gt;"",H1041&gt;=129,H1041&lt;=2176),INDEX(Fields!$B$2:$B$206,MATCH(H1041-129,Fields!$D$2:$D$206,1)),""),"")</f>
        <v/>
      </c>
      <c r="K1041">
        <f>IFERROR(IF(AND(H1041&lt;&gt;"",H1041&gt;=129,H1041&lt;=2176),INDEX(Fields!$C$2:$C$206,MATCH(H1041-129,Fields!$D$2:$D$206,1)),""),"")</f>
        <v/>
      </c>
      <c r="L1041">
        <f>IFERROR(IF(AND(H1041&lt;&gt;"",H1041&gt;=129,H1041&lt;=2176),INDEX(Fields!$J$2:$J$206,MATCH(H1041-129,Fields!$D$2:$D$206,1)),""),"")</f>
        <v/>
      </c>
      <c r="M1041">
        <f>IFERROR(IF(AND(H1041&lt;&gt;"",H1041&gt;=129,H1041&lt;=2176),INDEX(Fields!$K$2:$K$206,MATCH(H1041-129,Fields!$D$2:$D$206,1)),""),"")</f>
        <v/>
      </c>
    </row>
    <row r="1042">
      <c r="A1042" t="n">
        <v>1040</v>
      </c>
      <c r="B1042" t="n">
        <v>0</v>
      </c>
      <c r="C1042" t="inlineStr">
        <is>
          <t>No</t>
        </is>
      </c>
      <c r="D1042">
        <f>IF(AND(B1037=1,B1038=1,B1039=1,B1040=1,B1041=1),"Yes","")</f>
        <v/>
      </c>
      <c r="E1042" t="inlineStr">
        <is>
          <t>No</t>
        </is>
      </c>
      <c r="F1042" t="inlineStr">
        <is>
          <t>No</t>
        </is>
      </c>
      <c r="G1042">
        <f>IF(F1042="Yes",1-B1042,B1042)</f>
        <v/>
      </c>
      <c r="H1042">
        <f>IF(E1042="Yes","",COUNTIFS($E$2:E1042,"No"))</f>
        <v/>
      </c>
      <c r="I1042">
        <f>IF(H1042="","",IF(H1042&lt;=128,"address",IF(H1042&lt;=600,"data1",IF(H1042&lt;=1264,"zero-run1",IF(H1042&lt;=1648,"data2",IF(H1042&lt;=2176,"zero-run2",IF(H1042&lt;=2192,"FCS","trailing")))))))</f>
        <v/>
      </c>
      <c r="J1042">
        <f>IFERROR(IF(AND(H1042&lt;&gt;"",H1042&gt;=129,H1042&lt;=2176),INDEX(Fields!$B$2:$B$206,MATCH(H1042-129,Fields!$D$2:$D$206,1)),""),"")</f>
        <v/>
      </c>
      <c r="K1042">
        <f>IFERROR(IF(AND(H1042&lt;&gt;"",H1042&gt;=129,H1042&lt;=2176),INDEX(Fields!$C$2:$C$206,MATCH(H1042-129,Fields!$D$2:$D$206,1)),""),"")</f>
        <v/>
      </c>
      <c r="L1042">
        <f>IFERROR(IF(AND(H1042&lt;&gt;"",H1042&gt;=129,H1042&lt;=2176),INDEX(Fields!$J$2:$J$206,MATCH(H1042-129,Fields!$D$2:$D$206,1)),""),"")</f>
        <v/>
      </c>
      <c r="M1042">
        <f>IFERROR(IF(AND(H1042&lt;&gt;"",H1042&gt;=129,H1042&lt;=2176),INDEX(Fields!$K$2:$K$206,MATCH(H1042-129,Fields!$D$2:$D$206,1)),""),"")</f>
        <v/>
      </c>
    </row>
    <row r="1043">
      <c r="A1043" t="n">
        <v>1041</v>
      </c>
      <c r="B1043" t="n">
        <v>0</v>
      </c>
      <c r="C1043" t="inlineStr">
        <is>
          <t>No</t>
        </is>
      </c>
      <c r="D1043">
        <f>IF(AND(B1038=1,B1039=1,B1040=1,B1041=1,B1042=1),"Yes","")</f>
        <v/>
      </c>
      <c r="E1043" t="inlineStr">
        <is>
          <t>No</t>
        </is>
      </c>
      <c r="F1043" t="inlineStr">
        <is>
          <t>No</t>
        </is>
      </c>
      <c r="G1043">
        <f>IF(F1043="Yes",1-B1043,B1043)</f>
        <v/>
      </c>
      <c r="H1043">
        <f>IF(E1043="Yes","",COUNTIFS($E$2:E1043,"No"))</f>
        <v/>
      </c>
      <c r="I1043">
        <f>IF(H1043="","",IF(H1043&lt;=128,"address",IF(H1043&lt;=600,"data1",IF(H1043&lt;=1264,"zero-run1",IF(H1043&lt;=1648,"data2",IF(H1043&lt;=2176,"zero-run2",IF(H1043&lt;=2192,"FCS","trailing")))))))</f>
        <v/>
      </c>
      <c r="J1043">
        <f>IFERROR(IF(AND(H1043&lt;&gt;"",H1043&gt;=129,H1043&lt;=2176),INDEX(Fields!$B$2:$B$206,MATCH(H1043-129,Fields!$D$2:$D$206,1)),""),"")</f>
        <v/>
      </c>
      <c r="K1043">
        <f>IFERROR(IF(AND(H1043&lt;&gt;"",H1043&gt;=129,H1043&lt;=2176),INDEX(Fields!$C$2:$C$206,MATCH(H1043-129,Fields!$D$2:$D$206,1)),""),"")</f>
        <v/>
      </c>
      <c r="L1043">
        <f>IFERROR(IF(AND(H1043&lt;&gt;"",H1043&gt;=129,H1043&lt;=2176),INDEX(Fields!$J$2:$J$206,MATCH(H1043-129,Fields!$D$2:$D$206,1)),""),"")</f>
        <v/>
      </c>
      <c r="M1043">
        <f>IFERROR(IF(AND(H1043&lt;&gt;"",H1043&gt;=129,H1043&lt;=2176),INDEX(Fields!$K$2:$K$206,MATCH(H1043-129,Fields!$D$2:$D$206,1)),""),"")</f>
        <v/>
      </c>
    </row>
    <row r="1044">
      <c r="A1044" t="n">
        <v>1042</v>
      </c>
      <c r="B1044" t="n">
        <v>0</v>
      </c>
      <c r="C1044" t="inlineStr">
        <is>
          <t>No</t>
        </is>
      </c>
      <c r="D1044">
        <f>IF(AND(B1039=1,B1040=1,B1041=1,B1042=1,B1043=1),"Yes","")</f>
        <v/>
      </c>
      <c r="E1044" t="inlineStr">
        <is>
          <t>No</t>
        </is>
      </c>
      <c r="F1044" t="inlineStr">
        <is>
          <t>No</t>
        </is>
      </c>
      <c r="G1044">
        <f>IF(F1044="Yes",1-B1044,B1044)</f>
        <v/>
      </c>
      <c r="H1044">
        <f>IF(E1044="Yes","",COUNTIFS($E$2:E1044,"No"))</f>
        <v/>
      </c>
      <c r="I1044">
        <f>IF(H1044="","",IF(H1044&lt;=128,"address",IF(H1044&lt;=600,"data1",IF(H1044&lt;=1264,"zero-run1",IF(H1044&lt;=1648,"data2",IF(H1044&lt;=2176,"zero-run2",IF(H1044&lt;=2192,"FCS","trailing")))))))</f>
        <v/>
      </c>
      <c r="J1044">
        <f>IFERROR(IF(AND(H1044&lt;&gt;"",H1044&gt;=129,H1044&lt;=2176),INDEX(Fields!$B$2:$B$206,MATCH(H1044-129,Fields!$D$2:$D$206,1)),""),"")</f>
        <v/>
      </c>
      <c r="K1044">
        <f>IFERROR(IF(AND(H1044&lt;&gt;"",H1044&gt;=129,H1044&lt;=2176),INDEX(Fields!$C$2:$C$206,MATCH(H1044-129,Fields!$D$2:$D$206,1)),""),"")</f>
        <v/>
      </c>
      <c r="L1044">
        <f>IFERROR(IF(AND(H1044&lt;&gt;"",H1044&gt;=129,H1044&lt;=2176),INDEX(Fields!$J$2:$J$206,MATCH(H1044-129,Fields!$D$2:$D$206,1)),""),"")</f>
        <v/>
      </c>
      <c r="M1044">
        <f>IFERROR(IF(AND(H1044&lt;&gt;"",H1044&gt;=129,H1044&lt;=2176),INDEX(Fields!$K$2:$K$206,MATCH(H1044-129,Fields!$D$2:$D$206,1)),""),"")</f>
        <v/>
      </c>
    </row>
    <row r="1045">
      <c r="A1045" t="n">
        <v>1043</v>
      </c>
      <c r="B1045" t="n">
        <v>0</v>
      </c>
      <c r="C1045" t="inlineStr">
        <is>
          <t>No</t>
        </is>
      </c>
      <c r="D1045">
        <f>IF(AND(B1040=1,B1041=1,B1042=1,B1043=1,B1044=1),"Yes","")</f>
        <v/>
      </c>
      <c r="E1045" t="inlineStr">
        <is>
          <t>No</t>
        </is>
      </c>
      <c r="F1045" t="inlineStr">
        <is>
          <t>No</t>
        </is>
      </c>
      <c r="G1045">
        <f>IF(F1045="Yes",1-B1045,B1045)</f>
        <v/>
      </c>
      <c r="H1045">
        <f>IF(E1045="Yes","",COUNTIFS($E$2:E1045,"No"))</f>
        <v/>
      </c>
      <c r="I1045">
        <f>IF(H1045="","",IF(H1045&lt;=128,"address",IF(H1045&lt;=600,"data1",IF(H1045&lt;=1264,"zero-run1",IF(H1045&lt;=1648,"data2",IF(H1045&lt;=2176,"zero-run2",IF(H1045&lt;=2192,"FCS","trailing")))))))</f>
        <v/>
      </c>
      <c r="J1045">
        <f>IFERROR(IF(AND(H1045&lt;&gt;"",H1045&gt;=129,H1045&lt;=2176),INDEX(Fields!$B$2:$B$206,MATCH(H1045-129,Fields!$D$2:$D$206,1)),""),"")</f>
        <v/>
      </c>
      <c r="K1045">
        <f>IFERROR(IF(AND(H1045&lt;&gt;"",H1045&gt;=129,H1045&lt;=2176),INDEX(Fields!$C$2:$C$206,MATCH(H1045-129,Fields!$D$2:$D$206,1)),""),"")</f>
        <v/>
      </c>
      <c r="L1045">
        <f>IFERROR(IF(AND(H1045&lt;&gt;"",H1045&gt;=129,H1045&lt;=2176),INDEX(Fields!$J$2:$J$206,MATCH(H1045-129,Fields!$D$2:$D$206,1)),""),"")</f>
        <v/>
      </c>
      <c r="M1045">
        <f>IFERROR(IF(AND(H1045&lt;&gt;"",H1045&gt;=129,H1045&lt;=2176),INDEX(Fields!$K$2:$K$206,MATCH(H1045-129,Fields!$D$2:$D$206,1)),""),"")</f>
        <v/>
      </c>
    </row>
    <row r="1046">
      <c r="A1046" t="n">
        <v>1044</v>
      </c>
      <c r="B1046" t="n">
        <v>0</v>
      </c>
      <c r="C1046" t="inlineStr">
        <is>
          <t>No</t>
        </is>
      </c>
      <c r="D1046">
        <f>IF(AND(B1041=1,B1042=1,B1043=1,B1044=1,B1045=1),"Yes","")</f>
        <v/>
      </c>
      <c r="E1046" t="inlineStr">
        <is>
          <t>No</t>
        </is>
      </c>
      <c r="F1046" t="inlineStr">
        <is>
          <t>No</t>
        </is>
      </c>
      <c r="G1046">
        <f>IF(F1046="Yes",1-B1046,B1046)</f>
        <v/>
      </c>
      <c r="H1046">
        <f>IF(E1046="Yes","",COUNTIFS($E$2:E1046,"No"))</f>
        <v/>
      </c>
      <c r="I1046">
        <f>IF(H1046="","",IF(H1046&lt;=128,"address",IF(H1046&lt;=600,"data1",IF(H1046&lt;=1264,"zero-run1",IF(H1046&lt;=1648,"data2",IF(H1046&lt;=2176,"zero-run2",IF(H1046&lt;=2192,"FCS","trailing")))))))</f>
        <v/>
      </c>
      <c r="J1046">
        <f>IFERROR(IF(AND(H1046&lt;&gt;"",H1046&gt;=129,H1046&lt;=2176),INDEX(Fields!$B$2:$B$206,MATCH(H1046-129,Fields!$D$2:$D$206,1)),""),"")</f>
        <v/>
      </c>
      <c r="K1046">
        <f>IFERROR(IF(AND(H1046&lt;&gt;"",H1046&gt;=129,H1046&lt;=2176),INDEX(Fields!$C$2:$C$206,MATCH(H1046-129,Fields!$D$2:$D$206,1)),""),"")</f>
        <v/>
      </c>
      <c r="L1046">
        <f>IFERROR(IF(AND(H1046&lt;&gt;"",H1046&gt;=129,H1046&lt;=2176),INDEX(Fields!$J$2:$J$206,MATCH(H1046-129,Fields!$D$2:$D$206,1)),""),"")</f>
        <v/>
      </c>
      <c r="M1046">
        <f>IFERROR(IF(AND(H1046&lt;&gt;"",H1046&gt;=129,H1046&lt;=2176),INDEX(Fields!$K$2:$K$206,MATCH(H1046-129,Fields!$D$2:$D$206,1)),""),"")</f>
        <v/>
      </c>
    </row>
    <row r="1047">
      <c r="A1047" t="n">
        <v>1045</v>
      </c>
      <c r="B1047" t="n">
        <v>0</v>
      </c>
      <c r="C1047" t="inlineStr">
        <is>
          <t>No</t>
        </is>
      </c>
      <c r="D1047">
        <f>IF(AND(B1042=1,B1043=1,B1044=1,B1045=1,B1046=1),"Yes","")</f>
        <v/>
      </c>
      <c r="E1047" t="inlineStr">
        <is>
          <t>No</t>
        </is>
      </c>
      <c r="F1047" t="inlineStr">
        <is>
          <t>No</t>
        </is>
      </c>
      <c r="G1047">
        <f>IF(F1047="Yes",1-B1047,B1047)</f>
        <v/>
      </c>
      <c r="H1047">
        <f>IF(E1047="Yes","",COUNTIFS($E$2:E1047,"No"))</f>
        <v/>
      </c>
      <c r="I1047">
        <f>IF(H1047="","",IF(H1047&lt;=128,"address",IF(H1047&lt;=600,"data1",IF(H1047&lt;=1264,"zero-run1",IF(H1047&lt;=1648,"data2",IF(H1047&lt;=2176,"zero-run2",IF(H1047&lt;=2192,"FCS","trailing")))))))</f>
        <v/>
      </c>
      <c r="J1047">
        <f>IFERROR(IF(AND(H1047&lt;&gt;"",H1047&gt;=129,H1047&lt;=2176),INDEX(Fields!$B$2:$B$206,MATCH(H1047-129,Fields!$D$2:$D$206,1)),""),"")</f>
        <v/>
      </c>
      <c r="K1047">
        <f>IFERROR(IF(AND(H1047&lt;&gt;"",H1047&gt;=129,H1047&lt;=2176),INDEX(Fields!$C$2:$C$206,MATCH(H1047-129,Fields!$D$2:$D$206,1)),""),"")</f>
        <v/>
      </c>
      <c r="L1047">
        <f>IFERROR(IF(AND(H1047&lt;&gt;"",H1047&gt;=129,H1047&lt;=2176),INDEX(Fields!$J$2:$J$206,MATCH(H1047-129,Fields!$D$2:$D$206,1)),""),"")</f>
        <v/>
      </c>
      <c r="M1047">
        <f>IFERROR(IF(AND(H1047&lt;&gt;"",H1047&gt;=129,H1047&lt;=2176),INDEX(Fields!$K$2:$K$206,MATCH(H1047-129,Fields!$D$2:$D$206,1)),""),"")</f>
        <v/>
      </c>
    </row>
    <row r="1048">
      <c r="A1048" t="n">
        <v>1046</v>
      </c>
      <c r="B1048" t="n">
        <v>0</v>
      </c>
      <c r="C1048" t="inlineStr">
        <is>
          <t>No</t>
        </is>
      </c>
      <c r="D1048">
        <f>IF(AND(B1043=1,B1044=1,B1045=1,B1046=1,B1047=1),"Yes","")</f>
        <v/>
      </c>
      <c r="E1048" t="inlineStr">
        <is>
          <t>No</t>
        </is>
      </c>
      <c r="F1048" t="inlineStr">
        <is>
          <t>No</t>
        </is>
      </c>
      <c r="G1048">
        <f>IF(F1048="Yes",1-B1048,B1048)</f>
        <v/>
      </c>
      <c r="H1048">
        <f>IF(E1048="Yes","",COUNTIFS($E$2:E1048,"No"))</f>
        <v/>
      </c>
      <c r="I1048">
        <f>IF(H1048="","",IF(H1048&lt;=128,"address",IF(H1048&lt;=600,"data1",IF(H1048&lt;=1264,"zero-run1",IF(H1048&lt;=1648,"data2",IF(H1048&lt;=2176,"zero-run2",IF(H1048&lt;=2192,"FCS","trailing")))))))</f>
        <v/>
      </c>
      <c r="J1048">
        <f>IFERROR(IF(AND(H1048&lt;&gt;"",H1048&gt;=129,H1048&lt;=2176),INDEX(Fields!$B$2:$B$206,MATCH(H1048-129,Fields!$D$2:$D$206,1)),""),"")</f>
        <v/>
      </c>
      <c r="K1048">
        <f>IFERROR(IF(AND(H1048&lt;&gt;"",H1048&gt;=129,H1048&lt;=2176),INDEX(Fields!$C$2:$C$206,MATCH(H1048-129,Fields!$D$2:$D$206,1)),""),"")</f>
        <v/>
      </c>
      <c r="L1048">
        <f>IFERROR(IF(AND(H1048&lt;&gt;"",H1048&gt;=129,H1048&lt;=2176),INDEX(Fields!$J$2:$J$206,MATCH(H1048-129,Fields!$D$2:$D$206,1)),""),"")</f>
        <v/>
      </c>
      <c r="M1048">
        <f>IFERROR(IF(AND(H1048&lt;&gt;"",H1048&gt;=129,H1048&lt;=2176),INDEX(Fields!$K$2:$K$206,MATCH(H1048-129,Fields!$D$2:$D$206,1)),""),"")</f>
        <v/>
      </c>
    </row>
    <row r="1049">
      <c r="A1049" t="n">
        <v>1047</v>
      </c>
      <c r="B1049" t="n">
        <v>0</v>
      </c>
      <c r="C1049" t="inlineStr">
        <is>
          <t>No</t>
        </is>
      </c>
      <c r="D1049">
        <f>IF(AND(B1044=1,B1045=1,B1046=1,B1047=1,B1048=1),"Yes","")</f>
        <v/>
      </c>
      <c r="E1049" t="inlineStr">
        <is>
          <t>No</t>
        </is>
      </c>
      <c r="F1049" t="inlineStr">
        <is>
          <t>No</t>
        </is>
      </c>
      <c r="G1049">
        <f>IF(F1049="Yes",1-B1049,B1049)</f>
        <v/>
      </c>
      <c r="H1049">
        <f>IF(E1049="Yes","",COUNTIFS($E$2:E1049,"No"))</f>
        <v/>
      </c>
      <c r="I1049">
        <f>IF(H1049="","",IF(H1049&lt;=128,"address",IF(H1049&lt;=600,"data1",IF(H1049&lt;=1264,"zero-run1",IF(H1049&lt;=1648,"data2",IF(H1049&lt;=2176,"zero-run2",IF(H1049&lt;=2192,"FCS","trailing")))))))</f>
        <v/>
      </c>
      <c r="J1049">
        <f>IFERROR(IF(AND(H1049&lt;&gt;"",H1049&gt;=129,H1049&lt;=2176),INDEX(Fields!$B$2:$B$206,MATCH(H1049-129,Fields!$D$2:$D$206,1)),""),"")</f>
        <v/>
      </c>
      <c r="K1049">
        <f>IFERROR(IF(AND(H1049&lt;&gt;"",H1049&gt;=129,H1049&lt;=2176),INDEX(Fields!$C$2:$C$206,MATCH(H1049-129,Fields!$D$2:$D$206,1)),""),"")</f>
        <v/>
      </c>
      <c r="L1049">
        <f>IFERROR(IF(AND(H1049&lt;&gt;"",H1049&gt;=129,H1049&lt;=2176),INDEX(Fields!$J$2:$J$206,MATCH(H1049-129,Fields!$D$2:$D$206,1)),""),"")</f>
        <v/>
      </c>
      <c r="M1049">
        <f>IFERROR(IF(AND(H1049&lt;&gt;"",H1049&gt;=129,H1049&lt;=2176),INDEX(Fields!$K$2:$K$206,MATCH(H1049-129,Fields!$D$2:$D$206,1)),""),"")</f>
        <v/>
      </c>
    </row>
    <row r="1050">
      <c r="A1050" t="n">
        <v>1048</v>
      </c>
      <c r="B1050" t="n">
        <v>0</v>
      </c>
      <c r="C1050" t="inlineStr">
        <is>
          <t>No</t>
        </is>
      </c>
      <c r="D1050">
        <f>IF(AND(B1045=1,B1046=1,B1047=1,B1048=1,B1049=1),"Yes","")</f>
        <v/>
      </c>
      <c r="E1050" t="inlineStr">
        <is>
          <t>No</t>
        </is>
      </c>
      <c r="F1050" t="inlineStr">
        <is>
          <t>No</t>
        </is>
      </c>
      <c r="G1050">
        <f>IF(F1050="Yes",1-B1050,B1050)</f>
        <v/>
      </c>
      <c r="H1050">
        <f>IF(E1050="Yes","",COUNTIFS($E$2:E1050,"No"))</f>
        <v/>
      </c>
      <c r="I1050">
        <f>IF(H1050="","",IF(H1050&lt;=128,"address",IF(H1050&lt;=600,"data1",IF(H1050&lt;=1264,"zero-run1",IF(H1050&lt;=1648,"data2",IF(H1050&lt;=2176,"zero-run2",IF(H1050&lt;=2192,"FCS","trailing")))))))</f>
        <v/>
      </c>
      <c r="J1050">
        <f>IFERROR(IF(AND(H1050&lt;&gt;"",H1050&gt;=129,H1050&lt;=2176),INDEX(Fields!$B$2:$B$206,MATCH(H1050-129,Fields!$D$2:$D$206,1)),""),"")</f>
        <v/>
      </c>
      <c r="K1050">
        <f>IFERROR(IF(AND(H1050&lt;&gt;"",H1050&gt;=129,H1050&lt;=2176),INDEX(Fields!$C$2:$C$206,MATCH(H1050-129,Fields!$D$2:$D$206,1)),""),"")</f>
        <v/>
      </c>
      <c r="L1050">
        <f>IFERROR(IF(AND(H1050&lt;&gt;"",H1050&gt;=129,H1050&lt;=2176),INDEX(Fields!$J$2:$J$206,MATCH(H1050-129,Fields!$D$2:$D$206,1)),""),"")</f>
        <v/>
      </c>
      <c r="M1050">
        <f>IFERROR(IF(AND(H1050&lt;&gt;"",H1050&gt;=129,H1050&lt;=2176),INDEX(Fields!$K$2:$K$206,MATCH(H1050-129,Fields!$D$2:$D$206,1)),""),"")</f>
        <v/>
      </c>
    </row>
    <row r="1051">
      <c r="A1051" t="n">
        <v>1049</v>
      </c>
      <c r="B1051" t="n">
        <v>0</v>
      </c>
      <c r="C1051" t="inlineStr">
        <is>
          <t>No</t>
        </is>
      </c>
      <c r="D1051">
        <f>IF(AND(B1046=1,B1047=1,B1048=1,B1049=1,B1050=1),"Yes","")</f>
        <v/>
      </c>
      <c r="E1051" t="inlineStr">
        <is>
          <t>No</t>
        </is>
      </c>
      <c r="F1051" t="inlineStr">
        <is>
          <t>No</t>
        </is>
      </c>
      <c r="G1051">
        <f>IF(F1051="Yes",1-B1051,B1051)</f>
        <v/>
      </c>
      <c r="H1051">
        <f>IF(E1051="Yes","",COUNTIFS($E$2:E1051,"No"))</f>
        <v/>
      </c>
      <c r="I1051">
        <f>IF(H1051="","",IF(H1051&lt;=128,"address",IF(H1051&lt;=600,"data1",IF(H1051&lt;=1264,"zero-run1",IF(H1051&lt;=1648,"data2",IF(H1051&lt;=2176,"zero-run2",IF(H1051&lt;=2192,"FCS","trailing")))))))</f>
        <v/>
      </c>
      <c r="J1051">
        <f>IFERROR(IF(AND(H1051&lt;&gt;"",H1051&gt;=129,H1051&lt;=2176),INDEX(Fields!$B$2:$B$206,MATCH(H1051-129,Fields!$D$2:$D$206,1)),""),"")</f>
        <v/>
      </c>
      <c r="K1051">
        <f>IFERROR(IF(AND(H1051&lt;&gt;"",H1051&gt;=129,H1051&lt;=2176),INDEX(Fields!$C$2:$C$206,MATCH(H1051-129,Fields!$D$2:$D$206,1)),""),"")</f>
        <v/>
      </c>
      <c r="L1051">
        <f>IFERROR(IF(AND(H1051&lt;&gt;"",H1051&gt;=129,H1051&lt;=2176),INDEX(Fields!$J$2:$J$206,MATCH(H1051-129,Fields!$D$2:$D$206,1)),""),"")</f>
        <v/>
      </c>
      <c r="M1051">
        <f>IFERROR(IF(AND(H1051&lt;&gt;"",H1051&gt;=129,H1051&lt;=2176),INDEX(Fields!$K$2:$K$206,MATCH(H1051-129,Fields!$D$2:$D$206,1)),""),"")</f>
        <v/>
      </c>
    </row>
    <row r="1052">
      <c r="A1052" t="n">
        <v>1050</v>
      </c>
      <c r="B1052" t="n">
        <v>0</v>
      </c>
      <c r="C1052" t="inlineStr">
        <is>
          <t>No</t>
        </is>
      </c>
      <c r="D1052">
        <f>IF(AND(B1047=1,B1048=1,B1049=1,B1050=1,B1051=1),"Yes","")</f>
        <v/>
      </c>
      <c r="E1052" t="inlineStr">
        <is>
          <t>No</t>
        </is>
      </c>
      <c r="F1052" t="inlineStr">
        <is>
          <t>No</t>
        </is>
      </c>
      <c r="G1052">
        <f>IF(F1052="Yes",1-B1052,B1052)</f>
        <v/>
      </c>
      <c r="H1052">
        <f>IF(E1052="Yes","",COUNTIFS($E$2:E1052,"No"))</f>
        <v/>
      </c>
      <c r="I1052">
        <f>IF(H1052="","",IF(H1052&lt;=128,"address",IF(H1052&lt;=600,"data1",IF(H1052&lt;=1264,"zero-run1",IF(H1052&lt;=1648,"data2",IF(H1052&lt;=2176,"zero-run2",IF(H1052&lt;=2192,"FCS","trailing")))))))</f>
        <v/>
      </c>
      <c r="J1052">
        <f>IFERROR(IF(AND(H1052&lt;&gt;"",H1052&gt;=129,H1052&lt;=2176),INDEX(Fields!$B$2:$B$206,MATCH(H1052-129,Fields!$D$2:$D$206,1)),""),"")</f>
        <v/>
      </c>
      <c r="K1052">
        <f>IFERROR(IF(AND(H1052&lt;&gt;"",H1052&gt;=129,H1052&lt;=2176),INDEX(Fields!$C$2:$C$206,MATCH(H1052-129,Fields!$D$2:$D$206,1)),""),"")</f>
        <v/>
      </c>
      <c r="L1052">
        <f>IFERROR(IF(AND(H1052&lt;&gt;"",H1052&gt;=129,H1052&lt;=2176),INDEX(Fields!$J$2:$J$206,MATCH(H1052-129,Fields!$D$2:$D$206,1)),""),"")</f>
        <v/>
      </c>
      <c r="M1052">
        <f>IFERROR(IF(AND(H1052&lt;&gt;"",H1052&gt;=129,H1052&lt;=2176),INDEX(Fields!$K$2:$K$206,MATCH(H1052-129,Fields!$D$2:$D$206,1)),""),"")</f>
        <v/>
      </c>
    </row>
    <row r="1053">
      <c r="A1053" t="n">
        <v>1051</v>
      </c>
      <c r="B1053" t="n">
        <v>0</v>
      </c>
      <c r="C1053" t="inlineStr">
        <is>
          <t>No</t>
        </is>
      </c>
      <c r="D1053">
        <f>IF(AND(B1048=1,B1049=1,B1050=1,B1051=1,B1052=1),"Yes","")</f>
        <v/>
      </c>
      <c r="E1053" t="inlineStr">
        <is>
          <t>No</t>
        </is>
      </c>
      <c r="F1053" t="inlineStr">
        <is>
          <t>No</t>
        </is>
      </c>
      <c r="G1053">
        <f>IF(F1053="Yes",1-B1053,B1053)</f>
        <v/>
      </c>
      <c r="H1053">
        <f>IF(E1053="Yes","",COUNTIFS($E$2:E1053,"No"))</f>
        <v/>
      </c>
      <c r="I1053">
        <f>IF(H1053="","",IF(H1053&lt;=128,"address",IF(H1053&lt;=600,"data1",IF(H1053&lt;=1264,"zero-run1",IF(H1053&lt;=1648,"data2",IF(H1053&lt;=2176,"zero-run2",IF(H1053&lt;=2192,"FCS","trailing")))))))</f>
        <v/>
      </c>
      <c r="J1053">
        <f>IFERROR(IF(AND(H1053&lt;&gt;"",H1053&gt;=129,H1053&lt;=2176),INDEX(Fields!$B$2:$B$206,MATCH(H1053-129,Fields!$D$2:$D$206,1)),""),"")</f>
        <v/>
      </c>
      <c r="K1053">
        <f>IFERROR(IF(AND(H1053&lt;&gt;"",H1053&gt;=129,H1053&lt;=2176),INDEX(Fields!$C$2:$C$206,MATCH(H1053-129,Fields!$D$2:$D$206,1)),""),"")</f>
        <v/>
      </c>
      <c r="L1053">
        <f>IFERROR(IF(AND(H1053&lt;&gt;"",H1053&gt;=129,H1053&lt;=2176),INDEX(Fields!$J$2:$J$206,MATCH(H1053-129,Fields!$D$2:$D$206,1)),""),"")</f>
        <v/>
      </c>
      <c r="M1053">
        <f>IFERROR(IF(AND(H1053&lt;&gt;"",H1053&gt;=129,H1053&lt;=2176),INDEX(Fields!$K$2:$K$206,MATCH(H1053-129,Fields!$D$2:$D$206,1)),""),"")</f>
        <v/>
      </c>
    </row>
    <row r="1054">
      <c r="A1054" t="n">
        <v>1052</v>
      </c>
      <c r="B1054" t="n">
        <v>0</v>
      </c>
      <c r="C1054" t="inlineStr">
        <is>
          <t>No</t>
        </is>
      </c>
      <c r="D1054">
        <f>IF(AND(B1049=1,B1050=1,B1051=1,B1052=1,B1053=1),"Yes","")</f>
        <v/>
      </c>
      <c r="E1054" t="inlineStr">
        <is>
          <t>No</t>
        </is>
      </c>
      <c r="F1054" t="inlineStr">
        <is>
          <t>No</t>
        </is>
      </c>
      <c r="G1054">
        <f>IF(F1054="Yes",1-B1054,B1054)</f>
        <v/>
      </c>
      <c r="H1054">
        <f>IF(E1054="Yes","",COUNTIFS($E$2:E1054,"No"))</f>
        <v/>
      </c>
      <c r="I1054">
        <f>IF(H1054="","",IF(H1054&lt;=128,"address",IF(H1054&lt;=600,"data1",IF(H1054&lt;=1264,"zero-run1",IF(H1054&lt;=1648,"data2",IF(H1054&lt;=2176,"zero-run2",IF(H1054&lt;=2192,"FCS","trailing")))))))</f>
        <v/>
      </c>
      <c r="J1054">
        <f>IFERROR(IF(AND(H1054&lt;&gt;"",H1054&gt;=129,H1054&lt;=2176),INDEX(Fields!$B$2:$B$206,MATCH(H1054-129,Fields!$D$2:$D$206,1)),""),"")</f>
        <v/>
      </c>
      <c r="K1054">
        <f>IFERROR(IF(AND(H1054&lt;&gt;"",H1054&gt;=129,H1054&lt;=2176),INDEX(Fields!$C$2:$C$206,MATCH(H1054-129,Fields!$D$2:$D$206,1)),""),"")</f>
        <v/>
      </c>
      <c r="L1054">
        <f>IFERROR(IF(AND(H1054&lt;&gt;"",H1054&gt;=129,H1054&lt;=2176),INDEX(Fields!$J$2:$J$206,MATCH(H1054-129,Fields!$D$2:$D$206,1)),""),"")</f>
        <v/>
      </c>
      <c r="M1054">
        <f>IFERROR(IF(AND(H1054&lt;&gt;"",H1054&gt;=129,H1054&lt;=2176),INDEX(Fields!$K$2:$K$206,MATCH(H1054-129,Fields!$D$2:$D$206,1)),""),"")</f>
        <v/>
      </c>
    </row>
    <row r="1055">
      <c r="A1055" t="n">
        <v>1053</v>
      </c>
      <c r="B1055" t="n">
        <v>0</v>
      </c>
      <c r="C1055" t="inlineStr">
        <is>
          <t>No</t>
        </is>
      </c>
      <c r="D1055">
        <f>IF(AND(B1050=1,B1051=1,B1052=1,B1053=1,B1054=1),"Yes","")</f>
        <v/>
      </c>
      <c r="E1055" t="inlineStr">
        <is>
          <t>No</t>
        </is>
      </c>
      <c r="F1055" t="inlineStr">
        <is>
          <t>No</t>
        </is>
      </c>
      <c r="G1055">
        <f>IF(F1055="Yes",1-B1055,B1055)</f>
        <v/>
      </c>
      <c r="H1055">
        <f>IF(E1055="Yes","",COUNTIFS($E$2:E1055,"No"))</f>
        <v/>
      </c>
      <c r="I1055">
        <f>IF(H1055="","",IF(H1055&lt;=128,"address",IF(H1055&lt;=600,"data1",IF(H1055&lt;=1264,"zero-run1",IF(H1055&lt;=1648,"data2",IF(H1055&lt;=2176,"zero-run2",IF(H1055&lt;=2192,"FCS","trailing")))))))</f>
        <v/>
      </c>
      <c r="J1055">
        <f>IFERROR(IF(AND(H1055&lt;&gt;"",H1055&gt;=129,H1055&lt;=2176),INDEX(Fields!$B$2:$B$206,MATCH(H1055-129,Fields!$D$2:$D$206,1)),""),"")</f>
        <v/>
      </c>
      <c r="K1055">
        <f>IFERROR(IF(AND(H1055&lt;&gt;"",H1055&gt;=129,H1055&lt;=2176),INDEX(Fields!$C$2:$C$206,MATCH(H1055-129,Fields!$D$2:$D$206,1)),""),"")</f>
        <v/>
      </c>
      <c r="L1055">
        <f>IFERROR(IF(AND(H1055&lt;&gt;"",H1055&gt;=129,H1055&lt;=2176),INDEX(Fields!$J$2:$J$206,MATCH(H1055-129,Fields!$D$2:$D$206,1)),""),"")</f>
        <v/>
      </c>
      <c r="M1055">
        <f>IFERROR(IF(AND(H1055&lt;&gt;"",H1055&gt;=129,H1055&lt;=2176),INDEX(Fields!$K$2:$K$206,MATCH(H1055-129,Fields!$D$2:$D$206,1)),""),"")</f>
        <v/>
      </c>
    </row>
    <row r="1056">
      <c r="A1056" t="n">
        <v>1054</v>
      </c>
      <c r="B1056" t="n">
        <v>0</v>
      </c>
      <c r="C1056" t="inlineStr">
        <is>
          <t>No</t>
        </is>
      </c>
      <c r="D1056">
        <f>IF(AND(B1051=1,B1052=1,B1053=1,B1054=1,B1055=1),"Yes","")</f>
        <v/>
      </c>
      <c r="E1056" t="inlineStr">
        <is>
          <t>No</t>
        </is>
      </c>
      <c r="F1056" t="inlineStr">
        <is>
          <t>No</t>
        </is>
      </c>
      <c r="G1056">
        <f>IF(F1056="Yes",1-B1056,B1056)</f>
        <v/>
      </c>
      <c r="H1056">
        <f>IF(E1056="Yes","",COUNTIFS($E$2:E1056,"No"))</f>
        <v/>
      </c>
      <c r="I1056">
        <f>IF(H1056="","",IF(H1056&lt;=128,"address",IF(H1056&lt;=600,"data1",IF(H1056&lt;=1264,"zero-run1",IF(H1056&lt;=1648,"data2",IF(H1056&lt;=2176,"zero-run2",IF(H1056&lt;=2192,"FCS","trailing")))))))</f>
        <v/>
      </c>
      <c r="J1056">
        <f>IFERROR(IF(AND(H1056&lt;&gt;"",H1056&gt;=129,H1056&lt;=2176),INDEX(Fields!$B$2:$B$206,MATCH(H1056-129,Fields!$D$2:$D$206,1)),""),"")</f>
        <v/>
      </c>
      <c r="K1056">
        <f>IFERROR(IF(AND(H1056&lt;&gt;"",H1056&gt;=129,H1056&lt;=2176),INDEX(Fields!$C$2:$C$206,MATCH(H1056-129,Fields!$D$2:$D$206,1)),""),"")</f>
        <v/>
      </c>
      <c r="L1056">
        <f>IFERROR(IF(AND(H1056&lt;&gt;"",H1056&gt;=129,H1056&lt;=2176),INDEX(Fields!$J$2:$J$206,MATCH(H1056-129,Fields!$D$2:$D$206,1)),""),"")</f>
        <v/>
      </c>
      <c r="M1056">
        <f>IFERROR(IF(AND(H1056&lt;&gt;"",H1056&gt;=129,H1056&lt;=2176),INDEX(Fields!$K$2:$K$206,MATCH(H1056-129,Fields!$D$2:$D$206,1)),""),"")</f>
        <v/>
      </c>
    </row>
    <row r="1057">
      <c r="A1057" t="n">
        <v>1055</v>
      </c>
      <c r="B1057" t="n">
        <v>0</v>
      </c>
      <c r="C1057" t="inlineStr">
        <is>
          <t>No</t>
        </is>
      </c>
      <c r="D1057">
        <f>IF(AND(B1052=1,B1053=1,B1054=1,B1055=1,B1056=1),"Yes","")</f>
        <v/>
      </c>
      <c r="E1057" t="inlineStr">
        <is>
          <t>No</t>
        </is>
      </c>
      <c r="F1057" t="inlineStr">
        <is>
          <t>No</t>
        </is>
      </c>
      <c r="G1057">
        <f>IF(F1057="Yes",1-B1057,B1057)</f>
        <v/>
      </c>
      <c r="H1057">
        <f>IF(E1057="Yes","",COUNTIFS($E$2:E1057,"No"))</f>
        <v/>
      </c>
      <c r="I1057">
        <f>IF(H1057="","",IF(H1057&lt;=128,"address",IF(H1057&lt;=600,"data1",IF(H1057&lt;=1264,"zero-run1",IF(H1057&lt;=1648,"data2",IF(H1057&lt;=2176,"zero-run2",IF(H1057&lt;=2192,"FCS","trailing")))))))</f>
        <v/>
      </c>
      <c r="J1057">
        <f>IFERROR(IF(AND(H1057&lt;&gt;"",H1057&gt;=129,H1057&lt;=2176),INDEX(Fields!$B$2:$B$206,MATCH(H1057-129,Fields!$D$2:$D$206,1)),""),"")</f>
        <v/>
      </c>
      <c r="K1057">
        <f>IFERROR(IF(AND(H1057&lt;&gt;"",H1057&gt;=129,H1057&lt;=2176),INDEX(Fields!$C$2:$C$206,MATCH(H1057-129,Fields!$D$2:$D$206,1)),""),"")</f>
        <v/>
      </c>
      <c r="L1057">
        <f>IFERROR(IF(AND(H1057&lt;&gt;"",H1057&gt;=129,H1057&lt;=2176),INDEX(Fields!$J$2:$J$206,MATCH(H1057-129,Fields!$D$2:$D$206,1)),""),"")</f>
        <v/>
      </c>
      <c r="M1057">
        <f>IFERROR(IF(AND(H1057&lt;&gt;"",H1057&gt;=129,H1057&lt;=2176),INDEX(Fields!$K$2:$K$206,MATCH(H1057-129,Fields!$D$2:$D$206,1)),""),"")</f>
        <v/>
      </c>
    </row>
    <row r="1058">
      <c r="A1058" t="n">
        <v>1056</v>
      </c>
      <c r="B1058" t="n">
        <v>0</v>
      </c>
      <c r="C1058" t="inlineStr">
        <is>
          <t>No</t>
        </is>
      </c>
      <c r="D1058">
        <f>IF(AND(B1053=1,B1054=1,B1055=1,B1056=1,B1057=1),"Yes","")</f>
        <v/>
      </c>
      <c r="E1058" t="inlineStr">
        <is>
          <t>No</t>
        </is>
      </c>
      <c r="F1058" t="inlineStr">
        <is>
          <t>No</t>
        </is>
      </c>
      <c r="G1058">
        <f>IF(F1058="Yes",1-B1058,B1058)</f>
        <v/>
      </c>
      <c r="H1058">
        <f>IF(E1058="Yes","",COUNTIFS($E$2:E1058,"No"))</f>
        <v/>
      </c>
      <c r="I1058">
        <f>IF(H1058="","",IF(H1058&lt;=128,"address",IF(H1058&lt;=600,"data1",IF(H1058&lt;=1264,"zero-run1",IF(H1058&lt;=1648,"data2",IF(H1058&lt;=2176,"zero-run2",IF(H1058&lt;=2192,"FCS","trailing")))))))</f>
        <v/>
      </c>
      <c r="J1058">
        <f>IFERROR(IF(AND(H1058&lt;&gt;"",H1058&gt;=129,H1058&lt;=2176),INDEX(Fields!$B$2:$B$206,MATCH(H1058-129,Fields!$D$2:$D$206,1)),""),"")</f>
        <v/>
      </c>
      <c r="K1058">
        <f>IFERROR(IF(AND(H1058&lt;&gt;"",H1058&gt;=129,H1058&lt;=2176),INDEX(Fields!$C$2:$C$206,MATCH(H1058-129,Fields!$D$2:$D$206,1)),""),"")</f>
        <v/>
      </c>
      <c r="L1058">
        <f>IFERROR(IF(AND(H1058&lt;&gt;"",H1058&gt;=129,H1058&lt;=2176),INDEX(Fields!$J$2:$J$206,MATCH(H1058-129,Fields!$D$2:$D$206,1)),""),"")</f>
        <v/>
      </c>
      <c r="M1058">
        <f>IFERROR(IF(AND(H1058&lt;&gt;"",H1058&gt;=129,H1058&lt;=2176),INDEX(Fields!$K$2:$K$206,MATCH(H1058-129,Fields!$D$2:$D$206,1)),""),"")</f>
        <v/>
      </c>
    </row>
    <row r="1059">
      <c r="A1059" t="n">
        <v>1057</v>
      </c>
      <c r="B1059" t="n">
        <v>0</v>
      </c>
      <c r="C1059" t="inlineStr">
        <is>
          <t>No</t>
        </is>
      </c>
      <c r="D1059">
        <f>IF(AND(B1054=1,B1055=1,B1056=1,B1057=1,B1058=1),"Yes","")</f>
        <v/>
      </c>
      <c r="E1059" t="inlineStr">
        <is>
          <t>No</t>
        </is>
      </c>
      <c r="F1059" t="inlineStr">
        <is>
          <t>No</t>
        </is>
      </c>
      <c r="G1059">
        <f>IF(F1059="Yes",1-B1059,B1059)</f>
        <v/>
      </c>
      <c r="H1059">
        <f>IF(E1059="Yes","",COUNTIFS($E$2:E1059,"No"))</f>
        <v/>
      </c>
      <c r="I1059">
        <f>IF(H1059="","",IF(H1059&lt;=128,"address",IF(H1059&lt;=600,"data1",IF(H1059&lt;=1264,"zero-run1",IF(H1059&lt;=1648,"data2",IF(H1059&lt;=2176,"zero-run2",IF(H1059&lt;=2192,"FCS","trailing")))))))</f>
        <v/>
      </c>
      <c r="J1059">
        <f>IFERROR(IF(AND(H1059&lt;&gt;"",H1059&gt;=129,H1059&lt;=2176),INDEX(Fields!$B$2:$B$206,MATCH(H1059-129,Fields!$D$2:$D$206,1)),""),"")</f>
        <v/>
      </c>
      <c r="K1059">
        <f>IFERROR(IF(AND(H1059&lt;&gt;"",H1059&gt;=129,H1059&lt;=2176),INDEX(Fields!$C$2:$C$206,MATCH(H1059-129,Fields!$D$2:$D$206,1)),""),"")</f>
        <v/>
      </c>
      <c r="L1059">
        <f>IFERROR(IF(AND(H1059&lt;&gt;"",H1059&gt;=129,H1059&lt;=2176),INDEX(Fields!$J$2:$J$206,MATCH(H1059-129,Fields!$D$2:$D$206,1)),""),"")</f>
        <v/>
      </c>
      <c r="M1059">
        <f>IFERROR(IF(AND(H1059&lt;&gt;"",H1059&gt;=129,H1059&lt;=2176),INDEX(Fields!$K$2:$K$206,MATCH(H1059-129,Fields!$D$2:$D$206,1)),""),"")</f>
        <v/>
      </c>
    </row>
    <row r="1060">
      <c r="A1060" t="n">
        <v>1058</v>
      </c>
      <c r="B1060" t="n">
        <v>0</v>
      </c>
      <c r="C1060" t="inlineStr">
        <is>
          <t>No</t>
        </is>
      </c>
      <c r="D1060">
        <f>IF(AND(B1055=1,B1056=1,B1057=1,B1058=1,B1059=1),"Yes","")</f>
        <v/>
      </c>
      <c r="E1060" t="inlineStr">
        <is>
          <t>No</t>
        </is>
      </c>
      <c r="F1060" t="inlineStr">
        <is>
          <t>No</t>
        </is>
      </c>
      <c r="G1060">
        <f>IF(F1060="Yes",1-B1060,B1060)</f>
        <v/>
      </c>
      <c r="H1060">
        <f>IF(E1060="Yes","",COUNTIFS($E$2:E1060,"No"))</f>
        <v/>
      </c>
      <c r="I1060">
        <f>IF(H1060="","",IF(H1060&lt;=128,"address",IF(H1060&lt;=600,"data1",IF(H1060&lt;=1264,"zero-run1",IF(H1060&lt;=1648,"data2",IF(H1060&lt;=2176,"zero-run2",IF(H1060&lt;=2192,"FCS","trailing")))))))</f>
        <v/>
      </c>
      <c r="J1060">
        <f>IFERROR(IF(AND(H1060&lt;&gt;"",H1060&gt;=129,H1060&lt;=2176),INDEX(Fields!$B$2:$B$206,MATCH(H1060-129,Fields!$D$2:$D$206,1)),""),"")</f>
        <v/>
      </c>
      <c r="K1060">
        <f>IFERROR(IF(AND(H1060&lt;&gt;"",H1060&gt;=129,H1060&lt;=2176),INDEX(Fields!$C$2:$C$206,MATCH(H1060-129,Fields!$D$2:$D$206,1)),""),"")</f>
        <v/>
      </c>
      <c r="L1060">
        <f>IFERROR(IF(AND(H1060&lt;&gt;"",H1060&gt;=129,H1060&lt;=2176),INDEX(Fields!$J$2:$J$206,MATCH(H1060-129,Fields!$D$2:$D$206,1)),""),"")</f>
        <v/>
      </c>
      <c r="M1060">
        <f>IFERROR(IF(AND(H1060&lt;&gt;"",H1060&gt;=129,H1060&lt;=2176),INDEX(Fields!$K$2:$K$206,MATCH(H1060-129,Fields!$D$2:$D$206,1)),""),"")</f>
        <v/>
      </c>
    </row>
    <row r="1061">
      <c r="A1061" t="n">
        <v>1059</v>
      </c>
      <c r="B1061" t="n">
        <v>0</v>
      </c>
      <c r="C1061" t="inlineStr">
        <is>
          <t>No</t>
        </is>
      </c>
      <c r="D1061">
        <f>IF(AND(B1056=1,B1057=1,B1058=1,B1059=1,B1060=1),"Yes","")</f>
        <v/>
      </c>
      <c r="E1061" t="inlineStr">
        <is>
          <t>No</t>
        </is>
      </c>
      <c r="F1061" t="inlineStr">
        <is>
          <t>No</t>
        </is>
      </c>
      <c r="G1061">
        <f>IF(F1061="Yes",1-B1061,B1061)</f>
        <v/>
      </c>
      <c r="H1061">
        <f>IF(E1061="Yes","",COUNTIFS($E$2:E1061,"No"))</f>
        <v/>
      </c>
      <c r="I1061">
        <f>IF(H1061="","",IF(H1061&lt;=128,"address",IF(H1061&lt;=600,"data1",IF(H1061&lt;=1264,"zero-run1",IF(H1061&lt;=1648,"data2",IF(H1061&lt;=2176,"zero-run2",IF(H1061&lt;=2192,"FCS","trailing")))))))</f>
        <v/>
      </c>
      <c r="J1061">
        <f>IFERROR(IF(AND(H1061&lt;&gt;"",H1061&gt;=129,H1061&lt;=2176),INDEX(Fields!$B$2:$B$206,MATCH(H1061-129,Fields!$D$2:$D$206,1)),""),"")</f>
        <v/>
      </c>
      <c r="K1061">
        <f>IFERROR(IF(AND(H1061&lt;&gt;"",H1061&gt;=129,H1061&lt;=2176),INDEX(Fields!$C$2:$C$206,MATCH(H1061-129,Fields!$D$2:$D$206,1)),""),"")</f>
        <v/>
      </c>
      <c r="L1061">
        <f>IFERROR(IF(AND(H1061&lt;&gt;"",H1061&gt;=129,H1061&lt;=2176),INDEX(Fields!$J$2:$J$206,MATCH(H1061-129,Fields!$D$2:$D$206,1)),""),"")</f>
        <v/>
      </c>
      <c r="M1061">
        <f>IFERROR(IF(AND(H1061&lt;&gt;"",H1061&gt;=129,H1061&lt;=2176),INDEX(Fields!$K$2:$K$206,MATCH(H1061-129,Fields!$D$2:$D$206,1)),""),"")</f>
        <v/>
      </c>
    </row>
    <row r="1062">
      <c r="A1062" t="n">
        <v>1060</v>
      </c>
      <c r="B1062" t="n">
        <v>0</v>
      </c>
      <c r="C1062" t="inlineStr">
        <is>
          <t>No</t>
        </is>
      </c>
      <c r="D1062">
        <f>IF(AND(B1057=1,B1058=1,B1059=1,B1060=1,B1061=1),"Yes","")</f>
        <v/>
      </c>
      <c r="E1062" t="inlineStr">
        <is>
          <t>No</t>
        </is>
      </c>
      <c r="F1062" t="inlineStr">
        <is>
          <t>No</t>
        </is>
      </c>
      <c r="G1062">
        <f>IF(F1062="Yes",1-B1062,B1062)</f>
        <v/>
      </c>
      <c r="H1062">
        <f>IF(E1062="Yes","",COUNTIFS($E$2:E1062,"No"))</f>
        <v/>
      </c>
      <c r="I1062">
        <f>IF(H1062="","",IF(H1062&lt;=128,"address",IF(H1062&lt;=600,"data1",IF(H1062&lt;=1264,"zero-run1",IF(H1062&lt;=1648,"data2",IF(H1062&lt;=2176,"zero-run2",IF(H1062&lt;=2192,"FCS","trailing")))))))</f>
        <v/>
      </c>
      <c r="J1062">
        <f>IFERROR(IF(AND(H1062&lt;&gt;"",H1062&gt;=129,H1062&lt;=2176),INDEX(Fields!$B$2:$B$206,MATCH(H1062-129,Fields!$D$2:$D$206,1)),""),"")</f>
        <v/>
      </c>
      <c r="K1062">
        <f>IFERROR(IF(AND(H1062&lt;&gt;"",H1062&gt;=129,H1062&lt;=2176),INDEX(Fields!$C$2:$C$206,MATCH(H1062-129,Fields!$D$2:$D$206,1)),""),"")</f>
        <v/>
      </c>
      <c r="L1062">
        <f>IFERROR(IF(AND(H1062&lt;&gt;"",H1062&gt;=129,H1062&lt;=2176),INDEX(Fields!$J$2:$J$206,MATCH(H1062-129,Fields!$D$2:$D$206,1)),""),"")</f>
        <v/>
      </c>
      <c r="M1062">
        <f>IFERROR(IF(AND(H1062&lt;&gt;"",H1062&gt;=129,H1062&lt;=2176),INDEX(Fields!$K$2:$K$206,MATCH(H1062-129,Fields!$D$2:$D$206,1)),""),"")</f>
        <v/>
      </c>
    </row>
    <row r="1063">
      <c r="A1063" t="n">
        <v>1061</v>
      </c>
      <c r="B1063" t="n">
        <v>0</v>
      </c>
      <c r="C1063" t="inlineStr">
        <is>
          <t>No</t>
        </is>
      </c>
      <c r="D1063">
        <f>IF(AND(B1058=1,B1059=1,B1060=1,B1061=1,B1062=1),"Yes","")</f>
        <v/>
      </c>
      <c r="E1063" t="inlineStr">
        <is>
          <t>No</t>
        </is>
      </c>
      <c r="F1063" t="inlineStr">
        <is>
          <t>No</t>
        </is>
      </c>
      <c r="G1063">
        <f>IF(F1063="Yes",1-B1063,B1063)</f>
        <v/>
      </c>
      <c r="H1063">
        <f>IF(E1063="Yes","",COUNTIFS($E$2:E1063,"No"))</f>
        <v/>
      </c>
      <c r="I1063">
        <f>IF(H1063="","",IF(H1063&lt;=128,"address",IF(H1063&lt;=600,"data1",IF(H1063&lt;=1264,"zero-run1",IF(H1063&lt;=1648,"data2",IF(H1063&lt;=2176,"zero-run2",IF(H1063&lt;=2192,"FCS","trailing")))))))</f>
        <v/>
      </c>
      <c r="J1063">
        <f>IFERROR(IF(AND(H1063&lt;&gt;"",H1063&gt;=129,H1063&lt;=2176),INDEX(Fields!$B$2:$B$206,MATCH(H1063-129,Fields!$D$2:$D$206,1)),""),"")</f>
        <v/>
      </c>
      <c r="K1063">
        <f>IFERROR(IF(AND(H1063&lt;&gt;"",H1063&gt;=129,H1063&lt;=2176),INDEX(Fields!$C$2:$C$206,MATCH(H1063-129,Fields!$D$2:$D$206,1)),""),"")</f>
        <v/>
      </c>
      <c r="L1063">
        <f>IFERROR(IF(AND(H1063&lt;&gt;"",H1063&gt;=129,H1063&lt;=2176),INDEX(Fields!$J$2:$J$206,MATCH(H1063-129,Fields!$D$2:$D$206,1)),""),"")</f>
        <v/>
      </c>
      <c r="M1063">
        <f>IFERROR(IF(AND(H1063&lt;&gt;"",H1063&gt;=129,H1063&lt;=2176),INDEX(Fields!$K$2:$K$206,MATCH(H1063-129,Fields!$D$2:$D$206,1)),""),"")</f>
        <v/>
      </c>
    </row>
    <row r="1064">
      <c r="A1064" t="n">
        <v>1062</v>
      </c>
      <c r="B1064" t="n">
        <v>0</v>
      </c>
      <c r="C1064" t="inlineStr">
        <is>
          <t>No</t>
        </is>
      </c>
      <c r="D1064">
        <f>IF(AND(B1059=1,B1060=1,B1061=1,B1062=1,B1063=1),"Yes","")</f>
        <v/>
      </c>
      <c r="E1064" t="inlineStr">
        <is>
          <t>No</t>
        </is>
      </c>
      <c r="F1064" t="inlineStr">
        <is>
          <t>No</t>
        </is>
      </c>
      <c r="G1064">
        <f>IF(F1064="Yes",1-B1064,B1064)</f>
        <v/>
      </c>
      <c r="H1064">
        <f>IF(E1064="Yes","",COUNTIFS($E$2:E1064,"No"))</f>
        <v/>
      </c>
      <c r="I1064">
        <f>IF(H1064="","",IF(H1064&lt;=128,"address",IF(H1064&lt;=600,"data1",IF(H1064&lt;=1264,"zero-run1",IF(H1064&lt;=1648,"data2",IF(H1064&lt;=2176,"zero-run2",IF(H1064&lt;=2192,"FCS","trailing")))))))</f>
        <v/>
      </c>
      <c r="J1064">
        <f>IFERROR(IF(AND(H1064&lt;&gt;"",H1064&gt;=129,H1064&lt;=2176),INDEX(Fields!$B$2:$B$206,MATCH(H1064-129,Fields!$D$2:$D$206,1)),""),"")</f>
        <v/>
      </c>
      <c r="K1064">
        <f>IFERROR(IF(AND(H1064&lt;&gt;"",H1064&gt;=129,H1064&lt;=2176),INDEX(Fields!$C$2:$C$206,MATCH(H1064-129,Fields!$D$2:$D$206,1)),""),"")</f>
        <v/>
      </c>
      <c r="L1064">
        <f>IFERROR(IF(AND(H1064&lt;&gt;"",H1064&gt;=129,H1064&lt;=2176),INDEX(Fields!$J$2:$J$206,MATCH(H1064-129,Fields!$D$2:$D$206,1)),""),"")</f>
        <v/>
      </c>
      <c r="M1064">
        <f>IFERROR(IF(AND(H1064&lt;&gt;"",H1064&gt;=129,H1064&lt;=2176),INDEX(Fields!$K$2:$K$206,MATCH(H1064-129,Fields!$D$2:$D$206,1)),""),"")</f>
        <v/>
      </c>
    </row>
    <row r="1065">
      <c r="A1065" t="n">
        <v>1063</v>
      </c>
      <c r="B1065" t="n">
        <v>0</v>
      </c>
      <c r="C1065" t="inlineStr">
        <is>
          <t>No</t>
        </is>
      </c>
      <c r="D1065">
        <f>IF(AND(B1060=1,B1061=1,B1062=1,B1063=1,B1064=1),"Yes","")</f>
        <v/>
      </c>
      <c r="E1065" t="inlineStr">
        <is>
          <t>No</t>
        </is>
      </c>
      <c r="F1065" t="inlineStr">
        <is>
          <t>No</t>
        </is>
      </c>
      <c r="G1065">
        <f>IF(F1065="Yes",1-B1065,B1065)</f>
        <v/>
      </c>
      <c r="H1065">
        <f>IF(E1065="Yes","",COUNTIFS($E$2:E1065,"No"))</f>
        <v/>
      </c>
      <c r="I1065">
        <f>IF(H1065="","",IF(H1065&lt;=128,"address",IF(H1065&lt;=600,"data1",IF(H1065&lt;=1264,"zero-run1",IF(H1065&lt;=1648,"data2",IF(H1065&lt;=2176,"zero-run2",IF(H1065&lt;=2192,"FCS","trailing")))))))</f>
        <v/>
      </c>
      <c r="J1065">
        <f>IFERROR(IF(AND(H1065&lt;&gt;"",H1065&gt;=129,H1065&lt;=2176),INDEX(Fields!$B$2:$B$206,MATCH(H1065-129,Fields!$D$2:$D$206,1)),""),"")</f>
        <v/>
      </c>
      <c r="K1065">
        <f>IFERROR(IF(AND(H1065&lt;&gt;"",H1065&gt;=129,H1065&lt;=2176),INDEX(Fields!$C$2:$C$206,MATCH(H1065-129,Fields!$D$2:$D$206,1)),""),"")</f>
        <v/>
      </c>
      <c r="L1065">
        <f>IFERROR(IF(AND(H1065&lt;&gt;"",H1065&gt;=129,H1065&lt;=2176),INDEX(Fields!$J$2:$J$206,MATCH(H1065-129,Fields!$D$2:$D$206,1)),""),"")</f>
        <v/>
      </c>
      <c r="M1065">
        <f>IFERROR(IF(AND(H1065&lt;&gt;"",H1065&gt;=129,H1065&lt;=2176),INDEX(Fields!$K$2:$K$206,MATCH(H1065-129,Fields!$D$2:$D$206,1)),""),"")</f>
        <v/>
      </c>
    </row>
    <row r="1066">
      <c r="A1066" t="n">
        <v>1064</v>
      </c>
      <c r="B1066" t="n">
        <v>0</v>
      </c>
      <c r="C1066" t="inlineStr">
        <is>
          <t>No</t>
        </is>
      </c>
      <c r="D1066">
        <f>IF(AND(B1061=1,B1062=1,B1063=1,B1064=1,B1065=1),"Yes","")</f>
        <v/>
      </c>
      <c r="E1066" t="inlineStr">
        <is>
          <t>No</t>
        </is>
      </c>
      <c r="F1066" t="inlineStr">
        <is>
          <t>No</t>
        </is>
      </c>
      <c r="G1066">
        <f>IF(F1066="Yes",1-B1066,B1066)</f>
        <v/>
      </c>
      <c r="H1066">
        <f>IF(E1066="Yes","",COUNTIFS($E$2:E1066,"No"))</f>
        <v/>
      </c>
      <c r="I1066">
        <f>IF(H1066="","",IF(H1066&lt;=128,"address",IF(H1066&lt;=600,"data1",IF(H1066&lt;=1264,"zero-run1",IF(H1066&lt;=1648,"data2",IF(H1066&lt;=2176,"zero-run2",IF(H1066&lt;=2192,"FCS","trailing")))))))</f>
        <v/>
      </c>
      <c r="J1066">
        <f>IFERROR(IF(AND(H1066&lt;&gt;"",H1066&gt;=129,H1066&lt;=2176),INDEX(Fields!$B$2:$B$206,MATCH(H1066-129,Fields!$D$2:$D$206,1)),""),"")</f>
        <v/>
      </c>
      <c r="K1066">
        <f>IFERROR(IF(AND(H1066&lt;&gt;"",H1066&gt;=129,H1066&lt;=2176),INDEX(Fields!$C$2:$C$206,MATCH(H1066-129,Fields!$D$2:$D$206,1)),""),"")</f>
        <v/>
      </c>
      <c r="L1066">
        <f>IFERROR(IF(AND(H1066&lt;&gt;"",H1066&gt;=129,H1066&lt;=2176),INDEX(Fields!$J$2:$J$206,MATCH(H1066-129,Fields!$D$2:$D$206,1)),""),"")</f>
        <v/>
      </c>
      <c r="M1066">
        <f>IFERROR(IF(AND(H1066&lt;&gt;"",H1066&gt;=129,H1066&lt;=2176),INDEX(Fields!$K$2:$K$206,MATCH(H1066-129,Fields!$D$2:$D$206,1)),""),"")</f>
        <v/>
      </c>
    </row>
    <row r="1067">
      <c r="A1067" t="n">
        <v>1065</v>
      </c>
      <c r="B1067" t="n">
        <v>0</v>
      </c>
      <c r="C1067" t="inlineStr">
        <is>
          <t>No</t>
        </is>
      </c>
      <c r="D1067">
        <f>IF(AND(B1062=1,B1063=1,B1064=1,B1065=1,B1066=1),"Yes","")</f>
        <v/>
      </c>
      <c r="E1067" t="inlineStr">
        <is>
          <t>No</t>
        </is>
      </c>
      <c r="F1067" t="inlineStr">
        <is>
          <t>No</t>
        </is>
      </c>
      <c r="G1067">
        <f>IF(F1067="Yes",1-B1067,B1067)</f>
        <v/>
      </c>
      <c r="H1067">
        <f>IF(E1067="Yes","",COUNTIFS($E$2:E1067,"No"))</f>
        <v/>
      </c>
      <c r="I1067">
        <f>IF(H1067="","",IF(H1067&lt;=128,"address",IF(H1067&lt;=600,"data1",IF(H1067&lt;=1264,"zero-run1",IF(H1067&lt;=1648,"data2",IF(H1067&lt;=2176,"zero-run2",IF(H1067&lt;=2192,"FCS","trailing")))))))</f>
        <v/>
      </c>
      <c r="J1067">
        <f>IFERROR(IF(AND(H1067&lt;&gt;"",H1067&gt;=129,H1067&lt;=2176),INDEX(Fields!$B$2:$B$206,MATCH(H1067-129,Fields!$D$2:$D$206,1)),""),"")</f>
        <v/>
      </c>
      <c r="K1067">
        <f>IFERROR(IF(AND(H1067&lt;&gt;"",H1067&gt;=129,H1067&lt;=2176),INDEX(Fields!$C$2:$C$206,MATCH(H1067-129,Fields!$D$2:$D$206,1)),""),"")</f>
        <v/>
      </c>
      <c r="L1067">
        <f>IFERROR(IF(AND(H1067&lt;&gt;"",H1067&gt;=129,H1067&lt;=2176),INDEX(Fields!$J$2:$J$206,MATCH(H1067-129,Fields!$D$2:$D$206,1)),""),"")</f>
        <v/>
      </c>
      <c r="M1067">
        <f>IFERROR(IF(AND(H1067&lt;&gt;"",H1067&gt;=129,H1067&lt;=2176),INDEX(Fields!$K$2:$K$206,MATCH(H1067-129,Fields!$D$2:$D$206,1)),""),"")</f>
        <v/>
      </c>
    </row>
    <row r="1068">
      <c r="A1068" t="n">
        <v>1066</v>
      </c>
      <c r="B1068" t="n">
        <v>0</v>
      </c>
      <c r="C1068" t="inlineStr">
        <is>
          <t>No</t>
        </is>
      </c>
      <c r="D1068">
        <f>IF(AND(B1063=1,B1064=1,B1065=1,B1066=1,B1067=1),"Yes","")</f>
        <v/>
      </c>
      <c r="E1068" t="inlineStr">
        <is>
          <t>No</t>
        </is>
      </c>
      <c r="F1068" t="inlineStr">
        <is>
          <t>No</t>
        </is>
      </c>
      <c r="G1068">
        <f>IF(F1068="Yes",1-B1068,B1068)</f>
        <v/>
      </c>
      <c r="H1068">
        <f>IF(E1068="Yes","",COUNTIFS($E$2:E1068,"No"))</f>
        <v/>
      </c>
      <c r="I1068">
        <f>IF(H1068="","",IF(H1068&lt;=128,"address",IF(H1068&lt;=600,"data1",IF(H1068&lt;=1264,"zero-run1",IF(H1068&lt;=1648,"data2",IF(H1068&lt;=2176,"zero-run2",IF(H1068&lt;=2192,"FCS","trailing")))))))</f>
        <v/>
      </c>
      <c r="J1068">
        <f>IFERROR(IF(AND(H1068&lt;&gt;"",H1068&gt;=129,H1068&lt;=2176),INDEX(Fields!$B$2:$B$206,MATCH(H1068-129,Fields!$D$2:$D$206,1)),""),"")</f>
        <v/>
      </c>
      <c r="K1068">
        <f>IFERROR(IF(AND(H1068&lt;&gt;"",H1068&gt;=129,H1068&lt;=2176),INDEX(Fields!$C$2:$C$206,MATCH(H1068-129,Fields!$D$2:$D$206,1)),""),"")</f>
        <v/>
      </c>
      <c r="L1068">
        <f>IFERROR(IF(AND(H1068&lt;&gt;"",H1068&gt;=129,H1068&lt;=2176),INDEX(Fields!$J$2:$J$206,MATCH(H1068-129,Fields!$D$2:$D$206,1)),""),"")</f>
        <v/>
      </c>
      <c r="M1068">
        <f>IFERROR(IF(AND(H1068&lt;&gt;"",H1068&gt;=129,H1068&lt;=2176),INDEX(Fields!$K$2:$K$206,MATCH(H1068-129,Fields!$D$2:$D$206,1)),""),"")</f>
        <v/>
      </c>
    </row>
    <row r="1069">
      <c r="A1069" t="n">
        <v>1067</v>
      </c>
      <c r="B1069" t="n">
        <v>0</v>
      </c>
      <c r="C1069" t="inlineStr">
        <is>
          <t>No</t>
        </is>
      </c>
      <c r="D1069">
        <f>IF(AND(B1064=1,B1065=1,B1066=1,B1067=1,B1068=1),"Yes","")</f>
        <v/>
      </c>
      <c r="E1069" t="inlineStr">
        <is>
          <t>No</t>
        </is>
      </c>
      <c r="F1069" t="inlineStr">
        <is>
          <t>No</t>
        </is>
      </c>
      <c r="G1069">
        <f>IF(F1069="Yes",1-B1069,B1069)</f>
        <v/>
      </c>
      <c r="H1069">
        <f>IF(E1069="Yes","",COUNTIFS($E$2:E1069,"No"))</f>
        <v/>
      </c>
      <c r="I1069">
        <f>IF(H1069="","",IF(H1069&lt;=128,"address",IF(H1069&lt;=600,"data1",IF(H1069&lt;=1264,"zero-run1",IF(H1069&lt;=1648,"data2",IF(H1069&lt;=2176,"zero-run2",IF(H1069&lt;=2192,"FCS","trailing")))))))</f>
        <v/>
      </c>
      <c r="J1069">
        <f>IFERROR(IF(AND(H1069&lt;&gt;"",H1069&gt;=129,H1069&lt;=2176),INDEX(Fields!$B$2:$B$206,MATCH(H1069-129,Fields!$D$2:$D$206,1)),""),"")</f>
        <v/>
      </c>
      <c r="K1069">
        <f>IFERROR(IF(AND(H1069&lt;&gt;"",H1069&gt;=129,H1069&lt;=2176),INDEX(Fields!$C$2:$C$206,MATCH(H1069-129,Fields!$D$2:$D$206,1)),""),"")</f>
        <v/>
      </c>
      <c r="L1069">
        <f>IFERROR(IF(AND(H1069&lt;&gt;"",H1069&gt;=129,H1069&lt;=2176),INDEX(Fields!$J$2:$J$206,MATCH(H1069-129,Fields!$D$2:$D$206,1)),""),"")</f>
        <v/>
      </c>
      <c r="M1069">
        <f>IFERROR(IF(AND(H1069&lt;&gt;"",H1069&gt;=129,H1069&lt;=2176),INDEX(Fields!$K$2:$K$206,MATCH(H1069-129,Fields!$D$2:$D$206,1)),""),"")</f>
        <v/>
      </c>
    </row>
    <row r="1070">
      <c r="A1070" t="n">
        <v>1068</v>
      </c>
      <c r="B1070" t="n">
        <v>0</v>
      </c>
      <c r="C1070" t="inlineStr">
        <is>
          <t>No</t>
        </is>
      </c>
      <c r="D1070">
        <f>IF(AND(B1065=1,B1066=1,B1067=1,B1068=1,B1069=1),"Yes","")</f>
        <v/>
      </c>
      <c r="E1070" t="inlineStr">
        <is>
          <t>No</t>
        </is>
      </c>
      <c r="F1070" t="inlineStr">
        <is>
          <t>No</t>
        </is>
      </c>
      <c r="G1070">
        <f>IF(F1070="Yes",1-B1070,B1070)</f>
        <v/>
      </c>
      <c r="H1070">
        <f>IF(E1070="Yes","",COUNTIFS($E$2:E1070,"No"))</f>
        <v/>
      </c>
      <c r="I1070">
        <f>IF(H1070="","",IF(H1070&lt;=128,"address",IF(H1070&lt;=600,"data1",IF(H1070&lt;=1264,"zero-run1",IF(H1070&lt;=1648,"data2",IF(H1070&lt;=2176,"zero-run2",IF(H1070&lt;=2192,"FCS","trailing")))))))</f>
        <v/>
      </c>
      <c r="J1070">
        <f>IFERROR(IF(AND(H1070&lt;&gt;"",H1070&gt;=129,H1070&lt;=2176),INDEX(Fields!$B$2:$B$206,MATCH(H1070-129,Fields!$D$2:$D$206,1)),""),"")</f>
        <v/>
      </c>
      <c r="K1070">
        <f>IFERROR(IF(AND(H1070&lt;&gt;"",H1070&gt;=129,H1070&lt;=2176),INDEX(Fields!$C$2:$C$206,MATCH(H1070-129,Fields!$D$2:$D$206,1)),""),"")</f>
        <v/>
      </c>
      <c r="L1070">
        <f>IFERROR(IF(AND(H1070&lt;&gt;"",H1070&gt;=129,H1070&lt;=2176),INDEX(Fields!$J$2:$J$206,MATCH(H1070-129,Fields!$D$2:$D$206,1)),""),"")</f>
        <v/>
      </c>
      <c r="M1070">
        <f>IFERROR(IF(AND(H1070&lt;&gt;"",H1070&gt;=129,H1070&lt;=2176),INDEX(Fields!$K$2:$K$206,MATCH(H1070-129,Fields!$D$2:$D$206,1)),""),"")</f>
        <v/>
      </c>
    </row>
    <row r="1071">
      <c r="A1071" t="n">
        <v>1069</v>
      </c>
      <c r="B1071" t="n">
        <v>0</v>
      </c>
      <c r="C1071" t="inlineStr">
        <is>
          <t>No</t>
        </is>
      </c>
      <c r="D1071">
        <f>IF(AND(B1066=1,B1067=1,B1068=1,B1069=1,B1070=1),"Yes","")</f>
        <v/>
      </c>
      <c r="E1071" t="inlineStr">
        <is>
          <t>No</t>
        </is>
      </c>
      <c r="F1071" t="inlineStr">
        <is>
          <t>No</t>
        </is>
      </c>
      <c r="G1071">
        <f>IF(F1071="Yes",1-B1071,B1071)</f>
        <v/>
      </c>
      <c r="H1071">
        <f>IF(E1071="Yes","",COUNTIFS($E$2:E1071,"No"))</f>
        <v/>
      </c>
      <c r="I1071">
        <f>IF(H1071="","",IF(H1071&lt;=128,"address",IF(H1071&lt;=600,"data1",IF(H1071&lt;=1264,"zero-run1",IF(H1071&lt;=1648,"data2",IF(H1071&lt;=2176,"zero-run2",IF(H1071&lt;=2192,"FCS","trailing")))))))</f>
        <v/>
      </c>
      <c r="J1071">
        <f>IFERROR(IF(AND(H1071&lt;&gt;"",H1071&gt;=129,H1071&lt;=2176),INDEX(Fields!$B$2:$B$206,MATCH(H1071-129,Fields!$D$2:$D$206,1)),""),"")</f>
        <v/>
      </c>
      <c r="K1071">
        <f>IFERROR(IF(AND(H1071&lt;&gt;"",H1071&gt;=129,H1071&lt;=2176),INDEX(Fields!$C$2:$C$206,MATCH(H1071-129,Fields!$D$2:$D$206,1)),""),"")</f>
        <v/>
      </c>
      <c r="L1071">
        <f>IFERROR(IF(AND(H1071&lt;&gt;"",H1071&gt;=129,H1071&lt;=2176),INDEX(Fields!$J$2:$J$206,MATCH(H1071-129,Fields!$D$2:$D$206,1)),""),"")</f>
        <v/>
      </c>
      <c r="M1071">
        <f>IFERROR(IF(AND(H1071&lt;&gt;"",H1071&gt;=129,H1071&lt;=2176),INDEX(Fields!$K$2:$K$206,MATCH(H1071-129,Fields!$D$2:$D$206,1)),""),"")</f>
        <v/>
      </c>
    </row>
    <row r="1072">
      <c r="A1072" t="n">
        <v>1070</v>
      </c>
      <c r="B1072" t="n">
        <v>0</v>
      </c>
      <c r="C1072" t="inlineStr">
        <is>
          <t>No</t>
        </is>
      </c>
      <c r="D1072">
        <f>IF(AND(B1067=1,B1068=1,B1069=1,B1070=1,B1071=1),"Yes","")</f>
        <v/>
      </c>
      <c r="E1072" t="inlineStr">
        <is>
          <t>No</t>
        </is>
      </c>
      <c r="F1072" t="inlineStr">
        <is>
          <t>No</t>
        </is>
      </c>
      <c r="G1072">
        <f>IF(F1072="Yes",1-B1072,B1072)</f>
        <v/>
      </c>
      <c r="H1072">
        <f>IF(E1072="Yes","",COUNTIFS($E$2:E1072,"No"))</f>
        <v/>
      </c>
      <c r="I1072">
        <f>IF(H1072="","",IF(H1072&lt;=128,"address",IF(H1072&lt;=600,"data1",IF(H1072&lt;=1264,"zero-run1",IF(H1072&lt;=1648,"data2",IF(H1072&lt;=2176,"zero-run2",IF(H1072&lt;=2192,"FCS","trailing")))))))</f>
        <v/>
      </c>
      <c r="J1072">
        <f>IFERROR(IF(AND(H1072&lt;&gt;"",H1072&gt;=129,H1072&lt;=2176),INDEX(Fields!$B$2:$B$206,MATCH(H1072-129,Fields!$D$2:$D$206,1)),""),"")</f>
        <v/>
      </c>
      <c r="K1072">
        <f>IFERROR(IF(AND(H1072&lt;&gt;"",H1072&gt;=129,H1072&lt;=2176),INDEX(Fields!$C$2:$C$206,MATCH(H1072-129,Fields!$D$2:$D$206,1)),""),"")</f>
        <v/>
      </c>
      <c r="L1072">
        <f>IFERROR(IF(AND(H1072&lt;&gt;"",H1072&gt;=129,H1072&lt;=2176),INDEX(Fields!$J$2:$J$206,MATCH(H1072-129,Fields!$D$2:$D$206,1)),""),"")</f>
        <v/>
      </c>
      <c r="M1072">
        <f>IFERROR(IF(AND(H1072&lt;&gt;"",H1072&gt;=129,H1072&lt;=2176),INDEX(Fields!$K$2:$K$206,MATCH(H1072-129,Fields!$D$2:$D$206,1)),""),"")</f>
        <v/>
      </c>
    </row>
    <row r="1073">
      <c r="A1073" t="n">
        <v>1071</v>
      </c>
      <c r="B1073" t="n">
        <v>0</v>
      </c>
      <c r="C1073" t="inlineStr">
        <is>
          <t>No</t>
        </is>
      </c>
      <c r="D1073">
        <f>IF(AND(B1068=1,B1069=1,B1070=1,B1071=1,B1072=1),"Yes","")</f>
        <v/>
      </c>
      <c r="E1073" t="inlineStr">
        <is>
          <t>No</t>
        </is>
      </c>
      <c r="F1073" t="inlineStr">
        <is>
          <t>No</t>
        </is>
      </c>
      <c r="G1073">
        <f>IF(F1073="Yes",1-B1073,B1073)</f>
        <v/>
      </c>
      <c r="H1073">
        <f>IF(E1073="Yes","",COUNTIFS($E$2:E1073,"No"))</f>
        <v/>
      </c>
      <c r="I1073">
        <f>IF(H1073="","",IF(H1073&lt;=128,"address",IF(H1073&lt;=600,"data1",IF(H1073&lt;=1264,"zero-run1",IF(H1073&lt;=1648,"data2",IF(H1073&lt;=2176,"zero-run2",IF(H1073&lt;=2192,"FCS","trailing")))))))</f>
        <v/>
      </c>
      <c r="J1073">
        <f>IFERROR(IF(AND(H1073&lt;&gt;"",H1073&gt;=129,H1073&lt;=2176),INDEX(Fields!$B$2:$B$206,MATCH(H1073-129,Fields!$D$2:$D$206,1)),""),"")</f>
        <v/>
      </c>
      <c r="K1073">
        <f>IFERROR(IF(AND(H1073&lt;&gt;"",H1073&gt;=129,H1073&lt;=2176),INDEX(Fields!$C$2:$C$206,MATCH(H1073-129,Fields!$D$2:$D$206,1)),""),"")</f>
        <v/>
      </c>
      <c r="L1073">
        <f>IFERROR(IF(AND(H1073&lt;&gt;"",H1073&gt;=129,H1073&lt;=2176),INDEX(Fields!$J$2:$J$206,MATCH(H1073-129,Fields!$D$2:$D$206,1)),""),"")</f>
        <v/>
      </c>
      <c r="M1073">
        <f>IFERROR(IF(AND(H1073&lt;&gt;"",H1073&gt;=129,H1073&lt;=2176),INDEX(Fields!$K$2:$K$206,MATCH(H1073-129,Fields!$D$2:$D$206,1)),""),"")</f>
        <v/>
      </c>
    </row>
    <row r="1074">
      <c r="A1074" t="n">
        <v>1072</v>
      </c>
      <c r="B1074" t="n">
        <v>0</v>
      </c>
      <c r="C1074" t="inlineStr">
        <is>
          <t>No</t>
        </is>
      </c>
      <c r="D1074">
        <f>IF(AND(B1069=1,B1070=1,B1071=1,B1072=1,B1073=1),"Yes","")</f>
        <v/>
      </c>
      <c r="E1074" t="inlineStr">
        <is>
          <t>No</t>
        </is>
      </c>
      <c r="F1074" t="inlineStr">
        <is>
          <t>No</t>
        </is>
      </c>
      <c r="G1074">
        <f>IF(F1074="Yes",1-B1074,B1074)</f>
        <v/>
      </c>
      <c r="H1074">
        <f>IF(E1074="Yes","",COUNTIFS($E$2:E1074,"No"))</f>
        <v/>
      </c>
      <c r="I1074">
        <f>IF(H1074="","",IF(H1074&lt;=128,"address",IF(H1074&lt;=600,"data1",IF(H1074&lt;=1264,"zero-run1",IF(H1074&lt;=1648,"data2",IF(H1074&lt;=2176,"zero-run2",IF(H1074&lt;=2192,"FCS","trailing")))))))</f>
        <v/>
      </c>
      <c r="J1074">
        <f>IFERROR(IF(AND(H1074&lt;&gt;"",H1074&gt;=129,H1074&lt;=2176),INDEX(Fields!$B$2:$B$206,MATCH(H1074-129,Fields!$D$2:$D$206,1)),""),"")</f>
        <v/>
      </c>
      <c r="K1074">
        <f>IFERROR(IF(AND(H1074&lt;&gt;"",H1074&gt;=129,H1074&lt;=2176),INDEX(Fields!$C$2:$C$206,MATCH(H1074-129,Fields!$D$2:$D$206,1)),""),"")</f>
        <v/>
      </c>
      <c r="L1074">
        <f>IFERROR(IF(AND(H1074&lt;&gt;"",H1074&gt;=129,H1074&lt;=2176),INDEX(Fields!$J$2:$J$206,MATCH(H1074-129,Fields!$D$2:$D$206,1)),""),"")</f>
        <v/>
      </c>
      <c r="M1074">
        <f>IFERROR(IF(AND(H1074&lt;&gt;"",H1074&gt;=129,H1074&lt;=2176),INDEX(Fields!$K$2:$K$206,MATCH(H1074-129,Fields!$D$2:$D$206,1)),""),"")</f>
        <v/>
      </c>
    </row>
    <row r="1075">
      <c r="A1075" t="n">
        <v>1073</v>
      </c>
      <c r="B1075" t="n">
        <v>0</v>
      </c>
      <c r="C1075" t="inlineStr">
        <is>
          <t>No</t>
        </is>
      </c>
      <c r="D1075">
        <f>IF(AND(B1070=1,B1071=1,B1072=1,B1073=1,B1074=1),"Yes","")</f>
        <v/>
      </c>
      <c r="E1075" t="inlineStr">
        <is>
          <t>No</t>
        </is>
      </c>
      <c r="F1075" t="inlineStr">
        <is>
          <t>No</t>
        </is>
      </c>
      <c r="G1075">
        <f>IF(F1075="Yes",1-B1075,B1075)</f>
        <v/>
      </c>
      <c r="H1075">
        <f>IF(E1075="Yes","",COUNTIFS($E$2:E1075,"No"))</f>
        <v/>
      </c>
      <c r="I1075">
        <f>IF(H1075="","",IF(H1075&lt;=128,"address",IF(H1075&lt;=600,"data1",IF(H1075&lt;=1264,"zero-run1",IF(H1075&lt;=1648,"data2",IF(H1075&lt;=2176,"zero-run2",IF(H1075&lt;=2192,"FCS","trailing")))))))</f>
        <v/>
      </c>
      <c r="J1075">
        <f>IFERROR(IF(AND(H1075&lt;&gt;"",H1075&gt;=129,H1075&lt;=2176),INDEX(Fields!$B$2:$B$206,MATCH(H1075-129,Fields!$D$2:$D$206,1)),""),"")</f>
        <v/>
      </c>
      <c r="K1075">
        <f>IFERROR(IF(AND(H1075&lt;&gt;"",H1075&gt;=129,H1075&lt;=2176),INDEX(Fields!$C$2:$C$206,MATCH(H1075-129,Fields!$D$2:$D$206,1)),""),"")</f>
        <v/>
      </c>
      <c r="L1075">
        <f>IFERROR(IF(AND(H1075&lt;&gt;"",H1075&gt;=129,H1075&lt;=2176),INDEX(Fields!$J$2:$J$206,MATCH(H1075-129,Fields!$D$2:$D$206,1)),""),"")</f>
        <v/>
      </c>
      <c r="M1075">
        <f>IFERROR(IF(AND(H1075&lt;&gt;"",H1075&gt;=129,H1075&lt;=2176),INDEX(Fields!$K$2:$K$206,MATCH(H1075-129,Fields!$D$2:$D$206,1)),""),"")</f>
        <v/>
      </c>
    </row>
    <row r="1076">
      <c r="A1076" t="n">
        <v>1074</v>
      </c>
      <c r="B1076" t="n">
        <v>0</v>
      </c>
      <c r="C1076" t="inlineStr">
        <is>
          <t>No</t>
        </is>
      </c>
      <c r="D1076">
        <f>IF(AND(B1071=1,B1072=1,B1073=1,B1074=1,B1075=1),"Yes","")</f>
        <v/>
      </c>
      <c r="E1076" t="inlineStr">
        <is>
          <t>No</t>
        </is>
      </c>
      <c r="F1076" t="inlineStr">
        <is>
          <t>No</t>
        </is>
      </c>
      <c r="G1076">
        <f>IF(F1076="Yes",1-B1076,B1076)</f>
        <v/>
      </c>
      <c r="H1076">
        <f>IF(E1076="Yes","",COUNTIFS($E$2:E1076,"No"))</f>
        <v/>
      </c>
      <c r="I1076">
        <f>IF(H1076="","",IF(H1076&lt;=128,"address",IF(H1076&lt;=600,"data1",IF(H1076&lt;=1264,"zero-run1",IF(H1076&lt;=1648,"data2",IF(H1076&lt;=2176,"zero-run2",IF(H1076&lt;=2192,"FCS","trailing")))))))</f>
        <v/>
      </c>
      <c r="J1076">
        <f>IFERROR(IF(AND(H1076&lt;&gt;"",H1076&gt;=129,H1076&lt;=2176),INDEX(Fields!$B$2:$B$206,MATCH(H1076-129,Fields!$D$2:$D$206,1)),""),"")</f>
        <v/>
      </c>
      <c r="K1076">
        <f>IFERROR(IF(AND(H1076&lt;&gt;"",H1076&gt;=129,H1076&lt;=2176),INDEX(Fields!$C$2:$C$206,MATCH(H1076-129,Fields!$D$2:$D$206,1)),""),"")</f>
        <v/>
      </c>
      <c r="L1076">
        <f>IFERROR(IF(AND(H1076&lt;&gt;"",H1076&gt;=129,H1076&lt;=2176),INDEX(Fields!$J$2:$J$206,MATCH(H1076-129,Fields!$D$2:$D$206,1)),""),"")</f>
        <v/>
      </c>
      <c r="M1076">
        <f>IFERROR(IF(AND(H1076&lt;&gt;"",H1076&gt;=129,H1076&lt;=2176),INDEX(Fields!$K$2:$K$206,MATCH(H1076-129,Fields!$D$2:$D$206,1)),""),"")</f>
        <v/>
      </c>
    </row>
    <row r="1077">
      <c r="A1077" t="n">
        <v>1075</v>
      </c>
      <c r="B1077" t="n">
        <v>0</v>
      </c>
      <c r="C1077" t="inlineStr">
        <is>
          <t>No</t>
        </is>
      </c>
      <c r="D1077">
        <f>IF(AND(B1072=1,B1073=1,B1074=1,B1075=1,B1076=1),"Yes","")</f>
        <v/>
      </c>
      <c r="E1077" t="inlineStr">
        <is>
          <t>No</t>
        </is>
      </c>
      <c r="F1077" t="inlineStr">
        <is>
          <t>No</t>
        </is>
      </c>
      <c r="G1077">
        <f>IF(F1077="Yes",1-B1077,B1077)</f>
        <v/>
      </c>
      <c r="H1077">
        <f>IF(E1077="Yes","",COUNTIFS($E$2:E1077,"No"))</f>
        <v/>
      </c>
      <c r="I1077">
        <f>IF(H1077="","",IF(H1077&lt;=128,"address",IF(H1077&lt;=600,"data1",IF(H1077&lt;=1264,"zero-run1",IF(H1077&lt;=1648,"data2",IF(H1077&lt;=2176,"zero-run2",IF(H1077&lt;=2192,"FCS","trailing")))))))</f>
        <v/>
      </c>
      <c r="J1077">
        <f>IFERROR(IF(AND(H1077&lt;&gt;"",H1077&gt;=129,H1077&lt;=2176),INDEX(Fields!$B$2:$B$206,MATCH(H1077-129,Fields!$D$2:$D$206,1)),""),"")</f>
        <v/>
      </c>
      <c r="K1077">
        <f>IFERROR(IF(AND(H1077&lt;&gt;"",H1077&gt;=129,H1077&lt;=2176),INDEX(Fields!$C$2:$C$206,MATCH(H1077-129,Fields!$D$2:$D$206,1)),""),"")</f>
        <v/>
      </c>
      <c r="L1077">
        <f>IFERROR(IF(AND(H1077&lt;&gt;"",H1077&gt;=129,H1077&lt;=2176),INDEX(Fields!$J$2:$J$206,MATCH(H1077-129,Fields!$D$2:$D$206,1)),""),"")</f>
        <v/>
      </c>
      <c r="M1077">
        <f>IFERROR(IF(AND(H1077&lt;&gt;"",H1077&gt;=129,H1077&lt;=2176),INDEX(Fields!$K$2:$K$206,MATCH(H1077-129,Fields!$D$2:$D$206,1)),""),"")</f>
        <v/>
      </c>
    </row>
    <row r="1078">
      <c r="A1078" t="n">
        <v>1076</v>
      </c>
      <c r="B1078" t="n">
        <v>0</v>
      </c>
      <c r="C1078" t="inlineStr">
        <is>
          <t>No</t>
        </is>
      </c>
      <c r="D1078">
        <f>IF(AND(B1073=1,B1074=1,B1075=1,B1076=1,B1077=1),"Yes","")</f>
        <v/>
      </c>
      <c r="E1078" t="inlineStr">
        <is>
          <t>No</t>
        </is>
      </c>
      <c r="F1078" t="inlineStr">
        <is>
          <t>No</t>
        </is>
      </c>
      <c r="G1078">
        <f>IF(F1078="Yes",1-B1078,B1078)</f>
        <v/>
      </c>
      <c r="H1078">
        <f>IF(E1078="Yes","",COUNTIFS($E$2:E1078,"No"))</f>
        <v/>
      </c>
      <c r="I1078">
        <f>IF(H1078="","",IF(H1078&lt;=128,"address",IF(H1078&lt;=600,"data1",IF(H1078&lt;=1264,"zero-run1",IF(H1078&lt;=1648,"data2",IF(H1078&lt;=2176,"zero-run2",IF(H1078&lt;=2192,"FCS","trailing")))))))</f>
        <v/>
      </c>
      <c r="J1078">
        <f>IFERROR(IF(AND(H1078&lt;&gt;"",H1078&gt;=129,H1078&lt;=2176),INDEX(Fields!$B$2:$B$206,MATCH(H1078-129,Fields!$D$2:$D$206,1)),""),"")</f>
        <v/>
      </c>
      <c r="K1078">
        <f>IFERROR(IF(AND(H1078&lt;&gt;"",H1078&gt;=129,H1078&lt;=2176),INDEX(Fields!$C$2:$C$206,MATCH(H1078-129,Fields!$D$2:$D$206,1)),""),"")</f>
        <v/>
      </c>
      <c r="L1078">
        <f>IFERROR(IF(AND(H1078&lt;&gt;"",H1078&gt;=129,H1078&lt;=2176),INDEX(Fields!$J$2:$J$206,MATCH(H1078-129,Fields!$D$2:$D$206,1)),""),"")</f>
        <v/>
      </c>
      <c r="M1078">
        <f>IFERROR(IF(AND(H1078&lt;&gt;"",H1078&gt;=129,H1078&lt;=2176),INDEX(Fields!$K$2:$K$206,MATCH(H1078-129,Fields!$D$2:$D$206,1)),""),"")</f>
        <v/>
      </c>
    </row>
    <row r="1079">
      <c r="A1079" t="n">
        <v>1077</v>
      </c>
      <c r="B1079" t="n">
        <v>0</v>
      </c>
      <c r="C1079" t="inlineStr">
        <is>
          <t>No</t>
        </is>
      </c>
      <c r="D1079">
        <f>IF(AND(B1074=1,B1075=1,B1076=1,B1077=1,B1078=1),"Yes","")</f>
        <v/>
      </c>
      <c r="E1079" t="inlineStr">
        <is>
          <t>No</t>
        </is>
      </c>
      <c r="F1079" t="inlineStr">
        <is>
          <t>No</t>
        </is>
      </c>
      <c r="G1079">
        <f>IF(F1079="Yes",1-B1079,B1079)</f>
        <v/>
      </c>
      <c r="H1079">
        <f>IF(E1079="Yes","",COUNTIFS($E$2:E1079,"No"))</f>
        <v/>
      </c>
      <c r="I1079">
        <f>IF(H1079="","",IF(H1079&lt;=128,"address",IF(H1079&lt;=600,"data1",IF(H1079&lt;=1264,"zero-run1",IF(H1079&lt;=1648,"data2",IF(H1079&lt;=2176,"zero-run2",IF(H1079&lt;=2192,"FCS","trailing")))))))</f>
        <v/>
      </c>
      <c r="J1079">
        <f>IFERROR(IF(AND(H1079&lt;&gt;"",H1079&gt;=129,H1079&lt;=2176),INDEX(Fields!$B$2:$B$206,MATCH(H1079-129,Fields!$D$2:$D$206,1)),""),"")</f>
        <v/>
      </c>
      <c r="K1079">
        <f>IFERROR(IF(AND(H1079&lt;&gt;"",H1079&gt;=129,H1079&lt;=2176),INDEX(Fields!$C$2:$C$206,MATCH(H1079-129,Fields!$D$2:$D$206,1)),""),"")</f>
        <v/>
      </c>
      <c r="L1079">
        <f>IFERROR(IF(AND(H1079&lt;&gt;"",H1079&gt;=129,H1079&lt;=2176),INDEX(Fields!$J$2:$J$206,MATCH(H1079-129,Fields!$D$2:$D$206,1)),""),"")</f>
        <v/>
      </c>
      <c r="M1079">
        <f>IFERROR(IF(AND(H1079&lt;&gt;"",H1079&gt;=129,H1079&lt;=2176),INDEX(Fields!$K$2:$K$206,MATCH(H1079-129,Fields!$D$2:$D$206,1)),""),"")</f>
        <v/>
      </c>
    </row>
    <row r="1080">
      <c r="A1080" t="n">
        <v>1078</v>
      </c>
      <c r="B1080" t="n">
        <v>0</v>
      </c>
      <c r="C1080" t="inlineStr">
        <is>
          <t>No</t>
        </is>
      </c>
      <c r="D1080">
        <f>IF(AND(B1075=1,B1076=1,B1077=1,B1078=1,B1079=1),"Yes","")</f>
        <v/>
      </c>
      <c r="E1080" t="inlineStr">
        <is>
          <t>No</t>
        </is>
      </c>
      <c r="F1080" t="inlineStr">
        <is>
          <t>No</t>
        </is>
      </c>
      <c r="G1080">
        <f>IF(F1080="Yes",1-B1080,B1080)</f>
        <v/>
      </c>
      <c r="H1080">
        <f>IF(E1080="Yes","",COUNTIFS($E$2:E1080,"No"))</f>
        <v/>
      </c>
      <c r="I1080">
        <f>IF(H1080="","",IF(H1080&lt;=128,"address",IF(H1080&lt;=600,"data1",IF(H1080&lt;=1264,"zero-run1",IF(H1080&lt;=1648,"data2",IF(H1080&lt;=2176,"zero-run2",IF(H1080&lt;=2192,"FCS","trailing")))))))</f>
        <v/>
      </c>
      <c r="J1080">
        <f>IFERROR(IF(AND(H1080&lt;&gt;"",H1080&gt;=129,H1080&lt;=2176),INDEX(Fields!$B$2:$B$206,MATCH(H1080-129,Fields!$D$2:$D$206,1)),""),"")</f>
        <v/>
      </c>
      <c r="K1080">
        <f>IFERROR(IF(AND(H1080&lt;&gt;"",H1080&gt;=129,H1080&lt;=2176),INDEX(Fields!$C$2:$C$206,MATCH(H1080-129,Fields!$D$2:$D$206,1)),""),"")</f>
        <v/>
      </c>
      <c r="L1080">
        <f>IFERROR(IF(AND(H1080&lt;&gt;"",H1080&gt;=129,H1080&lt;=2176),INDEX(Fields!$J$2:$J$206,MATCH(H1080-129,Fields!$D$2:$D$206,1)),""),"")</f>
        <v/>
      </c>
      <c r="M1080">
        <f>IFERROR(IF(AND(H1080&lt;&gt;"",H1080&gt;=129,H1080&lt;=2176),INDEX(Fields!$K$2:$K$206,MATCH(H1080-129,Fields!$D$2:$D$206,1)),""),"")</f>
        <v/>
      </c>
    </row>
    <row r="1081">
      <c r="A1081" t="n">
        <v>1079</v>
      </c>
      <c r="B1081" t="n">
        <v>0</v>
      </c>
      <c r="C1081" t="inlineStr">
        <is>
          <t>No</t>
        </is>
      </c>
      <c r="D1081">
        <f>IF(AND(B1076=1,B1077=1,B1078=1,B1079=1,B1080=1),"Yes","")</f>
        <v/>
      </c>
      <c r="E1081" t="inlineStr">
        <is>
          <t>No</t>
        </is>
      </c>
      <c r="F1081" t="inlineStr">
        <is>
          <t>No</t>
        </is>
      </c>
      <c r="G1081">
        <f>IF(F1081="Yes",1-B1081,B1081)</f>
        <v/>
      </c>
      <c r="H1081">
        <f>IF(E1081="Yes","",COUNTIFS($E$2:E1081,"No"))</f>
        <v/>
      </c>
      <c r="I1081">
        <f>IF(H1081="","",IF(H1081&lt;=128,"address",IF(H1081&lt;=600,"data1",IF(H1081&lt;=1264,"zero-run1",IF(H1081&lt;=1648,"data2",IF(H1081&lt;=2176,"zero-run2",IF(H1081&lt;=2192,"FCS","trailing")))))))</f>
        <v/>
      </c>
      <c r="J1081">
        <f>IFERROR(IF(AND(H1081&lt;&gt;"",H1081&gt;=129,H1081&lt;=2176),INDEX(Fields!$B$2:$B$206,MATCH(H1081-129,Fields!$D$2:$D$206,1)),""),"")</f>
        <v/>
      </c>
      <c r="K1081">
        <f>IFERROR(IF(AND(H1081&lt;&gt;"",H1081&gt;=129,H1081&lt;=2176),INDEX(Fields!$C$2:$C$206,MATCH(H1081-129,Fields!$D$2:$D$206,1)),""),"")</f>
        <v/>
      </c>
      <c r="L1081">
        <f>IFERROR(IF(AND(H1081&lt;&gt;"",H1081&gt;=129,H1081&lt;=2176),INDEX(Fields!$J$2:$J$206,MATCH(H1081-129,Fields!$D$2:$D$206,1)),""),"")</f>
        <v/>
      </c>
      <c r="M1081">
        <f>IFERROR(IF(AND(H1081&lt;&gt;"",H1081&gt;=129,H1081&lt;=2176),INDEX(Fields!$K$2:$K$206,MATCH(H1081-129,Fields!$D$2:$D$206,1)),""),"")</f>
        <v/>
      </c>
    </row>
    <row r="1082">
      <c r="A1082" t="n">
        <v>1080</v>
      </c>
      <c r="B1082" t="n">
        <v>0</v>
      </c>
      <c r="C1082" t="inlineStr">
        <is>
          <t>No</t>
        </is>
      </c>
      <c r="D1082">
        <f>IF(AND(B1077=1,B1078=1,B1079=1,B1080=1,B1081=1),"Yes","")</f>
        <v/>
      </c>
      <c r="E1082" t="inlineStr">
        <is>
          <t>No</t>
        </is>
      </c>
      <c r="F1082" t="inlineStr">
        <is>
          <t>No</t>
        </is>
      </c>
      <c r="G1082">
        <f>IF(F1082="Yes",1-B1082,B1082)</f>
        <v/>
      </c>
      <c r="H1082">
        <f>IF(E1082="Yes","",COUNTIFS($E$2:E1082,"No"))</f>
        <v/>
      </c>
      <c r="I1082">
        <f>IF(H1082="","",IF(H1082&lt;=128,"address",IF(H1082&lt;=600,"data1",IF(H1082&lt;=1264,"zero-run1",IF(H1082&lt;=1648,"data2",IF(H1082&lt;=2176,"zero-run2",IF(H1082&lt;=2192,"FCS","trailing")))))))</f>
        <v/>
      </c>
      <c r="J1082">
        <f>IFERROR(IF(AND(H1082&lt;&gt;"",H1082&gt;=129,H1082&lt;=2176),INDEX(Fields!$B$2:$B$206,MATCH(H1082-129,Fields!$D$2:$D$206,1)),""),"")</f>
        <v/>
      </c>
      <c r="K1082">
        <f>IFERROR(IF(AND(H1082&lt;&gt;"",H1082&gt;=129,H1082&lt;=2176),INDEX(Fields!$C$2:$C$206,MATCH(H1082-129,Fields!$D$2:$D$206,1)),""),"")</f>
        <v/>
      </c>
      <c r="L1082">
        <f>IFERROR(IF(AND(H1082&lt;&gt;"",H1082&gt;=129,H1082&lt;=2176),INDEX(Fields!$J$2:$J$206,MATCH(H1082-129,Fields!$D$2:$D$206,1)),""),"")</f>
        <v/>
      </c>
      <c r="M1082">
        <f>IFERROR(IF(AND(H1082&lt;&gt;"",H1082&gt;=129,H1082&lt;=2176),INDEX(Fields!$K$2:$K$206,MATCH(H1082-129,Fields!$D$2:$D$206,1)),""),"")</f>
        <v/>
      </c>
    </row>
    <row r="1083">
      <c r="A1083" t="n">
        <v>1081</v>
      </c>
      <c r="B1083" t="n">
        <v>0</v>
      </c>
      <c r="C1083" t="inlineStr">
        <is>
          <t>No</t>
        </is>
      </c>
      <c r="D1083">
        <f>IF(AND(B1078=1,B1079=1,B1080=1,B1081=1,B1082=1),"Yes","")</f>
        <v/>
      </c>
      <c r="E1083" t="inlineStr">
        <is>
          <t>No</t>
        </is>
      </c>
      <c r="F1083" t="inlineStr">
        <is>
          <t>No</t>
        </is>
      </c>
      <c r="G1083">
        <f>IF(F1083="Yes",1-B1083,B1083)</f>
        <v/>
      </c>
      <c r="H1083">
        <f>IF(E1083="Yes","",COUNTIFS($E$2:E1083,"No"))</f>
        <v/>
      </c>
      <c r="I1083">
        <f>IF(H1083="","",IF(H1083&lt;=128,"address",IF(H1083&lt;=600,"data1",IF(H1083&lt;=1264,"zero-run1",IF(H1083&lt;=1648,"data2",IF(H1083&lt;=2176,"zero-run2",IF(H1083&lt;=2192,"FCS","trailing")))))))</f>
        <v/>
      </c>
      <c r="J1083">
        <f>IFERROR(IF(AND(H1083&lt;&gt;"",H1083&gt;=129,H1083&lt;=2176),INDEX(Fields!$B$2:$B$206,MATCH(H1083-129,Fields!$D$2:$D$206,1)),""),"")</f>
        <v/>
      </c>
      <c r="K1083">
        <f>IFERROR(IF(AND(H1083&lt;&gt;"",H1083&gt;=129,H1083&lt;=2176),INDEX(Fields!$C$2:$C$206,MATCH(H1083-129,Fields!$D$2:$D$206,1)),""),"")</f>
        <v/>
      </c>
      <c r="L1083">
        <f>IFERROR(IF(AND(H1083&lt;&gt;"",H1083&gt;=129,H1083&lt;=2176),INDEX(Fields!$J$2:$J$206,MATCH(H1083-129,Fields!$D$2:$D$206,1)),""),"")</f>
        <v/>
      </c>
      <c r="M1083">
        <f>IFERROR(IF(AND(H1083&lt;&gt;"",H1083&gt;=129,H1083&lt;=2176),INDEX(Fields!$K$2:$K$206,MATCH(H1083-129,Fields!$D$2:$D$206,1)),""),"")</f>
        <v/>
      </c>
    </row>
    <row r="1084">
      <c r="A1084" t="n">
        <v>1082</v>
      </c>
      <c r="B1084" t="n">
        <v>0</v>
      </c>
      <c r="C1084" t="inlineStr">
        <is>
          <t>No</t>
        </is>
      </c>
      <c r="D1084">
        <f>IF(AND(B1079=1,B1080=1,B1081=1,B1082=1,B1083=1),"Yes","")</f>
        <v/>
      </c>
      <c r="E1084" t="inlineStr">
        <is>
          <t>No</t>
        </is>
      </c>
      <c r="F1084" t="inlineStr">
        <is>
          <t>No</t>
        </is>
      </c>
      <c r="G1084">
        <f>IF(F1084="Yes",1-B1084,B1084)</f>
        <v/>
      </c>
      <c r="H1084">
        <f>IF(E1084="Yes","",COUNTIFS($E$2:E1084,"No"))</f>
        <v/>
      </c>
      <c r="I1084">
        <f>IF(H1084="","",IF(H1084&lt;=128,"address",IF(H1084&lt;=600,"data1",IF(H1084&lt;=1264,"zero-run1",IF(H1084&lt;=1648,"data2",IF(H1084&lt;=2176,"zero-run2",IF(H1084&lt;=2192,"FCS","trailing")))))))</f>
        <v/>
      </c>
      <c r="J1084">
        <f>IFERROR(IF(AND(H1084&lt;&gt;"",H1084&gt;=129,H1084&lt;=2176),INDEX(Fields!$B$2:$B$206,MATCH(H1084-129,Fields!$D$2:$D$206,1)),""),"")</f>
        <v/>
      </c>
      <c r="K1084">
        <f>IFERROR(IF(AND(H1084&lt;&gt;"",H1084&gt;=129,H1084&lt;=2176),INDEX(Fields!$C$2:$C$206,MATCH(H1084-129,Fields!$D$2:$D$206,1)),""),"")</f>
        <v/>
      </c>
      <c r="L1084">
        <f>IFERROR(IF(AND(H1084&lt;&gt;"",H1084&gt;=129,H1084&lt;=2176),INDEX(Fields!$J$2:$J$206,MATCH(H1084-129,Fields!$D$2:$D$206,1)),""),"")</f>
        <v/>
      </c>
      <c r="M1084">
        <f>IFERROR(IF(AND(H1084&lt;&gt;"",H1084&gt;=129,H1084&lt;=2176),INDEX(Fields!$K$2:$K$206,MATCH(H1084-129,Fields!$D$2:$D$206,1)),""),"")</f>
        <v/>
      </c>
    </row>
    <row r="1085">
      <c r="A1085" t="n">
        <v>1083</v>
      </c>
      <c r="B1085" t="n">
        <v>0</v>
      </c>
      <c r="C1085" t="inlineStr">
        <is>
          <t>No</t>
        </is>
      </c>
      <c r="D1085">
        <f>IF(AND(B1080=1,B1081=1,B1082=1,B1083=1,B1084=1),"Yes","")</f>
        <v/>
      </c>
      <c r="E1085" t="inlineStr">
        <is>
          <t>No</t>
        </is>
      </c>
      <c r="F1085" t="inlineStr">
        <is>
          <t>No</t>
        </is>
      </c>
      <c r="G1085">
        <f>IF(F1085="Yes",1-B1085,B1085)</f>
        <v/>
      </c>
      <c r="H1085">
        <f>IF(E1085="Yes","",COUNTIFS($E$2:E1085,"No"))</f>
        <v/>
      </c>
      <c r="I1085">
        <f>IF(H1085="","",IF(H1085&lt;=128,"address",IF(H1085&lt;=600,"data1",IF(H1085&lt;=1264,"zero-run1",IF(H1085&lt;=1648,"data2",IF(H1085&lt;=2176,"zero-run2",IF(H1085&lt;=2192,"FCS","trailing")))))))</f>
        <v/>
      </c>
      <c r="J1085">
        <f>IFERROR(IF(AND(H1085&lt;&gt;"",H1085&gt;=129,H1085&lt;=2176),INDEX(Fields!$B$2:$B$206,MATCH(H1085-129,Fields!$D$2:$D$206,1)),""),"")</f>
        <v/>
      </c>
      <c r="K1085">
        <f>IFERROR(IF(AND(H1085&lt;&gt;"",H1085&gt;=129,H1085&lt;=2176),INDEX(Fields!$C$2:$C$206,MATCH(H1085-129,Fields!$D$2:$D$206,1)),""),"")</f>
        <v/>
      </c>
      <c r="L1085">
        <f>IFERROR(IF(AND(H1085&lt;&gt;"",H1085&gt;=129,H1085&lt;=2176),INDEX(Fields!$J$2:$J$206,MATCH(H1085-129,Fields!$D$2:$D$206,1)),""),"")</f>
        <v/>
      </c>
      <c r="M1085">
        <f>IFERROR(IF(AND(H1085&lt;&gt;"",H1085&gt;=129,H1085&lt;=2176),INDEX(Fields!$K$2:$K$206,MATCH(H1085-129,Fields!$D$2:$D$206,1)),""),"")</f>
        <v/>
      </c>
    </row>
    <row r="1086">
      <c r="A1086" t="n">
        <v>1084</v>
      </c>
      <c r="B1086" t="n">
        <v>0</v>
      </c>
      <c r="C1086" t="inlineStr">
        <is>
          <t>No</t>
        </is>
      </c>
      <c r="D1086">
        <f>IF(AND(B1081=1,B1082=1,B1083=1,B1084=1,B1085=1),"Yes","")</f>
        <v/>
      </c>
      <c r="E1086" t="inlineStr">
        <is>
          <t>No</t>
        </is>
      </c>
      <c r="F1086" t="inlineStr">
        <is>
          <t>No</t>
        </is>
      </c>
      <c r="G1086">
        <f>IF(F1086="Yes",1-B1086,B1086)</f>
        <v/>
      </c>
      <c r="H1086">
        <f>IF(E1086="Yes","",COUNTIFS($E$2:E1086,"No"))</f>
        <v/>
      </c>
      <c r="I1086">
        <f>IF(H1086="","",IF(H1086&lt;=128,"address",IF(H1086&lt;=600,"data1",IF(H1086&lt;=1264,"zero-run1",IF(H1086&lt;=1648,"data2",IF(H1086&lt;=2176,"zero-run2",IF(H1086&lt;=2192,"FCS","trailing")))))))</f>
        <v/>
      </c>
      <c r="J1086">
        <f>IFERROR(IF(AND(H1086&lt;&gt;"",H1086&gt;=129,H1086&lt;=2176),INDEX(Fields!$B$2:$B$206,MATCH(H1086-129,Fields!$D$2:$D$206,1)),""),"")</f>
        <v/>
      </c>
      <c r="K1086">
        <f>IFERROR(IF(AND(H1086&lt;&gt;"",H1086&gt;=129,H1086&lt;=2176),INDEX(Fields!$C$2:$C$206,MATCH(H1086-129,Fields!$D$2:$D$206,1)),""),"")</f>
        <v/>
      </c>
      <c r="L1086">
        <f>IFERROR(IF(AND(H1086&lt;&gt;"",H1086&gt;=129,H1086&lt;=2176),INDEX(Fields!$J$2:$J$206,MATCH(H1086-129,Fields!$D$2:$D$206,1)),""),"")</f>
        <v/>
      </c>
      <c r="M1086">
        <f>IFERROR(IF(AND(H1086&lt;&gt;"",H1086&gt;=129,H1086&lt;=2176),INDEX(Fields!$K$2:$K$206,MATCH(H1086-129,Fields!$D$2:$D$206,1)),""),"")</f>
        <v/>
      </c>
    </row>
    <row r="1087">
      <c r="A1087" t="n">
        <v>1085</v>
      </c>
      <c r="B1087" t="n">
        <v>0</v>
      </c>
      <c r="C1087" t="inlineStr">
        <is>
          <t>No</t>
        </is>
      </c>
      <c r="D1087">
        <f>IF(AND(B1082=1,B1083=1,B1084=1,B1085=1,B1086=1),"Yes","")</f>
        <v/>
      </c>
      <c r="E1087" t="inlineStr">
        <is>
          <t>No</t>
        </is>
      </c>
      <c r="F1087" t="inlineStr">
        <is>
          <t>No</t>
        </is>
      </c>
      <c r="G1087">
        <f>IF(F1087="Yes",1-B1087,B1087)</f>
        <v/>
      </c>
      <c r="H1087">
        <f>IF(E1087="Yes","",COUNTIFS($E$2:E1087,"No"))</f>
        <v/>
      </c>
      <c r="I1087">
        <f>IF(H1087="","",IF(H1087&lt;=128,"address",IF(H1087&lt;=600,"data1",IF(H1087&lt;=1264,"zero-run1",IF(H1087&lt;=1648,"data2",IF(H1087&lt;=2176,"zero-run2",IF(H1087&lt;=2192,"FCS","trailing")))))))</f>
        <v/>
      </c>
      <c r="J1087">
        <f>IFERROR(IF(AND(H1087&lt;&gt;"",H1087&gt;=129,H1087&lt;=2176),INDEX(Fields!$B$2:$B$206,MATCH(H1087-129,Fields!$D$2:$D$206,1)),""),"")</f>
        <v/>
      </c>
      <c r="K1087">
        <f>IFERROR(IF(AND(H1087&lt;&gt;"",H1087&gt;=129,H1087&lt;=2176),INDEX(Fields!$C$2:$C$206,MATCH(H1087-129,Fields!$D$2:$D$206,1)),""),"")</f>
        <v/>
      </c>
      <c r="L1087">
        <f>IFERROR(IF(AND(H1087&lt;&gt;"",H1087&gt;=129,H1087&lt;=2176),INDEX(Fields!$J$2:$J$206,MATCH(H1087-129,Fields!$D$2:$D$206,1)),""),"")</f>
        <v/>
      </c>
      <c r="M1087">
        <f>IFERROR(IF(AND(H1087&lt;&gt;"",H1087&gt;=129,H1087&lt;=2176),INDEX(Fields!$K$2:$K$206,MATCH(H1087-129,Fields!$D$2:$D$206,1)),""),"")</f>
        <v/>
      </c>
    </row>
    <row r="1088">
      <c r="A1088" t="n">
        <v>1086</v>
      </c>
      <c r="B1088" t="n">
        <v>0</v>
      </c>
      <c r="C1088" t="inlineStr">
        <is>
          <t>No</t>
        </is>
      </c>
      <c r="D1088">
        <f>IF(AND(B1083=1,B1084=1,B1085=1,B1086=1,B1087=1),"Yes","")</f>
        <v/>
      </c>
      <c r="E1088" t="inlineStr">
        <is>
          <t>No</t>
        </is>
      </c>
      <c r="F1088" t="inlineStr">
        <is>
          <t>No</t>
        </is>
      </c>
      <c r="G1088">
        <f>IF(F1088="Yes",1-B1088,B1088)</f>
        <v/>
      </c>
      <c r="H1088">
        <f>IF(E1088="Yes","",COUNTIFS($E$2:E1088,"No"))</f>
        <v/>
      </c>
      <c r="I1088">
        <f>IF(H1088="","",IF(H1088&lt;=128,"address",IF(H1088&lt;=600,"data1",IF(H1088&lt;=1264,"zero-run1",IF(H1088&lt;=1648,"data2",IF(H1088&lt;=2176,"zero-run2",IF(H1088&lt;=2192,"FCS","trailing")))))))</f>
        <v/>
      </c>
      <c r="J1088">
        <f>IFERROR(IF(AND(H1088&lt;&gt;"",H1088&gt;=129,H1088&lt;=2176),INDEX(Fields!$B$2:$B$206,MATCH(H1088-129,Fields!$D$2:$D$206,1)),""),"")</f>
        <v/>
      </c>
      <c r="K1088">
        <f>IFERROR(IF(AND(H1088&lt;&gt;"",H1088&gt;=129,H1088&lt;=2176),INDEX(Fields!$C$2:$C$206,MATCH(H1088-129,Fields!$D$2:$D$206,1)),""),"")</f>
        <v/>
      </c>
      <c r="L1088">
        <f>IFERROR(IF(AND(H1088&lt;&gt;"",H1088&gt;=129,H1088&lt;=2176),INDEX(Fields!$J$2:$J$206,MATCH(H1088-129,Fields!$D$2:$D$206,1)),""),"")</f>
        <v/>
      </c>
      <c r="M1088">
        <f>IFERROR(IF(AND(H1088&lt;&gt;"",H1088&gt;=129,H1088&lt;=2176),INDEX(Fields!$K$2:$K$206,MATCH(H1088-129,Fields!$D$2:$D$206,1)),""),"")</f>
        <v/>
      </c>
    </row>
    <row r="1089">
      <c r="A1089" t="n">
        <v>1087</v>
      </c>
      <c r="B1089" t="n">
        <v>0</v>
      </c>
      <c r="C1089" t="inlineStr">
        <is>
          <t>No</t>
        </is>
      </c>
      <c r="D1089">
        <f>IF(AND(B1084=1,B1085=1,B1086=1,B1087=1,B1088=1),"Yes","")</f>
        <v/>
      </c>
      <c r="E1089" t="inlineStr">
        <is>
          <t>No</t>
        </is>
      </c>
      <c r="F1089" t="inlineStr">
        <is>
          <t>No</t>
        </is>
      </c>
      <c r="G1089">
        <f>IF(F1089="Yes",1-B1089,B1089)</f>
        <v/>
      </c>
      <c r="H1089">
        <f>IF(E1089="Yes","",COUNTIFS($E$2:E1089,"No"))</f>
        <v/>
      </c>
      <c r="I1089">
        <f>IF(H1089="","",IF(H1089&lt;=128,"address",IF(H1089&lt;=600,"data1",IF(H1089&lt;=1264,"zero-run1",IF(H1089&lt;=1648,"data2",IF(H1089&lt;=2176,"zero-run2",IF(H1089&lt;=2192,"FCS","trailing")))))))</f>
        <v/>
      </c>
      <c r="J1089">
        <f>IFERROR(IF(AND(H1089&lt;&gt;"",H1089&gt;=129,H1089&lt;=2176),INDEX(Fields!$B$2:$B$206,MATCH(H1089-129,Fields!$D$2:$D$206,1)),""),"")</f>
        <v/>
      </c>
      <c r="K1089">
        <f>IFERROR(IF(AND(H1089&lt;&gt;"",H1089&gt;=129,H1089&lt;=2176),INDEX(Fields!$C$2:$C$206,MATCH(H1089-129,Fields!$D$2:$D$206,1)),""),"")</f>
        <v/>
      </c>
      <c r="L1089">
        <f>IFERROR(IF(AND(H1089&lt;&gt;"",H1089&gt;=129,H1089&lt;=2176),INDEX(Fields!$J$2:$J$206,MATCH(H1089-129,Fields!$D$2:$D$206,1)),""),"")</f>
        <v/>
      </c>
      <c r="M1089">
        <f>IFERROR(IF(AND(H1089&lt;&gt;"",H1089&gt;=129,H1089&lt;=2176),INDEX(Fields!$K$2:$K$206,MATCH(H1089-129,Fields!$D$2:$D$206,1)),""),"")</f>
        <v/>
      </c>
    </row>
    <row r="1090">
      <c r="A1090" t="n">
        <v>1088</v>
      </c>
      <c r="B1090" t="n">
        <v>0</v>
      </c>
      <c r="C1090" t="inlineStr">
        <is>
          <t>No</t>
        </is>
      </c>
      <c r="D1090">
        <f>IF(AND(B1085=1,B1086=1,B1087=1,B1088=1,B1089=1),"Yes","")</f>
        <v/>
      </c>
      <c r="E1090" t="inlineStr">
        <is>
          <t>No</t>
        </is>
      </c>
      <c r="F1090" t="inlineStr">
        <is>
          <t>No</t>
        </is>
      </c>
      <c r="G1090">
        <f>IF(F1090="Yes",1-B1090,B1090)</f>
        <v/>
      </c>
      <c r="H1090">
        <f>IF(E1090="Yes","",COUNTIFS($E$2:E1090,"No"))</f>
        <v/>
      </c>
      <c r="I1090">
        <f>IF(H1090="","",IF(H1090&lt;=128,"address",IF(H1090&lt;=600,"data1",IF(H1090&lt;=1264,"zero-run1",IF(H1090&lt;=1648,"data2",IF(H1090&lt;=2176,"zero-run2",IF(H1090&lt;=2192,"FCS","trailing")))))))</f>
        <v/>
      </c>
      <c r="J1090">
        <f>IFERROR(IF(AND(H1090&lt;&gt;"",H1090&gt;=129,H1090&lt;=2176),INDEX(Fields!$B$2:$B$206,MATCH(H1090-129,Fields!$D$2:$D$206,1)),""),"")</f>
        <v/>
      </c>
      <c r="K1090">
        <f>IFERROR(IF(AND(H1090&lt;&gt;"",H1090&gt;=129,H1090&lt;=2176),INDEX(Fields!$C$2:$C$206,MATCH(H1090-129,Fields!$D$2:$D$206,1)),""),"")</f>
        <v/>
      </c>
      <c r="L1090">
        <f>IFERROR(IF(AND(H1090&lt;&gt;"",H1090&gt;=129,H1090&lt;=2176),INDEX(Fields!$J$2:$J$206,MATCH(H1090-129,Fields!$D$2:$D$206,1)),""),"")</f>
        <v/>
      </c>
      <c r="M1090">
        <f>IFERROR(IF(AND(H1090&lt;&gt;"",H1090&gt;=129,H1090&lt;=2176),INDEX(Fields!$K$2:$K$206,MATCH(H1090-129,Fields!$D$2:$D$206,1)),""),"")</f>
        <v/>
      </c>
    </row>
    <row r="1091">
      <c r="A1091" t="n">
        <v>1089</v>
      </c>
      <c r="B1091" t="n">
        <v>0</v>
      </c>
      <c r="C1091" t="inlineStr">
        <is>
          <t>No</t>
        </is>
      </c>
      <c r="D1091">
        <f>IF(AND(B1086=1,B1087=1,B1088=1,B1089=1,B1090=1),"Yes","")</f>
        <v/>
      </c>
      <c r="E1091" t="inlineStr">
        <is>
          <t>No</t>
        </is>
      </c>
      <c r="F1091" t="inlineStr">
        <is>
          <t>No</t>
        </is>
      </c>
      <c r="G1091">
        <f>IF(F1091="Yes",1-B1091,B1091)</f>
        <v/>
      </c>
      <c r="H1091">
        <f>IF(E1091="Yes","",COUNTIFS($E$2:E1091,"No"))</f>
        <v/>
      </c>
      <c r="I1091">
        <f>IF(H1091="","",IF(H1091&lt;=128,"address",IF(H1091&lt;=600,"data1",IF(H1091&lt;=1264,"zero-run1",IF(H1091&lt;=1648,"data2",IF(H1091&lt;=2176,"zero-run2",IF(H1091&lt;=2192,"FCS","trailing")))))))</f>
        <v/>
      </c>
      <c r="J1091">
        <f>IFERROR(IF(AND(H1091&lt;&gt;"",H1091&gt;=129,H1091&lt;=2176),INDEX(Fields!$B$2:$B$206,MATCH(H1091-129,Fields!$D$2:$D$206,1)),""),"")</f>
        <v/>
      </c>
      <c r="K1091">
        <f>IFERROR(IF(AND(H1091&lt;&gt;"",H1091&gt;=129,H1091&lt;=2176),INDEX(Fields!$C$2:$C$206,MATCH(H1091-129,Fields!$D$2:$D$206,1)),""),"")</f>
        <v/>
      </c>
      <c r="L1091">
        <f>IFERROR(IF(AND(H1091&lt;&gt;"",H1091&gt;=129,H1091&lt;=2176),INDEX(Fields!$J$2:$J$206,MATCH(H1091-129,Fields!$D$2:$D$206,1)),""),"")</f>
        <v/>
      </c>
      <c r="M1091">
        <f>IFERROR(IF(AND(H1091&lt;&gt;"",H1091&gt;=129,H1091&lt;=2176),INDEX(Fields!$K$2:$K$206,MATCH(H1091-129,Fields!$D$2:$D$206,1)),""),"")</f>
        <v/>
      </c>
    </row>
    <row r="1092">
      <c r="A1092" t="n">
        <v>1090</v>
      </c>
      <c r="B1092" t="n">
        <v>0</v>
      </c>
      <c r="C1092" t="inlineStr">
        <is>
          <t>No</t>
        </is>
      </c>
      <c r="D1092">
        <f>IF(AND(B1087=1,B1088=1,B1089=1,B1090=1,B1091=1),"Yes","")</f>
        <v/>
      </c>
      <c r="E1092" t="inlineStr">
        <is>
          <t>No</t>
        </is>
      </c>
      <c r="F1092" t="inlineStr">
        <is>
          <t>No</t>
        </is>
      </c>
      <c r="G1092">
        <f>IF(F1092="Yes",1-B1092,B1092)</f>
        <v/>
      </c>
      <c r="H1092">
        <f>IF(E1092="Yes","",COUNTIFS($E$2:E1092,"No"))</f>
        <v/>
      </c>
      <c r="I1092">
        <f>IF(H1092="","",IF(H1092&lt;=128,"address",IF(H1092&lt;=600,"data1",IF(H1092&lt;=1264,"zero-run1",IF(H1092&lt;=1648,"data2",IF(H1092&lt;=2176,"zero-run2",IF(H1092&lt;=2192,"FCS","trailing")))))))</f>
        <v/>
      </c>
      <c r="J1092">
        <f>IFERROR(IF(AND(H1092&lt;&gt;"",H1092&gt;=129,H1092&lt;=2176),INDEX(Fields!$B$2:$B$206,MATCH(H1092-129,Fields!$D$2:$D$206,1)),""),"")</f>
        <v/>
      </c>
      <c r="K1092">
        <f>IFERROR(IF(AND(H1092&lt;&gt;"",H1092&gt;=129,H1092&lt;=2176),INDEX(Fields!$C$2:$C$206,MATCH(H1092-129,Fields!$D$2:$D$206,1)),""),"")</f>
        <v/>
      </c>
      <c r="L1092">
        <f>IFERROR(IF(AND(H1092&lt;&gt;"",H1092&gt;=129,H1092&lt;=2176),INDEX(Fields!$J$2:$J$206,MATCH(H1092-129,Fields!$D$2:$D$206,1)),""),"")</f>
        <v/>
      </c>
      <c r="M1092">
        <f>IFERROR(IF(AND(H1092&lt;&gt;"",H1092&gt;=129,H1092&lt;=2176),INDEX(Fields!$K$2:$K$206,MATCH(H1092-129,Fields!$D$2:$D$206,1)),""),"")</f>
        <v/>
      </c>
    </row>
    <row r="1093">
      <c r="A1093" t="n">
        <v>1091</v>
      </c>
      <c r="B1093" t="n">
        <v>0</v>
      </c>
      <c r="C1093" t="inlineStr">
        <is>
          <t>No</t>
        </is>
      </c>
      <c r="D1093">
        <f>IF(AND(B1088=1,B1089=1,B1090=1,B1091=1,B1092=1),"Yes","")</f>
        <v/>
      </c>
      <c r="E1093" t="inlineStr">
        <is>
          <t>No</t>
        </is>
      </c>
      <c r="F1093" t="inlineStr">
        <is>
          <t>No</t>
        </is>
      </c>
      <c r="G1093">
        <f>IF(F1093="Yes",1-B1093,B1093)</f>
        <v/>
      </c>
      <c r="H1093">
        <f>IF(E1093="Yes","",COUNTIFS($E$2:E1093,"No"))</f>
        <v/>
      </c>
      <c r="I1093">
        <f>IF(H1093="","",IF(H1093&lt;=128,"address",IF(H1093&lt;=600,"data1",IF(H1093&lt;=1264,"zero-run1",IF(H1093&lt;=1648,"data2",IF(H1093&lt;=2176,"zero-run2",IF(H1093&lt;=2192,"FCS","trailing")))))))</f>
        <v/>
      </c>
      <c r="J1093">
        <f>IFERROR(IF(AND(H1093&lt;&gt;"",H1093&gt;=129,H1093&lt;=2176),INDEX(Fields!$B$2:$B$206,MATCH(H1093-129,Fields!$D$2:$D$206,1)),""),"")</f>
        <v/>
      </c>
      <c r="K1093">
        <f>IFERROR(IF(AND(H1093&lt;&gt;"",H1093&gt;=129,H1093&lt;=2176),INDEX(Fields!$C$2:$C$206,MATCH(H1093-129,Fields!$D$2:$D$206,1)),""),"")</f>
        <v/>
      </c>
      <c r="L1093">
        <f>IFERROR(IF(AND(H1093&lt;&gt;"",H1093&gt;=129,H1093&lt;=2176),INDEX(Fields!$J$2:$J$206,MATCH(H1093-129,Fields!$D$2:$D$206,1)),""),"")</f>
        <v/>
      </c>
      <c r="M1093">
        <f>IFERROR(IF(AND(H1093&lt;&gt;"",H1093&gt;=129,H1093&lt;=2176),INDEX(Fields!$K$2:$K$206,MATCH(H1093-129,Fields!$D$2:$D$206,1)),""),"")</f>
        <v/>
      </c>
    </row>
    <row r="1094">
      <c r="A1094" t="n">
        <v>1092</v>
      </c>
      <c r="B1094" t="n">
        <v>0</v>
      </c>
      <c r="C1094" t="inlineStr">
        <is>
          <t>No</t>
        </is>
      </c>
      <c r="D1094">
        <f>IF(AND(B1089=1,B1090=1,B1091=1,B1092=1,B1093=1),"Yes","")</f>
        <v/>
      </c>
      <c r="E1094" t="inlineStr">
        <is>
          <t>No</t>
        </is>
      </c>
      <c r="F1094" t="inlineStr">
        <is>
          <t>No</t>
        </is>
      </c>
      <c r="G1094">
        <f>IF(F1094="Yes",1-B1094,B1094)</f>
        <v/>
      </c>
      <c r="H1094">
        <f>IF(E1094="Yes","",COUNTIFS($E$2:E1094,"No"))</f>
        <v/>
      </c>
      <c r="I1094">
        <f>IF(H1094="","",IF(H1094&lt;=128,"address",IF(H1094&lt;=600,"data1",IF(H1094&lt;=1264,"zero-run1",IF(H1094&lt;=1648,"data2",IF(H1094&lt;=2176,"zero-run2",IF(H1094&lt;=2192,"FCS","trailing")))))))</f>
        <v/>
      </c>
      <c r="J1094">
        <f>IFERROR(IF(AND(H1094&lt;&gt;"",H1094&gt;=129,H1094&lt;=2176),INDEX(Fields!$B$2:$B$206,MATCH(H1094-129,Fields!$D$2:$D$206,1)),""),"")</f>
        <v/>
      </c>
      <c r="K1094">
        <f>IFERROR(IF(AND(H1094&lt;&gt;"",H1094&gt;=129,H1094&lt;=2176),INDEX(Fields!$C$2:$C$206,MATCH(H1094-129,Fields!$D$2:$D$206,1)),""),"")</f>
        <v/>
      </c>
      <c r="L1094">
        <f>IFERROR(IF(AND(H1094&lt;&gt;"",H1094&gt;=129,H1094&lt;=2176),INDEX(Fields!$J$2:$J$206,MATCH(H1094-129,Fields!$D$2:$D$206,1)),""),"")</f>
        <v/>
      </c>
      <c r="M1094">
        <f>IFERROR(IF(AND(H1094&lt;&gt;"",H1094&gt;=129,H1094&lt;=2176),INDEX(Fields!$K$2:$K$206,MATCH(H1094-129,Fields!$D$2:$D$206,1)),""),"")</f>
        <v/>
      </c>
    </row>
    <row r="1095">
      <c r="A1095" t="n">
        <v>1093</v>
      </c>
      <c r="B1095" t="n">
        <v>0</v>
      </c>
      <c r="C1095" t="inlineStr">
        <is>
          <t>No</t>
        </is>
      </c>
      <c r="D1095">
        <f>IF(AND(B1090=1,B1091=1,B1092=1,B1093=1,B1094=1),"Yes","")</f>
        <v/>
      </c>
      <c r="E1095" t="inlineStr">
        <is>
          <t>No</t>
        </is>
      </c>
      <c r="F1095" t="inlineStr">
        <is>
          <t>No</t>
        </is>
      </c>
      <c r="G1095">
        <f>IF(F1095="Yes",1-B1095,B1095)</f>
        <v/>
      </c>
      <c r="H1095">
        <f>IF(E1095="Yes","",COUNTIFS($E$2:E1095,"No"))</f>
        <v/>
      </c>
      <c r="I1095">
        <f>IF(H1095="","",IF(H1095&lt;=128,"address",IF(H1095&lt;=600,"data1",IF(H1095&lt;=1264,"zero-run1",IF(H1095&lt;=1648,"data2",IF(H1095&lt;=2176,"zero-run2",IF(H1095&lt;=2192,"FCS","trailing")))))))</f>
        <v/>
      </c>
      <c r="J1095">
        <f>IFERROR(IF(AND(H1095&lt;&gt;"",H1095&gt;=129,H1095&lt;=2176),INDEX(Fields!$B$2:$B$206,MATCH(H1095-129,Fields!$D$2:$D$206,1)),""),"")</f>
        <v/>
      </c>
      <c r="K1095">
        <f>IFERROR(IF(AND(H1095&lt;&gt;"",H1095&gt;=129,H1095&lt;=2176),INDEX(Fields!$C$2:$C$206,MATCH(H1095-129,Fields!$D$2:$D$206,1)),""),"")</f>
        <v/>
      </c>
      <c r="L1095">
        <f>IFERROR(IF(AND(H1095&lt;&gt;"",H1095&gt;=129,H1095&lt;=2176),INDEX(Fields!$J$2:$J$206,MATCH(H1095-129,Fields!$D$2:$D$206,1)),""),"")</f>
        <v/>
      </c>
      <c r="M1095">
        <f>IFERROR(IF(AND(H1095&lt;&gt;"",H1095&gt;=129,H1095&lt;=2176),INDEX(Fields!$K$2:$K$206,MATCH(H1095-129,Fields!$D$2:$D$206,1)),""),"")</f>
        <v/>
      </c>
    </row>
    <row r="1096">
      <c r="A1096" t="n">
        <v>1094</v>
      </c>
      <c r="B1096" t="n">
        <v>0</v>
      </c>
      <c r="C1096" t="inlineStr">
        <is>
          <t>No</t>
        </is>
      </c>
      <c r="D1096">
        <f>IF(AND(B1091=1,B1092=1,B1093=1,B1094=1,B1095=1),"Yes","")</f>
        <v/>
      </c>
      <c r="E1096" t="inlineStr">
        <is>
          <t>No</t>
        </is>
      </c>
      <c r="F1096" t="inlineStr">
        <is>
          <t>No</t>
        </is>
      </c>
      <c r="G1096">
        <f>IF(F1096="Yes",1-B1096,B1096)</f>
        <v/>
      </c>
      <c r="H1096">
        <f>IF(E1096="Yes","",COUNTIFS($E$2:E1096,"No"))</f>
        <v/>
      </c>
      <c r="I1096">
        <f>IF(H1096="","",IF(H1096&lt;=128,"address",IF(H1096&lt;=600,"data1",IF(H1096&lt;=1264,"zero-run1",IF(H1096&lt;=1648,"data2",IF(H1096&lt;=2176,"zero-run2",IF(H1096&lt;=2192,"FCS","trailing")))))))</f>
        <v/>
      </c>
      <c r="J1096">
        <f>IFERROR(IF(AND(H1096&lt;&gt;"",H1096&gt;=129,H1096&lt;=2176),INDEX(Fields!$B$2:$B$206,MATCH(H1096-129,Fields!$D$2:$D$206,1)),""),"")</f>
        <v/>
      </c>
      <c r="K1096">
        <f>IFERROR(IF(AND(H1096&lt;&gt;"",H1096&gt;=129,H1096&lt;=2176),INDEX(Fields!$C$2:$C$206,MATCH(H1096-129,Fields!$D$2:$D$206,1)),""),"")</f>
        <v/>
      </c>
      <c r="L1096">
        <f>IFERROR(IF(AND(H1096&lt;&gt;"",H1096&gt;=129,H1096&lt;=2176),INDEX(Fields!$J$2:$J$206,MATCH(H1096-129,Fields!$D$2:$D$206,1)),""),"")</f>
        <v/>
      </c>
      <c r="M1096">
        <f>IFERROR(IF(AND(H1096&lt;&gt;"",H1096&gt;=129,H1096&lt;=2176),INDEX(Fields!$K$2:$K$206,MATCH(H1096-129,Fields!$D$2:$D$206,1)),""),"")</f>
        <v/>
      </c>
    </row>
    <row r="1097">
      <c r="A1097" t="n">
        <v>1095</v>
      </c>
      <c r="B1097" t="n">
        <v>0</v>
      </c>
      <c r="C1097" t="inlineStr">
        <is>
          <t>No</t>
        </is>
      </c>
      <c r="D1097">
        <f>IF(AND(B1092=1,B1093=1,B1094=1,B1095=1,B1096=1),"Yes","")</f>
        <v/>
      </c>
      <c r="E1097" t="inlineStr">
        <is>
          <t>No</t>
        </is>
      </c>
      <c r="F1097" t="inlineStr">
        <is>
          <t>No</t>
        </is>
      </c>
      <c r="G1097">
        <f>IF(F1097="Yes",1-B1097,B1097)</f>
        <v/>
      </c>
      <c r="H1097">
        <f>IF(E1097="Yes","",COUNTIFS($E$2:E1097,"No"))</f>
        <v/>
      </c>
      <c r="I1097">
        <f>IF(H1097="","",IF(H1097&lt;=128,"address",IF(H1097&lt;=600,"data1",IF(H1097&lt;=1264,"zero-run1",IF(H1097&lt;=1648,"data2",IF(H1097&lt;=2176,"zero-run2",IF(H1097&lt;=2192,"FCS","trailing")))))))</f>
        <v/>
      </c>
      <c r="J1097">
        <f>IFERROR(IF(AND(H1097&lt;&gt;"",H1097&gt;=129,H1097&lt;=2176),INDEX(Fields!$B$2:$B$206,MATCH(H1097-129,Fields!$D$2:$D$206,1)),""),"")</f>
        <v/>
      </c>
      <c r="K1097">
        <f>IFERROR(IF(AND(H1097&lt;&gt;"",H1097&gt;=129,H1097&lt;=2176),INDEX(Fields!$C$2:$C$206,MATCH(H1097-129,Fields!$D$2:$D$206,1)),""),"")</f>
        <v/>
      </c>
      <c r="L1097">
        <f>IFERROR(IF(AND(H1097&lt;&gt;"",H1097&gt;=129,H1097&lt;=2176),INDEX(Fields!$J$2:$J$206,MATCH(H1097-129,Fields!$D$2:$D$206,1)),""),"")</f>
        <v/>
      </c>
      <c r="M1097">
        <f>IFERROR(IF(AND(H1097&lt;&gt;"",H1097&gt;=129,H1097&lt;=2176),INDEX(Fields!$K$2:$K$206,MATCH(H1097-129,Fields!$D$2:$D$206,1)),""),"")</f>
        <v/>
      </c>
    </row>
    <row r="1098">
      <c r="A1098" t="n">
        <v>1096</v>
      </c>
      <c r="B1098" t="n">
        <v>0</v>
      </c>
      <c r="C1098" t="inlineStr">
        <is>
          <t>No</t>
        </is>
      </c>
      <c r="D1098">
        <f>IF(AND(B1093=1,B1094=1,B1095=1,B1096=1,B1097=1),"Yes","")</f>
        <v/>
      </c>
      <c r="E1098" t="inlineStr">
        <is>
          <t>No</t>
        </is>
      </c>
      <c r="F1098" t="inlineStr">
        <is>
          <t>No</t>
        </is>
      </c>
      <c r="G1098">
        <f>IF(F1098="Yes",1-B1098,B1098)</f>
        <v/>
      </c>
      <c r="H1098">
        <f>IF(E1098="Yes","",COUNTIFS($E$2:E1098,"No"))</f>
        <v/>
      </c>
      <c r="I1098">
        <f>IF(H1098="","",IF(H1098&lt;=128,"address",IF(H1098&lt;=600,"data1",IF(H1098&lt;=1264,"zero-run1",IF(H1098&lt;=1648,"data2",IF(H1098&lt;=2176,"zero-run2",IF(H1098&lt;=2192,"FCS","trailing")))))))</f>
        <v/>
      </c>
      <c r="J1098">
        <f>IFERROR(IF(AND(H1098&lt;&gt;"",H1098&gt;=129,H1098&lt;=2176),INDEX(Fields!$B$2:$B$206,MATCH(H1098-129,Fields!$D$2:$D$206,1)),""),"")</f>
        <v/>
      </c>
      <c r="K1098">
        <f>IFERROR(IF(AND(H1098&lt;&gt;"",H1098&gt;=129,H1098&lt;=2176),INDEX(Fields!$C$2:$C$206,MATCH(H1098-129,Fields!$D$2:$D$206,1)),""),"")</f>
        <v/>
      </c>
      <c r="L1098">
        <f>IFERROR(IF(AND(H1098&lt;&gt;"",H1098&gt;=129,H1098&lt;=2176),INDEX(Fields!$J$2:$J$206,MATCH(H1098-129,Fields!$D$2:$D$206,1)),""),"")</f>
        <v/>
      </c>
      <c r="M1098">
        <f>IFERROR(IF(AND(H1098&lt;&gt;"",H1098&gt;=129,H1098&lt;=2176),INDEX(Fields!$K$2:$K$206,MATCH(H1098-129,Fields!$D$2:$D$206,1)),""),"")</f>
        <v/>
      </c>
    </row>
    <row r="1099">
      <c r="A1099" t="n">
        <v>1097</v>
      </c>
      <c r="B1099" t="n">
        <v>0</v>
      </c>
      <c r="C1099" t="inlineStr">
        <is>
          <t>No</t>
        </is>
      </c>
      <c r="D1099">
        <f>IF(AND(B1094=1,B1095=1,B1096=1,B1097=1,B1098=1),"Yes","")</f>
        <v/>
      </c>
      <c r="E1099" t="inlineStr">
        <is>
          <t>No</t>
        </is>
      </c>
      <c r="F1099" t="inlineStr">
        <is>
          <t>No</t>
        </is>
      </c>
      <c r="G1099">
        <f>IF(F1099="Yes",1-B1099,B1099)</f>
        <v/>
      </c>
      <c r="H1099">
        <f>IF(E1099="Yes","",COUNTIFS($E$2:E1099,"No"))</f>
        <v/>
      </c>
      <c r="I1099">
        <f>IF(H1099="","",IF(H1099&lt;=128,"address",IF(H1099&lt;=600,"data1",IF(H1099&lt;=1264,"zero-run1",IF(H1099&lt;=1648,"data2",IF(H1099&lt;=2176,"zero-run2",IF(H1099&lt;=2192,"FCS","trailing")))))))</f>
        <v/>
      </c>
      <c r="J1099">
        <f>IFERROR(IF(AND(H1099&lt;&gt;"",H1099&gt;=129,H1099&lt;=2176),INDEX(Fields!$B$2:$B$206,MATCH(H1099-129,Fields!$D$2:$D$206,1)),""),"")</f>
        <v/>
      </c>
      <c r="K1099">
        <f>IFERROR(IF(AND(H1099&lt;&gt;"",H1099&gt;=129,H1099&lt;=2176),INDEX(Fields!$C$2:$C$206,MATCH(H1099-129,Fields!$D$2:$D$206,1)),""),"")</f>
        <v/>
      </c>
      <c r="L1099">
        <f>IFERROR(IF(AND(H1099&lt;&gt;"",H1099&gt;=129,H1099&lt;=2176),INDEX(Fields!$J$2:$J$206,MATCH(H1099-129,Fields!$D$2:$D$206,1)),""),"")</f>
        <v/>
      </c>
      <c r="M1099">
        <f>IFERROR(IF(AND(H1099&lt;&gt;"",H1099&gt;=129,H1099&lt;=2176),INDEX(Fields!$K$2:$K$206,MATCH(H1099-129,Fields!$D$2:$D$206,1)),""),"")</f>
        <v/>
      </c>
    </row>
    <row r="1100">
      <c r="A1100" t="n">
        <v>1098</v>
      </c>
      <c r="B1100" t="n">
        <v>0</v>
      </c>
      <c r="C1100" t="inlineStr">
        <is>
          <t>No</t>
        </is>
      </c>
      <c r="D1100">
        <f>IF(AND(B1095=1,B1096=1,B1097=1,B1098=1,B1099=1),"Yes","")</f>
        <v/>
      </c>
      <c r="E1100" t="inlineStr">
        <is>
          <t>No</t>
        </is>
      </c>
      <c r="F1100" t="inlineStr">
        <is>
          <t>No</t>
        </is>
      </c>
      <c r="G1100">
        <f>IF(F1100="Yes",1-B1100,B1100)</f>
        <v/>
      </c>
      <c r="H1100">
        <f>IF(E1100="Yes","",COUNTIFS($E$2:E1100,"No"))</f>
        <v/>
      </c>
      <c r="I1100">
        <f>IF(H1100="","",IF(H1100&lt;=128,"address",IF(H1100&lt;=600,"data1",IF(H1100&lt;=1264,"zero-run1",IF(H1100&lt;=1648,"data2",IF(H1100&lt;=2176,"zero-run2",IF(H1100&lt;=2192,"FCS","trailing")))))))</f>
        <v/>
      </c>
      <c r="J1100">
        <f>IFERROR(IF(AND(H1100&lt;&gt;"",H1100&gt;=129,H1100&lt;=2176),INDEX(Fields!$B$2:$B$206,MATCH(H1100-129,Fields!$D$2:$D$206,1)),""),"")</f>
        <v/>
      </c>
      <c r="K1100">
        <f>IFERROR(IF(AND(H1100&lt;&gt;"",H1100&gt;=129,H1100&lt;=2176),INDEX(Fields!$C$2:$C$206,MATCH(H1100-129,Fields!$D$2:$D$206,1)),""),"")</f>
        <v/>
      </c>
      <c r="L1100">
        <f>IFERROR(IF(AND(H1100&lt;&gt;"",H1100&gt;=129,H1100&lt;=2176),INDEX(Fields!$J$2:$J$206,MATCH(H1100-129,Fields!$D$2:$D$206,1)),""),"")</f>
        <v/>
      </c>
      <c r="M1100">
        <f>IFERROR(IF(AND(H1100&lt;&gt;"",H1100&gt;=129,H1100&lt;=2176),INDEX(Fields!$K$2:$K$206,MATCH(H1100-129,Fields!$D$2:$D$206,1)),""),"")</f>
        <v/>
      </c>
    </row>
    <row r="1101">
      <c r="A1101" t="n">
        <v>1099</v>
      </c>
      <c r="B1101" t="n">
        <v>0</v>
      </c>
      <c r="C1101" t="inlineStr">
        <is>
          <t>No</t>
        </is>
      </c>
      <c r="D1101">
        <f>IF(AND(B1096=1,B1097=1,B1098=1,B1099=1,B1100=1),"Yes","")</f>
        <v/>
      </c>
      <c r="E1101" t="inlineStr">
        <is>
          <t>No</t>
        </is>
      </c>
      <c r="F1101" t="inlineStr">
        <is>
          <t>No</t>
        </is>
      </c>
      <c r="G1101">
        <f>IF(F1101="Yes",1-B1101,B1101)</f>
        <v/>
      </c>
      <c r="H1101">
        <f>IF(E1101="Yes","",COUNTIFS($E$2:E1101,"No"))</f>
        <v/>
      </c>
      <c r="I1101">
        <f>IF(H1101="","",IF(H1101&lt;=128,"address",IF(H1101&lt;=600,"data1",IF(H1101&lt;=1264,"zero-run1",IF(H1101&lt;=1648,"data2",IF(H1101&lt;=2176,"zero-run2",IF(H1101&lt;=2192,"FCS","trailing")))))))</f>
        <v/>
      </c>
      <c r="J1101">
        <f>IFERROR(IF(AND(H1101&lt;&gt;"",H1101&gt;=129,H1101&lt;=2176),INDEX(Fields!$B$2:$B$206,MATCH(H1101-129,Fields!$D$2:$D$206,1)),""),"")</f>
        <v/>
      </c>
      <c r="K1101">
        <f>IFERROR(IF(AND(H1101&lt;&gt;"",H1101&gt;=129,H1101&lt;=2176),INDEX(Fields!$C$2:$C$206,MATCH(H1101-129,Fields!$D$2:$D$206,1)),""),"")</f>
        <v/>
      </c>
      <c r="L1101">
        <f>IFERROR(IF(AND(H1101&lt;&gt;"",H1101&gt;=129,H1101&lt;=2176),INDEX(Fields!$J$2:$J$206,MATCH(H1101-129,Fields!$D$2:$D$206,1)),""),"")</f>
        <v/>
      </c>
      <c r="M1101">
        <f>IFERROR(IF(AND(H1101&lt;&gt;"",H1101&gt;=129,H1101&lt;=2176),INDEX(Fields!$K$2:$K$206,MATCH(H1101-129,Fields!$D$2:$D$206,1)),""),"")</f>
        <v/>
      </c>
    </row>
    <row r="1102">
      <c r="A1102" t="n">
        <v>1100</v>
      </c>
      <c r="B1102" t="n">
        <v>0</v>
      </c>
      <c r="C1102" t="inlineStr">
        <is>
          <t>No</t>
        </is>
      </c>
      <c r="D1102">
        <f>IF(AND(B1097=1,B1098=1,B1099=1,B1100=1,B1101=1),"Yes","")</f>
        <v/>
      </c>
      <c r="E1102" t="inlineStr">
        <is>
          <t>No</t>
        </is>
      </c>
      <c r="F1102" t="inlineStr">
        <is>
          <t>No</t>
        </is>
      </c>
      <c r="G1102">
        <f>IF(F1102="Yes",1-B1102,B1102)</f>
        <v/>
      </c>
      <c r="H1102">
        <f>IF(E1102="Yes","",COUNTIFS($E$2:E1102,"No"))</f>
        <v/>
      </c>
      <c r="I1102">
        <f>IF(H1102="","",IF(H1102&lt;=128,"address",IF(H1102&lt;=600,"data1",IF(H1102&lt;=1264,"zero-run1",IF(H1102&lt;=1648,"data2",IF(H1102&lt;=2176,"zero-run2",IF(H1102&lt;=2192,"FCS","trailing")))))))</f>
        <v/>
      </c>
      <c r="J1102">
        <f>IFERROR(IF(AND(H1102&lt;&gt;"",H1102&gt;=129,H1102&lt;=2176),INDEX(Fields!$B$2:$B$206,MATCH(H1102-129,Fields!$D$2:$D$206,1)),""),"")</f>
        <v/>
      </c>
      <c r="K1102">
        <f>IFERROR(IF(AND(H1102&lt;&gt;"",H1102&gt;=129,H1102&lt;=2176),INDEX(Fields!$C$2:$C$206,MATCH(H1102-129,Fields!$D$2:$D$206,1)),""),"")</f>
        <v/>
      </c>
      <c r="L1102">
        <f>IFERROR(IF(AND(H1102&lt;&gt;"",H1102&gt;=129,H1102&lt;=2176),INDEX(Fields!$J$2:$J$206,MATCH(H1102-129,Fields!$D$2:$D$206,1)),""),"")</f>
        <v/>
      </c>
      <c r="M1102">
        <f>IFERROR(IF(AND(H1102&lt;&gt;"",H1102&gt;=129,H1102&lt;=2176),INDEX(Fields!$K$2:$K$206,MATCH(H1102-129,Fields!$D$2:$D$206,1)),""),"")</f>
        <v/>
      </c>
    </row>
    <row r="1103">
      <c r="A1103" t="n">
        <v>1101</v>
      </c>
      <c r="B1103" t="n">
        <v>0</v>
      </c>
      <c r="C1103" t="inlineStr">
        <is>
          <t>No</t>
        </is>
      </c>
      <c r="D1103">
        <f>IF(AND(B1098=1,B1099=1,B1100=1,B1101=1,B1102=1),"Yes","")</f>
        <v/>
      </c>
      <c r="E1103" t="inlineStr">
        <is>
          <t>No</t>
        </is>
      </c>
      <c r="F1103" t="inlineStr">
        <is>
          <t>No</t>
        </is>
      </c>
      <c r="G1103">
        <f>IF(F1103="Yes",1-B1103,B1103)</f>
        <v/>
      </c>
      <c r="H1103">
        <f>IF(E1103="Yes","",COUNTIFS($E$2:E1103,"No"))</f>
        <v/>
      </c>
      <c r="I1103">
        <f>IF(H1103="","",IF(H1103&lt;=128,"address",IF(H1103&lt;=600,"data1",IF(H1103&lt;=1264,"zero-run1",IF(H1103&lt;=1648,"data2",IF(H1103&lt;=2176,"zero-run2",IF(H1103&lt;=2192,"FCS","trailing")))))))</f>
        <v/>
      </c>
      <c r="J1103">
        <f>IFERROR(IF(AND(H1103&lt;&gt;"",H1103&gt;=129,H1103&lt;=2176),INDEX(Fields!$B$2:$B$206,MATCH(H1103-129,Fields!$D$2:$D$206,1)),""),"")</f>
        <v/>
      </c>
      <c r="K1103">
        <f>IFERROR(IF(AND(H1103&lt;&gt;"",H1103&gt;=129,H1103&lt;=2176),INDEX(Fields!$C$2:$C$206,MATCH(H1103-129,Fields!$D$2:$D$206,1)),""),"")</f>
        <v/>
      </c>
      <c r="L1103">
        <f>IFERROR(IF(AND(H1103&lt;&gt;"",H1103&gt;=129,H1103&lt;=2176),INDEX(Fields!$J$2:$J$206,MATCH(H1103-129,Fields!$D$2:$D$206,1)),""),"")</f>
        <v/>
      </c>
      <c r="M1103">
        <f>IFERROR(IF(AND(H1103&lt;&gt;"",H1103&gt;=129,H1103&lt;=2176),INDEX(Fields!$K$2:$K$206,MATCH(H1103-129,Fields!$D$2:$D$206,1)),""),"")</f>
        <v/>
      </c>
    </row>
    <row r="1104">
      <c r="A1104" t="n">
        <v>1102</v>
      </c>
      <c r="B1104" t="n">
        <v>0</v>
      </c>
      <c r="C1104" t="inlineStr">
        <is>
          <t>No</t>
        </is>
      </c>
      <c r="D1104">
        <f>IF(AND(B1099=1,B1100=1,B1101=1,B1102=1,B1103=1),"Yes","")</f>
        <v/>
      </c>
      <c r="E1104" t="inlineStr">
        <is>
          <t>No</t>
        </is>
      </c>
      <c r="F1104" t="inlineStr">
        <is>
          <t>No</t>
        </is>
      </c>
      <c r="G1104">
        <f>IF(F1104="Yes",1-B1104,B1104)</f>
        <v/>
      </c>
      <c r="H1104">
        <f>IF(E1104="Yes","",COUNTIFS($E$2:E1104,"No"))</f>
        <v/>
      </c>
      <c r="I1104">
        <f>IF(H1104="","",IF(H1104&lt;=128,"address",IF(H1104&lt;=600,"data1",IF(H1104&lt;=1264,"zero-run1",IF(H1104&lt;=1648,"data2",IF(H1104&lt;=2176,"zero-run2",IF(H1104&lt;=2192,"FCS","trailing")))))))</f>
        <v/>
      </c>
      <c r="J1104">
        <f>IFERROR(IF(AND(H1104&lt;&gt;"",H1104&gt;=129,H1104&lt;=2176),INDEX(Fields!$B$2:$B$206,MATCH(H1104-129,Fields!$D$2:$D$206,1)),""),"")</f>
        <v/>
      </c>
      <c r="K1104">
        <f>IFERROR(IF(AND(H1104&lt;&gt;"",H1104&gt;=129,H1104&lt;=2176),INDEX(Fields!$C$2:$C$206,MATCH(H1104-129,Fields!$D$2:$D$206,1)),""),"")</f>
        <v/>
      </c>
      <c r="L1104">
        <f>IFERROR(IF(AND(H1104&lt;&gt;"",H1104&gt;=129,H1104&lt;=2176),INDEX(Fields!$J$2:$J$206,MATCH(H1104-129,Fields!$D$2:$D$206,1)),""),"")</f>
        <v/>
      </c>
      <c r="M1104">
        <f>IFERROR(IF(AND(H1104&lt;&gt;"",H1104&gt;=129,H1104&lt;=2176),INDEX(Fields!$K$2:$K$206,MATCH(H1104-129,Fields!$D$2:$D$206,1)),""),"")</f>
        <v/>
      </c>
    </row>
    <row r="1105">
      <c r="A1105" t="n">
        <v>1103</v>
      </c>
      <c r="B1105" t="n">
        <v>0</v>
      </c>
      <c r="C1105" t="inlineStr">
        <is>
          <t>No</t>
        </is>
      </c>
      <c r="D1105">
        <f>IF(AND(B1100=1,B1101=1,B1102=1,B1103=1,B1104=1),"Yes","")</f>
        <v/>
      </c>
      <c r="E1105" t="inlineStr">
        <is>
          <t>No</t>
        </is>
      </c>
      <c r="F1105" t="inlineStr">
        <is>
          <t>No</t>
        </is>
      </c>
      <c r="G1105">
        <f>IF(F1105="Yes",1-B1105,B1105)</f>
        <v/>
      </c>
      <c r="H1105">
        <f>IF(E1105="Yes","",COUNTIFS($E$2:E1105,"No"))</f>
        <v/>
      </c>
      <c r="I1105">
        <f>IF(H1105="","",IF(H1105&lt;=128,"address",IF(H1105&lt;=600,"data1",IF(H1105&lt;=1264,"zero-run1",IF(H1105&lt;=1648,"data2",IF(H1105&lt;=2176,"zero-run2",IF(H1105&lt;=2192,"FCS","trailing")))))))</f>
        <v/>
      </c>
      <c r="J1105">
        <f>IFERROR(IF(AND(H1105&lt;&gt;"",H1105&gt;=129,H1105&lt;=2176),INDEX(Fields!$B$2:$B$206,MATCH(H1105-129,Fields!$D$2:$D$206,1)),""),"")</f>
        <v/>
      </c>
      <c r="K1105">
        <f>IFERROR(IF(AND(H1105&lt;&gt;"",H1105&gt;=129,H1105&lt;=2176),INDEX(Fields!$C$2:$C$206,MATCH(H1105-129,Fields!$D$2:$D$206,1)),""),"")</f>
        <v/>
      </c>
      <c r="L1105">
        <f>IFERROR(IF(AND(H1105&lt;&gt;"",H1105&gt;=129,H1105&lt;=2176),INDEX(Fields!$J$2:$J$206,MATCH(H1105-129,Fields!$D$2:$D$206,1)),""),"")</f>
        <v/>
      </c>
      <c r="M1105">
        <f>IFERROR(IF(AND(H1105&lt;&gt;"",H1105&gt;=129,H1105&lt;=2176),INDEX(Fields!$K$2:$K$206,MATCH(H1105-129,Fields!$D$2:$D$206,1)),""),"")</f>
        <v/>
      </c>
    </row>
    <row r="1106">
      <c r="A1106" t="n">
        <v>1104</v>
      </c>
      <c r="B1106" t="n">
        <v>0</v>
      </c>
      <c r="C1106" t="inlineStr">
        <is>
          <t>No</t>
        </is>
      </c>
      <c r="D1106">
        <f>IF(AND(B1101=1,B1102=1,B1103=1,B1104=1,B1105=1),"Yes","")</f>
        <v/>
      </c>
      <c r="E1106" t="inlineStr">
        <is>
          <t>No</t>
        </is>
      </c>
      <c r="F1106" t="inlineStr">
        <is>
          <t>No</t>
        </is>
      </c>
      <c r="G1106">
        <f>IF(F1106="Yes",1-B1106,B1106)</f>
        <v/>
      </c>
      <c r="H1106">
        <f>IF(E1106="Yes","",COUNTIFS($E$2:E1106,"No"))</f>
        <v/>
      </c>
      <c r="I1106">
        <f>IF(H1106="","",IF(H1106&lt;=128,"address",IF(H1106&lt;=600,"data1",IF(H1106&lt;=1264,"zero-run1",IF(H1106&lt;=1648,"data2",IF(H1106&lt;=2176,"zero-run2",IF(H1106&lt;=2192,"FCS","trailing")))))))</f>
        <v/>
      </c>
      <c r="J1106">
        <f>IFERROR(IF(AND(H1106&lt;&gt;"",H1106&gt;=129,H1106&lt;=2176),INDEX(Fields!$B$2:$B$206,MATCH(H1106-129,Fields!$D$2:$D$206,1)),""),"")</f>
        <v/>
      </c>
      <c r="K1106">
        <f>IFERROR(IF(AND(H1106&lt;&gt;"",H1106&gt;=129,H1106&lt;=2176),INDEX(Fields!$C$2:$C$206,MATCH(H1106-129,Fields!$D$2:$D$206,1)),""),"")</f>
        <v/>
      </c>
      <c r="L1106">
        <f>IFERROR(IF(AND(H1106&lt;&gt;"",H1106&gt;=129,H1106&lt;=2176),INDEX(Fields!$J$2:$J$206,MATCH(H1106-129,Fields!$D$2:$D$206,1)),""),"")</f>
        <v/>
      </c>
      <c r="M1106">
        <f>IFERROR(IF(AND(H1106&lt;&gt;"",H1106&gt;=129,H1106&lt;=2176),INDEX(Fields!$K$2:$K$206,MATCH(H1106-129,Fields!$D$2:$D$206,1)),""),"")</f>
        <v/>
      </c>
    </row>
    <row r="1107">
      <c r="A1107" t="n">
        <v>1105</v>
      </c>
      <c r="B1107" t="n">
        <v>0</v>
      </c>
      <c r="C1107" t="inlineStr">
        <is>
          <t>No</t>
        </is>
      </c>
      <c r="D1107">
        <f>IF(AND(B1102=1,B1103=1,B1104=1,B1105=1,B1106=1),"Yes","")</f>
        <v/>
      </c>
      <c r="E1107" t="inlineStr">
        <is>
          <t>No</t>
        </is>
      </c>
      <c r="F1107" t="inlineStr">
        <is>
          <t>No</t>
        </is>
      </c>
      <c r="G1107">
        <f>IF(F1107="Yes",1-B1107,B1107)</f>
        <v/>
      </c>
      <c r="H1107">
        <f>IF(E1107="Yes","",COUNTIFS($E$2:E1107,"No"))</f>
        <v/>
      </c>
      <c r="I1107">
        <f>IF(H1107="","",IF(H1107&lt;=128,"address",IF(H1107&lt;=600,"data1",IF(H1107&lt;=1264,"zero-run1",IF(H1107&lt;=1648,"data2",IF(H1107&lt;=2176,"zero-run2",IF(H1107&lt;=2192,"FCS","trailing")))))))</f>
        <v/>
      </c>
      <c r="J1107">
        <f>IFERROR(IF(AND(H1107&lt;&gt;"",H1107&gt;=129,H1107&lt;=2176),INDEX(Fields!$B$2:$B$206,MATCH(H1107-129,Fields!$D$2:$D$206,1)),""),"")</f>
        <v/>
      </c>
      <c r="K1107">
        <f>IFERROR(IF(AND(H1107&lt;&gt;"",H1107&gt;=129,H1107&lt;=2176),INDEX(Fields!$C$2:$C$206,MATCH(H1107-129,Fields!$D$2:$D$206,1)),""),"")</f>
        <v/>
      </c>
      <c r="L1107">
        <f>IFERROR(IF(AND(H1107&lt;&gt;"",H1107&gt;=129,H1107&lt;=2176),INDEX(Fields!$J$2:$J$206,MATCH(H1107-129,Fields!$D$2:$D$206,1)),""),"")</f>
        <v/>
      </c>
      <c r="M1107">
        <f>IFERROR(IF(AND(H1107&lt;&gt;"",H1107&gt;=129,H1107&lt;=2176),INDEX(Fields!$K$2:$K$206,MATCH(H1107-129,Fields!$D$2:$D$206,1)),""),"")</f>
        <v/>
      </c>
    </row>
    <row r="1108">
      <c r="A1108" t="n">
        <v>1106</v>
      </c>
      <c r="B1108" t="n">
        <v>0</v>
      </c>
      <c r="C1108" t="inlineStr">
        <is>
          <t>No</t>
        </is>
      </c>
      <c r="D1108">
        <f>IF(AND(B1103=1,B1104=1,B1105=1,B1106=1,B1107=1),"Yes","")</f>
        <v/>
      </c>
      <c r="E1108" t="inlineStr">
        <is>
          <t>No</t>
        </is>
      </c>
      <c r="F1108" t="inlineStr">
        <is>
          <t>No</t>
        </is>
      </c>
      <c r="G1108">
        <f>IF(F1108="Yes",1-B1108,B1108)</f>
        <v/>
      </c>
      <c r="H1108">
        <f>IF(E1108="Yes","",COUNTIFS($E$2:E1108,"No"))</f>
        <v/>
      </c>
      <c r="I1108">
        <f>IF(H1108="","",IF(H1108&lt;=128,"address",IF(H1108&lt;=600,"data1",IF(H1108&lt;=1264,"zero-run1",IF(H1108&lt;=1648,"data2",IF(H1108&lt;=2176,"zero-run2",IF(H1108&lt;=2192,"FCS","trailing")))))))</f>
        <v/>
      </c>
      <c r="J1108">
        <f>IFERROR(IF(AND(H1108&lt;&gt;"",H1108&gt;=129,H1108&lt;=2176),INDEX(Fields!$B$2:$B$206,MATCH(H1108-129,Fields!$D$2:$D$206,1)),""),"")</f>
        <v/>
      </c>
      <c r="K1108">
        <f>IFERROR(IF(AND(H1108&lt;&gt;"",H1108&gt;=129,H1108&lt;=2176),INDEX(Fields!$C$2:$C$206,MATCH(H1108-129,Fields!$D$2:$D$206,1)),""),"")</f>
        <v/>
      </c>
      <c r="L1108">
        <f>IFERROR(IF(AND(H1108&lt;&gt;"",H1108&gt;=129,H1108&lt;=2176),INDEX(Fields!$J$2:$J$206,MATCH(H1108-129,Fields!$D$2:$D$206,1)),""),"")</f>
        <v/>
      </c>
      <c r="M1108">
        <f>IFERROR(IF(AND(H1108&lt;&gt;"",H1108&gt;=129,H1108&lt;=2176),INDEX(Fields!$K$2:$K$206,MATCH(H1108-129,Fields!$D$2:$D$206,1)),""),"")</f>
        <v/>
      </c>
    </row>
    <row r="1109">
      <c r="A1109" t="n">
        <v>1107</v>
      </c>
      <c r="B1109" t="n">
        <v>0</v>
      </c>
      <c r="C1109" t="inlineStr">
        <is>
          <t>No</t>
        </is>
      </c>
      <c r="D1109">
        <f>IF(AND(B1104=1,B1105=1,B1106=1,B1107=1,B1108=1),"Yes","")</f>
        <v/>
      </c>
      <c r="E1109" t="inlineStr">
        <is>
          <t>No</t>
        </is>
      </c>
      <c r="F1109" t="inlineStr">
        <is>
          <t>No</t>
        </is>
      </c>
      <c r="G1109">
        <f>IF(F1109="Yes",1-B1109,B1109)</f>
        <v/>
      </c>
      <c r="H1109">
        <f>IF(E1109="Yes","",COUNTIFS($E$2:E1109,"No"))</f>
        <v/>
      </c>
      <c r="I1109">
        <f>IF(H1109="","",IF(H1109&lt;=128,"address",IF(H1109&lt;=600,"data1",IF(H1109&lt;=1264,"zero-run1",IF(H1109&lt;=1648,"data2",IF(H1109&lt;=2176,"zero-run2",IF(H1109&lt;=2192,"FCS","trailing")))))))</f>
        <v/>
      </c>
      <c r="J1109">
        <f>IFERROR(IF(AND(H1109&lt;&gt;"",H1109&gt;=129,H1109&lt;=2176),INDEX(Fields!$B$2:$B$206,MATCH(H1109-129,Fields!$D$2:$D$206,1)),""),"")</f>
        <v/>
      </c>
      <c r="K1109">
        <f>IFERROR(IF(AND(H1109&lt;&gt;"",H1109&gt;=129,H1109&lt;=2176),INDEX(Fields!$C$2:$C$206,MATCH(H1109-129,Fields!$D$2:$D$206,1)),""),"")</f>
        <v/>
      </c>
      <c r="L1109">
        <f>IFERROR(IF(AND(H1109&lt;&gt;"",H1109&gt;=129,H1109&lt;=2176),INDEX(Fields!$J$2:$J$206,MATCH(H1109-129,Fields!$D$2:$D$206,1)),""),"")</f>
        <v/>
      </c>
      <c r="M1109">
        <f>IFERROR(IF(AND(H1109&lt;&gt;"",H1109&gt;=129,H1109&lt;=2176),INDEX(Fields!$K$2:$K$206,MATCH(H1109-129,Fields!$D$2:$D$206,1)),""),"")</f>
        <v/>
      </c>
    </row>
    <row r="1110">
      <c r="A1110" t="n">
        <v>1108</v>
      </c>
      <c r="B1110" t="n">
        <v>0</v>
      </c>
      <c r="C1110" t="inlineStr">
        <is>
          <t>No</t>
        </is>
      </c>
      <c r="D1110">
        <f>IF(AND(B1105=1,B1106=1,B1107=1,B1108=1,B1109=1),"Yes","")</f>
        <v/>
      </c>
      <c r="E1110" t="inlineStr">
        <is>
          <t>No</t>
        </is>
      </c>
      <c r="F1110" t="inlineStr">
        <is>
          <t>No</t>
        </is>
      </c>
      <c r="G1110">
        <f>IF(F1110="Yes",1-B1110,B1110)</f>
        <v/>
      </c>
      <c r="H1110">
        <f>IF(E1110="Yes","",COUNTIFS($E$2:E1110,"No"))</f>
        <v/>
      </c>
      <c r="I1110">
        <f>IF(H1110="","",IF(H1110&lt;=128,"address",IF(H1110&lt;=600,"data1",IF(H1110&lt;=1264,"zero-run1",IF(H1110&lt;=1648,"data2",IF(H1110&lt;=2176,"zero-run2",IF(H1110&lt;=2192,"FCS","trailing")))))))</f>
        <v/>
      </c>
      <c r="J1110">
        <f>IFERROR(IF(AND(H1110&lt;&gt;"",H1110&gt;=129,H1110&lt;=2176),INDEX(Fields!$B$2:$B$206,MATCH(H1110-129,Fields!$D$2:$D$206,1)),""),"")</f>
        <v/>
      </c>
      <c r="K1110">
        <f>IFERROR(IF(AND(H1110&lt;&gt;"",H1110&gt;=129,H1110&lt;=2176),INDEX(Fields!$C$2:$C$206,MATCH(H1110-129,Fields!$D$2:$D$206,1)),""),"")</f>
        <v/>
      </c>
      <c r="L1110">
        <f>IFERROR(IF(AND(H1110&lt;&gt;"",H1110&gt;=129,H1110&lt;=2176),INDEX(Fields!$J$2:$J$206,MATCH(H1110-129,Fields!$D$2:$D$206,1)),""),"")</f>
        <v/>
      </c>
      <c r="M1110">
        <f>IFERROR(IF(AND(H1110&lt;&gt;"",H1110&gt;=129,H1110&lt;=2176),INDEX(Fields!$K$2:$K$206,MATCH(H1110-129,Fields!$D$2:$D$206,1)),""),"")</f>
        <v/>
      </c>
    </row>
    <row r="1111">
      <c r="A1111" t="n">
        <v>1109</v>
      </c>
      <c r="B1111" t="n">
        <v>0</v>
      </c>
      <c r="C1111" t="inlineStr">
        <is>
          <t>No</t>
        </is>
      </c>
      <c r="D1111">
        <f>IF(AND(B1106=1,B1107=1,B1108=1,B1109=1,B1110=1),"Yes","")</f>
        <v/>
      </c>
      <c r="E1111" t="inlineStr">
        <is>
          <t>No</t>
        </is>
      </c>
      <c r="F1111" t="inlineStr">
        <is>
          <t>No</t>
        </is>
      </c>
      <c r="G1111">
        <f>IF(F1111="Yes",1-B1111,B1111)</f>
        <v/>
      </c>
      <c r="H1111">
        <f>IF(E1111="Yes","",COUNTIFS($E$2:E1111,"No"))</f>
        <v/>
      </c>
      <c r="I1111">
        <f>IF(H1111="","",IF(H1111&lt;=128,"address",IF(H1111&lt;=600,"data1",IF(H1111&lt;=1264,"zero-run1",IF(H1111&lt;=1648,"data2",IF(H1111&lt;=2176,"zero-run2",IF(H1111&lt;=2192,"FCS","trailing")))))))</f>
        <v/>
      </c>
      <c r="J1111">
        <f>IFERROR(IF(AND(H1111&lt;&gt;"",H1111&gt;=129,H1111&lt;=2176),INDEX(Fields!$B$2:$B$206,MATCH(H1111-129,Fields!$D$2:$D$206,1)),""),"")</f>
        <v/>
      </c>
      <c r="K1111">
        <f>IFERROR(IF(AND(H1111&lt;&gt;"",H1111&gt;=129,H1111&lt;=2176),INDEX(Fields!$C$2:$C$206,MATCH(H1111-129,Fields!$D$2:$D$206,1)),""),"")</f>
        <v/>
      </c>
      <c r="L1111">
        <f>IFERROR(IF(AND(H1111&lt;&gt;"",H1111&gt;=129,H1111&lt;=2176),INDEX(Fields!$J$2:$J$206,MATCH(H1111-129,Fields!$D$2:$D$206,1)),""),"")</f>
        <v/>
      </c>
      <c r="M1111">
        <f>IFERROR(IF(AND(H1111&lt;&gt;"",H1111&gt;=129,H1111&lt;=2176),INDEX(Fields!$K$2:$K$206,MATCH(H1111-129,Fields!$D$2:$D$206,1)),""),"")</f>
        <v/>
      </c>
    </row>
    <row r="1112">
      <c r="A1112" t="n">
        <v>1110</v>
      </c>
      <c r="B1112" t="n">
        <v>0</v>
      </c>
      <c r="C1112" t="inlineStr">
        <is>
          <t>No</t>
        </is>
      </c>
      <c r="D1112">
        <f>IF(AND(B1107=1,B1108=1,B1109=1,B1110=1,B1111=1),"Yes","")</f>
        <v/>
      </c>
      <c r="E1112" t="inlineStr">
        <is>
          <t>No</t>
        </is>
      </c>
      <c r="F1112" t="inlineStr">
        <is>
          <t>No</t>
        </is>
      </c>
      <c r="G1112">
        <f>IF(F1112="Yes",1-B1112,B1112)</f>
        <v/>
      </c>
      <c r="H1112">
        <f>IF(E1112="Yes","",COUNTIFS($E$2:E1112,"No"))</f>
        <v/>
      </c>
      <c r="I1112">
        <f>IF(H1112="","",IF(H1112&lt;=128,"address",IF(H1112&lt;=600,"data1",IF(H1112&lt;=1264,"zero-run1",IF(H1112&lt;=1648,"data2",IF(H1112&lt;=2176,"zero-run2",IF(H1112&lt;=2192,"FCS","trailing")))))))</f>
        <v/>
      </c>
      <c r="J1112">
        <f>IFERROR(IF(AND(H1112&lt;&gt;"",H1112&gt;=129,H1112&lt;=2176),INDEX(Fields!$B$2:$B$206,MATCH(H1112-129,Fields!$D$2:$D$206,1)),""),"")</f>
        <v/>
      </c>
      <c r="K1112">
        <f>IFERROR(IF(AND(H1112&lt;&gt;"",H1112&gt;=129,H1112&lt;=2176),INDEX(Fields!$C$2:$C$206,MATCH(H1112-129,Fields!$D$2:$D$206,1)),""),"")</f>
        <v/>
      </c>
      <c r="L1112">
        <f>IFERROR(IF(AND(H1112&lt;&gt;"",H1112&gt;=129,H1112&lt;=2176),INDEX(Fields!$J$2:$J$206,MATCH(H1112-129,Fields!$D$2:$D$206,1)),""),"")</f>
        <v/>
      </c>
      <c r="M1112">
        <f>IFERROR(IF(AND(H1112&lt;&gt;"",H1112&gt;=129,H1112&lt;=2176),INDEX(Fields!$K$2:$K$206,MATCH(H1112-129,Fields!$D$2:$D$206,1)),""),"")</f>
        <v/>
      </c>
    </row>
    <row r="1113">
      <c r="A1113" t="n">
        <v>1111</v>
      </c>
      <c r="B1113" t="n">
        <v>0</v>
      </c>
      <c r="C1113" t="inlineStr">
        <is>
          <t>No</t>
        </is>
      </c>
      <c r="D1113">
        <f>IF(AND(B1108=1,B1109=1,B1110=1,B1111=1,B1112=1),"Yes","")</f>
        <v/>
      </c>
      <c r="E1113" t="inlineStr">
        <is>
          <t>No</t>
        </is>
      </c>
      <c r="F1113" t="inlineStr">
        <is>
          <t>No</t>
        </is>
      </c>
      <c r="G1113">
        <f>IF(F1113="Yes",1-B1113,B1113)</f>
        <v/>
      </c>
      <c r="H1113">
        <f>IF(E1113="Yes","",COUNTIFS($E$2:E1113,"No"))</f>
        <v/>
      </c>
      <c r="I1113">
        <f>IF(H1113="","",IF(H1113&lt;=128,"address",IF(H1113&lt;=600,"data1",IF(H1113&lt;=1264,"zero-run1",IF(H1113&lt;=1648,"data2",IF(H1113&lt;=2176,"zero-run2",IF(H1113&lt;=2192,"FCS","trailing")))))))</f>
        <v/>
      </c>
      <c r="J1113">
        <f>IFERROR(IF(AND(H1113&lt;&gt;"",H1113&gt;=129,H1113&lt;=2176),INDEX(Fields!$B$2:$B$206,MATCH(H1113-129,Fields!$D$2:$D$206,1)),""),"")</f>
        <v/>
      </c>
      <c r="K1113">
        <f>IFERROR(IF(AND(H1113&lt;&gt;"",H1113&gt;=129,H1113&lt;=2176),INDEX(Fields!$C$2:$C$206,MATCH(H1113-129,Fields!$D$2:$D$206,1)),""),"")</f>
        <v/>
      </c>
      <c r="L1113">
        <f>IFERROR(IF(AND(H1113&lt;&gt;"",H1113&gt;=129,H1113&lt;=2176),INDEX(Fields!$J$2:$J$206,MATCH(H1113-129,Fields!$D$2:$D$206,1)),""),"")</f>
        <v/>
      </c>
      <c r="M1113">
        <f>IFERROR(IF(AND(H1113&lt;&gt;"",H1113&gt;=129,H1113&lt;=2176),INDEX(Fields!$K$2:$K$206,MATCH(H1113-129,Fields!$D$2:$D$206,1)),""),"")</f>
        <v/>
      </c>
    </row>
    <row r="1114">
      <c r="A1114" t="n">
        <v>1112</v>
      </c>
      <c r="B1114" t="n">
        <v>0</v>
      </c>
      <c r="C1114" t="inlineStr">
        <is>
          <t>No</t>
        </is>
      </c>
      <c r="D1114">
        <f>IF(AND(B1109=1,B1110=1,B1111=1,B1112=1,B1113=1),"Yes","")</f>
        <v/>
      </c>
      <c r="E1114" t="inlineStr">
        <is>
          <t>No</t>
        </is>
      </c>
      <c r="F1114" t="inlineStr">
        <is>
          <t>No</t>
        </is>
      </c>
      <c r="G1114">
        <f>IF(F1114="Yes",1-B1114,B1114)</f>
        <v/>
      </c>
      <c r="H1114">
        <f>IF(E1114="Yes","",COUNTIFS($E$2:E1114,"No"))</f>
        <v/>
      </c>
      <c r="I1114">
        <f>IF(H1114="","",IF(H1114&lt;=128,"address",IF(H1114&lt;=600,"data1",IF(H1114&lt;=1264,"zero-run1",IF(H1114&lt;=1648,"data2",IF(H1114&lt;=2176,"zero-run2",IF(H1114&lt;=2192,"FCS","trailing")))))))</f>
        <v/>
      </c>
      <c r="J1114">
        <f>IFERROR(IF(AND(H1114&lt;&gt;"",H1114&gt;=129,H1114&lt;=2176),INDEX(Fields!$B$2:$B$206,MATCH(H1114-129,Fields!$D$2:$D$206,1)),""),"")</f>
        <v/>
      </c>
      <c r="K1114">
        <f>IFERROR(IF(AND(H1114&lt;&gt;"",H1114&gt;=129,H1114&lt;=2176),INDEX(Fields!$C$2:$C$206,MATCH(H1114-129,Fields!$D$2:$D$206,1)),""),"")</f>
        <v/>
      </c>
      <c r="L1114">
        <f>IFERROR(IF(AND(H1114&lt;&gt;"",H1114&gt;=129,H1114&lt;=2176),INDEX(Fields!$J$2:$J$206,MATCH(H1114-129,Fields!$D$2:$D$206,1)),""),"")</f>
        <v/>
      </c>
      <c r="M1114">
        <f>IFERROR(IF(AND(H1114&lt;&gt;"",H1114&gt;=129,H1114&lt;=2176),INDEX(Fields!$K$2:$K$206,MATCH(H1114-129,Fields!$D$2:$D$206,1)),""),"")</f>
        <v/>
      </c>
    </row>
    <row r="1115">
      <c r="A1115" t="n">
        <v>1113</v>
      </c>
      <c r="B1115" t="n">
        <v>0</v>
      </c>
      <c r="C1115" t="inlineStr">
        <is>
          <t>No</t>
        </is>
      </c>
      <c r="D1115">
        <f>IF(AND(B1110=1,B1111=1,B1112=1,B1113=1,B1114=1),"Yes","")</f>
        <v/>
      </c>
      <c r="E1115" t="inlineStr">
        <is>
          <t>No</t>
        </is>
      </c>
      <c r="F1115" t="inlineStr">
        <is>
          <t>No</t>
        </is>
      </c>
      <c r="G1115">
        <f>IF(F1115="Yes",1-B1115,B1115)</f>
        <v/>
      </c>
      <c r="H1115">
        <f>IF(E1115="Yes","",COUNTIFS($E$2:E1115,"No"))</f>
        <v/>
      </c>
      <c r="I1115">
        <f>IF(H1115="","",IF(H1115&lt;=128,"address",IF(H1115&lt;=600,"data1",IF(H1115&lt;=1264,"zero-run1",IF(H1115&lt;=1648,"data2",IF(H1115&lt;=2176,"zero-run2",IF(H1115&lt;=2192,"FCS","trailing")))))))</f>
        <v/>
      </c>
      <c r="J1115">
        <f>IFERROR(IF(AND(H1115&lt;&gt;"",H1115&gt;=129,H1115&lt;=2176),INDEX(Fields!$B$2:$B$206,MATCH(H1115-129,Fields!$D$2:$D$206,1)),""),"")</f>
        <v/>
      </c>
      <c r="K1115">
        <f>IFERROR(IF(AND(H1115&lt;&gt;"",H1115&gt;=129,H1115&lt;=2176),INDEX(Fields!$C$2:$C$206,MATCH(H1115-129,Fields!$D$2:$D$206,1)),""),"")</f>
        <v/>
      </c>
      <c r="L1115">
        <f>IFERROR(IF(AND(H1115&lt;&gt;"",H1115&gt;=129,H1115&lt;=2176),INDEX(Fields!$J$2:$J$206,MATCH(H1115-129,Fields!$D$2:$D$206,1)),""),"")</f>
        <v/>
      </c>
      <c r="M1115">
        <f>IFERROR(IF(AND(H1115&lt;&gt;"",H1115&gt;=129,H1115&lt;=2176),INDEX(Fields!$K$2:$K$206,MATCH(H1115-129,Fields!$D$2:$D$206,1)),""),"")</f>
        <v/>
      </c>
    </row>
    <row r="1116">
      <c r="A1116" t="n">
        <v>1114</v>
      </c>
      <c r="B1116" t="n">
        <v>0</v>
      </c>
      <c r="C1116" t="inlineStr">
        <is>
          <t>No</t>
        </is>
      </c>
      <c r="D1116">
        <f>IF(AND(B1111=1,B1112=1,B1113=1,B1114=1,B1115=1),"Yes","")</f>
        <v/>
      </c>
      <c r="E1116" t="inlineStr">
        <is>
          <t>No</t>
        </is>
      </c>
      <c r="F1116" t="inlineStr">
        <is>
          <t>No</t>
        </is>
      </c>
      <c r="G1116">
        <f>IF(F1116="Yes",1-B1116,B1116)</f>
        <v/>
      </c>
      <c r="H1116">
        <f>IF(E1116="Yes","",COUNTIFS($E$2:E1116,"No"))</f>
        <v/>
      </c>
      <c r="I1116">
        <f>IF(H1116="","",IF(H1116&lt;=128,"address",IF(H1116&lt;=600,"data1",IF(H1116&lt;=1264,"zero-run1",IF(H1116&lt;=1648,"data2",IF(H1116&lt;=2176,"zero-run2",IF(H1116&lt;=2192,"FCS","trailing")))))))</f>
        <v/>
      </c>
      <c r="J1116">
        <f>IFERROR(IF(AND(H1116&lt;&gt;"",H1116&gt;=129,H1116&lt;=2176),INDEX(Fields!$B$2:$B$206,MATCH(H1116-129,Fields!$D$2:$D$206,1)),""),"")</f>
        <v/>
      </c>
      <c r="K1116">
        <f>IFERROR(IF(AND(H1116&lt;&gt;"",H1116&gt;=129,H1116&lt;=2176),INDEX(Fields!$C$2:$C$206,MATCH(H1116-129,Fields!$D$2:$D$206,1)),""),"")</f>
        <v/>
      </c>
      <c r="L1116">
        <f>IFERROR(IF(AND(H1116&lt;&gt;"",H1116&gt;=129,H1116&lt;=2176),INDEX(Fields!$J$2:$J$206,MATCH(H1116-129,Fields!$D$2:$D$206,1)),""),"")</f>
        <v/>
      </c>
      <c r="M1116">
        <f>IFERROR(IF(AND(H1116&lt;&gt;"",H1116&gt;=129,H1116&lt;=2176),INDEX(Fields!$K$2:$K$206,MATCH(H1116-129,Fields!$D$2:$D$206,1)),""),"")</f>
        <v/>
      </c>
    </row>
    <row r="1117">
      <c r="A1117" t="n">
        <v>1115</v>
      </c>
      <c r="B1117" t="n">
        <v>0</v>
      </c>
      <c r="C1117" t="inlineStr">
        <is>
          <t>No</t>
        </is>
      </c>
      <c r="D1117">
        <f>IF(AND(B1112=1,B1113=1,B1114=1,B1115=1,B1116=1),"Yes","")</f>
        <v/>
      </c>
      <c r="E1117" t="inlineStr">
        <is>
          <t>No</t>
        </is>
      </c>
      <c r="F1117" t="inlineStr">
        <is>
          <t>No</t>
        </is>
      </c>
      <c r="G1117">
        <f>IF(F1117="Yes",1-B1117,B1117)</f>
        <v/>
      </c>
      <c r="H1117">
        <f>IF(E1117="Yes","",COUNTIFS($E$2:E1117,"No"))</f>
        <v/>
      </c>
      <c r="I1117">
        <f>IF(H1117="","",IF(H1117&lt;=128,"address",IF(H1117&lt;=600,"data1",IF(H1117&lt;=1264,"zero-run1",IF(H1117&lt;=1648,"data2",IF(H1117&lt;=2176,"zero-run2",IF(H1117&lt;=2192,"FCS","trailing")))))))</f>
        <v/>
      </c>
      <c r="J1117">
        <f>IFERROR(IF(AND(H1117&lt;&gt;"",H1117&gt;=129,H1117&lt;=2176),INDEX(Fields!$B$2:$B$206,MATCH(H1117-129,Fields!$D$2:$D$206,1)),""),"")</f>
        <v/>
      </c>
      <c r="K1117">
        <f>IFERROR(IF(AND(H1117&lt;&gt;"",H1117&gt;=129,H1117&lt;=2176),INDEX(Fields!$C$2:$C$206,MATCH(H1117-129,Fields!$D$2:$D$206,1)),""),"")</f>
        <v/>
      </c>
      <c r="L1117">
        <f>IFERROR(IF(AND(H1117&lt;&gt;"",H1117&gt;=129,H1117&lt;=2176),INDEX(Fields!$J$2:$J$206,MATCH(H1117-129,Fields!$D$2:$D$206,1)),""),"")</f>
        <v/>
      </c>
      <c r="M1117">
        <f>IFERROR(IF(AND(H1117&lt;&gt;"",H1117&gt;=129,H1117&lt;=2176),INDEX(Fields!$K$2:$K$206,MATCH(H1117-129,Fields!$D$2:$D$206,1)),""),"")</f>
        <v/>
      </c>
    </row>
    <row r="1118">
      <c r="A1118" t="n">
        <v>1116</v>
      </c>
      <c r="B1118" t="n">
        <v>0</v>
      </c>
      <c r="C1118" t="inlineStr">
        <is>
          <t>No</t>
        </is>
      </c>
      <c r="D1118">
        <f>IF(AND(B1113=1,B1114=1,B1115=1,B1116=1,B1117=1),"Yes","")</f>
        <v/>
      </c>
      <c r="E1118" t="inlineStr">
        <is>
          <t>No</t>
        </is>
      </c>
      <c r="F1118" t="inlineStr">
        <is>
          <t>No</t>
        </is>
      </c>
      <c r="G1118">
        <f>IF(F1118="Yes",1-B1118,B1118)</f>
        <v/>
      </c>
      <c r="H1118">
        <f>IF(E1118="Yes","",COUNTIFS($E$2:E1118,"No"))</f>
        <v/>
      </c>
      <c r="I1118">
        <f>IF(H1118="","",IF(H1118&lt;=128,"address",IF(H1118&lt;=600,"data1",IF(H1118&lt;=1264,"zero-run1",IF(H1118&lt;=1648,"data2",IF(H1118&lt;=2176,"zero-run2",IF(H1118&lt;=2192,"FCS","trailing")))))))</f>
        <v/>
      </c>
      <c r="J1118">
        <f>IFERROR(IF(AND(H1118&lt;&gt;"",H1118&gt;=129,H1118&lt;=2176),INDEX(Fields!$B$2:$B$206,MATCH(H1118-129,Fields!$D$2:$D$206,1)),""),"")</f>
        <v/>
      </c>
      <c r="K1118">
        <f>IFERROR(IF(AND(H1118&lt;&gt;"",H1118&gt;=129,H1118&lt;=2176),INDEX(Fields!$C$2:$C$206,MATCH(H1118-129,Fields!$D$2:$D$206,1)),""),"")</f>
        <v/>
      </c>
      <c r="L1118">
        <f>IFERROR(IF(AND(H1118&lt;&gt;"",H1118&gt;=129,H1118&lt;=2176),INDEX(Fields!$J$2:$J$206,MATCH(H1118-129,Fields!$D$2:$D$206,1)),""),"")</f>
        <v/>
      </c>
      <c r="M1118">
        <f>IFERROR(IF(AND(H1118&lt;&gt;"",H1118&gt;=129,H1118&lt;=2176),INDEX(Fields!$K$2:$K$206,MATCH(H1118-129,Fields!$D$2:$D$206,1)),""),"")</f>
        <v/>
      </c>
    </row>
    <row r="1119">
      <c r="A1119" t="n">
        <v>1117</v>
      </c>
      <c r="B1119" t="n">
        <v>0</v>
      </c>
      <c r="C1119" t="inlineStr">
        <is>
          <t>No</t>
        </is>
      </c>
      <c r="D1119">
        <f>IF(AND(B1114=1,B1115=1,B1116=1,B1117=1,B1118=1),"Yes","")</f>
        <v/>
      </c>
      <c r="E1119" t="inlineStr">
        <is>
          <t>No</t>
        </is>
      </c>
      <c r="F1119" t="inlineStr">
        <is>
          <t>No</t>
        </is>
      </c>
      <c r="G1119">
        <f>IF(F1119="Yes",1-B1119,B1119)</f>
        <v/>
      </c>
      <c r="H1119">
        <f>IF(E1119="Yes","",COUNTIFS($E$2:E1119,"No"))</f>
        <v/>
      </c>
      <c r="I1119">
        <f>IF(H1119="","",IF(H1119&lt;=128,"address",IF(H1119&lt;=600,"data1",IF(H1119&lt;=1264,"zero-run1",IF(H1119&lt;=1648,"data2",IF(H1119&lt;=2176,"zero-run2",IF(H1119&lt;=2192,"FCS","trailing")))))))</f>
        <v/>
      </c>
      <c r="J1119">
        <f>IFERROR(IF(AND(H1119&lt;&gt;"",H1119&gt;=129,H1119&lt;=2176),INDEX(Fields!$B$2:$B$206,MATCH(H1119-129,Fields!$D$2:$D$206,1)),""),"")</f>
        <v/>
      </c>
      <c r="K1119">
        <f>IFERROR(IF(AND(H1119&lt;&gt;"",H1119&gt;=129,H1119&lt;=2176),INDEX(Fields!$C$2:$C$206,MATCH(H1119-129,Fields!$D$2:$D$206,1)),""),"")</f>
        <v/>
      </c>
      <c r="L1119">
        <f>IFERROR(IF(AND(H1119&lt;&gt;"",H1119&gt;=129,H1119&lt;=2176),INDEX(Fields!$J$2:$J$206,MATCH(H1119-129,Fields!$D$2:$D$206,1)),""),"")</f>
        <v/>
      </c>
      <c r="M1119">
        <f>IFERROR(IF(AND(H1119&lt;&gt;"",H1119&gt;=129,H1119&lt;=2176),INDEX(Fields!$K$2:$K$206,MATCH(H1119-129,Fields!$D$2:$D$206,1)),""),"")</f>
        <v/>
      </c>
    </row>
    <row r="1120">
      <c r="A1120" t="n">
        <v>1118</v>
      </c>
      <c r="B1120" t="n">
        <v>0</v>
      </c>
      <c r="C1120" t="inlineStr">
        <is>
          <t>No</t>
        </is>
      </c>
      <c r="D1120">
        <f>IF(AND(B1115=1,B1116=1,B1117=1,B1118=1,B1119=1),"Yes","")</f>
        <v/>
      </c>
      <c r="E1120" t="inlineStr">
        <is>
          <t>No</t>
        </is>
      </c>
      <c r="F1120" t="inlineStr">
        <is>
          <t>No</t>
        </is>
      </c>
      <c r="G1120">
        <f>IF(F1120="Yes",1-B1120,B1120)</f>
        <v/>
      </c>
      <c r="H1120">
        <f>IF(E1120="Yes","",COUNTIFS($E$2:E1120,"No"))</f>
        <v/>
      </c>
      <c r="I1120">
        <f>IF(H1120="","",IF(H1120&lt;=128,"address",IF(H1120&lt;=600,"data1",IF(H1120&lt;=1264,"zero-run1",IF(H1120&lt;=1648,"data2",IF(H1120&lt;=2176,"zero-run2",IF(H1120&lt;=2192,"FCS","trailing")))))))</f>
        <v/>
      </c>
      <c r="J1120">
        <f>IFERROR(IF(AND(H1120&lt;&gt;"",H1120&gt;=129,H1120&lt;=2176),INDEX(Fields!$B$2:$B$206,MATCH(H1120-129,Fields!$D$2:$D$206,1)),""),"")</f>
        <v/>
      </c>
      <c r="K1120">
        <f>IFERROR(IF(AND(H1120&lt;&gt;"",H1120&gt;=129,H1120&lt;=2176),INDEX(Fields!$C$2:$C$206,MATCH(H1120-129,Fields!$D$2:$D$206,1)),""),"")</f>
        <v/>
      </c>
      <c r="L1120">
        <f>IFERROR(IF(AND(H1120&lt;&gt;"",H1120&gt;=129,H1120&lt;=2176),INDEX(Fields!$J$2:$J$206,MATCH(H1120-129,Fields!$D$2:$D$206,1)),""),"")</f>
        <v/>
      </c>
      <c r="M1120">
        <f>IFERROR(IF(AND(H1120&lt;&gt;"",H1120&gt;=129,H1120&lt;=2176),INDEX(Fields!$K$2:$K$206,MATCH(H1120-129,Fields!$D$2:$D$206,1)),""),"")</f>
        <v/>
      </c>
    </row>
    <row r="1121">
      <c r="A1121" t="n">
        <v>1119</v>
      </c>
      <c r="B1121" t="n">
        <v>0</v>
      </c>
      <c r="C1121" t="inlineStr">
        <is>
          <t>No</t>
        </is>
      </c>
      <c r="D1121">
        <f>IF(AND(B1116=1,B1117=1,B1118=1,B1119=1,B1120=1),"Yes","")</f>
        <v/>
      </c>
      <c r="E1121" t="inlineStr">
        <is>
          <t>No</t>
        </is>
      </c>
      <c r="F1121" t="inlineStr">
        <is>
          <t>No</t>
        </is>
      </c>
      <c r="G1121">
        <f>IF(F1121="Yes",1-B1121,B1121)</f>
        <v/>
      </c>
      <c r="H1121">
        <f>IF(E1121="Yes","",COUNTIFS($E$2:E1121,"No"))</f>
        <v/>
      </c>
      <c r="I1121">
        <f>IF(H1121="","",IF(H1121&lt;=128,"address",IF(H1121&lt;=600,"data1",IF(H1121&lt;=1264,"zero-run1",IF(H1121&lt;=1648,"data2",IF(H1121&lt;=2176,"zero-run2",IF(H1121&lt;=2192,"FCS","trailing")))))))</f>
        <v/>
      </c>
      <c r="J1121">
        <f>IFERROR(IF(AND(H1121&lt;&gt;"",H1121&gt;=129,H1121&lt;=2176),INDEX(Fields!$B$2:$B$206,MATCH(H1121-129,Fields!$D$2:$D$206,1)),""),"")</f>
        <v/>
      </c>
      <c r="K1121">
        <f>IFERROR(IF(AND(H1121&lt;&gt;"",H1121&gt;=129,H1121&lt;=2176),INDEX(Fields!$C$2:$C$206,MATCH(H1121-129,Fields!$D$2:$D$206,1)),""),"")</f>
        <v/>
      </c>
      <c r="L1121">
        <f>IFERROR(IF(AND(H1121&lt;&gt;"",H1121&gt;=129,H1121&lt;=2176),INDEX(Fields!$J$2:$J$206,MATCH(H1121-129,Fields!$D$2:$D$206,1)),""),"")</f>
        <v/>
      </c>
      <c r="M1121">
        <f>IFERROR(IF(AND(H1121&lt;&gt;"",H1121&gt;=129,H1121&lt;=2176),INDEX(Fields!$K$2:$K$206,MATCH(H1121-129,Fields!$D$2:$D$206,1)),""),"")</f>
        <v/>
      </c>
    </row>
    <row r="1122">
      <c r="A1122" t="n">
        <v>1120</v>
      </c>
      <c r="B1122" t="n">
        <v>0</v>
      </c>
      <c r="C1122" t="inlineStr">
        <is>
          <t>No</t>
        </is>
      </c>
      <c r="D1122">
        <f>IF(AND(B1117=1,B1118=1,B1119=1,B1120=1,B1121=1),"Yes","")</f>
        <v/>
      </c>
      <c r="E1122" t="inlineStr">
        <is>
          <t>No</t>
        </is>
      </c>
      <c r="F1122" t="inlineStr">
        <is>
          <t>No</t>
        </is>
      </c>
      <c r="G1122">
        <f>IF(F1122="Yes",1-B1122,B1122)</f>
        <v/>
      </c>
      <c r="H1122">
        <f>IF(E1122="Yes","",COUNTIFS($E$2:E1122,"No"))</f>
        <v/>
      </c>
      <c r="I1122">
        <f>IF(H1122="","",IF(H1122&lt;=128,"address",IF(H1122&lt;=600,"data1",IF(H1122&lt;=1264,"zero-run1",IF(H1122&lt;=1648,"data2",IF(H1122&lt;=2176,"zero-run2",IF(H1122&lt;=2192,"FCS","trailing")))))))</f>
        <v/>
      </c>
      <c r="J1122">
        <f>IFERROR(IF(AND(H1122&lt;&gt;"",H1122&gt;=129,H1122&lt;=2176),INDEX(Fields!$B$2:$B$206,MATCH(H1122-129,Fields!$D$2:$D$206,1)),""),"")</f>
        <v/>
      </c>
      <c r="K1122">
        <f>IFERROR(IF(AND(H1122&lt;&gt;"",H1122&gt;=129,H1122&lt;=2176),INDEX(Fields!$C$2:$C$206,MATCH(H1122-129,Fields!$D$2:$D$206,1)),""),"")</f>
        <v/>
      </c>
      <c r="L1122">
        <f>IFERROR(IF(AND(H1122&lt;&gt;"",H1122&gt;=129,H1122&lt;=2176),INDEX(Fields!$J$2:$J$206,MATCH(H1122-129,Fields!$D$2:$D$206,1)),""),"")</f>
        <v/>
      </c>
      <c r="M1122">
        <f>IFERROR(IF(AND(H1122&lt;&gt;"",H1122&gt;=129,H1122&lt;=2176),INDEX(Fields!$K$2:$K$206,MATCH(H1122-129,Fields!$D$2:$D$206,1)),""),"")</f>
        <v/>
      </c>
    </row>
    <row r="1123">
      <c r="A1123" t="n">
        <v>1121</v>
      </c>
      <c r="B1123" t="n">
        <v>0</v>
      </c>
      <c r="C1123" t="inlineStr">
        <is>
          <t>No</t>
        </is>
      </c>
      <c r="D1123">
        <f>IF(AND(B1118=1,B1119=1,B1120=1,B1121=1,B1122=1),"Yes","")</f>
        <v/>
      </c>
      <c r="E1123" t="inlineStr">
        <is>
          <t>No</t>
        </is>
      </c>
      <c r="F1123" t="inlineStr">
        <is>
          <t>No</t>
        </is>
      </c>
      <c r="G1123">
        <f>IF(F1123="Yes",1-B1123,B1123)</f>
        <v/>
      </c>
      <c r="H1123">
        <f>IF(E1123="Yes","",COUNTIFS($E$2:E1123,"No"))</f>
        <v/>
      </c>
      <c r="I1123">
        <f>IF(H1123="","",IF(H1123&lt;=128,"address",IF(H1123&lt;=600,"data1",IF(H1123&lt;=1264,"zero-run1",IF(H1123&lt;=1648,"data2",IF(H1123&lt;=2176,"zero-run2",IF(H1123&lt;=2192,"FCS","trailing")))))))</f>
        <v/>
      </c>
      <c r="J1123">
        <f>IFERROR(IF(AND(H1123&lt;&gt;"",H1123&gt;=129,H1123&lt;=2176),INDEX(Fields!$B$2:$B$206,MATCH(H1123-129,Fields!$D$2:$D$206,1)),""),"")</f>
        <v/>
      </c>
      <c r="K1123">
        <f>IFERROR(IF(AND(H1123&lt;&gt;"",H1123&gt;=129,H1123&lt;=2176),INDEX(Fields!$C$2:$C$206,MATCH(H1123-129,Fields!$D$2:$D$206,1)),""),"")</f>
        <v/>
      </c>
      <c r="L1123">
        <f>IFERROR(IF(AND(H1123&lt;&gt;"",H1123&gt;=129,H1123&lt;=2176),INDEX(Fields!$J$2:$J$206,MATCH(H1123-129,Fields!$D$2:$D$206,1)),""),"")</f>
        <v/>
      </c>
      <c r="M1123">
        <f>IFERROR(IF(AND(H1123&lt;&gt;"",H1123&gt;=129,H1123&lt;=2176),INDEX(Fields!$K$2:$K$206,MATCH(H1123-129,Fields!$D$2:$D$206,1)),""),"")</f>
        <v/>
      </c>
    </row>
    <row r="1124">
      <c r="A1124" t="n">
        <v>1122</v>
      </c>
      <c r="B1124" t="n">
        <v>0</v>
      </c>
      <c r="C1124" t="inlineStr">
        <is>
          <t>No</t>
        </is>
      </c>
      <c r="D1124">
        <f>IF(AND(B1119=1,B1120=1,B1121=1,B1122=1,B1123=1),"Yes","")</f>
        <v/>
      </c>
      <c r="E1124" t="inlineStr">
        <is>
          <t>No</t>
        </is>
      </c>
      <c r="F1124" t="inlineStr">
        <is>
          <t>No</t>
        </is>
      </c>
      <c r="G1124">
        <f>IF(F1124="Yes",1-B1124,B1124)</f>
        <v/>
      </c>
      <c r="H1124">
        <f>IF(E1124="Yes","",COUNTIFS($E$2:E1124,"No"))</f>
        <v/>
      </c>
      <c r="I1124">
        <f>IF(H1124="","",IF(H1124&lt;=128,"address",IF(H1124&lt;=600,"data1",IF(H1124&lt;=1264,"zero-run1",IF(H1124&lt;=1648,"data2",IF(H1124&lt;=2176,"zero-run2",IF(H1124&lt;=2192,"FCS","trailing")))))))</f>
        <v/>
      </c>
      <c r="J1124">
        <f>IFERROR(IF(AND(H1124&lt;&gt;"",H1124&gt;=129,H1124&lt;=2176),INDEX(Fields!$B$2:$B$206,MATCH(H1124-129,Fields!$D$2:$D$206,1)),""),"")</f>
        <v/>
      </c>
      <c r="K1124">
        <f>IFERROR(IF(AND(H1124&lt;&gt;"",H1124&gt;=129,H1124&lt;=2176),INDEX(Fields!$C$2:$C$206,MATCH(H1124-129,Fields!$D$2:$D$206,1)),""),"")</f>
        <v/>
      </c>
      <c r="L1124">
        <f>IFERROR(IF(AND(H1124&lt;&gt;"",H1124&gt;=129,H1124&lt;=2176),INDEX(Fields!$J$2:$J$206,MATCH(H1124-129,Fields!$D$2:$D$206,1)),""),"")</f>
        <v/>
      </c>
      <c r="M1124">
        <f>IFERROR(IF(AND(H1124&lt;&gt;"",H1124&gt;=129,H1124&lt;=2176),INDEX(Fields!$K$2:$K$206,MATCH(H1124-129,Fields!$D$2:$D$206,1)),""),"")</f>
        <v/>
      </c>
    </row>
    <row r="1125">
      <c r="A1125" t="n">
        <v>1123</v>
      </c>
      <c r="B1125" t="n">
        <v>0</v>
      </c>
      <c r="C1125" t="inlineStr">
        <is>
          <t>No</t>
        </is>
      </c>
      <c r="D1125">
        <f>IF(AND(B1120=1,B1121=1,B1122=1,B1123=1,B1124=1),"Yes","")</f>
        <v/>
      </c>
      <c r="E1125" t="inlineStr">
        <is>
          <t>No</t>
        </is>
      </c>
      <c r="F1125" t="inlineStr">
        <is>
          <t>No</t>
        </is>
      </c>
      <c r="G1125">
        <f>IF(F1125="Yes",1-B1125,B1125)</f>
        <v/>
      </c>
      <c r="H1125">
        <f>IF(E1125="Yes","",COUNTIFS($E$2:E1125,"No"))</f>
        <v/>
      </c>
      <c r="I1125">
        <f>IF(H1125="","",IF(H1125&lt;=128,"address",IF(H1125&lt;=600,"data1",IF(H1125&lt;=1264,"zero-run1",IF(H1125&lt;=1648,"data2",IF(H1125&lt;=2176,"zero-run2",IF(H1125&lt;=2192,"FCS","trailing")))))))</f>
        <v/>
      </c>
      <c r="J1125">
        <f>IFERROR(IF(AND(H1125&lt;&gt;"",H1125&gt;=129,H1125&lt;=2176),INDEX(Fields!$B$2:$B$206,MATCH(H1125-129,Fields!$D$2:$D$206,1)),""),"")</f>
        <v/>
      </c>
      <c r="K1125">
        <f>IFERROR(IF(AND(H1125&lt;&gt;"",H1125&gt;=129,H1125&lt;=2176),INDEX(Fields!$C$2:$C$206,MATCH(H1125-129,Fields!$D$2:$D$206,1)),""),"")</f>
        <v/>
      </c>
      <c r="L1125">
        <f>IFERROR(IF(AND(H1125&lt;&gt;"",H1125&gt;=129,H1125&lt;=2176),INDEX(Fields!$J$2:$J$206,MATCH(H1125-129,Fields!$D$2:$D$206,1)),""),"")</f>
        <v/>
      </c>
      <c r="M1125">
        <f>IFERROR(IF(AND(H1125&lt;&gt;"",H1125&gt;=129,H1125&lt;=2176),INDEX(Fields!$K$2:$K$206,MATCH(H1125-129,Fields!$D$2:$D$206,1)),""),"")</f>
        <v/>
      </c>
    </row>
    <row r="1126">
      <c r="A1126" t="n">
        <v>1124</v>
      </c>
      <c r="B1126" t="n">
        <v>0</v>
      </c>
      <c r="C1126" t="inlineStr">
        <is>
          <t>No</t>
        </is>
      </c>
      <c r="D1126">
        <f>IF(AND(B1121=1,B1122=1,B1123=1,B1124=1,B1125=1),"Yes","")</f>
        <v/>
      </c>
      <c r="E1126" t="inlineStr">
        <is>
          <t>No</t>
        </is>
      </c>
      <c r="F1126" t="inlineStr">
        <is>
          <t>No</t>
        </is>
      </c>
      <c r="G1126">
        <f>IF(F1126="Yes",1-B1126,B1126)</f>
        <v/>
      </c>
      <c r="H1126">
        <f>IF(E1126="Yes","",COUNTIFS($E$2:E1126,"No"))</f>
        <v/>
      </c>
      <c r="I1126">
        <f>IF(H1126="","",IF(H1126&lt;=128,"address",IF(H1126&lt;=600,"data1",IF(H1126&lt;=1264,"zero-run1",IF(H1126&lt;=1648,"data2",IF(H1126&lt;=2176,"zero-run2",IF(H1126&lt;=2192,"FCS","trailing")))))))</f>
        <v/>
      </c>
      <c r="J1126">
        <f>IFERROR(IF(AND(H1126&lt;&gt;"",H1126&gt;=129,H1126&lt;=2176),INDEX(Fields!$B$2:$B$206,MATCH(H1126-129,Fields!$D$2:$D$206,1)),""),"")</f>
        <v/>
      </c>
      <c r="K1126">
        <f>IFERROR(IF(AND(H1126&lt;&gt;"",H1126&gt;=129,H1126&lt;=2176),INDEX(Fields!$C$2:$C$206,MATCH(H1126-129,Fields!$D$2:$D$206,1)),""),"")</f>
        <v/>
      </c>
      <c r="L1126">
        <f>IFERROR(IF(AND(H1126&lt;&gt;"",H1126&gt;=129,H1126&lt;=2176),INDEX(Fields!$J$2:$J$206,MATCH(H1126-129,Fields!$D$2:$D$206,1)),""),"")</f>
        <v/>
      </c>
      <c r="M1126">
        <f>IFERROR(IF(AND(H1126&lt;&gt;"",H1126&gt;=129,H1126&lt;=2176),INDEX(Fields!$K$2:$K$206,MATCH(H1126-129,Fields!$D$2:$D$206,1)),""),"")</f>
        <v/>
      </c>
    </row>
    <row r="1127">
      <c r="A1127" t="n">
        <v>1125</v>
      </c>
      <c r="B1127" t="n">
        <v>0</v>
      </c>
      <c r="C1127" t="inlineStr">
        <is>
          <t>No</t>
        </is>
      </c>
      <c r="D1127">
        <f>IF(AND(B1122=1,B1123=1,B1124=1,B1125=1,B1126=1),"Yes","")</f>
        <v/>
      </c>
      <c r="E1127" t="inlineStr">
        <is>
          <t>No</t>
        </is>
      </c>
      <c r="F1127" t="inlineStr">
        <is>
          <t>No</t>
        </is>
      </c>
      <c r="G1127">
        <f>IF(F1127="Yes",1-B1127,B1127)</f>
        <v/>
      </c>
      <c r="H1127">
        <f>IF(E1127="Yes","",COUNTIFS($E$2:E1127,"No"))</f>
        <v/>
      </c>
      <c r="I1127">
        <f>IF(H1127="","",IF(H1127&lt;=128,"address",IF(H1127&lt;=600,"data1",IF(H1127&lt;=1264,"zero-run1",IF(H1127&lt;=1648,"data2",IF(H1127&lt;=2176,"zero-run2",IF(H1127&lt;=2192,"FCS","trailing")))))))</f>
        <v/>
      </c>
      <c r="J1127">
        <f>IFERROR(IF(AND(H1127&lt;&gt;"",H1127&gt;=129,H1127&lt;=2176),INDEX(Fields!$B$2:$B$206,MATCH(H1127-129,Fields!$D$2:$D$206,1)),""),"")</f>
        <v/>
      </c>
      <c r="K1127">
        <f>IFERROR(IF(AND(H1127&lt;&gt;"",H1127&gt;=129,H1127&lt;=2176),INDEX(Fields!$C$2:$C$206,MATCH(H1127-129,Fields!$D$2:$D$206,1)),""),"")</f>
        <v/>
      </c>
      <c r="L1127">
        <f>IFERROR(IF(AND(H1127&lt;&gt;"",H1127&gt;=129,H1127&lt;=2176),INDEX(Fields!$J$2:$J$206,MATCH(H1127-129,Fields!$D$2:$D$206,1)),""),"")</f>
        <v/>
      </c>
      <c r="M1127">
        <f>IFERROR(IF(AND(H1127&lt;&gt;"",H1127&gt;=129,H1127&lt;=2176),INDEX(Fields!$K$2:$K$206,MATCH(H1127-129,Fields!$D$2:$D$206,1)),""),"")</f>
        <v/>
      </c>
    </row>
    <row r="1128">
      <c r="A1128" t="n">
        <v>1126</v>
      </c>
      <c r="B1128" t="n">
        <v>0</v>
      </c>
      <c r="C1128" t="inlineStr">
        <is>
          <t>No</t>
        </is>
      </c>
      <c r="D1128">
        <f>IF(AND(B1123=1,B1124=1,B1125=1,B1126=1,B1127=1),"Yes","")</f>
        <v/>
      </c>
      <c r="E1128" t="inlineStr">
        <is>
          <t>No</t>
        </is>
      </c>
      <c r="F1128" t="inlineStr">
        <is>
          <t>No</t>
        </is>
      </c>
      <c r="G1128">
        <f>IF(F1128="Yes",1-B1128,B1128)</f>
        <v/>
      </c>
      <c r="H1128">
        <f>IF(E1128="Yes","",COUNTIFS($E$2:E1128,"No"))</f>
        <v/>
      </c>
      <c r="I1128">
        <f>IF(H1128="","",IF(H1128&lt;=128,"address",IF(H1128&lt;=600,"data1",IF(H1128&lt;=1264,"zero-run1",IF(H1128&lt;=1648,"data2",IF(H1128&lt;=2176,"zero-run2",IF(H1128&lt;=2192,"FCS","trailing")))))))</f>
        <v/>
      </c>
      <c r="J1128">
        <f>IFERROR(IF(AND(H1128&lt;&gt;"",H1128&gt;=129,H1128&lt;=2176),INDEX(Fields!$B$2:$B$206,MATCH(H1128-129,Fields!$D$2:$D$206,1)),""),"")</f>
        <v/>
      </c>
      <c r="K1128">
        <f>IFERROR(IF(AND(H1128&lt;&gt;"",H1128&gt;=129,H1128&lt;=2176),INDEX(Fields!$C$2:$C$206,MATCH(H1128-129,Fields!$D$2:$D$206,1)),""),"")</f>
        <v/>
      </c>
      <c r="L1128">
        <f>IFERROR(IF(AND(H1128&lt;&gt;"",H1128&gt;=129,H1128&lt;=2176),INDEX(Fields!$J$2:$J$206,MATCH(H1128-129,Fields!$D$2:$D$206,1)),""),"")</f>
        <v/>
      </c>
      <c r="M1128">
        <f>IFERROR(IF(AND(H1128&lt;&gt;"",H1128&gt;=129,H1128&lt;=2176),INDEX(Fields!$K$2:$K$206,MATCH(H1128-129,Fields!$D$2:$D$206,1)),""),"")</f>
        <v/>
      </c>
    </row>
    <row r="1129">
      <c r="A1129" t="n">
        <v>1127</v>
      </c>
      <c r="B1129" t="n">
        <v>0</v>
      </c>
      <c r="C1129" t="inlineStr">
        <is>
          <t>No</t>
        </is>
      </c>
      <c r="D1129">
        <f>IF(AND(B1124=1,B1125=1,B1126=1,B1127=1,B1128=1),"Yes","")</f>
        <v/>
      </c>
      <c r="E1129" t="inlineStr">
        <is>
          <t>No</t>
        </is>
      </c>
      <c r="F1129" t="inlineStr">
        <is>
          <t>No</t>
        </is>
      </c>
      <c r="G1129">
        <f>IF(F1129="Yes",1-B1129,B1129)</f>
        <v/>
      </c>
      <c r="H1129">
        <f>IF(E1129="Yes","",COUNTIFS($E$2:E1129,"No"))</f>
        <v/>
      </c>
      <c r="I1129">
        <f>IF(H1129="","",IF(H1129&lt;=128,"address",IF(H1129&lt;=600,"data1",IF(H1129&lt;=1264,"zero-run1",IF(H1129&lt;=1648,"data2",IF(H1129&lt;=2176,"zero-run2",IF(H1129&lt;=2192,"FCS","trailing")))))))</f>
        <v/>
      </c>
      <c r="J1129">
        <f>IFERROR(IF(AND(H1129&lt;&gt;"",H1129&gt;=129,H1129&lt;=2176),INDEX(Fields!$B$2:$B$206,MATCH(H1129-129,Fields!$D$2:$D$206,1)),""),"")</f>
        <v/>
      </c>
      <c r="K1129">
        <f>IFERROR(IF(AND(H1129&lt;&gt;"",H1129&gt;=129,H1129&lt;=2176),INDEX(Fields!$C$2:$C$206,MATCH(H1129-129,Fields!$D$2:$D$206,1)),""),"")</f>
        <v/>
      </c>
      <c r="L1129">
        <f>IFERROR(IF(AND(H1129&lt;&gt;"",H1129&gt;=129,H1129&lt;=2176),INDEX(Fields!$J$2:$J$206,MATCH(H1129-129,Fields!$D$2:$D$206,1)),""),"")</f>
        <v/>
      </c>
      <c r="M1129">
        <f>IFERROR(IF(AND(H1129&lt;&gt;"",H1129&gt;=129,H1129&lt;=2176),INDEX(Fields!$K$2:$K$206,MATCH(H1129-129,Fields!$D$2:$D$206,1)),""),"")</f>
        <v/>
      </c>
    </row>
    <row r="1130">
      <c r="A1130" t="n">
        <v>1128</v>
      </c>
      <c r="B1130" t="n">
        <v>0</v>
      </c>
      <c r="C1130" t="inlineStr">
        <is>
          <t>No</t>
        </is>
      </c>
      <c r="D1130">
        <f>IF(AND(B1125=1,B1126=1,B1127=1,B1128=1,B1129=1),"Yes","")</f>
        <v/>
      </c>
      <c r="E1130" t="inlineStr">
        <is>
          <t>No</t>
        </is>
      </c>
      <c r="F1130" t="inlineStr">
        <is>
          <t>No</t>
        </is>
      </c>
      <c r="G1130">
        <f>IF(F1130="Yes",1-B1130,B1130)</f>
        <v/>
      </c>
      <c r="H1130">
        <f>IF(E1130="Yes","",COUNTIFS($E$2:E1130,"No"))</f>
        <v/>
      </c>
      <c r="I1130">
        <f>IF(H1130="","",IF(H1130&lt;=128,"address",IF(H1130&lt;=600,"data1",IF(H1130&lt;=1264,"zero-run1",IF(H1130&lt;=1648,"data2",IF(H1130&lt;=2176,"zero-run2",IF(H1130&lt;=2192,"FCS","trailing")))))))</f>
        <v/>
      </c>
      <c r="J1130">
        <f>IFERROR(IF(AND(H1130&lt;&gt;"",H1130&gt;=129,H1130&lt;=2176),INDEX(Fields!$B$2:$B$206,MATCH(H1130-129,Fields!$D$2:$D$206,1)),""),"")</f>
        <v/>
      </c>
      <c r="K1130">
        <f>IFERROR(IF(AND(H1130&lt;&gt;"",H1130&gt;=129,H1130&lt;=2176),INDEX(Fields!$C$2:$C$206,MATCH(H1130-129,Fields!$D$2:$D$206,1)),""),"")</f>
        <v/>
      </c>
      <c r="L1130">
        <f>IFERROR(IF(AND(H1130&lt;&gt;"",H1130&gt;=129,H1130&lt;=2176),INDEX(Fields!$J$2:$J$206,MATCH(H1130-129,Fields!$D$2:$D$206,1)),""),"")</f>
        <v/>
      </c>
      <c r="M1130">
        <f>IFERROR(IF(AND(H1130&lt;&gt;"",H1130&gt;=129,H1130&lt;=2176),INDEX(Fields!$K$2:$K$206,MATCH(H1130-129,Fields!$D$2:$D$206,1)),""),"")</f>
        <v/>
      </c>
    </row>
    <row r="1131">
      <c r="A1131" t="n">
        <v>1129</v>
      </c>
      <c r="B1131" t="n">
        <v>0</v>
      </c>
      <c r="C1131" t="inlineStr">
        <is>
          <t>No</t>
        </is>
      </c>
      <c r="D1131">
        <f>IF(AND(B1126=1,B1127=1,B1128=1,B1129=1,B1130=1),"Yes","")</f>
        <v/>
      </c>
      <c r="E1131" t="inlineStr">
        <is>
          <t>No</t>
        </is>
      </c>
      <c r="F1131" t="inlineStr">
        <is>
          <t>No</t>
        </is>
      </c>
      <c r="G1131">
        <f>IF(F1131="Yes",1-B1131,B1131)</f>
        <v/>
      </c>
      <c r="H1131">
        <f>IF(E1131="Yes","",COUNTIFS($E$2:E1131,"No"))</f>
        <v/>
      </c>
      <c r="I1131">
        <f>IF(H1131="","",IF(H1131&lt;=128,"address",IF(H1131&lt;=600,"data1",IF(H1131&lt;=1264,"zero-run1",IF(H1131&lt;=1648,"data2",IF(H1131&lt;=2176,"zero-run2",IF(H1131&lt;=2192,"FCS","trailing")))))))</f>
        <v/>
      </c>
      <c r="J1131">
        <f>IFERROR(IF(AND(H1131&lt;&gt;"",H1131&gt;=129,H1131&lt;=2176),INDEX(Fields!$B$2:$B$206,MATCH(H1131-129,Fields!$D$2:$D$206,1)),""),"")</f>
        <v/>
      </c>
      <c r="K1131">
        <f>IFERROR(IF(AND(H1131&lt;&gt;"",H1131&gt;=129,H1131&lt;=2176),INDEX(Fields!$C$2:$C$206,MATCH(H1131-129,Fields!$D$2:$D$206,1)),""),"")</f>
        <v/>
      </c>
      <c r="L1131">
        <f>IFERROR(IF(AND(H1131&lt;&gt;"",H1131&gt;=129,H1131&lt;=2176),INDEX(Fields!$J$2:$J$206,MATCH(H1131-129,Fields!$D$2:$D$206,1)),""),"")</f>
        <v/>
      </c>
      <c r="M1131">
        <f>IFERROR(IF(AND(H1131&lt;&gt;"",H1131&gt;=129,H1131&lt;=2176),INDEX(Fields!$K$2:$K$206,MATCH(H1131-129,Fields!$D$2:$D$206,1)),""),"")</f>
        <v/>
      </c>
    </row>
    <row r="1132">
      <c r="A1132" t="n">
        <v>1130</v>
      </c>
      <c r="B1132" t="n">
        <v>0</v>
      </c>
      <c r="C1132" t="inlineStr">
        <is>
          <t>No</t>
        </is>
      </c>
      <c r="D1132">
        <f>IF(AND(B1127=1,B1128=1,B1129=1,B1130=1,B1131=1),"Yes","")</f>
        <v/>
      </c>
      <c r="E1132" t="inlineStr">
        <is>
          <t>No</t>
        </is>
      </c>
      <c r="F1132" t="inlineStr">
        <is>
          <t>No</t>
        </is>
      </c>
      <c r="G1132">
        <f>IF(F1132="Yes",1-B1132,B1132)</f>
        <v/>
      </c>
      <c r="H1132">
        <f>IF(E1132="Yes","",COUNTIFS($E$2:E1132,"No"))</f>
        <v/>
      </c>
      <c r="I1132">
        <f>IF(H1132="","",IF(H1132&lt;=128,"address",IF(H1132&lt;=600,"data1",IF(H1132&lt;=1264,"zero-run1",IF(H1132&lt;=1648,"data2",IF(H1132&lt;=2176,"zero-run2",IF(H1132&lt;=2192,"FCS","trailing")))))))</f>
        <v/>
      </c>
      <c r="J1132">
        <f>IFERROR(IF(AND(H1132&lt;&gt;"",H1132&gt;=129,H1132&lt;=2176),INDEX(Fields!$B$2:$B$206,MATCH(H1132-129,Fields!$D$2:$D$206,1)),""),"")</f>
        <v/>
      </c>
      <c r="K1132">
        <f>IFERROR(IF(AND(H1132&lt;&gt;"",H1132&gt;=129,H1132&lt;=2176),INDEX(Fields!$C$2:$C$206,MATCH(H1132-129,Fields!$D$2:$D$206,1)),""),"")</f>
        <v/>
      </c>
      <c r="L1132">
        <f>IFERROR(IF(AND(H1132&lt;&gt;"",H1132&gt;=129,H1132&lt;=2176),INDEX(Fields!$J$2:$J$206,MATCH(H1132-129,Fields!$D$2:$D$206,1)),""),"")</f>
        <v/>
      </c>
      <c r="M1132">
        <f>IFERROR(IF(AND(H1132&lt;&gt;"",H1132&gt;=129,H1132&lt;=2176),INDEX(Fields!$K$2:$K$206,MATCH(H1132-129,Fields!$D$2:$D$206,1)),""),"")</f>
        <v/>
      </c>
    </row>
    <row r="1133">
      <c r="A1133" t="n">
        <v>1131</v>
      </c>
      <c r="B1133" t="n">
        <v>0</v>
      </c>
      <c r="C1133" t="inlineStr">
        <is>
          <t>No</t>
        </is>
      </c>
      <c r="D1133">
        <f>IF(AND(B1128=1,B1129=1,B1130=1,B1131=1,B1132=1),"Yes","")</f>
        <v/>
      </c>
      <c r="E1133" t="inlineStr">
        <is>
          <t>No</t>
        </is>
      </c>
      <c r="F1133" t="inlineStr">
        <is>
          <t>No</t>
        </is>
      </c>
      <c r="G1133">
        <f>IF(F1133="Yes",1-B1133,B1133)</f>
        <v/>
      </c>
      <c r="H1133">
        <f>IF(E1133="Yes","",COUNTIFS($E$2:E1133,"No"))</f>
        <v/>
      </c>
      <c r="I1133">
        <f>IF(H1133="","",IF(H1133&lt;=128,"address",IF(H1133&lt;=600,"data1",IF(H1133&lt;=1264,"zero-run1",IF(H1133&lt;=1648,"data2",IF(H1133&lt;=2176,"zero-run2",IF(H1133&lt;=2192,"FCS","trailing")))))))</f>
        <v/>
      </c>
      <c r="J1133">
        <f>IFERROR(IF(AND(H1133&lt;&gt;"",H1133&gt;=129,H1133&lt;=2176),INDEX(Fields!$B$2:$B$206,MATCH(H1133-129,Fields!$D$2:$D$206,1)),""),"")</f>
        <v/>
      </c>
      <c r="K1133">
        <f>IFERROR(IF(AND(H1133&lt;&gt;"",H1133&gt;=129,H1133&lt;=2176),INDEX(Fields!$C$2:$C$206,MATCH(H1133-129,Fields!$D$2:$D$206,1)),""),"")</f>
        <v/>
      </c>
      <c r="L1133">
        <f>IFERROR(IF(AND(H1133&lt;&gt;"",H1133&gt;=129,H1133&lt;=2176),INDEX(Fields!$J$2:$J$206,MATCH(H1133-129,Fields!$D$2:$D$206,1)),""),"")</f>
        <v/>
      </c>
      <c r="M1133">
        <f>IFERROR(IF(AND(H1133&lt;&gt;"",H1133&gt;=129,H1133&lt;=2176),INDEX(Fields!$K$2:$K$206,MATCH(H1133-129,Fields!$D$2:$D$206,1)),""),"")</f>
        <v/>
      </c>
    </row>
    <row r="1134">
      <c r="A1134" t="n">
        <v>1132</v>
      </c>
      <c r="B1134" t="n">
        <v>0</v>
      </c>
      <c r="C1134" t="inlineStr">
        <is>
          <t>No</t>
        </is>
      </c>
      <c r="D1134">
        <f>IF(AND(B1129=1,B1130=1,B1131=1,B1132=1,B1133=1),"Yes","")</f>
        <v/>
      </c>
      <c r="E1134" t="inlineStr">
        <is>
          <t>No</t>
        </is>
      </c>
      <c r="F1134" t="inlineStr">
        <is>
          <t>No</t>
        </is>
      </c>
      <c r="G1134">
        <f>IF(F1134="Yes",1-B1134,B1134)</f>
        <v/>
      </c>
      <c r="H1134">
        <f>IF(E1134="Yes","",COUNTIFS($E$2:E1134,"No"))</f>
        <v/>
      </c>
      <c r="I1134">
        <f>IF(H1134="","",IF(H1134&lt;=128,"address",IF(H1134&lt;=600,"data1",IF(H1134&lt;=1264,"zero-run1",IF(H1134&lt;=1648,"data2",IF(H1134&lt;=2176,"zero-run2",IF(H1134&lt;=2192,"FCS","trailing")))))))</f>
        <v/>
      </c>
      <c r="J1134">
        <f>IFERROR(IF(AND(H1134&lt;&gt;"",H1134&gt;=129,H1134&lt;=2176),INDEX(Fields!$B$2:$B$206,MATCH(H1134-129,Fields!$D$2:$D$206,1)),""),"")</f>
        <v/>
      </c>
      <c r="K1134">
        <f>IFERROR(IF(AND(H1134&lt;&gt;"",H1134&gt;=129,H1134&lt;=2176),INDEX(Fields!$C$2:$C$206,MATCH(H1134-129,Fields!$D$2:$D$206,1)),""),"")</f>
        <v/>
      </c>
      <c r="L1134">
        <f>IFERROR(IF(AND(H1134&lt;&gt;"",H1134&gt;=129,H1134&lt;=2176),INDEX(Fields!$J$2:$J$206,MATCH(H1134-129,Fields!$D$2:$D$206,1)),""),"")</f>
        <v/>
      </c>
      <c r="M1134">
        <f>IFERROR(IF(AND(H1134&lt;&gt;"",H1134&gt;=129,H1134&lt;=2176),INDEX(Fields!$K$2:$K$206,MATCH(H1134-129,Fields!$D$2:$D$206,1)),""),"")</f>
        <v/>
      </c>
    </row>
    <row r="1135">
      <c r="A1135" t="n">
        <v>1133</v>
      </c>
      <c r="B1135" t="n">
        <v>0</v>
      </c>
      <c r="C1135" t="inlineStr">
        <is>
          <t>No</t>
        </is>
      </c>
      <c r="D1135">
        <f>IF(AND(B1130=1,B1131=1,B1132=1,B1133=1,B1134=1),"Yes","")</f>
        <v/>
      </c>
      <c r="E1135" t="inlineStr">
        <is>
          <t>No</t>
        </is>
      </c>
      <c r="F1135" t="inlineStr">
        <is>
          <t>No</t>
        </is>
      </c>
      <c r="G1135">
        <f>IF(F1135="Yes",1-B1135,B1135)</f>
        <v/>
      </c>
      <c r="H1135">
        <f>IF(E1135="Yes","",COUNTIFS($E$2:E1135,"No"))</f>
        <v/>
      </c>
      <c r="I1135">
        <f>IF(H1135="","",IF(H1135&lt;=128,"address",IF(H1135&lt;=600,"data1",IF(H1135&lt;=1264,"zero-run1",IF(H1135&lt;=1648,"data2",IF(H1135&lt;=2176,"zero-run2",IF(H1135&lt;=2192,"FCS","trailing")))))))</f>
        <v/>
      </c>
      <c r="J1135">
        <f>IFERROR(IF(AND(H1135&lt;&gt;"",H1135&gt;=129,H1135&lt;=2176),INDEX(Fields!$B$2:$B$206,MATCH(H1135-129,Fields!$D$2:$D$206,1)),""),"")</f>
        <v/>
      </c>
      <c r="K1135">
        <f>IFERROR(IF(AND(H1135&lt;&gt;"",H1135&gt;=129,H1135&lt;=2176),INDEX(Fields!$C$2:$C$206,MATCH(H1135-129,Fields!$D$2:$D$206,1)),""),"")</f>
        <v/>
      </c>
      <c r="L1135">
        <f>IFERROR(IF(AND(H1135&lt;&gt;"",H1135&gt;=129,H1135&lt;=2176),INDEX(Fields!$J$2:$J$206,MATCH(H1135-129,Fields!$D$2:$D$206,1)),""),"")</f>
        <v/>
      </c>
      <c r="M1135">
        <f>IFERROR(IF(AND(H1135&lt;&gt;"",H1135&gt;=129,H1135&lt;=2176),INDEX(Fields!$K$2:$K$206,MATCH(H1135-129,Fields!$D$2:$D$206,1)),""),"")</f>
        <v/>
      </c>
    </row>
    <row r="1136">
      <c r="A1136" t="n">
        <v>1134</v>
      </c>
      <c r="B1136" t="n">
        <v>0</v>
      </c>
      <c r="C1136" t="inlineStr">
        <is>
          <t>No</t>
        </is>
      </c>
      <c r="D1136">
        <f>IF(AND(B1131=1,B1132=1,B1133=1,B1134=1,B1135=1),"Yes","")</f>
        <v/>
      </c>
      <c r="E1136" t="inlineStr">
        <is>
          <t>No</t>
        </is>
      </c>
      <c r="F1136" t="inlineStr">
        <is>
          <t>No</t>
        </is>
      </c>
      <c r="G1136">
        <f>IF(F1136="Yes",1-B1136,B1136)</f>
        <v/>
      </c>
      <c r="H1136">
        <f>IF(E1136="Yes","",COUNTIFS($E$2:E1136,"No"))</f>
        <v/>
      </c>
      <c r="I1136">
        <f>IF(H1136="","",IF(H1136&lt;=128,"address",IF(H1136&lt;=600,"data1",IF(H1136&lt;=1264,"zero-run1",IF(H1136&lt;=1648,"data2",IF(H1136&lt;=2176,"zero-run2",IF(H1136&lt;=2192,"FCS","trailing")))))))</f>
        <v/>
      </c>
      <c r="J1136">
        <f>IFERROR(IF(AND(H1136&lt;&gt;"",H1136&gt;=129,H1136&lt;=2176),INDEX(Fields!$B$2:$B$206,MATCH(H1136-129,Fields!$D$2:$D$206,1)),""),"")</f>
        <v/>
      </c>
      <c r="K1136">
        <f>IFERROR(IF(AND(H1136&lt;&gt;"",H1136&gt;=129,H1136&lt;=2176),INDEX(Fields!$C$2:$C$206,MATCH(H1136-129,Fields!$D$2:$D$206,1)),""),"")</f>
        <v/>
      </c>
      <c r="L1136">
        <f>IFERROR(IF(AND(H1136&lt;&gt;"",H1136&gt;=129,H1136&lt;=2176),INDEX(Fields!$J$2:$J$206,MATCH(H1136-129,Fields!$D$2:$D$206,1)),""),"")</f>
        <v/>
      </c>
      <c r="M1136">
        <f>IFERROR(IF(AND(H1136&lt;&gt;"",H1136&gt;=129,H1136&lt;=2176),INDEX(Fields!$K$2:$K$206,MATCH(H1136-129,Fields!$D$2:$D$206,1)),""),"")</f>
        <v/>
      </c>
    </row>
    <row r="1137">
      <c r="A1137" t="n">
        <v>1135</v>
      </c>
      <c r="B1137" t="n">
        <v>0</v>
      </c>
      <c r="C1137" t="inlineStr">
        <is>
          <t>No</t>
        </is>
      </c>
      <c r="D1137">
        <f>IF(AND(B1132=1,B1133=1,B1134=1,B1135=1,B1136=1),"Yes","")</f>
        <v/>
      </c>
      <c r="E1137" t="inlineStr">
        <is>
          <t>No</t>
        </is>
      </c>
      <c r="F1137" t="inlineStr">
        <is>
          <t>No</t>
        </is>
      </c>
      <c r="G1137">
        <f>IF(F1137="Yes",1-B1137,B1137)</f>
        <v/>
      </c>
      <c r="H1137">
        <f>IF(E1137="Yes","",COUNTIFS($E$2:E1137,"No"))</f>
        <v/>
      </c>
      <c r="I1137">
        <f>IF(H1137="","",IF(H1137&lt;=128,"address",IF(H1137&lt;=600,"data1",IF(H1137&lt;=1264,"zero-run1",IF(H1137&lt;=1648,"data2",IF(H1137&lt;=2176,"zero-run2",IF(H1137&lt;=2192,"FCS","trailing")))))))</f>
        <v/>
      </c>
      <c r="J1137">
        <f>IFERROR(IF(AND(H1137&lt;&gt;"",H1137&gt;=129,H1137&lt;=2176),INDEX(Fields!$B$2:$B$206,MATCH(H1137-129,Fields!$D$2:$D$206,1)),""),"")</f>
        <v/>
      </c>
      <c r="K1137">
        <f>IFERROR(IF(AND(H1137&lt;&gt;"",H1137&gt;=129,H1137&lt;=2176),INDEX(Fields!$C$2:$C$206,MATCH(H1137-129,Fields!$D$2:$D$206,1)),""),"")</f>
        <v/>
      </c>
      <c r="L1137">
        <f>IFERROR(IF(AND(H1137&lt;&gt;"",H1137&gt;=129,H1137&lt;=2176),INDEX(Fields!$J$2:$J$206,MATCH(H1137-129,Fields!$D$2:$D$206,1)),""),"")</f>
        <v/>
      </c>
      <c r="M1137">
        <f>IFERROR(IF(AND(H1137&lt;&gt;"",H1137&gt;=129,H1137&lt;=2176),INDEX(Fields!$K$2:$K$206,MATCH(H1137-129,Fields!$D$2:$D$206,1)),""),"")</f>
        <v/>
      </c>
    </row>
    <row r="1138">
      <c r="A1138" t="n">
        <v>1136</v>
      </c>
      <c r="B1138" t="n">
        <v>0</v>
      </c>
      <c r="C1138" t="inlineStr">
        <is>
          <t>No</t>
        </is>
      </c>
      <c r="D1138">
        <f>IF(AND(B1133=1,B1134=1,B1135=1,B1136=1,B1137=1),"Yes","")</f>
        <v/>
      </c>
      <c r="E1138" t="inlineStr">
        <is>
          <t>No</t>
        </is>
      </c>
      <c r="F1138" t="inlineStr">
        <is>
          <t>No</t>
        </is>
      </c>
      <c r="G1138">
        <f>IF(F1138="Yes",1-B1138,B1138)</f>
        <v/>
      </c>
      <c r="H1138">
        <f>IF(E1138="Yes","",COUNTIFS($E$2:E1138,"No"))</f>
        <v/>
      </c>
      <c r="I1138">
        <f>IF(H1138="","",IF(H1138&lt;=128,"address",IF(H1138&lt;=600,"data1",IF(H1138&lt;=1264,"zero-run1",IF(H1138&lt;=1648,"data2",IF(H1138&lt;=2176,"zero-run2",IF(H1138&lt;=2192,"FCS","trailing")))))))</f>
        <v/>
      </c>
      <c r="J1138">
        <f>IFERROR(IF(AND(H1138&lt;&gt;"",H1138&gt;=129,H1138&lt;=2176),INDEX(Fields!$B$2:$B$206,MATCH(H1138-129,Fields!$D$2:$D$206,1)),""),"")</f>
        <v/>
      </c>
      <c r="K1138">
        <f>IFERROR(IF(AND(H1138&lt;&gt;"",H1138&gt;=129,H1138&lt;=2176),INDEX(Fields!$C$2:$C$206,MATCH(H1138-129,Fields!$D$2:$D$206,1)),""),"")</f>
        <v/>
      </c>
      <c r="L1138">
        <f>IFERROR(IF(AND(H1138&lt;&gt;"",H1138&gt;=129,H1138&lt;=2176),INDEX(Fields!$J$2:$J$206,MATCH(H1138-129,Fields!$D$2:$D$206,1)),""),"")</f>
        <v/>
      </c>
      <c r="M1138">
        <f>IFERROR(IF(AND(H1138&lt;&gt;"",H1138&gt;=129,H1138&lt;=2176),INDEX(Fields!$K$2:$K$206,MATCH(H1138-129,Fields!$D$2:$D$206,1)),""),"")</f>
        <v/>
      </c>
    </row>
    <row r="1139">
      <c r="A1139" t="n">
        <v>1137</v>
      </c>
      <c r="B1139" t="n">
        <v>0</v>
      </c>
      <c r="C1139" t="inlineStr">
        <is>
          <t>No</t>
        </is>
      </c>
      <c r="D1139">
        <f>IF(AND(B1134=1,B1135=1,B1136=1,B1137=1,B1138=1),"Yes","")</f>
        <v/>
      </c>
      <c r="E1139" t="inlineStr">
        <is>
          <t>No</t>
        </is>
      </c>
      <c r="F1139" t="inlineStr">
        <is>
          <t>No</t>
        </is>
      </c>
      <c r="G1139">
        <f>IF(F1139="Yes",1-B1139,B1139)</f>
        <v/>
      </c>
      <c r="H1139">
        <f>IF(E1139="Yes","",COUNTIFS($E$2:E1139,"No"))</f>
        <v/>
      </c>
      <c r="I1139">
        <f>IF(H1139="","",IF(H1139&lt;=128,"address",IF(H1139&lt;=600,"data1",IF(H1139&lt;=1264,"zero-run1",IF(H1139&lt;=1648,"data2",IF(H1139&lt;=2176,"zero-run2",IF(H1139&lt;=2192,"FCS","trailing")))))))</f>
        <v/>
      </c>
      <c r="J1139">
        <f>IFERROR(IF(AND(H1139&lt;&gt;"",H1139&gt;=129,H1139&lt;=2176),INDEX(Fields!$B$2:$B$206,MATCH(H1139-129,Fields!$D$2:$D$206,1)),""),"")</f>
        <v/>
      </c>
      <c r="K1139">
        <f>IFERROR(IF(AND(H1139&lt;&gt;"",H1139&gt;=129,H1139&lt;=2176),INDEX(Fields!$C$2:$C$206,MATCH(H1139-129,Fields!$D$2:$D$206,1)),""),"")</f>
        <v/>
      </c>
      <c r="L1139">
        <f>IFERROR(IF(AND(H1139&lt;&gt;"",H1139&gt;=129,H1139&lt;=2176),INDEX(Fields!$J$2:$J$206,MATCH(H1139-129,Fields!$D$2:$D$206,1)),""),"")</f>
        <v/>
      </c>
      <c r="M1139">
        <f>IFERROR(IF(AND(H1139&lt;&gt;"",H1139&gt;=129,H1139&lt;=2176),INDEX(Fields!$K$2:$K$206,MATCH(H1139-129,Fields!$D$2:$D$206,1)),""),"")</f>
        <v/>
      </c>
    </row>
    <row r="1140">
      <c r="A1140" t="n">
        <v>1138</v>
      </c>
      <c r="B1140" t="n">
        <v>0</v>
      </c>
      <c r="C1140" t="inlineStr">
        <is>
          <t>No</t>
        </is>
      </c>
      <c r="D1140">
        <f>IF(AND(B1135=1,B1136=1,B1137=1,B1138=1,B1139=1),"Yes","")</f>
        <v/>
      </c>
      <c r="E1140" t="inlineStr">
        <is>
          <t>No</t>
        </is>
      </c>
      <c r="F1140" t="inlineStr">
        <is>
          <t>No</t>
        </is>
      </c>
      <c r="G1140">
        <f>IF(F1140="Yes",1-B1140,B1140)</f>
        <v/>
      </c>
      <c r="H1140">
        <f>IF(E1140="Yes","",COUNTIFS($E$2:E1140,"No"))</f>
        <v/>
      </c>
      <c r="I1140">
        <f>IF(H1140="","",IF(H1140&lt;=128,"address",IF(H1140&lt;=600,"data1",IF(H1140&lt;=1264,"zero-run1",IF(H1140&lt;=1648,"data2",IF(H1140&lt;=2176,"zero-run2",IF(H1140&lt;=2192,"FCS","trailing")))))))</f>
        <v/>
      </c>
      <c r="J1140">
        <f>IFERROR(IF(AND(H1140&lt;&gt;"",H1140&gt;=129,H1140&lt;=2176),INDEX(Fields!$B$2:$B$206,MATCH(H1140-129,Fields!$D$2:$D$206,1)),""),"")</f>
        <v/>
      </c>
      <c r="K1140">
        <f>IFERROR(IF(AND(H1140&lt;&gt;"",H1140&gt;=129,H1140&lt;=2176),INDEX(Fields!$C$2:$C$206,MATCH(H1140-129,Fields!$D$2:$D$206,1)),""),"")</f>
        <v/>
      </c>
      <c r="L1140">
        <f>IFERROR(IF(AND(H1140&lt;&gt;"",H1140&gt;=129,H1140&lt;=2176),INDEX(Fields!$J$2:$J$206,MATCH(H1140-129,Fields!$D$2:$D$206,1)),""),"")</f>
        <v/>
      </c>
      <c r="M1140">
        <f>IFERROR(IF(AND(H1140&lt;&gt;"",H1140&gt;=129,H1140&lt;=2176),INDEX(Fields!$K$2:$K$206,MATCH(H1140-129,Fields!$D$2:$D$206,1)),""),"")</f>
        <v/>
      </c>
    </row>
    <row r="1141">
      <c r="A1141" t="n">
        <v>1139</v>
      </c>
      <c r="B1141" t="n">
        <v>0</v>
      </c>
      <c r="C1141" t="inlineStr">
        <is>
          <t>No</t>
        </is>
      </c>
      <c r="D1141">
        <f>IF(AND(B1136=1,B1137=1,B1138=1,B1139=1,B1140=1),"Yes","")</f>
        <v/>
      </c>
      <c r="E1141" t="inlineStr">
        <is>
          <t>No</t>
        </is>
      </c>
      <c r="F1141" t="inlineStr">
        <is>
          <t>No</t>
        </is>
      </c>
      <c r="G1141">
        <f>IF(F1141="Yes",1-B1141,B1141)</f>
        <v/>
      </c>
      <c r="H1141">
        <f>IF(E1141="Yes","",COUNTIFS($E$2:E1141,"No"))</f>
        <v/>
      </c>
      <c r="I1141">
        <f>IF(H1141="","",IF(H1141&lt;=128,"address",IF(H1141&lt;=600,"data1",IF(H1141&lt;=1264,"zero-run1",IF(H1141&lt;=1648,"data2",IF(H1141&lt;=2176,"zero-run2",IF(H1141&lt;=2192,"FCS","trailing")))))))</f>
        <v/>
      </c>
      <c r="J1141">
        <f>IFERROR(IF(AND(H1141&lt;&gt;"",H1141&gt;=129,H1141&lt;=2176),INDEX(Fields!$B$2:$B$206,MATCH(H1141-129,Fields!$D$2:$D$206,1)),""),"")</f>
        <v/>
      </c>
      <c r="K1141">
        <f>IFERROR(IF(AND(H1141&lt;&gt;"",H1141&gt;=129,H1141&lt;=2176),INDEX(Fields!$C$2:$C$206,MATCH(H1141-129,Fields!$D$2:$D$206,1)),""),"")</f>
        <v/>
      </c>
      <c r="L1141">
        <f>IFERROR(IF(AND(H1141&lt;&gt;"",H1141&gt;=129,H1141&lt;=2176),INDEX(Fields!$J$2:$J$206,MATCH(H1141-129,Fields!$D$2:$D$206,1)),""),"")</f>
        <v/>
      </c>
      <c r="M1141">
        <f>IFERROR(IF(AND(H1141&lt;&gt;"",H1141&gt;=129,H1141&lt;=2176),INDEX(Fields!$K$2:$K$206,MATCH(H1141-129,Fields!$D$2:$D$206,1)),""),"")</f>
        <v/>
      </c>
    </row>
    <row r="1142">
      <c r="A1142" t="n">
        <v>1140</v>
      </c>
      <c r="B1142" t="n">
        <v>0</v>
      </c>
      <c r="C1142" t="inlineStr">
        <is>
          <t>No</t>
        </is>
      </c>
      <c r="D1142">
        <f>IF(AND(B1137=1,B1138=1,B1139=1,B1140=1,B1141=1),"Yes","")</f>
        <v/>
      </c>
      <c r="E1142" t="inlineStr">
        <is>
          <t>No</t>
        </is>
      </c>
      <c r="F1142" t="inlineStr">
        <is>
          <t>No</t>
        </is>
      </c>
      <c r="G1142">
        <f>IF(F1142="Yes",1-B1142,B1142)</f>
        <v/>
      </c>
      <c r="H1142">
        <f>IF(E1142="Yes","",COUNTIFS($E$2:E1142,"No"))</f>
        <v/>
      </c>
      <c r="I1142">
        <f>IF(H1142="","",IF(H1142&lt;=128,"address",IF(H1142&lt;=600,"data1",IF(H1142&lt;=1264,"zero-run1",IF(H1142&lt;=1648,"data2",IF(H1142&lt;=2176,"zero-run2",IF(H1142&lt;=2192,"FCS","trailing")))))))</f>
        <v/>
      </c>
      <c r="J1142">
        <f>IFERROR(IF(AND(H1142&lt;&gt;"",H1142&gt;=129,H1142&lt;=2176),INDEX(Fields!$B$2:$B$206,MATCH(H1142-129,Fields!$D$2:$D$206,1)),""),"")</f>
        <v/>
      </c>
      <c r="K1142">
        <f>IFERROR(IF(AND(H1142&lt;&gt;"",H1142&gt;=129,H1142&lt;=2176),INDEX(Fields!$C$2:$C$206,MATCH(H1142-129,Fields!$D$2:$D$206,1)),""),"")</f>
        <v/>
      </c>
      <c r="L1142">
        <f>IFERROR(IF(AND(H1142&lt;&gt;"",H1142&gt;=129,H1142&lt;=2176),INDEX(Fields!$J$2:$J$206,MATCH(H1142-129,Fields!$D$2:$D$206,1)),""),"")</f>
        <v/>
      </c>
      <c r="M1142">
        <f>IFERROR(IF(AND(H1142&lt;&gt;"",H1142&gt;=129,H1142&lt;=2176),INDEX(Fields!$K$2:$K$206,MATCH(H1142-129,Fields!$D$2:$D$206,1)),""),"")</f>
        <v/>
      </c>
    </row>
    <row r="1143">
      <c r="A1143" t="n">
        <v>1141</v>
      </c>
      <c r="B1143" t="n">
        <v>0</v>
      </c>
      <c r="C1143" t="inlineStr">
        <is>
          <t>No</t>
        </is>
      </c>
      <c r="D1143">
        <f>IF(AND(B1138=1,B1139=1,B1140=1,B1141=1,B1142=1),"Yes","")</f>
        <v/>
      </c>
      <c r="E1143" t="inlineStr">
        <is>
          <t>No</t>
        </is>
      </c>
      <c r="F1143" t="inlineStr">
        <is>
          <t>No</t>
        </is>
      </c>
      <c r="G1143">
        <f>IF(F1143="Yes",1-B1143,B1143)</f>
        <v/>
      </c>
      <c r="H1143">
        <f>IF(E1143="Yes","",COUNTIFS($E$2:E1143,"No"))</f>
        <v/>
      </c>
      <c r="I1143">
        <f>IF(H1143="","",IF(H1143&lt;=128,"address",IF(H1143&lt;=600,"data1",IF(H1143&lt;=1264,"zero-run1",IF(H1143&lt;=1648,"data2",IF(H1143&lt;=2176,"zero-run2",IF(H1143&lt;=2192,"FCS","trailing")))))))</f>
        <v/>
      </c>
      <c r="J1143">
        <f>IFERROR(IF(AND(H1143&lt;&gt;"",H1143&gt;=129,H1143&lt;=2176),INDEX(Fields!$B$2:$B$206,MATCH(H1143-129,Fields!$D$2:$D$206,1)),""),"")</f>
        <v/>
      </c>
      <c r="K1143">
        <f>IFERROR(IF(AND(H1143&lt;&gt;"",H1143&gt;=129,H1143&lt;=2176),INDEX(Fields!$C$2:$C$206,MATCH(H1143-129,Fields!$D$2:$D$206,1)),""),"")</f>
        <v/>
      </c>
      <c r="L1143">
        <f>IFERROR(IF(AND(H1143&lt;&gt;"",H1143&gt;=129,H1143&lt;=2176),INDEX(Fields!$J$2:$J$206,MATCH(H1143-129,Fields!$D$2:$D$206,1)),""),"")</f>
        <v/>
      </c>
      <c r="M1143">
        <f>IFERROR(IF(AND(H1143&lt;&gt;"",H1143&gt;=129,H1143&lt;=2176),INDEX(Fields!$K$2:$K$206,MATCH(H1143-129,Fields!$D$2:$D$206,1)),""),"")</f>
        <v/>
      </c>
    </row>
    <row r="1144">
      <c r="A1144" t="n">
        <v>1142</v>
      </c>
      <c r="B1144" t="n">
        <v>0</v>
      </c>
      <c r="C1144" t="inlineStr">
        <is>
          <t>No</t>
        </is>
      </c>
      <c r="D1144">
        <f>IF(AND(B1139=1,B1140=1,B1141=1,B1142=1,B1143=1),"Yes","")</f>
        <v/>
      </c>
      <c r="E1144" t="inlineStr">
        <is>
          <t>No</t>
        </is>
      </c>
      <c r="F1144" t="inlineStr">
        <is>
          <t>No</t>
        </is>
      </c>
      <c r="G1144">
        <f>IF(F1144="Yes",1-B1144,B1144)</f>
        <v/>
      </c>
      <c r="H1144">
        <f>IF(E1144="Yes","",COUNTIFS($E$2:E1144,"No"))</f>
        <v/>
      </c>
      <c r="I1144">
        <f>IF(H1144="","",IF(H1144&lt;=128,"address",IF(H1144&lt;=600,"data1",IF(H1144&lt;=1264,"zero-run1",IF(H1144&lt;=1648,"data2",IF(H1144&lt;=2176,"zero-run2",IF(H1144&lt;=2192,"FCS","trailing")))))))</f>
        <v/>
      </c>
      <c r="J1144">
        <f>IFERROR(IF(AND(H1144&lt;&gt;"",H1144&gt;=129,H1144&lt;=2176),INDEX(Fields!$B$2:$B$206,MATCH(H1144-129,Fields!$D$2:$D$206,1)),""),"")</f>
        <v/>
      </c>
      <c r="K1144">
        <f>IFERROR(IF(AND(H1144&lt;&gt;"",H1144&gt;=129,H1144&lt;=2176),INDEX(Fields!$C$2:$C$206,MATCH(H1144-129,Fields!$D$2:$D$206,1)),""),"")</f>
        <v/>
      </c>
      <c r="L1144">
        <f>IFERROR(IF(AND(H1144&lt;&gt;"",H1144&gt;=129,H1144&lt;=2176),INDEX(Fields!$J$2:$J$206,MATCH(H1144-129,Fields!$D$2:$D$206,1)),""),"")</f>
        <v/>
      </c>
      <c r="M1144">
        <f>IFERROR(IF(AND(H1144&lt;&gt;"",H1144&gt;=129,H1144&lt;=2176),INDEX(Fields!$K$2:$K$206,MATCH(H1144-129,Fields!$D$2:$D$206,1)),""),"")</f>
        <v/>
      </c>
    </row>
    <row r="1145">
      <c r="A1145" t="n">
        <v>1143</v>
      </c>
      <c r="B1145" t="n">
        <v>0</v>
      </c>
      <c r="C1145" t="inlineStr">
        <is>
          <t>No</t>
        </is>
      </c>
      <c r="D1145">
        <f>IF(AND(B1140=1,B1141=1,B1142=1,B1143=1,B1144=1),"Yes","")</f>
        <v/>
      </c>
      <c r="E1145" t="inlineStr">
        <is>
          <t>No</t>
        </is>
      </c>
      <c r="F1145" t="inlineStr">
        <is>
          <t>No</t>
        </is>
      </c>
      <c r="G1145">
        <f>IF(F1145="Yes",1-B1145,B1145)</f>
        <v/>
      </c>
      <c r="H1145">
        <f>IF(E1145="Yes","",COUNTIFS($E$2:E1145,"No"))</f>
        <v/>
      </c>
      <c r="I1145">
        <f>IF(H1145="","",IF(H1145&lt;=128,"address",IF(H1145&lt;=600,"data1",IF(H1145&lt;=1264,"zero-run1",IF(H1145&lt;=1648,"data2",IF(H1145&lt;=2176,"zero-run2",IF(H1145&lt;=2192,"FCS","trailing")))))))</f>
        <v/>
      </c>
      <c r="J1145">
        <f>IFERROR(IF(AND(H1145&lt;&gt;"",H1145&gt;=129,H1145&lt;=2176),INDEX(Fields!$B$2:$B$206,MATCH(H1145-129,Fields!$D$2:$D$206,1)),""),"")</f>
        <v/>
      </c>
      <c r="K1145">
        <f>IFERROR(IF(AND(H1145&lt;&gt;"",H1145&gt;=129,H1145&lt;=2176),INDEX(Fields!$C$2:$C$206,MATCH(H1145-129,Fields!$D$2:$D$206,1)),""),"")</f>
        <v/>
      </c>
      <c r="L1145">
        <f>IFERROR(IF(AND(H1145&lt;&gt;"",H1145&gt;=129,H1145&lt;=2176),INDEX(Fields!$J$2:$J$206,MATCH(H1145-129,Fields!$D$2:$D$206,1)),""),"")</f>
        <v/>
      </c>
      <c r="M1145">
        <f>IFERROR(IF(AND(H1145&lt;&gt;"",H1145&gt;=129,H1145&lt;=2176),INDEX(Fields!$K$2:$K$206,MATCH(H1145-129,Fields!$D$2:$D$206,1)),""),"")</f>
        <v/>
      </c>
    </row>
    <row r="1146">
      <c r="A1146" t="n">
        <v>1144</v>
      </c>
      <c r="B1146" t="n">
        <v>0</v>
      </c>
      <c r="C1146" t="inlineStr">
        <is>
          <t>No</t>
        </is>
      </c>
      <c r="D1146">
        <f>IF(AND(B1141=1,B1142=1,B1143=1,B1144=1,B1145=1),"Yes","")</f>
        <v/>
      </c>
      <c r="E1146" t="inlineStr">
        <is>
          <t>No</t>
        </is>
      </c>
      <c r="F1146" t="inlineStr">
        <is>
          <t>No</t>
        </is>
      </c>
      <c r="G1146">
        <f>IF(F1146="Yes",1-B1146,B1146)</f>
        <v/>
      </c>
      <c r="H1146">
        <f>IF(E1146="Yes","",COUNTIFS($E$2:E1146,"No"))</f>
        <v/>
      </c>
      <c r="I1146">
        <f>IF(H1146="","",IF(H1146&lt;=128,"address",IF(H1146&lt;=600,"data1",IF(H1146&lt;=1264,"zero-run1",IF(H1146&lt;=1648,"data2",IF(H1146&lt;=2176,"zero-run2",IF(H1146&lt;=2192,"FCS","trailing")))))))</f>
        <v/>
      </c>
      <c r="J1146">
        <f>IFERROR(IF(AND(H1146&lt;&gt;"",H1146&gt;=129,H1146&lt;=2176),INDEX(Fields!$B$2:$B$206,MATCH(H1146-129,Fields!$D$2:$D$206,1)),""),"")</f>
        <v/>
      </c>
      <c r="K1146">
        <f>IFERROR(IF(AND(H1146&lt;&gt;"",H1146&gt;=129,H1146&lt;=2176),INDEX(Fields!$C$2:$C$206,MATCH(H1146-129,Fields!$D$2:$D$206,1)),""),"")</f>
        <v/>
      </c>
      <c r="L1146">
        <f>IFERROR(IF(AND(H1146&lt;&gt;"",H1146&gt;=129,H1146&lt;=2176),INDEX(Fields!$J$2:$J$206,MATCH(H1146-129,Fields!$D$2:$D$206,1)),""),"")</f>
        <v/>
      </c>
      <c r="M1146">
        <f>IFERROR(IF(AND(H1146&lt;&gt;"",H1146&gt;=129,H1146&lt;=2176),INDEX(Fields!$K$2:$K$206,MATCH(H1146-129,Fields!$D$2:$D$206,1)),""),"")</f>
        <v/>
      </c>
    </row>
    <row r="1147">
      <c r="A1147" t="n">
        <v>1145</v>
      </c>
      <c r="B1147" t="n">
        <v>0</v>
      </c>
      <c r="C1147" t="inlineStr">
        <is>
          <t>No</t>
        </is>
      </c>
      <c r="D1147">
        <f>IF(AND(B1142=1,B1143=1,B1144=1,B1145=1,B1146=1),"Yes","")</f>
        <v/>
      </c>
      <c r="E1147" t="inlineStr">
        <is>
          <t>No</t>
        </is>
      </c>
      <c r="F1147" t="inlineStr">
        <is>
          <t>No</t>
        </is>
      </c>
      <c r="G1147">
        <f>IF(F1147="Yes",1-B1147,B1147)</f>
        <v/>
      </c>
      <c r="H1147">
        <f>IF(E1147="Yes","",COUNTIFS($E$2:E1147,"No"))</f>
        <v/>
      </c>
      <c r="I1147">
        <f>IF(H1147="","",IF(H1147&lt;=128,"address",IF(H1147&lt;=600,"data1",IF(H1147&lt;=1264,"zero-run1",IF(H1147&lt;=1648,"data2",IF(H1147&lt;=2176,"zero-run2",IF(H1147&lt;=2192,"FCS","trailing")))))))</f>
        <v/>
      </c>
      <c r="J1147">
        <f>IFERROR(IF(AND(H1147&lt;&gt;"",H1147&gt;=129,H1147&lt;=2176),INDEX(Fields!$B$2:$B$206,MATCH(H1147-129,Fields!$D$2:$D$206,1)),""),"")</f>
        <v/>
      </c>
      <c r="K1147">
        <f>IFERROR(IF(AND(H1147&lt;&gt;"",H1147&gt;=129,H1147&lt;=2176),INDEX(Fields!$C$2:$C$206,MATCH(H1147-129,Fields!$D$2:$D$206,1)),""),"")</f>
        <v/>
      </c>
      <c r="L1147">
        <f>IFERROR(IF(AND(H1147&lt;&gt;"",H1147&gt;=129,H1147&lt;=2176),INDEX(Fields!$J$2:$J$206,MATCH(H1147-129,Fields!$D$2:$D$206,1)),""),"")</f>
        <v/>
      </c>
      <c r="M1147">
        <f>IFERROR(IF(AND(H1147&lt;&gt;"",H1147&gt;=129,H1147&lt;=2176),INDEX(Fields!$K$2:$K$206,MATCH(H1147-129,Fields!$D$2:$D$206,1)),""),"")</f>
        <v/>
      </c>
    </row>
    <row r="1148">
      <c r="A1148" t="n">
        <v>1146</v>
      </c>
      <c r="B1148" t="n">
        <v>0</v>
      </c>
      <c r="C1148" t="inlineStr">
        <is>
          <t>No</t>
        </is>
      </c>
      <c r="D1148">
        <f>IF(AND(B1143=1,B1144=1,B1145=1,B1146=1,B1147=1),"Yes","")</f>
        <v/>
      </c>
      <c r="E1148" t="inlineStr">
        <is>
          <t>No</t>
        </is>
      </c>
      <c r="F1148" t="inlineStr">
        <is>
          <t>No</t>
        </is>
      </c>
      <c r="G1148">
        <f>IF(F1148="Yes",1-B1148,B1148)</f>
        <v/>
      </c>
      <c r="H1148">
        <f>IF(E1148="Yes","",COUNTIFS($E$2:E1148,"No"))</f>
        <v/>
      </c>
      <c r="I1148">
        <f>IF(H1148="","",IF(H1148&lt;=128,"address",IF(H1148&lt;=600,"data1",IF(H1148&lt;=1264,"zero-run1",IF(H1148&lt;=1648,"data2",IF(H1148&lt;=2176,"zero-run2",IF(H1148&lt;=2192,"FCS","trailing")))))))</f>
        <v/>
      </c>
      <c r="J1148">
        <f>IFERROR(IF(AND(H1148&lt;&gt;"",H1148&gt;=129,H1148&lt;=2176),INDEX(Fields!$B$2:$B$206,MATCH(H1148-129,Fields!$D$2:$D$206,1)),""),"")</f>
        <v/>
      </c>
      <c r="K1148">
        <f>IFERROR(IF(AND(H1148&lt;&gt;"",H1148&gt;=129,H1148&lt;=2176),INDEX(Fields!$C$2:$C$206,MATCH(H1148-129,Fields!$D$2:$D$206,1)),""),"")</f>
        <v/>
      </c>
      <c r="L1148">
        <f>IFERROR(IF(AND(H1148&lt;&gt;"",H1148&gt;=129,H1148&lt;=2176),INDEX(Fields!$J$2:$J$206,MATCH(H1148-129,Fields!$D$2:$D$206,1)),""),"")</f>
        <v/>
      </c>
      <c r="M1148">
        <f>IFERROR(IF(AND(H1148&lt;&gt;"",H1148&gt;=129,H1148&lt;=2176),INDEX(Fields!$K$2:$K$206,MATCH(H1148-129,Fields!$D$2:$D$206,1)),""),"")</f>
        <v/>
      </c>
    </row>
    <row r="1149">
      <c r="A1149" t="n">
        <v>1147</v>
      </c>
      <c r="B1149" t="n">
        <v>0</v>
      </c>
      <c r="C1149" t="inlineStr">
        <is>
          <t>No</t>
        </is>
      </c>
      <c r="D1149">
        <f>IF(AND(B1144=1,B1145=1,B1146=1,B1147=1,B1148=1),"Yes","")</f>
        <v/>
      </c>
      <c r="E1149" t="inlineStr">
        <is>
          <t>No</t>
        </is>
      </c>
      <c r="F1149" t="inlineStr">
        <is>
          <t>No</t>
        </is>
      </c>
      <c r="G1149">
        <f>IF(F1149="Yes",1-B1149,B1149)</f>
        <v/>
      </c>
      <c r="H1149">
        <f>IF(E1149="Yes","",COUNTIFS($E$2:E1149,"No"))</f>
        <v/>
      </c>
      <c r="I1149">
        <f>IF(H1149="","",IF(H1149&lt;=128,"address",IF(H1149&lt;=600,"data1",IF(H1149&lt;=1264,"zero-run1",IF(H1149&lt;=1648,"data2",IF(H1149&lt;=2176,"zero-run2",IF(H1149&lt;=2192,"FCS","trailing")))))))</f>
        <v/>
      </c>
      <c r="J1149">
        <f>IFERROR(IF(AND(H1149&lt;&gt;"",H1149&gt;=129,H1149&lt;=2176),INDEX(Fields!$B$2:$B$206,MATCH(H1149-129,Fields!$D$2:$D$206,1)),""),"")</f>
        <v/>
      </c>
      <c r="K1149">
        <f>IFERROR(IF(AND(H1149&lt;&gt;"",H1149&gt;=129,H1149&lt;=2176),INDEX(Fields!$C$2:$C$206,MATCH(H1149-129,Fields!$D$2:$D$206,1)),""),"")</f>
        <v/>
      </c>
      <c r="L1149">
        <f>IFERROR(IF(AND(H1149&lt;&gt;"",H1149&gt;=129,H1149&lt;=2176),INDEX(Fields!$J$2:$J$206,MATCH(H1149-129,Fields!$D$2:$D$206,1)),""),"")</f>
        <v/>
      </c>
      <c r="M1149">
        <f>IFERROR(IF(AND(H1149&lt;&gt;"",H1149&gt;=129,H1149&lt;=2176),INDEX(Fields!$K$2:$K$206,MATCH(H1149-129,Fields!$D$2:$D$206,1)),""),"")</f>
        <v/>
      </c>
    </row>
    <row r="1150">
      <c r="A1150" t="n">
        <v>1148</v>
      </c>
      <c r="B1150" t="n">
        <v>1</v>
      </c>
      <c r="C1150" s="4" t="inlineStr">
        <is>
          <t>Yes</t>
        </is>
      </c>
      <c r="D1150">
        <f>IF(AND(B1145=1,B1146=1,B1147=1,B1148=1,B1149=1),"Yes","")</f>
        <v/>
      </c>
      <c r="E1150" t="inlineStr">
        <is>
          <t>No</t>
        </is>
      </c>
      <c r="F1150" t="inlineStr">
        <is>
          <t>No</t>
        </is>
      </c>
      <c r="G1150">
        <f>IF(F1150="Yes",1-B1150,B1150)</f>
        <v/>
      </c>
      <c r="H1150">
        <f>IF(E1150="Yes","",COUNTIFS($E$2:E1150,"No"))</f>
        <v/>
      </c>
      <c r="I1150">
        <f>IF(H1150="","",IF(H1150&lt;=128,"address",IF(H1150&lt;=600,"data1",IF(H1150&lt;=1264,"zero-run1",IF(H1150&lt;=1648,"data2",IF(H1150&lt;=2176,"zero-run2",IF(H1150&lt;=2192,"FCS","trailing")))))))</f>
        <v/>
      </c>
      <c r="J1150">
        <f>IFERROR(IF(AND(H1150&lt;&gt;"",H1150&gt;=129,H1150&lt;=2176),INDEX(Fields!$B$2:$B$206,MATCH(H1150-129,Fields!$D$2:$D$206,1)),""),"")</f>
        <v/>
      </c>
      <c r="K1150">
        <f>IFERROR(IF(AND(H1150&lt;&gt;"",H1150&gt;=129,H1150&lt;=2176),INDEX(Fields!$C$2:$C$206,MATCH(H1150-129,Fields!$D$2:$D$206,1)),""),"")</f>
        <v/>
      </c>
      <c r="L1150">
        <f>IFERROR(IF(AND(H1150&lt;&gt;"",H1150&gt;=129,H1150&lt;=2176),INDEX(Fields!$J$2:$J$206,MATCH(H1150-129,Fields!$D$2:$D$206,1)),""),"")</f>
        <v/>
      </c>
      <c r="M1150">
        <f>IFERROR(IF(AND(H1150&lt;&gt;"",H1150&gt;=129,H1150&lt;=2176),INDEX(Fields!$K$2:$K$206,MATCH(H1150-129,Fields!$D$2:$D$206,1)),""),"")</f>
        <v/>
      </c>
    </row>
    <row r="1151">
      <c r="A1151" t="n">
        <v>1149</v>
      </c>
      <c r="B1151" t="n">
        <v>0</v>
      </c>
      <c r="C1151" t="inlineStr">
        <is>
          <t>No</t>
        </is>
      </c>
      <c r="D1151">
        <f>IF(AND(B1146=1,B1147=1,B1148=1,B1149=1,B1150=1),"Yes","")</f>
        <v/>
      </c>
      <c r="E1151" t="inlineStr">
        <is>
          <t>No</t>
        </is>
      </c>
      <c r="F1151" t="inlineStr">
        <is>
          <t>No</t>
        </is>
      </c>
      <c r="G1151">
        <f>IF(F1151="Yes",1-B1151,B1151)</f>
        <v/>
      </c>
      <c r="H1151">
        <f>IF(E1151="Yes","",COUNTIFS($E$2:E1151,"No"))</f>
        <v/>
      </c>
      <c r="I1151">
        <f>IF(H1151="","",IF(H1151&lt;=128,"address",IF(H1151&lt;=600,"data1",IF(H1151&lt;=1264,"zero-run1",IF(H1151&lt;=1648,"data2",IF(H1151&lt;=2176,"zero-run2",IF(H1151&lt;=2192,"FCS","trailing")))))))</f>
        <v/>
      </c>
      <c r="J1151">
        <f>IFERROR(IF(AND(H1151&lt;&gt;"",H1151&gt;=129,H1151&lt;=2176),INDEX(Fields!$B$2:$B$206,MATCH(H1151-129,Fields!$D$2:$D$206,1)),""),"")</f>
        <v/>
      </c>
      <c r="K1151">
        <f>IFERROR(IF(AND(H1151&lt;&gt;"",H1151&gt;=129,H1151&lt;=2176),INDEX(Fields!$C$2:$C$206,MATCH(H1151-129,Fields!$D$2:$D$206,1)),""),"")</f>
        <v/>
      </c>
      <c r="L1151">
        <f>IFERROR(IF(AND(H1151&lt;&gt;"",H1151&gt;=129,H1151&lt;=2176),INDEX(Fields!$J$2:$J$206,MATCH(H1151-129,Fields!$D$2:$D$206,1)),""),"")</f>
        <v/>
      </c>
      <c r="M1151">
        <f>IFERROR(IF(AND(H1151&lt;&gt;"",H1151&gt;=129,H1151&lt;=2176),INDEX(Fields!$K$2:$K$206,MATCH(H1151-129,Fields!$D$2:$D$206,1)),""),"")</f>
        <v/>
      </c>
    </row>
    <row r="1152">
      <c r="A1152" t="n">
        <v>1150</v>
      </c>
      <c r="B1152" t="n">
        <v>1</v>
      </c>
      <c r="C1152" s="4" t="inlineStr">
        <is>
          <t>Yes</t>
        </is>
      </c>
      <c r="D1152">
        <f>IF(AND(B1147=1,B1148=1,B1149=1,B1150=1,B1151=1),"Yes","")</f>
        <v/>
      </c>
      <c r="E1152" t="inlineStr">
        <is>
          <t>No</t>
        </is>
      </c>
      <c r="F1152" t="inlineStr">
        <is>
          <t>No</t>
        </is>
      </c>
      <c r="G1152">
        <f>IF(F1152="Yes",1-B1152,B1152)</f>
        <v/>
      </c>
      <c r="H1152">
        <f>IF(E1152="Yes","",COUNTIFS($E$2:E1152,"No"))</f>
        <v/>
      </c>
      <c r="I1152">
        <f>IF(H1152="","",IF(H1152&lt;=128,"address",IF(H1152&lt;=600,"data1",IF(H1152&lt;=1264,"zero-run1",IF(H1152&lt;=1648,"data2",IF(H1152&lt;=2176,"zero-run2",IF(H1152&lt;=2192,"FCS","trailing")))))))</f>
        <v/>
      </c>
      <c r="J1152">
        <f>IFERROR(IF(AND(H1152&lt;&gt;"",H1152&gt;=129,H1152&lt;=2176),INDEX(Fields!$B$2:$B$206,MATCH(H1152-129,Fields!$D$2:$D$206,1)),""),"")</f>
        <v/>
      </c>
      <c r="K1152">
        <f>IFERROR(IF(AND(H1152&lt;&gt;"",H1152&gt;=129,H1152&lt;=2176),INDEX(Fields!$C$2:$C$206,MATCH(H1152-129,Fields!$D$2:$D$206,1)),""),"")</f>
        <v/>
      </c>
      <c r="L1152">
        <f>IFERROR(IF(AND(H1152&lt;&gt;"",H1152&gt;=129,H1152&lt;=2176),INDEX(Fields!$J$2:$J$206,MATCH(H1152-129,Fields!$D$2:$D$206,1)),""),"")</f>
        <v/>
      </c>
      <c r="M1152">
        <f>IFERROR(IF(AND(H1152&lt;&gt;"",H1152&gt;=129,H1152&lt;=2176),INDEX(Fields!$K$2:$K$206,MATCH(H1152-129,Fields!$D$2:$D$206,1)),""),"")</f>
        <v/>
      </c>
    </row>
    <row r="1153">
      <c r="A1153" t="n">
        <v>1151</v>
      </c>
      <c r="B1153" t="n">
        <v>0</v>
      </c>
      <c r="C1153" t="inlineStr">
        <is>
          <t>No</t>
        </is>
      </c>
      <c r="D1153">
        <f>IF(AND(B1148=1,B1149=1,B1150=1,B1151=1,B1152=1),"Yes","")</f>
        <v/>
      </c>
      <c r="E1153" t="inlineStr">
        <is>
          <t>No</t>
        </is>
      </c>
      <c r="F1153" t="inlineStr">
        <is>
          <t>No</t>
        </is>
      </c>
      <c r="G1153">
        <f>IF(F1153="Yes",1-B1153,B1153)</f>
        <v/>
      </c>
      <c r="H1153">
        <f>IF(E1153="Yes","",COUNTIFS($E$2:E1153,"No"))</f>
        <v/>
      </c>
      <c r="I1153">
        <f>IF(H1153="","",IF(H1153&lt;=128,"address",IF(H1153&lt;=600,"data1",IF(H1153&lt;=1264,"zero-run1",IF(H1153&lt;=1648,"data2",IF(H1153&lt;=2176,"zero-run2",IF(H1153&lt;=2192,"FCS","trailing")))))))</f>
        <v/>
      </c>
      <c r="J1153">
        <f>IFERROR(IF(AND(H1153&lt;&gt;"",H1153&gt;=129,H1153&lt;=2176),INDEX(Fields!$B$2:$B$206,MATCH(H1153-129,Fields!$D$2:$D$206,1)),""),"")</f>
        <v/>
      </c>
      <c r="K1153">
        <f>IFERROR(IF(AND(H1153&lt;&gt;"",H1153&gt;=129,H1153&lt;=2176),INDEX(Fields!$C$2:$C$206,MATCH(H1153-129,Fields!$D$2:$D$206,1)),""),"")</f>
        <v/>
      </c>
      <c r="L1153">
        <f>IFERROR(IF(AND(H1153&lt;&gt;"",H1153&gt;=129,H1153&lt;=2176),INDEX(Fields!$J$2:$J$206,MATCH(H1153-129,Fields!$D$2:$D$206,1)),""),"")</f>
        <v/>
      </c>
      <c r="M1153">
        <f>IFERROR(IF(AND(H1153&lt;&gt;"",H1153&gt;=129,H1153&lt;=2176),INDEX(Fields!$K$2:$K$206,MATCH(H1153-129,Fields!$D$2:$D$206,1)),""),"")</f>
        <v/>
      </c>
    </row>
    <row r="1154">
      <c r="A1154" t="n">
        <v>1152</v>
      </c>
      <c r="B1154" t="n">
        <v>0</v>
      </c>
      <c r="C1154" t="inlineStr">
        <is>
          <t>No</t>
        </is>
      </c>
      <c r="D1154">
        <f>IF(AND(B1149=1,B1150=1,B1151=1,B1152=1,B1153=1),"Yes","")</f>
        <v/>
      </c>
      <c r="E1154" t="inlineStr">
        <is>
          <t>No</t>
        </is>
      </c>
      <c r="F1154" t="inlineStr">
        <is>
          <t>No</t>
        </is>
      </c>
      <c r="G1154">
        <f>IF(F1154="Yes",1-B1154,B1154)</f>
        <v/>
      </c>
      <c r="H1154">
        <f>IF(E1154="Yes","",COUNTIFS($E$2:E1154,"No"))</f>
        <v/>
      </c>
      <c r="I1154">
        <f>IF(H1154="","",IF(H1154&lt;=128,"address",IF(H1154&lt;=600,"data1",IF(H1154&lt;=1264,"zero-run1",IF(H1154&lt;=1648,"data2",IF(H1154&lt;=2176,"zero-run2",IF(H1154&lt;=2192,"FCS","trailing")))))))</f>
        <v/>
      </c>
      <c r="J1154">
        <f>IFERROR(IF(AND(H1154&lt;&gt;"",H1154&gt;=129,H1154&lt;=2176),INDEX(Fields!$B$2:$B$206,MATCH(H1154-129,Fields!$D$2:$D$206,1)),""),"")</f>
        <v/>
      </c>
      <c r="K1154">
        <f>IFERROR(IF(AND(H1154&lt;&gt;"",H1154&gt;=129,H1154&lt;=2176),INDEX(Fields!$C$2:$C$206,MATCH(H1154-129,Fields!$D$2:$D$206,1)),""),"")</f>
        <v/>
      </c>
      <c r="L1154">
        <f>IFERROR(IF(AND(H1154&lt;&gt;"",H1154&gt;=129,H1154&lt;=2176),INDEX(Fields!$J$2:$J$206,MATCH(H1154-129,Fields!$D$2:$D$206,1)),""),"")</f>
        <v/>
      </c>
      <c r="M1154">
        <f>IFERROR(IF(AND(H1154&lt;&gt;"",H1154&gt;=129,H1154&lt;=2176),INDEX(Fields!$K$2:$K$206,MATCH(H1154-129,Fields!$D$2:$D$206,1)),""),"")</f>
        <v/>
      </c>
    </row>
    <row r="1155">
      <c r="A1155" t="n">
        <v>1153</v>
      </c>
      <c r="B1155" t="n">
        <v>0</v>
      </c>
      <c r="C1155" t="inlineStr">
        <is>
          <t>No</t>
        </is>
      </c>
      <c r="D1155">
        <f>IF(AND(B1150=1,B1151=1,B1152=1,B1153=1,B1154=1),"Yes","")</f>
        <v/>
      </c>
      <c r="E1155" t="inlineStr">
        <is>
          <t>No</t>
        </is>
      </c>
      <c r="F1155" t="inlineStr">
        <is>
          <t>No</t>
        </is>
      </c>
      <c r="G1155">
        <f>IF(F1155="Yes",1-B1155,B1155)</f>
        <v/>
      </c>
      <c r="H1155">
        <f>IF(E1155="Yes","",COUNTIFS($E$2:E1155,"No"))</f>
        <v/>
      </c>
      <c r="I1155">
        <f>IF(H1155="","",IF(H1155&lt;=128,"address",IF(H1155&lt;=600,"data1",IF(H1155&lt;=1264,"zero-run1",IF(H1155&lt;=1648,"data2",IF(H1155&lt;=2176,"zero-run2",IF(H1155&lt;=2192,"FCS","trailing")))))))</f>
        <v/>
      </c>
      <c r="J1155">
        <f>IFERROR(IF(AND(H1155&lt;&gt;"",H1155&gt;=129,H1155&lt;=2176),INDEX(Fields!$B$2:$B$206,MATCH(H1155-129,Fields!$D$2:$D$206,1)),""),"")</f>
        <v/>
      </c>
      <c r="K1155">
        <f>IFERROR(IF(AND(H1155&lt;&gt;"",H1155&gt;=129,H1155&lt;=2176),INDEX(Fields!$C$2:$C$206,MATCH(H1155-129,Fields!$D$2:$D$206,1)),""),"")</f>
        <v/>
      </c>
      <c r="L1155">
        <f>IFERROR(IF(AND(H1155&lt;&gt;"",H1155&gt;=129,H1155&lt;=2176),INDEX(Fields!$J$2:$J$206,MATCH(H1155-129,Fields!$D$2:$D$206,1)),""),"")</f>
        <v/>
      </c>
      <c r="M1155">
        <f>IFERROR(IF(AND(H1155&lt;&gt;"",H1155&gt;=129,H1155&lt;=2176),INDEX(Fields!$K$2:$K$206,MATCH(H1155-129,Fields!$D$2:$D$206,1)),""),"")</f>
        <v/>
      </c>
    </row>
    <row r="1156">
      <c r="A1156" t="n">
        <v>1154</v>
      </c>
      <c r="B1156" t="n">
        <v>0</v>
      </c>
      <c r="C1156" t="inlineStr">
        <is>
          <t>No</t>
        </is>
      </c>
      <c r="D1156">
        <f>IF(AND(B1151=1,B1152=1,B1153=1,B1154=1,B1155=1),"Yes","")</f>
        <v/>
      </c>
      <c r="E1156" t="inlineStr">
        <is>
          <t>No</t>
        </is>
      </c>
      <c r="F1156" t="inlineStr">
        <is>
          <t>No</t>
        </is>
      </c>
      <c r="G1156">
        <f>IF(F1156="Yes",1-B1156,B1156)</f>
        <v/>
      </c>
      <c r="H1156">
        <f>IF(E1156="Yes","",COUNTIFS($E$2:E1156,"No"))</f>
        <v/>
      </c>
      <c r="I1156">
        <f>IF(H1156="","",IF(H1156&lt;=128,"address",IF(H1156&lt;=600,"data1",IF(H1156&lt;=1264,"zero-run1",IF(H1156&lt;=1648,"data2",IF(H1156&lt;=2176,"zero-run2",IF(H1156&lt;=2192,"FCS","trailing")))))))</f>
        <v/>
      </c>
      <c r="J1156">
        <f>IFERROR(IF(AND(H1156&lt;&gt;"",H1156&gt;=129,H1156&lt;=2176),INDEX(Fields!$B$2:$B$206,MATCH(H1156-129,Fields!$D$2:$D$206,1)),""),"")</f>
        <v/>
      </c>
      <c r="K1156">
        <f>IFERROR(IF(AND(H1156&lt;&gt;"",H1156&gt;=129,H1156&lt;=2176),INDEX(Fields!$C$2:$C$206,MATCH(H1156-129,Fields!$D$2:$D$206,1)),""),"")</f>
        <v/>
      </c>
      <c r="L1156">
        <f>IFERROR(IF(AND(H1156&lt;&gt;"",H1156&gt;=129,H1156&lt;=2176),INDEX(Fields!$J$2:$J$206,MATCH(H1156-129,Fields!$D$2:$D$206,1)),""),"")</f>
        <v/>
      </c>
      <c r="M1156">
        <f>IFERROR(IF(AND(H1156&lt;&gt;"",H1156&gt;=129,H1156&lt;=2176),INDEX(Fields!$K$2:$K$206,MATCH(H1156-129,Fields!$D$2:$D$206,1)),""),"")</f>
        <v/>
      </c>
    </row>
    <row r="1157">
      <c r="A1157" t="n">
        <v>1155</v>
      </c>
      <c r="B1157" t="n">
        <v>0</v>
      </c>
      <c r="C1157" t="inlineStr">
        <is>
          <t>No</t>
        </is>
      </c>
      <c r="D1157">
        <f>IF(AND(B1152=1,B1153=1,B1154=1,B1155=1,B1156=1),"Yes","")</f>
        <v/>
      </c>
      <c r="E1157" t="inlineStr">
        <is>
          <t>No</t>
        </is>
      </c>
      <c r="F1157" t="inlineStr">
        <is>
          <t>No</t>
        </is>
      </c>
      <c r="G1157">
        <f>IF(F1157="Yes",1-B1157,B1157)</f>
        <v/>
      </c>
      <c r="H1157">
        <f>IF(E1157="Yes","",COUNTIFS($E$2:E1157,"No"))</f>
        <v/>
      </c>
      <c r="I1157">
        <f>IF(H1157="","",IF(H1157&lt;=128,"address",IF(H1157&lt;=600,"data1",IF(H1157&lt;=1264,"zero-run1",IF(H1157&lt;=1648,"data2",IF(H1157&lt;=2176,"zero-run2",IF(H1157&lt;=2192,"FCS","trailing")))))))</f>
        <v/>
      </c>
      <c r="J1157">
        <f>IFERROR(IF(AND(H1157&lt;&gt;"",H1157&gt;=129,H1157&lt;=2176),INDEX(Fields!$B$2:$B$206,MATCH(H1157-129,Fields!$D$2:$D$206,1)),""),"")</f>
        <v/>
      </c>
      <c r="K1157">
        <f>IFERROR(IF(AND(H1157&lt;&gt;"",H1157&gt;=129,H1157&lt;=2176),INDEX(Fields!$C$2:$C$206,MATCH(H1157-129,Fields!$D$2:$D$206,1)),""),"")</f>
        <v/>
      </c>
      <c r="L1157">
        <f>IFERROR(IF(AND(H1157&lt;&gt;"",H1157&gt;=129,H1157&lt;=2176),INDEX(Fields!$J$2:$J$206,MATCH(H1157-129,Fields!$D$2:$D$206,1)),""),"")</f>
        <v/>
      </c>
      <c r="M1157">
        <f>IFERROR(IF(AND(H1157&lt;&gt;"",H1157&gt;=129,H1157&lt;=2176),INDEX(Fields!$K$2:$K$206,MATCH(H1157-129,Fields!$D$2:$D$206,1)),""),"")</f>
        <v/>
      </c>
    </row>
    <row r="1158">
      <c r="A1158" t="n">
        <v>1156</v>
      </c>
      <c r="B1158" t="n">
        <v>1</v>
      </c>
      <c r="C1158" s="4" t="inlineStr">
        <is>
          <t>Yes</t>
        </is>
      </c>
      <c r="D1158">
        <f>IF(AND(B1153=1,B1154=1,B1155=1,B1156=1,B1157=1),"Yes","")</f>
        <v/>
      </c>
      <c r="E1158" t="inlineStr">
        <is>
          <t>No</t>
        </is>
      </c>
      <c r="F1158" t="inlineStr">
        <is>
          <t>No</t>
        </is>
      </c>
      <c r="G1158">
        <f>IF(F1158="Yes",1-B1158,B1158)</f>
        <v/>
      </c>
      <c r="H1158">
        <f>IF(E1158="Yes","",COUNTIFS($E$2:E1158,"No"))</f>
        <v/>
      </c>
      <c r="I1158">
        <f>IF(H1158="","",IF(H1158&lt;=128,"address",IF(H1158&lt;=600,"data1",IF(H1158&lt;=1264,"zero-run1",IF(H1158&lt;=1648,"data2",IF(H1158&lt;=2176,"zero-run2",IF(H1158&lt;=2192,"FCS","trailing")))))))</f>
        <v/>
      </c>
      <c r="J1158">
        <f>IFERROR(IF(AND(H1158&lt;&gt;"",H1158&gt;=129,H1158&lt;=2176),INDEX(Fields!$B$2:$B$206,MATCH(H1158-129,Fields!$D$2:$D$206,1)),""),"")</f>
        <v/>
      </c>
      <c r="K1158">
        <f>IFERROR(IF(AND(H1158&lt;&gt;"",H1158&gt;=129,H1158&lt;=2176),INDEX(Fields!$C$2:$C$206,MATCH(H1158-129,Fields!$D$2:$D$206,1)),""),"")</f>
        <v/>
      </c>
      <c r="L1158">
        <f>IFERROR(IF(AND(H1158&lt;&gt;"",H1158&gt;=129,H1158&lt;=2176),INDEX(Fields!$J$2:$J$206,MATCH(H1158-129,Fields!$D$2:$D$206,1)),""),"")</f>
        <v/>
      </c>
      <c r="M1158">
        <f>IFERROR(IF(AND(H1158&lt;&gt;"",H1158&gt;=129,H1158&lt;=2176),INDEX(Fields!$K$2:$K$206,MATCH(H1158-129,Fields!$D$2:$D$206,1)),""),"")</f>
        <v/>
      </c>
    </row>
    <row r="1159">
      <c r="A1159" t="n">
        <v>1157</v>
      </c>
      <c r="B1159" t="n">
        <v>1</v>
      </c>
      <c r="C1159" s="4" t="inlineStr">
        <is>
          <t>Yes</t>
        </is>
      </c>
      <c r="D1159">
        <f>IF(AND(B1154=1,B1155=1,B1156=1,B1157=1,B1158=1),"Yes","")</f>
        <v/>
      </c>
      <c r="E1159" t="inlineStr">
        <is>
          <t>No</t>
        </is>
      </c>
      <c r="F1159" t="inlineStr">
        <is>
          <t>No</t>
        </is>
      </c>
      <c r="G1159">
        <f>IF(F1159="Yes",1-B1159,B1159)</f>
        <v/>
      </c>
      <c r="H1159">
        <f>IF(E1159="Yes","",COUNTIFS($E$2:E1159,"No"))</f>
        <v/>
      </c>
      <c r="I1159">
        <f>IF(H1159="","",IF(H1159&lt;=128,"address",IF(H1159&lt;=600,"data1",IF(H1159&lt;=1264,"zero-run1",IF(H1159&lt;=1648,"data2",IF(H1159&lt;=2176,"zero-run2",IF(H1159&lt;=2192,"FCS","trailing")))))))</f>
        <v/>
      </c>
      <c r="J1159">
        <f>IFERROR(IF(AND(H1159&lt;&gt;"",H1159&gt;=129,H1159&lt;=2176),INDEX(Fields!$B$2:$B$206,MATCH(H1159-129,Fields!$D$2:$D$206,1)),""),"")</f>
        <v/>
      </c>
      <c r="K1159">
        <f>IFERROR(IF(AND(H1159&lt;&gt;"",H1159&gt;=129,H1159&lt;=2176),INDEX(Fields!$C$2:$C$206,MATCH(H1159-129,Fields!$D$2:$D$206,1)),""),"")</f>
        <v/>
      </c>
      <c r="L1159">
        <f>IFERROR(IF(AND(H1159&lt;&gt;"",H1159&gt;=129,H1159&lt;=2176),INDEX(Fields!$J$2:$J$206,MATCH(H1159-129,Fields!$D$2:$D$206,1)),""),"")</f>
        <v/>
      </c>
      <c r="M1159">
        <f>IFERROR(IF(AND(H1159&lt;&gt;"",H1159&gt;=129,H1159&lt;=2176),INDEX(Fields!$K$2:$K$206,MATCH(H1159-129,Fields!$D$2:$D$206,1)),""),"")</f>
        <v/>
      </c>
    </row>
    <row r="1160">
      <c r="A1160" t="n">
        <v>1158</v>
      </c>
      <c r="B1160" t="n">
        <v>1</v>
      </c>
      <c r="C1160" s="4" t="inlineStr">
        <is>
          <t>Yes</t>
        </is>
      </c>
      <c r="D1160">
        <f>IF(AND(B1155=1,B1156=1,B1157=1,B1158=1,B1159=1),"Yes","")</f>
        <v/>
      </c>
      <c r="E1160" t="inlineStr">
        <is>
          <t>No</t>
        </is>
      </c>
      <c r="F1160" t="inlineStr">
        <is>
          <t>No</t>
        </is>
      </c>
      <c r="G1160">
        <f>IF(F1160="Yes",1-B1160,B1160)</f>
        <v/>
      </c>
      <c r="H1160">
        <f>IF(E1160="Yes","",COUNTIFS($E$2:E1160,"No"))</f>
        <v/>
      </c>
      <c r="I1160">
        <f>IF(H1160="","",IF(H1160&lt;=128,"address",IF(H1160&lt;=600,"data1",IF(H1160&lt;=1264,"zero-run1",IF(H1160&lt;=1648,"data2",IF(H1160&lt;=2176,"zero-run2",IF(H1160&lt;=2192,"FCS","trailing")))))))</f>
        <v/>
      </c>
      <c r="J1160">
        <f>IFERROR(IF(AND(H1160&lt;&gt;"",H1160&gt;=129,H1160&lt;=2176),INDEX(Fields!$B$2:$B$206,MATCH(H1160-129,Fields!$D$2:$D$206,1)),""),"")</f>
        <v/>
      </c>
      <c r="K1160">
        <f>IFERROR(IF(AND(H1160&lt;&gt;"",H1160&gt;=129,H1160&lt;=2176),INDEX(Fields!$C$2:$C$206,MATCH(H1160-129,Fields!$D$2:$D$206,1)),""),"")</f>
        <v/>
      </c>
      <c r="L1160">
        <f>IFERROR(IF(AND(H1160&lt;&gt;"",H1160&gt;=129,H1160&lt;=2176),INDEX(Fields!$J$2:$J$206,MATCH(H1160-129,Fields!$D$2:$D$206,1)),""),"")</f>
        <v/>
      </c>
      <c r="M1160">
        <f>IFERROR(IF(AND(H1160&lt;&gt;"",H1160&gt;=129,H1160&lt;=2176),INDEX(Fields!$K$2:$K$206,MATCH(H1160-129,Fields!$D$2:$D$206,1)),""),"")</f>
        <v/>
      </c>
    </row>
    <row r="1161">
      <c r="A1161" t="n">
        <v>1159</v>
      </c>
      <c r="B1161" t="n">
        <v>0</v>
      </c>
      <c r="C1161" t="inlineStr">
        <is>
          <t>No</t>
        </is>
      </c>
      <c r="D1161">
        <f>IF(AND(B1156=1,B1157=1,B1158=1,B1159=1,B1160=1),"Yes","")</f>
        <v/>
      </c>
      <c r="E1161" t="inlineStr">
        <is>
          <t>No</t>
        </is>
      </c>
      <c r="F1161" t="inlineStr">
        <is>
          <t>No</t>
        </is>
      </c>
      <c r="G1161">
        <f>IF(F1161="Yes",1-B1161,B1161)</f>
        <v/>
      </c>
      <c r="H1161">
        <f>IF(E1161="Yes","",COUNTIFS($E$2:E1161,"No"))</f>
        <v/>
      </c>
      <c r="I1161">
        <f>IF(H1161="","",IF(H1161&lt;=128,"address",IF(H1161&lt;=600,"data1",IF(H1161&lt;=1264,"zero-run1",IF(H1161&lt;=1648,"data2",IF(H1161&lt;=2176,"zero-run2",IF(H1161&lt;=2192,"FCS","trailing")))))))</f>
        <v/>
      </c>
      <c r="J1161">
        <f>IFERROR(IF(AND(H1161&lt;&gt;"",H1161&gt;=129,H1161&lt;=2176),INDEX(Fields!$B$2:$B$206,MATCH(H1161-129,Fields!$D$2:$D$206,1)),""),"")</f>
        <v/>
      </c>
      <c r="K1161">
        <f>IFERROR(IF(AND(H1161&lt;&gt;"",H1161&gt;=129,H1161&lt;=2176),INDEX(Fields!$C$2:$C$206,MATCH(H1161-129,Fields!$D$2:$D$206,1)),""),"")</f>
        <v/>
      </c>
      <c r="L1161">
        <f>IFERROR(IF(AND(H1161&lt;&gt;"",H1161&gt;=129,H1161&lt;=2176),INDEX(Fields!$J$2:$J$206,MATCH(H1161-129,Fields!$D$2:$D$206,1)),""),"")</f>
        <v/>
      </c>
      <c r="M1161">
        <f>IFERROR(IF(AND(H1161&lt;&gt;"",H1161&gt;=129,H1161&lt;=2176),INDEX(Fields!$K$2:$K$206,MATCH(H1161-129,Fields!$D$2:$D$206,1)),""),"")</f>
        <v/>
      </c>
    </row>
    <row r="1162">
      <c r="A1162" t="n">
        <v>1160</v>
      </c>
      <c r="B1162" t="n">
        <v>0</v>
      </c>
      <c r="C1162" t="inlineStr">
        <is>
          <t>No</t>
        </is>
      </c>
      <c r="D1162">
        <f>IF(AND(B1157=1,B1158=1,B1159=1,B1160=1,B1161=1),"Yes","")</f>
        <v/>
      </c>
      <c r="E1162" t="inlineStr">
        <is>
          <t>No</t>
        </is>
      </c>
      <c r="F1162" t="inlineStr">
        <is>
          <t>No</t>
        </is>
      </c>
      <c r="G1162">
        <f>IF(F1162="Yes",1-B1162,B1162)</f>
        <v/>
      </c>
      <c r="H1162">
        <f>IF(E1162="Yes","",COUNTIFS($E$2:E1162,"No"))</f>
        <v/>
      </c>
      <c r="I1162">
        <f>IF(H1162="","",IF(H1162&lt;=128,"address",IF(H1162&lt;=600,"data1",IF(H1162&lt;=1264,"zero-run1",IF(H1162&lt;=1648,"data2",IF(H1162&lt;=2176,"zero-run2",IF(H1162&lt;=2192,"FCS","trailing")))))))</f>
        <v/>
      </c>
      <c r="J1162">
        <f>IFERROR(IF(AND(H1162&lt;&gt;"",H1162&gt;=129,H1162&lt;=2176),INDEX(Fields!$B$2:$B$206,MATCH(H1162-129,Fields!$D$2:$D$206,1)),""),"")</f>
        <v/>
      </c>
      <c r="K1162">
        <f>IFERROR(IF(AND(H1162&lt;&gt;"",H1162&gt;=129,H1162&lt;=2176),INDEX(Fields!$C$2:$C$206,MATCH(H1162-129,Fields!$D$2:$D$206,1)),""),"")</f>
        <v/>
      </c>
      <c r="L1162">
        <f>IFERROR(IF(AND(H1162&lt;&gt;"",H1162&gt;=129,H1162&lt;=2176),INDEX(Fields!$J$2:$J$206,MATCH(H1162-129,Fields!$D$2:$D$206,1)),""),"")</f>
        <v/>
      </c>
      <c r="M1162">
        <f>IFERROR(IF(AND(H1162&lt;&gt;"",H1162&gt;=129,H1162&lt;=2176),INDEX(Fields!$K$2:$K$206,MATCH(H1162-129,Fields!$D$2:$D$206,1)),""),"")</f>
        <v/>
      </c>
    </row>
    <row r="1163">
      <c r="A1163" t="n">
        <v>1161</v>
      </c>
      <c r="B1163" t="n">
        <v>0</v>
      </c>
      <c r="C1163" t="inlineStr">
        <is>
          <t>No</t>
        </is>
      </c>
      <c r="D1163">
        <f>IF(AND(B1158=1,B1159=1,B1160=1,B1161=1,B1162=1),"Yes","")</f>
        <v/>
      </c>
      <c r="E1163" t="inlineStr">
        <is>
          <t>No</t>
        </is>
      </c>
      <c r="F1163" t="inlineStr">
        <is>
          <t>No</t>
        </is>
      </c>
      <c r="G1163">
        <f>IF(F1163="Yes",1-B1163,B1163)</f>
        <v/>
      </c>
      <c r="H1163">
        <f>IF(E1163="Yes","",COUNTIFS($E$2:E1163,"No"))</f>
        <v/>
      </c>
      <c r="I1163">
        <f>IF(H1163="","",IF(H1163&lt;=128,"address",IF(H1163&lt;=600,"data1",IF(H1163&lt;=1264,"zero-run1",IF(H1163&lt;=1648,"data2",IF(H1163&lt;=2176,"zero-run2",IF(H1163&lt;=2192,"FCS","trailing")))))))</f>
        <v/>
      </c>
      <c r="J1163">
        <f>IFERROR(IF(AND(H1163&lt;&gt;"",H1163&gt;=129,H1163&lt;=2176),INDEX(Fields!$B$2:$B$206,MATCH(H1163-129,Fields!$D$2:$D$206,1)),""),"")</f>
        <v/>
      </c>
      <c r="K1163">
        <f>IFERROR(IF(AND(H1163&lt;&gt;"",H1163&gt;=129,H1163&lt;=2176),INDEX(Fields!$C$2:$C$206,MATCH(H1163-129,Fields!$D$2:$D$206,1)),""),"")</f>
        <v/>
      </c>
      <c r="L1163">
        <f>IFERROR(IF(AND(H1163&lt;&gt;"",H1163&gt;=129,H1163&lt;=2176),INDEX(Fields!$J$2:$J$206,MATCH(H1163-129,Fields!$D$2:$D$206,1)),""),"")</f>
        <v/>
      </c>
      <c r="M1163">
        <f>IFERROR(IF(AND(H1163&lt;&gt;"",H1163&gt;=129,H1163&lt;=2176),INDEX(Fields!$K$2:$K$206,MATCH(H1163-129,Fields!$D$2:$D$206,1)),""),"")</f>
        <v/>
      </c>
    </row>
    <row r="1164">
      <c r="A1164" t="n">
        <v>1162</v>
      </c>
      <c r="B1164" t="n">
        <v>0</v>
      </c>
      <c r="C1164" t="inlineStr">
        <is>
          <t>No</t>
        </is>
      </c>
      <c r="D1164">
        <f>IF(AND(B1159=1,B1160=1,B1161=1,B1162=1,B1163=1),"Yes","")</f>
        <v/>
      </c>
      <c r="E1164" t="inlineStr">
        <is>
          <t>No</t>
        </is>
      </c>
      <c r="F1164" t="inlineStr">
        <is>
          <t>No</t>
        </is>
      </c>
      <c r="G1164">
        <f>IF(F1164="Yes",1-B1164,B1164)</f>
        <v/>
      </c>
      <c r="H1164">
        <f>IF(E1164="Yes","",COUNTIFS($E$2:E1164,"No"))</f>
        <v/>
      </c>
      <c r="I1164">
        <f>IF(H1164="","",IF(H1164&lt;=128,"address",IF(H1164&lt;=600,"data1",IF(H1164&lt;=1264,"zero-run1",IF(H1164&lt;=1648,"data2",IF(H1164&lt;=2176,"zero-run2",IF(H1164&lt;=2192,"FCS","trailing")))))))</f>
        <v/>
      </c>
      <c r="J1164">
        <f>IFERROR(IF(AND(H1164&lt;&gt;"",H1164&gt;=129,H1164&lt;=2176),INDEX(Fields!$B$2:$B$206,MATCH(H1164-129,Fields!$D$2:$D$206,1)),""),"")</f>
        <v/>
      </c>
      <c r="K1164">
        <f>IFERROR(IF(AND(H1164&lt;&gt;"",H1164&gt;=129,H1164&lt;=2176),INDEX(Fields!$C$2:$C$206,MATCH(H1164-129,Fields!$D$2:$D$206,1)),""),"")</f>
        <v/>
      </c>
      <c r="L1164">
        <f>IFERROR(IF(AND(H1164&lt;&gt;"",H1164&gt;=129,H1164&lt;=2176),INDEX(Fields!$J$2:$J$206,MATCH(H1164-129,Fields!$D$2:$D$206,1)),""),"")</f>
        <v/>
      </c>
      <c r="M1164">
        <f>IFERROR(IF(AND(H1164&lt;&gt;"",H1164&gt;=129,H1164&lt;=2176),INDEX(Fields!$K$2:$K$206,MATCH(H1164-129,Fields!$D$2:$D$206,1)),""),"")</f>
        <v/>
      </c>
    </row>
    <row r="1165">
      <c r="A1165" t="n">
        <v>1163</v>
      </c>
      <c r="B1165" t="n">
        <v>0</v>
      </c>
      <c r="C1165" t="inlineStr">
        <is>
          <t>No</t>
        </is>
      </c>
      <c r="D1165">
        <f>IF(AND(B1160=1,B1161=1,B1162=1,B1163=1,B1164=1),"Yes","")</f>
        <v/>
      </c>
      <c r="E1165" t="inlineStr">
        <is>
          <t>No</t>
        </is>
      </c>
      <c r="F1165" t="inlineStr">
        <is>
          <t>No</t>
        </is>
      </c>
      <c r="G1165">
        <f>IF(F1165="Yes",1-B1165,B1165)</f>
        <v/>
      </c>
      <c r="H1165">
        <f>IF(E1165="Yes","",COUNTIFS($E$2:E1165,"No"))</f>
        <v/>
      </c>
      <c r="I1165">
        <f>IF(H1165="","",IF(H1165&lt;=128,"address",IF(H1165&lt;=600,"data1",IF(H1165&lt;=1264,"zero-run1",IF(H1165&lt;=1648,"data2",IF(H1165&lt;=2176,"zero-run2",IF(H1165&lt;=2192,"FCS","trailing")))))))</f>
        <v/>
      </c>
      <c r="J1165">
        <f>IFERROR(IF(AND(H1165&lt;&gt;"",H1165&gt;=129,H1165&lt;=2176),INDEX(Fields!$B$2:$B$206,MATCH(H1165-129,Fields!$D$2:$D$206,1)),""),"")</f>
        <v/>
      </c>
      <c r="K1165">
        <f>IFERROR(IF(AND(H1165&lt;&gt;"",H1165&gt;=129,H1165&lt;=2176),INDEX(Fields!$C$2:$C$206,MATCH(H1165-129,Fields!$D$2:$D$206,1)),""),"")</f>
        <v/>
      </c>
      <c r="L1165">
        <f>IFERROR(IF(AND(H1165&lt;&gt;"",H1165&gt;=129,H1165&lt;=2176),INDEX(Fields!$J$2:$J$206,MATCH(H1165-129,Fields!$D$2:$D$206,1)),""),"")</f>
        <v/>
      </c>
      <c r="M1165">
        <f>IFERROR(IF(AND(H1165&lt;&gt;"",H1165&gt;=129,H1165&lt;=2176),INDEX(Fields!$K$2:$K$206,MATCH(H1165-129,Fields!$D$2:$D$206,1)),""),"")</f>
        <v/>
      </c>
    </row>
    <row r="1166">
      <c r="A1166" t="n">
        <v>1164</v>
      </c>
      <c r="B1166" t="n">
        <v>0</v>
      </c>
      <c r="C1166" t="inlineStr">
        <is>
          <t>No</t>
        </is>
      </c>
      <c r="D1166">
        <f>IF(AND(B1161=1,B1162=1,B1163=1,B1164=1,B1165=1),"Yes","")</f>
        <v/>
      </c>
      <c r="E1166" t="inlineStr">
        <is>
          <t>No</t>
        </is>
      </c>
      <c r="F1166" t="inlineStr">
        <is>
          <t>No</t>
        </is>
      </c>
      <c r="G1166">
        <f>IF(F1166="Yes",1-B1166,B1166)</f>
        <v/>
      </c>
      <c r="H1166">
        <f>IF(E1166="Yes","",COUNTIFS($E$2:E1166,"No"))</f>
        <v/>
      </c>
      <c r="I1166">
        <f>IF(H1166="","",IF(H1166&lt;=128,"address",IF(H1166&lt;=600,"data1",IF(H1166&lt;=1264,"zero-run1",IF(H1166&lt;=1648,"data2",IF(H1166&lt;=2176,"zero-run2",IF(H1166&lt;=2192,"FCS","trailing")))))))</f>
        <v/>
      </c>
      <c r="J1166">
        <f>IFERROR(IF(AND(H1166&lt;&gt;"",H1166&gt;=129,H1166&lt;=2176),INDEX(Fields!$B$2:$B$206,MATCH(H1166-129,Fields!$D$2:$D$206,1)),""),"")</f>
        <v/>
      </c>
      <c r="K1166">
        <f>IFERROR(IF(AND(H1166&lt;&gt;"",H1166&gt;=129,H1166&lt;=2176),INDEX(Fields!$C$2:$C$206,MATCH(H1166-129,Fields!$D$2:$D$206,1)),""),"")</f>
        <v/>
      </c>
      <c r="L1166">
        <f>IFERROR(IF(AND(H1166&lt;&gt;"",H1166&gt;=129,H1166&lt;=2176),INDEX(Fields!$J$2:$J$206,MATCH(H1166-129,Fields!$D$2:$D$206,1)),""),"")</f>
        <v/>
      </c>
      <c r="M1166">
        <f>IFERROR(IF(AND(H1166&lt;&gt;"",H1166&gt;=129,H1166&lt;=2176),INDEX(Fields!$K$2:$K$206,MATCH(H1166-129,Fields!$D$2:$D$206,1)),""),"")</f>
        <v/>
      </c>
    </row>
    <row r="1167">
      <c r="A1167" t="n">
        <v>1165</v>
      </c>
      <c r="B1167" t="n">
        <v>0</v>
      </c>
      <c r="C1167" t="inlineStr">
        <is>
          <t>No</t>
        </is>
      </c>
      <c r="D1167">
        <f>IF(AND(B1162=1,B1163=1,B1164=1,B1165=1,B1166=1),"Yes","")</f>
        <v/>
      </c>
      <c r="E1167" t="inlineStr">
        <is>
          <t>No</t>
        </is>
      </c>
      <c r="F1167" t="inlineStr">
        <is>
          <t>No</t>
        </is>
      </c>
      <c r="G1167">
        <f>IF(F1167="Yes",1-B1167,B1167)</f>
        <v/>
      </c>
      <c r="H1167">
        <f>IF(E1167="Yes","",COUNTIFS($E$2:E1167,"No"))</f>
        <v/>
      </c>
      <c r="I1167">
        <f>IF(H1167="","",IF(H1167&lt;=128,"address",IF(H1167&lt;=600,"data1",IF(H1167&lt;=1264,"zero-run1",IF(H1167&lt;=1648,"data2",IF(H1167&lt;=2176,"zero-run2",IF(H1167&lt;=2192,"FCS","trailing")))))))</f>
        <v/>
      </c>
      <c r="J1167">
        <f>IFERROR(IF(AND(H1167&lt;&gt;"",H1167&gt;=129,H1167&lt;=2176),INDEX(Fields!$B$2:$B$206,MATCH(H1167-129,Fields!$D$2:$D$206,1)),""),"")</f>
        <v/>
      </c>
      <c r="K1167">
        <f>IFERROR(IF(AND(H1167&lt;&gt;"",H1167&gt;=129,H1167&lt;=2176),INDEX(Fields!$C$2:$C$206,MATCH(H1167-129,Fields!$D$2:$D$206,1)),""),"")</f>
        <v/>
      </c>
      <c r="L1167">
        <f>IFERROR(IF(AND(H1167&lt;&gt;"",H1167&gt;=129,H1167&lt;=2176),INDEX(Fields!$J$2:$J$206,MATCH(H1167-129,Fields!$D$2:$D$206,1)),""),"")</f>
        <v/>
      </c>
      <c r="M1167">
        <f>IFERROR(IF(AND(H1167&lt;&gt;"",H1167&gt;=129,H1167&lt;=2176),INDEX(Fields!$K$2:$K$206,MATCH(H1167-129,Fields!$D$2:$D$206,1)),""),"")</f>
        <v/>
      </c>
    </row>
    <row r="1168">
      <c r="A1168" t="n">
        <v>1166</v>
      </c>
      <c r="B1168" t="n">
        <v>0</v>
      </c>
      <c r="C1168" t="inlineStr">
        <is>
          <t>No</t>
        </is>
      </c>
      <c r="D1168">
        <f>IF(AND(B1163=1,B1164=1,B1165=1,B1166=1,B1167=1),"Yes","")</f>
        <v/>
      </c>
      <c r="E1168" t="inlineStr">
        <is>
          <t>No</t>
        </is>
      </c>
      <c r="F1168" t="inlineStr">
        <is>
          <t>No</t>
        </is>
      </c>
      <c r="G1168">
        <f>IF(F1168="Yes",1-B1168,B1168)</f>
        <v/>
      </c>
      <c r="H1168">
        <f>IF(E1168="Yes","",COUNTIFS($E$2:E1168,"No"))</f>
        <v/>
      </c>
      <c r="I1168">
        <f>IF(H1168="","",IF(H1168&lt;=128,"address",IF(H1168&lt;=600,"data1",IF(H1168&lt;=1264,"zero-run1",IF(H1168&lt;=1648,"data2",IF(H1168&lt;=2176,"zero-run2",IF(H1168&lt;=2192,"FCS","trailing")))))))</f>
        <v/>
      </c>
      <c r="J1168">
        <f>IFERROR(IF(AND(H1168&lt;&gt;"",H1168&gt;=129,H1168&lt;=2176),INDEX(Fields!$B$2:$B$206,MATCH(H1168-129,Fields!$D$2:$D$206,1)),""),"")</f>
        <v/>
      </c>
      <c r="K1168">
        <f>IFERROR(IF(AND(H1168&lt;&gt;"",H1168&gt;=129,H1168&lt;=2176),INDEX(Fields!$C$2:$C$206,MATCH(H1168-129,Fields!$D$2:$D$206,1)),""),"")</f>
        <v/>
      </c>
      <c r="L1168">
        <f>IFERROR(IF(AND(H1168&lt;&gt;"",H1168&gt;=129,H1168&lt;=2176),INDEX(Fields!$J$2:$J$206,MATCH(H1168-129,Fields!$D$2:$D$206,1)),""),"")</f>
        <v/>
      </c>
      <c r="M1168">
        <f>IFERROR(IF(AND(H1168&lt;&gt;"",H1168&gt;=129,H1168&lt;=2176),INDEX(Fields!$K$2:$K$206,MATCH(H1168-129,Fields!$D$2:$D$206,1)),""),"")</f>
        <v/>
      </c>
    </row>
    <row r="1169">
      <c r="A1169" t="n">
        <v>1167</v>
      </c>
      <c r="B1169" t="n">
        <v>0</v>
      </c>
      <c r="C1169" t="inlineStr">
        <is>
          <t>No</t>
        </is>
      </c>
      <c r="D1169">
        <f>IF(AND(B1164=1,B1165=1,B1166=1,B1167=1,B1168=1),"Yes","")</f>
        <v/>
      </c>
      <c r="E1169" t="inlineStr">
        <is>
          <t>No</t>
        </is>
      </c>
      <c r="F1169" t="inlineStr">
        <is>
          <t>No</t>
        </is>
      </c>
      <c r="G1169">
        <f>IF(F1169="Yes",1-B1169,B1169)</f>
        <v/>
      </c>
      <c r="H1169">
        <f>IF(E1169="Yes","",COUNTIFS($E$2:E1169,"No"))</f>
        <v/>
      </c>
      <c r="I1169">
        <f>IF(H1169="","",IF(H1169&lt;=128,"address",IF(H1169&lt;=600,"data1",IF(H1169&lt;=1264,"zero-run1",IF(H1169&lt;=1648,"data2",IF(H1169&lt;=2176,"zero-run2",IF(H1169&lt;=2192,"FCS","trailing")))))))</f>
        <v/>
      </c>
      <c r="J1169">
        <f>IFERROR(IF(AND(H1169&lt;&gt;"",H1169&gt;=129,H1169&lt;=2176),INDEX(Fields!$B$2:$B$206,MATCH(H1169-129,Fields!$D$2:$D$206,1)),""),"")</f>
        <v/>
      </c>
      <c r="K1169">
        <f>IFERROR(IF(AND(H1169&lt;&gt;"",H1169&gt;=129,H1169&lt;=2176),INDEX(Fields!$C$2:$C$206,MATCH(H1169-129,Fields!$D$2:$D$206,1)),""),"")</f>
        <v/>
      </c>
      <c r="L1169">
        <f>IFERROR(IF(AND(H1169&lt;&gt;"",H1169&gt;=129,H1169&lt;=2176),INDEX(Fields!$J$2:$J$206,MATCH(H1169-129,Fields!$D$2:$D$206,1)),""),"")</f>
        <v/>
      </c>
      <c r="M1169">
        <f>IFERROR(IF(AND(H1169&lt;&gt;"",H1169&gt;=129,H1169&lt;=2176),INDEX(Fields!$K$2:$K$206,MATCH(H1169-129,Fields!$D$2:$D$206,1)),""),"")</f>
        <v/>
      </c>
    </row>
    <row r="1170">
      <c r="A1170" t="n">
        <v>1168</v>
      </c>
      <c r="B1170" t="n">
        <v>0</v>
      </c>
      <c r="C1170" t="inlineStr">
        <is>
          <t>No</t>
        </is>
      </c>
      <c r="D1170">
        <f>IF(AND(B1165=1,B1166=1,B1167=1,B1168=1,B1169=1),"Yes","")</f>
        <v/>
      </c>
      <c r="E1170" t="inlineStr">
        <is>
          <t>No</t>
        </is>
      </c>
      <c r="F1170" t="inlineStr">
        <is>
          <t>No</t>
        </is>
      </c>
      <c r="G1170">
        <f>IF(F1170="Yes",1-B1170,B1170)</f>
        <v/>
      </c>
      <c r="H1170">
        <f>IF(E1170="Yes","",COUNTIFS($E$2:E1170,"No"))</f>
        <v/>
      </c>
      <c r="I1170">
        <f>IF(H1170="","",IF(H1170&lt;=128,"address",IF(H1170&lt;=600,"data1",IF(H1170&lt;=1264,"zero-run1",IF(H1170&lt;=1648,"data2",IF(H1170&lt;=2176,"zero-run2",IF(H1170&lt;=2192,"FCS","trailing")))))))</f>
        <v/>
      </c>
      <c r="J1170">
        <f>IFERROR(IF(AND(H1170&lt;&gt;"",H1170&gt;=129,H1170&lt;=2176),INDEX(Fields!$B$2:$B$206,MATCH(H1170-129,Fields!$D$2:$D$206,1)),""),"")</f>
        <v/>
      </c>
      <c r="K1170">
        <f>IFERROR(IF(AND(H1170&lt;&gt;"",H1170&gt;=129,H1170&lt;=2176),INDEX(Fields!$C$2:$C$206,MATCH(H1170-129,Fields!$D$2:$D$206,1)),""),"")</f>
        <v/>
      </c>
      <c r="L1170">
        <f>IFERROR(IF(AND(H1170&lt;&gt;"",H1170&gt;=129,H1170&lt;=2176),INDEX(Fields!$J$2:$J$206,MATCH(H1170-129,Fields!$D$2:$D$206,1)),""),"")</f>
        <v/>
      </c>
      <c r="M1170">
        <f>IFERROR(IF(AND(H1170&lt;&gt;"",H1170&gt;=129,H1170&lt;=2176),INDEX(Fields!$K$2:$K$206,MATCH(H1170-129,Fields!$D$2:$D$206,1)),""),"")</f>
        <v/>
      </c>
    </row>
    <row r="1171">
      <c r="A1171" t="n">
        <v>1169</v>
      </c>
      <c r="B1171" t="n">
        <v>0</v>
      </c>
      <c r="C1171" t="inlineStr">
        <is>
          <t>No</t>
        </is>
      </c>
      <c r="D1171">
        <f>IF(AND(B1166=1,B1167=1,B1168=1,B1169=1,B1170=1),"Yes","")</f>
        <v/>
      </c>
      <c r="E1171" t="inlineStr">
        <is>
          <t>No</t>
        </is>
      </c>
      <c r="F1171" t="inlineStr">
        <is>
          <t>No</t>
        </is>
      </c>
      <c r="G1171">
        <f>IF(F1171="Yes",1-B1171,B1171)</f>
        <v/>
      </c>
      <c r="H1171">
        <f>IF(E1171="Yes","",COUNTIFS($E$2:E1171,"No"))</f>
        <v/>
      </c>
      <c r="I1171">
        <f>IF(H1171="","",IF(H1171&lt;=128,"address",IF(H1171&lt;=600,"data1",IF(H1171&lt;=1264,"zero-run1",IF(H1171&lt;=1648,"data2",IF(H1171&lt;=2176,"zero-run2",IF(H1171&lt;=2192,"FCS","trailing")))))))</f>
        <v/>
      </c>
      <c r="J1171">
        <f>IFERROR(IF(AND(H1171&lt;&gt;"",H1171&gt;=129,H1171&lt;=2176),INDEX(Fields!$B$2:$B$206,MATCH(H1171-129,Fields!$D$2:$D$206,1)),""),"")</f>
        <v/>
      </c>
      <c r="K1171">
        <f>IFERROR(IF(AND(H1171&lt;&gt;"",H1171&gt;=129,H1171&lt;=2176),INDEX(Fields!$C$2:$C$206,MATCH(H1171-129,Fields!$D$2:$D$206,1)),""),"")</f>
        <v/>
      </c>
      <c r="L1171">
        <f>IFERROR(IF(AND(H1171&lt;&gt;"",H1171&gt;=129,H1171&lt;=2176),INDEX(Fields!$J$2:$J$206,MATCH(H1171-129,Fields!$D$2:$D$206,1)),""),"")</f>
        <v/>
      </c>
      <c r="M1171">
        <f>IFERROR(IF(AND(H1171&lt;&gt;"",H1171&gt;=129,H1171&lt;=2176),INDEX(Fields!$K$2:$K$206,MATCH(H1171-129,Fields!$D$2:$D$206,1)),""),"")</f>
        <v/>
      </c>
    </row>
    <row r="1172">
      <c r="A1172" t="n">
        <v>1170</v>
      </c>
      <c r="B1172" t="n">
        <v>0</v>
      </c>
      <c r="C1172" t="inlineStr">
        <is>
          <t>No</t>
        </is>
      </c>
      <c r="D1172">
        <f>IF(AND(B1167=1,B1168=1,B1169=1,B1170=1,B1171=1),"Yes","")</f>
        <v/>
      </c>
      <c r="E1172" t="inlineStr">
        <is>
          <t>No</t>
        </is>
      </c>
      <c r="F1172" t="inlineStr">
        <is>
          <t>No</t>
        </is>
      </c>
      <c r="G1172">
        <f>IF(F1172="Yes",1-B1172,B1172)</f>
        <v/>
      </c>
      <c r="H1172">
        <f>IF(E1172="Yes","",COUNTIFS($E$2:E1172,"No"))</f>
        <v/>
      </c>
      <c r="I1172">
        <f>IF(H1172="","",IF(H1172&lt;=128,"address",IF(H1172&lt;=600,"data1",IF(H1172&lt;=1264,"zero-run1",IF(H1172&lt;=1648,"data2",IF(H1172&lt;=2176,"zero-run2",IF(H1172&lt;=2192,"FCS","trailing")))))))</f>
        <v/>
      </c>
      <c r="J1172">
        <f>IFERROR(IF(AND(H1172&lt;&gt;"",H1172&gt;=129,H1172&lt;=2176),INDEX(Fields!$B$2:$B$206,MATCH(H1172-129,Fields!$D$2:$D$206,1)),""),"")</f>
        <v/>
      </c>
      <c r="K1172">
        <f>IFERROR(IF(AND(H1172&lt;&gt;"",H1172&gt;=129,H1172&lt;=2176),INDEX(Fields!$C$2:$C$206,MATCH(H1172-129,Fields!$D$2:$D$206,1)),""),"")</f>
        <v/>
      </c>
      <c r="L1172">
        <f>IFERROR(IF(AND(H1172&lt;&gt;"",H1172&gt;=129,H1172&lt;=2176),INDEX(Fields!$J$2:$J$206,MATCH(H1172-129,Fields!$D$2:$D$206,1)),""),"")</f>
        <v/>
      </c>
      <c r="M1172">
        <f>IFERROR(IF(AND(H1172&lt;&gt;"",H1172&gt;=129,H1172&lt;=2176),INDEX(Fields!$K$2:$K$206,MATCH(H1172-129,Fields!$D$2:$D$206,1)),""),"")</f>
        <v/>
      </c>
    </row>
    <row r="1173">
      <c r="A1173" t="n">
        <v>1171</v>
      </c>
      <c r="B1173" t="n">
        <v>0</v>
      </c>
      <c r="C1173" t="inlineStr">
        <is>
          <t>No</t>
        </is>
      </c>
      <c r="D1173">
        <f>IF(AND(B1168=1,B1169=1,B1170=1,B1171=1,B1172=1),"Yes","")</f>
        <v/>
      </c>
      <c r="E1173" t="inlineStr">
        <is>
          <t>No</t>
        </is>
      </c>
      <c r="F1173" t="inlineStr">
        <is>
          <t>No</t>
        </is>
      </c>
      <c r="G1173">
        <f>IF(F1173="Yes",1-B1173,B1173)</f>
        <v/>
      </c>
      <c r="H1173">
        <f>IF(E1173="Yes","",COUNTIFS($E$2:E1173,"No"))</f>
        <v/>
      </c>
      <c r="I1173">
        <f>IF(H1173="","",IF(H1173&lt;=128,"address",IF(H1173&lt;=600,"data1",IF(H1173&lt;=1264,"zero-run1",IF(H1173&lt;=1648,"data2",IF(H1173&lt;=2176,"zero-run2",IF(H1173&lt;=2192,"FCS","trailing")))))))</f>
        <v/>
      </c>
      <c r="J1173">
        <f>IFERROR(IF(AND(H1173&lt;&gt;"",H1173&gt;=129,H1173&lt;=2176),INDEX(Fields!$B$2:$B$206,MATCH(H1173-129,Fields!$D$2:$D$206,1)),""),"")</f>
        <v/>
      </c>
      <c r="K1173">
        <f>IFERROR(IF(AND(H1173&lt;&gt;"",H1173&gt;=129,H1173&lt;=2176),INDEX(Fields!$C$2:$C$206,MATCH(H1173-129,Fields!$D$2:$D$206,1)),""),"")</f>
        <v/>
      </c>
      <c r="L1173">
        <f>IFERROR(IF(AND(H1173&lt;&gt;"",H1173&gt;=129,H1173&lt;=2176),INDEX(Fields!$J$2:$J$206,MATCH(H1173-129,Fields!$D$2:$D$206,1)),""),"")</f>
        <v/>
      </c>
      <c r="M1173">
        <f>IFERROR(IF(AND(H1173&lt;&gt;"",H1173&gt;=129,H1173&lt;=2176),INDEX(Fields!$K$2:$K$206,MATCH(H1173-129,Fields!$D$2:$D$206,1)),""),"")</f>
        <v/>
      </c>
    </row>
    <row r="1174">
      <c r="A1174" t="n">
        <v>1172</v>
      </c>
      <c r="B1174" t="n">
        <v>0</v>
      </c>
      <c r="C1174" t="inlineStr">
        <is>
          <t>No</t>
        </is>
      </c>
      <c r="D1174">
        <f>IF(AND(B1169=1,B1170=1,B1171=1,B1172=1,B1173=1),"Yes","")</f>
        <v/>
      </c>
      <c r="E1174" t="inlineStr">
        <is>
          <t>No</t>
        </is>
      </c>
      <c r="F1174" t="inlineStr">
        <is>
          <t>No</t>
        </is>
      </c>
      <c r="G1174">
        <f>IF(F1174="Yes",1-B1174,B1174)</f>
        <v/>
      </c>
      <c r="H1174">
        <f>IF(E1174="Yes","",COUNTIFS($E$2:E1174,"No"))</f>
        <v/>
      </c>
      <c r="I1174">
        <f>IF(H1174="","",IF(H1174&lt;=128,"address",IF(H1174&lt;=600,"data1",IF(H1174&lt;=1264,"zero-run1",IF(H1174&lt;=1648,"data2",IF(H1174&lt;=2176,"zero-run2",IF(H1174&lt;=2192,"FCS","trailing")))))))</f>
        <v/>
      </c>
      <c r="J1174">
        <f>IFERROR(IF(AND(H1174&lt;&gt;"",H1174&gt;=129,H1174&lt;=2176),INDEX(Fields!$B$2:$B$206,MATCH(H1174-129,Fields!$D$2:$D$206,1)),""),"")</f>
        <v/>
      </c>
      <c r="K1174">
        <f>IFERROR(IF(AND(H1174&lt;&gt;"",H1174&gt;=129,H1174&lt;=2176),INDEX(Fields!$C$2:$C$206,MATCH(H1174-129,Fields!$D$2:$D$206,1)),""),"")</f>
        <v/>
      </c>
      <c r="L1174">
        <f>IFERROR(IF(AND(H1174&lt;&gt;"",H1174&gt;=129,H1174&lt;=2176),INDEX(Fields!$J$2:$J$206,MATCH(H1174-129,Fields!$D$2:$D$206,1)),""),"")</f>
        <v/>
      </c>
      <c r="M1174">
        <f>IFERROR(IF(AND(H1174&lt;&gt;"",H1174&gt;=129,H1174&lt;=2176),INDEX(Fields!$K$2:$K$206,MATCH(H1174-129,Fields!$D$2:$D$206,1)),""),"")</f>
        <v/>
      </c>
    </row>
    <row r="1175">
      <c r="A1175" t="n">
        <v>1173</v>
      </c>
      <c r="B1175" t="n">
        <v>0</v>
      </c>
      <c r="C1175" t="inlineStr">
        <is>
          <t>No</t>
        </is>
      </c>
      <c r="D1175">
        <f>IF(AND(B1170=1,B1171=1,B1172=1,B1173=1,B1174=1),"Yes","")</f>
        <v/>
      </c>
      <c r="E1175" t="inlineStr">
        <is>
          <t>No</t>
        </is>
      </c>
      <c r="F1175" t="inlineStr">
        <is>
          <t>No</t>
        </is>
      </c>
      <c r="G1175">
        <f>IF(F1175="Yes",1-B1175,B1175)</f>
        <v/>
      </c>
      <c r="H1175">
        <f>IF(E1175="Yes","",COUNTIFS($E$2:E1175,"No"))</f>
        <v/>
      </c>
      <c r="I1175">
        <f>IF(H1175="","",IF(H1175&lt;=128,"address",IF(H1175&lt;=600,"data1",IF(H1175&lt;=1264,"zero-run1",IF(H1175&lt;=1648,"data2",IF(H1175&lt;=2176,"zero-run2",IF(H1175&lt;=2192,"FCS","trailing")))))))</f>
        <v/>
      </c>
      <c r="J1175">
        <f>IFERROR(IF(AND(H1175&lt;&gt;"",H1175&gt;=129,H1175&lt;=2176),INDEX(Fields!$B$2:$B$206,MATCH(H1175-129,Fields!$D$2:$D$206,1)),""),"")</f>
        <v/>
      </c>
      <c r="K1175">
        <f>IFERROR(IF(AND(H1175&lt;&gt;"",H1175&gt;=129,H1175&lt;=2176),INDEX(Fields!$C$2:$C$206,MATCH(H1175-129,Fields!$D$2:$D$206,1)),""),"")</f>
        <v/>
      </c>
      <c r="L1175">
        <f>IFERROR(IF(AND(H1175&lt;&gt;"",H1175&gt;=129,H1175&lt;=2176),INDEX(Fields!$J$2:$J$206,MATCH(H1175-129,Fields!$D$2:$D$206,1)),""),"")</f>
        <v/>
      </c>
      <c r="M1175">
        <f>IFERROR(IF(AND(H1175&lt;&gt;"",H1175&gt;=129,H1175&lt;=2176),INDEX(Fields!$K$2:$K$206,MATCH(H1175-129,Fields!$D$2:$D$206,1)),""),"")</f>
        <v/>
      </c>
    </row>
    <row r="1176">
      <c r="A1176" t="n">
        <v>1174</v>
      </c>
      <c r="B1176" t="n">
        <v>0</v>
      </c>
      <c r="C1176" t="inlineStr">
        <is>
          <t>No</t>
        </is>
      </c>
      <c r="D1176">
        <f>IF(AND(B1171=1,B1172=1,B1173=1,B1174=1,B1175=1),"Yes","")</f>
        <v/>
      </c>
      <c r="E1176" t="inlineStr">
        <is>
          <t>No</t>
        </is>
      </c>
      <c r="F1176" t="inlineStr">
        <is>
          <t>No</t>
        </is>
      </c>
      <c r="G1176">
        <f>IF(F1176="Yes",1-B1176,B1176)</f>
        <v/>
      </c>
      <c r="H1176">
        <f>IF(E1176="Yes","",COUNTIFS($E$2:E1176,"No"))</f>
        <v/>
      </c>
      <c r="I1176">
        <f>IF(H1176="","",IF(H1176&lt;=128,"address",IF(H1176&lt;=600,"data1",IF(H1176&lt;=1264,"zero-run1",IF(H1176&lt;=1648,"data2",IF(H1176&lt;=2176,"zero-run2",IF(H1176&lt;=2192,"FCS","trailing")))))))</f>
        <v/>
      </c>
      <c r="J1176">
        <f>IFERROR(IF(AND(H1176&lt;&gt;"",H1176&gt;=129,H1176&lt;=2176),INDEX(Fields!$B$2:$B$206,MATCH(H1176-129,Fields!$D$2:$D$206,1)),""),"")</f>
        <v/>
      </c>
      <c r="K1176">
        <f>IFERROR(IF(AND(H1176&lt;&gt;"",H1176&gt;=129,H1176&lt;=2176),INDEX(Fields!$C$2:$C$206,MATCH(H1176-129,Fields!$D$2:$D$206,1)),""),"")</f>
        <v/>
      </c>
      <c r="L1176">
        <f>IFERROR(IF(AND(H1176&lt;&gt;"",H1176&gt;=129,H1176&lt;=2176),INDEX(Fields!$J$2:$J$206,MATCH(H1176-129,Fields!$D$2:$D$206,1)),""),"")</f>
        <v/>
      </c>
      <c r="M1176">
        <f>IFERROR(IF(AND(H1176&lt;&gt;"",H1176&gt;=129,H1176&lt;=2176),INDEX(Fields!$K$2:$K$206,MATCH(H1176-129,Fields!$D$2:$D$206,1)),""),"")</f>
        <v/>
      </c>
    </row>
    <row r="1177">
      <c r="A1177" t="n">
        <v>1175</v>
      </c>
      <c r="B1177" t="n">
        <v>0</v>
      </c>
      <c r="C1177" t="inlineStr">
        <is>
          <t>No</t>
        </is>
      </c>
      <c r="D1177">
        <f>IF(AND(B1172=1,B1173=1,B1174=1,B1175=1,B1176=1),"Yes","")</f>
        <v/>
      </c>
      <c r="E1177" t="inlineStr">
        <is>
          <t>No</t>
        </is>
      </c>
      <c r="F1177" t="inlineStr">
        <is>
          <t>No</t>
        </is>
      </c>
      <c r="G1177">
        <f>IF(F1177="Yes",1-B1177,B1177)</f>
        <v/>
      </c>
      <c r="H1177">
        <f>IF(E1177="Yes","",COUNTIFS($E$2:E1177,"No"))</f>
        <v/>
      </c>
      <c r="I1177">
        <f>IF(H1177="","",IF(H1177&lt;=128,"address",IF(H1177&lt;=600,"data1",IF(H1177&lt;=1264,"zero-run1",IF(H1177&lt;=1648,"data2",IF(H1177&lt;=2176,"zero-run2",IF(H1177&lt;=2192,"FCS","trailing")))))))</f>
        <v/>
      </c>
      <c r="J1177">
        <f>IFERROR(IF(AND(H1177&lt;&gt;"",H1177&gt;=129,H1177&lt;=2176),INDEX(Fields!$B$2:$B$206,MATCH(H1177-129,Fields!$D$2:$D$206,1)),""),"")</f>
        <v/>
      </c>
      <c r="K1177">
        <f>IFERROR(IF(AND(H1177&lt;&gt;"",H1177&gt;=129,H1177&lt;=2176),INDEX(Fields!$C$2:$C$206,MATCH(H1177-129,Fields!$D$2:$D$206,1)),""),"")</f>
        <v/>
      </c>
      <c r="L1177">
        <f>IFERROR(IF(AND(H1177&lt;&gt;"",H1177&gt;=129,H1177&lt;=2176),INDEX(Fields!$J$2:$J$206,MATCH(H1177-129,Fields!$D$2:$D$206,1)),""),"")</f>
        <v/>
      </c>
      <c r="M1177">
        <f>IFERROR(IF(AND(H1177&lt;&gt;"",H1177&gt;=129,H1177&lt;=2176),INDEX(Fields!$K$2:$K$206,MATCH(H1177-129,Fields!$D$2:$D$206,1)),""),"")</f>
        <v/>
      </c>
    </row>
    <row r="1178">
      <c r="A1178" t="n">
        <v>1176</v>
      </c>
      <c r="B1178" t="n">
        <v>0</v>
      </c>
      <c r="C1178" t="inlineStr">
        <is>
          <t>No</t>
        </is>
      </c>
      <c r="D1178">
        <f>IF(AND(B1173=1,B1174=1,B1175=1,B1176=1,B1177=1),"Yes","")</f>
        <v/>
      </c>
      <c r="E1178" t="inlineStr">
        <is>
          <t>No</t>
        </is>
      </c>
      <c r="F1178" t="inlineStr">
        <is>
          <t>No</t>
        </is>
      </c>
      <c r="G1178">
        <f>IF(F1178="Yes",1-B1178,B1178)</f>
        <v/>
      </c>
      <c r="H1178">
        <f>IF(E1178="Yes","",COUNTIFS($E$2:E1178,"No"))</f>
        <v/>
      </c>
      <c r="I1178">
        <f>IF(H1178="","",IF(H1178&lt;=128,"address",IF(H1178&lt;=600,"data1",IF(H1178&lt;=1264,"zero-run1",IF(H1178&lt;=1648,"data2",IF(H1178&lt;=2176,"zero-run2",IF(H1178&lt;=2192,"FCS","trailing")))))))</f>
        <v/>
      </c>
      <c r="J1178">
        <f>IFERROR(IF(AND(H1178&lt;&gt;"",H1178&gt;=129,H1178&lt;=2176),INDEX(Fields!$B$2:$B$206,MATCH(H1178-129,Fields!$D$2:$D$206,1)),""),"")</f>
        <v/>
      </c>
      <c r="K1178">
        <f>IFERROR(IF(AND(H1178&lt;&gt;"",H1178&gt;=129,H1178&lt;=2176),INDEX(Fields!$C$2:$C$206,MATCH(H1178-129,Fields!$D$2:$D$206,1)),""),"")</f>
        <v/>
      </c>
      <c r="L1178">
        <f>IFERROR(IF(AND(H1178&lt;&gt;"",H1178&gt;=129,H1178&lt;=2176),INDEX(Fields!$J$2:$J$206,MATCH(H1178-129,Fields!$D$2:$D$206,1)),""),"")</f>
        <v/>
      </c>
      <c r="M1178">
        <f>IFERROR(IF(AND(H1178&lt;&gt;"",H1178&gt;=129,H1178&lt;=2176),INDEX(Fields!$K$2:$K$206,MATCH(H1178-129,Fields!$D$2:$D$206,1)),""),"")</f>
        <v/>
      </c>
    </row>
    <row r="1179">
      <c r="A1179" t="n">
        <v>1177</v>
      </c>
      <c r="B1179" t="n">
        <v>0</v>
      </c>
      <c r="C1179" t="inlineStr">
        <is>
          <t>No</t>
        </is>
      </c>
      <c r="D1179">
        <f>IF(AND(B1174=1,B1175=1,B1176=1,B1177=1,B1178=1),"Yes","")</f>
        <v/>
      </c>
      <c r="E1179" t="inlineStr">
        <is>
          <t>No</t>
        </is>
      </c>
      <c r="F1179" t="inlineStr">
        <is>
          <t>No</t>
        </is>
      </c>
      <c r="G1179">
        <f>IF(F1179="Yes",1-B1179,B1179)</f>
        <v/>
      </c>
      <c r="H1179">
        <f>IF(E1179="Yes","",COUNTIFS($E$2:E1179,"No"))</f>
        <v/>
      </c>
      <c r="I1179">
        <f>IF(H1179="","",IF(H1179&lt;=128,"address",IF(H1179&lt;=600,"data1",IF(H1179&lt;=1264,"zero-run1",IF(H1179&lt;=1648,"data2",IF(H1179&lt;=2176,"zero-run2",IF(H1179&lt;=2192,"FCS","trailing")))))))</f>
        <v/>
      </c>
      <c r="J1179">
        <f>IFERROR(IF(AND(H1179&lt;&gt;"",H1179&gt;=129,H1179&lt;=2176),INDEX(Fields!$B$2:$B$206,MATCH(H1179-129,Fields!$D$2:$D$206,1)),""),"")</f>
        <v/>
      </c>
      <c r="K1179">
        <f>IFERROR(IF(AND(H1179&lt;&gt;"",H1179&gt;=129,H1179&lt;=2176),INDEX(Fields!$C$2:$C$206,MATCH(H1179-129,Fields!$D$2:$D$206,1)),""),"")</f>
        <v/>
      </c>
      <c r="L1179">
        <f>IFERROR(IF(AND(H1179&lt;&gt;"",H1179&gt;=129,H1179&lt;=2176),INDEX(Fields!$J$2:$J$206,MATCH(H1179-129,Fields!$D$2:$D$206,1)),""),"")</f>
        <v/>
      </c>
      <c r="M1179">
        <f>IFERROR(IF(AND(H1179&lt;&gt;"",H1179&gt;=129,H1179&lt;=2176),INDEX(Fields!$K$2:$K$206,MATCH(H1179-129,Fields!$D$2:$D$206,1)),""),"")</f>
        <v/>
      </c>
    </row>
    <row r="1180">
      <c r="A1180" t="n">
        <v>1178</v>
      </c>
      <c r="B1180" t="n">
        <v>0</v>
      </c>
      <c r="C1180" t="inlineStr">
        <is>
          <t>No</t>
        </is>
      </c>
      <c r="D1180">
        <f>IF(AND(B1175=1,B1176=1,B1177=1,B1178=1,B1179=1),"Yes","")</f>
        <v/>
      </c>
      <c r="E1180" t="inlineStr">
        <is>
          <t>No</t>
        </is>
      </c>
      <c r="F1180" t="inlineStr">
        <is>
          <t>No</t>
        </is>
      </c>
      <c r="G1180">
        <f>IF(F1180="Yes",1-B1180,B1180)</f>
        <v/>
      </c>
      <c r="H1180">
        <f>IF(E1180="Yes","",COUNTIFS($E$2:E1180,"No"))</f>
        <v/>
      </c>
      <c r="I1180">
        <f>IF(H1180="","",IF(H1180&lt;=128,"address",IF(H1180&lt;=600,"data1",IF(H1180&lt;=1264,"zero-run1",IF(H1180&lt;=1648,"data2",IF(H1180&lt;=2176,"zero-run2",IF(H1180&lt;=2192,"FCS","trailing")))))))</f>
        <v/>
      </c>
      <c r="J1180">
        <f>IFERROR(IF(AND(H1180&lt;&gt;"",H1180&gt;=129,H1180&lt;=2176),INDEX(Fields!$B$2:$B$206,MATCH(H1180-129,Fields!$D$2:$D$206,1)),""),"")</f>
        <v/>
      </c>
      <c r="K1180">
        <f>IFERROR(IF(AND(H1180&lt;&gt;"",H1180&gt;=129,H1180&lt;=2176),INDEX(Fields!$C$2:$C$206,MATCH(H1180-129,Fields!$D$2:$D$206,1)),""),"")</f>
        <v/>
      </c>
      <c r="L1180">
        <f>IFERROR(IF(AND(H1180&lt;&gt;"",H1180&gt;=129,H1180&lt;=2176),INDEX(Fields!$J$2:$J$206,MATCH(H1180-129,Fields!$D$2:$D$206,1)),""),"")</f>
        <v/>
      </c>
      <c r="M1180">
        <f>IFERROR(IF(AND(H1180&lt;&gt;"",H1180&gt;=129,H1180&lt;=2176),INDEX(Fields!$K$2:$K$206,MATCH(H1180-129,Fields!$D$2:$D$206,1)),""),"")</f>
        <v/>
      </c>
    </row>
    <row r="1181">
      <c r="A1181" t="n">
        <v>1179</v>
      </c>
      <c r="B1181" t="n">
        <v>0</v>
      </c>
      <c r="C1181" t="inlineStr">
        <is>
          <t>No</t>
        </is>
      </c>
      <c r="D1181">
        <f>IF(AND(B1176=1,B1177=1,B1178=1,B1179=1,B1180=1),"Yes","")</f>
        <v/>
      </c>
      <c r="E1181" t="inlineStr">
        <is>
          <t>No</t>
        </is>
      </c>
      <c r="F1181" t="inlineStr">
        <is>
          <t>No</t>
        </is>
      </c>
      <c r="G1181">
        <f>IF(F1181="Yes",1-B1181,B1181)</f>
        <v/>
      </c>
      <c r="H1181">
        <f>IF(E1181="Yes","",COUNTIFS($E$2:E1181,"No"))</f>
        <v/>
      </c>
      <c r="I1181">
        <f>IF(H1181="","",IF(H1181&lt;=128,"address",IF(H1181&lt;=600,"data1",IF(H1181&lt;=1264,"zero-run1",IF(H1181&lt;=1648,"data2",IF(H1181&lt;=2176,"zero-run2",IF(H1181&lt;=2192,"FCS","trailing")))))))</f>
        <v/>
      </c>
      <c r="J1181">
        <f>IFERROR(IF(AND(H1181&lt;&gt;"",H1181&gt;=129,H1181&lt;=2176),INDEX(Fields!$B$2:$B$206,MATCH(H1181-129,Fields!$D$2:$D$206,1)),""),"")</f>
        <v/>
      </c>
      <c r="K1181">
        <f>IFERROR(IF(AND(H1181&lt;&gt;"",H1181&gt;=129,H1181&lt;=2176),INDEX(Fields!$C$2:$C$206,MATCH(H1181-129,Fields!$D$2:$D$206,1)),""),"")</f>
        <v/>
      </c>
      <c r="L1181">
        <f>IFERROR(IF(AND(H1181&lt;&gt;"",H1181&gt;=129,H1181&lt;=2176),INDEX(Fields!$J$2:$J$206,MATCH(H1181-129,Fields!$D$2:$D$206,1)),""),"")</f>
        <v/>
      </c>
      <c r="M1181">
        <f>IFERROR(IF(AND(H1181&lt;&gt;"",H1181&gt;=129,H1181&lt;=2176),INDEX(Fields!$K$2:$K$206,MATCH(H1181-129,Fields!$D$2:$D$206,1)),""),"")</f>
        <v/>
      </c>
    </row>
    <row r="1182">
      <c r="A1182" t="n">
        <v>1180</v>
      </c>
      <c r="B1182" t="n">
        <v>0</v>
      </c>
      <c r="C1182" t="inlineStr">
        <is>
          <t>No</t>
        </is>
      </c>
      <c r="D1182">
        <f>IF(AND(B1177=1,B1178=1,B1179=1,B1180=1,B1181=1),"Yes","")</f>
        <v/>
      </c>
      <c r="E1182" t="inlineStr">
        <is>
          <t>No</t>
        </is>
      </c>
      <c r="F1182" t="inlineStr">
        <is>
          <t>No</t>
        </is>
      </c>
      <c r="G1182">
        <f>IF(F1182="Yes",1-B1182,B1182)</f>
        <v/>
      </c>
      <c r="H1182">
        <f>IF(E1182="Yes","",COUNTIFS($E$2:E1182,"No"))</f>
        <v/>
      </c>
      <c r="I1182">
        <f>IF(H1182="","",IF(H1182&lt;=128,"address",IF(H1182&lt;=600,"data1",IF(H1182&lt;=1264,"zero-run1",IF(H1182&lt;=1648,"data2",IF(H1182&lt;=2176,"zero-run2",IF(H1182&lt;=2192,"FCS","trailing")))))))</f>
        <v/>
      </c>
      <c r="J1182">
        <f>IFERROR(IF(AND(H1182&lt;&gt;"",H1182&gt;=129,H1182&lt;=2176),INDEX(Fields!$B$2:$B$206,MATCH(H1182-129,Fields!$D$2:$D$206,1)),""),"")</f>
        <v/>
      </c>
      <c r="K1182">
        <f>IFERROR(IF(AND(H1182&lt;&gt;"",H1182&gt;=129,H1182&lt;=2176),INDEX(Fields!$C$2:$C$206,MATCH(H1182-129,Fields!$D$2:$D$206,1)),""),"")</f>
        <v/>
      </c>
      <c r="L1182">
        <f>IFERROR(IF(AND(H1182&lt;&gt;"",H1182&gt;=129,H1182&lt;=2176),INDEX(Fields!$J$2:$J$206,MATCH(H1182-129,Fields!$D$2:$D$206,1)),""),"")</f>
        <v/>
      </c>
      <c r="M1182">
        <f>IFERROR(IF(AND(H1182&lt;&gt;"",H1182&gt;=129,H1182&lt;=2176),INDEX(Fields!$K$2:$K$206,MATCH(H1182-129,Fields!$D$2:$D$206,1)),""),"")</f>
        <v/>
      </c>
    </row>
    <row r="1183">
      <c r="A1183" t="n">
        <v>1181</v>
      </c>
      <c r="B1183" t="n">
        <v>0</v>
      </c>
      <c r="C1183" t="inlineStr">
        <is>
          <t>No</t>
        </is>
      </c>
      <c r="D1183">
        <f>IF(AND(B1178=1,B1179=1,B1180=1,B1181=1,B1182=1),"Yes","")</f>
        <v/>
      </c>
      <c r="E1183" t="inlineStr">
        <is>
          <t>No</t>
        </is>
      </c>
      <c r="F1183" t="inlineStr">
        <is>
          <t>No</t>
        </is>
      </c>
      <c r="G1183">
        <f>IF(F1183="Yes",1-B1183,B1183)</f>
        <v/>
      </c>
      <c r="H1183">
        <f>IF(E1183="Yes","",COUNTIFS($E$2:E1183,"No"))</f>
        <v/>
      </c>
      <c r="I1183">
        <f>IF(H1183="","",IF(H1183&lt;=128,"address",IF(H1183&lt;=600,"data1",IF(H1183&lt;=1264,"zero-run1",IF(H1183&lt;=1648,"data2",IF(H1183&lt;=2176,"zero-run2",IF(H1183&lt;=2192,"FCS","trailing")))))))</f>
        <v/>
      </c>
      <c r="J1183">
        <f>IFERROR(IF(AND(H1183&lt;&gt;"",H1183&gt;=129,H1183&lt;=2176),INDEX(Fields!$B$2:$B$206,MATCH(H1183-129,Fields!$D$2:$D$206,1)),""),"")</f>
        <v/>
      </c>
      <c r="K1183">
        <f>IFERROR(IF(AND(H1183&lt;&gt;"",H1183&gt;=129,H1183&lt;=2176),INDEX(Fields!$C$2:$C$206,MATCH(H1183-129,Fields!$D$2:$D$206,1)),""),"")</f>
        <v/>
      </c>
      <c r="L1183">
        <f>IFERROR(IF(AND(H1183&lt;&gt;"",H1183&gt;=129,H1183&lt;=2176),INDEX(Fields!$J$2:$J$206,MATCH(H1183-129,Fields!$D$2:$D$206,1)),""),"")</f>
        <v/>
      </c>
      <c r="M1183">
        <f>IFERROR(IF(AND(H1183&lt;&gt;"",H1183&gt;=129,H1183&lt;=2176),INDEX(Fields!$K$2:$K$206,MATCH(H1183-129,Fields!$D$2:$D$206,1)),""),"")</f>
        <v/>
      </c>
    </row>
    <row r="1184">
      <c r="A1184" t="n">
        <v>1182</v>
      </c>
      <c r="B1184" t="n">
        <v>0</v>
      </c>
      <c r="C1184" t="inlineStr">
        <is>
          <t>No</t>
        </is>
      </c>
      <c r="D1184">
        <f>IF(AND(B1179=1,B1180=1,B1181=1,B1182=1,B1183=1),"Yes","")</f>
        <v/>
      </c>
      <c r="E1184" t="inlineStr">
        <is>
          <t>No</t>
        </is>
      </c>
      <c r="F1184" t="inlineStr">
        <is>
          <t>No</t>
        </is>
      </c>
      <c r="G1184">
        <f>IF(F1184="Yes",1-B1184,B1184)</f>
        <v/>
      </c>
      <c r="H1184">
        <f>IF(E1184="Yes","",COUNTIFS($E$2:E1184,"No"))</f>
        <v/>
      </c>
      <c r="I1184">
        <f>IF(H1184="","",IF(H1184&lt;=128,"address",IF(H1184&lt;=600,"data1",IF(H1184&lt;=1264,"zero-run1",IF(H1184&lt;=1648,"data2",IF(H1184&lt;=2176,"zero-run2",IF(H1184&lt;=2192,"FCS","trailing")))))))</f>
        <v/>
      </c>
      <c r="J1184">
        <f>IFERROR(IF(AND(H1184&lt;&gt;"",H1184&gt;=129,H1184&lt;=2176),INDEX(Fields!$B$2:$B$206,MATCH(H1184-129,Fields!$D$2:$D$206,1)),""),"")</f>
        <v/>
      </c>
      <c r="K1184">
        <f>IFERROR(IF(AND(H1184&lt;&gt;"",H1184&gt;=129,H1184&lt;=2176),INDEX(Fields!$C$2:$C$206,MATCH(H1184-129,Fields!$D$2:$D$206,1)),""),"")</f>
        <v/>
      </c>
      <c r="L1184">
        <f>IFERROR(IF(AND(H1184&lt;&gt;"",H1184&gt;=129,H1184&lt;=2176),INDEX(Fields!$J$2:$J$206,MATCH(H1184-129,Fields!$D$2:$D$206,1)),""),"")</f>
        <v/>
      </c>
      <c r="M1184">
        <f>IFERROR(IF(AND(H1184&lt;&gt;"",H1184&gt;=129,H1184&lt;=2176),INDEX(Fields!$K$2:$K$206,MATCH(H1184-129,Fields!$D$2:$D$206,1)),""),"")</f>
        <v/>
      </c>
    </row>
    <row r="1185">
      <c r="A1185" t="n">
        <v>1183</v>
      </c>
      <c r="B1185" t="n">
        <v>0</v>
      </c>
      <c r="C1185" t="inlineStr">
        <is>
          <t>No</t>
        </is>
      </c>
      <c r="D1185">
        <f>IF(AND(B1180=1,B1181=1,B1182=1,B1183=1,B1184=1),"Yes","")</f>
        <v/>
      </c>
      <c r="E1185" t="inlineStr">
        <is>
          <t>No</t>
        </is>
      </c>
      <c r="F1185" t="inlineStr">
        <is>
          <t>No</t>
        </is>
      </c>
      <c r="G1185">
        <f>IF(F1185="Yes",1-B1185,B1185)</f>
        <v/>
      </c>
      <c r="H1185">
        <f>IF(E1185="Yes","",COUNTIFS($E$2:E1185,"No"))</f>
        <v/>
      </c>
      <c r="I1185">
        <f>IF(H1185="","",IF(H1185&lt;=128,"address",IF(H1185&lt;=600,"data1",IF(H1185&lt;=1264,"zero-run1",IF(H1185&lt;=1648,"data2",IF(H1185&lt;=2176,"zero-run2",IF(H1185&lt;=2192,"FCS","trailing")))))))</f>
        <v/>
      </c>
      <c r="J1185">
        <f>IFERROR(IF(AND(H1185&lt;&gt;"",H1185&gt;=129,H1185&lt;=2176),INDEX(Fields!$B$2:$B$206,MATCH(H1185-129,Fields!$D$2:$D$206,1)),""),"")</f>
        <v/>
      </c>
      <c r="K1185">
        <f>IFERROR(IF(AND(H1185&lt;&gt;"",H1185&gt;=129,H1185&lt;=2176),INDEX(Fields!$C$2:$C$206,MATCH(H1185-129,Fields!$D$2:$D$206,1)),""),"")</f>
        <v/>
      </c>
      <c r="L1185">
        <f>IFERROR(IF(AND(H1185&lt;&gt;"",H1185&gt;=129,H1185&lt;=2176),INDEX(Fields!$J$2:$J$206,MATCH(H1185-129,Fields!$D$2:$D$206,1)),""),"")</f>
        <v/>
      </c>
      <c r="M1185">
        <f>IFERROR(IF(AND(H1185&lt;&gt;"",H1185&gt;=129,H1185&lt;=2176),INDEX(Fields!$K$2:$K$206,MATCH(H1185-129,Fields!$D$2:$D$206,1)),""),"")</f>
        <v/>
      </c>
    </row>
    <row r="1186">
      <c r="A1186" t="n">
        <v>1184</v>
      </c>
      <c r="B1186" t="n">
        <v>0</v>
      </c>
      <c r="C1186" t="inlineStr">
        <is>
          <t>No</t>
        </is>
      </c>
      <c r="D1186">
        <f>IF(AND(B1181=1,B1182=1,B1183=1,B1184=1,B1185=1),"Yes","")</f>
        <v/>
      </c>
      <c r="E1186" t="inlineStr">
        <is>
          <t>No</t>
        </is>
      </c>
      <c r="F1186" t="inlineStr">
        <is>
          <t>No</t>
        </is>
      </c>
      <c r="G1186">
        <f>IF(F1186="Yes",1-B1186,B1186)</f>
        <v/>
      </c>
      <c r="H1186">
        <f>IF(E1186="Yes","",COUNTIFS($E$2:E1186,"No"))</f>
        <v/>
      </c>
      <c r="I1186">
        <f>IF(H1186="","",IF(H1186&lt;=128,"address",IF(H1186&lt;=600,"data1",IF(H1186&lt;=1264,"zero-run1",IF(H1186&lt;=1648,"data2",IF(H1186&lt;=2176,"zero-run2",IF(H1186&lt;=2192,"FCS","trailing")))))))</f>
        <v/>
      </c>
      <c r="J1186">
        <f>IFERROR(IF(AND(H1186&lt;&gt;"",H1186&gt;=129,H1186&lt;=2176),INDEX(Fields!$B$2:$B$206,MATCH(H1186-129,Fields!$D$2:$D$206,1)),""),"")</f>
        <v/>
      </c>
      <c r="K1186">
        <f>IFERROR(IF(AND(H1186&lt;&gt;"",H1186&gt;=129,H1186&lt;=2176),INDEX(Fields!$C$2:$C$206,MATCH(H1186-129,Fields!$D$2:$D$206,1)),""),"")</f>
        <v/>
      </c>
      <c r="L1186">
        <f>IFERROR(IF(AND(H1186&lt;&gt;"",H1186&gt;=129,H1186&lt;=2176),INDEX(Fields!$J$2:$J$206,MATCH(H1186-129,Fields!$D$2:$D$206,1)),""),"")</f>
        <v/>
      </c>
      <c r="M1186">
        <f>IFERROR(IF(AND(H1186&lt;&gt;"",H1186&gt;=129,H1186&lt;=2176),INDEX(Fields!$K$2:$K$206,MATCH(H1186-129,Fields!$D$2:$D$206,1)),""),"")</f>
        <v/>
      </c>
    </row>
    <row r="1187">
      <c r="A1187" t="n">
        <v>1185</v>
      </c>
      <c r="B1187" t="n">
        <v>0</v>
      </c>
      <c r="C1187" t="inlineStr">
        <is>
          <t>No</t>
        </is>
      </c>
      <c r="D1187">
        <f>IF(AND(B1182=1,B1183=1,B1184=1,B1185=1,B1186=1),"Yes","")</f>
        <v/>
      </c>
      <c r="E1187" t="inlineStr">
        <is>
          <t>No</t>
        </is>
      </c>
      <c r="F1187" t="inlineStr">
        <is>
          <t>No</t>
        </is>
      </c>
      <c r="G1187">
        <f>IF(F1187="Yes",1-B1187,B1187)</f>
        <v/>
      </c>
      <c r="H1187">
        <f>IF(E1187="Yes","",COUNTIFS($E$2:E1187,"No"))</f>
        <v/>
      </c>
      <c r="I1187">
        <f>IF(H1187="","",IF(H1187&lt;=128,"address",IF(H1187&lt;=600,"data1",IF(H1187&lt;=1264,"zero-run1",IF(H1187&lt;=1648,"data2",IF(H1187&lt;=2176,"zero-run2",IF(H1187&lt;=2192,"FCS","trailing")))))))</f>
        <v/>
      </c>
      <c r="J1187">
        <f>IFERROR(IF(AND(H1187&lt;&gt;"",H1187&gt;=129,H1187&lt;=2176),INDEX(Fields!$B$2:$B$206,MATCH(H1187-129,Fields!$D$2:$D$206,1)),""),"")</f>
        <v/>
      </c>
      <c r="K1187">
        <f>IFERROR(IF(AND(H1187&lt;&gt;"",H1187&gt;=129,H1187&lt;=2176),INDEX(Fields!$C$2:$C$206,MATCH(H1187-129,Fields!$D$2:$D$206,1)),""),"")</f>
        <v/>
      </c>
      <c r="L1187">
        <f>IFERROR(IF(AND(H1187&lt;&gt;"",H1187&gt;=129,H1187&lt;=2176),INDEX(Fields!$J$2:$J$206,MATCH(H1187-129,Fields!$D$2:$D$206,1)),""),"")</f>
        <v/>
      </c>
      <c r="M1187">
        <f>IFERROR(IF(AND(H1187&lt;&gt;"",H1187&gt;=129,H1187&lt;=2176),INDEX(Fields!$K$2:$K$206,MATCH(H1187-129,Fields!$D$2:$D$206,1)),""),"")</f>
        <v/>
      </c>
    </row>
    <row r="1188">
      <c r="A1188" t="n">
        <v>1186</v>
      </c>
      <c r="B1188" t="n">
        <v>0</v>
      </c>
      <c r="C1188" t="inlineStr">
        <is>
          <t>No</t>
        </is>
      </c>
      <c r="D1188">
        <f>IF(AND(B1183=1,B1184=1,B1185=1,B1186=1,B1187=1),"Yes","")</f>
        <v/>
      </c>
      <c r="E1188" t="inlineStr">
        <is>
          <t>No</t>
        </is>
      </c>
      <c r="F1188" t="inlineStr">
        <is>
          <t>No</t>
        </is>
      </c>
      <c r="G1188">
        <f>IF(F1188="Yes",1-B1188,B1188)</f>
        <v/>
      </c>
      <c r="H1188">
        <f>IF(E1188="Yes","",COUNTIFS($E$2:E1188,"No"))</f>
        <v/>
      </c>
      <c r="I1188">
        <f>IF(H1188="","",IF(H1188&lt;=128,"address",IF(H1188&lt;=600,"data1",IF(H1188&lt;=1264,"zero-run1",IF(H1188&lt;=1648,"data2",IF(H1188&lt;=2176,"zero-run2",IF(H1188&lt;=2192,"FCS","trailing")))))))</f>
        <v/>
      </c>
      <c r="J1188">
        <f>IFERROR(IF(AND(H1188&lt;&gt;"",H1188&gt;=129,H1188&lt;=2176),INDEX(Fields!$B$2:$B$206,MATCH(H1188-129,Fields!$D$2:$D$206,1)),""),"")</f>
        <v/>
      </c>
      <c r="K1188">
        <f>IFERROR(IF(AND(H1188&lt;&gt;"",H1188&gt;=129,H1188&lt;=2176),INDEX(Fields!$C$2:$C$206,MATCH(H1188-129,Fields!$D$2:$D$206,1)),""),"")</f>
        <v/>
      </c>
      <c r="L1188">
        <f>IFERROR(IF(AND(H1188&lt;&gt;"",H1188&gt;=129,H1188&lt;=2176),INDEX(Fields!$J$2:$J$206,MATCH(H1188-129,Fields!$D$2:$D$206,1)),""),"")</f>
        <v/>
      </c>
      <c r="M1188">
        <f>IFERROR(IF(AND(H1188&lt;&gt;"",H1188&gt;=129,H1188&lt;=2176),INDEX(Fields!$K$2:$K$206,MATCH(H1188-129,Fields!$D$2:$D$206,1)),""),"")</f>
        <v/>
      </c>
    </row>
    <row r="1189">
      <c r="A1189" t="n">
        <v>1187</v>
      </c>
      <c r="B1189" t="n">
        <v>0</v>
      </c>
      <c r="C1189" t="inlineStr">
        <is>
          <t>No</t>
        </is>
      </c>
      <c r="D1189">
        <f>IF(AND(B1184=1,B1185=1,B1186=1,B1187=1,B1188=1),"Yes","")</f>
        <v/>
      </c>
      <c r="E1189" t="inlineStr">
        <is>
          <t>No</t>
        </is>
      </c>
      <c r="F1189" t="inlineStr">
        <is>
          <t>No</t>
        </is>
      </c>
      <c r="G1189">
        <f>IF(F1189="Yes",1-B1189,B1189)</f>
        <v/>
      </c>
      <c r="H1189">
        <f>IF(E1189="Yes","",COUNTIFS($E$2:E1189,"No"))</f>
        <v/>
      </c>
      <c r="I1189">
        <f>IF(H1189="","",IF(H1189&lt;=128,"address",IF(H1189&lt;=600,"data1",IF(H1189&lt;=1264,"zero-run1",IF(H1189&lt;=1648,"data2",IF(H1189&lt;=2176,"zero-run2",IF(H1189&lt;=2192,"FCS","trailing")))))))</f>
        <v/>
      </c>
      <c r="J1189">
        <f>IFERROR(IF(AND(H1189&lt;&gt;"",H1189&gt;=129,H1189&lt;=2176),INDEX(Fields!$B$2:$B$206,MATCH(H1189-129,Fields!$D$2:$D$206,1)),""),"")</f>
        <v/>
      </c>
      <c r="K1189">
        <f>IFERROR(IF(AND(H1189&lt;&gt;"",H1189&gt;=129,H1189&lt;=2176),INDEX(Fields!$C$2:$C$206,MATCH(H1189-129,Fields!$D$2:$D$206,1)),""),"")</f>
        <v/>
      </c>
      <c r="L1189">
        <f>IFERROR(IF(AND(H1189&lt;&gt;"",H1189&gt;=129,H1189&lt;=2176),INDEX(Fields!$J$2:$J$206,MATCH(H1189-129,Fields!$D$2:$D$206,1)),""),"")</f>
        <v/>
      </c>
      <c r="M1189">
        <f>IFERROR(IF(AND(H1189&lt;&gt;"",H1189&gt;=129,H1189&lt;=2176),INDEX(Fields!$K$2:$K$206,MATCH(H1189-129,Fields!$D$2:$D$206,1)),""),"")</f>
        <v/>
      </c>
    </row>
    <row r="1190">
      <c r="A1190" t="n">
        <v>1188</v>
      </c>
      <c r="B1190" t="n">
        <v>0</v>
      </c>
      <c r="C1190" t="inlineStr">
        <is>
          <t>No</t>
        </is>
      </c>
      <c r="D1190">
        <f>IF(AND(B1185=1,B1186=1,B1187=1,B1188=1,B1189=1),"Yes","")</f>
        <v/>
      </c>
      <c r="E1190" t="inlineStr">
        <is>
          <t>No</t>
        </is>
      </c>
      <c r="F1190" t="inlineStr">
        <is>
          <t>No</t>
        </is>
      </c>
      <c r="G1190">
        <f>IF(F1190="Yes",1-B1190,B1190)</f>
        <v/>
      </c>
      <c r="H1190">
        <f>IF(E1190="Yes","",COUNTIFS($E$2:E1190,"No"))</f>
        <v/>
      </c>
      <c r="I1190">
        <f>IF(H1190="","",IF(H1190&lt;=128,"address",IF(H1190&lt;=600,"data1",IF(H1190&lt;=1264,"zero-run1",IF(H1190&lt;=1648,"data2",IF(H1190&lt;=2176,"zero-run2",IF(H1190&lt;=2192,"FCS","trailing")))))))</f>
        <v/>
      </c>
      <c r="J1190">
        <f>IFERROR(IF(AND(H1190&lt;&gt;"",H1190&gt;=129,H1190&lt;=2176),INDEX(Fields!$B$2:$B$206,MATCH(H1190-129,Fields!$D$2:$D$206,1)),""),"")</f>
        <v/>
      </c>
      <c r="K1190">
        <f>IFERROR(IF(AND(H1190&lt;&gt;"",H1190&gt;=129,H1190&lt;=2176),INDEX(Fields!$C$2:$C$206,MATCH(H1190-129,Fields!$D$2:$D$206,1)),""),"")</f>
        <v/>
      </c>
      <c r="L1190">
        <f>IFERROR(IF(AND(H1190&lt;&gt;"",H1190&gt;=129,H1190&lt;=2176),INDEX(Fields!$J$2:$J$206,MATCH(H1190-129,Fields!$D$2:$D$206,1)),""),"")</f>
        <v/>
      </c>
      <c r="M1190">
        <f>IFERROR(IF(AND(H1190&lt;&gt;"",H1190&gt;=129,H1190&lt;=2176),INDEX(Fields!$K$2:$K$206,MATCH(H1190-129,Fields!$D$2:$D$206,1)),""),"")</f>
        <v/>
      </c>
    </row>
    <row r="1191">
      <c r="A1191" t="n">
        <v>1189</v>
      </c>
      <c r="B1191" t="n">
        <v>0</v>
      </c>
      <c r="C1191" t="inlineStr">
        <is>
          <t>No</t>
        </is>
      </c>
      <c r="D1191">
        <f>IF(AND(B1186=1,B1187=1,B1188=1,B1189=1,B1190=1),"Yes","")</f>
        <v/>
      </c>
      <c r="E1191" t="inlineStr">
        <is>
          <t>No</t>
        </is>
      </c>
      <c r="F1191" t="inlineStr">
        <is>
          <t>No</t>
        </is>
      </c>
      <c r="G1191">
        <f>IF(F1191="Yes",1-B1191,B1191)</f>
        <v/>
      </c>
      <c r="H1191">
        <f>IF(E1191="Yes","",COUNTIFS($E$2:E1191,"No"))</f>
        <v/>
      </c>
      <c r="I1191">
        <f>IF(H1191="","",IF(H1191&lt;=128,"address",IF(H1191&lt;=600,"data1",IF(H1191&lt;=1264,"zero-run1",IF(H1191&lt;=1648,"data2",IF(H1191&lt;=2176,"zero-run2",IF(H1191&lt;=2192,"FCS","trailing")))))))</f>
        <v/>
      </c>
      <c r="J1191">
        <f>IFERROR(IF(AND(H1191&lt;&gt;"",H1191&gt;=129,H1191&lt;=2176),INDEX(Fields!$B$2:$B$206,MATCH(H1191-129,Fields!$D$2:$D$206,1)),""),"")</f>
        <v/>
      </c>
      <c r="K1191">
        <f>IFERROR(IF(AND(H1191&lt;&gt;"",H1191&gt;=129,H1191&lt;=2176),INDEX(Fields!$C$2:$C$206,MATCH(H1191-129,Fields!$D$2:$D$206,1)),""),"")</f>
        <v/>
      </c>
      <c r="L1191">
        <f>IFERROR(IF(AND(H1191&lt;&gt;"",H1191&gt;=129,H1191&lt;=2176),INDEX(Fields!$J$2:$J$206,MATCH(H1191-129,Fields!$D$2:$D$206,1)),""),"")</f>
        <v/>
      </c>
      <c r="M1191">
        <f>IFERROR(IF(AND(H1191&lt;&gt;"",H1191&gt;=129,H1191&lt;=2176),INDEX(Fields!$K$2:$K$206,MATCH(H1191-129,Fields!$D$2:$D$206,1)),""),"")</f>
        <v/>
      </c>
    </row>
    <row r="1192">
      <c r="A1192" t="n">
        <v>1190</v>
      </c>
      <c r="B1192" t="n">
        <v>0</v>
      </c>
      <c r="C1192" t="inlineStr">
        <is>
          <t>No</t>
        </is>
      </c>
      <c r="D1192">
        <f>IF(AND(B1187=1,B1188=1,B1189=1,B1190=1,B1191=1),"Yes","")</f>
        <v/>
      </c>
      <c r="E1192" t="inlineStr">
        <is>
          <t>No</t>
        </is>
      </c>
      <c r="F1192" t="inlineStr">
        <is>
          <t>No</t>
        </is>
      </c>
      <c r="G1192">
        <f>IF(F1192="Yes",1-B1192,B1192)</f>
        <v/>
      </c>
      <c r="H1192">
        <f>IF(E1192="Yes","",COUNTIFS($E$2:E1192,"No"))</f>
        <v/>
      </c>
      <c r="I1192">
        <f>IF(H1192="","",IF(H1192&lt;=128,"address",IF(H1192&lt;=600,"data1",IF(H1192&lt;=1264,"zero-run1",IF(H1192&lt;=1648,"data2",IF(H1192&lt;=2176,"zero-run2",IF(H1192&lt;=2192,"FCS","trailing")))))))</f>
        <v/>
      </c>
      <c r="J1192">
        <f>IFERROR(IF(AND(H1192&lt;&gt;"",H1192&gt;=129,H1192&lt;=2176),INDEX(Fields!$B$2:$B$206,MATCH(H1192-129,Fields!$D$2:$D$206,1)),""),"")</f>
        <v/>
      </c>
      <c r="K1192">
        <f>IFERROR(IF(AND(H1192&lt;&gt;"",H1192&gt;=129,H1192&lt;=2176),INDEX(Fields!$C$2:$C$206,MATCH(H1192-129,Fields!$D$2:$D$206,1)),""),"")</f>
        <v/>
      </c>
      <c r="L1192">
        <f>IFERROR(IF(AND(H1192&lt;&gt;"",H1192&gt;=129,H1192&lt;=2176),INDEX(Fields!$J$2:$J$206,MATCH(H1192-129,Fields!$D$2:$D$206,1)),""),"")</f>
        <v/>
      </c>
      <c r="M1192">
        <f>IFERROR(IF(AND(H1192&lt;&gt;"",H1192&gt;=129,H1192&lt;=2176),INDEX(Fields!$K$2:$K$206,MATCH(H1192-129,Fields!$D$2:$D$206,1)),""),"")</f>
        <v/>
      </c>
    </row>
    <row r="1193">
      <c r="A1193" t="n">
        <v>1191</v>
      </c>
      <c r="B1193" t="n">
        <v>0</v>
      </c>
      <c r="C1193" t="inlineStr">
        <is>
          <t>No</t>
        </is>
      </c>
      <c r="D1193">
        <f>IF(AND(B1188=1,B1189=1,B1190=1,B1191=1,B1192=1),"Yes","")</f>
        <v/>
      </c>
      <c r="E1193" t="inlineStr">
        <is>
          <t>No</t>
        </is>
      </c>
      <c r="F1193" t="inlineStr">
        <is>
          <t>No</t>
        </is>
      </c>
      <c r="G1193">
        <f>IF(F1193="Yes",1-B1193,B1193)</f>
        <v/>
      </c>
      <c r="H1193">
        <f>IF(E1193="Yes","",COUNTIFS($E$2:E1193,"No"))</f>
        <v/>
      </c>
      <c r="I1193">
        <f>IF(H1193="","",IF(H1193&lt;=128,"address",IF(H1193&lt;=600,"data1",IF(H1193&lt;=1264,"zero-run1",IF(H1193&lt;=1648,"data2",IF(H1193&lt;=2176,"zero-run2",IF(H1193&lt;=2192,"FCS","trailing")))))))</f>
        <v/>
      </c>
      <c r="J1193">
        <f>IFERROR(IF(AND(H1193&lt;&gt;"",H1193&gt;=129,H1193&lt;=2176),INDEX(Fields!$B$2:$B$206,MATCH(H1193-129,Fields!$D$2:$D$206,1)),""),"")</f>
        <v/>
      </c>
      <c r="K1193">
        <f>IFERROR(IF(AND(H1193&lt;&gt;"",H1193&gt;=129,H1193&lt;=2176),INDEX(Fields!$C$2:$C$206,MATCH(H1193-129,Fields!$D$2:$D$206,1)),""),"")</f>
        <v/>
      </c>
      <c r="L1193">
        <f>IFERROR(IF(AND(H1193&lt;&gt;"",H1193&gt;=129,H1193&lt;=2176),INDEX(Fields!$J$2:$J$206,MATCH(H1193-129,Fields!$D$2:$D$206,1)),""),"")</f>
        <v/>
      </c>
      <c r="M1193">
        <f>IFERROR(IF(AND(H1193&lt;&gt;"",H1193&gt;=129,H1193&lt;=2176),INDEX(Fields!$K$2:$K$206,MATCH(H1193-129,Fields!$D$2:$D$206,1)),""),"")</f>
        <v/>
      </c>
    </row>
    <row r="1194">
      <c r="A1194" t="n">
        <v>1192</v>
      </c>
      <c r="B1194" t="n">
        <v>0</v>
      </c>
      <c r="C1194" t="inlineStr">
        <is>
          <t>No</t>
        </is>
      </c>
      <c r="D1194">
        <f>IF(AND(B1189=1,B1190=1,B1191=1,B1192=1,B1193=1),"Yes","")</f>
        <v/>
      </c>
      <c r="E1194" t="inlineStr">
        <is>
          <t>No</t>
        </is>
      </c>
      <c r="F1194" t="inlineStr">
        <is>
          <t>No</t>
        </is>
      </c>
      <c r="G1194">
        <f>IF(F1194="Yes",1-B1194,B1194)</f>
        <v/>
      </c>
      <c r="H1194">
        <f>IF(E1194="Yes","",COUNTIFS($E$2:E1194,"No"))</f>
        <v/>
      </c>
      <c r="I1194">
        <f>IF(H1194="","",IF(H1194&lt;=128,"address",IF(H1194&lt;=600,"data1",IF(H1194&lt;=1264,"zero-run1",IF(H1194&lt;=1648,"data2",IF(H1194&lt;=2176,"zero-run2",IF(H1194&lt;=2192,"FCS","trailing")))))))</f>
        <v/>
      </c>
      <c r="J1194">
        <f>IFERROR(IF(AND(H1194&lt;&gt;"",H1194&gt;=129,H1194&lt;=2176),INDEX(Fields!$B$2:$B$206,MATCH(H1194-129,Fields!$D$2:$D$206,1)),""),"")</f>
        <v/>
      </c>
      <c r="K1194">
        <f>IFERROR(IF(AND(H1194&lt;&gt;"",H1194&gt;=129,H1194&lt;=2176),INDEX(Fields!$C$2:$C$206,MATCH(H1194-129,Fields!$D$2:$D$206,1)),""),"")</f>
        <v/>
      </c>
      <c r="L1194">
        <f>IFERROR(IF(AND(H1194&lt;&gt;"",H1194&gt;=129,H1194&lt;=2176),INDEX(Fields!$J$2:$J$206,MATCH(H1194-129,Fields!$D$2:$D$206,1)),""),"")</f>
        <v/>
      </c>
      <c r="M1194">
        <f>IFERROR(IF(AND(H1194&lt;&gt;"",H1194&gt;=129,H1194&lt;=2176),INDEX(Fields!$K$2:$K$206,MATCH(H1194-129,Fields!$D$2:$D$206,1)),""),"")</f>
        <v/>
      </c>
    </row>
    <row r="1195">
      <c r="A1195" t="n">
        <v>1193</v>
      </c>
      <c r="B1195" t="n">
        <v>0</v>
      </c>
      <c r="C1195" t="inlineStr">
        <is>
          <t>No</t>
        </is>
      </c>
      <c r="D1195">
        <f>IF(AND(B1190=1,B1191=1,B1192=1,B1193=1,B1194=1),"Yes","")</f>
        <v/>
      </c>
      <c r="E1195" t="inlineStr">
        <is>
          <t>No</t>
        </is>
      </c>
      <c r="F1195" t="inlineStr">
        <is>
          <t>No</t>
        </is>
      </c>
      <c r="G1195">
        <f>IF(F1195="Yes",1-B1195,B1195)</f>
        <v/>
      </c>
      <c r="H1195">
        <f>IF(E1195="Yes","",COUNTIFS($E$2:E1195,"No"))</f>
        <v/>
      </c>
      <c r="I1195">
        <f>IF(H1195="","",IF(H1195&lt;=128,"address",IF(H1195&lt;=600,"data1",IF(H1195&lt;=1264,"zero-run1",IF(H1195&lt;=1648,"data2",IF(H1195&lt;=2176,"zero-run2",IF(H1195&lt;=2192,"FCS","trailing")))))))</f>
        <v/>
      </c>
      <c r="J1195">
        <f>IFERROR(IF(AND(H1195&lt;&gt;"",H1195&gt;=129,H1195&lt;=2176),INDEX(Fields!$B$2:$B$206,MATCH(H1195-129,Fields!$D$2:$D$206,1)),""),"")</f>
        <v/>
      </c>
      <c r="K1195">
        <f>IFERROR(IF(AND(H1195&lt;&gt;"",H1195&gt;=129,H1195&lt;=2176),INDEX(Fields!$C$2:$C$206,MATCH(H1195-129,Fields!$D$2:$D$206,1)),""),"")</f>
        <v/>
      </c>
      <c r="L1195">
        <f>IFERROR(IF(AND(H1195&lt;&gt;"",H1195&gt;=129,H1195&lt;=2176),INDEX(Fields!$J$2:$J$206,MATCH(H1195-129,Fields!$D$2:$D$206,1)),""),"")</f>
        <v/>
      </c>
      <c r="M1195">
        <f>IFERROR(IF(AND(H1195&lt;&gt;"",H1195&gt;=129,H1195&lt;=2176),INDEX(Fields!$K$2:$K$206,MATCH(H1195-129,Fields!$D$2:$D$206,1)),""),"")</f>
        <v/>
      </c>
    </row>
    <row r="1196">
      <c r="A1196" t="n">
        <v>1194</v>
      </c>
      <c r="B1196" t="n">
        <v>0</v>
      </c>
      <c r="C1196" t="inlineStr">
        <is>
          <t>No</t>
        </is>
      </c>
      <c r="D1196">
        <f>IF(AND(B1191=1,B1192=1,B1193=1,B1194=1,B1195=1),"Yes","")</f>
        <v/>
      </c>
      <c r="E1196" t="inlineStr">
        <is>
          <t>No</t>
        </is>
      </c>
      <c r="F1196" t="inlineStr">
        <is>
          <t>No</t>
        </is>
      </c>
      <c r="G1196">
        <f>IF(F1196="Yes",1-B1196,B1196)</f>
        <v/>
      </c>
      <c r="H1196">
        <f>IF(E1196="Yes","",COUNTIFS($E$2:E1196,"No"))</f>
        <v/>
      </c>
      <c r="I1196">
        <f>IF(H1196="","",IF(H1196&lt;=128,"address",IF(H1196&lt;=600,"data1",IF(H1196&lt;=1264,"zero-run1",IF(H1196&lt;=1648,"data2",IF(H1196&lt;=2176,"zero-run2",IF(H1196&lt;=2192,"FCS","trailing")))))))</f>
        <v/>
      </c>
      <c r="J1196">
        <f>IFERROR(IF(AND(H1196&lt;&gt;"",H1196&gt;=129,H1196&lt;=2176),INDEX(Fields!$B$2:$B$206,MATCH(H1196-129,Fields!$D$2:$D$206,1)),""),"")</f>
        <v/>
      </c>
      <c r="K1196">
        <f>IFERROR(IF(AND(H1196&lt;&gt;"",H1196&gt;=129,H1196&lt;=2176),INDEX(Fields!$C$2:$C$206,MATCH(H1196-129,Fields!$D$2:$D$206,1)),""),"")</f>
        <v/>
      </c>
      <c r="L1196">
        <f>IFERROR(IF(AND(H1196&lt;&gt;"",H1196&gt;=129,H1196&lt;=2176),INDEX(Fields!$J$2:$J$206,MATCH(H1196-129,Fields!$D$2:$D$206,1)),""),"")</f>
        <v/>
      </c>
      <c r="M1196">
        <f>IFERROR(IF(AND(H1196&lt;&gt;"",H1196&gt;=129,H1196&lt;=2176),INDEX(Fields!$K$2:$K$206,MATCH(H1196-129,Fields!$D$2:$D$206,1)),""),"")</f>
        <v/>
      </c>
    </row>
    <row r="1197">
      <c r="A1197" t="n">
        <v>1195</v>
      </c>
      <c r="B1197" t="n">
        <v>0</v>
      </c>
      <c r="C1197" t="inlineStr">
        <is>
          <t>No</t>
        </is>
      </c>
      <c r="D1197">
        <f>IF(AND(B1192=1,B1193=1,B1194=1,B1195=1,B1196=1),"Yes","")</f>
        <v/>
      </c>
      <c r="E1197" t="inlineStr">
        <is>
          <t>No</t>
        </is>
      </c>
      <c r="F1197" t="inlineStr">
        <is>
          <t>No</t>
        </is>
      </c>
      <c r="G1197">
        <f>IF(F1197="Yes",1-B1197,B1197)</f>
        <v/>
      </c>
      <c r="H1197">
        <f>IF(E1197="Yes","",COUNTIFS($E$2:E1197,"No"))</f>
        <v/>
      </c>
      <c r="I1197">
        <f>IF(H1197="","",IF(H1197&lt;=128,"address",IF(H1197&lt;=600,"data1",IF(H1197&lt;=1264,"zero-run1",IF(H1197&lt;=1648,"data2",IF(H1197&lt;=2176,"zero-run2",IF(H1197&lt;=2192,"FCS","trailing")))))))</f>
        <v/>
      </c>
      <c r="J1197">
        <f>IFERROR(IF(AND(H1197&lt;&gt;"",H1197&gt;=129,H1197&lt;=2176),INDEX(Fields!$B$2:$B$206,MATCH(H1197-129,Fields!$D$2:$D$206,1)),""),"")</f>
        <v/>
      </c>
      <c r="K1197">
        <f>IFERROR(IF(AND(H1197&lt;&gt;"",H1197&gt;=129,H1197&lt;=2176),INDEX(Fields!$C$2:$C$206,MATCH(H1197-129,Fields!$D$2:$D$206,1)),""),"")</f>
        <v/>
      </c>
      <c r="L1197">
        <f>IFERROR(IF(AND(H1197&lt;&gt;"",H1197&gt;=129,H1197&lt;=2176),INDEX(Fields!$J$2:$J$206,MATCH(H1197-129,Fields!$D$2:$D$206,1)),""),"")</f>
        <v/>
      </c>
      <c r="M1197">
        <f>IFERROR(IF(AND(H1197&lt;&gt;"",H1197&gt;=129,H1197&lt;=2176),INDEX(Fields!$K$2:$K$206,MATCH(H1197-129,Fields!$D$2:$D$206,1)),""),"")</f>
        <v/>
      </c>
    </row>
    <row r="1198">
      <c r="A1198" t="n">
        <v>1196</v>
      </c>
      <c r="B1198" t="n">
        <v>0</v>
      </c>
      <c r="C1198" t="inlineStr">
        <is>
          <t>No</t>
        </is>
      </c>
      <c r="D1198">
        <f>IF(AND(B1193=1,B1194=1,B1195=1,B1196=1,B1197=1),"Yes","")</f>
        <v/>
      </c>
      <c r="E1198" t="inlineStr">
        <is>
          <t>No</t>
        </is>
      </c>
      <c r="F1198" t="inlineStr">
        <is>
          <t>No</t>
        </is>
      </c>
      <c r="G1198">
        <f>IF(F1198="Yes",1-B1198,B1198)</f>
        <v/>
      </c>
      <c r="H1198">
        <f>IF(E1198="Yes","",COUNTIFS($E$2:E1198,"No"))</f>
        <v/>
      </c>
      <c r="I1198">
        <f>IF(H1198="","",IF(H1198&lt;=128,"address",IF(H1198&lt;=600,"data1",IF(H1198&lt;=1264,"zero-run1",IF(H1198&lt;=1648,"data2",IF(H1198&lt;=2176,"zero-run2",IF(H1198&lt;=2192,"FCS","trailing")))))))</f>
        <v/>
      </c>
      <c r="J1198">
        <f>IFERROR(IF(AND(H1198&lt;&gt;"",H1198&gt;=129,H1198&lt;=2176),INDEX(Fields!$B$2:$B$206,MATCH(H1198-129,Fields!$D$2:$D$206,1)),""),"")</f>
        <v/>
      </c>
      <c r="K1198">
        <f>IFERROR(IF(AND(H1198&lt;&gt;"",H1198&gt;=129,H1198&lt;=2176),INDEX(Fields!$C$2:$C$206,MATCH(H1198-129,Fields!$D$2:$D$206,1)),""),"")</f>
        <v/>
      </c>
      <c r="L1198">
        <f>IFERROR(IF(AND(H1198&lt;&gt;"",H1198&gt;=129,H1198&lt;=2176),INDEX(Fields!$J$2:$J$206,MATCH(H1198-129,Fields!$D$2:$D$206,1)),""),"")</f>
        <v/>
      </c>
      <c r="M1198">
        <f>IFERROR(IF(AND(H1198&lt;&gt;"",H1198&gt;=129,H1198&lt;=2176),INDEX(Fields!$K$2:$K$206,MATCH(H1198-129,Fields!$D$2:$D$206,1)),""),"")</f>
        <v/>
      </c>
    </row>
    <row r="1199">
      <c r="A1199" t="n">
        <v>1197</v>
      </c>
      <c r="B1199" t="n">
        <v>0</v>
      </c>
      <c r="C1199" t="inlineStr">
        <is>
          <t>No</t>
        </is>
      </c>
      <c r="D1199">
        <f>IF(AND(B1194=1,B1195=1,B1196=1,B1197=1,B1198=1),"Yes","")</f>
        <v/>
      </c>
      <c r="E1199" t="inlineStr">
        <is>
          <t>No</t>
        </is>
      </c>
      <c r="F1199" t="inlineStr">
        <is>
          <t>No</t>
        </is>
      </c>
      <c r="G1199">
        <f>IF(F1199="Yes",1-B1199,B1199)</f>
        <v/>
      </c>
      <c r="H1199">
        <f>IF(E1199="Yes","",COUNTIFS($E$2:E1199,"No"))</f>
        <v/>
      </c>
      <c r="I1199">
        <f>IF(H1199="","",IF(H1199&lt;=128,"address",IF(H1199&lt;=600,"data1",IF(H1199&lt;=1264,"zero-run1",IF(H1199&lt;=1648,"data2",IF(H1199&lt;=2176,"zero-run2",IF(H1199&lt;=2192,"FCS","trailing")))))))</f>
        <v/>
      </c>
      <c r="J1199">
        <f>IFERROR(IF(AND(H1199&lt;&gt;"",H1199&gt;=129,H1199&lt;=2176),INDEX(Fields!$B$2:$B$206,MATCH(H1199-129,Fields!$D$2:$D$206,1)),""),"")</f>
        <v/>
      </c>
      <c r="K1199">
        <f>IFERROR(IF(AND(H1199&lt;&gt;"",H1199&gt;=129,H1199&lt;=2176),INDEX(Fields!$C$2:$C$206,MATCH(H1199-129,Fields!$D$2:$D$206,1)),""),"")</f>
        <v/>
      </c>
      <c r="L1199">
        <f>IFERROR(IF(AND(H1199&lt;&gt;"",H1199&gt;=129,H1199&lt;=2176),INDEX(Fields!$J$2:$J$206,MATCH(H1199-129,Fields!$D$2:$D$206,1)),""),"")</f>
        <v/>
      </c>
      <c r="M1199">
        <f>IFERROR(IF(AND(H1199&lt;&gt;"",H1199&gt;=129,H1199&lt;=2176),INDEX(Fields!$K$2:$K$206,MATCH(H1199-129,Fields!$D$2:$D$206,1)),""),"")</f>
        <v/>
      </c>
    </row>
    <row r="1200">
      <c r="A1200" t="n">
        <v>1198</v>
      </c>
      <c r="B1200" t="n">
        <v>0</v>
      </c>
      <c r="C1200" t="inlineStr">
        <is>
          <t>No</t>
        </is>
      </c>
      <c r="D1200">
        <f>IF(AND(B1195=1,B1196=1,B1197=1,B1198=1,B1199=1),"Yes","")</f>
        <v/>
      </c>
      <c r="E1200" t="inlineStr">
        <is>
          <t>No</t>
        </is>
      </c>
      <c r="F1200" t="inlineStr">
        <is>
          <t>No</t>
        </is>
      </c>
      <c r="G1200">
        <f>IF(F1200="Yes",1-B1200,B1200)</f>
        <v/>
      </c>
      <c r="H1200">
        <f>IF(E1200="Yes","",COUNTIFS($E$2:E1200,"No"))</f>
        <v/>
      </c>
      <c r="I1200">
        <f>IF(H1200="","",IF(H1200&lt;=128,"address",IF(H1200&lt;=600,"data1",IF(H1200&lt;=1264,"zero-run1",IF(H1200&lt;=1648,"data2",IF(H1200&lt;=2176,"zero-run2",IF(H1200&lt;=2192,"FCS","trailing")))))))</f>
        <v/>
      </c>
      <c r="J1200">
        <f>IFERROR(IF(AND(H1200&lt;&gt;"",H1200&gt;=129,H1200&lt;=2176),INDEX(Fields!$B$2:$B$206,MATCH(H1200-129,Fields!$D$2:$D$206,1)),""),"")</f>
        <v/>
      </c>
      <c r="K1200">
        <f>IFERROR(IF(AND(H1200&lt;&gt;"",H1200&gt;=129,H1200&lt;=2176),INDEX(Fields!$C$2:$C$206,MATCH(H1200-129,Fields!$D$2:$D$206,1)),""),"")</f>
        <v/>
      </c>
      <c r="L1200">
        <f>IFERROR(IF(AND(H1200&lt;&gt;"",H1200&gt;=129,H1200&lt;=2176),INDEX(Fields!$J$2:$J$206,MATCH(H1200-129,Fields!$D$2:$D$206,1)),""),"")</f>
        <v/>
      </c>
      <c r="M1200">
        <f>IFERROR(IF(AND(H1200&lt;&gt;"",H1200&gt;=129,H1200&lt;=2176),INDEX(Fields!$K$2:$K$206,MATCH(H1200-129,Fields!$D$2:$D$206,1)),""),"")</f>
        <v/>
      </c>
    </row>
    <row r="1201">
      <c r="A1201" t="n">
        <v>1199</v>
      </c>
      <c r="B1201" t="n">
        <v>0</v>
      </c>
      <c r="C1201" t="inlineStr">
        <is>
          <t>No</t>
        </is>
      </c>
      <c r="D1201">
        <f>IF(AND(B1196=1,B1197=1,B1198=1,B1199=1,B1200=1),"Yes","")</f>
        <v/>
      </c>
      <c r="E1201" t="inlineStr">
        <is>
          <t>No</t>
        </is>
      </c>
      <c r="F1201" t="inlineStr">
        <is>
          <t>No</t>
        </is>
      </c>
      <c r="G1201">
        <f>IF(F1201="Yes",1-B1201,B1201)</f>
        <v/>
      </c>
      <c r="H1201">
        <f>IF(E1201="Yes","",COUNTIFS($E$2:E1201,"No"))</f>
        <v/>
      </c>
      <c r="I1201">
        <f>IF(H1201="","",IF(H1201&lt;=128,"address",IF(H1201&lt;=600,"data1",IF(H1201&lt;=1264,"zero-run1",IF(H1201&lt;=1648,"data2",IF(H1201&lt;=2176,"zero-run2",IF(H1201&lt;=2192,"FCS","trailing")))))))</f>
        <v/>
      </c>
      <c r="J1201">
        <f>IFERROR(IF(AND(H1201&lt;&gt;"",H1201&gt;=129,H1201&lt;=2176),INDEX(Fields!$B$2:$B$206,MATCH(H1201-129,Fields!$D$2:$D$206,1)),""),"")</f>
        <v/>
      </c>
      <c r="K1201">
        <f>IFERROR(IF(AND(H1201&lt;&gt;"",H1201&gt;=129,H1201&lt;=2176),INDEX(Fields!$C$2:$C$206,MATCH(H1201-129,Fields!$D$2:$D$206,1)),""),"")</f>
        <v/>
      </c>
      <c r="L1201">
        <f>IFERROR(IF(AND(H1201&lt;&gt;"",H1201&gt;=129,H1201&lt;=2176),INDEX(Fields!$J$2:$J$206,MATCH(H1201-129,Fields!$D$2:$D$206,1)),""),"")</f>
        <v/>
      </c>
      <c r="M1201">
        <f>IFERROR(IF(AND(H1201&lt;&gt;"",H1201&gt;=129,H1201&lt;=2176),INDEX(Fields!$K$2:$K$206,MATCH(H1201-129,Fields!$D$2:$D$206,1)),""),"")</f>
        <v/>
      </c>
    </row>
    <row r="1202">
      <c r="A1202" t="n">
        <v>1200</v>
      </c>
      <c r="B1202" t="n">
        <v>0</v>
      </c>
      <c r="C1202" t="inlineStr">
        <is>
          <t>No</t>
        </is>
      </c>
      <c r="D1202">
        <f>IF(AND(B1197=1,B1198=1,B1199=1,B1200=1,B1201=1),"Yes","")</f>
        <v/>
      </c>
      <c r="E1202" t="inlineStr">
        <is>
          <t>No</t>
        </is>
      </c>
      <c r="F1202" t="inlineStr">
        <is>
          <t>No</t>
        </is>
      </c>
      <c r="G1202">
        <f>IF(F1202="Yes",1-B1202,B1202)</f>
        <v/>
      </c>
      <c r="H1202">
        <f>IF(E1202="Yes","",COUNTIFS($E$2:E1202,"No"))</f>
        <v/>
      </c>
      <c r="I1202">
        <f>IF(H1202="","",IF(H1202&lt;=128,"address",IF(H1202&lt;=600,"data1",IF(H1202&lt;=1264,"zero-run1",IF(H1202&lt;=1648,"data2",IF(H1202&lt;=2176,"zero-run2",IF(H1202&lt;=2192,"FCS","trailing")))))))</f>
        <v/>
      </c>
      <c r="J1202">
        <f>IFERROR(IF(AND(H1202&lt;&gt;"",H1202&gt;=129,H1202&lt;=2176),INDEX(Fields!$B$2:$B$206,MATCH(H1202-129,Fields!$D$2:$D$206,1)),""),"")</f>
        <v/>
      </c>
      <c r="K1202">
        <f>IFERROR(IF(AND(H1202&lt;&gt;"",H1202&gt;=129,H1202&lt;=2176),INDEX(Fields!$C$2:$C$206,MATCH(H1202-129,Fields!$D$2:$D$206,1)),""),"")</f>
        <v/>
      </c>
      <c r="L1202">
        <f>IFERROR(IF(AND(H1202&lt;&gt;"",H1202&gt;=129,H1202&lt;=2176),INDEX(Fields!$J$2:$J$206,MATCH(H1202-129,Fields!$D$2:$D$206,1)),""),"")</f>
        <v/>
      </c>
      <c r="M1202">
        <f>IFERROR(IF(AND(H1202&lt;&gt;"",H1202&gt;=129,H1202&lt;=2176),INDEX(Fields!$K$2:$K$206,MATCH(H1202-129,Fields!$D$2:$D$206,1)),""),"")</f>
        <v/>
      </c>
    </row>
    <row r="1203">
      <c r="A1203" t="n">
        <v>1201</v>
      </c>
      <c r="B1203" t="n">
        <v>0</v>
      </c>
      <c r="C1203" t="inlineStr">
        <is>
          <t>No</t>
        </is>
      </c>
      <c r="D1203">
        <f>IF(AND(B1198=1,B1199=1,B1200=1,B1201=1,B1202=1),"Yes","")</f>
        <v/>
      </c>
      <c r="E1203" t="inlineStr">
        <is>
          <t>No</t>
        </is>
      </c>
      <c r="F1203" t="inlineStr">
        <is>
          <t>No</t>
        </is>
      </c>
      <c r="G1203">
        <f>IF(F1203="Yes",1-B1203,B1203)</f>
        <v/>
      </c>
      <c r="H1203">
        <f>IF(E1203="Yes","",COUNTIFS($E$2:E1203,"No"))</f>
        <v/>
      </c>
      <c r="I1203">
        <f>IF(H1203="","",IF(H1203&lt;=128,"address",IF(H1203&lt;=600,"data1",IF(H1203&lt;=1264,"zero-run1",IF(H1203&lt;=1648,"data2",IF(H1203&lt;=2176,"zero-run2",IF(H1203&lt;=2192,"FCS","trailing")))))))</f>
        <v/>
      </c>
      <c r="J1203">
        <f>IFERROR(IF(AND(H1203&lt;&gt;"",H1203&gt;=129,H1203&lt;=2176),INDEX(Fields!$B$2:$B$206,MATCH(H1203-129,Fields!$D$2:$D$206,1)),""),"")</f>
        <v/>
      </c>
      <c r="K1203">
        <f>IFERROR(IF(AND(H1203&lt;&gt;"",H1203&gt;=129,H1203&lt;=2176),INDEX(Fields!$C$2:$C$206,MATCH(H1203-129,Fields!$D$2:$D$206,1)),""),"")</f>
        <v/>
      </c>
      <c r="L1203">
        <f>IFERROR(IF(AND(H1203&lt;&gt;"",H1203&gt;=129,H1203&lt;=2176),INDEX(Fields!$J$2:$J$206,MATCH(H1203-129,Fields!$D$2:$D$206,1)),""),"")</f>
        <v/>
      </c>
      <c r="M1203">
        <f>IFERROR(IF(AND(H1203&lt;&gt;"",H1203&gt;=129,H1203&lt;=2176),INDEX(Fields!$K$2:$K$206,MATCH(H1203-129,Fields!$D$2:$D$206,1)),""),"")</f>
        <v/>
      </c>
    </row>
    <row r="1204">
      <c r="A1204" t="n">
        <v>1202</v>
      </c>
      <c r="B1204" t="n">
        <v>0</v>
      </c>
      <c r="C1204" t="inlineStr">
        <is>
          <t>No</t>
        </is>
      </c>
      <c r="D1204">
        <f>IF(AND(B1199=1,B1200=1,B1201=1,B1202=1,B1203=1),"Yes","")</f>
        <v/>
      </c>
      <c r="E1204" t="inlineStr">
        <is>
          <t>No</t>
        </is>
      </c>
      <c r="F1204" t="inlineStr">
        <is>
          <t>No</t>
        </is>
      </c>
      <c r="G1204">
        <f>IF(F1204="Yes",1-B1204,B1204)</f>
        <v/>
      </c>
      <c r="H1204">
        <f>IF(E1204="Yes","",COUNTIFS($E$2:E1204,"No"))</f>
        <v/>
      </c>
      <c r="I1204">
        <f>IF(H1204="","",IF(H1204&lt;=128,"address",IF(H1204&lt;=600,"data1",IF(H1204&lt;=1264,"zero-run1",IF(H1204&lt;=1648,"data2",IF(H1204&lt;=2176,"zero-run2",IF(H1204&lt;=2192,"FCS","trailing")))))))</f>
        <v/>
      </c>
      <c r="J1204">
        <f>IFERROR(IF(AND(H1204&lt;&gt;"",H1204&gt;=129,H1204&lt;=2176),INDEX(Fields!$B$2:$B$206,MATCH(H1204-129,Fields!$D$2:$D$206,1)),""),"")</f>
        <v/>
      </c>
      <c r="K1204">
        <f>IFERROR(IF(AND(H1204&lt;&gt;"",H1204&gt;=129,H1204&lt;=2176),INDEX(Fields!$C$2:$C$206,MATCH(H1204-129,Fields!$D$2:$D$206,1)),""),"")</f>
        <v/>
      </c>
      <c r="L1204">
        <f>IFERROR(IF(AND(H1204&lt;&gt;"",H1204&gt;=129,H1204&lt;=2176),INDEX(Fields!$J$2:$J$206,MATCH(H1204-129,Fields!$D$2:$D$206,1)),""),"")</f>
        <v/>
      </c>
      <c r="M1204">
        <f>IFERROR(IF(AND(H1204&lt;&gt;"",H1204&gt;=129,H1204&lt;=2176),INDEX(Fields!$K$2:$K$206,MATCH(H1204-129,Fields!$D$2:$D$206,1)),""),"")</f>
        <v/>
      </c>
    </row>
    <row r="1205">
      <c r="A1205" t="n">
        <v>1203</v>
      </c>
      <c r="B1205" t="n">
        <v>0</v>
      </c>
      <c r="C1205" t="inlineStr">
        <is>
          <t>No</t>
        </is>
      </c>
      <c r="D1205">
        <f>IF(AND(B1200=1,B1201=1,B1202=1,B1203=1,B1204=1),"Yes","")</f>
        <v/>
      </c>
      <c r="E1205" t="inlineStr">
        <is>
          <t>No</t>
        </is>
      </c>
      <c r="F1205" t="inlineStr">
        <is>
          <t>No</t>
        </is>
      </c>
      <c r="G1205">
        <f>IF(F1205="Yes",1-B1205,B1205)</f>
        <v/>
      </c>
      <c r="H1205">
        <f>IF(E1205="Yes","",COUNTIFS($E$2:E1205,"No"))</f>
        <v/>
      </c>
      <c r="I1205">
        <f>IF(H1205="","",IF(H1205&lt;=128,"address",IF(H1205&lt;=600,"data1",IF(H1205&lt;=1264,"zero-run1",IF(H1205&lt;=1648,"data2",IF(H1205&lt;=2176,"zero-run2",IF(H1205&lt;=2192,"FCS","trailing")))))))</f>
        <v/>
      </c>
      <c r="J1205">
        <f>IFERROR(IF(AND(H1205&lt;&gt;"",H1205&gt;=129,H1205&lt;=2176),INDEX(Fields!$B$2:$B$206,MATCH(H1205-129,Fields!$D$2:$D$206,1)),""),"")</f>
        <v/>
      </c>
      <c r="K1205">
        <f>IFERROR(IF(AND(H1205&lt;&gt;"",H1205&gt;=129,H1205&lt;=2176),INDEX(Fields!$C$2:$C$206,MATCH(H1205-129,Fields!$D$2:$D$206,1)),""),"")</f>
        <v/>
      </c>
      <c r="L1205">
        <f>IFERROR(IF(AND(H1205&lt;&gt;"",H1205&gt;=129,H1205&lt;=2176),INDEX(Fields!$J$2:$J$206,MATCH(H1205-129,Fields!$D$2:$D$206,1)),""),"")</f>
        <v/>
      </c>
      <c r="M1205">
        <f>IFERROR(IF(AND(H1205&lt;&gt;"",H1205&gt;=129,H1205&lt;=2176),INDEX(Fields!$K$2:$K$206,MATCH(H1205-129,Fields!$D$2:$D$206,1)),""),"")</f>
        <v/>
      </c>
    </row>
    <row r="1206">
      <c r="A1206" t="n">
        <v>1204</v>
      </c>
      <c r="B1206" t="n">
        <v>0</v>
      </c>
      <c r="C1206" t="inlineStr">
        <is>
          <t>No</t>
        </is>
      </c>
      <c r="D1206">
        <f>IF(AND(B1201=1,B1202=1,B1203=1,B1204=1,B1205=1),"Yes","")</f>
        <v/>
      </c>
      <c r="E1206" t="inlineStr">
        <is>
          <t>No</t>
        </is>
      </c>
      <c r="F1206" t="inlineStr">
        <is>
          <t>No</t>
        </is>
      </c>
      <c r="G1206">
        <f>IF(F1206="Yes",1-B1206,B1206)</f>
        <v/>
      </c>
      <c r="H1206">
        <f>IF(E1206="Yes","",COUNTIFS($E$2:E1206,"No"))</f>
        <v/>
      </c>
      <c r="I1206">
        <f>IF(H1206="","",IF(H1206&lt;=128,"address",IF(H1206&lt;=600,"data1",IF(H1206&lt;=1264,"zero-run1",IF(H1206&lt;=1648,"data2",IF(H1206&lt;=2176,"zero-run2",IF(H1206&lt;=2192,"FCS","trailing")))))))</f>
        <v/>
      </c>
      <c r="J1206">
        <f>IFERROR(IF(AND(H1206&lt;&gt;"",H1206&gt;=129,H1206&lt;=2176),INDEX(Fields!$B$2:$B$206,MATCH(H1206-129,Fields!$D$2:$D$206,1)),""),"")</f>
        <v/>
      </c>
      <c r="K1206">
        <f>IFERROR(IF(AND(H1206&lt;&gt;"",H1206&gt;=129,H1206&lt;=2176),INDEX(Fields!$C$2:$C$206,MATCH(H1206-129,Fields!$D$2:$D$206,1)),""),"")</f>
        <v/>
      </c>
      <c r="L1206">
        <f>IFERROR(IF(AND(H1206&lt;&gt;"",H1206&gt;=129,H1206&lt;=2176),INDEX(Fields!$J$2:$J$206,MATCH(H1206-129,Fields!$D$2:$D$206,1)),""),"")</f>
        <v/>
      </c>
      <c r="M1206">
        <f>IFERROR(IF(AND(H1206&lt;&gt;"",H1206&gt;=129,H1206&lt;=2176),INDEX(Fields!$K$2:$K$206,MATCH(H1206-129,Fields!$D$2:$D$206,1)),""),"")</f>
        <v/>
      </c>
    </row>
    <row r="1207">
      <c r="A1207" t="n">
        <v>1205</v>
      </c>
      <c r="B1207" t="n">
        <v>0</v>
      </c>
      <c r="C1207" t="inlineStr">
        <is>
          <t>No</t>
        </is>
      </c>
      <c r="D1207">
        <f>IF(AND(B1202=1,B1203=1,B1204=1,B1205=1,B1206=1),"Yes","")</f>
        <v/>
      </c>
      <c r="E1207" t="inlineStr">
        <is>
          <t>No</t>
        </is>
      </c>
      <c r="F1207" t="inlineStr">
        <is>
          <t>No</t>
        </is>
      </c>
      <c r="G1207">
        <f>IF(F1207="Yes",1-B1207,B1207)</f>
        <v/>
      </c>
      <c r="H1207">
        <f>IF(E1207="Yes","",COUNTIFS($E$2:E1207,"No"))</f>
        <v/>
      </c>
      <c r="I1207">
        <f>IF(H1207="","",IF(H1207&lt;=128,"address",IF(H1207&lt;=600,"data1",IF(H1207&lt;=1264,"zero-run1",IF(H1207&lt;=1648,"data2",IF(H1207&lt;=2176,"zero-run2",IF(H1207&lt;=2192,"FCS","trailing")))))))</f>
        <v/>
      </c>
      <c r="J1207">
        <f>IFERROR(IF(AND(H1207&lt;&gt;"",H1207&gt;=129,H1207&lt;=2176),INDEX(Fields!$B$2:$B$206,MATCH(H1207-129,Fields!$D$2:$D$206,1)),""),"")</f>
        <v/>
      </c>
      <c r="K1207">
        <f>IFERROR(IF(AND(H1207&lt;&gt;"",H1207&gt;=129,H1207&lt;=2176),INDEX(Fields!$C$2:$C$206,MATCH(H1207-129,Fields!$D$2:$D$206,1)),""),"")</f>
        <v/>
      </c>
      <c r="L1207">
        <f>IFERROR(IF(AND(H1207&lt;&gt;"",H1207&gt;=129,H1207&lt;=2176),INDEX(Fields!$J$2:$J$206,MATCH(H1207-129,Fields!$D$2:$D$206,1)),""),"")</f>
        <v/>
      </c>
      <c r="M1207">
        <f>IFERROR(IF(AND(H1207&lt;&gt;"",H1207&gt;=129,H1207&lt;=2176),INDEX(Fields!$K$2:$K$206,MATCH(H1207-129,Fields!$D$2:$D$206,1)),""),"")</f>
        <v/>
      </c>
    </row>
    <row r="1208">
      <c r="A1208" t="n">
        <v>1206</v>
      </c>
      <c r="B1208" t="n">
        <v>0</v>
      </c>
      <c r="C1208" t="inlineStr">
        <is>
          <t>No</t>
        </is>
      </c>
      <c r="D1208">
        <f>IF(AND(B1203=1,B1204=1,B1205=1,B1206=1,B1207=1),"Yes","")</f>
        <v/>
      </c>
      <c r="E1208" t="inlineStr">
        <is>
          <t>No</t>
        </is>
      </c>
      <c r="F1208" t="inlineStr">
        <is>
          <t>No</t>
        </is>
      </c>
      <c r="G1208">
        <f>IF(F1208="Yes",1-B1208,B1208)</f>
        <v/>
      </c>
      <c r="H1208">
        <f>IF(E1208="Yes","",COUNTIFS($E$2:E1208,"No"))</f>
        <v/>
      </c>
      <c r="I1208">
        <f>IF(H1208="","",IF(H1208&lt;=128,"address",IF(H1208&lt;=600,"data1",IF(H1208&lt;=1264,"zero-run1",IF(H1208&lt;=1648,"data2",IF(H1208&lt;=2176,"zero-run2",IF(H1208&lt;=2192,"FCS","trailing")))))))</f>
        <v/>
      </c>
      <c r="J1208">
        <f>IFERROR(IF(AND(H1208&lt;&gt;"",H1208&gt;=129,H1208&lt;=2176),INDEX(Fields!$B$2:$B$206,MATCH(H1208-129,Fields!$D$2:$D$206,1)),""),"")</f>
        <v/>
      </c>
      <c r="K1208">
        <f>IFERROR(IF(AND(H1208&lt;&gt;"",H1208&gt;=129,H1208&lt;=2176),INDEX(Fields!$C$2:$C$206,MATCH(H1208-129,Fields!$D$2:$D$206,1)),""),"")</f>
        <v/>
      </c>
      <c r="L1208">
        <f>IFERROR(IF(AND(H1208&lt;&gt;"",H1208&gt;=129,H1208&lt;=2176),INDEX(Fields!$J$2:$J$206,MATCH(H1208-129,Fields!$D$2:$D$206,1)),""),"")</f>
        <v/>
      </c>
      <c r="M1208">
        <f>IFERROR(IF(AND(H1208&lt;&gt;"",H1208&gt;=129,H1208&lt;=2176),INDEX(Fields!$K$2:$K$206,MATCH(H1208-129,Fields!$D$2:$D$206,1)),""),"")</f>
        <v/>
      </c>
    </row>
    <row r="1209">
      <c r="A1209" t="n">
        <v>1207</v>
      </c>
      <c r="B1209" t="n">
        <v>0</v>
      </c>
      <c r="C1209" t="inlineStr">
        <is>
          <t>No</t>
        </is>
      </c>
      <c r="D1209">
        <f>IF(AND(B1204=1,B1205=1,B1206=1,B1207=1,B1208=1),"Yes","")</f>
        <v/>
      </c>
      <c r="E1209" t="inlineStr">
        <is>
          <t>No</t>
        </is>
      </c>
      <c r="F1209" t="inlineStr">
        <is>
          <t>No</t>
        </is>
      </c>
      <c r="G1209">
        <f>IF(F1209="Yes",1-B1209,B1209)</f>
        <v/>
      </c>
      <c r="H1209">
        <f>IF(E1209="Yes","",COUNTIFS($E$2:E1209,"No"))</f>
        <v/>
      </c>
      <c r="I1209">
        <f>IF(H1209="","",IF(H1209&lt;=128,"address",IF(H1209&lt;=600,"data1",IF(H1209&lt;=1264,"zero-run1",IF(H1209&lt;=1648,"data2",IF(H1209&lt;=2176,"zero-run2",IF(H1209&lt;=2192,"FCS","trailing")))))))</f>
        <v/>
      </c>
      <c r="J1209">
        <f>IFERROR(IF(AND(H1209&lt;&gt;"",H1209&gt;=129,H1209&lt;=2176),INDEX(Fields!$B$2:$B$206,MATCH(H1209-129,Fields!$D$2:$D$206,1)),""),"")</f>
        <v/>
      </c>
      <c r="K1209">
        <f>IFERROR(IF(AND(H1209&lt;&gt;"",H1209&gt;=129,H1209&lt;=2176),INDEX(Fields!$C$2:$C$206,MATCH(H1209-129,Fields!$D$2:$D$206,1)),""),"")</f>
        <v/>
      </c>
      <c r="L1209">
        <f>IFERROR(IF(AND(H1209&lt;&gt;"",H1209&gt;=129,H1209&lt;=2176),INDEX(Fields!$J$2:$J$206,MATCH(H1209-129,Fields!$D$2:$D$206,1)),""),"")</f>
        <v/>
      </c>
      <c r="M1209">
        <f>IFERROR(IF(AND(H1209&lt;&gt;"",H1209&gt;=129,H1209&lt;=2176),INDEX(Fields!$K$2:$K$206,MATCH(H1209-129,Fields!$D$2:$D$206,1)),""),"")</f>
        <v/>
      </c>
    </row>
    <row r="1210">
      <c r="A1210" t="n">
        <v>1208</v>
      </c>
      <c r="B1210" t="n">
        <v>0</v>
      </c>
      <c r="C1210" t="inlineStr">
        <is>
          <t>No</t>
        </is>
      </c>
      <c r="D1210">
        <f>IF(AND(B1205=1,B1206=1,B1207=1,B1208=1,B1209=1),"Yes","")</f>
        <v/>
      </c>
      <c r="E1210" t="inlineStr">
        <is>
          <t>No</t>
        </is>
      </c>
      <c r="F1210" t="inlineStr">
        <is>
          <t>No</t>
        </is>
      </c>
      <c r="G1210">
        <f>IF(F1210="Yes",1-B1210,B1210)</f>
        <v/>
      </c>
      <c r="H1210">
        <f>IF(E1210="Yes","",COUNTIFS($E$2:E1210,"No"))</f>
        <v/>
      </c>
      <c r="I1210">
        <f>IF(H1210="","",IF(H1210&lt;=128,"address",IF(H1210&lt;=600,"data1",IF(H1210&lt;=1264,"zero-run1",IF(H1210&lt;=1648,"data2",IF(H1210&lt;=2176,"zero-run2",IF(H1210&lt;=2192,"FCS","trailing")))))))</f>
        <v/>
      </c>
      <c r="J1210">
        <f>IFERROR(IF(AND(H1210&lt;&gt;"",H1210&gt;=129,H1210&lt;=2176),INDEX(Fields!$B$2:$B$206,MATCH(H1210-129,Fields!$D$2:$D$206,1)),""),"")</f>
        <v/>
      </c>
      <c r="K1210">
        <f>IFERROR(IF(AND(H1210&lt;&gt;"",H1210&gt;=129,H1210&lt;=2176),INDEX(Fields!$C$2:$C$206,MATCH(H1210-129,Fields!$D$2:$D$206,1)),""),"")</f>
        <v/>
      </c>
      <c r="L1210">
        <f>IFERROR(IF(AND(H1210&lt;&gt;"",H1210&gt;=129,H1210&lt;=2176),INDEX(Fields!$J$2:$J$206,MATCH(H1210-129,Fields!$D$2:$D$206,1)),""),"")</f>
        <v/>
      </c>
      <c r="M1210">
        <f>IFERROR(IF(AND(H1210&lt;&gt;"",H1210&gt;=129,H1210&lt;=2176),INDEX(Fields!$K$2:$K$206,MATCH(H1210-129,Fields!$D$2:$D$206,1)),""),"")</f>
        <v/>
      </c>
    </row>
    <row r="1211">
      <c r="A1211" t="n">
        <v>1209</v>
      </c>
      <c r="B1211" t="n">
        <v>0</v>
      </c>
      <c r="C1211" t="inlineStr">
        <is>
          <t>No</t>
        </is>
      </c>
      <c r="D1211">
        <f>IF(AND(B1206=1,B1207=1,B1208=1,B1209=1,B1210=1),"Yes","")</f>
        <v/>
      </c>
      <c r="E1211" t="inlineStr">
        <is>
          <t>No</t>
        </is>
      </c>
      <c r="F1211" t="inlineStr">
        <is>
          <t>No</t>
        </is>
      </c>
      <c r="G1211">
        <f>IF(F1211="Yes",1-B1211,B1211)</f>
        <v/>
      </c>
      <c r="H1211">
        <f>IF(E1211="Yes","",COUNTIFS($E$2:E1211,"No"))</f>
        <v/>
      </c>
      <c r="I1211">
        <f>IF(H1211="","",IF(H1211&lt;=128,"address",IF(H1211&lt;=600,"data1",IF(H1211&lt;=1264,"zero-run1",IF(H1211&lt;=1648,"data2",IF(H1211&lt;=2176,"zero-run2",IF(H1211&lt;=2192,"FCS","trailing")))))))</f>
        <v/>
      </c>
      <c r="J1211">
        <f>IFERROR(IF(AND(H1211&lt;&gt;"",H1211&gt;=129,H1211&lt;=2176),INDEX(Fields!$B$2:$B$206,MATCH(H1211-129,Fields!$D$2:$D$206,1)),""),"")</f>
        <v/>
      </c>
      <c r="K1211">
        <f>IFERROR(IF(AND(H1211&lt;&gt;"",H1211&gt;=129,H1211&lt;=2176),INDEX(Fields!$C$2:$C$206,MATCH(H1211-129,Fields!$D$2:$D$206,1)),""),"")</f>
        <v/>
      </c>
      <c r="L1211">
        <f>IFERROR(IF(AND(H1211&lt;&gt;"",H1211&gt;=129,H1211&lt;=2176),INDEX(Fields!$J$2:$J$206,MATCH(H1211-129,Fields!$D$2:$D$206,1)),""),"")</f>
        <v/>
      </c>
      <c r="M1211">
        <f>IFERROR(IF(AND(H1211&lt;&gt;"",H1211&gt;=129,H1211&lt;=2176),INDEX(Fields!$K$2:$K$206,MATCH(H1211-129,Fields!$D$2:$D$206,1)),""),"")</f>
        <v/>
      </c>
    </row>
    <row r="1212">
      <c r="A1212" t="n">
        <v>1210</v>
      </c>
      <c r="B1212" t="n">
        <v>0</v>
      </c>
      <c r="C1212" t="inlineStr">
        <is>
          <t>No</t>
        </is>
      </c>
      <c r="D1212">
        <f>IF(AND(B1207=1,B1208=1,B1209=1,B1210=1,B1211=1),"Yes","")</f>
        <v/>
      </c>
      <c r="E1212" t="inlineStr">
        <is>
          <t>No</t>
        </is>
      </c>
      <c r="F1212" t="inlineStr">
        <is>
          <t>No</t>
        </is>
      </c>
      <c r="G1212">
        <f>IF(F1212="Yes",1-B1212,B1212)</f>
        <v/>
      </c>
      <c r="H1212">
        <f>IF(E1212="Yes","",COUNTIFS($E$2:E1212,"No"))</f>
        <v/>
      </c>
      <c r="I1212">
        <f>IF(H1212="","",IF(H1212&lt;=128,"address",IF(H1212&lt;=600,"data1",IF(H1212&lt;=1264,"zero-run1",IF(H1212&lt;=1648,"data2",IF(H1212&lt;=2176,"zero-run2",IF(H1212&lt;=2192,"FCS","trailing")))))))</f>
        <v/>
      </c>
      <c r="J1212">
        <f>IFERROR(IF(AND(H1212&lt;&gt;"",H1212&gt;=129,H1212&lt;=2176),INDEX(Fields!$B$2:$B$206,MATCH(H1212-129,Fields!$D$2:$D$206,1)),""),"")</f>
        <v/>
      </c>
      <c r="K1212">
        <f>IFERROR(IF(AND(H1212&lt;&gt;"",H1212&gt;=129,H1212&lt;=2176),INDEX(Fields!$C$2:$C$206,MATCH(H1212-129,Fields!$D$2:$D$206,1)),""),"")</f>
        <v/>
      </c>
      <c r="L1212">
        <f>IFERROR(IF(AND(H1212&lt;&gt;"",H1212&gt;=129,H1212&lt;=2176),INDEX(Fields!$J$2:$J$206,MATCH(H1212-129,Fields!$D$2:$D$206,1)),""),"")</f>
        <v/>
      </c>
      <c r="M1212">
        <f>IFERROR(IF(AND(H1212&lt;&gt;"",H1212&gt;=129,H1212&lt;=2176),INDEX(Fields!$K$2:$K$206,MATCH(H1212-129,Fields!$D$2:$D$206,1)),""),"")</f>
        <v/>
      </c>
    </row>
    <row r="1213">
      <c r="A1213" t="n">
        <v>1211</v>
      </c>
      <c r="B1213" t="n">
        <v>0</v>
      </c>
      <c r="C1213" t="inlineStr">
        <is>
          <t>No</t>
        </is>
      </c>
      <c r="D1213">
        <f>IF(AND(B1208=1,B1209=1,B1210=1,B1211=1,B1212=1),"Yes","")</f>
        <v/>
      </c>
      <c r="E1213" t="inlineStr">
        <is>
          <t>No</t>
        </is>
      </c>
      <c r="F1213" t="inlineStr">
        <is>
          <t>No</t>
        </is>
      </c>
      <c r="G1213">
        <f>IF(F1213="Yes",1-B1213,B1213)</f>
        <v/>
      </c>
      <c r="H1213">
        <f>IF(E1213="Yes","",COUNTIFS($E$2:E1213,"No"))</f>
        <v/>
      </c>
      <c r="I1213">
        <f>IF(H1213="","",IF(H1213&lt;=128,"address",IF(H1213&lt;=600,"data1",IF(H1213&lt;=1264,"zero-run1",IF(H1213&lt;=1648,"data2",IF(H1213&lt;=2176,"zero-run2",IF(H1213&lt;=2192,"FCS","trailing")))))))</f>
        <v/>
      </c>
      <c r="J1213">
        <f>IFERROR(IF(AND(H1213&lt;&gt;"",H1213&gt;=129,H1213&lt;=2176),INDEX(Fields!$B$2:$B$206,MATCH(H1213-129,Fields!$D$2:$D$206,1)),""),"")</f>
        <v/>
      </c>
      <c r="K1213">
        <f>IFERROR(IF(AND(H1213&lt;&gt;"",H1213&gt;=129,H1213&lt;=2176),INDEX(Fields!$C$2:$C$206,MATCH(H1213-129,Fields!$D$2:$D$206,1)),""),"")</f>
        <v/>
      </c>
      <c r="L1213">
        <f>IFERROR(IF(AND(H1213&lt;&gt;"",H1213&gt;=129,H1213&lt;=2176),INDEX(Fields!$J$2:$J$206,MATCH(H1213-129,Fields!$D$2:$D$206,1)),""),"")</f>
        <v/>
      </c>
      <c r="M1213">
        <f>IFERROR(IF(AND(H1213&lt;&gt;"",H1213&gt;=129,H1213&lt;=2176),INDEX(Fields!$K$2:$K$206,MATCH(H1213-129,Fields!$D$2:$D$206,1)),""),"")</f>
        <v/>
      </c>
    </row>
    <row r="1214">
      <c r="A1214" t="n">
        <v>1212</v>
      </c>
      <c r="B1214" t="n">
        <v>0</v>
      </c>
      <c r="C1214" t="inlineStr">
        <is>
          <t>No</t>
        </is>
      </c>
      <c r="D1214">
        <f>IF(AND(B1209=1,B1210=1,B1211=1,B1212=1,B1213=1),"Yes","")</f>
        <v/>
      </c>
      <c r="E1214" t="inlineStr">
        <is>
          <t>No</t>
        </is>
      </c>
      <c r="F1214" t="inlineStr">
        <is>
          <t>No</t>
        </is>
      </c>
      <c r="G1214">
        <f>IF(F1214="Yes",1-B1214,B1214)</f>
        <v/>
      </c>
      <c r="H1214">
        <f>IF(E1214="Yes","",COUNTIFS($E$2:E1214,"No"))</f>
        <v/>
      </c>
      <c r="I1214">
        <f>IF(H1214="","",IF(H1214&lt;=128,"address",IF(H1214&lt;=600,"data1",IF(H1214&lt;=1264,"zero-run1",IF(H1214&lt;=1648,"data2",IF(H1214&lt;=2176,"zero-run2",IF(H1214&lt;=2192,"FCS","trailing")))))))</f>
        <v/>
      </c>
      <c r="J1214">
        <f>IFERROR(IF(AND(H1214&lt;&gt;"",H1214&gt;=129,H1214&lt;=2176),INDEX(Fields!$B$2:$B$206,MATCH(H1214-129,Fields!$D$2:$D$206,1)),""),"")</f>
        <v/>
      </c>
      <c r="K1214">
        <f>IFERROR(IF(AND(H1214&lt;&gt;"",H1214&gt;=129,H1214&lt;=2176),INDEX(Fields!$C$2:$C$206,MATCH(H1214-129,Fields!$D$2:$D$206,1)),""),"")</f>
        <v/>
      </c>
      <c r="L1214">
        <f>IFERROR(IF(AND(H1214&lt;&gt;"",H1214&gt;=129,H1214&lt;=2176),INDEX(Fields!$J$2:$J$206,MATCH(H1214-129,Fields!$D$2:$D$206,1)),""),"")</f>
        <v/>
      </c>
      <c r="M1214">
        <f>IFERROR(IF(AND(H1214&lt;&gt;"",H1214&gt;=129,H1214&lt;=2176),INDEX(Fields!$K$2:$K$206,MATCH(H1214-129,Fields!$D$2:$D$206,1)),""),"")</f>
        <v/>
      </c>
    </row>
    <row r="1215">
      <c r="A1215" t="n">
        <v>1213</v>
      </c>
      <c r="B1215" t="n">
        <v>0</v>
      </c>
      <c r="C1215" t="inlineStr">
        <is>
          <t>No</t>
        </is>
      </c>
      <c r="D1215">
        <f>IF(AND(B1210=1,B1211=1,B1212=1,B1213=1,B1214=1),"Yes","")</f>
        <v/>
      </c>
      <c r="E1215" t="inlineStr">
        <is>
          <t>No</t>
        </is>
      </c>
      <c r="F1215" t="inlineStr">
        <is>
          <t>No</t>
        </is>
      </c>
      <c r="G1215">
        <f>IF(F1215="Yes",1-B1215,B1215)</f>
        <v/>
      </c>
      <c r="H1215">
        <f>IF(E1215="Yes","",COUNTIFS($E$2:E1215,"No"))</f>
        <v/>
      </c>
      <c r="I1215">
        <f>IF(H1215="","",IF(H1215&lt;=128,"address",IF(H1215&lt;=600,"data1",IF(H1215&lt;=1264,"zero-run1",IF(H1215&lt;=1648,"data2",IF(H1215&lt;=2176,"zero-run2",IF(H1215&lt;=2192,"FCS","trailing")))))))</f>
        <v/>
      </c>
      <c r="J1215">
        <f>IFERROR(IF(AND(H1215&lt;&gt;"",H1215&gt;=129,H1215&lt;=2176),INDEX(Fields!$B$2:$B$206,MATCH(H1215-129,Fields!$D$2:$D$206,1)),""),"")</f>
        <v/>
      </c>
      <c r="K1215">
        <f>IFERROR(IF(AND(H1215&lt;&gt;"",H1215&gt;=129,H1215&lt;=2176),INDEX(Fields!$C$2:$C$206,MATCH(H1215-129,Fields!$D$2:$D$206,1)),""),"")</f>
        <v/>
      </c>
      <c r="L1215">
        <f>IFERROR(IF(AND(H1215&lt;&gt;"",H1215&gt;=129,H1215&lt;=2176),INDEX(Fields!$J$2:$J$206,MATCH(H1215-129,Fields!$D$2:$D$206,1)),""),"")</f>
        <v/>
      </c>
      <c r="M1215">
        <f>IFERROR(IF(AND(H1215&lt;&gt;"",H1215&gt;=129,H1215&lt;=2176),INDEX(Fields!$K$2:$K$206,MATCH(H1215-129,Fields!$D$2:$D$206,1)),""),"")</f>
        <v/>
      </c>
    </row>
    <row r="1216">
      <c r="A1216" t="n">
        <v>1214</v>
      </c>
      <c r="B1216" t="n">
        <v>0</v>
      </c>
      <c r="C1216" t="inlineStr">
        <is>
          <t>No</t>
        </is>
      </c>
      <c r="D1216">
        <f>IF(AND(B1211=1,B1212=1,B1213=1,B1214=1,B1215=1),"Yes","")</f>
        <v/>
      </c>
      <c r="E1216" t="inlineStr">
        <is>
          <t>No</t>
        </is>
      </c>
      <c r="F1216" t="inlineStr">
        <is>
          <t>No</t>
        </is>
      </c>
      <c r="G1216">
        <f>IF(F1216="Yes",1-B1216,B1216)</f>
        <v/>
      </c>
      <c r="H1216">
        <f>IF(E1216="Yes","",COUNTIFS($E$2:E1216,"No"))</f>
        <v/>
      </c>
      <c r="I1216">
        <f>IF(H1216="","",IF(H1216&lt;=128,"address",IF(H1216&lt;=600,"data1",IF(H1216&lt;=1264,"zero-run1",IF(H1216&lt;=1648,"data2",IF(H1216&lt;=2176,"zero-run2",IF(H1216&lt;=2192,"FCS","trailing")))))))</f>
        <v/>
      </c>
      <c r="J1216">
        <f>IFERROR(IF(AND(H1216&lt;&gt;"",H1216&gt;=129,H1216&lt;=2176),INDEX(Fields!$B$2:$B$206,MATCH(H1216-129,Fields!$D$2:$D$206,1)),""),"")</f>
        <v/>
      </c>
      <c r="K1216">
        <f>IFERROR(IF(AND(H1216&lt;&gt;"",H1216&gt;=129,H1216&lt;=2176),INDEX(Fields!$C$2:$C$206,MATCH(H1216-129,Fields!$D$2:$D$206,1)),""),"")</f>
        <v/>
      </c>
      <c r="L1216">
        <f>IFERROR(IF(AND(H1216&lt;&gt;"",H1216&gt;=129,H1216&lt;=2176),INDEX(Fields!$J$2:$J$206,MATCH(H1216-129,Fields!$D$2:$D$206,1)),""),"")</f>
        <v/>
      </c>
      <c r="M1216">
        <f>IFERROR(IF(AND(H1216&lt;&gt;"",H1216&gt;=129,H1216&lt;=2176),INDEX(Fields!$K$2:$K$206,MATCH(H1216-129,Fields!$D$2:$D$206,1)),""),"")</f>
        <v/>
      </c>
    </row>
    <row r="1217">
      <c r="A1217" t="n">
        <v>1215</v>
      </c>
      <c r="B1217" t="n">
        <v>0</v>
      </c>
      <c r="C1217" t="inlineStr">
        <is>
          <t>No</t>
        </is>
      </c>
      <c r="D1217">
        <f>IF(AND(B1212=1,B1213=1,B1214=1,B1215=1,B1216=1),"Yes","")</f>
        <v/>
      </c>
      <c r="E1217" t="inlineStr">
        <is>
          <t>No</t>
        </is>
      </c>
      <c r="F1217" t="inlineStr">
        <is>
          <t>No</t>
        </is>
      </c>
      <c r="G1217">
        <f>IF(F1217="Yes",1-B1217,B1217)</f>
        <v/>
      </c>
      <c r="H1217">
        <f>IF(E1217="Yes","",COUNTIFS($E$2:E1217,"No"))</f>
        <v/>
      </c>
      <c r="I1217">
        <f>IF(H1217="","",IF(H1217&lt;=128,"address",IF(H1217&lt;=600,"data1",IF(H1217&lt;=1264,"zero-run1",IF(H1217&lt;=1648,"data2",IF(H1217&lt;=2176,"zero-run2",IF(H1217&lt;=2192,"FCS","trailing")))))))</f>
        <v/>
      </c>
      <c r="J1217">
        <f>IFERROR(IF(AND(H1217&lt;&gt;"",H1217&gt;=129,H1217&lt;=2176),INDEX(Fields!$B$2:$B$206,MATCH(H1217-129,Fields!$D$2:$D$206,1)),""),"")</f>
        <v/>
      </c>
      <c r="K1217">
        <f>IFERROR(IF(AND(H1217&lt;&gt;"",H1217&gt;=129,H1217&lt;=2176),INDEX(Fields!$C$2:$C$206,MATCH(H1217-129,Fields!$D$2:$D$206,1)),""),"")</f>
        <v/>
      </c>
      <c r="L1217">
        <f>IFERROR(IF(AND(H1217&lt;&gt;"",H1217&gt;=129,H1217&lt;=2176),INDEX(Fields!$J$2:$J$206,MATCH(H1217-129,Fields!$D$2:$D$206,1)),""),"")</f>
        <v/>
      </c>
      <c r="M1217">
        <f>IFERROR(IF(AND(H1217&lt;&gt;"",H1217&gt;=129,H1217&lt;=2176),INDEX(Fields!$K$2:$K$206,MATCH(H1217-129,Fields!$D$2:$D$206,1)),""),"")</f>
        <v/>
      </c>
    </row>
    <row r="1218">
      <c r="A1218" t="n">
        <v>1216</v>
      </c>
      <c r="B1218" t="n">
        <v>0</v>
      </c>
      <c r="C1218" t="inlineStr">
        <is>
          <t>No</t>
        </is>
      </c>
      <c r="D1218">
        <f>IF(AND(B1213=1,B1214=1,B1215=1,B1216=1,B1217=1),"Yes","")</f>
        <v/>
      </c>
      <c r="E1218" t="inlineStr">
        <is>
          <t>No</t>
        </is>
      </c>
      <c r="F1218" t="inlineStr">
        <is>
          <t>No</t>
        </is>
      </c>
      <c r="G1218">
        <f>IF(F1218="Yes",1-B1218,B1218)</f>
        <v/>
      </c>
      <c r="H1218">
        <f>IF(E1218="Yes","",COUNTIFS($E$2:E1218,"No"))</f>
        <v/>
      </c>
      <c r="I1218">
        <f>IF(H1218="","",IF(H1218&lt;=128,"address",IF(H1218&lt;=600,"data1",IF(H1218&lt;=1264,"zero-run1",IF(H1218&lt;=1648,"data2",IF(H1218&lt;=2176,"zero-run2",IF(H1218&lt;=2192,"FCS","trailing")))))))</f>
        <v/>
      </c>
      <c r="J1218">
        <f>IFERROR(IF(AND(H1218&lt;&gt;"",H1218&gt;=129,H1218&lt;=2176),INDEX(Fields!$B$2:$B$206,MATCH(H1218-129,Fields!$D$2:$D$206,1)),""),"")</f>
        <v/>
      </c>
      <c r="K1218">
        <f>IFERROR(IF(AND(H1218&lt;&gt;"",H1218&gt;=129,H1218&lt;=2176),INDEX(Fields!$C$2:$C$206,MATCH(H1218-129,Fields!$D$2:$D$206,1)),""),"")</f>
        <v/>
      </c>
      <c r="L1218">
        <f>IFERROR(IF(AND(H1218&lt;&gt;"",H1218&gt;=129,H1218&lt;=2176),INDEX(Fields!$J$2:$J$206,MATCH(H1218-129,Fields!$D$2:$D$206,1)),""),"")</f>
        <v/>
      </c>
      <c r="M1218">
        <f>IFERROR(IF(AND(H1218&lt;&gt;"",H1218&gt;=129,H1218&lt;=2176),INDEX(Fields!$K$2:$K$206,MATCH(H1218-129,Fields!$D$2:$D$206,1)),""),"")</f>
        <v/>
      </c>
    </row>
    <row r="1219">
      <c r="A1219" t="n">
        <v>1217</v>
      </c>
      <c r="B1219" t="n">
        <v>0</v>
      </c>
      <c r="C1219" t="inlineStr">
        <is>
          <t>No</t>
        </is>
      </c>
      <c r="D1219">
        <f>IF(AND(B1214=1,B1215=1,B1216=1,B1217=1,B1218=1),"Yes","")</f>
        <v/>
      </c>
      <c r="E1219" t="inlineStr">
        <is>
          <t>No</t>
        </is>
      </c>
      <c r="F1219" t="inlineStr">
        <is>
          <t>No</t>
        </is>
      </c>
      <c r="G1219">
        <f>IF(F1219="Yes",1-B1219,B1219)</f>
        <v/>
      </c>
      <c r="H1219">
        <f>IF(E1219="Yes","",COUNTIFS($E$2:E1219,"No"))</f>
        <v/>
      </c>
      <c r="I1219">
        <f>IF(H1219="","",IF(H1219&lt;=128,"address",IF(H1219&lt;=600,"data1",IF(H1219&lt;=1264,"zero-run1",IF(H1219&lt;=1648,"data2",IF(H1219&lt;=2176,"zero-run2",IF(H1219&lt;=2192,"FCS","trailing")))))))</f>
        <v/>
      </c>
      <c r="J1219">
        <f>IFERROR(IF(AND(H1219&lt;&gt;"",H1219&gt;=129,H1219&lt;=2176),INDEX(Fields!$B$2:$B$206,MATCH(H1219-129,Fields!$D$2:$D$206,1)),""),"")</f>
        <v/>
      </c>
      <c r="K1219">
        <f>IFERROR(IF(AND(H1219&lt;&gt;"",H1219&gt;=129,H1219&lt;=2176),INDEX(Fields!$C$2:$C$206,MATCH(H1219-129,Fields!$D$2:$D$206,1)),""),"")</f>
        <v/>
      </c>
      <c r="L1219">
        <f>IFERROR(IF(AND(H1219&lt;&gt;"",H1219&gt;=129,H1219&lt;=2176),INDEX(Fields!$J$2:$J$206,MATCH(H1219-129,Fields!$D$2:$D$206,1)),""),"")</f>
        <v/>
      </c>
      <c r="M1219">
        <f>IFERROR(IF(AND(H1219&lt;&gt;"",H1219&gt;=129,H1219&lt;=2176),INDEX(Fields!$K$2:$K$206,MATCH(H1219-129,Fields!$D$2:$D$206,1)),""),"")</f>
        <v/>
      </c>
    </row>
    <row r="1220">
      <c r="A1220" t="n">
        <v>1218</v>
      </c>
      <c r="B1220" t="n">
        <v>0</v>
      </c>
      <c r="C1220" t="inlineStr">
        <is>
          <t>No</t>
        </is>
      </c>
      <c r="D1220">
        <f>IF(AND(B1215=1,B1216=1,B1217=1,B1218=1,B1219=1),"Yes","")</f>
        <v/>
      </c>
      <c r="E1220" t="inlineStr">
        <is>
          <t>No</t>
        </is>
      </c>
      <c r="F1220" t="inlineStr">
        <is>
          <t>No</t>
        </is>
      </c>
      <c r="G1220">
        <f>IF(F1220="Yes",1-B1220,B1220)</f>
        <v/>
      </c>
      <c r="H1220">
        <f>IF(E1220="Yes","",COUNTIFS($E$2:E1220,"No"))</f>
        <v/>
      </c>
      <c r="I1220">
        <f>IF(H1220="","",IF(H1220&lt;=128,"address",IF(H1220&lt;=600,"data1",IF(H1220&lt;=1264,"zero-run1",IF(H1220&lt;=1648,"data2",IF(H1220&lt;=2176,"zero-run2",IF(H1220&lt;=2192,"FCS","trailing")))))))</f>
        <v/>
      </c>
      <c r="J1220">
        <f>IFERROR(IF(AND(H1220&lt;&gt;"",H1220&gt;=129,H1220&lt;=2176),INDEX(Fields!$B$2:$B$206,MATCH(H1220-129,Fields!$D$2:$D$206,1)),""),"")</f>
        <v/>
      </c>
      <c r="K1220">
        <f>IFERROR(IF(AND(H1220&lt;&gt;"",H1220&gt;=129,H1220&lt;=2176),INDEX(Fields!$C$2:$C$206,MATCH(H1220-129,Fields!$D$2:$D$206,1)),""),"")</f>
        <v/>
      </c>
      <c r="L1220">
        <f>IFERROR(IF(AND(H1220&lt;&gt;"",H1220&gt;=129,H1220&lt;=2176),INDEX(Fields!$J$2:$J$206,MATCH(H1220-129,Fields!$D$2:$D$206,1)),""),"")</f>
        <v/>
      </c>
      <c r="M1220">
        <f>IFERROR(IF(AND(H1220&lt;&gt;"",H1220&gt;=129,H1220&lt;=2176),INDEX(Fields!$K$2:$K$206,MATCH(H1220-129,Fields!$D$2:$D$206,1)),""),"")</f>
        <v/>
      </c>
    </row>
    <row r="1221">
      <c r="A1221" t="n">
        <v>1219</v>
      </c>
      <c r="B1221" t="n">
        <v>0</v>
      </c>
      <c r="C1221" t="inlineStr">
        <is>
          <t>No</t>
        </is>
      </c>
      <c r="D1221">
        <f>IF(AND(B1216=1,B1217=1,B1218=1,B1219=1,B1220=1),"Yes","")</f>
        <v/>
      </c>
      <c r="E1221" t="inlineStr">
        <is>
          <t>No</t>
        </is>
      </c>
      <c r="F1221" t="inlineStr">
        <is>
          <t>No</t>
        </is>
      </c>
      <c r="G1221">
        <f>IF(F1221="Yes",1-B1221,B1221)</f>
        <v/>
      </c>
      <c r="H1221">
        <f>IF(E1221="Yes","",COUNTIFS($E$2:E1221,"No"))</f>
        <v/>
      </c>
      <c r="I1221">
        <f>IF(H1221="","",IF(H1221&lt;=128,"address",IF(H1221&lt;=600,"data1",IF(H1221&lt;=1264,"zero-run1",IF(H1221&lt;=1648,"data2",IF(H1221&lt;=2176,"zero-run2",IF(H1221&lt;=2192,"FCS","trailing")))))))</f>
        <v/>
      </c>
      <c r="J1221">
        <f>IFERROR(IF(AND(H1221&lt;&gt;"",H1221&gt;=129,H1221&lt;=2176),INDEX(Fields!$B$2:$B$206,MATCH(H1221-129,Fields!$D$2:$D$206,1)),""),"")</f>
        <v/>
      </c>
      <c r="K1221">
        <f>IFERROR(IF(AND(H1221&lt;&gt;"",H1221&gt;=129,H1221&lt;=2176),INDEX(Fields!$C$2:$C$206,MATCH(H1221-129,Fields!$D$2:$D$206,1)),""),"")</f>
        <v/>
      </c>
      <c r="L1221">
        <f>IFERROR(IF(AND(H1221&lt;&gt;"",H1221&gt;=129,H1221&lt;=2176),INDEX(Fields!$J$2:$J$206,MATCH(H1221-129,Fields!$D$2:$D$206,1)),""),"")</f>
        <v/>
      </c>
      <c r="M1221">
        <f>IFERROR(IF(AND(H1221&lt;&gt;"",H1221&gt;=129,H1221&lt;=2176),INDEX(Fields!$K$2:$K$206,MATCH(H1221-129,Fields!$D$2:$D$206,1)),""),"")</f>
        <v/>
      </c>
    </row>
    <row r="1222">
      <c r="A1222" t="n">
        <v>1220</v>
      </c>
      <c r="B1222" t="n">
        <v>0</v>
      </c>
      <c r="C1222" t="inlineStr">
        <is>
          <t>No</t>
        </is>
      </c>
      <c r="D1222">
        <f>IF(AND(B1217=1,B1218=1,B1219=1,B1220=1,B1221=1),"Yes","")</f>
        <v/>
      </c>
      <c r="E1222" t="inlineStr">
        <is>
          <t>No</t>
        </is>
      </c>
      <c r="F1222" t="inlineStr">
        <is>
          <t>No</t>
        </is>
      </c>
      <c r="G1222">
        <f>IF(F1222="Yes",1-B1222,B1222)</f>
        <v/>
      </c>
      <c r="H1222">
        <f>IF(E1222="Yes","",COUNTIFS($E$2:E1222,"No"))</f>
        <v/>
      </c>
      <c r="I1222">
        <f>IF(H1222="","",IF(H1222&lt;=128,"address",IF(H1222&lt;=600,"data1",IF(H1222&lt;=1264,"zero-run1",IF(H1222&lt;=1648,"data2",IF(H1222&lt;=2176,"zero-run2",IF(H1222&lt;=2192,"FCS","trailing")))))))</f>
        <v/>
      </c>
      <c r="J1222">
        <f>IFERROR(IF(AND(H1222&lt;&gt;"",H1222&gt;=129,H1222&lt;=2176),INDEX(Fields!$B$2:$B$206,MATCH(H1222-129,Fields!$D$2:$D$206,1)),""),"")</f>
        <v/>
      </c>
      <c r="K1222">
        <f>IFERROR(IF(AND(H1222&lt;&gt;"",H1222&gt;=129,H1222&lt;=2176),INDEX(Fields!$C$2:$C$206,MATCH(H1222-129,Fields!$D$2:$D$206,1)),""),"")</f>
        <v/>
      </c>
      <c r="L1222">
        <f>IFERROR(IF(AND(H1222&lt;&gt;"",H1222&gt;=129,H1222&lt;=2176),INDEX(Fields!$J$2:$J$206,MATCH(H1222-129,Fields!$D$2:$D$206,1)),""),"")</f>
        <v/>
      </c>
      <c r="M1222">
        <f>IFERROR(IF(AND(H1222&lt;&gt;"",H1222&gt;=129,H1222&lt;=2176),INDEX(Fields!$K$2:$K$206,MATCH(H1222-129,Fields!$D$2:$D$206,1)),""),"")</f>
        <v/>
      </c>
    </row>
    <row r="1223">
      <c r="A1223" t="n">
        <v>1221</v>
      </c>
      <c r="B1223" t="n">
        <v>0</v>
      </c>
      <c r="C1223" t="inlineStr">
        <is>
          <t>No</t>
        </is>
      </c>
      <c r="D1223">
        <f>IF(AND(B1218=1,B1219=1,B1220=1,B1221=1,B1222=1),"Yes","")</f>
        <v/>
      </c>
      <c r="E1223" t="inlineStr">
        <is>
          <t>No</t>
        </is>
      </c>
      <c r="F1223" t="inlineStr">
        <is>
          <t>No</t>
        </is>
      </c>
      <c r="G1223">
        <f>IF(F1223="Yes",1-B1223,B1223)</f>
        <v/>
      </c>
      <c r="H1223">
        <f>IF(E1223="Yes","",COUNTIFS($E$2:E1223,"No"))</f>
        <v/>
      </c>
      <c r="I1223">
        <f>IF(H1223="","",IF(H1223&lt;=128,"address",IF(H1223&lt;=600,"data1",IF(H1223&lt;=1264,"zero-run1",IF(H1223&lt;=1648,"data2",IF(H1223&lt;=2176,"zero-run2",IF(H1223&lt;=2192,"FCS","trailing")))))))</f>
        <v/>
      </c>
      <c r="J1223">
        <f>IFERROR(IF(AND(H1223&lt;&gt;"",H1223&gt;=129,H1223&lt;=2176),INDEX(Fields!$B$2:$B$206,MATCH(H1223-129,Fields!$D$2:$D$206,1)),""),"")</f>
        <v/>
      </c>
      <c r="K1223">
        <f>IFERROR(IF(AND(H1223&lt;&gt;"",H1223&gt;=129,H1223&lt;=2176),INDEX(Fields!$C$2:$C$206,MATCH(H1223-129,Fields!$D$2:$D$206,1)),""),"")</f>
        <v/>
      </c>
      <c r="L1223">
        <f>IFERROR(IF(AND(H1223&lt;&gt;"",H1223&gt;=129,H1223&lt;=2176),INDEX(Fields!$J$2:$J$206,MATCH(H1223-129,Fields!$D$2:$D$206,1)),""),"")</f>
        <v/>
      </c>
      <c r="M1223">
        <f>IFERROR(IF(AND(H1223&lt;&gt;"",H1223&gt;=129,H1223&lt;=2176),INDEX(Fields!$K$2:$K$206,MATCH(H1223-129,Fields!$D$2:$D$206,1)),""),"")</f>
        <v/>
      </c>
    </row>
    <row r="1224">
      <c r="A1224" t="n">
        <v>1222</v>
      </c>
      <c r="B1224" t="n">
        <v>0</v>
      </c>
      <c r="C1224" t="inlineStr">
        <is>
          <t>No</t>
        </is>
      </c>
      <c r="D1224">
        <f>IF(AND(B1219=1,B1220=1,B1221=1,B1222=1,B1223=1),"Yes","")</f>
        <v/>
      </c>
      <c r="E1224" t="inlineStr">
        <is>
          <t>No</t>
        </is>
      </c>
      <c r="F1224" t="inlineStr">
        <is>
          <t>No</t>
        </is>
      </c>
      <c r="G1224">
        <f>IF(F1224="Yes",1-B1224,B1224)</f>
        <v/>
      </c>
      <c r="H1224">
        <f>IF(E1224="Yes","",COUNTIFS($E$2:E1224,"No"))</f>
        <v/>
      </c>
      <c r="I1224">
        <f>IF(H1224="","",IF(H1224&lt;=128,"address",IF(H1224&lt;=600,"data1",IF(H1224&lt;=1264,"zero-run1",IF(H1224&lt;=1648,"data2",IF(H1224&lt;=2176,"zero-run2",IF(H1224&lt;=2192,"FCS","trailing")))))))</f>
        <v/>
      </c>
      <c r="J1224">
        <f>IFERROR(IF(AND(H1224&lt;&gt;"",H1224&gt;=129,H1224&lt;=2176),INDEX(Fields!$B$2:$B$206,MATCH(H1224-129,Fields!$D$2:$D$206,1)),""),"")</f>
        <v/>
      </c>
      <c r="K1224">
        <f>IFERROR(IF(AND(H1224&lt;&gt;"",H1224&gt;=129,H1224&lt;=2176),INDEX(Fields!$C$2:$C$206,MATCH(H1224-129,Fields!$D$2:$D$206,1)),""),"")</f>
        <v/>
      </c>
      <c r="L1224">
        <f>IFERROR(IF(AND(H1224&lt;&gt;"",H1224&gt;=129,H1224&lt;=2176),INDEX(Fields!$J$2:$J$206,MATCH(H1224-129,Fields!$D$2:$D$206,1)),""),"")</f>
        <v/>
      </c>
      <c r="M1224">
        <f>IFERROR(IF(AND(H1224&lt;&gt;"",H1224&gt;=129,H1224&lt;=2176),INDEX(Fields!$K$2:$K$206,MATCH(H1224-129,Fields!$D$2:$D$206,1)),""),"")</f>
        <v/>
      </c>
    </row>
    <row r="1225">
      <c r="A1225" t="n">
        <v>1223</v>
      </c>
      <c r="B1225" t="n">
        <v>0</v>
      </c>
      <c r="C1225" t="inlineStr">
        <is>
          <t>No</t>
        </is>
      </c>
      <c r="D1225">
        <f>IF(AND(B1220=1,B1221=1,B1222=1,B1223=1,B1224=1),"Yes","")</f>
        <v/>
      </c>
      <c r="E1225" t="inlineStr">
        <is>
          <t>No</t>
        </is>
      </c>
      <c r="F1225" t="inlineStr">
        <is>
          <t>No</t>
        </is>
      </c>
      <c r="G1225">
        <f>IF(F1225="Yes",1-B1225,B1225)</f>
        <v/>
      </c>
      <c r="H1225">
        <f>IF(E1225="Yes","",COUNTIFS($E$2:E1225,"No"))</f>
        <v/>
      </c>
      <c r="I1225">
        <f>IF(H1225="","",IF(H1225&lt;=128,"address",IF(H1225&lt;=600,"data1",IF(H1225&lt;=1264,"zero-run1",IF(H1225&lt;=1648,"data2",IF(H1225&lt;=2176,"zero-run2",IF(H1225&lt;=2192,"FCS","trailing")))))))</f>
        <v/>
      </c>
      <c r="J1225">
        <f>IFERROR(IF(AND(H1225&lt;&gt;"",H1225&gt;=129,H1225&lt;=2176),INDEX(Fields!$B$2:$B$206,MATCH(H1225-129,Fields!$D$2:$D$206,1)),""),"")</f>
        <v/>
      </c>
      <c r="K1225">
        <f>IFERROR(IF(AND(H1225&lt;&gt;"",H1225&gt;=129,H1225&lt;=2176),INDEX(Fields!$C$2:$C$206,MATCH(H1225-129,Fields!$D$2:$D$206,1)),""),"")</f>
        <v/>
      </c>
      <c r="L1225">
        <f>IFERROR(IF(AND(H1225&lt;&gt;"",H1225&gt;=129,H1225&lt;=2176),INDEX(Fields!$J$2:$J$206,MATCH(H1225-129,Fields!$D$2:$D$206,1)),""),"")</f>
        <v/>
      </c>
      <c r="M1225">
        <f>IFERROR(IF(AND(H1225&lt;&gt;"",H1225&gt;=129,H1225&lt;=2176),INDEX(Fields!$K$2:$K$206,MATCH(H1225-129,Fields!$D$2:$D$206,1)),""),"")</f>
        <v/>
      </c>
    </row>
    <row r="1226">
      <c r="A1226" t="n">
        <v>1224</v>
      </c>
      <c r="B1226" t="n">
        <v>0</v>
      </c>
      <c r="C1226" t="inlineStr">
        <is>
          <t>No</t>
        </is>
      </c>
      <c r="D1226">
        <f>IF(AND(B1221=1,B1222=1,B1223=1,B1224=1,B1225=1),"Yes","")</f>
        <v/>
      </c>
      <c r="E1226" t="inlineStr">
        <is>
          <t>No</t>
        </is>
      </c>
      <c r="F1226" t="inlineStr">
        <is>
          <t>No</t>
        </is>
      </c>
      <c r="G1226">
        <f>IF(F1226="Yes",1-B1226,B1226)</f>
        <v/>
      </c>
      <c r="H1226">
        <f>IF(E1226="Yes","",COUNTIFS($E$2:E1226,"No"))</f>
        <v/>
      </c>
      <c r="I1226">
        <f>IF(H1226="","",IF(H1226&lt;=128,"address",IF(H1226&lt;=600,"data1",IF(H1226&lt;=1264,"zero-run1",IF(H1226&lt;=1648,"data2",IF(H1226&lt;=2176,"zero-run2",IF(H1226&lt;=2192,"FCS","trailing")))))))</f>
        <v/>
      </c>
      <c r="J1226">
        <f>IFERROR(IF(AND(H1226&lt;&gt;"",H1226&gt;=129,H1226&lt;=2176),INDEX(Fields!$B$2:$B$206,MATCH(H1226-129,Fields!$D$2:$D$206,1)),""),"")</f>
        <v/>
      </c>
      <c r="K1226">
        <f>IFERROR(IF(AND(H1226&lt;&gt;"",H1226&gt;=129,H1226&lt;=2176),INDEX(Fields!$C$2:$C$206,MATCH(H1226-129,Fields!$D$2:$D$206,1)),""),"")</f>
        <v/>
      </c>
      <c r="L1226">
        <f>IFERROR(IF(AND(H1226&lt;&gt;"",H1226&gt;=129,H1226&lt;=2176),INDEX(Fields!$J$2:$J$206,MATCH(H1226-129,Fields!$D$2:$D$206,1)),""),"")</f>
        <v/>
      </c>
      <c r="M1226">
        <f>IFERROR(IF(AND(H1226&lt;&gt;"",H1226&gt;=129,H1226&lt;=2176),INDEX(Fields!$K$2:$K$206,MATCH(H1226-129,Fields!$D$2:$D$206,1)),""),"")</f>
        <v/>
      </c>
    </row>
    <row r="1227">
      <c r="A1227" t="n">
        <v>1225</v>
      </c>
      <c r="B1227" t="n">
        <v>0</v>
      </c>
      <c r="C1227" t="inlineStr">
        <is>
          <t>No</t>
        </is>
      </c>
      <c r="D1227">
        <f>IF(AND(B1222=1,B1223=1,B1224=1,B1225=1,B1226=1),"Yes","")</f>
        <v/>
      </c>
      <c r="E1227" t="inlineStr">
        <is>
          <t>No</t>
        </is>
      </c>
      <c r="F1227" t="inlineStr">
        <is>
          <t>No</t>
        </is>
      </c>
      <c r="G1227">
        <f>IF(F1227="Yes",1-B1227,B1227)</f>
        <v/>
      </c>
      <c r="H1227">
        <f>IF(E1227="Yes","",COUNTIFS($E$2:E1227,"No"))</f>
        <v/>
      </c>
      <c r="I1227">
        <f>IF(H1227="","",IF(H1227&lt;=128,"address",IF(H1227&lt;=600,"data1",IF(H1227&lt;=1264,"zero-run1",IF(H1227&lt;=1648,"data2",IF(H1227&lt;=2176,"zero-run2",IF(H1227&lt;=2192,"FCS","trailing")))))))</f>
        <v/>
      </c>
      <c r="J1227">
        <f>IFERROR(IF(AND(H1227&lt;&gt;"",H1227&gt;=129,H1227&lt;=2176),INDEX(Fields!$B$2:$B$206,MATCH(H1227-129,Fields!$D$2:$D$206,1)),""),"")</f>
        <v/>
      </c>
      <c r="K1227">
        <f>IFERROR(IF(AND(H1227&lt;&gt;"",H1227&gt;=129,H1227&lt;=2176),INDEX(Fields!$C$2:$C$206,MATCH(H1227-129,Fields!$D$2:$D$206,1)),""),"")</f>
        <v/>
      </c>
      <c r="L1227">
        <f>IFERROR(IF(AND(H1227&lt;&gt;"",H1227&gt;=129,H1227&lt;=2176),INDEX(Fields!$J$2:$J$206,MATCH(H1227-129,Fields!$D$2:$D$206,1)),""),"")</f>
        <v/>
      </c>
      <c r="M1227">
        <f>IFERROR(IF(AND(H1227&lt;&gt;"",H1227&gt;=129,H1227&lt;=2176),INDEX(Fields!$K$2:$K$206,MATCH(H1227-129,Fields!$D$2:$D$206,1)),""),"")</f>
        <v/>
      </c>
    </row>
    <row r="1228">
      <c r="A1228" t="n">
        <v>1226</v>
      </c>
      <c r="B1228" t="n">
        <v>0</v>
      </c>
      <c r="C1228" t="inlineStr">
        <is>
          <t>No</t>
        </is>
      </c>
      <c r="D1228">
        <f>IF(AND(B1223=1,B1224=1,B1225=1,B1226=1,B1227=1),"Yes","")</f>
        <v/>
      </c>
      <c r="E1228" t="inlineStr">
        <is>
          <t>No</t>
        </is>
      </c>
      <c r="F1228" t="inlineStr">
        <is>
          <t>No</t>
        </is>
      </c>
      <c r="G1228">
        <f>IF(F1228="Yes",1-B1228,B1228)</f>
        <v/>
      </c>
      <c r="H1228">
        <f>IF(E1228="Yes","",COUNTIFS($E$2:E1228,"No"))</f>
        <v/>
      </c>
      <c r="I1228">
        <f>IF(H1228="","",IF(H1228&lt;=128,"address",IF(H1228&lt;=600,"data1",IF(H1228&lt;=1264,"zero-run1",IF(H1228&lt;=1648,"data2",IF(H1228&lt;=2176,"zero-run2",IF(H1228&lt;=2192,"FCS","trailing")))))))</f>
        <v/>
      </c>
      <c r="J1228">
        <f>IFERROR(IF(AND(H1228&lt;&gt;"",H1228&gt;=129,H1228&lt;=2176),INDEX(Fields!$B$2:$B$206,MATCH(H1228-129,Fields!$D$2:$D$206,1)),""),"")</f>
        <v/>
      </c>
      <c r="K1228">
        <f>IFERROR(IF(AND(H1228&lt;&gt;"",H1228&gt;=129,H1228&lt;=2176),INDEX(Fields!$C$2:$C$206,MATCH(H1228-129,Fields!$D$2:$D$206,1)),""),"")</f>
        <v/>
      </c>
      <c r="L1228">
        <f>IFERROR(IF(AND(H1228&lt;&gt;"",H1228&gt;=129,H1228&lt;=2176),INDEX(Fields!$J$2:$J$206,MATCH(H1228-129,Fields!$D$2:$D$206,1)),""),"")</f>
        <v/>
      </c>
      <c r="M1228">
        <f>IFERROR(IF(AND(H1228&lt;&gt;"",H1228&gt;=129,H1228&lt;=2176),INDEX(Fields!$K$2:$K$206,MATCH(H1228-129,Fields!$D$2:$D$206,1)),""),"")</f>
        <v/>
      </c>
    </row>
    <row r="1229">
      <c r="A1229" t="n">
        <v>1227</v>
      </c>
      <c r="B1229" t="n">
        <v>0</v>
      </c>
      <c r="C1229" t="inlineStr">
        <is>
          <t>No</t>
        </is>
      </c>
      <c r="D1229">
        <f>IF(AND(B1224=1,B1225=1,B1226=1,B1227=1,B1228=1),"Yes","")</f>
        <v/>
      </c>
      <c r="E1229" t="inlineStr">
        <is>
          <t>No</t>
        </is>
      </c>
      <c r="F1229" t="inlineStr">
        <is>
          <t>No</t>
        </is>
      </c>
      <c r="G1229">
        <f>IF(F1229="Yes",1-B1229,B1229)</f>
        <v/>
      </c>
      <c r="H1229">
        <f>IF(E1229="Yes","",COUNTIFS($E$2:E1229,"No"))</f>
        <v/>
      </c>
      <c r="I1229">
        <f>IF(H1229="","",IF(H1229&lt;=128,"address",IF(H1229&lt;=600,"data1",IF(H1229&lt;=1264,"zero-run1",IF(H1229&lt;=1648,"data2",IF(H1229&lt;=2176,"zero-run2",IF(H1229&lt;=2192,"FCS","trailing")))))))</f>
        <v/>
      </c>
      <c r="J1229">
        <f>IFERROR(IF(AND(H1229&lt;&gt;"",H1229&gt;=129,H1229&lt;=2176),INDEX(Fields!$B$2:$B$206,MATCH(H1229-129,Fields!$D$2:$D$206,1)),""),"")</f>
        <v/>
      </c>
      <c r="K1229">
        <f>IFERROR(IF(AND(H1229&lt;&gt;"",H1229&gt;=129,H1229&lt;=2176),INDEX(Fields!$C$2:$C$206,MATCH(H1229-129,Fields!$D$2:$D$206,1)),""),"")</f>
        <v/>
      </c>
      <c r="L1229">
        <f>IFERROR(IF(AND(H1229&lt;&gt;"",H1229&gt;=129,H1229&lt;=2176),INDEX(Fields!$J$2:$J$206,MATCH(H1229-129,Fields!$D$2:$D$206,1)),""),"")</f>
        <v/>
      </c>
      <c r="M1229">
        <f>IFERROR(IF(AND(H1229&lt;&gt;"",H1229&gt;=129,H1229&lt;=2176),INDEX(Fields!$K$2:$K$206,MATCH(H1229-129,Fields!$D$2:$D$206,1)),""),"")</f>
        <v/>
      </c>
    </row>
    <row r="1230">
      <c r="A1230" t="n">
        <v>1228</v>
      </c>
      <c r="B1230" t="n">
        <v>0</v>
      </c>
      <c r="C1230" t="inlineStr">
        <is>
          <t>No</t>
        </is>
      </c>
      <c r="D1230">
        <f>IF(AND(B1225=1,B1226=1,B1227=1,B1228=1,B1229=1),"Yes","")</f>
        <v/>
      </c>
      <c r="E1230" t="inlineStr">
        <is>
          <t>No</t>
        </is>
      </c>
      <c r="F1230" t="inlineStr">
        <is>
          <t>No</t>
        </is>
      </c>
      <c r="G1230">
        <f>IF(F1230="Yes",1-B1230,B1230)</f>
        <v/>
      </c>
      <c r="H1230">
        <f>IF(E1230="Yes","",COUNTIFS($E$2:E1230,"No"))</f>
        <v/>
      </c>
      <c r="I1230">
        <f>IF(H1230="","",IF(H1230&lt;=128,"address",IF(H1230&lt;=600,"data1",IF(H1230&lt;=1264,"zero-run1",IF(H1230&lt;=1648,"data2",IF(H1230&lt;=2176,"zero-run2",IF(H1230&lt;=2192,"FCS","trailing")))))))</f>
        <v/>
      </c>
      <c r="J1230">
        <f>IFERROR(IF(AND(H1230&lt;&gt;"",H1230&gt;=129,H1230&lt;=2176),INDEX(Fields!$B$2:$B$206,MATCH(H1230-129,Fields!$D$2:$D$206,1)),""),"")</f>
        <v/>
      </c>
      <c r="K1230">
        <f>IFERROR(IF(AND(H1230&lt;&gt;"",H1230&gt;=129,H1230&lt;=2176),INDEX(Fields!$C$2:$C$206,MATCH(H1230-129,Fields!$D$2:$D$206,1)),""),"")</f>
        <v/>
      </c>
      <c r="L1230">
        <f>IFERROR(IF(AND(H1230&lt;&gt;"",H1230&gt;=129,H1230&lt;=2176),INDEX(Fields!$J$2:$J$206,MATCH(H1230-129,Fields!$D$2:$D$206,1)),""),"")</f>
        <v/>
      </c>
      <c r="M1230">
        <f>IFERROR(IF(AND(H1230&lt;&gt;"",H1230&gt;=129,H1230&lt;=2176),INDEX(Fields!$K$2:$K$206,MATCH(H1230-129,Fields!$D$2:$D$206,1)),""),"")</f>
        <v/>
      </c>
    </row>
    <row r="1231">
      <c r="A1231" t="n">
        <v>1229</v>
      </c>
      <c r="B1231" t="n">
        <v>0</v>
      </c>
      <c r="C1231" t="inlineStr">
        <is>
          <t>No</t>
        </is>
      </c>
      <c r="D1231">
        <f>IF(AND(B1226=1,B1227=1,B1228=1,B1229=1,B1230=1),"Yes","")</f>
        <v/>
      </c>
      <c r="E1231" t="inlineStr">
        <is>
          <t>No</t>
        </is>
      </c>
      <c r="F1231" t="inlineStr">
        <is>
          <t>No</t>
        </is>
      </c>
      <c r="G1231">
        <f>IF(F1231="Yes",1-B1231,B1231)</f>
        <v/>
      </c>
      <c r="H1231">
        <f>IF(E1231="Yes","",COUNTIFS($E$2:E1231,"No"))</f>
        <v/>
      </c>
      <c r="I1231">
        <f>IF(H1231="","",IF(H1231&lt;=128,"address",IF(H1231&lt;=600,"data1",IF(H1231&lt;=1264,"zero-run1",IF(H1231&lt;=1648,"data2",IF(H1231&lt;=2176,"zero-run2",IF(H1231&lt;=2192,"FCS","trailing")))))))</f>
        <v/>
      </c>
      <c r="J1231">
        <f>IFERROR(IF(AND(H1231&lt;&gt;"",H1231&gt;=129,H1231&lt;=2176),INDEX(Fields!$B$2:$B$206,MATCH(H1231-129,Fields!$D$2:$D$206,1)),""),"")</f>
        <v/>
      </c>
      <c r="K1231">
        <f>IFERROR(IF(AND(H1231&lt;&gt;"",H1231&gt;=129,H1231&lt;=2176),INDEX(Fields!$C$2:$C$206,MATCH(H1231-129,Fields!$D$2:$D$206,1)),""),"")</f>
        <v/>
      </c>
      <c r="L1231">
        <f>IFERROR(IF(AND(H1231&lt;&gt;"",H1231&gt;=129,H1231&lt;=2176),INDEX(Fields!$J$2:$J$206,MATCH(H1231-129,Fields!$D$2:$D$206,1)),""),"")</f>
        <v/>
      </c>
      <c r="M1231">
        <f>IFERROR(IF(AND(H1231&lt;&gt;"",H1231&gt;=129,H1231&lt;=2176),INDEX(Fields!$K$2:$K$206,MATCH(H1231-129,Fields!$D$2:$D$206,1)),""),"")</f>
        <v/>
      </c>
    </row>
    <row r="1232">
      <c r="A1232" t="n">
        <v>1230</v>
      </c>
      <c r="B1232" t="n">
        <v>0</v>
      </c>
      <c r="C1232" t="inlineStr">
        <is>
          <t>No</t>
        </is>
      </c>
      <c r="D1232">
        <f>IF(AND(B1227=1,B1228=1,B1229=1,B1230=1,B1231=1),"Yes","")</f>
        <v/>
      </c>
      <c r="E1232" t="inlineStr">
        <is>
          <t>No</t>
        </is>
      </c>
      <c r="F1232" t="inlineStr">
        <is>
          <t>No</t>
        </is>
      </c>
      <c r="G1232">
        <f>IF(F1232="Yes",1-B1232,B1232)</f>
        <v/>
      </c>
      <c r="H1232">
        <f>IF(E1232="Yes","",COUNTIFS($E$2:E1232,"No"))</f>
        <v/>
      </c>
      <c r="I1232">
        <f>IF(H1232="","",IF(H1232&lt;=128,"address",IF(H1232&lt;=600,"data1",IF(H1232&lt;=1264,"zero-run1",IF(H1232&lt;=1648,"data2",IF(H1232&lt;=2176,"zero-run2",IF(H1232&lt;=2192,"FCS","trailing")))))))</f>
        <v/>
      </c>
      <c r="J1232">
        <f>IFERROR(IF(AND(H1232&lt;&gt;"",H1232&gt;=129,H1232&lt;=2176),INDEX(Fields!$B$2:$B$206,MATCH(H1232-129,Fields!$D$2:$D$206,1)),""),"")</f>
        <v/>
      </c>
      <c r="K1232">
        <f>IFERROR(IF(AND(H1232&lt;&gt;"",H1232&gt;=129,H1232&lt;=2176),INDEX(Fields!$C$2:$C$206,MATCH(H1232-129,Fields!$D$2:$D$206,1)),""),"")</f>
        <v/>
      </c>
      <c r="L1232">
        <f>IFERROR(IF(AND(H1232&lt;&gt;"",H1232&gt;=129,H1232&lt;=2176),INDEX(Fields!$J$2:$J$206,MATCH(H1232-129,Fields!$D$2:$D$206,1)),""),"")</f>
        <v/>
      </c>
      <c r="M1232">
        <f>IFERROR(IF(AND(H1232&lt;&gt;"",H1232&gt;=129,H1232&lt;=2176),INDEX(Fields!$K$2:$K$206,MATCH(H1232-129,Fields!$D$2:$D$206,1)),""),"")</f>
        <v/>
      </c>
    </row>
    <row r="1233">
      <c r="A1233" t="n">
        <v>1231</v>
      </c>
      <c r="B1233" t="n">
        <v>0</v>
      </c>
      <c r="C1233" t="inlineStr">
        <is>
          <t>No</t>
        </is>
      </c>
      <c r="D1233">
        <f>IF(AND(B1228=1,B1229=1,B1230=1,B1231=1,B1232=1),"Yes","")</f>
        <v/>
      </c>
      <c r="E1233" t="inlineStr">
        <is>
          <t>No</t>
        </is>
      </c>
      <c r="F1233" t="inlineStr">
        <is>
          <t>No</t>
        </is>
      </c>
      <c r="G1233">
        <f>IF(F1233="Yes",1-B1233,B1233)</f>
        <v/>
      </c>
      <c r="H1233">
        <f>IF(E1233="Yes","",COUNTIFS($E$2:E1233,"No"))</f>
        <v/>
      </c>
      <c r="I1233">
        <f>IF(H1233="","",IF(H1233&lt;=128,"address",IF(H1233&lt;=600,"data1",IF(H1233&lt;=1264,"zero-run1",IF(H1233&lt;=1648,"data2",IF(H1233&lt;=2176,"zero-run2",IF(H1233&lt;=2192,"FCS","trailing")))))))</f>
        <v/>
      </c>
      <c r="J1233">
        <f>IFERROR(IF(AND(H1233&lt;&gt;"",H1233&gt;=129,H1233&lt;=2176),INDEX(Fields!$B$2:$B$206,MATCH(H1233-129,Fields!$D$2:$D$206,1)),""),"")</f>
        <v/>
      </c>
      <c r="K1233">
        <f>IFERROR(IF(AND(H1233&lt;&gt;"",H1233&gt;=129,H1233&lt;=2176),INDEX(Fields!$C$2:$C$206,MATCH(H1233-129,Fields!$D$2:$D$206,1)),""),"")</f>
        <v/>
      </c>
      <c r="L1233">
        <f>IFERROR(IF(AND(H1233&lt;&gt;"",H1233&gt;=129,H1233&lt;=2176),INDEX(Fields!$J$2:$J$206,MATCH(H1233-129,Fields!$D$2:$D$206,1)),""),"")</f>
        <v/>
      </c>
      <c r="M1233">
        <f>IFERROR(IF(AND(H1233&lt;&gt;"",H1233&gt;=129,H1233&lt;=2176),INDEX(Fields!$K$2:$K$206,MATCH(H1233-129,Fields!$D$2:$D$206,1)),""),"")</f>
        <v/>
      </c>
    </row>
    <row r="1234">
      <c r="A1234" t="n">
        <v>1232</v>
      </c>
      <c r="B1234" t="n">
        <v>0</v>
      </c>
      <c r="C1234" t="inlineStr">
        <is>
          <t>No</t>
        </is>
      </c>
      <c r="D1234">
        <f>IF(AND(B1229=1,B1230=1,B1231=1,B1232=1,B1233=1),"Yes","")</f>
        <v/>
      </c>
      <c r="E1234" t="inlineStr">
        <is>
          <t>No</t>
        </is>
      </c>
      <c r="F1234" t="inlineStr">
        <is>
          <t>No</t>
        </is>
      </c>
      <c r="G1234">
        <f>IF(F1234="Yes",1-B1234,B1234)</f>
        <v/>
      </c>
      <c r="H1234">
        <f>IF(E1234="Yes","",COUNTIFS($E$2:E1234,"No"))</f>
        <v/>
      </c>
      <c r="I1234">
        <f>IF(H1234="","",IF(H1234&lt;=128,"address",IF(H1234&lt;=600,"data1",IF(H1234&lt;=1264,"zero-run1",IF(H1234&lt;=1648,"data2",IF(H1234&lt;=2176,"zero-run2",IF(H1234&lt;=2192,"FCS","trailing")))))))</f>
        <v/>
      </c>
      <c r="J1234">
        <f>IFERROR(IF(AND(H1234&lt;&gt;"",H1234&gt;=129,H1234&lt;=2176),INDEX(Fields!$B$2:$B$206,MATCH(H1234-129,Fields!$D$2:$D$206,1)),""),"")</f>
        <v/>
      </c>
      <c r="K1234">
        <f>IFERROR(IF(AND(H1234&lt;&gt;"",H1234&gt;=129,H1234&lt;=2176),INDEX(Fields!$C$2:$C$206,MATCH(H1234-129,Fields!$D$2:$D$206,1)),""),"")</f>
        <v/>
      </c>
      <c r="L1234">
        <f>IFERROR(IF(AND(H1234&lt;&gt;"",H1234&gt;=129,H1234&lt;=2176),INDEX(Fields!$J$2:$J$206,MATCH(H1234-129,Fields!$D$2:$D$206,1)),""),"")</f>
        <v/>
      </c>
      <c r="M1234">
        <f>IFERROR(IF(AND(H1234&lt;&gt;"",H1234&gt;=129,H1234&lt;=2176),INDEX(Fields!$K$2:$K$206,MATCH(H1234-129,Fields!$D$2:$D$206,1)),""),"")</f>
        <v/>
      </c>
    </row>
    <row r="1235">
      <c r="A1235" t="n">
        <v>1233</v>
      </c>
      <c r="B1235" t="n">
        <v>0</v>
      </c>
      <c r="C1235" t="inlineStr">
        <is>
          <t>No</t>
        </is>
      </c>
      <c r="D1235">
        <f>IF(AND(B1230=1,B1231=1,B1232=1,B1233=1,B1234=1),"Yes","")</f>
        <v/>
      </c>
      <c r="E1235" t="inlineStr">
        <is>
          <t>No</t>
        </is>
      </c>
      <c r="F1235" t="inlineStr">
        <is>
          <t>No</t>
        </is>
      </c>
      <c r="G1235">
        <f>IF(F1235="Yes",1-B1235,B1235)</f>
        <v/>
      </c>
      <c r="H1235">
        <f>IF(E1235="Yes","",COUNTIFS($E$2:E1235,"No"))</f>
        <v/>
      </c>
      <c r="I1235">
        <f>IF(H1235="","",IF(H1235&lt;=128,"address",IF(H1235&lt;=600,"data1",IF(H1235&lt;=1264,"zero-run1",IF(H1235&lt;=1648,"data2",IF(H1235&lt;=2176,"zero-run2",IF(H1235&lt;=2192,"FCS","trailing")))))))</f>
        <v/>
      </c>
      <c r="J1235">
        <f>IFERROR(IF(AND(H1235&lt;&gt;"",H1235&gt;=129,H1235&lt;=2176),INDEX(Fields!$B$2:$B$206,MATCH(H1235-129,Fields!$D$2:$D$206,1)),""),"")</f>
        <v/>
      </c>
      <c r="K1235">
        <f>IFERROR(IF(AND(H1235&lt;&gt;"",H1235&gt;=129,H1235&lt;=2176),INDEX(Fields!$C$2:$C$206,MATCH(H1235-129,Fields!$D$2:$D$206,1)),""),"")</f>
        <v/>
      </c>
      <c r="L1235">
        <f>IFERROR(IF(AND(H1235&lt;&gt;"",H1235&gt;=129,H1235&lt;=2176),INDEX(Fields!$J$2:$J$206,MATCH(H1235-129,Fields!$D$2:$D$206,1)),""),"")</f>
        <v/>
      </c>
      <c r="M1235">
        <f>IFERROR(IF(AND(H1235&lt;&gt;"",H1235&gt;=129,H1235&lt;=2176),INDEX(Fields!$K$2:$K$206,MATCH(H1235-129,Fields!$D$2:$D$206,1)),""),"")</f>
        <v/>
      </c>
    </row>
    <row r="1236">
      <c r="A1236" t="n">
        <v>1234</v>
      </c>
      <c r="B1236" t="n">
        <v>0</v>
      </c>
      <c r="C1236" t="inlineStr">
        <is>
          <t>No</t>
        </is>
      </c>
      <c r="D1236">
        <f>IF(AND(B1231=1,B1232=1,B1233=1,B1234=1,B1235=1),"Yes","")</f>
        <v/>
      </c>
      <c r="E1236" t="inlineStr">
        <is>
          <t>No</t>
        </is>
      </c>
      <c r="F1236" t="inlineStr">
        <is>
          <t>No</t>
        </is>
      </c>
      <c r="G1236">
        <f>IF(F1236="Yes",1-B1236,B1236)</f>
        <v/>
      </c>
      <c r="H1236">
        <f>IF(E1236="Yes","",COUNTIFS($E$2:E1236,"No"))</f>
        <v/>
      </c>
      <c r="I1236">
        <f>IF(H1236="","",IF(H1236&lt;=128,"address",IF(H1236&lt;=600,"data1",IF(H1236&lt;=1264,"zero-run1",IF(H1236&lt;=1648,"data2",IF(H1236&lt;=2176,"zero-run2",IF(H1236&lt;=2192,"FCS","trailing")))))))</f>
        <v/>
      </c>
      <c r="J1236">
        <f>IFERROR(IF(AND(H1236&lt;&gt;"",H1236&gt;=129,H1236&lt;=2176),INDEX(Fields!$B$2:$B$206,MATCH(H1236-129,Fields!$D$2:$D$206,1)),""),"")</f>
        <v/>
      </c>
      <c r="K1236">
        <f>IFERROR(IF(AND(H1236&lt;&gt;"",H1236&gt;=129,H1236&lt;=2176),INDEX(Fields!$C$2:$C$206,MATCH(H1236-129,Fields!$D$2:$D$206,1)),""),"")</f>
        <v/>
      </c>
      <c r="L1236">
        <f>IFERROR(IF(AND(H1236&lt;&gt;"",H1236&gt;=129,H1236&lt;=2176),INDEX(Fields!$J$2:$J$206,MATCH(H1236-129,Fields!$D$2:$D$206,1)),""),"")</f>
        <v/>
      </c>
      <c r="M1236">
        <f>IFERROR(IF(AND(H1236&lt;&gt;"",H1236&gt;=129,H1236&lt;=2176),INDEX(Fields!$K$2:$K$206,MATCH(H1236-129,Fields!$D$2:$D$206,1)),""),"")</f>
        <v/>
      </c>
    </row>
    <row r="1237">
      <c r="A1237" t="n">
        <v>1235</v>
      </c>
      <c r="B1237" t="n">
        <v>0</v>
      </c>
      <c r="C1237" t="inlineStr">
        <is>
          <t>No</t>
        </is>
      </c>
      <c r="D1237">
        <f>IF(AND(B1232=1,B1233=1,B1234=1,B1235=1,B1236=1),"Yes","")</f>
        <v/>
      </c>
      <c r="E1237" t="inlineStr">
        <is>
          <t>No</t>
        </is>
      </c>
      <c r="F1237" t="inlineStr">
        <is>
          <t>No</t>
        </is>
      </c>
      <c r="G1237">
        <f>IF(F1237="Yes",1-B1237,B1237)</f>
        <v/>
      </c>
      <c r="H1237">
        <f>IF(E1237="Yes","",COUNTIFS($E$2:E1237,"No"))</f>
        <v/>
      </c>
      <c r="I1237">
        <f>IF(H1237="","",IF(H1237&lt;=128,"address",IF(H1237&lt;=600,"data1",IF(H1237&lt;=1264,"zero-run1",IF(H1237&lt;=1648,"data2",IF(H1237&lt;=2176,"zero-run2",IF(H1237&lt;=2192,"FCS","trailing")))))))</f>
        <v/>
      </c>
      <c r="J1237">
        <f>IFERROR(IF(AND(H1237&lt;&gt;"",H1237&gt;=129,H1237&lt;=2176),INDEX(Fields!$B$2:$B$206,MATCH(H1237-129,Fields!$D$2:$D$206,1)),""),"")</f>
        <v/>
      </c>
      <c r="K1237">
        <f>IFERROR(IF(AND(H1237&lt;&gt;"",H1237&gt;=129,H1237&lt;=2176),INDEX(Fields!$C$2:$C$206,MATCH(H1237-129,Fields!$D$2:$D$206,1)),""),"")</f>
        <v/>
      </c>
      <c r="L1237">
        <f>IFERROR(IF(AND(H1237&lt;&gt;"",H1237&gt;=129,H1237&lt;=2176),INDEX(Fields!$J$2:$J$206,MATCH(H1237-129,Fields!$D$2:$D$206,1)),""),"")</f>
        <v/>
      </c>
      <c r="M1237">
        <f>IFERROR(IF(AND(H1237&lt;&gt;"",H1237&gt;=129,H1237&lt;=2176),INDEX(Fields!$K$2:$K$206,MATCH(H1237-129,Fields!$D$2:$D$206,1)),""),"")</f>
        <v/>
      </c>
    </row>
    <row r="1238">
      <c r="A1238" t="n">
        <v>1236</v>
      </c>
      <c r="B1238" t="n">
        <v>0</v>
      </c>
      <c r="C1238" t="inlineStr">
        <is>
          <t>No</t>
        </is>
      </c>
      <c r="D1238">
        <f>IF(AND(B1233=1,B1234=1,B1235=1,B1236=1,B1237=1),"Yes","")</f>
        <v/>
      </c>
      <c r="E1238" t="inlineStr">
        <is>
          <t>No</t>
        </is>
      </c>
      <c r="F1238" t="inlineStr">
        <is>
          <t>No</t>
        </is>
      </c>
      <c r="G1238">
        <f>IF(F1238="Yes",1-B1238,B1238)</f>
        <v/>
      </c>
      <c r="H1238">
        <f>IF(E1238="Yes","",COUNTIFS($E$2:E1238,"No"))</f>
        <v/>
      </c>
      <c r="I1238">
        <f>IF(H1238="","",IF(H1238&lt;=128,"address",IF(H1238&lt;=600,"data1",IF(H1238&lt;=1264,"zero-run1",IF(H1238&lt;=1648,"data2",IF(H1238&lt;=2176,"zero-run2",IF(H1238&lt;=2192,"FCS","trailing")))))))</f>
        <v/>
      </c>
      <c r="J1238">
        <f>IFERROR(IF(AND(H1238&lt;&gt;"",H1238&gt;=129,H1238&lt;=2176),INDEX(Fields!$B$2:$B$206,MATCH(H1238-129,Fields!$D$2:$D$206,1)),""),"")</f>
        <v/>
      </c>
      <c r="K1238">
        <f>IFERROR(IF(AND(H1238&lt;&gt;"",H1238&gt;=129,H1238&lt;=2176),INDEX(Fields!$C$2:$C$206,MATCH(H1238-129,Fields!$D$2:$D$206,1)),""),"")</f>
        <v/>
      </c>
      <c r="L1238">
        <f>IFERROR(IF(AND(H1238&lt;&gt;"",H1238&gt;=129,H1238&lt;=2176),INDEX(Fields!$J$2:$J$206,MATCH(H1238-129,Fields!$D$2:$D$206,1)),""),"")</f>
        <v/>
      </c>
      <c r="M1238">
        <f>IFERROR(IF(AND(H1238&lt;&gt;"",H1238&gt;=129,H1238&lt;=2176),INDEX(Fields!$K$2:$K$206,MATCH(H1238-129,Fields!$D$2:$D$206,1)),""),"")</f>
        <v/>
      </c>
    </row>
    <row r="1239">
      <c r="A1239" t="n">
        <v>1237</v>
      </c>
      <c r="B1239" t="n">
        <v>0</v>
      </c>
      <c r="C1239" t="inlineStr">
        <is>
          <t>No</t>
        </is>
      </c>
      <c r="D1239">
        <f>IF(AND(B1234=1,B1235=1,B1236=1,B1237=1,B1238=1),"Yes","")</f>
        <v/>
      </c>
      <c r="E1239" t="inlineStr">
        <is>
          <t>No</t>
        </is>
      </c>
      <c r="F1239" t="inlineStr">
        <is>
          <t>No</t>
        </is>
      </c>
      <c r="G1239">
        <f>IF(F1239="Yes",1-B1239,B1239)</f>
        <v/>
      </c>
      <c r="H1239">
        <f>IF(E1239="Yes","",COUNTIFS($E$2:E1239,"No"))</f>
        <v/>
      </c>
      <c r="I1239">
        <f>IF(H1239="","",IF(H1239&lt;=128,"address",IF(H1239&lt;=600,"data1",IF(H1239&lt;=1264,"zero-run1",IF(H1239&lt;=1648,"data2",IF(H1239&lt;=2176,"zero-run2",IF(H1239&lt;=2192,"FCS","trailing")))))))</f>
        <v/>
      </c>
      <c r="J1239">
        <f>IFERROR(IF(AND(H1239&lt;&gt;"",H1239&gt;=129,H1239&lt;=2176),INDEX(Fields!$B$2:$B$206,MATCH(H1239-129,Fields!$D$2:$D$206,1)),""),"")</f>
        <v/>
      </c>
      <c r="K1239">
        <f>IFERROR(IF(AND(H1239&lt;&gt;"",H1239&gt;=129,H1239&lt;=2176),INDEX(Fields!$C$2:$C$206,MATCH(H1239-129,Fields!$D$2:$D$206,1)),""),"")</f>
        <v/>
      </c>
      <c r="L1239">
        <f>IFERROR(IF(AND(H1239&lt;&gt;"",H1239&gt;=129,H1239&lt;=2176),INDEX(Fields!$J$2:$J$206,MATCH(H1239-129,Fields!$D$2:$D$206,1)),""),"")</f>
        <v/>
      </c>
      <c r="M1239">
        <f>IFERROR(IF(AND(H1239&lt;&gt;"",H1239&gt;=129,H1239&lt;=2176),INDEX(Fields!$K$2:$K$206,MATCH(H1239-129,Fields!$D$2:$D$206,1)),""),"")</f>
        <v/>
      </c>
    </row>
    <row r="1240">
      <c r="A1240" t="n">
        <v>1238</v>
      </c>
      <c r="B1240" t="n">
        <v>0</v>
      </c>
      <c r="C1240" t="inlineStr">
        <is>
          <t>No</t>
        </is>
      </c>
      <c r="D1240">
        <f>IF(AND(B1235=1,B1236=1,B1237=1,B1238=1,B1239=1),"Yes","")</f>
        <v/>
      </c>
      <c r="E1240" t="inlineStr">
        <is>
          <t>No</t>
        </is>
      </c>
      <c r="F1240" t="inlineStr">
        <is>
          <t>No</t>
        </is>
      </c>
      <c r="G1240">
        <f>IF(F1240="Yes",1-B1240,B1240)</f>
        <v/>
      </c>
      <c r="H1240">
        <f>IF(E1240="Yes","",COUNTIFS($E$2:E1240,"No"))</f>
        <v/>
      </c>
      <c r="I1240">
        <f>IF(H1240="","",IF(H1240&lt;=128,"address",IF(H1240&lt;=600,"data1",IF(H1240&lt;=1264,"zero-run1",IF(H1240&lt;=1648,"data2",IF(H1240&lt;=2176,"zero-run2",IF(H1240&lt;=2192,"FCS","trailing")))))))</f>
        <v/>
      </c>
      <c r="J1240">
        <f>IFERROR(IF(AND(H1240&lt;&gt;"",H1240&gt;=129,H1240&lt;=2176),INDEX(Fields!$B$2:$B$206,MATCH(H1240-129,Fields!$D$2:$D$206,1)),""),"")</f>
        <v/>
      </c>
      <c r="K1240">
        <f>IFERROR(IF(AND(H1240&lt;&gt;"",H1240&gt;=129,H1240&lt;=2176),INDEX(Fields!$C$2:$C$206,MATCH(H1240-129,Fields!$D$2:$D$206,1)),""),"")</f>
        <v/>
      </c>
      <c r="L1240">
        <f>IFERROR(IF(AND(H1240&lt;&gt;"",H1240&gt;=129,H1240&lt;=2176),INDEX(Fields!$J$2:$J$206,MATCH(H1240-129,Fields!$D$2:$D$206,1)),""),"")</f>
        <v/>
      </c>
      <c r="M1240">
        <f>IFERROR(IF(AND(H1240&lt;&gt;"",H1240&gt;=129,H1240&lt;=2176),INDEX(Fields!$K$2:$K$206,MATCH(H1240-129,Fields!$D$2:$D$206,1)),""),"")</f>
        <v/>
      </c>
    </row>
    <row r="1241">
      <c r="A1241" t="n">
        <v>1239</v>
      </c>
      <c r="B1241" t="n">
        <v>0</v>
      </c>
      <c r="C1241" t="inlineStr">
        <is>
          <t>No</t>
        </is>
      </c>
      <c r="D1241">
        <f>IF(AND(B1236=1,B1237=1,B1238=1,B1239=1,B1240=1),"Yes","")</f>
        <v/>
      </c>
      <c r="E1241" t="inlineStr">
        <is>
          <t>No</t>
        </is>
      </c>
      <c r="F1241" t="inlineStr">
        <is>
          <t>No</t>
        </is>
      </c>
      <c r="G1241">
        <f>IF(F1241="Yes",1-B1241,B1241)</f>
        <v/>
      </c>
      <c r="H1241">
        <f>IF(E1241="Yes","",COUNTIFS($E$2:E1241,"No"))</f>
        <v/>
      </c>
      <c r="I1241">
        <f>IF(H1241="","",IF(H1241&lt;=128,"address",IF(H1241&lt;=600,"data1",IF(H1241&lt;=1264,"zero-run1",IF(H1241&lt;=1648,"data2",IF(H1241&lt;=2176,"zero-run2",IF(H1241&lt;=2192,"FCS","trailing")))))))</f>
        <v/>
      </c>
      <c r="J1241">
        <f>IFERROR(IF(AND(H1241&lt;&gt;"",H1241&gt;=129,H1241&lt;=2176),INDEX(Fields!$B$2:$B$206,MATCH(H1241-129,Fields!$D$2:$D$206,1)),""),"")</f>
        <v/>
      </c>
      <c r="K1241">
        <f>IFERROR(IF(AND(H1241&lt;&gt;"",H1241&gt;=129,H1241&lt;=2176),INDEX(Fields!$C$2:$C$206,MATCH(H1241-129,Fields!$D$2:$D$206,1)),""),"")</f>
        <v/>
      </c>
      <c r="L1241">
        <f>IFERROR(IF(AND(H1241&lt;&gt;"",H1241&gt;=129,H1241&lt;=2176),INDEX(Fields!$J$2:$J$206,MATCH(H1241-129,Fields!$D$2:$D$206,1)),""),"")</f>
        <v/>
      </c>
      <c r="M1241">
        <f>IFERROR(IF(AND(H1241&lt;&gt;"",H1241&gt;=129,H1241&lt;=2176),INDEX(Fields!$K$2:$K$206,MATCH(H1241-129,Fields!$D$2:$D$206,1)),""),"")</f>
        <v/>
      </c>
    </row>
    <row r="1242">
      <c r="A1242" t="n">
        <v>1240</v>
      </c>
      <c r="B1242" t="n">
        <v>0</v>
      </c>
      <c r="C1242" t="inlineStr">
        <is>
          <t>No</t>
        </is>
      </c>
      <c r="D1242">
        <f>IF(AND(B1237=1,B1238=1,B1239=1,B1240=1,B1241=1),"Yes","")</f>
        <v/>
      </c>
      <c r="E1242" t="inlineStr">
        <is>
          <t>No</t>
        </is>
      </c>
      <c r="F1242" t="inlineStr">
        <is>
          <t>No</t>
        </is>
      </c>
      <c r="G1242">
        <f>IF(F1242="Yes",1-B1242,B1242)</f>
        <v/>
      </c>
      <c r="H1242">
        <f>IF(E1242="Yes","",COUNTIFS($E$2:E1242,"No"))</f>
        <v/>
      </c>
      <c r="I1242">
        <f>IF(H1242="","",IF(H1242&lt;=128,"address",IF(H1242&lt;=600,"data1",IF(H1242&lt;=1264,"zero-run1",IF(H1242&lt;=1648,"data2",IF(H1242&lt;=2176,"zero-run2",IF(H1242&lt;=2192,"FCS","trailing")))))))</f>
        <v/>
      </c>
      <c r="J1242">
        <f>IFERROR(IF(AND(H1242&lt;&gt;"",H1242&gt;=129,H1242&lt;=2176),INDEX(Fields!$B$2:$B$206,MATCH(H1242-129,Fields!$D$2:$D$206,1)),""),"")</f>
        <v/>
      </c>
      <c r="K1242">
        <f>IFERROR(IF(AND(H1242&lt;&gt;"",H1242&gt;=129,H1242&lt;=2176),INDEX(Fields!$C$2:$C$206,MATCH(H1242-129,Fields!$D$2:$D$206,1)),""),"")</f>
        <v/>
      </c>
      <c r="L1242">
        <f>IFERROR(IF(AND(H1242&lt;&gt;"",H1242&gt;=129,H1242&lt;=2176),INDEX(Fields!$J$2:$J$206,MATCH(H1242-129,Fields!$D$2:$D$206,1)),""),"")</f>
        <v/>
      </c>
      <c r="M1242">
        <f>IFERROR(IF(AND(H1242&lt;&gt;"",H1242&gt;=129,H1242&lt;=2176),INDEX(Fields!$K$2:$K$206,MATCH(H1242-129,Fields!$D$2:$D$206,1)),""),"")</f>
        <v/>
      </c>
    </row>
    <row r="1243">
      <c r="A1243" t="n">
        <v>1241</v>
      </c>
      <c r="B1243" t="n">
        <v>0</v>
      </c>
      <c r="C1243" t="inlineStr">
        <is>
          <t>No</t>
        </is>
      </c>
      <c r="D1243">
        <f>IF(AND(B1238=1,B1239=1,B1240=1,B1241=1,B1242=1),"Yes","")</f>
        <v/>
      </c>
      <c r="E1243" t="inlineStr">
        <is>
          <t>No</t>
        </is>
      </c>
      <c r="F1243" t="inlineStr">
        <is>
          <t>No</t>
        </is>
      </c>
      <c r="G1243">
        <f>IF(F1243="Yes",1-B1243,B1243)</f>
        <v/>
      </c>
      <c r="H1243">
        <f>IF(E1243="Yes","",COUNTIFS($E$2:E1243,"No"))</f>
        <v/>
      </c>
      <c r="I1243">
        <f>IF(H1243="","",IF(H1243&lt;=128,"address",IF(H1243&lt;=600,"data1",IF(H1243&lt;=1264,"zero-run1",IF(H1243&lt;=1648,"data2",IF(H1243&lt;=2176,"zero-run2",IF(H1243&lt;=2192,"FCS","trailing")))))))</f>
        <v/>
      </c>
      <c r="J1243">
        <f>IFERROR(IF(AND(H1243&lt;&gt;"",H1243&gt;=129,H1243&lt;=2176),INDEX(Fields!$B$2:$B$206,MATCH(H1243-129,Fields!$D$2:$D$206,1)),""),"")</f>
        <v/>
      </c>
      <c r="K1243">
        <f>IFERROR(IF(AND(H1243&lt;&gt;"",H1243&gt;=129,H1243&lt;=2176),INDEX(Fields!$C$2:$C$206,MATCH(H1243-129,Fields!$D$2:$D$206,1)),""),"")</f>
        <v/>
      </c>
      <c r="L1243">
        <f>IFERROR(IF(AND(H1243&lt;&gt;"",H1243&gt;=129,H1243&lt;=2176),INDEX(Fields!$J$2:$J$206,MATCH(H1243-129,Fields!$D$2:$D$206,1)),""),"")</f>
        <v/>
      </c>
      <c r="M1243">
        <f>IFERROR(IF(AND(H1243&lt;&gt;"",H1243&gt;=129,H1243&lt;=2176),INDEX(Fields!$K$2:$K$206,MATCH(H1243-129,Fields!$D$2:$D$206,1)),""),"")</f>
        <v/>
      </c>
    </row>
    <row r="1244">
      <c r="A1244" t="n">
        <v>1242</v>
      </c>
      <c r="B1244" t="n">
        <v>0</v>
      </c>
      <c r="C1244" t="inlineStr">
        <is>
          <t>No</t>
        </is>
      </c>
      <c r="D1244">
        <f>IF(AND(B1239=1,B1240=1,B1241=1,B1242=1,B1243=1),"Yes","")</f>
        <v/>
      </c>
      <c r="E1244" t="inlineStr">
        <is>
          <t>No</t>
        </is>
      </c>
      <c r="F1244" t="inlineStr">
        <is>
          <t>No</t>
        </is>
      </c>
      <c r="G1244">
        <f>IF(F1244="Yes",1-B1244,B1244)</f>
        <v/>
      </c>
      <c r="H1244">
        <f>IF(E1244="Yes","",COUNTIFS($E$2:E1244,"No"))</f>
        <v/>
      </c>
      <c r="I1244">
        <f>IF(H1244="","",IF(H1244&lt;=128,"address",IF(H1244&lt;=600,"data1",IF(H1244&lt;=1264,"zero-run1",IF(H1244&lt;=1648,"data2",IF(H1244&lt;=2176,"zero-run2",IF(H1244&lt;=2192,"FCS","trailing")))))))</f>
        <v/>
      </c>
      <c r="J1244">
        <f>IFERROR(IF(AND(H1244&lt;&gt;"",H1244&gt;=129,H1244&lt;=2176),INDEX(Fields!$B$2:$B$206,MATCH(H1244-129,Fields!$D$2:$D$206,1)),""),"")</f>
        <v/>
      </c>
      <c r="K1244">
        <f>IFERROR(IF(AND(H1244&lt;&gt;"",H1244&gt;=129,H1244&lt;=2176),INDEX(Fields!$C$2:$C$206,MATCH(H1244-129,Fields!$D$2:$D$206,1)),""),"")</f>
        <v/>
      </c>
      <c r="L1244">
        <f>IFERROR(IF(AND(H1244&lt;&gt;"",H1244&gt;=129,H1244&lt;=2176),INDEX(Fields!$J$2:$J$206,MATCH(H1244-129,Fields!$D$2:$D$206,1)),""),"")</f>
        <v/>
      </c>
      <c r="M1244">
        <f>IFERROR(IF(AND(H1244&lt;&gt;"",H1244&gt;=129,H1244&lt;=2176),INDEX(Fields!$K$2:$K$206,MATCH(H1244-129,Fields!$D$2:$D$206,1)),""),"")</f>
        <v/>
      </c>
    </row>
    <row r="1245">
      <c r="A1245" t="n">
        <v>1243</v>
      </c>
      <c r="B1245" t="n">
        <v>0</v>
      </c>
      <c r="C1245" t="inlineStr">
        <is>
          <t>No</t>
        </is>
      </c>
      <c r="D1245">
        <f>IF(AND(B1240=1,B1241=1,B1242=1,B1243=1,B1244=1),"Yes","")</f>
        <v/>
      </c>
      <c r="E1245" t="inlineStr">
        <is>
          <t>No</t>
        </is>
      </c>
      <c r="F1245" t="inlineStr">
        <is>
          <t>No</t>
        </is>
      </c>
      <c r="G1245">
        <f>IF(F1245="Yes",1-B1245,B1245)</f>
        <v/>
      </c>
      <c r="H1245">
        <f>IF(E1245="Yes","",COUNTIFS($E$2:E1245,"No"))</f>
        <v/>
      </c>
      <c r="I1245">
        <f>IF(H1245="","",IF(H1245&lt;=128,"address",IF(H1245&lt;=600,"data1",IF(H1245&lt;=1264,"zero-run1",IF(H1245&lt;=1648,"data2",IF(H1245&lt;=2176,"zero-run2",IF(H1245&lt;=2192,"FCS","trailing")))))))</f>
        <v/>
      </c>
      <c r="J1245">
        <f>IFERROR(IF(AND(H1245&lt;&gt;"",H1245&gt;=129,H1245&lt;=2176),INDEX(Fields!$B$2:$B$206,MATCH(H1245-129,Fields!$D$2:$D$206,1)),""),"")</f>
        <v/>
      </c>
      <c r="K1245">
        <f>IFERROR(IF(AND(H1245&lt;&gt;"",H1245&gt;=129,H1245&lt;=2176),INDEX(Fields!$C$2:$C$206,MATCH(H1245-129,Fields!$D$2:$D$206,1)),""),"")</f>
        <v/>
      </c>
      <c r="L1245">
        <f>IFERROR(IF(AND(H1245&lt;&gt;"",H1245&gt;=129,H1245&lt;=2176),INDEX(Fields!$J$2:$J$206,MATCH(H1245-129,Fields!$D$2:$D$206,1)),""),"")</f>
        <v/>
      </c>
      <c r="M1245">
        <f>IFERROR(IF(AND(H1245&lt;&gt;"",H1245&gt;=129,H1245&lt;=2176),INDEX(Fields!$K$2:$K$206,MATCH(H1245-129,Fields!$D$2:$D$206,1)),""),"")</f>
        <v/>
      </c>
    </row>
    <row r="1246">
      <c r="A1246" t="n">
        <v>1244</v>
      </c>
      <c r="B1246" t="n">
        <v>0</v>
      </c>
      <c r="C1246" t="inlineStr">
        <is>
          <t>No</t>
        </is>
      </c>
      <c r="D1246">
        <f>IF(AND(B1241=1,B1242=1,B1243=1,B1244=1,B1245=1),"Yes","")</f>
        <v/>
      </c>
      <c r="E1246" t="inlineStr">
        <is>
          <t>No</t>
        </is>
      </c>
      <c r="F1246" t="inlineStr">
        <is>
          <t>No</t>
        </is>
      </c>
      <c r="G1246">
        <f>IF(F1246="Yes",1-B1246,B1246)</f>
        <v/>
      </c>
      <c r="H1246">
        <f>IF(E1246="Yes","",COUNTIFS($E$2:E1246,"No"))</f>
        <v/>
      </c>
      <c r="I1246">
        <f>IF(H1246="","",IF(H1246&lt;=128,"address",IF(H1246&lt;=600,"data1",IF(H1246&lt;=1264,"zero-run1",IF(H1246&lt;=1648,"data2",IF(H1246&lt;=2176,"zero-run2",IF(H1246&lt;=2192,"FCS","trailing")))))))</f>
        <v/>
      </c>
      <c r="J1246">
        <f>IFERROR(IF(AND(H1246&lt;&gt;"",H1246&gt;=129,H1246&lt;=2176),INDEX(Fields!$B$2:$B$206,MATCH(H1246-129,Fields!$D$2:$D$206,1)),""),"")</f>
        <v/>
      </c>
      <c r="K1246">
        <f>IFERROR(IF(AND(H1246&lt;&gt;"",H1246&gt;=129,H1246&lt;=2176),INDEX(Fields!$C$2:$C$206,MATCH(H1246-129,Fields!$D$2:$D$206,1)),""),"")</f>
        <v/>
      </c>
      <c r="L1246">
        <f>IFERROR(IF(AND(H1246&lt;&gt;"",H1246&gt;=129,H1246&lt;=2176),INDEX(Fields!$J$2:$J$206,MATCH(H1246-129,Fields!$D$2:$D$206,1)),""),"")</f>
        <v/>
      </c>
      <c r="M1246">
        <f>IFERROR(IF(AND(H1246&lt;&gt;"",H1246&gt;=129,H1246&lt;=2176),INDEX(Fields!$K$2:$K$206,MATCH(H1246-129,Fields!$D$2:$D$206,1)),""),"")</f>
        <v/>
      </c>
    </row>
    <row r="1247">
      <c r="A1247" t="n">
        <v>1245</v>
      </c>
      <c r="B1247" t="n">
        <v>0</v>
      </c>
      <c r="C1247" t="inlineStr">
        <is>
          <t>No</t>
        </is>
      </c>
      <c r="D1247">
        <f>IF(AND(B1242=1,B1243=1,B1244=1,B1245=1,B1246=1),"Yes","")</f>
        <v/>
      </c>
      <c r="E1247" t="inlineStr">
        <is>
          <t>No</t>
        </is>
      </c>
      <c r="F1247" t="inlineStr">
        <is>
          <t>No</t>
        </is>
      </c>
      <c r="G1247">
        <f>IF(F1247="Yes",1-B1247,B1247)</f>
        <v/>
      </c>
      <c r="H1247">
        <f>IF(E1247="Yes","",COUNTIFS($E$2:E1247,"No"))</f>
        <v/>
      </c>
      <c r="I1247">
        <f>IF(H1247="","",IF(H1247&lt;=128,"address",IF(H1247&lt;=600,"data1",IF(H1247&lt;=1264,"zero-run1",IF(H1247&lt;=1648,"data2",IF(H1247&lt;=2176,"zero-run2",IF(H1247&lt;=2192,"FCS","trailing")))))))</f>
        <v/>
      </c>
      <c r="J1247">
        <f>IFERROR(IF(AND(H1247&lt;&gt;"",H1247&gt;=129,H1247&lt;=2176),INDEX(Fields!$B$2:$B$206,MATCH(H1247-129,Fields!$D$2:$D$206,1)),""),"")</f>
        <v/>
      </c>
      <c r="K1247">
        <f>IFERROR(IF(AND(H1247&lt;&gt;"",H1247&gt;=129,H1247&lt;=2176),INDEX(Fields!$C$2:$C$206,MATCH(H1247-129,Fields!$D$2:$D$206,1)),""),"")</f>
        <v/>
      </c>
      <c r="L1247">
        <f>IFERROR(IF(AND(H1247&lt;&gt;"",H1247&gt;=129,H1247&lt;=2176),INDEX(Fields!$J$2:$J$206,MATCH(H1247-129,Fields!$D$2:$D$206,1)),""),"")</f>
        <v/>
      </c>
      <c r="M1247">
        <f>IFERROR(IF(AND(H1247&lt;&gt;"",H1247&gt;=129,H1247&lt;=2176),INDEX(Fields!$K$2:$K$206,MATCH(H1247-129,Fields!$D$2:$D$206,1)),""),"")</f>
        <v/>
      </c>
    </row>
    <row r="1248">
      <c r="A1248" t="n">
        <v>1246</v>
      </c>
      <c r="B1248" t="n">
        <v>0</v>
      </c>
      <c r="C1248" t="inlineStr">
        <is>
          <t>No</t>
        </is>
      </c>
      <c r="D1248">
        <f>IF(AND(B1243=1,B1244=1,B1245=1,B1246=1,B1247=1),"Yes","")</f>
        <v/>
      </c>
      <c r="E1248" t="inlineStr">
        <is>
          <t>No</t>
        </is>
      </c>
      <c r="F1248" t="inlineStr">
        <is>
          <t>No</t>
        </is>
      </c>
      <c r="G1248">
        <f>IF(F1248="Yes",1-B1248,B1248)</f>
        <v/>
      </c>
      <c r="H1248">
        <f>IF(E1248="Yes","",COUNTIFS($E$2:E1248,"No"))</f>
        <v/>
      </c>
      <c r="I1248">
        <f>IF(H1248="","",IF(H1248&lt;=128,"address",IF(H1248&lt;=600,"data1",IF(H1248&lt;=1264,"zero-run1",IF(H1248&lt;=1648,"data2",IF(H1248&lt;=2176,"zero-run2",IF(H1248&lt;=2192,"FCS","trailing")))))))</f>
        <v/>
      </c>
      <c r="J1248">
        <f>IFERROR(IF(AND(H1248&lt;&gt;"",H1248&gt;=129,H1248&lt;=2176),INDEX(Fields!$B$2:$B$206,MATCH(H1248-129,Fields!$D$2:$D$206,1)),""),"")</f>
        <v/>
      </c>
      <c r="K1248">
        <f>IFERROR(IF(AND(H1248&lt;&gt;"",H1248&gt;=129,H1248&lt;=2176),INDEX(Fields!$C$2:$C$206,MATCH(H1248-129,Fields!$D$2:$D$206,1)),""),"")</f>
        <v/>
      </c>
      <c r="L1248">
        <f>IFERROR(IF(AND(H1248&lt;&gt;"",H1248&gt;=129,H1248&lt;=2176),INDEX(Fields!$J$2:$J$206,MATCH(H1248-129,Fields!$D$2:$D$206,1)),""),"")</f>
        <v/>
      </c>
      <c r="M1248">
        <f>IFERROR(IF(AND(H1248&lt;&gt;"",H1248&gt;=129,H1248&lt;=2176),INDEX(Fields!$K$2:$K$206,MATCH(H1248-129,Fields!$D$2:$D$206,1)),""),"")</f>
        <v/>
      </c>
    </row>
    <row r="1249">
      <c r="A1249" t="n">
        <v>1247</v>
      </c>
      <c r="B1249" t="n">
        <v>0</v>
      </c>
      <c r="C1249" t="inlineStr">
        <is>
          <t>No</t>
        </is>
      </c>
      <c r="D1249">
        <f>IF(AND(B1244=1,B1245=1,B1246=1,B1247=1,B1248=1),"Yes","")</f>
        <v/>
      </c>
      <c r="E1249" t="inlineStr">
        <is>
          <t>No</t>
        </is>
      </c>
      <c r="F1249" t="inlineStr">
        <is>
          <t>No</t>
        </is>
      </c>
      <c r="G1249">
        <f>IF(F1249="Yes",1-B1249,B1249)</f>
        <v/>
      </c>
      <c r="H1249">
        <f>IF(E1249="Yes","",COUNTIFS($E$2:E1249,"No"))</f>
        <v/>
      </c>
      <c r="I1249">
        <f>IF(H1249="","",IF(H1249&lt;=128,"address",IF(H1249&lt;=600,"data1",IF(H1249&lt;=1264,"zero-run1",IF(H1249&lt;=1648,"data2",IF(H1249&lt;=2176,"zero-run2",IF(H1249&lt;=2192,"FCS","trailing")))))))</f>
        <v/>
      </c>
      <c r="J1249">
        <f>IFERROR(IF(AND(H1249&lt;&gt;"",H1249&gt;=129,H1249&lt;=2176),INDEX(Fields!$B$2:$B$206,MATCH(H1249-129,Fields!$D$2:$D$206,1)),""),"")</f>
        <v/>
      </c>
      <c r="K1249">
        <f>IFERROR(IF(AND(H1249&lt;&gt;"",H1249&gt;=129,H1249&lt;=2176),INDEX(Fields!$C$2:$C$206,MATCH(H1249-129,Fields!$D$2:$D$206,1)),""),"")</f>
        <v/>
      </c>
      <c r="L1249">
        <f>IFERROR(IF(AND(H1249&lt;&gt;"",H1249&gt;=129,H1249&lt;=2176),INDEX(Fields!$J$2:$J$206,MATCH(H1249-129,Fields!$D$2:$D$206,1)),""),"")</f>
        <v/>
      </c>
      <c r="M1249">
        <f>IFERROR(IF(AND(H1249&lt;&gt;"",H1249&gt;=129,H1249&lt;=2176),INDEX(Fields!$K$2:$K$206,MATCH(H1249-129,Fields!$D$2:$D$206,1)),""),"")</f>
        <v/>
      </c>
    </row>
    <row r="1250">
      <c r="A1250" t="n">
        <v>1248</v>
      </c>
      <c r="B1250" t="n">
        <v>0</v>
      </c>
      <c r="C1250" t="inlineStr">
        <is>
          <t>No</t>
        </is>
      </c>
      <c r="D1250">
        <f>IF(AND(B1245=1,B1246=1,B1247=1,B1248=1,B1249=1),"Yes","")</f>
        <v/>
      </c>
      <c r="E1250" t="inlineStr">
        <is>
          <t>No</t>
        </is>
      </c>
      <c r="F1250" t="inlineStr">
        <is>
          <t>No</t>
        </is>
      </c>
      <c r="G1250">
        <f>IF(F1250="Yes",1-B1250,B1250)</f>
        <v/>
      </c>
      <c r="H1250">
        <f>IF(E1250="Yes","",COUNTIFS($E$2:E1250,"No"))</f>
        <v/>
      </c>
      <c r="I1250">
        <f>IF(H1250="","",IF(H1250&lt;=128,"address",IF(H1250&lt;=600,"data1",IF(H1250&lt;=1264,"zero-run1",IF(H1250&lt;=1648,"data2",IF(H1250&lt;=2176,"zero-run2",IF(H1250&lt;=2192,"FCS","trailing")))))))</f>
        <v/>
      </c>
      <c r="J1250">
        <f>IFERROR(IF(AND(H1250&lt;&gt;"",H1250&gt;=129,H1250&lt;=2176),INDEX(Fields!$B$2:$B$206,MATCH(H1250-129,Fields!$D$2:$D$206,1)),""),"")</f>
        <v/>
      </c>
      <c r="K1250">
        <f>IFERROR(IF(AND(H1250&lt;&gt;"",H1250&gt;=129,H1250&lt;=2176),INDEX(Fields!$C$2:$C$206,MATCH(H1250-129,Fields!$D$2:$D$206,1)),""),"")</f>
        <v/>
      </c>
      <c r="L1250">
        <f>IFERROR(IF(AND(H1250&lt;&gt;"",H1250&gt;=129,H1250&lt;=2176),INDEX(Fields!$J$2:$J$206,MATCH(H1250-129,Fields!$D$2:$D$206,1)),""),"")</f>
        <v/>
      </c>
      <c r="M1250">
        <f>IFERROR(IF(AND(H1250&lt;&gt;"",H1250&gt;=129,H1250&lt;=2176),INDEX(Fields!$K$2:$K$206,MATCH(H1250-129,Fields!$D$2:$D$206,1)),""),"")</f>
        <v/>
      </c>
    </row>
    <row r="1251">
      <c r="A1251" t="n">
        <v>1249</v>
      </c>
      <c r="B1251" t="n">
        <v>0</v>
      </c>
      <c r="C1251" t="inlineStr">
        <is>
          <t>No</t>
        </is>
      </c>
      <c r="D1251">
        <f>IF(AND(B1246=1,B1247=1,B1248=1,B1249=1,B1250=1),"Yes","")</f>
        <v/>
      </c>
      <c r="E1251" t="inlineStr">
        <is>
          <t>No</t>
        </is>
      </c>
      <c r="F1251" t="inlineStr">
        <is>
          <t>No</t>
        </is>
      </c>
      <c r="G1251">
        <f>IF(F1251="Yes",1-B1251,B1251)</f>
        <v/>
      </c>
      <c r="H1251">
        <f>IF(E1251="Yes","",COUNTIFS($E$2:E1251,"No"))</f>
        <v/>
      </c>
      <c r="I1251">
        <f>IF(H1251="","",IF(H1251&lt;=128,"address",IF(H1251&lt;=600,"data1",IF(H1251&lt;=1264,"zero-run1",IF(H1251&lt;=1648,"data2",IF(H1251&lt;=2176,"zero-run2",IF(H1251&lt;=2192,"FCS","trailing")))))))</f>
        <v/>
      </c>
      <c r="J1251">
        <f>IFERROR(IF(AND(H1251&lt;&gt;"",H1251&gt;=129,H1251&lt;=2176),INDEX(Fields!$B$2:$B$206,MATCH(H1251-129,Fields!$D$2:$D$206,1)),""),"")</f>
        <v/>
      </c>
      <c r="K1251">
        <f>IFERROR(IF(AND(H1251&lt;&gt;"",H1251&gt;=129,H1251&lt;=2176),INDEX(Fields!$C$2:$C$206,MATCH(H1251-129,Fields!$D$2:$D$206,1)),""),"")</f>
        <v/>
      </c>
      <c r="L1251">
        <f>IFERROR(IF(AND(H1251&lt;&gt;"",H1251&gt;=129,H1251&lt;=2176),INDEX(Fields!$J$2:$J$206,MATCH(H1251-129,Fields!$D$2:$D$206,1)),""),"")</f>
        <v/>
      </c>
      <c r="M1251">
        <f>IFERROR(IF(AND(H1251&lt;&gt;"",H1251&gt;=129,H1251&lt;=2176),INDEX(Fields!$K$2:$K$206,MATCH(H1251-129,Fields!$D$2:$D$206,1)),""),"")</f>
        <v/>
      </c>
    </row>
    <row r="1252">
      <c r="A1252" t="n">
        <v>1250</v>
      </c>
      <c r="B1252" t="n">
        <v>0</v>
      </c>
      <c r="C1252" t="inlineStr">
        <is>
          <t>No</t>
        </is>
      </c>
      <c r="D1252">
        <f>IF(AND(B1247=1,B1248=1,B1249=1,B1250=1,B1251=1),"Yes","")</f>
        <v/>
      </c>
      <c r="E1252" t="inlineStr">
        <is>
          <t>No</t>
        </is>
      </c>
      <c r="F1252" t="inlineStr">
        <is>
          <t>No</t>
        </is>
      </c>
      <c r="G1252">
        <f>IF(F1252="Yes",1-B1252,B1252)</f>
        <v/>
      </c>
      <c r="H1252">
        <f>IF(E1252="Yes","",COUNTIFS($E$2:E1252,"No"))</f>
        <v/>
      </c>
      <c r="I1252">
        <f>IF(H1252="","",IF(H1252&lt;=128,"address",IF(H1252&lt;=600,"data1",IF(H1252&lt;=1264,"zero-run1",IF(H1252&lt;=1648,"data2",IF(H1252&lt;=2176,"zero-run2",IF(H1252&lt;=2192,"FCS","trailing")))))))</f>
        <v/>
      </c>
      <c r="J1252">
        <f>IFERROR(IF(AND(H1252&lt;&gt;"",H1252&gt;=129,H1252&lt;=2176),INDEX(Fields!$B$2:$B$206,MATCH(H1252-129,Fields!$D$2:$D$206,1)),""),"")</f>
        <v/>
      </c>
      <c r="K1252">
        <f>IFERROR(IF(AND(H1252&lt;&gt;"",H1252&gt;=129,H1252&lt;=2176),INDEX(Fields!$C$2:$C$206,MATCH(H1252-129,Fields!$D$2:$D$206,1)),""),"")</f>
        <v/>
      </c>
      <c r="L1252">
        <f>IFERROR(IF(AND(H1252&lt;&gt;"",H1252&gt;=129,H1252&lt;=2176),INDEX(Fields!$J$2:$J$206,MATCH(H1252-129,Fields!$D$2:$D$206,1)),""),"")</f>
        <v/>
      </c>
      <c r="M1252">
        <f>IFERROR(IF(AND(H1252&lt;&gt;"",H1252&gt;=129,H1252&lt;=2176),INDEX(Fields!$K$2:$K$206,MATCH(H1252-129,Fields!$D$2:$D$206,1)),""),"")</f>
        <v/>
      </c>
    </row>
    <row r="1253">
      <c r="A1253" t="n">
        <v>1251</v>
      </c>
      <c r="B1253" t="n">
        <v>0</v>
      </c>
      <c r="C1253" t="inlineStr">
        <is>
          <t>No</t>
        </is>
      </c>
      <c r="D1253">
        <f>IF(AND(B1248=1,B1249=1,B1250=1,B1251=1,B1252=1),"Yes","")</f>
        <v/>
      </c>
      <c r="E1253" t="inlineStr">
        <is>
          <t>No</t>
        </is>
      </c>
      <c r="F1253" t="inlineStr">
        <is>
          <t>No</t>
        </is>
      </c>
      <c r="G1253">
        <f>IF(F1253="Yes",1-B1253,B1253)</f>
        <v/>
      </c>
      <c r="H1253">
        <f>IF(E1253="Yes","",COUNTIFS($E$2:E1253,"No"))</f>
        <v/>
      </c>
      <c r="I1253">
        <f>IF(H1253="","",IF(H1253&lt;=128,"address",IF(H1253&lt;=600,"data1",IF(H1253&lt;=1264,"zero-run1",IF(H1253&lt;=1648,"data2",IF(H1253&lt;=2176,"zero-run2",IF(H1253&lt;=2192,"FCS","trailing")))))))</f>
        <v/>
      </c>
      <c r="J1253">
        <f>IFERROR(IF(AND(H1253&lt;&gt;"",H1253&gt;=129,H1253&lt;=2176),INDEX(Fields!$B$2:$B$206,MATCH(H1253-129,Fields!$D$2:$D$206,1)),""),"")</f>
        <v/>
      </c>
      <c r="K1253">
        <f>IFERROR(IF(AND(H1253&lt;&gt;"",H1253&gt;=129,H1253&lt;=2176),INDEX(Fields!$C$2:$C$206,MATCH(H1253-129,Fields!$D$2:$D$206,1)),""),"")</f>
        <v/>
      </c>
      <c r="L1253">
        <f>IFERROR(IF(AND(H1253&lt;&gt;"",H1253&gt;=129,H1253&lt;=2176),INDEX(Fields!$J$2:$J$206,MATCH(H1253-129,Fields!$D$2:$D$206,1)),""),"")</f>
        <v/>
      </c>
      <c r="M1253">
        <f>IFERROR(IF(AND(H1253&lt;&gt;"",H1253&gt;=129,H1253&lt;=2176),INDEX(Fields!$K$2:$K$206,MATCH(H1253-129,Fields!$D$2:$D$206,1)),""),"")</f>
        <v/>
      </c>
    </row>
    <row r="1254">
      <c r="A1254" t="n">
        <v>1252</v>
      </c>
      <c r="B1254" t="n">
        <v>0</v>
      </c>
      <c r="C1254" t="inlineStr">
        <is>
          <t>No</t>
        </is>
      </c>
      <c r="D1254">
        <f>IF(AND(B1249=1,B1250=1,B1251=1,B1252=1,B1253=1),"Yes","")</f>
        <v/>
      </c>
      <c r="E1254" t="inlineStr">
        <is>
          <t>No</t>
        </is>
      </c>
      <c r="F1254" t="inlineStr">
        <is>
          <t>No</t>
        </is>
      </c>
      <c r="G1254">
        <f>IF(F1254="Yes",1-B1254,B1254)</f>
        <v/>
      </c>
      <c r="H1254">
        <f>IF(E1254="Yes","",COUNTIFS($E$2:E1254,"No"))</f>
        <v/>
      </c>
      <c r="I1254">
        <f>IF(H1254="","",IF(H1254&lt;=128,"address",IF(H1254&lt;=600,"data1",IF(H1254&lt;=1264,"zero-run1",IF(H1254&lt;=1648,"data2",IF(H1254&lt;=2176,"zero-run2",IF(H1254&lt;=2192,"FCS","trailing")))))))</f>
        <v/>
      </c>
      <c r="J1254">
        <f>IFERROR(IF(AND(H1254&lt;&gt;"",H1254&gt;=129,H1254&lt;=2176),INDEX(Fields!$B$2:$B$206,MATCH(H1254-129,Fields!$D$2:$D$206,1)),""),"")</f>
        <v/>
      </c>
      <c r="K1254">
        <f>IFERROR(IF(AND(H1254&lt;&gt;"",H1254&gt;=129,H1254&lt;=2176),INDEX(Fields!$C$2:$C$206,MATCH(H1254-129,Fields!$D$2:$D$206,1)),""),"")</f>
        <v/>
      </c>
      <c r="L1254">
        <f>IFERROR(IF(AND(H1254&lt;&gt;"",H1254&gt;=129,H1254&lt;=2176),INDEX(Fields!$J$2:$J$206,MATCH(H1254-129,Fields!$D$2:$D$206,1)),""),"")</f>
        <v/>
      </c>
      <c r="M1254">
        <f>IFERROR(IF(AND(H1254&lt;&gt;"",H1254&gt;=129,H1254&lt;=2176),INDEX(Fields!$K$2:$K$206,MATCH(H1254-129,Fields!$D$2:$D$206,1)),""),"")</f>
        <v/>
      </c>
    </row>
    <row r="1255">
      <c r="A1255" t="n">
        <v>1253</v>
      </c>
      <c r="B1255" t="n">
        <v>0</v>
      </c>
      <c r="C1255" t="inlineStr">
        <is>
          <t>No</t>
        </is>
      </c>
      <c r="D1255">
        <f>IF(AND(B1250=1,B1251=1,B1252=1,B1253=1,B1254=1),"Yes","")</f>
        <v/>
      </c>
      <c r="E1255" t="inlineStr">
        <is>
          <t>No</t>
        </is>
      </c>
      <c r="F1255" t="inlineStr">
        <is>
          <t>No</t>
        </is>
      </c>
      <c r="G1255">
        <f>IF(F1255="Yes",1-B1255,B1255)</f>
        <v/>
      </c>
      <c r="H1255">
        <f>IF(E1255="Yes","",COUNTIFS($E$2:E1255,"No"))</f>
        <v/>
      </c>
      <c r="I1255">
        <f>IF(H1255="","",IF(H1255&lt;=128,"address",IF(H1255&lt;=600,"data1",IF(H1255&lt;=1264,"zero-run1",IF(H1255&lt;=1648,"data2",IF(H1255&lt;=2176,"zero-run2",IF(H1255&lt;=2192,"FCS","trailing")))))))</f>
        <v/>
      </c>
      <c r="J1255">
        <f>IFERROR(IF(AND(H1255&lt;&gt;"",H1255&gt;=129,H1255&lt;=2176),INDEX(Fields!$B$2:$B$206,MATCH(H1255-129,Fields!$D$2:$D$206,1)),""),"")</f>
        <v/>
      </c>
      <c r="K1255">
        <f>IFERROR(IF(AND(H1255&lt;&gt;"",H1255&gt;=129,H1255&lt;=2176),INDEX(Fields!$C$2:$C$206,MATCH(H1255-129,Fields!$D$2:$D$206,1)),""),"")</f>
        <v/>
      </c>
      <c r="L1255">
        <f>IFERROR(IF(AND(H1255&lt;&gt;"",H1255&gt;=129,H1255&lt;=2176),INDEX(Fields!$J$2:$J$206,MATCH(H1255-129,Fields!$D$2:$D$206,1)),""),"")</f>
        <v/>
      </c>
      <c r="M1255">
        <f>IFERROR(IF(AND(H1255&lt;&gt;"",H1255&gt;=129,H1255&lt;=2176),INDEX(Fields!$K$2:$K$206,MATCH(H1255-129,Fields!$D$2:$D$206,1)),""),"")</f>
        <v/>
      </c>
    </row>
    <row r="1256">
      <c r="A1256" t="n">
        <v>1254</v>
      </c>
      <c r="B1256" t="n">
        <v>0</v>
      </c>
      <c r="C1256" t="inlineStr">
        <is>
          <t>No</t>
        </is>
      </c>
      <c r="D1256">
        <f>IF(AND(B1251=1,B1252=1,B1253=1,B1254=1,B1255=1),"Yes","")</f>
        <v/>
      </c>
      <c r="E1256" t="inlineStr">
        <is>
          <t>No</t>
        </is>
      </c>
      <c r="F1256" t="inlineStr">
        <is>
          <t>No</t>
        </is>
      </c>
      <c r="G1256">
        <f>IF(F1256="Yes",1-B1256,B1256)</f>
        <v/>
      </c>
      <c r="H1256">
        <f>IF(E1256="Yes","",COUNTIFS($E$2:E1256,"No"))</f>
        <v/>
      </c>
      <c r="I1256">
        <f>IF(H1256="","",IF(H1256&lt;=128,"address",IF(H1256&lt;=600,"data1",IF(H1256&lt;=1264,"zero-run1",IF(H1256&lt;=1648,"data2",IF(H1256&lt;=2176,"zero-run2",IF(H1256&lt;=2192,"FCS","trailing")))))))</f>
        <v/>
      </c>
      <c r="J1256">
        <f>IFERROR(IF(AND(H1256&lt;&gt;"",H1256&gt;=129,H1256&lt;=2176),INDEX(Fields!$B$2:$B$206,MATCH(H1256-129,Fields!$D$2:$D$206,1)),""),"")</f>
        <v/>
      </c>
      <c r="K1256">
        <f>IFERROR(IF(AND(H1256&lt;&gt;"",H1256&gt;=129,H1256&lt;=2176),INDEX(Fields!$C$2:$C$206,MATCH(H1256-129,Fields!$D$2:$D$206,1)),""),"")</f>
        <v/>
      </c>
      <c r="L1256">
        <f>IFERROR(IF(AND(H1256&lt;&gt;"",H1256&gt;=129,H1256&lt;=2176),INDEX(Fields!$J$2:$J$206,MATCH(H1256-129,Fields!$D$2:$D$206,1)),""),"")</f>
        <v/>
      </c>
      <c r="M1256">
        <f>IFERROR(IF(AND(H1256&lt;&gt;"",H1256&gt;=129,H1256&lt;=2176),INDEX(Fields!$K$2:$K$206,MATCH(H1256-129,Fields!$D$2:$D$206,1)),""),"")</f>
        <v/>
      </c>
    </row>
    <row r="1257">
      <c r="A1257" t="n">
        <v>1255</v>
      </c>
      <c r="B1257" t="n">
        <v>0</v>
      </c>
      <c r="C1257" t="inlineStr">
        <is>
          <t>No</t>
        </is>
      </c>
      <c r="D1257">
        <f>IF(AND(B1252=1,B1253=1,B1254=1,B1255=1,B1256=1),"Yes","")</f>
        <v/>
      </c>
      <c r="E1257" t="inlineStr">
        <is>
          <t>No</t>
        </is>
      </c>
      <c r="F1257" t="inlineStr">
        <is>
          <t>No</t>
        </is>
      </c>
      <c r="G1257">
        <f>IF(F1257="Yes",1-B1257,B1257)</f>
        <v/>
      </c>
      <c r="H1257">
        <f>IF(E1257="Yes","",COUNTIFS($E$2:E1257,"No"))</f>
        <v/>
      </c>
      <c r="I1257">
        <f>IF(H1257="","",IF(H1257&lt;=128,"address",IF(H1257&lt;=600,"data1",IF(H1257&lt;=1264,"zero-run1",IF(H1257&lt;=1648,"data2",IF(H1257&lt;=2176,"zero-run2",IF(H1257&lt;=2192,"FCS","trailing")))))))</f>
        <v/>
      </c>
      <c r="J1257">
        <f>IFERROR(IF(AND(H1257&lt;&gt;"",H1257&gt;=129,H1257&lt;=2176),INDEX(Fields!$B$2:$B$206,MATCH(H1257-129,Fields!$D$2:$D$206,1)),""),"")</f>
        <v/>
      </c>
      <c r="K1257">
        <f>IFERROR(IF(AND(H1257&lt;&gt;"",H1257&gt;=129,H1257&lt;=2176),INDEX(Fields!$C$2:$C$206,MATCH(H1257-129,Fields!$D$2:$D$206,1)),""),"")</f>
        <v/>
      </c>
      <c r="L1257">
        <f>IFERROR(IF(AND(H1257&lt;&gt;"",H1257&gt;=129,H1257&lt;=2176),INDEX(Fields!$J$2:$J$206,MATCH(H1257-129,Fields!$D$2:$D$206,1)),""),"")</f>
        <v/>
      </c>
      <c r="M1257">
        <f>IFERROR(IF(AND(H1257&lt;&gt;"",H1257&gt;=129,H1257&lt;=2176),INDEX(Fields!$K$2:$K$206,MATCH(H1257-129,Fields!$D$2:$D$206,1)),""),"")</f>
        <v/>
      </c>
    </row>
    <row r="1258">
      <c r="A1258" t="n">
        <v>1256</v>
      </c>
      <c r="B1258" t="n">
        <v>0</v>
      </c>
      <c r="C1258" t="inlineStr">
        <is>
          <t>No</t>
        </is>
      </c>
      <c r="D1258">
        <f>IF(AND(B1253=1,B1254=1,B1255=1,B1256=1,B1257=1),"Yes","")</f>
        <v/>
      </c>
      <c r="E1258" t="inlineStr">
        <is>
          <t>No</t>
        </is>
      </c>
      <c r="F1258" t="inlineStr">
        <is>
          <t>No</t>
        </is>
      </c>
      <c r="G1258">
        <f>IF(F1258="Yes",1-B1258,B1258)</f>
        <v/>
      </c>
      <c r="H1258">
        <f>IF(E1258="Yes","",COUNTIFS($E$2:E1258,"No"))</f>
        <v/>
      </c>
      <c r="I1258">
        <f>IF(H1258="","",IF(H1258&lt;=128,"address",IF(H1258&lt;=600,"data1",IF(H1258&lt;=1264,"zero-run1",IF(H1258&lt;=1648,"data2",IF(H1258&lt;=2176,"zero-run2",IF(H1258&lt;=2192,"FCS","trailing")))))))</f>
        <v/>
      </c>
      <c r="J1258">
        <f>IFERROR(IF(AND(H1258&lt;&gt;"",H1258&gt;=129,H1258&lt;=2176),INDEX(Fields!$B$2:$B$206,MATCH(H1258-129,Fields!$D$2:$D$206,1)),""),"")</f>
        <v/>
      </c>
      <c r="K1258">
        <f>IFERROR(IF(AND(H1258&lt;&gt;"",H1258&gt;=129,H1258&lt;=2176),INDEX(Fields!$C$2:$C$206,MATCH(H1258-129,Fields!$D$2:$D$206,1)),""),"")</f>
        <v/>
      </c>
      <c r="L1258">
        <f>IFERROR(IF(AND(H1258&lt;&gt;"",H1258&gt;=129,H1258&lt;=2176),INDEX(Fields!$J$2:$J$206,MATCH(H1258-129,Fields!$D$2:$D$206,1)),""),"")</f>
        <v/>
      </c>
      <c r="M1258">
        <f>IFERROR(IF(AND(H1258&lt;&gt;"",H1258&gt;=129,H1258&lt;=2176),INDEX(Fields!$K$2:$K$206,MATCH(H1258-129,Fields!$D$2:$D$206,1)),""),"")</f>
        <v/>
      </c>
    </row>
    <row r="1259">
      <c r="A1259" t="n">
        <v>1257</v>
      </c>
      <c r="B1259" t="n">
        <v>0</v>
      </c>
      <c r="C1259" t="inlineStr">
        <is>
          <t>No</t>
        </is>
      </c>
      <c r="D1259">
        <f>IF(AND(B1254=1,B1255=1,B1256=1,B1257=1,B1258=1),"Yes","")</f>
        <v/>
      </c>
      <c r="E1259" t="inlineStr">
        <is>
          <t>No</t>
        </is>
      </c>
      <c r="F1259" t="inlineStr">
        <is>
          <t>No</t>
        </is>
      </c>
      <c r="G1259">
        <f>IF(F1259="Yes",1-B1259,B1259)</f>
        <v/>
      </c>
      <c r="H1259">
        <f>IF(E1259="Yes","",COUNTIFS($E$2:E1259,"No"))</f>
        <v/>
      </c>
      <c r="I1259">
        <f>IF(H1259="","",IF(H1259&lt;=128,"address",IF(H1259&lt;=600,"data1",IF(H1259&lt;=1264,"zero-run1",IF(H1259&lt;=1648,"data2",IF(H1259&lt;=2176,"zero-run2",IF(H1259&lt;=2192,"FCS","trailing")))))))</f>
        <v/>
      </c>
      <c r="J1259">
        <f>IFERROR(IF(AND(H1259&lt;&gt;"",H1259&gt;=129,H1259&lt;=2176),INDEX(Fields!$B$2:$B$206,MATCH(H1259-129,Fields!$D$2:$D$206,1)),""),"")</f>
        <v/>
      </c>
      <c r="K1259">
        <f>IFERROR(IF(AND(H1259&lt;&gt;"",H1259&gt;=129,H1259&lt;=2176),INDEX(Fields!$C$2:$C$206,MATCH(H1259-129,Fields!$D$2:$D$206,1)),""),"")</f>
        <v/>
      </c>
      <c r="L1259">
        <f>IFERROR(IF(AND(H1259&lt;&gt;"",H1259&gt;=129,H1259&lt;=2176),INDEX(Fields!$J$2:$J$206,MATCH(H1259-129,Fields!$D$2:$D$206,1)),""),"")</f>
        <v/>
      </c>
      <c r="M1259">
        <f>IFERROR(IF(AND(H1259&lt;&gt;"",H1259&gt;=129,H1259&lt;=2176),INDEX(Fields!$K$2:$K$206,MATCH(H1259-129,Fields!$D$2:$D$206,1)),""),"")</f>
        <v/>
      </c>
    </row>
    <row r="1260">
      <c r="A1260" t="n">
        <v>1258</v>
      </c>
      <c r="B1260" t="n">
        <v>0</v>
      </c>
      <c r="C1260" t="inlineStr">
        <is>
          <t>No</t>
        </is>
      </c>
      <c r="D1260">
        <f>IF(AND(B1255=1,B1256=1,B1257=1,B1258=1,B1259=1),"Yes","")</f>
        <v/>
      </c>
      <c r="E1260" t="inlineStr">
        <is>
          <t>No</t>
        </is>
      </c>
      <c r="F1260" t="inlineStr">
        <is>
          <t>No</t>
        </is>
      </c>
      <c r="G1260">
        <f>IF(F1260="Yes",1-B1260,B1260)</f>
        <v/>
      </c>
      <c r="H1260">
        <f>IF(E1260="Yes","",COUNTIFS($E$2:E1260,"No"))</f>
        <v/>
      </c>
      <c r="I1260">
        <f>IF(H1260="","",IF(H1260&lt;=128,"address",IF(H1260&lt;=600,"data1",IF(H1260&lt;=1264,"zero-run1",IF(H1260&lt;=1648,"data2",IF(H1260&lt;=2176,"zero-run2",IF(H1260&lt;=2192,"FCS","trailing")))))))</f>
        <v/>
      </c>
      <c r="J1260">
        <f>IFERROR(IF(AND(H1260&lt;&gt;"",H1260&gt;=129,H1260&lt;=2176),INDEX(Fields!$B$2:$B$206,MATCH(H1260-129,Fields!$D$2:$D$206,1)),""),"")</f>
        <v/>
      </c>
      <c r="K1260">
        <f>IFERROR(IF(AND(H1260&lt;&gt;"",H1260&gt;=129,H1260&lt;=2176),INDEX(Fields!$C$2:$C$206,MATCH(H1260-129,Fields!$D$2:$D$206,1)),""),"")</f>
        <v/>
      </c>
      <c r="L1260">
        <f>IFERROR(IF(AND(H1260&lt;&gt;"",H1260&gt;=129,H1260&lt;=2176),INDEX(Fields!$J$2:$J$206,MATCH(H1260-129,Fields!$D$2:$D$206,1)),""),"")</f>
        <v/>
      </c>
      <c r="M1260">
        <f>IFERROR(IF(AND(H1260&lt;&gt;"",H1260&gt;=129,H1260&lt;=2176),INDEX(Fields!$K$2:$K$206,MATCH(H1260-129,Fields!$D$2:$D$206,1)),""),"")</f>
        <v/>
      </c>
    </row>
    <row r="1261">
      <c r="A1261" t="n">
        <v>1259</v>
      </c>
      <c r="B1261" t="n">
        <v>0</v>
      </c>
      <c r="C1261" t="inlineStr">
        <is>
          <t>No</t>
        </is>
      </c>
      <c r="D1261">
        <f>IF(AND(B1256=1,B1257=1,B1258=1,B1259=1,B1260=1),"Yes","")</f>
        <v/>
      </c>
      <c r="E1261" t="inlineStr">
        <is>
          <t>No</t>
        </is>
      </c>
      <c r="F1261" t="inlineStr">
        <is>
          <t>No</t>
        </is>
      </c>
      <c r="G1261">
        <f>IF(F1261="Yes",1-B1261,B1261)</f>
        <v/>
      </c>
      <c r="H1261">
        <f>IF(E1261="Yes","",COUNTIFS($E$2:E1261,"No"))</f>
        <v/>
      </c>
      <c r="I1261">
        <f>IF(H1261="","",IF(H1261&lt;=128,"address",IF(H1261&lt;=600,"data1",IF(H1261&lt;=1264,"zero-run1",IF(H1261&lt;=1648,"data2",IF(H1261&lt;=2176,"zero-run2",IF(H1261&lt;=2192,"FCS","trailing")))))))</f>
        <v/>
      </c>
      <c r="J1261">
        <f>IFERROR(IF(AND(H1261&lt;&gt;"",H1261&gt;=129,H1261&lt;=2176),INDEX(Fields!$B$2:$B$206,MATCH(H1261-129,Fields!$D$2:$D$206,1)),""),"")</f>
        <v/>
      </c>
      <c r="K1261">
        <f>IFERROR(IF(AND(H1261&lt;&gt;"",H1261&gt;=129,H1261&lt;=2176),INDEX(Fields!$C$2:$C$206,MATCH(H1261-129,Fields!$D$2:$D$206,1)),""),"")</f>
        <v/>
      </c>
      <c r="L1261">
        <f>IFERROR(IF(AND(H1261&lt;&gt;"",H1261&gt;=129,H1261&lt;=2176),INDEX(Fields!$J$2:$J$206,MATCH(H1261-129,Fields!$D$2:$D$206,1)),""),"")</f>
        <v/>
      </c>
      <c r="M1261">
        <f>IFERROR(IF(AND(H1261&lt;&gt;"",H1261&gt;=129,H1261&lt;=2176),INDEX(Fields!$K$2:$K$206,MATCH(H1261-129,Fields!$D$2:$D$206,1)),""),"")</f>
        <v/>
      </c>
    </row>
    <row r="1262">
      <c r="A1262" t="n">
        <v>1260</v>
      </c>
      <c r="B1262" t="n">
        <v>0</v>
      </c>
      <c r="C1262" t="inlineStr">
        <is>
          <t>No</t>
        </is>
      </c>
      <c r="D1262">
        <f>IF(AND(B1257=1,B1258=1,B1259=1,B1260=1,B1261=1),"Yes","")</f>
        <v/>
      </c>
      <c r="E1262" t="inlineStr">
        <is>
          <t>No</t>
        </is>
      </c>
      <c r="F1262" t="inlineStr">
        <is>
          <t>No</t>
        </is>
      </c>
      <c r="G1262">
        <f>IF(F1262="Yes",1-B1262,B1262)</f>
        <v/>
      </c>
      <c r="H1262">
        <f>IF(E1262="Yes","",COUNTIFS($E$2:E1262,"No"))</f>
        <v/>
      </c>
      <c r="I1262">
        <f>IF(H1262="","",IF(H1262&lt;=128,"address",IF(H1262&lt;=600,"data1",IF(H1262&lt;=1264,"zero-run1",IF(H1262&lt;=1648,"data2",IF(H1262&lt;=2176,"zero-run2",IF(H1262&lt;=2192,"FCS","trailing")))))))</f>
        <v/>
      </c>
      <c r="J1262">
        <f>IFERROR(IF(AND(H1262&lt;&gt;"",H1262&gt;=129,H1262&lt;=2176),INDEX(Fields!$B$2:$B$206,MATCH(H1262-129,Fields!$D$2:$D$206,1)),""),"")</f>
        <v/>
      </c>
      <c r="K1262">
        <f>IFERROR(IF(AND(H1262&lt;&gt;"",H1262&gt;=129,H1262&lt;=2176),INDEX(Fields!$C$2:$C$206,MATCH(H1262-129,Fields!$D$2:$D$206,1)),""),"")</f>
        <v/>
      </c>
      <c r="L1262">
        <f>IFERROR(IF(AND(H1262&lt;&gt;"",H1262&gt;=129,H1262&lt;=2176),INDEX(Fields!$J$2:$J$206,MATCH(H1262-129,Fields!$D$2:$D$206,1)),""),"")</f>
        <v/>
      </c>
      <c r="M1262">
        <f>IFERROR(IF(AND(H1262&lt;&gt;"",H1262&gt;=129,H1262&lt;=2176),INDEX(Fields!$K$2:$K$206,MATCH(H1262-129,Fields!$D$2:$D$206,1)),""),"")</f>
        <v/>
      </c>
    </row>
    <row r="1263">
      <c r="A1263" t="n">
        <v>1261</v>
      </c>
      <c r="B1263" t="n">
        <v>0</v>
      </c>
      <c r="C1263" t="inlineStr">
        <is>
          <t>No</t>
        </is>
      </c>
      <c r="D1263">
        <f>IF(AND(B1258=1,B1259=1,B1260=1,B1261=1,B1262=1),"Yes","")</f>
        <v/>
      </c>
      <c r="E1263" t="inlineStr">
        <is>
          <t>No</t>
        </is>
      </c>
      <c r="F1263" t="inlineStr">
        <is>
          <t>No</t>
        </is>
      </c>
      <c r="G1263">
        <f>IF(F1263="Yes",1-B1263,B1263)</f>
        <v/>
      </c>
      <c r="H1263">
        <f>IF(E1263="Yes","",COUNTIFS($E$2:E1263,"No"))</f>
        <v/>
      </c>
      <c r="I1263">
        <f>IF(H1263="","",IF(H1263&lt;=128,"address",IF(H1263&lt;=600,"data1",IF(H1263&lt;=1264,"zero-run1",IF(H1263&lt;=1648,"data2",IF(H1263&lt;=2176,"zero-run2",IF(H1263&lt;=2192,"FCS","trailing")))))))</f>
        <v/>
      </c>
      <c r="J1263">
        <f>IFERROR(IF(AND(H1263&lt;&gt;"",H1263&gt;=129,H1263&lt;=2176),INDEX(Fields!$B$2:$B$206,MATCH(H1263-129,Fields!$D$2:$D$206,1)),""),"")</f>
        <v/>
      </c>
      <c r="K1263">
        <f>IFERROR(IF(AND(H1263&lt;&gt;"",H1263&gt;=129,H1263&lt;=2176),INDEX(Fields!$C$2:$C$206,MATCH(H1263-129,Fields!$D$2:$D$206,1)),""),"")</f>
        <v/>
      </c>
      <c r="L1263">
        <f>IFERROR(IF(AND(H1263&lt;&gt;"",H1263&gt;=129,H1263&lt;=2176),INDEX(Fields!$J$2:$J$206,MATCH(H1263-129,Fields!$D$2:$D$206,1)),""),"")</f>
        <v/>
      </c>
      <c r="M1263">
        <f>IFERROR(IF(AND(H1263&lt;&gt;"",H1263&gt;=129,H1263&lt;=2176),INDEX(Fields!$K$2:$K$206,MATCH(H1263-129,Fields!$D$2:$D$206,1)),""),"")</f>
        <v/>
      </c>
    </row>
    <row r="1264">
      <c r="A1264" t="n">
        <v>1262</v>
      </c>
      <c r="B1264" t="n">
        <v>0</v>
      </c>
      <c r="C1264" t="inlineStr">
        <is>
          <t>No</t>
        </is>
      </c>
      <c r="D1264">
        <f>IF(AND(B1259=1,B1260=1,B1261=1,B1262=1,B1263=1),"Yes","")</f>
        <v/>
      </c>
      <c r="E1264" t="inlineStr">
        <is>
          <t>No</t>
        </is>
      </c>
      <c r="F1264" t="inlineStr">
        <is>
          <t>No</t>
        </is>
      </c>
      <c r="G1264">
        <f>IF(F1264="Yes",1-B1264,B1264)</f>
        <v/>
      </c>
      <c r="H1264">
        <f>IF(E1264="Yes","",COUNTIFS($E$2:E1264,"No"))</f>
        <v/>
      </c>
      <c r="I1264">
        <f>IF(H1264="","",IF(H1264&lt;=128,"address",IF(H1264&lt;=600,"data1",IF(H1264&lt;=1264,"zero-run1",IF(H1264&lt;=1648,"data2",IF(H1264&lt;=2176,"zero-run2",IF(H1264&lt;=2192,"FCS","trailing")))))))</f>
        <v/>
      </c>
      <c r="J1264">
        <f>IFERROR(IF(AND(H1264&lt;&gt;"",H1264&gt;=129,H1264&lt;=2176),INDEX(Fields!$B$2:$B$206,MATCH(H1264-129,Fields!$D$2:$D$206,1)),""),"")</f>
        <v/>
      </c>
      <c r="K1264">
        <f>IFERROR(IF(AND(H1264&lt;&gt;"",H1264&gt;=129,H1264&lt;=2176),INDEX(Fields!$C$2:$C$206,MATCH(H1264-129,Fields!$D$2:$D$206,1)),""),"")</f>
        <v/>
      </c>
      <c r="L1264">
        <f>IFERROR(IF(AND(H1264&lt;&gt;"",H1264&gt;=129,H1264&lt;=2176),INDEX(Fields!$J$2:$J$206,MATCH(H1264-129,Fields!$D$2:$D$206,1)),""),"")</f>
        <v/>
      </c>
      <c r="M1264">
        <f>IFERROR(IF(AND(H1264&lt;&gt;"",H1264&gt;=129,H1264&lt;=2176),INDEX(Fields!$K$2:$K$206,MATCH(H1264-129,Fields!$D$2:$D$206,1)),""),"")</f>
        <v/>
      </c>
    </row>
    <row r="1265">
      <c r="A1265" t="n">
        <v>1263</v>
      </c>
      <c r="B1265" t="n">
        <v>0</v>
      </c>
      <c r="C1265" t="inlineStr">
        <is>
          <t>No</t>
        </is>
      </c>
      <c r="D1265">
        <f>IF(AND(B1260=1,B1261=1,B1262=1,B1263=1,B1264=1),"Yes","")</f>
        <v/>
      </c>
      <c r="E1265" t="inlineStr">
        <is>
          <t>No</t>
        </is>
      </c>
      <c r="F1265" t="inlineStr">
        <is>
          <t>No</t>
        </is>
      </c>
      <c r="G1265">
        <f>IF(F1265="Yes",1-B1265,B1265)</f>
        <v/>
      </c>
      <c r="H1265">
        <f>IF(E1265="Yes","",COUNTIFS($E$2:E1265,"No"))</f>
        <v/>
      </c>
      <c r="I1265">
        <f>IF(H1265="","",IF(H1265&lt;=128,"address",IF(H1265&lt;=600,"data1",IF(H1265&lt;=1264,"zero-run1",IF(H1265&lt;=1648,"data2",IF(H1265&lt;=2176,"zero-run2",IF(H1265&lt;=2192,"FCS","trailing")))))))</f>
        <v/>
      </c>
      <c r="J1265">
        <f>IFERROR(IF(AND(H1265&lt;&gt;"",H1265&gt;=129,H1265&lt;=2176),INDEX(Fields!$B$2:$B$206,MATCH(H1265-129,Fields!$D$2:$D$206,1)),""),"")</f>
        <v/>
      </c>
      <c r="K1265">
        <f>IFERROR(IF(AND(H1265&lt;&gt;"",H1265&gt;=129,H1265&lt;=2176),INDEX(Fields!$C$2:$C$206,MATCH(H1265-129,Fields!$D$2:$D$206,1)),""),"")</f>
        <v/>
      </c>
      <c r="L1265">
        <f>IFERROR(IF(AND(H1265&lt;&gt;"",H1265&gt;=129,H1265&lt;=2176),INDEX(Fields!$J$2:$J$206,MATCH(H1265-129,Fields!$D$2:$D$206,1)),""),"")</f>
        <v/>
      </c>
      <c r="M1265">
        <f>IFERROR(IF(AND(H1265&lt;&gt;"",H1265&gt;=129,H1265&lt;=2176),INDEX(Fields!$K$2:$K$206,MATCH(H1265-129,Fields!$D$2:$D$206,1)),""),"")</f>
        <v/>
      </c>
    </row>
    <row r="1266">
      <c r="A1266" t="n">
        <v>1264</v>
      </c>
      <c r="B1266" t="n">
        <v>0</v>
      </c>
      <c r="C1266" t="inlineStr">
        <is>
          <t>No</t>
        </is>
      </c>
      <c r="D1266">
        <f>IF(AND(B1261=1,B1262=1,B1263=1,B1264=1,B1265=1),"Yes","")</f>
        <v/>
      </c>
      <c r="E1266" t="inlineStr">
        <is>
          <t>No</t>
        </is>
      </c>
      <c r="F1266" t="inlineStr">
        <is>
          <t>No</t>
        </is>
      </c>
      <c r="G1266">
        <f>IF(F1266="Yes",1-B1266,B1266)</f>
        <v/>
      </c>
      <c r="H1266">
        <f>IF(E1266="Yes","",COUNTIFS($E$2:E1266,"No"))</f>
        <v/>
      </c>
      <c r="I1266">
        <f>IF(H1266="","",IF(H1266&lt;=128,"address",IF(H1266&lt;=600,"data1",IF(H1266&lt;=1264,"zero-run1",IF(H1266&lt;=1648,"data2",IF(H1266&lt;=2176,"zero-run2",IF(H1266&lt;=2192,"FCS","trailing")))))))</f>
        <v/>
      </c>
      <c r="J1266">
        <f>IFERROR(IF(AND(H1266&lt;&gt;"",H1266&gt;=129,H1266&lt;=2176),INDEX(Fields!$B$2:$B$206,MATCH(H1266-129,Fields!$D$2:$D$206,1)),""),"")</f>
        <v/>
      </c>
      <c r="K1266">
        <f>IFERROR(IF(AND(H1266&lt;&gt;"",H1266&gt;=129,H1266&lt;=2176),INDEX(Fields!$C$2:$C$206,MATCH(H1266-129,Fields!$D$2:$D$206,1)),""),"")</f>
        <v/>
      </c>
      <c r="L1266">
        <f>IFERROR(IF(AND(H1266&lt;&gt;"",H1266&gt;=129,H1266&lt;=2176),INDEX(Fields!$J$2:$J$206,MATCH(H1266-129,Fields!$D$2:$D$206,1)),""),"")</f>
        <v/>
      </c>
      <c r="M1266">
        <f>IFERROR(IF(AND(H1266&lt;&gt;"",H1266&gt;=129,H1266&lt;=2176),INDEX(Fields!$K$2:$K$206,MATCH(H1266-129,Fields!$D$2:$D$206,1)),""),"")</f>
        <v/>
      </c>
    </row>
    <row r="1267">
      <c r="A1267" t="n">
        <v>1265</v>
      </c>
      <c r="B1267" t="n">
        <v>0</v>
      </c>
      <c r="C1267" t="inlineStr">
        <is>
          <t>No</t>
        </is>
      </c>
      <c r="D1267">
        <f>IF(AND(B1262=1,B1263=1,B1264=1,B1265=1,B1266=1),"Yes","")</f>
        <v/>
      </c>
      <c r="E1267" t="inlineStr">
        <is>
          <t>No</t>
        </is>
      </c>
      <c r="F1267" t="inlineStr">
        <is>
          <t>No</t>
        </is>
      </c>
      <c r="G1267">
        <f>IF(F1267="Yes",1-B1267,B1267)</f>
        <v/>
      </c>
      <c r="H1267">
        <f>IF(E1267="Yes","",COUNTIFS($E$2:E1267,"No"))</f>
        <v/>
      </c>
      <c r="I1267">
        <f>IF(H1267="","",IF(H1267&lt;=128,"address",IF(H1267&lt;=600,"data1",IF(H1267&lt;=1264,"zero-run1",IF(H1267&lt;=1648,"data2",IF(H1267&lt;=2176,"zero-run2",IF(H1267&lt;=2192,"FCS","trailing")))))))</f>
        <v/>
      </c>
      <c r="J1267">
        <f>IFERROR(IF(AND(H1267&lt;&gt;"",H1267&gt;=129,H1267&lt;=2176),INDEX(Fields!$B$2:$B$206,MATCH(H1267-129,Fields!$D$2:$D$206,1)),""),"")</f>
        <v/>
      </c>
      <c r="K1267">
        <f>IFERROR(IF(AND(H1267&lt;&gt;"",H1267&gt;=129,H1267&lt;=2176),INDEX(Fields!$C$2:$C$206,MATCH(H1267-129,Fields!$D$2:$D$206,1)),""),"")</f>
        <v/>
      </c>
      <c r="L1267">
        <f>IFERROR(IF(AND(H1267&lt;&gt;"",H1267&gt;=129,H1267&lt;=2176),INDEX(Fields!$J$2:$J$206,MATCH(H1267-129,Fields!$D$2:$D$206,1)),""),"")</f>
        <v/>
      </c>
      <c r="M1267">
        <f>IFERROR(IF(AND(H1267&lt;&gt;"",H1267&gt;=129,H1267&lt;=2176),INDEX(Fields!$K$2:$K$206,MATCH(H1267-129,Fields!$D$2:$D$206,1)),""),"")</f>
        <v/>
      </c>
    </row>
    <row r="1268">
      <c r="A1268" t="n">
        <v>1266</v>
      </c>
      <c r="B1268" t="n">
        <v>0</v>
      </c>
      <c r="C1268" t="inlineStr">
        <is>
          <t>No</t>
        </is>
      </c>
      <c r="D1268">
        <f>IF(AND(B1263=1,B1264=1,B1265=1,B1266=1,B1267=1),"Yes","")</f>
        <v/>
      </c>
      <c r="E1268" t="inlineStr">
        <is>
          <t>No</t>
        </is>
      </c>
      <c r="F1268" t="inlineStr">
        <is>
          <t>No</t>
        </is>
      </c>
      <c r="G1268">
        <f>IF(F1268="Yes",1-B1268,B1268)</f>
        <v/>
      </c>
      <c r="H1268">
        <f>IF(E1268="Yes","",COUNTIFS($E$2:E1268,"No"))</f>
        <v/>
      </c>
      <c r="I1268">
        <f>IF(H1268="","",IF(H1268&lt;=128,"address",IF(H1268&lt;=600,"data1",IF(H1268&lt;=1264,"zero-run1",IF(H1268&lt;=1648,"data2",IF(H1268&lt;=2176,"zero-run2",IF(H1268&lt;=2192,"FCS","trailing")))))))</f>
        <v/>
      </c>
      <c r="J1268">
        <f>IFERROR(IF(AND(H1268&lt;&gt;"",H1268&gt;=129,H1268&lt;=2176),INDEX(Fields!$B$2:$B$206,MATCH(H1268-129,Fields!$D$2:$D$206,1)),""),"")</f>
        <v/>
      </c>
      <c r="K1268">
        <f>IFERROR(IF(AND(H1268&lt;&gt;"",H1268&gt;=129,H1268&lt;=2176),INDEX(Fields!$C$2:$C$206,MATCH(H1268-129,Fields!$D$2:$D$206,1)),""),"")</f>
        <v/>
      </c>
      <c r="L1268">
        <f>IFERROR(IF(AND(H1268&lt;&gt;"",H1268&gt;=129,H1268&lt;=2176),INDEX(Fields!$J$2:$J$206,MATCH(H1268-129,Fields!$D$2:$D$206,1)),""),"")</f>
        <v/>
      </c>
      <c r="M1268">
        <f>IFERROR(IF(AND(H1268&lt;&gt;"",H1268&gt;=129,H1268&lt;=2176),INDEX(Fields!$K$2:$K$206,MATCH(H1268-129,Fields!$D$2:$D$206,1)),""),"")</f>
        <v/>
      </c>
    </row>
    <row r="1269">
      <c r="A1269" t="n">
        <v>1267</v>
      </c>
      <c r="B1269" t="n">
        <v>0</v>
      </c>
      <c r="C1269" t="inlineStr">
        <is>
          <t>No</t>
        </is>
      </c>
      <c r="D1269">
        <f>IF(AND(B1264=1,B1265=1,B1266=1,B1267=1,B1268=1),"Yes","")</f>
        <v/>
      </c>
      <c r="E1269" t="inlineStr">
        <is>
          <t>No</t>
        </is>
      </c>
      <c r="F1269" t="inlineStr">
        <is>
          <t>No</t>
        </is>
      </c>
      <c r="G1269">
        <f>IF(F1269="Yes",1-B1269,B1269)</f>
        <v/>
      </c>
      <c r="H1269">
        <f>IF(E1269="Yes","",COUNTIFS($E$2:E1269,"No"))</f>
        <v/>
      </c>
      <c r="I1269">
        <f>IF(H1269="","",IF(H1269&lt;=128,"address",IF(H1269&lt;=600,"data1",IF(H1269&lt;=1264,"zero-run1",IF(H1269&lt;=1648,"data2",IF(H1269&lt;=2176,"zero-run2",IF(H1269&lt;=2192,"FCS","trailing")))))))</f>
        <v/>
      </c>
      <c r="J1269">
        <f>IFERROR(IF(AND(H1269&lt;&gt;"",H1269&gt;=129,H1269&lt;=2176),INDEX(Fields!$B$2:$B$206,MATCH(H1269-129,Fields!$D$2:$D$206,1)),""),"")</f>
        <v/>
      </c>
      <c r="K1269">
        <f>IFERROR(IF(AND(H1269&lt;&gt;"",H1269&gt;=129,H1269&lt;=2176),INDEX(Fields!$C$2:$C$206,MATCH(H1269-129,Fields!$D$2:$D$206,1)),""),"")</f>
        <v/>
      </c>
      <c r="L1269">
        <f>IFERROR(IF(AND(H1269&lt;&gt;"",H1269&gt;=129,H1269&lt;=2176),INDEX(Fields!$J$2:$J$206,MATCH(H1269-129,Fields!$D$2:$D$206,1)),""),"")</f>
        <v/>
      </c>
      <c r="M1269">
        <f>IFERROR(IF(AND(H1269&lt;&gt;"",H1269&gt;=129,H1269&lt;=2176),INDEX(Fields!$K$2:$K$206,MATCH(H1269-129,Fields!$D$2:$D$206,1)),""),"")</f>
        <v/>
      </c>
    </row>
    <row r="1270">
      <c r="A1270" t="n">
        <v>1268</v>
      </c>
      <c r="B1270" t="n">
        <v>0</v>
      </c>
      <c r="C1270" t="inlineStr">
        <is>
          <t>No</t>
        </is>
      </c>
      <c r="D1270">
        <f>IF(AND(B1265=1,B1266=1,B1267=1,B1268=1,B1269=1),"Yes","")</f>
        <v/>
      </c>
      <c r="E1270" t="inlineStr">
        <is>
          <t>No</t>
        </is>
      </c>
      <c r="F1270" t="inlineStr">
        <is>
          <t>No</t>
        </is>
      </c>
      <c r="G1270">
        <f>IF(F1270="Yes",1-B1270,B1270)</f>
        <v/>
      </c>
      <c r="H1270">
        <f>IF(E1270="Yes","",COUNTIFS($E$2:E1270,"No"))</f>
        <v/>
      </c>
      <c r="I1270">
        <f>IF(H1270="","",IF(H1270&lt;=128,"address",IF(H1270&lt;=600,"data1",IF(H1270&lt;=1264,"zero-run1",IF(H1270&lt;=1648,"data2",IF(H1270&lt;=2176,"zero-run2",IF(H1270&lt;=2192,"FCS","trailing")))))))</f>
        <v/>
      </c>
      <c r="J1270">
        <f>IFERROR(IF(AND(H1270&lt;&gt;"",H1270&gt;=129,H1270&lt;=2176),INDEX(Fields!$B$2:$B$206,MATCH(H1270-129,Fields!$D$2:$D$206,1)),""),"")</f>
        <v/>
      </c>
      <c r="K1270">
        <f>IFERROR(IF(AND(H1270&lt;&gt;"",H1270&gt;=129,H1270&lt;=2176),INDEX(Fields!$C$2:$C$206,MATCH(H1270-129,Fields!$D$2:$D$206,1)),""),"")</f>
        <v/>
      </c>
      <c r="L1270">
        <f>IFERROR(IF(AND(H1270&lt;&gt;"",H1270&gt;=129,H1270&lt;=2176),INDEX(Fields!$J$2:$J$206,MATCH(H1270-129,Fields!$D$2:$D$206,1)),""),"")</f>
        <v/>
      </c>
      <c r="M1270">
        <f>IFERROR(IF(AND(H1270&lt;&gt;"",H1270&gt;=129,H1270&lt;=2176),INDEX(Fields!$K$2:$K$206,MATCH(H1270-129,Fields!$D$2:$D$206,1)),""),"")</f>
        <v/>
      </c>
    </row>
    <row r="1271">
      <c r="A1271" t="n">
        <v>1269</v>
      </c>
      <c r="B1271" t="n">
        <v>0</v>
      </c>
      <c r="C1271" t="inlineStr">
        <is>
          <t>No</t>
        </is>
      </c>
      <c r="D1271">
        <f>IF(AND(B1266=1,B1267=1,B1268=1,B1269=1,B1270=1),"Yes","")</f>
        <v/>
      </c>
      <c r="E1271" t="inlineStr">
        <is>
          <t>No</t>
        </is>
      </c>
      <c r="F1271" t="inlineStr">
        <is>
          <t>No</t>
        </is>
      </c>
      <c r="G1271">
        <f>IF(F1271="Yes",1-B1271,B1271)</f>
        <v/>
      </c>
      <c r="H1271">
        <f>IF(E1271="Yes","",COUNTIFS($E$2:E1271,"No"))</f>
        <v/>
      </c>
      <c r="I1271">
        <f>IF(H1271="","",IF(H1271&lt;=128,"address",IF(H1271&lt;=600,"data1",IF(H1271&lt;=1264,"zero-run1",IF(H1271&lt;=1648,"data2",IF(H1271&lt;=2176,"zero-run2",IF(H1271&lt;=2192,"FCS","trailing")))))))</f>
        <v/>
      </c>
      <c r="J1271">
        <f>IFERROR(IF(AND(H1271&lt;&gt;"",H1271&gt;=129,H1271&lt;=2176),INDEX(Fields!$B$2:$B$206,MATCH(H1271-129,Fields!$D$2:$D$206,1)),""),"")</f>
        <v/>
      </c>
      <c r="K1271">
        <f>IFERROR(IF(AND(H1271&lt;&gt;"",H1271&gt;=129,H1271&lt;=2176),INDEX(Fields!$C$2:$C$206,MATCH(H1271-129,Fields!$D$2:$D$206,1)),""),"")</f>
        <v/>
      </c>
      <c r="L1271">
        <f>IFERROR(IF(AND(H1271&lt;&gt;"",H1271&gt;=129,H1271&lt;=2176),INDEX(Fields!$J$2:$J$206,MATCH(H1271-129,Fields!$D$2:$D$206,1)),""),"")</f>
        <v/>
      </c>
      <c r="M1271">
        <f>IFERROR(IF(AND(H1271&lt;&gt;"",H1271&gt;=129,H1271&lt;=2176),INDEX(Fields!$K$2:$K$206,MATCH(H1271-129,Fields!$D$2:$D$206,1)),""),"")</f>
        <v/>
      </c>
    </row>
    <row r="1272">
      <c r="A1272" t="n">
        <v>1270</v>
      </c>
      <c r="B1272" t="n">
        <v>0</v>
      </c>
      <c r="C1272" t="inlineStr">
        <is>
          <t>No</t>
        </is>
      </c>
      <c r="D1272">
        <f>IF(AND(B1267=1,B1268=1,B1269=1,B1270=1,B1271=1),"Yes","")</f>
        <v/>
      </c>
      <c r="E1272" t="inlineStr">
        <is>
          <t>No</t>
        </is>
      </c>
      <c r="F1272" t="inlineStr">
        <is>
          <t>No</t>
        </is>
      </c>
      <c r="G1272">
        <f>IF(F1272="Yes",1-B1272,B1272)</f>
        <v/>
      </c>
      <c r="H1272">
        <f>IF(E1272="Yes","",COUNTIFS($E$2:E1272,"No"))</f>
        <v/>
      </c>
      <c r="I1272">
        <f>IF(H1272="","",IF(H1272&lt;=128,"address",IF(H1272&lt;=600,"data1",IF(H1272&lt;=1264,"zero-run1",IF(H1272&lt;=1648,"data2",IF(H1272&lt;=2176,"zero-run2",IF(H1272&lt;=2192,"FCS","trailing")))))))</f>
        <v/>
      </c>
      <c r="J1272">
        <f>IFERROR(IF(AND(H1272&lt;&gt;"",H1272&gt;=129,H1272&lt;=2176),INDEX(Fields!$B$2:$B$206,MATCH(H1272-129,Fields!$D$2:$D$206,1)),""),"")</f>
        <v/>
      </c>
      <c r="K1272">
        <f>IFERROR(IF(AND(H1272&lt;&gt;"",H1272&gt;=129,H1272&lt;=2176),INDEX(Fields!$C$2:$C$206,MATCH(H1272-129,Fields!$D$2:$D$206,1)),""),"")</f>
        <v/>
      </c>
      <c r="L1272">
        <f>IFERROR(IF(AND(H1272&lt;&gt;"",H1272&gt;=129,H1272&lt;=2176),INDEX(Fields!$J$2:$J$206,MATCH(H1272-129,Fields!$D$2:$D$206,1)),""),"")</f>
        <v/>
      </c>
      <c r="M1272">
        <f>IFERROR(IF(AND(H1272&lt;&gt;"",H1272&gt;=129,H1272&lt;=2176),INDEX(Fields!$K$2:$K$206,MATCH(H1272-129,Fields!$D$2:$D$206,1)),""),"")</f>
        <v/>
      </c>
    </row>
    <row r="1273">
      <c r="A1273" t="n">
        <v>1271</v>
      </c>
      <c r="B1273" t="n">
        <v>1</v>
      </c>
      <c r="C1273" t="inlineStr">
        <is>
          <t>No</t>
        </is>
      </c>
      <c r="D1273">
        <f>IF(AND(B1268=1,B1269=1,B1270=1,B1271=1,B1272=1),"Yes","")</f>
        <v/>
      </c>
      <c r="E1273" t="inlineStr">
        <is>
          <t>No</t>
        </is>
      </c>
      <c r="F1273" t="inlineStr">
        <is>
          <t>No</t>
        </is>
      </c>
      <c r="G1273">
        <f>IF(F1273="Yes",1-B1273,B1273)</f>
        <v/>
      </c>
      <c r="H1273">
        <f>IF(E1273="Yes","",COUNTIFS($E$2:E1273,"No"))</f>
        <v/>
      </c>
      <c r="I1273">
        <f>IF(H1273="","",IF(H1273&lt;=128,"address",IF(H1273&lt;=600,"data1",IF(H1273&lt;=1264,"zero-run1",IF(H1273&lt;=1648,"data2",IF(H1273&lt;=2176,"zero-run2",IF(H1273&lt;=2192,"FCS","trailing")))))))</f>
        <v/>
      </c>
      <c r="J1273">
        <f>IFERROR(IF(AND(H1273&lt;&gt;"",H1273&gt;=129,H1273&lt;=2176),INDEX(Fields!$B$2:$B$206,MATCH(H1273-129,Fields!$D$2:$D$206,1)),""),"")</f>
        <v/>
      </c>
      <c r="K1273">
        <f>IFERROR(IF(AND(H1273&lt;&gt;"",H1273&gt;=129,H1273&lt;=2176),INDEX(Fields!$C$2:$C$206,MATCH(H1273-129,Fields!$D$2:$D$206,1)),""),"")</f>
        <v/>
      </c>
      <c r="L1273">
        <f>IFERROR(IF(AND(H1273&lt;&gt;"",H1273&gt;=129,H1273&lt;=2176),INDEX(Fields!$J$2:$J$206,MATCH(H1273-129,Fields!$D$2:$D$206,1)),""),"")</f>
        <v/>
      </c>
      <c r="M1273">
        <f>IFERROR(IF(AND(H1273&lt;&gt;"",H1273&gt;=129,H1273&lt;=2176),INDEX(Fields!$K$2:$K$206,MATCH(H1273-129,Fields!$D$2:$D$206,1)),""),"")</f>
        <v/>
      </c>
    </row>
    <row r="1274">
      <c r="A1274" t="n">
        <v>1272</v>
      </c>
      <c r="B1274" t="n">
        <v>1</v>
      </c>
      <c r="C1274" t="inlineStr">
        <is>
          <t>No</t>
        </is>
      </c>
      <c r="D1274">
        <f>IF(AND(B1269=1,B1270=1,B1271=1,B1272=1,B1273=1),"Yes","")</f>
        <v/>
      </c>
      <c r="E1274" t="inlineStr">
        <is>
          <t>No</t>
        </is>
      </c>
      <c r="F1274" t="inlineStr">
        <is>
          <t>No</t>
        </is>
      </c>
      <c r="G1274">
        <f>IF(F1274="Yes",1-B1274,B1274)</f>
        <v/>
      </c>
      <c r="H1274">
        <f>IF(E1274="Yes","",COUNTIFS($E$2:E1274,"No"))</f>
        <v/>
      </c>
      <c r="I1274">
        <f>IF(H1274="","",IF(H1274&lt;=128,"address",IF(H1274&lt;=600,"data1",IF(H1274&lt;=1264,"zero-run1",IF(H1274&lt;=1648,"data2",IF(H1274&lt;=2176,"zero-run2",IF(H1274&lt;=2192,"FCS","trailing")))))))</f>
        <v/>
      </c>
      <c r="J1274">
        <f>IFERROR(IF(AND(H1274&lt;&gt;"",H1274&gt;=129,H1274&lt;=2176),INDEX(Fields!$B$2:$B$206,MATCH(H1274-129,Fields!$D$2:$D$206,1)),""),"")</f>
        <v/>
      </c>
      <c r="K1274">
        <f>IFERROR(IF(AND(H1274&lt;&gt;"",H1274&gt;=129,H1274&lt;=2176),INDEX(Fields!$C$2:$C$206,MATCH(H1274-129,Fields!$D$2:$D$206,1)),""),"")</f>
        <v/>
      </c>
      <c r="L1274">
        <f>IFERROR(IF(AND(H1274&lt;&gt;"",H1274&gt;=129,H1274&lt;=2176),INDEX(Fields!$J$2:$J$206,MATCH(H1274-129,Fields!$D$2:$D$206,1)),""),"")</f>
        <v/>
      </c>
      <c r="M1274">
        <f>IFERROR(IF(AND(H1274&lt;&gt;"",H1274&gt;=129,H1274&lt;=2176),INDEX(Fields!$K$2:$K$206,MATCH(H1274-129,Fields!$D$2:$D$206,1)),""),"")</f>
        <v/>
      </c>
    </row>
    <row r="1275">
      <c r="A1275" t="n">
        <v>1273</v>
      </c>
      <c r="B1275" t="n">
        <v>1</v>
      </c>
      <c r="C1275" t="inlineStr">
        <is>
          <t>No</t>
        </is>
      </c>
      <c r="D1275">
        <f>IF(AND(B1270=1,B1271=1,B1272=1,B1273=1,B1274=1),"Yes","")</f>
        <v/>
      </c>
      <c r="E1275" t="inlineStr">
        <is>
          <t>No</t>
        </is>
      </c>
      <c r="F1275" t="inlineStr">
        <is>
          <t>No</t>
        </is>
      </c>
      <c r="G1275">
        <f>IF(F1275="Yes",1-B1275,B1275)</f>
        <v/>
      </c>
      <c r="H1275">
        <f>IF(E1275="Yes","",COUNTIFS($E$2:E1275,"No"))</f>
        <v/>
      </c>
      <c r="I1275">
        <f>IF(H1275="","",IF(H1275&lt;=128,"address",IF(H1275&lt;=600,"data1",IF(H1275&lt;=1264,"zero-run1",IF(H1275&lt;=1648,"data2",IF(H1275&lt;=2176,"zero-run2",IF(H1275&lt;=2192,"FCS","trailing")))))))</f>
        <v/>
      </c>
      <c r="J1275">
        <f>IFERROR(IF(AND(H1275&lt;&gt;"",H1275&gt;=129,H1275&lt;=2176),INDEX(Fields!$B$2:$B$206,MATCH(H1275-129,Fields!$D$2:$D$206,1)),""),"")</f>
        <v/>
      </c>
      <c r="K1275">
        <f>IFERROR(IF(AND(H1275&lt;&gt;"",H1275&gt;=129,H1275&lt;=2176),INDEX(Fields!$C$2:$C$206,MATCH(H1275-129,Fields!$D$2:$D$206,1)),""),"")</f>
        <v/>
      </c>
      <c r="L1275">
        <f>IFERROR(IF(AND(H1275&lt;&gt;"",H1275&gt;=129,H1275&lt;=2176),INDEX(Fields!$J$2:$J$206,MATCH(H1275-129,Fields!$D$2:$D$206,1)),""),"")</f>
        <v/>
      </c>
      <c r="M1275">
        <f>IFERROR(IF(AND(H1275&lt;&gt;"",H1275&gt;=129,H1275&lt;=2176),INDEX(Fields!$K$2:$K$206,MATCH(H1275-129,Fields!$D$2:$D$206,1)),""),"")</f>
        <v/>
      </c>
    </row>
    <row r="1276">
      <c r="A1276" t="n">
        <v>1274</v>
      </c>
      <c r="B1276" t="n">
        <v>1</v>
      </c>
      <c r="C1276" t="inlineStr">
        <is>
          <t>No</t>
        </is>
      </c>
      <c r="D1276">
        <f>IF(AND(B1271=1,B1272=1,B1273=1,B1274=1,B1275=1),"Yes","")</f>
        <v/>
      </c>
      <c r="E1276" t="inlineStr">
        <is>
          <t>No</t>
        </is>
      </c>
      <c r="F1276" t="inlineStr">
        <is>
          <t>No</t>
        </is>
      </c>
      <c r="G1276">
        <f>IF(F1276="Yes",1-B1276,B1276)</f>
        <v/>
      </c>
      <c r="H1276">
        <f>IF(E1276="Yes","",COUNTIFS($E$2:E1276,"No"))</f>
        <v/>
      </c>
      <c r="I1276">
        <f>IF(H1276="","",IF(H1276&lt;=128,"address",IF(H1276&lt;=600,"data1",IF(H1276&lt;=1264,"zero-run1",IF(H1276&lt;=1648,"data2",IF(H1276&lt;=2176,"zero-run2",IF(H1276&lt;=2192,"FCS","trailing")))))))</f>
        <v/>
      </c>
      <c r="J1276">
        <f>IFERROR(IF(AND(H1276&lt;&gt;"",H1276&gt;=129,H1276&lt;=2176),INDEX(Fields!$B$2:$B$206,MATCH(H1276-129,Fields!$D$2:$D$206,1)),""),"")</f>
        <v/>
      </c>
      <c r="K1276">
        <f>IFERROR(IF(AND(H1276&lt;&gt;"",H1276&gt;=129,H1276&lt;=2176),INDEX(Fields!$C$2:$C$206,MATCH(H1276-129,Fields!$D$2:$D$206,1)),""),"")</f>
        <v/>
      </c>
      <c r="L1276">
        <f>IFERROR(IF(AND(H1276&lt;&gt;"",H1276&gt;=129,H1276&lt;=2176),INDEX(Fields!$J$2:$J$206,MATCH(H1276-129,Fields!$D$2:$D$206,1)),""),"")</f>
        <v/>
      </c>
      <c r="M1276">
        <f>IFERROR(IF(AND(H1276&lt;&gt;"",H1276&gt;=129,H1276&lt;=2176),INDEX(Fields!$K$2:$K$206,MATCH(H1276-129,Fields!$D$2:$D$206,1)),""),"")</f>
        <v/>
      </c>
    </row>
    <row r="1277">
      <c r="A1277" t="n">
        <v>1275</v>
      </c>
      <c r="B1277" t="n">
        <v>0</v>
      </c>
      <c r="C1277" t="inlineStr">
        <is>
          <t>No</t>
        </is>
      </c>
      <c r="D1277">
        <f>IF(AND(B1272=1,B1273=1,B1274=1,B1275=1,B1276=1),"Yes","")</f>
        <v/>
      </c>
      <c r="E1277" t="inlineStr">
        <is>
          <t>No</t>
        </is>
      </c>
      <c r="F1277" t="inlineStr">
        <is>
          <t>No</t>
        </is>
      </c>
      <c r="G1277">
        <f>IF(F1277="Yes",1-B1277,B1277)</f>
        <v/>
      </c>
      <c r="H1277">
        <f>IF(E1277="Yes","",COUNTIFS($E$2:E1277,"No"))</f>
        <v/>
      </c>
      <c r="I1277">
        <f>IF(H1277="","",IF(H1277&lt;=128,"address",IF(H1277&lt;=600,"data1",IF(H1277&lt;=1264,"zero-run1",IF(H1277&lt;=1648,"data2",IF(H1277&lt;=2176,"zero-run2",IF(H1277&lt;=2192,"FCS","trailing")))))))</f>
        <v/>
      </c>
      <c r="J1277">
        <f>IFERROR(IF(AND(H1277&lt;&gt;"",H1277&gt;=129,H1277&lt;=2176),INDEX(Fields!$B$2:$B$206,MATCH(H1277-129,Fields!$D$2:$D$206,1)),""),"")</f>
        <v/>
      </c>
      <c r="K1277">
        <f>IFERROR(IF(AND(H1277&lt;&gt;"",H1277&gt;=129,H1277&lt;=2176),INDEX(Fields!$C$2:$C$206,MATCH(H1277-129,Fields!$D$2:$D$206,1)),""),"")</f>
        <v/>
      </c>
      <c r="L1277">
        <f>IFERROR(IF(AND(H1277&lt;&gt;"",H1277&gt;=129,H1277&lt;=2176),INDEX(Fields!$J$2:$J$206,MATCH(H1277-129,Fields!$D$2:$D$206,1)),""),"")</f>
        <v/>
      </c>
      <c r="M1277">
        <f>IFERROR(IF(AND(H1277&lt;&gt;"",H1277&gt;=129,H1277&lt;=2176),INDEX(Fields!$K$2:$K$206,MATCH(H1277-129,Fields!$D$2:$D$206,1)),""),"")</f>
        <v/>
      </c>
    </row>
    <row r="1278">
      <c r="A1278" t="n">
        <v>1276</v>
      </c>
      <c r="B1278" t="n">
        <v>1</v>
      </c>
      <c r="C1278" t="inlineStr">
        <is>
          <t>No</t>
        </is>
      </c>
      <c r="D1278">
        <f>IF(AND(B1273=1,B1274=1,B1275=1,B1276=1,B1277=1),"Yes","")</f>
        <v/>
      </c>
      <c r="E1278" t="inlineStr">
        <is>
          <t>No</t>
        </is>
      </c>
      <c r="F1278" t="inlineStr">
        <is>
          <t>No</t>
        </is>
      </c>
      <c r="G1278">
        <f>IF(F1278="Yes",1-B1278,B1278)</f>
        <v/>
      </c>
      <c r="H1278">
        <f>IF(E1278="Yes","",COUNTIFS($E$2:E1278,"No"))</f>
        <v/>
      </c>
      <c r="I1278">
        <f>IF(H1278="","",IF(H1278&lt;=128,"address",IF(H1278&lt;=600,"data1",IF(H1278&lt;=1264,"zero-run1",IF(H1278&lt;=1648,"data2",IF(H1278&lt;=2176,"zero-run2",IF(H1278&lt;=2192,"FCS","trailing")))))))</f>
        <v/>
      </c>
      <c r="J1278">
        <f>IFERROR(IF(AND(H1278&lt;&gt;"",H1278&gt;=129,H1278&lt;=2176),INDEX(Fields!$B$2:$B$206,MATCH(H1278-129,Fields!$D$2:$D$206,1)),""),"")</f>
        <v/>
      </c>
      <c r="K1278">
        <f>IFERROR(IF(AND(H1278&lt;&gt;"",H1278&gt;=129,H1278&lt;=2176),INDEX(Fields!$C$2:$C$206,MATCH(H1278-129,Fields!$D$2:$D$206,1)),""),"")</f>
        <v/>
      </c>
      <c r="L1278">
        <f>IFERROR(IF(AND(H1278&lt;&gt;"",H1278&gt;=129,H1278&lt;=2176),INDEX(Fields!$J$2:$J$206,MATCH(H1278-129,Fields!$D$2:$D$206,1)),""),"")</f>
        <v/>
      </c>
      <c r="M1278">
        <f>IFERROR(IF(AND(H1278&lt;&gt;"",H1278&gt;=129,H1278&lt;=2176),INDEX(Fields!$K$2:$K$206,MATCH(H1278-129,Fields!$D$2:$D$206,1)),""),"")</f>
        <v/>
      </c>
    </row>
    <row r="1279">
      <c r="A1279" t="n">
        <v>1277</v>
      </c>
      <c r="B1279" t="n">
        <v>1</v>
      </c>
      <c r="C1279" t="inlineStr">
        <is>
          <t>No</t>
        </is>
      </c>
      <c r="D1279">
        <f>IF(AND(B1274=1,B1275=1,B1276=1,B1277=1,B1278=1),"Yes","")</f>
        <v/>
      </c>
      <c r="E1279" t="inlineStr">
        <is>
          <t>No</t>
        </is>
      </c>
      <c r="F1279" t="inlineStr">
        <is>
          <t>No</t>
        </is>
      </c>
      <c r="G1279">
        <f>IF(F1279="Yes",1-B1279,B1279)</f>
        <v/>
      </c>
      <c r="H1279">
        <f>IF(E1279="Yes","",COUNTIFS($E$2:E1279,"No"))</f>
        <v/>
      </c>
      <c r="I1279">
        <f>IF(H1279="","",IF(H1279&lt;=128,"address",IF(H1279&lt;=600,"data1",IF(H1279&lt;=1264,"zero-run1",IF(H1279&lt;=1648,"data2",IF(H1279&lt;=2176,"zero-run2",IF(H1279&lt;=2192,"FCS","trailing")))))))</f>
        <v/>
      </c>
      <c r="J1279">
        <f>IFERROR(IF(AND(H1279&lt;&gt;"",H1279&gt;=129,H1279&lt;=2176),INDEX(Fields!$B$2:$B$206,MATCH(H1279-129,Fields!$D$2:$D$206,1)),""),"")</f>
        <v/>
      </c>
      <c r="K1279">
        <f>IFERROR(IF(AND(H1279&lt;&gt;"",H1279&gt;=129,H1279&lt;=2176),INDEX(Fields!$C$2:$C$206,MATCH(H1279-129,Fields!$D$2:$D$206,1)),""),"")</f>
        <v/>
      </c>
      <c r="L1279">
        <f>IFERROR(IF(AND(H1279&lt;&gt;"",H1279&gt;=129,H1279&lt;=2176),INDEX(Fields!$J$2:$J$206,MATCH(H1279-129,Fields!$D$2:$D$206,1)),""),"")</f>
        <v/>
      </c>
      <c r="M1279">
        <f>IFERROR(IF(AND(H1279&lt;&gt;"",H1279&gt;=129,H1279&lt;=2176),INDEX(Fields!$K$2:$K$206,MATCH(H1279-129,Fields!$D$2:$D$206,1)),""),"")</f>
        <v/>
      </c>
    </row>
    <row r="1280">
      <c r="A1280" t="n">
        <v>1278</v>
      </c>
      <c r="B1280" t="n">
        <v>0</v>
      </c>
      <c r="C1280" t="inlineStr">
        <is>
          <t>No</t>
        </is>
      </c>
      <c r="D1280">
        <f>IF(AND(B1275=1,B1276=1,B1277=1,B1278=1,B1279=1),"Yes","")</f>
        <v/>
      </c>
      <c r="E1280" t="inlineStr">
        <is>
          <t>No</t>
        </is>
      </c>
      <c r="F1280" t="inlineStr">
        <is>
          <t>No</t>
        </is>
      </c>
      <c r="G1280">
        <f>IF(F1280="Yes",1-B1280,B1280)</f>
        <v/>
      </c>
      <c r="H1280">
        <f>IF(E1280="Yes","",COUNTIFS($E$2:E1280,"No"))</f>
        <v/>
      </c>
      <c r="I1280">
        <f>IF(H1280="","",IF(H1280&lt;=128,"address",IF(H1280&lt;=600,"data1",IF(H1280&lt;=1264,"zero-run1",IF(H1280&lt;=1648,"data2",IF(H1280&lt;=2176,"zero-run2",IF(H1280&lt;=2192,"FCS","trailing")))))))</f>
        <v/>
      </c>
      <c r="J1280">
        <f>IFERROR(IF(AND(H1280&lt;&gt;"",H1280&gt;=129,H1280&lt;=2176),INDEX(Fields!$B$2:$B$206,MATCH(H1280-129,Fields!$D$2:$D$206,1)),""),"")</f>
        <v/>
      </c>
      <c r="K1280">
        <f>IFERROR(IF(AND(H1280&lt;&gt;"",H1280&gt;=129,H1280&lt;=2176),INDEX(Fields!$C$2:$C$206,MATCH(H1280-129,Fields!$D$2:$D$206,1)),""),"")</f>
        <v/>
      </c>
      <c r="L1280">
        <f>IFERROR(IF(AND(H1280&lt;&gt;"",H1280&gt;=129,H1280&lt;=2176),INDEX(Fields!$J$2:$J$206,MATCH(H1280-129,Fields!$D$2:$D$206,1)),""),"")</f>
        <v/>
      </c>
      <c r="M1280">
        <f>IFERROR(IF(AND(H1280&lt;&gt;"",H1280&gt;=129,H1280&lt;=2176),INDEX(Fields!$K$2:$K$206,MATCH(H1280-129,Fields!$D$2:$D$206,1)),""),"")</f>
        <v/>
      </c>
    </row>
    <row r="1281">
      <c r="A1281" t="n">
        <v>1279</v>
      </c>
      <c r="B1281" t="n">
        <v>1</v>
      </c>
      <c r="C1281" t="inlineStr">
        <is>
          <t>No</t>
        </is>
      </c>
      <c r="D1281">
        <f>IF(AND(B1276=1,B1277=1,B1278=1,B1279=1,B1280=1),"Yes","")</f>
        <v/>
      </c>
      <c r="E1281" t="inlineStr">
        <is>
          <t>No</t>
        </is>
      </c>
      <c r="F1281" t="inlineStr">
        <is>
          <t>No</t>
        </is>
      </c>
      <c r="G1281">
        <f>IF(F1281="Yes",1-B1281,B1281)</f>
        <v/>
      </c>
      <c r="H1281">
        <f>IF(E1281="Yes","",COUNTIFS($E$2:E1281,"No"))</f>
        <v/>
      </c>
      <c r="I1281">
        <f>IF(H1281="","",IF(H1281&lt;=128,"address",IF(H1281&lt;=600,"data1",IF(H1281&lt;=1264,"zero-run1",IF(H1281&lt;=1648,"data2",IF(H1281&lt;=2176,"zero-run2",IF(H1281&lt;=2192,"FCS","trailing")))))))</f>
        <v/>
      </c>
      <c r="J1281">
        <f>IFERROR(IF(AND(H1281&lt;&gt;"",H1281&gt;=129,H1281&lt;=2176),INDEX(Fields!$B$2:$B$206,MATCH(H1281-129,Fields!$D$2:$D$206,1)),""),"")</f>
        <v/>
      </c>
      <c r="K1281">
        <f>IFERROR(IF(AND(H1281&lt;&gt;"",H1281&gt;=129,H1281&lt;=2176),INDEX(Fields!$C$2:$C$206,MATCH(H1281-129,Fields!$D$2:$D$206,1)),""),"")</f>
        <v/>
      </c>
      <c r="L1281">
        <f>IFERROR(IF(AND(H1281&lt;&gt;"",H1281&gt;=129,H1281&lt;=2176),INDEX(Fields!$J$2:$J$206,MATCH(H1281-129,Fields!$D$2:$D$206,1)),""),"")</f>
        <v/>
      </c>
      <c r="M1281">
        <f>IFERROR(IF(AND(H1281&lt;&gt;"",H1281&gt;=129,H1281&lt;=2176),INDEX(Fields!$K$2:$K$206,MATCH(H1281-129,Fields!$D$2:$D$206,1)),""),"")</f>
        <v/>
      </c>
    </row>
    <row r="1282">
      <c r="A1282" t="n">
        <v>1280</v>
      </c>
      <c r="B1282" t="n">
        <v>1</v>
      </c>
      <c r="C1282" t="inlineStr">
        <is>
          <t>No</t>
        </is>
      </c>
      <c r="D1282">
        <f>IF(AND(B1277=1,B1278=1,B1279=1,B1280=1,B1281=1),"Yes","")</f>
        <v/>
      </c>
      <c r="E1282" t="inlineStr">
        <is>
          <t>No</t>
        </is>
      </c>
      <c r="F1282" t="inlineStr">
        <is>
          <t>No</t>
        </is>
      </c>
      <c r="G1282">
        <f>IF(F1282="Yes",1-B1282,B1282)</f>
        <v/>
      </c>
      <c r="H1282">
        <f>IF(E1282="Yes","",COUNTIFS($E$2:E1282,"No"))</f>
        <v/>
      </c>
      <c r="I1282">
        <f>IF(H1282="","",IF(H1282&lt;=128,"address",IF(H1282&lt;=600,"data1",IF(H1282&lt;=1264,"zero-run1",IF(H1282&lt;=1648,"data2",IF(H1282&lt;=2176,"zero-run2",IF(H1282&lt;=2192,"FCS","trailing")))))))</f>
        <v/>
      </c>
      <c r="J1282">
        <f>IFERROR(IF(AND(H1282&lt;&gt;"",H1282&gt;=129,H1282&lt;=2176),INDEX(Fields!$B$2:$B$206,MATCH(H1282-129,Fields!$D$2:$D$206,1)),""),"")</f>
        <v/>
      </c>
      <c r="K1282">
        <f>IFERROR(IF(AND(H1282&lt;&gt;"",H1282&gt;=129,H1282&lt;=2176),INDEX(Fields!$C$2:$C$206,MATCH(H1282-129,Fields!$D$2:$D$206,1)),""),"")</f>
        <v/>
      </c>
      <c r="L1282">
        <f>IFERROR(IF(AND(H1282&lt;&gt;"",H1282&gt;=129,H1282&lt;=2176),INDEX(Fields!$J$2:$J$206,MATCH(H1282-129,Fields!$D$2:$D$206,1)),""),"")</f>
        <v/>
      </c>
      <c r="M1282">
        <f>IFERROR(IF(AND(H1282&lt;&gt;"",H1282&gt;=129,H1282&lt;=2176),INDEX(Fields!$K$2:$K$206,MATCH(H1282-129,Fields!$D$2:$D$206,1)),""),"")</f>
        <v/>
      </c>
    </row>
    <row r="1283">
      <c r="A1283" t="n">
        <v>1281</v>
      </c>
      <c r="B1283" t="n">
        <v>1</v>
      </c>
      <c r="C1283" t="inlineStr">
        <is>
          <t>No</t>
        </is>
      </c>
      <c r="D1283">
        <f>IF(AND(B1278=1,B1279=1,B1280=1,B1281=1,B1282=1),"Yes","")</f>
        <v/>
      </c>
      <c r="E1283" t="inlineStr">
        <is>
          <t>No</t>
        </is>
      </c>
      <c r="F1283" t="inlineStr">
        <is>
          <t>No</t>
        </is>
      </c>
      <c r="G1283">
        <f>IF(F1283="Yes",1-B1283,B1283)</f>
        <v/>
      </c>
      <c r="H1283">
        <f>IF(E1283="Yes","",COUNTIFS($E$2:E1283,"No"))</f>
        <v/>
      </c>
      <c r="I1283">
        <f>IF(H1283="","",IF(H1283&lt;=128,"address",IF(H1283&lt;=600,"data1",IF(H1283&lt;=1264,"zero-run1",IF(H1283&lt;=1648,"data2",IF(H1283&lt;=2176,"zero-run2",IF(H1283&lt;=2192,"FCS","trailing")))))))</f>
        <v/>
      </c>
      <c r="J1283">
        <f>IFERROR(IF(AND(H1283&lt;&gt;"",H1283&gt;=129,H1283&lt;=2176),INDEX(Fields!$B$2:$B$206,MATCH(H1283-129,Fields!$D$2:$D$206,1)),""),"")</f>
        <v/>
      </c>
      <c r="K1283">
        <f>IFERROR(IF(AND(H1283&lt;&gt;"",H1283&gt;=129,H1283&lt;=2176),INDEX(Fields!$C$2:$C$206,MATCH(H1283-129,Fields!$D$2:$D$206,1)),""),"")</f>
        <v/>
      </c>
      <c r="L1283">
        <f>IFERROR(IF(AND(H1283&lt;&gt;"",H1283&gt;=129,H1283&lt;=2176),INDEX(Fields!$J$2:$J$206,MATCH(H1283-129,Fields!$D$2:$D$206,1)),""),"")</f>
        <v/>
      </c>
      <c r="M1283">
        <f>IFERROR(IF(AND(H1283&lt;&gt;"",H1283&gt;=129,H1283&lt;=2176),INDEX(Fields!$K$2:$K$206,MATCH(H1283-129,Fields!$D$2:$D$206,1)),""),"")</f>
        <v/>
      </c>
    </row>
    <row r="1284">
      <c r="A1284" t="n">
        <v>1282</v>
      </c>
      <c r="B1284" t="n">
        <v>0</v>
      </c>
      <c r="C1284" t="inlineStr">
        <is>
          <t>No</t>
        </is>
      </c>
      <c r="D1284">
        <f>IF(AND(B1279=1,B1280=1,B1281=1,B1282=1,B1283=1),"Yes","")</f>
        <v/>
      </c>
      <c r="E1284" t="inlineStr">
        <is>
          <t>No</t>
        </is>
      </c>
      <c r="F1284" t="inlineStr">
        <is>
          <t>No</t>
        </is>
      </c>
      <c r="G1284">
        <f>IF(F1284="Yes",1-B1284,B1284)</f>
        <v/>
      </c>
      <c r="H1284">
        <f>IF(E1284="Yes","",COUNTIFS($E$2:E1284,"No"))</f>
        <v/>
      </c>
      <c r="I1284">
        <f>IF(H1284="","",IF(H1284&lt;=128,"address",IF(H1284&lt;=600,"data1",IF(H1284&lt;=1264,"zero-run1",IF(H1284&lt;=1648,"data2",IF(H1284&lt;=2176,"zero-run2",IF(H1284&lt;=2192,"FCS","trailing")))))))</f>
        <v/>
      </c>
      <c r="J1284">
        <f>IFERROR(IF(AND(H1284&lt;&gt;"",H1284&gt;=129,H1284&lt;=2176),INDEX(Fields!$B$2:$B$206,MATCH(H1284-129,Fields!$D$2:$D$206,1)),""),"")</f>
        <v/>
      </c>
      <c r="K1284">
        <f>IFERROR(IF(AND(H1284&lt;&gt;"",H1284&gt;=129,H1284&lt;=2176),INDEX(Fields!$C$2:$C$206,MATCH(H1284-129,Fields!$D$2:$D$206,1)),""),"")</f>
        <v/>
      </c>
      <c r="L1284">
        <f>IFERROR(IF(AND(H1284&lt;&gt;"",H1284&gt;=129,H1284&lt;=2176),INDEX(Fields!$J$2:$J$206,MATCH(H1284-129,Fields!$D$2:$D$206,1)),""),"")</f>
        <v/>
      </c>
      <c r="M1284">
        <f>IFERROR(IF(AND(H1284&lt;&gt;"",H1284&gt;=129,H1284&lt;=2176),INDEX(Fields!$K$2:$K$206,MATCH(H1284-129,Fields!$D$2:$D$206,1)),""),"")</f>
        <v/>
      </c>
    </row>
    <row r="1285">
      <c r="A1285" t="n">
        <v>1283</v>
      </c>
      <c r="B1285" t="n">
        <v>0</v>
      </c>
      <c r="C1285" t="inlineStr">
        <is>
          <t>No</t>
        </is>
      </c>
      <c r="D1285">
        <f>IF(AND(B1280=1,B1281=1,B1282=1,B1283=1,B1284=1),"Yes","")</f>
        <v/>
      </c>
      <c r="E1285" t="inlineStr">
        <is>
          <t>No</t>
        </is>
      </c>
      <c r="F1285" t="inlineStr">
        <is>
          <t>No</t>
        </is>
      </c>
      <c r="G1285">
        <f>IF(F1285="Yes",1-B1285,B1285)</f>
        <v/>
      </c>
      <c r="H1285">
        <f>IF(E1285="Yes","",COUNTIFS($E$2:E1285,"No"))</f>
        <v/>
      </c>
      <c r="I1285">
        <f>IF(H1285="","",IF(H1285&lt;=128,"address",IF(H1285&lt;=600,"data1",IF(H1285&lt;=1264,"zero-run1",IF(H1285&lt;=1648,"data2",IF(H1285&lt;=2176,"zero-run2",IF(H1285&lt;=2192,"FCS","trailing")))))))</f>
        <v/>
      </c>
      <c r="J1285">
        <f>IFERROR(IF(AND(H1285&lt;&gt;"",H1285&gt;=129,H1285&lt;=2176),INDEX(Fields!$B$2:$B$206,MATCH(H1285-129,Fields!$D$2:$D$206,1)),""),"")</f>
        <v/>
      </c>
      <c r="K1285">
        <f>IFERROR(IF(AND(H1285&lt;&gt;"",H1285&gt;=129,H1285&lt;=2176),INDEX(Fields!$C$2:$C$206,MATCH(H1285-129,Fields!$D$2:$D$206,1)),""),"")</f>
        <v/>
      </c>
      <c r="L1285">
        <f>IFERROR(IF(AND(H1285&lt;&gt;"",H1285&gt;=129,H1285&lt;=2176),INDEX(Fields!$J$2:$J$206,MATCH(H1285-129,Fields!$D$2:$D$206,1)),""),"")</f>
        <v/>
      </c>
      <c r="M1285">
        <f>IFERROR(IF(AND(H1285&lt;&gt;"",H1285&gt;=129,H1285&lt;=2176),INDEX(Fields!$K$2:$K$206,MATCH(H1285-129,Fields!$D$2:$D$206,1)),""),"")</f>
        <v/>
      </c>
    </row>
    <row r="1286">
      <c r="A1286" t="n">
        <v>1284</v>
      </c>
      <c r="B1286" t="n">
        <v>0</v>
      </c>
      <c r="C1286" t="inlineStr">
        <is>
          <t>No</t>
        </is>
      </c>
      <c r="D1286">
        <f>IF(AND(B1281=1,B1282=1,B1283=1,B1284=1,B1285=1),"Yes","")</f>
        <v/>
      </c>
      <c r="E1286" t="inlineStr">
        <is>
          <t>No</t>
        </is>
      </c>
      <c r="F1286" t="inlineStr">
        <is>
          <t>No</t>
        </is>
      </c>
      <c r="G1286">
        <f>IF(F1286="Yes",1-B1286,B1286)</f>
        <v/>
      </c>
      <c r="H1286">
        <f>IF(E1286="Yes","",COUNTIFS($E$2:E1286,"No"))</f>
        <v/>
      </c>
      <c r="I1286">
        <f>IF(H1286="","",IF(H1286&lt;=128,"address",IF(H1286&lt;=600,"data1",IF(H1286&lt;=1264,"zero-run1",IF(H1286&lt;=1648,"data2",IF(H1286&lt;=2176,"zero-run2",IF(H1286&lt;=2192,"FCS","trailing")))))))</f>
        <v/>
      </c>
      <c r="J1286">
        <f>IFERROR(IF(AND(H1286&lt;&gt;"",H1286&gt;=129,H1286&lt;=2176),INDEX(Fields!$B$2:$B$206,MATCH(H1286-129,Fields!$D$2:$D$206,1)),""),"")</f>
        <v/>
      </c>
      <c r="K1286">
        <f>IFERROR(IF(AND(H1286&lt;&gt;"",H1286&gt;=129,H1286&lt;=2176),INDEX(Fields!$C$2:$C$206,MATCH(H1286-129,Fields!$D$2:$D$206,1)),""),"")</f>
        <v/>
      </c>
      <c r="L1286">
        <f>IFERROR(IF(AND(H1286&lt;&gt;"",H1286&gt;=129,H1286&lt;=2176),INDEX(Fields!$J$2:$J$206,MATCH(H1286-129,Fields!$D$2:$D$206,1)),""),"")</f>
        <v/>
      </c>
      <c r="M1286">
        <f>IFERROR(IF(AND(H1286&lt;&gt;"",H1286&gt;=129,H1286&lt;=2176),INDEX(Fields!$K$2:$K$206,MATCH(H1286-129,Fields!$D$2:$D$206,1)),""),"")</f>
        <v/>
      </c>
    </row>
    <row r="1287">
      <c r="A1287" t="n">
        <v>1285</v>
      </c>
      <c r="B1287" t="n">
        <v>0</v>
      </c>
      <c r="C1287" t="inlineStr">
        <is>
          <t>No</t>
        </is>
      </c>
      <c r="D1287">
        <f>IF(AND(B1282=1,B1283=1,B1284=1,B1285=1,B1286=1),"Yes","")</f>
        <v/>
      </c>
      <c r="E1287" t="inlineStr">
        <is>
          <t>No</t>
        </is>
      </c>
      <c r="F1287" t="inlineStr">
        <is>
          <t>No</t>
        </is>
      </c>
      <c r="G1287">
        <f>IF(F1287="Yes",1-B1287,B1287)</f>
        <v/>
      </c>
      <c r="H1287">
        <f>IF(E1287="Yes","",COUNTIFS($E$2:E1287,"No"))</f>
        <v/>
      </c>
      <c r="I1287">
        <f>IF(H1287="","",IF(H1287&lt;=128,"address",IF(H1287&lt;=600,"data1",IF(H1287&lt;=1264,"zero-run1",IF(H1287&lt;=1648,"data2",IF(H1287&lt;=2176,"zero-run2",IF(H1287&lt;=2192,"FCS","trailing")))))))</f>
        <v/>
      </c>
      <c r="J1287">
        <f>IFERROR(IF(AND(H1287&lt;&gt;"",H1287&gt;=129,H1287&lt;=2176),INDEX(Fields!$B$2:$B$206,MATCH(H1287-129,Fields!$D$2:$D$206,1)),""),"")</f>
        <v/>
      </c>
      <c r="K1287">
        <f>IFERROR(IF(AND(H1287&lt;&gt;"",H1287&gt;=129,H1287&lt;=2176),INDEX(Fields!$C$2:$C$206,MATCH(H1287-129,Fields!$D$2:$D$206,1)),""),"")</f>
        <v/>
      </c>
      <c r="L1287">
        <f>IFERROR(IF(AND(H1287&lt;&gt;"",H1287&gt;=129,H1287&lt;=2176),INDEX(Fields!$J$2:$J$206,MATCH(H1287-129,Fields!$D$2:$D$206,1)),""),"")</f>
        <v/>
      </c>
      <c r="M1287">
        <f>IFERROR(IF(AND(H1287&lt;&gt;"",H1287&gt;=129,H1287&lt;=2176),INDEX(Fields!$K$2:$K$206,MATCH(H1287-129,Fields!$D$2:$D$206,1)),""),"")</f>
        <v/>
      </c>
    </row>
    <row r="1288">
      <c r="A1288" t="n">
        <v>1286</v>
      </c>
      <c r="B1288" t="n">
        <v>1</v>
      </c>
      <c r="C1288" t="inlineStr">
        <is>
          <t>No</t>
        </is>
      </c>
      <c r="D1288">
        <f>IF(AND(B1283=1,B1284=1,B1285=1,B1286=1,B1287=1),"Yes","")</f>
        <v/>
      </c>
      <c r="E1288" t="inlineStr">
        <is>
          <t>No</t>
        </is>
      </c>
      <c r="F1288" t="inlineStr">
        <is>
          <t>No</t>
        </is>
      </c>
      <c r="G1288">
        <f>IF(F1288="Yes",1-B1288,B1288)</f>
        <v/>
      </c>
      <c r="H1288">
        <f>IF(E1288="Yes","",COUNTIFS($E$2:E1288,"No"))</f>
        <v/>
      </c>
      <c r="I1288">
        <f>IF(H1288="","",IF(H1288&lt;=128,"address",IF(H1288&lt;=600,"data1",IF(H1288&lt;=1264,"zero-run1",IF(H1288&lt;=1648,"data2",IF(H1288&lt;=2176,"zero-run2",IF(H1288&lt;=2192,"FCS","trailing")))))))</f>
        <v/>
      </c>
      <c r="J1288">
        <f>IFERROR(IF(AND(H1288&lt;&gt;"",H1288&gt;=129,H1288&lt;=2176),INDEX(Fields!$B$2:$B$206,MATCH(H1288-129,Fields!$D$2:$D$206,1)),""),"")</f>
        <v/>
      </c>
      <c r="K1288">
        <f>IFERROR(IF(AND(H1288&lt;&gt;"",H1288&gt;=129,H1288&lt;=2176),INDEX(Fields!$C$2:$C$206,MATCH(H1288-129,Fields!$D$2:$D$206,1)),""),"")</f>
        <v/>
      </c>
      <c r="L1288">
        <f>IFERROR(IF(AND(H1288&lt;&gt;"",H1288&gt;=129,H1288&lt;=2176),INDEX(Fields!$J$2:$J$206,MATCH(H1288-129,Fields!$D$2:$D$206,1)),""),"")</f>
        <v/>
      </c>
      <c r="M1288">
        <f>IFERROR(IF(AND(H1288&lt;&gt;"",H1288&gt;=129,H1288&lt;=2176),INDEX(Fields!$K$2:$K$206,MATCH(H1288-129,Fields!$D$2:$D$206,1)),""),"")</f>
        <v/>
      </c>
    </row>
    <row r="1289">
      <c r="A1289" t="n">
        <v>1287</v>
      </c>
      <c r="B1289" t="n">
        <v>0</v>
      </c>
      <c r="C1289" t="inlineStr">
        <is>
          <t>No</t>
        </is>
      </c>
      <c r="D1289">
        <f>IF(AND(B1284=1,B1285=1,B1286=1,B1287=1,B1288=1),"Yes","")</f>
        <v/>
      </c>
      <c r="E1289" t="inlineStr">
        <is>
          <t>No</t>
        </is>
      </c>
      <c r="F1289" t="inlineStr">
        <is>
          <t>No</t>
        </is>
      </c>
      <c r="G1289">
        <f>IF(F1289="Yes",1-B1289,B1289)</f>
        <v/>
      </c>
      <c r="H1289">
        <f>IF(E1289="Yes","",COUNTIFS($E$2:E1289,"No"))</f>
        <v/>
      </c>
      <c r="I1289">
        <f>IF(H1289="","",IF(H1289&lt;=128,"address",IF(H1289&lt;=600,"data1",IF(H1289&lt;=1264,"zero-run1",IF(H1289&lt;=1648,"data2",IF(H1289&lt;=2176,"zero-run2",IF(H1289&lt;=2192,"FCS","trailing")))))))</f>
        <v/>
      </c>
      <c r="J1289">
        <f>IFERROR(IF(AND(H1289&lt;&gt;"",H1289&gt;=129,H1289&lt;=2176),INDEX(Fields!$B$2:$B$206,MATCH(H1289-129,Fields!$D$2:$D$206,1)),""),"")</f>
        <v/>
      </c>
      <c r="K1289">
        <f>IFERROR(IF(AND(H1289&lt;&gt;"",H1289&gt;=129,H1289&lt;=2176),INDEX(Fields!$C$2:$C$206,MATCH(H1289-129,Fields!$D$2:$D$206,1)),""),"")</f>
        <v/>
      </c>
      <c r="L1289">
        <f>IFERROR(IF(AND(H1289&lt;&gt;"",H1289&gt;=129,H1289&lt;=2176),INDEX(Fields!$J$2:$J$206,MATCH(H1289-129,Fields!$D$2:$D$206,1)),""),"")</f>
        <v/>
      </c>
      <c r="M1289">
        <f>IFERROR(IF(AND(H1289&lt;&gt;"",H1289&gt;=129,H1289&lt;=2176),INDEX(Fields!$K$2:$K$206,MATCH(H1289-129,Fields!$D$2:$D$206,1)),""),"")</f>
        <v/>
      </c>
    </row>
    <row r="1290">
      <c r="A1290" t="n">
        <v>1288</v>
      </c>
      <c r="B1290" t="n">
        <v>1</v>
      </c>
      <c r="C1290" t="inlineStr">
        <is>
          <t>No</t>
        </is>
      </c>
      <c r="D1290">
        <f>IF(AND(B1285=1,B1286=1,B1287=1,B1288=1,B1289=1),"Yes","")</f>
        <v/>
      </c>
      <c r="E1290" t="inlineStr">
        <is>
          <t>No</t>
        </is>
      </c>
      <c r="F1290" t="inlineStr">
        <is>
          <t>No</t>
        </is>
      </c>
      <c r="G1290">
        <f>IF(F1290="Yes",1-B1290,B1290)</f>
        <v/>
      </c>
      <c r="H1290">
        <f>IF(E1290="Yes","",COUNTIFS($E$2:E1290,"No"))</f>
        <v/>
      </c>
      <c r="I1290">
        <f>IF(H1290="","",IF(H1290&lt;=128,"address",IF(H1290&lt;=600,"data1",IF(H1290&lt;=1264,"zero-run1",IF(H1290&lt;=1648,"data2",IF(H1290&lt;=2176,"zero-run2",IF(H1290&lt;=2192,"FCS","trailing")))))))</f>
        <v/>
      </c>
      <c r="J1290">
        <f>IFERROR(IF(AND(H1290&lt;&gt;"",H1290&gt;=129,H1290&lt;=2176),INDEX(Fields!$B$2:$B$206,MATCH(H1290-129,Fields!$D$2:$D$206,1)),""),"")</f>
        <v/>
      </c>
      <c r="K1290">
        <f>IFERROR(IF(AND(H1290&lt;&gt;"",H1290&gt;=129,H1290&lt;=2176),INDEX(Fields!$C$2:$C$206,MATCH(H1290-129,Fields!$D$2:$D$206,1)),""),"")</f>
        <v/>
      </c>
      <c r="L1290">
        <f>IFERROR(IF(AND(H1290&lt;&gt;"",H1290&gt;=129,H1290&lt;=2176),INDEX(Fields!$J$2:$J$206,MATCH(H1290-129,Fields!$D$2:$D$206,1)),""),"")</f>
        <v/>
      </c>
      <c r="M1290">
        <f>IFERROR(IF(AND(H1290&lt;&gt;"",H1290&gt;=129,H1290&lt;=2176),INDEX(Fields!$K$2:$K$206,MATCH(H1290-129,Fields!$D$2:$D$206,1)),""),"")</f>
        <v/>
      </c>
    </row>
    <row r="1291">
      <c r="A1291" t="n">
        <v>1289</v>
      </c>
      <c r="B1291" t="n">
        <v>1</v>
      </c>
      <c r="C1291" t="inlineStr">
        <is>
          <t>No</t>
        </is>
      </c>
      <c r="D1291">
        <f>IF(AND(B1286=1,B1287=1,B1288=1,B1289=1,B1290=1),"Yes","")</f>
        <v/>
      </c>
      <c r="E1291" t="inlineStr">
        <is>
          <t>No</t>
        </is>
      </c>
      <c r="F1291" t="inlineStr">
        <is>
          <t>No</t>
        </is>
      </c>
      <c r="G1291">
        <f>IF(F1291="Yes",1-B1291,B1291)</f>
        <v/>
      </c>
      <c r="H1291">
        <f>IF(E1291="Yes","",COUNTIFS($E$2:E1291,"No"))</f>
        <v/>
      </c>
      <c r="I1291">
        <f>IF(H1291="","",IF(H1291&lt;=128,"address",IF(H1291&lt;=600,"data1",IF(H1291&lt;=1264,"zero-run1",IF(H1291&lt;=1648,"data2",IF(H1291&lt;=2176,"zero-run2",IF(H1291&lt;=2192,"FCS","trailing")))))))</f>
        <v/>
      </c>
      <c r="J1291">
        <f>IFERROR(IF(AND(H1291&lt;&gt;"",H1291&gt;=129,H1291&lt;=2176),INDEX(Fields!$B$2:$B$206,MATCH(H1291-129,Fields!$D$2:$D$206,1)),""),"")</f>
        <v/>
      </c>
      <c r="K1291">
        <f>IFERROR(IF(AND(H1291&lt;&gt;"",H1291&gt;=129,H1291&lt;=2176),INDEX(Fields!$C$2:$C$206,MATCH(H1291-129,Fields!$D$2:$D$206,1)),""),"")</f>
        <v/>
      </c>
      <c r="L1291">
        <f>IFERROR(IF(AND(H1291&lt;&gt;"",H1291&gt;=129,H1291&lt;=2176),INDEX(Fields!$J$2:$J$206,MATCH(H1291-129,Fields!$D$2:$D$206,1)),""),"")</f>
        <v/>
      </c>
      <c r="M1291">
        <f>IFERROR(IF(AND(H1291&lt;&gt;"",H1291&gt;=129,H1291&lt;=2176),INDEX(Fields!$K$2:$K$206,MATCH(H1291-129,Fields!$D$2:$D$206,1)),""),"")</f>
        <v/>
      </c>
    </row>
    <row r="1292">
      <c r="A1292" t="n">
        <v>1290</v>
      </c>
      <c r="B1292" t="n">
        <v>1</v>
      </c>
      <c r="C1292" t="inlineStr">
        <is>
          <t>No</t>
        </is>
      </c>
      <c r="D1292">
        <f>IF(AND(B1287=1,B1288=1,B1289=1,B1290=1,B1291=1),"Yes","")</f>
        <v/>
      </c>
      <c r="E1292" t="inlineStr">
        <is>
          <t>No</t>
        </is>
      </c>
      <c r="F1292" t="inlineStr">
        <is>
          <t>No</t>
        </is>
      </c>
      <c r="G1292">
        <f>IF(F1292="Yes",1-B1292,B1292)</f>
        <v/>
      </c>
      <c r="H1292">
        <f>IF(E1292="Yes","",COUNTIFS($E$2:E1292,"No"))</f>
        <v/>
      </c>
      <c r="I1292">
        <f>IF(H1292="","",IF(H1292&lt;=128,"address",IF(H1292&lt;=600,"data1",IF(H1292&lt;=1264,"zero-run1",IF(H1292&lt;=1648,"data2",IF(H1292&lt;=2176,"zero-run2",IF(H1292&lt;=2192,"FCS","trailing")))))))</f>
        <v/>
      </c>
      <c r="J1292">
        <f>IFERROR(IF(AND(H1292&lt;&gt;"",H1292&gt;=129,H1292&lt;=2176),INDEX(Fields!$B$2:$B$206,MATCH(H1292-129,Fields!$D$2:$D$206,1)),""),"")</f>
        <v/>
      </c>
      <c r="K1292">
        <f>IFERROR(IF(AND(H1292&lt;&gt;"",H1292&gt;=129,H1292&lt;=2176),INDEX(Fields!$C$2:$C$206,MATCH(H1292-129,Fields!$D$2:$D$206,1)),""),"")</f>
        <v/>
      </c>
      <c r="L1292">
        <f>IFERROR(IF(AND(H1292&lt;&gt;"",H1292&gt;=129,H1292&lt;=2176),INDEX(Fields!$J$2:$J$206,MATCH(H1292-129,Fields!$D$2:$D$206,1)),""),"")</f>
        <v/>
      </c>
      <c r="M1292">
        <f>IFERROR(IF(AND(H1292&lt;&gt;"",H1292&gt;=129,H1292&lt;=2176),INDEX(Fields!$K$2:$K$206,MATCH(H1292-129,Fields!$D$2:$D$206,1)),""),"")</f>
        <v/>
      </c>
    </row>
    <row r="1293">
      <c r="A1293" t="n">
        <v>1291</v>
      </c>
      <c r="B1293" t="n">
        <v>1</v>
      </c>
      <c r="C1293" t="inlineStr">
        <is>
          <t>No</t>
        </is>
      </c>
      <c r="D1293">
        <f>IF(AND(B1288=1,B1289=1,B1290=1,B1291=1,B1292=1),"Yes","")</f>
        <v/>
      </c>
      <c r="E1293" t="inlineStr">
        <is>
          <t>No</t>
        </is>
      </c>
      <c r="F1293" t="inlineStr">
        <is>
          <t>No</t>
        </is>
      </c>
      <c r="G1293">
        <f>IF(F1293="Yes",1-B1293,B1293)</f>
        <v/>
      </c>
      <c r="H1293">
        <f>IF(E1293="Yes","",COUNTIFS($E$2:E1293,"No"))</f>
        <v/>
      </c>
      <c r="I1293">
        <f>IF(H1293="","",IF(H1293&lt;=128,"address",IF(H1293&lt;=600,"data1",IF(H1293&lt;=1264,"zero-run1",IF(H1293&lt;=1648,"data2",IF(H1293&lt;=2176,"zero-run2",IF(H1293&lt;=2192,"FCS","trailing")))))))</f>
        <v/>
      </c>
      <c r="J1293">
        <f>IFERROR(IF(AND(H1293&lt;&gt;"",H1293&gt;=129,H1293&lt;=2176),INDEX(Fields!$B$2:$B$206,MATCH(H1293-129,Fields!$D$2:$D$206,1)),""),"")</f>
        <v/>
      </c>
      <c r="K1293">
        <f>IFERROR(IF(AND(H1293&lt;&gt;"",H1293&gt;=129,H1293&lt;=2176),INDEX(Fields!$C$2:$C$206,MATCH(H1293-129,Fields!$D$2:$D$206,1)),""),"")</f>
        <v/>
      </c>
      <c r="L1293">
        <f>IFERROR(IF(AND(H1293&lt;&gt;"",H1293&gt;=129,H1293&lt;=2176),INDEX(Fields!$J$2:$J$206,MATCH(H1293-129,Fields!$D$2:$D$206,1)),""),"")</f>
        <v/>
      </c>
      <c r="M1293">
        <f>IFERROR(IF(AND(H1293&lt;&gt;"",H1293&gt;=129,H1293&lt;=2176),INDEX(Fields!$K$2:$K$206,MATCH(H1293-129,Fields!$D$2:$D$206,1)),""),"")</f>
        <v/>
      </c>
    </row>
    <row r="1294">
      <c r="A1294" t="n">
        <v>1292</v>
      </c>
      <c r="B1294" t="n">
        <v>1</v>
      </c>
      <c r="C1294" t="inlineStr">
        <is>
          <t>No</t>
        </is>
      </c>
      <c r="D1294">
        <f>IF(AND(B1289=1,B1290=1,B1291=1,B1292=1,B1293=1),"Yes","")</f>
        <v/>
      </c>
      <c r="E1294" t="inlineStr">
        <is>
          <t>No</t>
        </is>
      </c>
      <c r="F1294" t="inlineStr">
        <is>
          <t>No</t>
        </is>
      </c>
      <c r="G1294">
        <f>IF(F1294="Yes",1-B1294,B1294)</f>
        <v/>
      </c>
      <c r="H1294">
        <f>IF(E1294="Yes","",COUNTIFS($E$2:E1294,"No"))</f>
        <v/>
      </c>
      <c r="I1294">
        <f>IF(H1294="","",IF(H1294&lt;=128,"address",IF(H1294&lt;=600,"data1",IF(H1294&lt;=1264,"zero-run1",IF(H1294&lt;=1648,"data2",IF(H1294&lt;=2176,"zero-run2",IF(H1294&lt;=2192,"FCS","trailing")))))))</f>
        <v/>
      </c>
      <c r="J1294">
        <f>IFERROR(IF(AND(H1294&lt;&gt;"",H1294&gt;=129,H1294&lt;=2176),INDEX(Fields!$B$2:$B$206,MATCH(H1294-129,Fields!$D$2:$D$206,1)),""),"")</f>
        <v/>
      </c>
      <c r="K1294">
        <f>IFERROR(IF(AND(H1294&lt;&gt;"",H1294&gt;=129,H1294&lt;=2176),INDEX(Fields!$C$2:$C$206,MATCH(H1294-129,Fields!$D$2:$D$206,1)),""),"")</f>
        <v/>
      </c>
      <c r="L1294">
        <f>IFERROR(IF(AND(H1294&lt;&gt;"",H1294&gt;=129,H1294&lt;=2176),INDEX(Fields!$J$2:$J$206,MATCH(H1294-129,Fields!$D$2:$D$206,1)),""),"")</f>
        <v/>
      </c>
      <c r="M1294">
        <f>IFERROR(IF(AND(H1294&lt;&gt;"",H1294&gt;=129,H1294&lt;=2176),INDEX(Fields!$K$2:$K$206,MATCH(H1294-129,Fields!$D$2:$D$206,1)),""),"")</f>
        <v/>
      </c>
    </row>
    <row r="1295">
      <c r="A1295" t="n">
        <v>1293</v>
      </c>
      <c r="B1295" t="n">
        <v>0</v>
      </c>
      <c r="C1295" t="inlineStr">
        <is>
          <t>No</t>
        </is>
      </c>
      <c r="D1295" s="4">
        <f>IF(AND(B1290=1,B1291=1,B1292=1,B1293=1,B1294=1),"Yes","")</f>
        <v/>
      </c>
      <c r="E1295" t="inlineStr">
        <is>
          <t>No</t>
        </is>
      </c>
      <c r="F1295" t="inlineStr">
        <is>
          <t>No</t>
        </is>
      </c>
      <c r="G1295">
        <f>IF(F1295="Yes",1-B1295,B1295)</f>
        <v/>
      </c>
      <c r="H1295">
        <f>IF(E1295="Yes","",COUNTIFS($E$2:E1295,"No"))</f>
        <v/>
      </c>
      <c r="I1295">
        <f>IF(H1295="","",IF(H1295&lt;=128,"address",IF(H1295&lt;=600,"data1",IF(H1295&lt;=1264,"zero-run1",IF(H1295&lt;=1648,"data2",IF(H1295&lt;=2176,"zero-run2",IF(H1295&lt;=2192,"FCS","trailing")))))))</f>
        <v/>
      </c>
      <c r="J1295">
        <f>IFERROR(IF(AND(H1295&lt;&gt;"",H1295&gt;=129,H1295&lt;=2176),INDEX(Fields!$B$2:$B$206,MATCH(H1295-129,Fields!$D$2:$D$206,1)),""),"")</f>
        <v/>
      </c>
      <c r="K1295">
        <f>IFERROR(IF(AND(H1295&lt;&gt;"",H1295&gt;=129,H1295&lt;=2176),INDEX(Fields!$C$2:$C$206,MATCH(H1295-129,Fields!$D$2:$D$206,1)),""),"")</f>
        <v/>
      </c>
      <c r="L1295">
        <f>IFERROR(IF(AND(H1295&lt;&gt;"",H1295&gt;=129,H1295&lt;=2176),INDEX(Fields!$J$2:$J$206,MATCH(H1295-129,Fields!$D$2:$D$206,1)),""),"")</f>
        <v/>
      </c>
      <c r="M1295">
        <f>IFERROR(IF(AND(H1295&lt;&gt;"",H1295&gt;=129,H1295&lt;=2176),INDEX(Fields!$K$2:$K$206,MATCH(H1295-129,Fields!$D$2:$D$206,1)),""),"")</f>
        <v/>
      </c>
    </row>
    <row r="1296">
      <c r="A1296" t="n">
        <v>1294</v>
      </c>
      <c r="B1296" t="n">
        <v>0</v>
      </c>
      <c r="C1296" t="inlineStr">
        <is>
          <t>No</t>
        </is>
      </c>
      <c r="D1296">
        <f>IF(AND(B1291=1,B1292=1,B1293=1,B1294=1,B1295=1),"Yes","")</f>
        <v/>
      </c>
      <c r="E1296" t="inlineStr">
        <is>
          <t>No</t>
        </is>
      </c>
      <c r="F1296" t="inlineStr">
        <is>
          <t>No</t>
        </is>
      </c>
      <c r="G1296">
        <f>IF(F1296="Yes",1-B1296,B1296)</f>
        <v/>
      </c>
      <c r="H1296">
        <f>IF(E1296="Yes","",COUNTIFS($E$2:E1296,"No"))</f>
        <v/>
      </c>
      <c r="I1296">
        <f>IF(H1296="","",IF(H1296&lt;=128,"address",IF(H1296&lt;=600,"data1",IF(H1296&lt;=1264,"zero-run1",IF(H1296&lt;=1648,"data2",IF(H1296&lt;=2176,"zero-run2",IF(H1296&lt;=2192,"FCS","trailing")))))))</f>
        <v/>
      </c>
      <c r="J1296">
        <f>IFERROR(IF(AND(H1296&lt;&gt;"",H1296&gt;=129,H1296&lt;=2176),INDEX(Fields!$B$2:$B$206,MATCH(H1296-129,Fields!$D$2:$D$206,1)),""),"")</f>
        <v/>
      </c>
      <c r="K1296">
        <f>IFERROR(IF(AND(H1296&lt;&gt;"",H1296&gt;=129,H1296&lt;=2176),INDEX(Fields!$C$2:$C$206,MATCH(H1296-129,Fields!$D$2:$D$206,1)),""),"")</f>
        <v/>
      </c>
      <c r="L1296">
        <f>IFERROR(IF(AND(H1296&lt;&gt;"",H1296&gt;=129,H1296&lt;=2176),INDEX(Fields!$J$2:$J$206,MATCH(H1296-129,Fields!$D$2:$D$206,1)),""),"")</f>
        <v/>
      </c>
      <c r="M1296">
        <f>IFERROR(IF(AND(H1296&lt;&gt;"",H1296&gt;=129,H1296&lt;=2176),INDEX(Fields!$K$2:$K$206,MATCH(H1296-129,Fields!$D$2:$D$206,1)),""),"")</f>
        <v/>
      </c>
    </row>
    <row r="1297">
      <c r="A1297" t="n">
        <v>1295</v>
      </c>
      <c r="B1297" t="n">
        <v>0</v>
      </c>
      <c r="C1297" t="inlineStr">
        <is>
          <t>No</t>
        </is>
      </c>
      <c r="D1297">
        <f>IF(AND(B1292=1,B1293=1,B1294=1,B1295=1,B1296=1),"Yes","")</f>
        <v/>
      </c>
      <c r="E1297" t="inlineStr">
        <is>
          <t>No</t>
        </is>
      </c>
      <c r="F1297" t="inlineStr">
        <is>
          <t>No</t>
        </is>
      </c>
      <c r="G1297">
        <f>IF(F1297="Yes",1-B1297,B1297)</f>
        <v/>
      </c>
      <c r="H1297">
        <f>IF(E1297="Yes","",COUNTIFS($E$2:E1297,"No"))</f>
        <v/>
      </c>
      <c r="I1297">
        <f>IF(H1297="","",IF(H1297&lt;=128,"address",IF(H1297&lt;=600,"data1",IF(H1297&lt;=1264,"zero-run1",IF(H1297&lt;=1648,"data2",IF(H1297&lt;=2176,"zero-run2",IF(H1297&lt;=2192,"FCS","trailing")))))))</f>
        <v/>
      </c>
      <c r="J1297">
        <f>IFERROR(IF(AND(H1297&lt;&gt;"",H1297&gt;=129,H1297&lt;=2176),INDEX(Fields!$B$2:$B$206,MATCH(H1297-129,Fields!$D$2:$D$206,1)),""),"")</f>
        <v/>
      </c>
      <c r="K1297">
        <f>IFERROR(IF(AND(H1297&lt;&gt;"",H1297&gt;=129,H1297&lt;=2176),INDEX(Fields!$C$2:$C$206,MATCH(H1297-129,Fields!$D$2:$D$206,1)),""),"")</f>
        <v/>
      </c>
      <c r="L1297">
        <f>IFERROR(IF(AND(H1297&lt;&gt;"",H1297&gt;=129,H1297&lt;=2176),INDEX(Fields!$J$2:$J$206,MATCH(H1297-129,Fields!$D$2:$D$206,1)),""),"")</f>
        <v/>
      </c>
      <c r="M1297">
        <f>IFERROR(IF(AND(H1297&lt;&gt;"",H1297&gt;=129,H1297&lt;=2176),INDEX(Fields!$K$2:$K$206,MATCH(H1297-129,Fields!$D$2:$D$206,1)),""),"")</f>
        <v/>
      </c>
    </row>
    <row r="1298">
      <c r="A1298" t="n">
        <v>1296</v>
      </c>
      <c r="B1298" t="n">
        <v>1</v>
      </c>
      <c r="C1298" t="inlineStr">
        <is>
          <t>No</t>
        </is>
      </c>
      <c r="D1298">
        <f>IF(AND(B1293=1,B1294=1,B1295=1,B1296=1,B1297=1),"Yes","")</f>
        <v/>
      </c>
      <c r="E1298" t="inlineStr">
        <is>
          <t>No</t>
        </is>
      </c>
      <c r="F1298" t="inlineStr">
        <is>
          <t>No</t>
        </is>
      </c>
      <c r="G1298">
        <f>IF(F1298="Yes",1-B1298,B1298)</f>
        <v/>
      </c>
      <c r="H1298">
        <f>IF(E1298="Yes","",COUNTIFS($E$2:E1298,"No"))</f>
        <v/>
      </c>
      <c r="I1298">
        <f>IF(H1298="","",IF(H1298&lt;=128,"address",IF(H1298&lt;=600,"data1",IF(H1298&lt;=1264,"zero-run1",IF(H1298&lt;=1648,"data2",IF(H1298&lt;=2176,"zero-run2",IF(H1298&lt;=2192,"FCS","trailing")))))))</f>
        <v/>
      </c>
      <c r="J1298">
        <f>IFERROR(IF(AND(H1298&lt;&gt;"",H1298&gt;=129,H1298&lt;=2176),INDEX(Fields!$B$2:$B$206,MATCH(H1298-129,Fields!$D$2:$D$206,1)),""),"")</f>
        <v/>
      </c>
      <c r="K1298">
        <f>IFERROR(IF(AND(H1298&lt;&gt;"",H1298&gt;=129,H1298&lt;=2176),INDEX(Fields!$C$2:$C$206,MATCH(H1298-129,Fields!$D$2:$D$206,1)),""),"")</f>
        <v/>
      </c>
      <c r="L1298">
        <f>IFERROR(IF(AND(H1298&lt;&gt;"",H1298&gt;=129,H1298&lt;=2176),INDEX(Fields!$J$2:$J$206,MATCH(H1298-129,Fields!$D$2:$D$206,1)),""),"")</f>
        <v/>
      </c>
      <c r="M1298">
        <f>IFERROR(IF(AND(H1298&lt;&gt;"",H1298&gt;=129,H1298&lt;=2176),INDEX(Fields!$K$2:$K$206,MATCH(H1298-129,Fields!$D$2:$D$206,1)),""),"")</f>
        <v/>
      </c>
    </row>
    <row r="1299">
      <c r="A1299" t="n">
        <v>1297</v>
      </c>
      <c r="B1299" t="n">
        <v>1</v>
      </c>
      <c r="C1299" t="inlineStr">
        <is>
          <t>No</t>
        </is>
      </c>
      <c r="D1299">
        <f>IF(AND(B1294=1,B1295=1,B1296=1,B1297=1,B1298=1),"Yes","")</f>
        <v/>
      </c>
      <c r="E1299" t="inlineStr">
        <is>
          <t>No</t>
        </is>
      </c>
      <c r="F1299" t="inlineStr">
        <is>
          <t>No</t>
        </is>
      </c>
      <c r="G1299">
        <f>IF(F1299="Yes",1-B1299,B1299)</f>
        <v/>
      </c>
      <c r="H1299">
        <f>IF(E1299="Yes","",COUNTIFS($E$2:E1299,"No"))</f>
        <v/>
      </c>
      <c r="I1299">
        <f>IF(H1299="","",IF(H1299&lt;=128,"address",IF(H1299&lt;=600,"data1",IF(H1299&lt;=1264,"zero-run1",IF(H1299&lt;=1648,"data2",IF(H1299&lt;=2176,"zero-run2",IF(H1299&lt;=2192,"FCS","trailing")))))))</f>
        <v/>
      </c>
      <c r="J1299">
        <f>IFERROR(IF(AND(H1299&lt;&gt;"",H1299&gt;=129,H1299&lt;=2176),INDEX(Fields!$B$2:$B$206,MATCH(H1299-129,Fields!$D$2:$D$206,1)),""),"")</f>
        <v/>
      </c>
      <c r="K1299">
        <f>IFERROR(IF(AND(H1299&lt;&gt;"",H1299&gt;=129,H1299&lt;=2176),INDEX(Fields!$C$2:$C$206,MATCH(H1299-129,Fields!$D$2:$D$206,1)),""),"")</f>
        <v/>
      </c>
      <c r="L1299">
        <f>IFERROR(IF(AND(H1299&lt;&gt;"",H1299&gt;=129,H1299&lt;=2176),INDEX(Fields!$J$2:$J$206,MATCH(H1299-129,Fields!$D$2:$D$206,1)),""),"")</f>
        <v/>
      </c>
      <c r="M1299">
        <f>IFERROR(IF(AND(H1299&lt;&gt;"",H1299&gt;=129,H1299&lt;=2176),INDEX(Fields!$K$2:$K$206,MATCH(H1299-129,Fields!$D$2:$D$206,1)),""),"")</f>
        <v/>
      </c>
    </row>
    <row r="1300">
      <c r="A1300" t="n">
        <v>1298</v>
      </c>
      <c r="B1300" t="n">
        <v>0</v>
      </c>
      <c r="C1300" t="inlineStr">
        <is>
          <t>No</t>
        </is>
      </c>
      <c r="D1300">
        <f>IF(AND(B1295=1,B1296=1,B1297=1,B1298=1,B1299=1),"Yes","")</f>
        <v/>
      </c>
      <c r="E1300" t="inlineStr">
        <is>
          <t>No</t>
        </is>
      </c>
      <c r="F1300" t="inlineStr">
        <is>
          <t>No</t>
        </is>
      </c>
      <c r="G1300">
        <f>IF(F1300="Yes",1-B1300,B1300)</f>
        <v/>
      </c>
      <c r="H1300">
        <f>IF(E1300="Yes","",COUNTIFS($E$2:E1300,"No"))</f>
        <v/>
      </c>
      <c r="I1300">
        <f>IF(H1300="","",IF(H1300&lt;=128,"address",IF(H1300&lt;=600,"data1",IF(H1300&lt;=1264,"zero-run1",IF(H1300&lt;=1648,"data2",IF(H1300&lt;=2176,"zero-run2",IF(H1300&lt;=2192,"FCS","trailing")))))))</f>
        <v/>
      </c>
      <c r="J1300">
        <f>IFERROR(IF(AND(H1300&lt;&gt;"",H1300&gt;=129,H1300&lt;=2176),INDEX(Fields!$B$2:$B$206,MATCH(H1300-129,Fields!$D$2:$D$206,1)),""),"")</f>
        <v/>
      </c>
      <c r="K1300">
        <f>IFERROR(IF(AND(H1300&lt;&gt;"",H1300&gt;=129,H1300&lt;=2176),INDEX(Fields!$C$2:$C$206,MATCH(H1300-129,Fields!$D$2:$D$206,1)),""),"")</f>
        <v/>
      </c>
      <c r="L1300">
        <f>IFERROR(IF(AND(H1300&lt;&gt;"",H1300&gt;=129,H1300&lt;=2176),INDEX(Fields!$J$2:$J$206,MATCH(H1300-129,Fields!$D$2:$D$206,1)),""),"")</f>
        <v/>
      </c>
      <c r="M1300">
        <f>IFERROR(IF(AND(H1300&lt;&gt;"",H1300&gt;=129,H1300&lt;=2176),INDEX(Fields!$K$2:$K$206,MATCH(H1300-129,Fields!$D$2:$D$206,1)),""),"")</f>
        <v/>
      </c>
    </row>
    <row r="1301">
      <c r="A1301" t="n">
        <v>1299</v>
      </c>
      <c r="B1301" t="n">
        <v>0</v>
      </c>
      <c r="C1301" t="inlineStr">
        <is>
          <t>No</t>
        </is>
      </c>
      <c r="D1301">
        <f>IF(AND(B1296=1,B1297=1,B1298=1,B1299=1,B1300=1),"Yes","")</f>
        <v/>
      </c>
      <c r="E1301" t="inlineStr">
        <is>
          <t>No</t>
        </is>
      </c>
      <c r="F1301" t="inlineStr">
        <is>
          <t>No</t>
        </is>
      </c>
      <c r="G1301">
        <f>IF(F1301="Yes",1-B1301,B1301)</f>
        <v/>
      </c>
      <c r="H1301">
        <f>IF(E1301="Yes","",COUNTIFS($E$2:E1301,"No"))</f>
        <v/>
      </c>
      <c r="I1301">
        <f>IF(H1301="","",IF(H1301&lt;=128,"address",IF(H1301&lt;=600,"data1",IF(H1301&lt;=1264,"zero-run1",IF(H1301&lt;=1648,"data2",IF(H1301&lt;=2176,"zero-run2",IF(H1301&lt;=2192,"FCS","trailing")))))))</f>
        <v/>
      </c>
      <c r="J1301">
        <f>IFERROR(IF(AND(H1301&lt;&gt;"",H1301&gt;=129,H1301&lt;=2176),INDEX(Fields!$B$2:$B$206,MATCH(H1301-129,Fields!$D$2:$D$206,1)),""),"")</f>
        <v/>
      </c>
      <c r="K1301">
        <f>IFERROR(IF(AND(H1301&lt;&gt;"",H1301&gt;=129,H1301&lt;=2176),INDEX(Fields!$C$2:$C$206,MATCH(H1301-129,Fields!$D$2:$D$206,1)),""),"")</f>
        <v/>
      </c>
      <c r="L1301">
        <f>IFERROR(IF(AND(H1301&lt;&gt;"",H1301&gt;=129,H1301&lt;=2176),INDEX(Fields!$J$2:$J$206,MATCH(H1301-129,Fields!$D$2:$D$206,1)),""),"")</f>
        <v/>
      </c>
      <c r="M1301">
        <f>IFERROR(IF(AND(H1301&lt;&gt;"",H1301&gt;=129,H1301&lt;=2176),INDEX(Fields!$K$2:$K$206,MATCH(H1301-129,Fields!$D$2:$D$206,1)),""),"")</f>
        <v/>
      </c>
    </row>
    <row r="1302">
      <c r="A1302" t="n">
        <v>1300</v>
      </c>
      <c r="B1302" t="n">
        <v>0</v>
      </c>
      <c r="C1302" t="inlineStr">
        <is>
          <t>No</t>
        </is>
      </c>
      <c r="D1302">
        <f>IF(AND(B1297=1,B1298=1,B1299=1,B1300=1,B1301=1),"Yes","")</f>
        <v/>
      </c>
      <c r="E1302" t="inlineStr">
        <is>
          <t>No</t>
        </is>
      </c>
      <c r="F1302" t="inlineStr">
        <is>
          <t>No</t>
        </is>
      </c>
      <c r="G1302">
        <f>IF(F1302="Yes",1-B1302,B1302)</f>
        <v/>
      </c>
      <c r="H1302">
        <f>IF(E1302="Yes","",COUNTIFS($E$2:E1302,"No"))</f>
        <v/>
      </c>
      <c r="I1302">
        <f>IF(H1302="","",IF(H1302&lt;=128,"address",IF(H1302&lt;=600,"data1",IF(H1302&lt;=1264,"zero-run1",IF(H1302&lt;=1648,"data2",IF(H1302&lt;=2176,"zero-run2",IF(H1302&lt;=2192,"FCS","trailing")))))))</f>
        <v/>
      </c>
      <c r="J1302">
        <f>IFERROR(IF(AND(H1302&lt;&gt;"",H1302&gt;=129,H1302&lt;=2176),INDEX(Fields!$B$2:$B$206,MATCH(H1302-129,Fields!$D$2:$D$206,1)),""),"")</f>
        <v/>
      </c>
      <c r="K1302">
        <f>IFERROR(IF(AND(H1302&lt;&gt;"",H1302&gt;=129,H1302&lt;=2176),INDEX(Fields!$C$2:$C$206,MATCH(H1302-129,Fields!$D$2:$D$206,1)),""),"")</f>
        <v/>
      </c>
      <c r="L1302">
        <f>IFERROR(IF(AND(H1302&lt;&gt;"",H1302&gt;=129,H1302&lt;=2176),INDEX(Fields!$J$2:$J$206,MATCH(H1302-129,Fields!$D$2:$D$206,1)),""),"")</f>
        <v/>
      </c>
      <c r="M1302">
        <f>IFERROR(IF(AND(H1302&lt;&gt;"",H1302&gt;=129,H1302&lt;=2176),INDEX(Fields!$K$2:$K$206,MATCH(H1302-129,Fields!$D$2:$D$206,1)),""),"")</f>
        <v/>
      </c>
    </row>
    <row r="1303">
      <c r="A1303" t="n">
        <v>1301</v>
      </c>
      <c r="B1303" t="n">
        <v>0</v>
      </c>
      <c r="C1303" t="inlineStr">
        <is>
          <t>No</t>
        </is>
      </c>
      <c r="D1303">
        <f>IF(AND(B1298=1,B1299=1,B1300=1,B1301=1,B1302=1),"Yes","")</f>
        <v/>
      </c>
      <c r="E1303" t="inlineStr">
        <is>
          <t>No</t>
        </is>
      </c>
      <c r="F1303" t="inlineStr">
        <is>
          <t>No</t>
        </is>
      </c>
      <c r="G1303">
        <f>IF(F1303="Yes",1-B1303,B1303)</f>
        <v/>
      </c>
      <c r="H1303">
        <f>IF(E1303="Yes","",COUNTIFS($E$2:E1303,"No"))</f>
        <v/>
      </c>
      <c r="I1303">
        <f>IF(H1303="","",IF(H1303&lt;=128,"address",IF(H1303&lt;=600,"data1",IF(H1303&lt;=1264,"zero-run1",IF(H1303&lt;=1648,"data2",IF(H1303&lt;=2176,"zero-run2",IF(H1303&lt;=2192,"FCS","trailing")))))))</f>
        <v/>
      </c>
      <c r="J1303">
        <f>IFERROR(IF(AND(H1303&lt;&gt;"",H1303&gt;=129,H1303&lt;=2176),INDEX(Fields!$B$2:$B$206,MATCH(H1303-129,Fields!$D$2:$D$206,1)),""),"")</f>
        <v/>
      </c>
      <c r="K1303">
        <f>IFERROR(IF(AND(H1303&lt;&gt;"",H1303&gt;=129,H1303&lt;=2176),INDEX(Fields!$C$2:$C$206,MATCH(H1303-129,Fields!$D$2:$D$206,1)),""),"")</f>
        <v/>
      </c>
      <c r="L1303">
        <f>IFERROR(IF(AND(H1303&lt;&gt;"",H1303&gt;=129,H1303&lt;=2176),INDEX(Fields!$J$2:$J$206,MATCH(H1303-129,Fields!$D$2:$D$206,1)),""),"")</f>
        <v/>
      </c>
      <c r="M1303">
        <f>IFERROR(IF(AND(H1303&lt;&gt;"",H1303&gt;=129,H1303&lt;=2176),INDEX(Fields!$K$2:$K$206,MATCH(H1303-129,Fields!$D$2:$D$206,1)),""),"")</f>
        <v/>
      </c>
    </row>
    <row r="1304">
      <c r="A1304" t="n">
        <v>1302</v>
      </c>
      <c r="B1304" t="n">
        <v>0</v>
      </c>
      <c r="C1304" t="inlineStr">
        <is>
          <t>No</t>
        </is>
      </c>
      <c r="D1304">
        <f>IF(AND(B1299=1,B1300=1,B1301=1,B1302=1,B1303=1),"Yes","")</f>
        <v/>
      </c>
      <c r="E1304" t="inlineStr">
        <is>
          <t>No</t>
        </is>
      </c>
      <c r="F1304" t="inlineStr">
        <is>
          <t>No</t>
        </is>
      </c>
      <c r="G1304">
        <f>IF(F1304="Yes",1-B1304,B1304)</f>
        <v/>
      </c>
      <c r="H1304">
        <f>IF(E1304="Yes","",COUNTIFS($E$2:E1304,"No"))</f>
        <v/>
      </c>
      <c r="I1304">
        <f>IF(H1304="","",IF(H1304&lt;=128,"address",IF(H1304&lt;=600,"data1",IF(H1304&lt;=1264,"zero-run1",IF(H1304&lt;=1648,"data2",IF(H1304&lt;=2176,"zero-run2",IF(H1304&lt;=2192,"FCS","trailing")))))))</f>
        <v/>
      </c>
      <c r="J1304">
        <f>IFERROR(IF(AND(H1304&lt;&gt;"",H1304&gt;=129,H1304&lt;=2176),INDEX(Fields!$B$2:$B$206,MATCH(H1304-129,Fields!$D$2:$D$206,1)),""),"")</f>
        <v/>
      </c>
      <c r="K1304">
        <f>IFERROR(IF(AND(H1304&lt;&gt;"",H1304&gt;=129,H1304&lt;=2176),INDEX(Fields!$C$2:$C$206,MATCH(H1304-129,Fields!$D$2:$D$206,1)),""),"")</f>
        <v/>
      </c>
      <c r="L1304">
        <f>IFERROR(IF(AND(H1304&lt;&gt;"",H1304&gt;=129,H1304&lt;=2176),INDEX(Fields!$J$2:$J$206,MATCH(H1304-129,Fields!$D$2:$D$206,1)),""),"")</f>
        <v/>
      </c>
      <c r="M1304">
        <f>IFERROR(IF(AND(H1304&lt;&gt;"",H1304&gt;=129,H1304&lt;=2176),INDEX(Fields!$K$2:$K$206,MATCH(H1304-129,Fields!$D$2:$D$206,1)),""),"")</f>
        <v/>
      </c>
    </row>
    <row r="1305">
      <c r="A1305" t="n">
        <v>1303</v>
      </c>
      <c r="B1305" t="n">
        <v>1</v>
      </c>
      <c r="C1305" t="inlineStr">
        <is>
          <t>No</t>
        </is>
      </c>
      <c r="D1305">
        <f>IF(AND(B1300=1,B1301=1,B1302=1,B1303=1,B1304=1),"Yes","")</f>
        <v/>
      </c>
      <c r="E1305" t="inlineStr">
        <is>
          <t>No</t>
        </is>
      </c>
      <c r="F1305" t="inlineStr">
        <is>
          <t>No</t>
        </is>
      </c>
      <c r="G1305">
        <f>IF(F1305="Yes",1-B1305,B1305)</f>
        <v/>
      </c>
      <c r="H1305">
        <f>IF(E1305="Yes","",COUNTIFS($E$2:E1305,"No"))</f>
        <v/>
      </c>
      <c r="I1305">
        <f>IF(H1305="","",IF(H1305&lt;=128,"address",IF(H1305&lt;=600,"data1",IF(H1305&lt;=1264,"zero-run1",IF(H1305&lt;=1648,"data2",IF(H1305&lt;=2176,"zero-run2",IF(H1305&lt;=2192,"FCS","trailing")))))))</f>
        <v/>
      </c>
      <c r="J1305">
        <f>IFERROR(IF(AND(H1305&lt;&gt;"",H1305&gt;=129,H1305&lt;=2176),INDEX(Fields!$B$2:$B$206,MATCH(H1305-129,Fields!$D$2:$D$206,1)),""),"")</f>
        <v/>
      </c>
      <c r="K1305">
        <f>IFERROR(IF(AND(H1305&lt;&gt;"",H1305&gt;=129,H1305&lt;=2176),INDEX(Fields!$C$2:$C$206,MATCH(H1305-129,Fields!$D$2:$D$206,1)),""),"")</f>
        <v/>
      </c>
      <c r="L1305">
        <f>IFERROR(IF(AND(H1305&lt;&gt;"",H1305&gt;=129,H1305&lt;=2176),INDEX(Fields!$J$2:$J$206,MATCH(H1305-129,Fields!$D$2:$D$206,1)),""),"")</f>
        <v/>
      </c>
      <c r="M1305">
        <f>IFERROR(IF(AND(H1305&lt;&gt;"",H1305&gt;=129,H1305&lt;=2176),INDEX(Fields!$K$2:$K$206,MATCH(H1305-129,Fields!$D$2:$D$206,1)),""),"")</f>
        <v/>
      </c>
    </row>
    <row r="1306">
      <c r="A1306" t="n">
        <v>1304</v>
      </c>
      <c r="B1306" t="n">
        <v>1</v>
      </c>
      <c r="C1306" t="inlineStr">
        <is>
          <t>No</t>
        </is>
      </c>
      <c r="D1306">
        <f>IF(AND(B1301=1,B1302=1,B1303=1,B1304=1,B1305=1),"Yes","")</f>
        <v/>
      </c>
      <c r="E1306" t="inlineStr">
        <is>
          <t>No</t>
        </is>
      </c>
      <c r="F1306" t="inlineStr">
        <is>
          <t>No</t>
        </is>
      </c>
      <c r="G1306">
        <f>IF(F1306="Yes",1-B1306,B1306)</f>
        <v/>
      </c>
      <c r="H1306">
        <f>IF(E1306="Yes","",COUNTIFS($E$2:E1306,"No"))</f>
        <v/>
      </c>
      <c r="I1306">
        <f>IF(H1306="","",IF(H1306&lt;=128,"address",IF(H1306&lt;=600,"data1",IF(H1306&lt;=1264,"zero-run1",IF(H1306&lt;=1648,"data2",IF(H1306&lt;=2176,"zero-run2",IF(H1306&lt;=2192,"FCS","trailing")))))))</f>
        <v/>
      </c>
      <c r="J1306">
        <f>IFERROR(IF(AND(H1306&lt;&gt;"",H1306&gt;=129,H1306&lt;=2176),INDEX(Fields!$B$2:$B$206,MATCH(H1306-129,Fields!$D$2:$D$206,1)),""),"")</f>
        <v/>
      </c>
      <c r="K1306">
        <f>IFERROR(IF(AND(H1306&lt;&gt;"",H1306&gt;=129,H1306&lt;=2176),INDEX(Fields!$C$2:$C$206,MATCH(H1306-129,Fields!$D$2:$D$206,1)),""),"")</f>
        <v/>
      </c>
      <c r="L1306">
        <f>IFERROR(IF(AND(H1306&lt;&gt;"",H1306&gt;=129,H1306&lt;=2176),INDEX(Fields!$J$2:$J$206,MATCH(H1306-129,Fields!$D$2:$D$206,1)),""),"")</f>
        <v/>
      </c>
      <c r="M1306">
        <f>IFERROR(IF(AND(H1306&lt;&gt;"",H1306&gt;=129,H1306&lt;=2176),INDEX(Fields!$K$2:$K$206,MATCH(H1306-129,Fields!$D$2:$D$206,1)),""),"")</f>
        <v/>
      </c>
    </row>
    <row r="1307">
      <c r="A1307" t="n">
        <v>1305</v>
      </c>
      <c r="B1307" t="n">
        <v>1</v>
      </c>
      <c r="C1307" t="inlineStr">
        <is>
          <t>No</t>
        </is>
      </c>
      <c r="D1307">
        <f>IF(AND(B1302=1,B1303=1,B1304=1,B1305=1,B1306=1),"Yes","")</f>
        <v/>
      </c>
      <c r="E1307" t="inlineStr">
        <is>
          <t>No</t>
        </is>
      </c>
      <c r="F1307" t="inlineStr">
        <is>
          <t>No</t>
        </is>
      </c>
      <c r="G1307">
        <f>IF(F1307="Yes",1-B1307,B1307)</f>
        <v/>
      </c>
      <c r="H1307">
        <f>IF(E1307="Yes","",COUNTIFS($E$2:E1307,"No"))</f>
        <v/>
      </c>
      <c r="I1307">
        <f>IF(H1307="","",IF(H1307&lt;=128,"address",IF(H1307&lt;=600,"data1",IF(H1307&lt;=1264,"zero-run1",IF(H1307&lt;=1648,"data2",IF(H1307&lt;=2176,"zero-run2",IF(H1307&lt;=2192,"FCS","trailing")))))))</f>
        <v/>
      </c>
      <c r="J1307">
        <f>IFERROR(IF(AND(H1307&lt;&gt;"",H1307&gt;=129,H1307&lt;=2176),INDEX(Fields!$B$2:$B$206,MATCH(H1307-129,Fields!$D$2:$D$206,1)),""),"")</f>
        <v/>
      </c>
      <c r="K1307">
        <f>IFERROR(IF(AND(H1307&lt;&gt;"",H1307&gt;=129,H1307&lt;=2176),INDEX(Fields!$C$2:$C$206,MATCH(H1307-129,Fields!$D$2:$D$206,1)),""),"")</f>
        <v/>
      </c>
      <c r="L1307">
        <f>IFERROR(IF(AND(H1307&lt;&gt;"",H1307&gt;=129,H1307&lt;=2176),INDEX(Fields!$J$2:$J$206,MATCH(H1307-129,Fields!$D$2:$D$206,1)),""),"")</f>
        <v/>
      </c>
      <c r="M1307">
        <f>IFERROR(IF(AND(H1307&lt;&gt;"",H1307&gt;=129,H1307&lt;=2176),INDEX(Fields!$K$2:$K$206,MATCH(H1307-129,Fields!$D$2:$D$206,1)),""),"")</f>
        <v/>
      </c>
    </row>
    <row r="1308">
      <c r="A1308" t="n">
        <v>1306</v>
      </c>
      <c r="B1308" t="n">
        <v>1</v>
      </c>
      <c r="C1308" t="inlineStr">
        <is>
          <t>No</t>
        </is>
      </c>
      <c r="D1308">
        <f>IF(AND(B1303=1,B1304=1,B1305=1,B1306=1,B1307=1),"Yes","")</f>
        <v/>
      </c>
      <c r="E1308" t="inlineStr">
        <is>
          <t>No</t>
        </is>
      </c>
      <c r="F1308" t="inlineStr">
        <is>
          <t>No</t>
        </is>
      </c>
      <c r="G1308">
        <f>IF(F1308="Yes",1-B1308,B1308)</f>
        <v/>
      </c>
      <c r="H1308">
        <f>IF(E1308="Yes","",COUNTIFS($E$2:E1308,"No"))</f>
        <v/>
      </c>
      <c r="I1308">
        <f>IF(H1308="","",IF(H1308&lt;=128,"address",IF(H1308&lt;=600,"data1",IF(H1308&lt;=1264,"zero-run1",IF(H1308&lt;=1648,"data2",IF(H1308&lt;=2176,"zero-run2",IF(H1308&lt;=2192,"FCS","trailing")))))))</f>
        <v/>
      </c>
      <c r="J1308">
        <f>IFERROR(IF(AND(H1308&lt;&gt;"",H1308&gt;=129,H1308&lt;=2176),INDEX(Fields!$B$2:$B$206,MATCH(H1308-129,Fields!$D$2:$D$206,1)),""),"")</f>
        <v/>
      </c>
      <c r="K1308">
        <f>IFERROR(IF(AND(H1308&lt;&gt;"",H1308&gt;=129,H1308&lt;=2176),INDEX(Fields!$C$2:$C$206,MATCH(H1308-129,Fields!$D$2:$D$206,1)),""),"")</f>
        <v/>
      </c>
      <c r="L1308">
        <f>IFERROR(IF(AND(H1308&lt;&gt;"",H1308&gt;=129,H1308&lt;=2176),INDEX(Fields!$J$2:$J$206,MATCH(H1308-129,Fields!$D$2:$D$206,1)),""),"")</f>
        <v/>
      </c>
      <c r="M1308">
        <f>IFERROR(IF(AND(H1308&lt;&gt;"",H1308&gt;=129,H1308&lt;=2176),INDEX(Fields!$K$2:$K$206,MATCH(H1308-129,Fields!$D$2:$D$206,1)),""),"")</f>
        <v/>
      </c>
    </row>
    <row r="1309">
      <c r="A1309" t="n">
        <v>1307</v>
      </c>
      <c r="B1309" t="n">
        <v>0</v>
      </c>
      <c r="C1309" t="inlineStr">
        <is>
          <t>No</t>
        </is>
      </c>
      <c r="D1309">
        <f>IF(AND(B1304=1,B1305=1,B1306=1,B1307=1,B1308=1),"Yes","")</f>
        <v/>
      </c>
      <c r="E1309" t="inlineStr">
        <is>
          <t>No</t>
        </is>
      </c>
      <c r="F1309" t="inlineStr">
        <is>
          <t>No</t>
        </is>
      </c>
      <c r="G1309">
        <f>IF(F1309="Yes",1-B1309,B1309)</f>
        <v/>
      </c>
      <c r="H1309">
        <f>IF(E1309="Yes","",COUNTIFS($E$2:E1309,"No"))</f>
        <v/>
      </c>
      <c r="I1309">
        <f>IF(H1309="","",IF(H1309&lt;=128,"address",IF(H1309&lt;=600,"data1",IF(H1309&lt;=1264,"zero-run1",IF(H1309&lt;=1648,"data2",IF(H1309&lt;=2176,"zero-run2",IF(H1309&lt;=2192,"FCS","trailing")))))))</f>
        <v/>
      </c>
      <c r="J1309">
        <f>IFERROR(IF(AND(H1309&lt;&gt;"",H1309&gt;=129,H1309&lt;=2176),INDEX(Fields!$B$2:$B$206,MATCH(H1309-129,Fields!$D$2:$D$206,1)),""),"")</f>
        <v/>
      </c>
      <c r="K1309">
        <f>IFERROR(IF(AND(H1309&lt;&gt;"",H1309&gt;=129,H1309&lt;=2176),INDEX(Fields!$C$2:$C$206,MATCH(H1309-129,Fields!$D$2:$D$206,1)),""),"")</f>
        <v/>
      </c>
      <c r="L1309">
        <f>IFERROR(IF(AND(H1309&lt;&gt;"",H1309&gt;=129,H1309&lt;=2176),INDEX(Fields!$J$2:$J$206,MATCH(H1309-129,Fields!$D$2:$D$206,1)),""),"")</f>
        <v/>
      </c>
      <c r="M1309">
        <f>IFERROR(IF(AND(H1309&lt;&gt;"",H1309&gt;=129,H1309&lt;=2176),INDEX(Fields!$K$2:$K$206,MATCH(H1309-129,Fields!$D$2:$D$206,1)),""),"")</f>
        <v/>
      </c>
    </row>
    <row r="1310">
      <c r="A1310" t="n">
        <v>1308</v>
      </c>
      <c r="B1310" t="n">
        <v>1</v>
      </c>
      <c r="C1310" t="inlineStr">
        <is>
          <t>No</t>
        </is>
      </c>
      <c r="D1310">
        <f>IF(AND(B1305=1,B1306=1,B1307=1,B1308=1,B1309=1),"Yes","")</f>
        <v/>
      </c>
      <c r="E1310" t="inlineStr">
        <is>
          <t>No</t>
        </is>
      </c>
      <c r="F1310" t="inlineStr">
        <is>
          <t>No</t>
        </is>
      </c>
      <c r="G1310">
        <f>IF(F1310="Yes",1-B1310,B1310)</f>
        <v/>
      </c>
      <c r="H1310">
        <f>IF(E1310="Yes","",COUNTIFS($E$2:E1310,"No"))</f>
        <v/>
      </c>
      <c r="I1310">
        <f>IF(H1310="","",IF(H1310&lt;=128,"address",IF(H1310&lt;=600,"data1",IF(H1310&lt;=1264,"zero-run1",IF(H1310&lt;=1648,"data2",IF(H1310&lt;=2176,"zero-run2",IF(H1310&lt;=2192,"FCS","trailing")))))))</f>
        <v/>
      </c>
      <c r="J1310">
        <f>IFERROR(IF(AND(H1310&lt;&gt;"",H1310&gt;=129,H1310&lt;=2176),INDEX(Fields!$B$2:$B$206,MATCH(H1310-129,Fields!$D$2:$D$206,1)),""),"")</f>
        <v/>
      </c>
      <c r="K1310">
        <f>IFERROR(IF(AND(H1310&lt;&gt;"",H1310&gt;=129,H1310&lt;=2176),INDEX(Fields!$C$2:$C$206,MATCH(H1310-129,Fields!$D$2:$D$206,1)),""),"")</f>
        <v/>
      </c>
      <c r="L1310">
        <f>IFERROR(IF(AND(H1310&lt;&gt;"",H1310&gt;=129,H1310&lt;=2176),INDEX(Fields!$J$2:$J$206,MATCH(H1310-129,Fields!$D$2:$D$206,1)),""),"")</f>
        <v/>
      </c>
      <c r="M1310">
        <f>IFERROR(IF(AND(H1310&lt;&gt;"",H1310&gt;=129,H1310&lt;=2176),INDEX(Fields!$K$2:$K$206,MATCH(H1310-129,Fields!$D$2:$D$206,1)),""),"")</f>
        <v/>
      </c>
    </row>
    <row r="1311">
      <c r="A1311" t="n">
        <v>1309</v>
      </c>
      <c r="B1311" t="n">
        <v>0</v>
      </c>
      <c r="C1311" s="4" t="inlineStr">
        <is>
          <t>Yes</t>
        </is>
      </c>
      <c r="D1311">
        <f>IF(AND(B1306=1,B1307=1,B1308=1,B1309=1,B1310=1),"Yes","")</f>
        <v/>
      </c>
      <c r="E1311" t="inlineStr">
        <is>
          <t>No</t>
        </is>
      </c>
      <c r="F1311" t="inlineStr">
        <is>
          <t>No</t>
        </is>
      </c>
      <c r="G1311">
        <f>IF(F1311="Yes",1-B1311,B1311)</f>
        <v/>
      </c>
      <c r="H1311">
        <f>IF(E1311="Yes","",COUNTIFS($E$2:E1311,"No"))</f>
        <v/>
      </c>
      <c r="I1311">
        <f>IF(H1311="","",IF(H1311&lt;=128,"address",IF(H1311&lt;=600,"data1",IF(H1311&lt;=1264,"zero-run1",IF(H1311&lt;=1648,"data2",IF(H1311&lt;=2176,"zero-run2",IF(H1311&lt;=2192,"FCS","trailing")))))))</f>
        <v/>
      </c>
      <c r="J1311">
        <f>IFERROR(IF(AND(H1311&lt;&gt;"",H1311&gt;=129,H1311&lt;=2176),INDEX(Fields!$B$2:$B$206,MATCH(H1311-129,Fields!$D$2:$D$206,1)),""),"")</f>
        <v/>
      </c>
      <c r="K1311">
        <f>IFERROR(IF(AND(H1311&lt;&gt;"",H1311&gt;=129,H1311&lt;=2176),INDEX(Fields!$C$2:$C$206,MATCH(H1311-129,Fields!$D$2:$D$206,1)),""),"")</f>
        <v/>
      </c>
      <c r="L1311">
        <f>IFERROR(IF(AND(H1311&lt;&gt;"",H1311&gt;=129,H1311&lt;=2176),INDEX(Fields!$J$2:$J$206,MATCH(H1311-129,Fields!$D$2:$D$206,1)),""),"")</f>
        <v/>
      </c>
      <c r="M1311">
        <f>IFERROR(IF(AND(H1311&lt;&gt;"",H1311&gt;=129,H1311&lt;=2176),INDEX(Fields!$K$2:$K$206,MATCH(H1311-129,Fields!$D$2:$D$206,1)),""),"")</f>
        <v/>
      </c>
    </row>
    <row r="1312">
      <c r="A1312" t="n">
        <v>1310</v>
      </c>
      <c r="B1312" t="n">
        <v>1</v>
      </c>
      <c r="C1312" t="inlineStr">
        <is>
          <t>No</t>
        </is>
      </c>
      <c r="D1312">
        <f>IF(AND(B1307=1,B1308=1,B1309=1,B1310=1,B1311=1),"Yes","")</f>
        <v/>
      </c>
      <c r="E1312" t="inlineStr">
        <is>
          <t>No</t>
        </is>
      </c>
      <c r="F1312" t="inlineStr">
        <is>
          <t>No</t>
        </is>
      </c>
      <c r="G1312">
        <f>IF(F1312="Yes",1-B1312,B1312)</f>
        <v/>
      </c>
      <c r="H1312">
        <f>IF(E1312="Yes","",COUNTIFS($E$2:E1312,"No"))</f>
        <v/>
      </c>
      <c r="I1312">
        <f>IF(H1312="","",IF(H1312&lt;=128,"address",IF(H1312&lt;=600,"data1",IF(H1312&lt;=1264,"zero-run1",IF(H1312&lt;=1648,"data2",IF(H1312&lt;=2176,"zero-run2",IF(H1312&lt;=2192,"FCS","trailing")))))))</f>
        <v/>
      </c>
      <c r="J1312">
        <f>IFERROR(IF(AND(H1312&lt;&gt;"",H1312&gt;=129,H1312&lt;=2176),INDEX(Fields!$B$2:$B$206,MATCH(H1312-129,Fields!$D$2:$D$206,1)),""),"")</f>
        <v/>
      </c>
      <c r="K1312">
        <f>IFERROR(IF(AND(H1312&lt;&gt;"",H1312&gt;=129,H1312&lt;=2176),INDEX(Fields!$C$2:$C$206,MATCH(H1312-129,Fields!$D$2:$D$206,1)),""),"")</f>
        <v/>
      </c>
      <c r="L1312">
        <f>IFERROR(IF(AND(H1312&lt;&gt;"",H1312&gt;=129,H1312&lt;=2176),INDEX(Fields!$J$2:$J$206,MATCH(H1312-129,Fields!$D$2:$D$206,1)),""),"")</f>
        <v/>
      </c>
      <c r="M1312">
        <f>IFERROR(IF(AND(H1312&lt;&gt;"",H1312&gt;=129,H1312&lt;=2176),INDEX(Fields!$K$2:$K$206,MATCH(H1312-129,Fields!$D$2:$D$206,1)),""),"")</f>
        <v/>
      </c>
    </row>
    <row r="1313">
      <c r="A1313" t="n">
        <v>1311</v>
      </c>
      <c r="B1313" t="n">
        <v>0</v>
      </c>
      <c r="C1313" t="inlineStr">
        <is>
          <t>No</t>
        </is>
      </c>
      <c r="D1313">
        <f>IF(AND(B1308=1,B1309=1,B1310=1,B1311=1,B1312=1),"Yes","")</f>
        <v/>
      </c>
      <c r="E1313" t="inlineStr">
        <is>
          <t>No</t>
        </is>
      </c>
      <c r="F1313" t="inlineStr">
        <is>
          <t>No</t>
        </is>
      </c>
      <c r="G1313">
        <f>IF(F1313="Yes",1-B1313,B1313)</f>
        <v/>
      </c>
      <c r="H1313">
        <f>IF(E1313="Yes","",COUNTIFS($E$2:E1313,"No"))</f>
        <v/>
      </c>
      <c r="I1313">
        <f>IF(H1313="","",IF(H1313&lt;=128,"address",IF(H1313&lt;=600,"data1",IF(H1313&lt;=1264,"zero-run1",IF(H1313&lt;=1648,"data2",IF(H1313&lt;=2176,"zero-run2",IF(H1313&lt;=2192,"FCS","trailing")))))))</f>
        <v/>
      </c>
      <c r="J1313">
        <f>IFERROR(IF(AND(H1313&lt;&gt;"",H1313&gt;=129,H1313&lt;=2176),INDEX(Fields!$B$2:$B$206,MATCH(H1313-129,Fields!$D$2:$D$206,1)),""),"")</f>
        <v/>
      </c>
      <c r="K1313">
        <f>IFERROR(IF(AND(H1313&lt;&gt;"",H1313&gt;=129,H1313&lt;=2176),INDEX(Fields!$C$2:$C$206,MATCH(H1313-129,Fields!$D$2:$D$206,1)),""),"")</f>
        <v/>
      </c>
      <c r="L1313">
        <f>IFERROR(IF(AND(H1313&lt;&gt;"",H1313&gt;=129,H1313&lt;=2176),INDEX(Fields!$J$2:$J$206,MATCH(H1313-129,Fields!$D$2:$D$206,1)),""),"")</f>
        <v/>
      </c>
      <c r="M1313">
        <f>IFERROR(IF(AND(H1313&lt;&gt;"",H1313&gt;=129,H1313&lt;=2176),INDEX(Fields!$K$2:$K$206,MATCH(H1313-129,Fields!$D$2:$D$206,1)),""),"")</f>
        <v/>
      </c>
    </row>
    <row r="1314">
      <c r="A1314" t="n">
        <v>1312</v>
      </c>
      <c r="B1314" t="n">
        <v>1</v>
      </c>
      <c r="C1314" t="inlineStr">
        <is>
          <t>No</t>
        </is>
      </c>
      <c r="D1314">
        <f>IF(AND(B1309=1,B1310=1,B1311=1,B1312=1,B1313=1),"Yes","")</f>
        <v/>
      </c>
      <c r="E1314" t="inlineStr">
        <is>
          <t>No</t>
        </is>
      </c>
      <c r="F1314" t="inlineStr">
        <is>
          <t>No</t>
        </is>
      </c>
      <c r="G1314">
        <f>IF(F1314="Yes",1-B1314,B1314)</f>
        <v/>
      </c>
      <c r="H1314">
        <f>IF(E1314="Yes","",COUNTIFS($E$2:E1314,"No"))</f>
        <v/>
      </c>
      <c r="I1314">
        <f>IF(H1314="","",IF(H1314&lt;=128,"address",IF(H1314&lt;=600,"data1",IF(H1314&lt;=1264,"zero-run1",IF(H1314&lt;=1648,"data2",IF(H1314&lt;=2176,"zero-run2",IF(H1314&lt;=2192,"FCS","trailing")))))))</f>
        <v/>
      </c>
      <c r="J1314">
        <f>IFERROR(IF(AND(H1314&lt;&gt;"",H1314&gt;=129,H1314&lt;=2176),INDEX(Fields!$B$2:$B$206,MATCH(H1314-129,Fields!$D$2:$D$206,1)),""),"")</f>
        <v/>
      </c>
      <c r="K1314">
        <f>IFERROR(IF(AND(H1314&lt;&gt;"",H1314&gt;=129,H1314&lt;=2176),INDEX(Fields!$C$2:$C$206,MATCH(H1314-129,Fields!$D$2:$D$206,1)),""),"")</f>
        <v/>
      </c>
      <c r="L1314">
        <f>IFERROR(IF(AND(H1314&lt;&gt;"",H1314&gt;=129,H1314&lt;=2176),INDEX(Fields!$J$2:$J$206,MATCH(H1314-129,Fields!$D$2:$D$206,1)),""),"")</f>
        <v/>
      </c>
      <c r="M1314">
        <f>IFERROR(IF(AND(H1314&lt;&gt;"",H1314&gt;=129,H1314&lt;=2176),INDEX(Fields!$K$2:$K$206,MATCH(H1314-129,Fields!$D$2:$D$206,1)),""),"")</f>
        <v/>
      </c>
    </row>
    <row r="1315">
      <c r="A1315" t="n">
        <v>1313</v>
      </c>
      <c r="B1315" t="n">
        <v>1</v>
      </c>
      <c r="C1315" t="inlineStr">
        <is>
          <t>No</t>
        </is>
      </c>
      <c r="D1315">
        <f>IF(AND(B1310=1,B1311=1,B1312=1,B1313=1,B1314=1),"Yes","")</f>
        <v/>
      </c>
      <c r="E1315" t="inlineStr">
        <is>
          <t>No</t>
        </is>
      </c>
      <c r="F1315" t="inlineStr">
        <is>
          <t>No</t>
        </is>
      </c>
      <c r="G1315">
        <f>IF(F1315="Yes",1-B1315,B1315)</f>
        <v/>
      </c>
      <c r="H1315">
        <f>IF(E1315="Yes","",COUNTIFS($E$2:E1315,"No"))</f>
        <v/>
      </c>
      <c r="I1315">
        <f>IF(H1315="","",IF(H1315&lt;=128,"address",IF(H1315&lt;=600,"data1",IF(H1315&lt;=1264,"zero-run1",IF(H1315&lt;=1648,"data2",IF(H1315&lt;=2176,"zero-run2",IF(H1315&lt;=2192,"FCS","trailing")))))))</f>
        <v/>
      </c>
      <c r="J1315">
        <f>IFERROR(IF(AND(H1315&lt;&gt;"",H1315&gt;=129,H1315&lt;=2176),INDEX(Fields!$B$2:$B$206,MATCH(H1315-129,Fields!$D$2:$D$206,1)),""),"")</f>
        <v/>
      </c>
      <c r="K1315">
        <f>IFERROR(IF(AND(H1315&lt;&gt;"",H1315&gt;=129,H1315&lt;=2176),INDEX(Fields!$C$2:$C$206,MATCH(H1315-129,Fields!$D$2:$D$206,1)),""),"")</f>
        <v/>
      </c>
      <c r="L1315">
        <f>IFERROR(IF(AND(H1315&lt;&gt;"",H1315&gt;=129,H1315&lt;=2176),INDEX(Fields!$J$2:$J$206,MATCH(H1315-129,Fields!$D$2:$D$206,1)),""),"")</f>
        <v/>
      </c>
      <c r="M1315">
        <f>IFERROR(IF(AND(H1315&lt;&gt;"",H1315&gt;=129,H1315&lt;=2176),INDEX(Fields!$K$2:$K$206,MATCH(H1315-129,Fields!$D$2:$D$206,1)),""),"")</f>
        <v/>
      </c>
    </row>
    <row r="1316">
      <c r="A1316" t="n">
        <v>1314</v>
      </c>
      <c r="B1316" t="n">
        <v>0</v>
      </c>
      <c r="C1316" t="inlineStr">
        <is>
          <t>No</t>
        </is>
      </c>
      <c r="D1316">
        <f>IF(AND(B1311=1,B1312=1,B1313=1,B1314=1,B1315=1),"Yes","")</f>
        <v/>
      </c>
      <c r="E1316" t="inlineStr">
        <is>
          <t>No</t>
        </is>
      </c>
      <c r="F1316" t="inlineStr">
        <is>
          <t>No</t>
        </is>
      </c>
      <c r="G1316">
        <f>IF(F1316="Yes",1-B1316,B1316)</f>
        <v/>
      </c>
      <c r="H1316">
        <f>IF(E1316="Yes","",COUNTIFS($E$2:E1316,"No"))</f>
        <v/>
      </c>
      <c r="I1316">
        <f>IF(H1316="","",IF(H1316&lt;=128,"address",IF(H1316&lt;=600,"data1",IF(H1316&lt;=1264,"zero-run1",IF(H1316&lt;=1648,"data2",IF(H1316&lt;=2176,"zero-run2",IF(H1316&lt;=2192,"FCS","trailing")))))))</f>
        <v/>
      </c>
      <c r="J1316">
        <f>IFERROR(IF(AND(H1316&lt;&gt;"",H1316&gt;=129,H1316&lt;=2176),INDEX(Fields!$B$2:$B$206,MATCH(H1316-129,Fields!$D$2:$D$206,1)),""),"")</f>
        <v/>
      </c>
      <c r="K1316">
        <f>IFERROR(IF(AND(H1316&lt;&gt;"",H1316&gt;=129,H1316&lt;=2176),INDEX(Fields!$C$2:$C$206,MATCH(H1316-129,Fields!$D$2:$D$206,1)),""),"")</f>
        <v/>
      </c>
      <c r="L1316">
        <f>IFERROR(IF(AND(H1316&lt;&gt;"",H1316&gt;=129,H1316&lt;=2176),INDEX(Fields!$J$2:$J$206,MATCH(H1316-129,Fields!$D$2:$D$206,1)),""),"")</f>
        <v/>
      </c>
      <c r="M1316">
        <f>IFERROR(IF(AND(H1316&lt;&gt;"",H1316&gt;=129,H1316&lt;=2176),INDEX(Fields!$K$2:$K$206,MATCH(H1316-129,Fields!$D$2:$D$206,1)),""),"")</f>
        <v/>
      </c>
    </row>
    <row r="1317">
      <c r="A1317" t="n">
        <v>1315</v>
      </c>
      <c r="B1317" t="n">
        <v>0</v>
      </c>
      <c r="C1317" t="inlineStr">
        <is>
          <t>No</t>
        </is>
      </c>
      <c r="D1317">
        <f>IF(AND(B1312=1,B1313=1,B1314=1,B1315=1,B1316=1),"Yes","")</f>
        <v/>
      </c>
      <c r="E1317" t="inlineStr">
        <is>
          <t>No</t>
        </is>
      </c>
      <c r="F1317" t="inlineStr">
        <is>
          <t>No</t>
        </is>
      </c>
      <c r="G1317">
        <f>IF(F1317="Yes",1-B1317,B1317)</f>
        <v/>
      </c>
      <c r="H1317">
        <f>IF(E1317="Yes","",COUNTIFS($E$2:E1317,"No"))</f>
        <v/>
      </c>
      <c r="I1317">
        <f>IF(H1317="","",IF(H1317&lt;=128,"address",IF(H1317&lt;=600,"data1",IF(H1317&lt;=1264,"zero-run1",IF(H1317&lt;=1648,"data2",IF(H1317&lt;=2176,"zero-run2",IF(H1317&lt;=2192,"FCS","trailing")))))))</f>
        <v/>
      </c>
      <c r="J1317">
        <f>IFERROR(IF(AND(H1317&lt;&gt;"",H1317&gt;=129,H1317&lt;=2176),INDEX(Fields!$B$2:$B$206,MATCH(H1317-129,Fields!$D$2:$D$206,1)),""),"")</f>
        <v/>
      </c>
      <c r="K1317">
        <f>IFERROR(IF(AND(H1317&lt;&gt;"",H1317&gt;=129,H1317&lt;=2176),INDEX(Fields!$C$2:$C$206,MATCH(H1317-129,Fields!$D$2:$D$206,1)),""),"")</f>
        <v/>
      </c>
      <c r="L1317">
        <f>IFERROR(IF(AND(H1317&lt;&gt;"",H1317&gt;=129,H1317&lt;=2176),INDEX(Fields!$J$2:$J$206,MATCH(H1317-129,Fields!$D$2:$D$206,1)),""),"")</f>
        <v/>
      </c>
      <c r="M1317">
        <f>IFERROR(IF(AND(H1317&lt;&gt;"",H1317&gt;=129,H1317&lt;=2176),INDEX(Fields!$K$2:$K$206,MATCH(H1317-129,Fields!$D$2:$D$206,1)),""),"")</f>
        <v/>
      </c>
    </row>
    <row r="1318">
      <c r="A1318" t="n">
        <v>1316</v>
      </c>
      <c r="B1318" t="n">
        <v>0</v>
      </c>
      <c r="C1318" t="inlineStr">
        <is>
          <t>No</t>
        </is>
      </c>
      <c r="D1318">
        <f>IF(AND(B1313=1,B1314=1,B1315=1,B1316=1,B1317=1),"Yes","")</f>
        <v/>
      </c>
      <c r="E1318" t="inlineStr">
        <is>
          <t>No</t>
        </is>
      </c>
      <c r="F1318" t="inlineStr">
        <is>
          <t>No</t>
        </is>
      </c>
      <c r="G1318">
        <f>IF(F1318="Yes",1-B1318,B1318)</f>
        <v/>
      </c>
      <c r="H1318">
        <f>IF(E1318="Yes","",COUNTIFS($E$2:E1318,"No"))</f>
        <v/>
      </c>
      <c r="I1318">
        <f>IF(H1318="","",IF(H1318&lt;=128,"address",IF(H1318&lt;=600,"data1",IF(H1318&lt;=1264,"zero-run1",IF(H1318&lt;=1648,"data2",IF(H1318&lt;=2176,"zero-run2",IF(H1318&lt;=2192,"FCS","trailing")))))))</f>
        <v/>
      </c>
      <c r="J1318">
        <f>IFERROR(IF(AND(H1318&lt;&gt;"",H1318&gt;=129,H1318&lt;=2176),INDEX(Fields!$B$2:$B$206,MATCH(H1318-129,Fields!$D$2:$D$206,1)),""),"")</f>
        <v/>
      </c>
      <c r="K1318">
        <f>IFERROR(IF(AND(H1318&lt;&gt;"",H1318&gt;=129,H1318&lt;=2176),INDEX(Fields!$C$2:$C$206,MATCH(H1318-129,Fields!$D$2:$D$206,1)),""),"")</f>
        <v/>
      </c>
      <c r="L1318">
        <f>IFERROR(IF(AND(H1318&lt;&gt;"",H1318&gt;=129,H1318&lt;=2176),INDEX(Fields!$J$2:$J$206,MATCH(H1318-129,Fields!$D$2:$D$206,1)),""),"")</f>
        <v/>
      </c>
      <c r="M1318">
        <f>IFERROR(IF(AND(H1318&lt;&gt;"",H1318&gt;=129,H1318&lt;=2176),INDEX(Fields!$K$2:$K$206,MATCH(H1318-129,Fields!$D$2:$D$206,1)),""),"")</f>
        <v/>
      </c>
    </row>
    <row r="1319">
      <c r="A1319" t="n">
        <v>1317</v>
      </c>
      <c r="B1319" t="n">
        <v>0</v>
      </c>
      <c r="C1319" t="inlineStr">
        <is>
          <t>No</t>
        </is>
      </c>
      <c r="D1319">
        <f>IF(AND(B1314=1,B1315=1,B1316=1,B1317=1,B1318=1),"Yes","")</f>
        <v/>
      </c>
      <c r="E1319" t="inlineStr">
        <is>
          <t>No</t>
        </is>
      </c>
      <c r="F1319" t="inlineStr">
        <is>
          <t>No</t>
        </is>
      </c>
      <c r="G1319">
        <f>IF(F1319="Yes",1-B1319,B1319)</f>
        <v/>
      </c>
      <c r="H1319">
        <f>IF(E1319="Yes","",COUNTIFS($E$2:E1319,"No"))</f>
        <v/>
      </c>
      <c r="I1319">
        <f>IF(H1319="","",IF(H1319&lt;=128,"address",IF(H1319&lt;=600,"data1",IF(H1319&lt;=1264,"zero-run1",IF(H1319&lt;=1648,"data2",IF(H1319&lt;=2176,"zero-run2",IF(H1319&lt;=2192,"FCS","trailing")))))))</f>
        <v/>
      </c>
      <c r="J1319">
        <f>IFERROR(IF(AND(H1319&lt;&gt;"",H1319&gt;=129,H1319&lt;=2176),INDEX(Fields!$B$2:$B$206,MATCH(H1319-129,Fields!$D$2:$D$206,1)),""),"")</f>
        <v/>
      </c>
      <c r="K1319">
        <f>IFERROR(IF(AND(H1319&lt;&gt;"",H1319&gt;=129,H1319&lt;=2176),INDEX(Fields!$C$2:$C$206,MATCH(H1319-129,Fields!$D$2:$D$206,1)),""),"")</f>
        <v/>
      </c>
      <c r="L1319">
        <f>IFERROR(IF(AND(H1319&lt;&gt;"",H1319&gt;=129,H1319&lt;=2176),INDEX(Fields!$J$2:$J$206,MATCH(H1319-129,Fields!$D$2:$D$206,1)),""),"")</f>
        <v/>
      </c>
      <c r="M1319">
        <f>IFERROR(IF(AND(H1319&lt;&gt;"",H1319&gt;=129,H1319&lt;=2176),INDEX(Fields!$K$2:$K$206,MATCH(H1319-129,Fields!$D$2:$D$206,1)),""),"")</f>
        <v/>
      </c>
    </row>
    <row r="1320">
      <c r="A1320" t="n">
        <v>1318</v>
      </c>
      <c r="B1320" t="n">
        <v>0</v>
      </c>
      <c r="C1320" t="inlineStr">
        <is>
          <t>No</t>
        </is>
      </c>
      <c r="D1320">
        <f>IF(AND(B1315=1,B1316=1,B1317=1,B1318=1,B1319=1),"Yes","")</f>
        <v/>
      </c>
      <c r="E1320" t="inlineStr">
        <is>
          <t>No</t>
        </is>
      </c>
      <c r="F1320" t="inlineStr">
        <is>
          <t>No</t>
        </is>
      </c>
      <c r="G1320">
        <f>IF(F1320="Yes",1-B1320,B1320)</f>
        <v/>
      </c>
      <c r="H1320">
        <f>IF(E1320="Yes","",COUNTIFS($E$2:E1320,"No"))</f>
        <v/>
      </c>
      <c r="I1320">
        <f>IF(H1320="","",IF(H1320&lt;=128,"address",IF(H1320&lt;=600,"data1",IF(H1320&lt;=1264,"zero-run1",IF(H1320&lt;=1648,"data2",IF(H1320&lt;=2176,"zero-run2",IF(H1320&lt;=2192,"FCS","trailing")))))))</f>
        <v/>
      </c>
      <c r="J1320">
        <f>IFERROR(IF(AND(H1320&lt;&gt;"",H1320&gt;=129,H1320&lt;=2176),INDEX(Fields!$B$2:$B$206,MATCH(H1320-129,Fields!$D$2:$D$206,1)),""),"")</f>
        <v/>
      </c>
      <c r="K1320">
        <f>IFERROR(IF(AND(H1320&lt;&gt;"",H1320&gt;=129,H1320&lt;=2176),INDEX(Fields!$C$2:$C$206,MATCH(H1320-129,Fields!$D$2:$D$206,1)),""),"")</f>
        <v/>
      </c>
      <c r="L1320">
        <f>IFERROR(IF(AND(H1320&lt;&gt;"",H1320&gt;=129,H1320&lt;=2176),INDEX(Fields!$J$2:$J$206,MATCH(H1320-129,Fields!$D$2:$D$206,1)),""),"")</f>
        <v/>
      </c>
      <c r="M1320">
        <f>IFERROR(IF(AND(H1320&lt;&gt;"",H1320&gt;=129,H1320&lt;=2176),INDEX(Fields!$K$2:$K$206,MATCH(H1320-129,Fields!$D$2:$D$206,1)),""),"")</f>
        <v/>
      </c>
    </row>
    <row r="1321">
      <c r="A1321" t="n">
        <v>1319</v>
      </c>
      <c r="B1321" t="n">
        <v>1</v>
      </c>
      <c r="C1321" t="inlineStr">
        <is>
          <t>No</t>
        </is>
      </c>
      <c r="D1321">
        <f>IF(AND(B1316=1,B1317=1,B1318=1,B1319=1,B1320=1),"Yes","")</f>
        <v/>
      </c>
      <c r="E1321" t="inlineStr">
        <is>
          <t>No</t>
        </is>
      </c>
      <c r="F1321" t="inlineStr">
        <is>
          <t>No</t>
        </is>
      </c>
      <c r="G1321">
        <f>IF(F1321="Yes",1-B1321,B1321)</f>
        <v/>
      </c>
      <c r="H1321">
        <f>IF(E1321="Yes","",COUNTIFS($E$2:E1321,"No"))</f>
        <v/>
      </c>
      <c r="I1321">
        <f>IF(H1321="","",IF(H1321&lt;=128,"address",IF(H1321&lt;=600,"data1",IF(H1321&lt;=1264,"zero-run1",IF(H1321&lt;=1648,"data2",IF(H1321&lt;=2176,"zero-run2",IF(H1321&lt;=2192,"FCS","trailing")))))))</f>
        <v/>
      </c>
      <c r="J1321">
        <f>IFERROR(IF(AND(H1321&lt;&gt;"",H1321&gt;=129,H1321&lt;=2176),INDEX(Fields!$B$2:$B$206,MATCH(H1321-129,Fields!$D$2:$D$206,1)),""),"")</f>
        <v/>
      </c>
      <c r="K1321">
        <f>IFERROR(IF(AND(H1321&lt;&gt;"",H1321&gt;=129,H1321&lt;=2176),INDEX(Fields!$C$2:$C$206,MATCH(H1321-129,Fields!$D$2:$D$206,1)),""),"")</f>
        <v/>
      </c>
      <c r="L1321">
        <f>IFERROR(IF(AND(H1321&lt;&gt;"",H1321&gt;=129,H1321&lt;=2176),INDEX(Fields!$J$2:$J$206,MATCH(H1321-129,Fields!$D$2:$D$206,1)),""),"")</f>
        <v/>
      </c>
      <c r="M1321">
        <f>IFERROR(IF(AND(H1321&lt;&gt;"",H1321&gt;=129,H1321&lt;=2176),INDEX(Fields!$K$2:$K$206,MATCH(H1321-129,Fields!$D$2:$D$206,1)),""),"")</f>
        <v/>
      </c>
    </row>
    <row r="1322">
      <c r="A1322" t="n">
        <v>1320</v>
      </c>
      <c r="B1322" t="n">
        <v>0</v>
      </c>
      <c r="C1322" t="inlineStr">
        <is>
          <t>No</t>
        </is>
      </c>
      <c r="D1322">
        <f>IF(AND(B1317=1,B1318=1,B1319=1,B1320=1,B1321=1),"Yes","")</f>
        <v/>
      </c>
      <c r="E1322" t="inlineStr">
        <is>
          <t>No</t>
        </is>
      </c>
      <c r="F1322" t="inlineStr">
        <is>
          <t>No</t>
        </is>
      </c>
      <c r="G1322">
        <f>IF(F1322="Yes",1-B1322,B1322)</f>
        <v/>
      </c>
      <c r="H1322">
        <f>IF(E1322="Yes","",COUNTIFS($E$2:E1322,"No"))</f>
        <v/>
      </c>
      <c r="I1322">
        <f>IF(H1322="","",IF(H1322&lt;=128,"address",IF(H1322&lt;=600,"data1",IF(H1322&lt;=1264,"zero-run1",IF(H1322&lt;=1648,"data2",IF(H1322&lt;=2176,"zero-run2",IF(H1322&lt;=2192,"FCS","trailing")))))))</f>
        <v/>
      </c>
      <c r="J1322">
        <f>IFERROR(IF(AND(H1322&lt;&gt;"",H1322&gt;=129,H1322&lt;=2176),INDEX(Fields!$B$2:$B$206,MATCH(H1322-129,Fields!$D$2:$D$206,1)),""),"")</f>
        <v/>
      </c>
      <c r="K1322">
        <f>IFERROR(IF(AND(H1322&lt;&gt;"",H1322&gt;=129,H1322&lt;=2176),INDEX(Fields!$C$2:$C$206,MATCH(H1322-129,Fields!$D$2:$D$206,1)),""),"")</f>
        <v/>
      </c>
      <c r="L1322">
        <f>IFERROR(IF(AND(H1322&lt;&gt;"",H1322&gt;=129,H1322&lt;=2176),INDEX(Fields!$J$2:$J$206,MATCH(H1322-129,Fields!$D$2:$D$206,1)),""),"")</f>
        <v/>
      </c>
      <c r="M1322">
        <f>IFERROR(IF(AND(H1322&lt;&gt;"",H1322&gt;=129,H1322&lt;=2176),INDEX(Fields!$K$2:$K$206,MATCH(H1322-129,Fields!$D$2:$D$206,1)),""),"")</f>
        <v/>
      </c>
    </row>
    <row r="1323">
      <c r="A1323" t="n">
        <v>1321</v>
      </c>
      <c r="B1323" t="n">
        <v>1</v>
      </c>
      <c r="C1323" t="inlineStr">
        <is>
          <t>No</t>
        </is>
      </c>
      <c r="D1323">
        <f>IF(AND(B1318=1,B1319=1,B1320=1,B1321=1,B1322=1),"Yes","")</f>
        <v/>
      </c>
      <c r="E1323" t="inlineStr">
        <is>
          <t>No</t>
        </is>
      </c>
      <c r="F1323" t="inlineStr">
        <is>
          <t>No</t>
        </is>
      </c>
      <c r="G1323">
        <f>IF(F1323="Yes",1-B1323,B1323)</f>
        <v/>
      </c>
      <c r="H1323">
        <f>IF(E1323="Yes","",COUNTIFS($E$2:E1323,"No"))</f>
        <v/>
      </c>
      <c r="I1323">
        <f>IF(H1323="","",IF(H1323&lt;=128,"address",IF(H1323&lt;=600,"data1",IF(H1323&lt;=1264,"zero-run1",IF(H1323&lt;=1648,"data2",IF(H1323&lt;=2176,"zero-run2",IF(H1323&lt;=2192,"FCS","trailing")))))))</f>
        <v/>
      </c>
      <c r="J1323">
        <f>IFERROR(IF(AND(H1323&lt;&gt;"",H1323&gt;=129,H1323&lt;=2176),INDEX(Fields!$B$2:$B$206,MATCH(H1323-129,Fields!$D$2:$D$206,1)),""),"")</f>
        <v/>
      </c>
      <c r="K1323">
        <f>IFERROR(IF(AND(H1323&lt;&gt;"",H1323&gt;=129,H1323&lt;=2176),INDEX(Fields!$C$2:$C$206,MATCH(H1323-129,Fields!$D$2:$D$206,1)),""),"")</f>
        <v/>
      </c>
      <c r="L1323">
        <f>IFERROR(IF(AND(H1323&lt;&gt;"",H1323&gt;=129,H1323&lt;=2176),INDEX(Fields!$J$2:$J$206,MATCH(H1323-129,Fields!$D$2:$D$206,1)),""),"")</f>
        <v/>
      </c>
      <c r="M1323">
        <f>IFERROR(IF(AND(H1323&lt;&gt;"",H1323&gt;=129,H1323&lt;=2176),INDEX(Fields!$K$2:$K$206,MATCH(H1323-129,Fields!$D$2:$D$206,1)),""),"")</f>
        <v/>
      </c>
    </row>
    <row r="1324">
      <c r="A1324" t="n">
        <v>1322</v>
      </c>
      <c r="B1324" t="n">
        <v>1</v>
      </c>
      <c r="C1324" t="inlineStr">
        <is>
          <t>No</t>
        </is>
      </c>
      <c r="D1324">
        <f>IF(AND(B1319=1,B1320=1,B1321=1,B1322=1,B1323=1),"Yes","")</f>
        <v/>
      </c>
      <c r="E1324" t="inlineStr">
        <is>
          <t>No</t>
        </is>
      </c>
      <c r="F1324" t="inlineStr">
        <is>
          <t>No</t>
        </is>
      </c>
      <c r="G1324">
        <f>IF(F1324="Yes",1-B1324,B1324)</f>
        <v/>
      </c>
      <c r="H1324">
        <f>IF(E1324="Yes","",COUNTIFS($E$2:E1324,"No"))</f>
        <v/>
      </c>
      <c r="I1324">
        <f>IF(H1324="","",IF(H1324&lt;=128,"address",IF(H1324&lt;=600,"data1",IF(H1324&lt;=1264,"zero-run1",IF(H1324&lt;=1648,"data2",IF(H1324&lt;=2176,"zero-run2",IF(H1324&lt;=2192,"FCS","trailing")))))))</f>
        <v/>
      </c>
      <c r="J1324">
        <f>IFERROR(IF(AND(H1324&lt;&gt;"",H1324&gt;=129,H1324&lt;=2176),INDEX(Fields!$B$2:$B$206,MATCH(H1324-129,Fields!$D$2:$D$206,1)),""),"")</f>
        <v/>
      </c>
      <c r="K1324">
        <f>IFERROR(IF(AND(H1324&lt;&gt;"",H1324&gt;=129,H1324&lt;=2176),INDEX(Fields!$C$2:$C$206,MATCH(H1324-129,Fields!$D$2:$D$206,1)),""),"")</f>
        <v/>
      </c>
      <c r="L1324">
        <f>IFERROR(IF(AND(H1324&lt;&gt;"",H1324&gt;=129,H1324&lt;=2176),INDEX(Fields!$J$2:$J$206,MATCH(H1324-129,Fields!$D$2:$D$206,1)),""),"")</f>
        <v/>
      </c>
      <c r="M1324">
        <f>IFERROR(IF(AND(H1324&lt;&gt;"",H1324&gt;=129,H1324&lt;=2176),INDEX(Fields!$K$2:$K$206,MATCH(H1324-129,Fields!$D$2:$D$206,1)),""),"")</f>
        <v/>
      </c>
    </row>
    <row r="1325">
      <c r="A1325" t="n">
        <v>1323</v>
      </c>
      <c r="B1325" t="n">
        <v>1</v>
      </c>
      <c r="C1325" t="inlineStr">
        <is>
          <t>No</t>
        </is>
      </c>
      <c r="D1325">
        <f>IF(AND(B1320=1,B1321=1,B1322=1,B1323=1,B1324=1),"Yes","")</f>
        <v/>
      </c>
      <c r="E1325" t="inlineStr">
        <is>
          <t>No</t>
        </is>
      </c>
      <c r="F1325" t="inlineStr">
        <is>
          <t>No</t>
        </is>
      </c>
      <c r="G1325">
        <f>IF(F1325="Yes",1-B1325,B1325)</f>
        <v/>
      </c>
      <c r="H1325">
        <f>IF(E1325="Yes","",COUNTIFS($E$2:E1325,"No"))</f>
        <v/>
      </c>
      <c r="I1325">
        <f>IF(H1325="","",IF(H1325&lt;=128,"address",IF(H1325&lt;=600,"data1",IF(H1325&lt;=1264,"zero-run1",IF(H1325&lt;=1648,"data2",IF(H1325&lt;=2176,"zero-run2",IF(H1325&lt;=2192,"FCS","trailing")))))))</f>
        <v/>
      </c>
      <c r="J1325">
        <f>IFERROR(IF(AND(H1325&lt;&gt;"",H1325&gt;=129,H1325&lt;=2176),INDEX(Fields!$B$2:$B$206,MATCH(H1325-129,Fields!$D$2:$D$206,1)),""),"")</f>
        <v/>
      </c>
      <c r="K1325">
        <f>IFERROR(IF(AND(H1325&lt;&gt;"",H1325&gt;=129,H1325&lt;=2176),INDEX(Fields!$C$2:$C$206,MATCH(H1325-129,Fields!$D$2:$D$206,1)),""),"")</f>
        <v/>
      </c>
      <c r="L1325">
        <f>IFERROR(IF(AND(H1325&lt;&gt;"",H1325&gt;=129,H1325&lt;=2176),INDEX(Fields!$J$2:$J$206,MATCH(H1325-129,Fields!$D$2:$D$206,1)),""),"")</f>
        <v/>
      </c>
      <c r="M1325">
        <f>IFERROR(IF(AND(H1325&lt;&gt;"",H1325&gt;=129,H1325&lt;=2176),INDEX(Fields!$K$2:$K$206,MATCH(H1325-129,Fields!$D$2:$D$206,1)),""),"")</f>
        <v/>
      </c>
    </row>
    <row r="1326">
      <c r="A1326" t="n">
        <v>1324</v>
      </c>
      <c r="B1326" t="n">
        <v>0</v>
      </c>
      <c r="C1326" t="inlineStr">
        <is>
          <t>No</t>
        </is>
      </c>
      <c r="D1326">
        <f>IF(AND(B1321=1,B1322=1,B1323=1,B1324=1,B1325=1),"Yes","")</f>
        <v/>
      </c>
      <c r="E1326" t="inlineStr">
        <is>
          <t>No</t>
        </is>
      </c>
      <c r="F1326" t="inlineStr">
        <is>
          <t>No</t>
        </is>
      </c>
      <c r="G1326">
        <f>IF(F1326="Yes",1-B1326,B1326)</f>
        <v/>
      </c>
      <c r="H1326">
        <f>IF(E1326="Yes","",COUNTIFS($E$2:E1326,"No"))</f>
        <v/>
      </c>
      <c r="I1326">
        <f>IF(H1326="","",IF(H1326&lt;=128,"address",IF(H1326&lt;=600,"data1",IF(H1326&lt;=1264,"zero-run1",IF(H1326&lt;=1648,"data2",IF(H1326&lt;=2176,"zero-run2",IF(H1326&lt;=2192,"FCS","trailing")))))))</f>
        <v/>
      </c>
      <c r="J1326">
        <f>IFERROR(IF(AND(H1326&lt;&gt;"",H1326&gt;=129,H1326&lt;=2176),INDEX(Fields!$B$2:$B$206,MATCH(H1326-129,Fields!$D$2:$D$206,1)),""),"")</f>
        <v/>
      </c>
      <c r="K1326">
        <f>IFERROR(IF(AND(H1326&lt;&gt;"",H1326&gt;=129,H1326&lt;=2176),INDEX(Fields!$C$2:$C$206,MATCH(H1326-129,Fields!$D$2:$D$206,1)),""),"")</f>
        <v/>
      </c>
      <c r="L1326">
        <f>IFERROR(IF(AND(H1326&lt;&gt;"",H1326&gt;=129,H1326&lt;=2176),INDEX(Fields!$J$2:$J$206,MATCH(H1326-129,Fields!$D$2:$D$206,1)),""),"")</f>
        <v/>
      </c>
      <c r="M1326">
        <f>IFERROR(IF(AND(H1326&lt;&gt;"",H1326&gt;=129,H1326&lt;=2176),INDEX(Fields!$K$2:$K$206,MATCH(H1326-129,Fields!$D$2:$D$206,1)),""),"")</f>
        <v/>
      </c>
    </row>
    <row r="1327">
      <c r="A1327" t="n">
        <v>1325</v>
      </c>
      <c r="B1327" t="n">
        <v>0</v>
      </c>
      <c r="C1327" t="inlineStr">
        <is>
          <t>No</t>
        </is>
      </c>
      <c r="D1327">
        <f>IF(AND(B1322=1,B1323=1,B1324=1,B1325=1,B1326=1),"Yes","")</f>
        <v/>
      </c>
      <c r="E1327" t="inlineStr">
        <is>
          <t>No</t>
        </is>
      </c>
      <c r="F1327" t="inlineStr">
        <is>
          <t>No</t>
        </is>
      </c>
      <c r="G1327">
        <f>IF(F1327="Yes",1-B1327,B1327)</f>
        <v/>
      </c>
      <c r="H1327">
        <f>IF(E1327="Yes","",COUNTIFS($E$2:E1327,"No"))</f>
        <v/>
      </c>
      <c r="I1327">
        <f>IF(H1327="","",IF(H1327&lt;=128,"address",IF(H1327&lt;=600,"data1",IF(H1327&lt;=1264,"zero-run1",IF(H1327&lt;=1648,"data2",IF(H1327&lt;=2176,"zero-run2",IF(H1327&lt;=2192,"FCS","trailing")))))))</f>
        <v/>
      </c>
      <c r="J1327">
        <f>IFERROR(IF(AND(H1327&lt;&gt;"",H1327&gt;=129,H1327&lt;=2176),INDEX(Fields!$B$2:$B$206,MATCH(H1327-129,Fields!$D$2:$D$206,1)),""),"")</f>
        <v/>
      </c>
      <c r="K1327">
        <f>IFERROR(IF(AND(H1327&lt;&gt;"",H1327&gt;=129,H1327&lt;=2176),INDEX(Fields!$C$2:$C$206,MATCH(H1327-129,Fields!$D$2:$D$206,1)),""),"")</f>
        <v/>
      </c>
      <c r="L1327">
        <f>IFERROR(IF(AND(H1327&lt;&gt;"",H1327&gt;=129,H1327&lt;=2176),INDEX(Fields!$J$2:$J$206,MATCH(H1327-129,Fields!$D$2:$D$206,1)),""),"")</f>
        <v/>
      </c>
      <c r="M1327">
        <f>IFERROR(IF(AND(H1327&lt;&gt;"",H1327&gt;=129,H1327&lt;=2176),INDEX(Fields!$K$2:$K$206,MATCH(H1327-129,Fields!$D$2:$D$206,1)),""),"")</f>
        <v/>
      </c>
    </row>
    <row r="1328">
      <c r="A1328" t="n">
        <v>1326</v>
      </c>
      <c r="B1328" t="n">
        <v>1</v>
      </c>
      <c r="C1328" t="inlineStr">
        <is>
          <t>No</t>
        </is>
      </c>
      <c r="D1328">
        <f>IF(AND(B1323=1,B1324=1,B1325=1,B1326=1,B1327=1),"Yes","")</f>
        <v/>
      </c>
      <c r="E1328" t="inlineStr">
        <is>
          <t>No</t>
        </is>
      </c>
      <c r="F1328" t="inlineStr">
        <is>
          <t>No</t>
        </is>
      </c>
      <c r="G1328">
        <f>IF(F1328="Yes",1-B1328,B1328)</f>
        <v/>
      </c>
      <c r="H1328">
        <f>IF(E1328="Yes","",COUNTIFS($E$2:E1328,"No"))</f>
        <v/>
      </c>
      <c r="I1328">
        <f>IF(H1328="","",IF(H1328&lt;=128,"address",IF(H1328&lt;=600,"data1",IF(H1328&lt;=1264,"zero-run1",IF(H1328&lt;=1648,"data2",IF(H1328&lt;=2176,"zero-run2",IF(H1328&lt;=2192,"FCS","trailing")))))))</f>
        <v/>
      </c>
      <c r="J1328">
        <f>IFERROR(IF(AND(H1328&lt;&gt;"",H1328&gt;=129,H1328&lt;=2176),INDEX(Fields!$B$2:$B$206,MATCH(H1328-129,Fields!$D$2:$D$206,1)),""),"")</f>
        <v/>
      </c>
      <c r="K1328">
        <f>IFERROR(IF(AND(H1328&lt;&gt;"",H1328&gt;=129,H1328&lt;=2176),INDEX(Fields!$C$2:$C$206,MATCH(H1328-129,Fields!$D$2:$D$206,1)),""),"")</f>
        <v/>
      </c>
      <c r="L1328">
        <f>IFERROR(IF(AND(H1328&lt;&gt;"",H1328&gt;=129,H1328&lt;=2176),INDEX(Fields!$J$2:$J$206,MATCH(H1328-129,Fields!$D$2:$D$206,1)),""),"")</f>
        <v/>
      </c>
      <c r="M1328">
        <f>IFERROR(IF(AND(H1328&lt;&gt;"",H1328&gt;=129,H1328&lt;=2176),INDEX(Fields!$K$2:$K$206,MATCH(H1328-129,Fields!$D$2:$D$206,1)),""),"")</f>
        <v/>
      </c>
    </row>
    <row r="1329">
      <c r="A1329" t="n">
        <v>1327</v>
      </c>
      <c r="B1329" t="n">
        <v>0</v>
      </c>
      <c r="C1329" t="inlineStr">
        <is>
          <t>No</t>
        </is>
      </c>
      <c r="D1329">
        <f>IF(AND(B1324=1,B1325=1,B1326=1,B1327=1,B1328=1),"Yes","")</f>
        <v/>
      </c>
      <c r="E1329" t="inlineStr">
        <is>
          <t>No</t>
        </is>
      </c>
      <c r="F1329" t="inlineStr">
        <is>
          <t>No</t>
        </is>
      </c>
      <c r="G1329">
        <f>IF(F1329="Yes",1-B1329,B1329)</f>
        <v/>
      </c>
      <c r="H1329">
        <f>IF(E1329="Yes","",COUNTIFS($E$2:E1329,"No"))</f>
        <v/>
      </c>
      <c r="I1329">
        <f>IF(H1329="","",IF(H1329&lt;=128,"address",IF(H1329&lt;=600,"data1",IF(H1329&lt;=1264,"zero-run1",IF(H1329&lt;=1648,"data2",IF(H1329&lt;=2176,"zero-run2",IF(H1329&lt;=2192,"FCS","trailing")))))))</f>
        <v/>
      </c>
      <c r="J1329">
        <f>IFERROR(IF(AND(H1329&lt;&gt;"",H1329&gt;=129,H1329&lt;=2176),INDEX(Fields!$B$2:$B$206,MATCH(H1329-129,Fields!$D$2:$D$206,1)),""),"")</f>
        <v/>
      </c>
      <c r="K1329">
        <f>IFERROR(IF(AND(H1329&lt;&gt;"",H1329&gt;=129,H1329&lt;=2176),INDEX(Fields!$C$2:$C$206,MATCH(H1329-129,Fields!$D$2:$D$206,1)),""),"")</f>
        <v/>
      </c>
      <c r="L1329">
        <f>IFERROR(IF(AND(H1329&lt;&gt;"",H1329&gt;=129,H1329&lt;=2176),INDEX(Fields!$J$2:$J$206,MATCH(H1329-129,Fields!$D$2:$D$206,1)),""),"")</f>
        <v/>
      </c>
      <c r="M1329">
        <f>IFERROR(IF(AND(H1329&lt;&gt;"",H1329&gt;=129,H1329&lt;=2176),INDEX(Fields!$K$2:$K$206,MATCH(H1329-129,Fields!$D$2:$D$206,1)),""),"")</f>
        <v/>
      </c>
    </row>
    <row r="1330">
      <c r="A1330" t="n">
        <v>1328</v>
      </c>
      <c r="B1330" t="n">
        <v>1</v>
      </c>
      <c r="C1330" t="inlineStr">
        <is>
          <t>No</t>
        </is>
      </c>
      <c r="D1330">
        <f>IF(AND(B1325=1,B1326=1,B1327=1,B1328=1,B1329=1),"Yes","")</f>
        <v/>
      </c>
      <c r="E1330" t="inlineStr">
        <is>
          <t>No</t>
        </is>
      </c>
      <c r="F1330" t="inlineStr">
        <is>
          <t>No</t>
        </is>
      </c>
      <c r="G1330">
        <f>IF(F1330="Yes",1-B1330,B1330)</f>
        <v/>
      </c>
      <c r="H1330">
        <f>IF(E1330="Yes","",COUNTIFS($E$2:E1330,"No"))</f>
        <v/>
      </c>
      <c r="I1330">
        <f>IF(H1330="","",IF(H1330&lt;=128,"address",IF(H1330&lt;=600,"data1",IF(H1330&lt;=1264,"zero-run1",IF(H1330&lt;=1648,"data2",IF(H1330&lt;=2176,"zero-run2",IF(H1330&lt;=2192,"FCS","trailing")))))))</f>
        <v/>
      </c>
      <c r="J1330">
        <f>IFERROR(IF(AND(H1330&lt;&gt;"",H1330&gt;=129,H1330&lt;=2176),INDEX(Fields!$B$2:$B$206,MATCH(H1330-129,Fields!$D$2:$D$206,1)),""),"")</f>
        <v/>
      </c>
      <c r="K1330">
        <f>IFERROR(IF(AND(H1330&lt;&gt;"",H1330&gt;=129,H1330&lt;=2176),INDEX(Fields!$C$2:$C$206,MATCH(H1330-129,Fields!$D$2:$D$206,1)),""),"")</f>
        <v/>
      </c>
      <c r="L1330">
        <f>IFERROR(IF(AND(H1330&lt;&gt;"",H1330&gt;=129,H1330&lt;=2176),INDEX(Fields!$J$2:$J$206,MATCH(H1330-129,Fields!$D$2:$D$206,1)),""),"")</f>
        <v/>
      </c>
      <c r="M1330">
        <f>IFERROR(IF(AND(H1330&lt;&gt;"",H1330&gt;=129,H1330&lt;=2176),INDEX(Fields!$K$2:$K$206,MATCH(H1330-129,Fields!$D$2:$D$206,1)),""),"")</f>
        <v/>
      </c>
    </row>
    <row r="1331">
      <c r="A1331" t="n">
        <v>1329</v>
      </c>
      <c r="B1331" t="n">
        <v>1</v>
      </c>
      <c r="C1331" t="inlineStr">
        <is>
          <t>No</t>
        </is>
      </c>
      <c r="D1331">
        <f>IF(AND(B1326=1,B1327=1,B1328=1,B1329=1,B1330=1),"Yes","")</f>
        <v/>
      </c>
      <c r="E1331" t="inlineStr">
        <is>
          <t>No</t>
        </is>
      </c>
      <c r="F1331" t="inlineStr">
        <is>
          <t>No</t>
        </is>
      </c>
      <c r="G1331">
        <f>IF(F1331="Yes",1-B1331,B1331)</f>
        <v/>
      </c>
      <c r="H1331">
        <f>IF(E1331="Yes","",COUNTIFS($E$2:E1331,"No"))</f>
        <v/>
      </c>
      <c r="I1331">
        <f>IF(H1331="","",IF(H1331&lt;=128,"address",IF(H1331&lt;=600,"data1",IF(H1331&lt;=1264,"zero-run1",IF(H1331&lt;=1648,"data2",IF(H1331&lt;=2176,"zero-run2",IF(H1331&lt;=2192,"FCS","trailing")))))))</f>
        <v/>
      </c>
      <c r="J1331">
        <f>IFERROR(IF(AND(H1331&lt;&gt;"",H1331&gt;=129,H1331&lt;=2176),INDEX(Fields!$B$2:$B$206,MATCH(H1331-129,Fields!$D$2:$D$206,1)),""),"")</f>
        <v/>
      </c>
      <c r="K1331">
        <f>IFERROR(IF(AND(H1331&lt;&gt;"",H1331&gt;=129,H1331&lt;=2176),INDEX(Fields!$C$2:$C$206,MATCH(H1331-129,Fields!$D$2:$D$206,1)),""),"")</f>
        <v/>
      </c>
      <c r="L1331">
        <f>IFERROR(IF(AND(H1331&lt;&gt;"",H1331&gt;=129,H1331&lt;=2176),INDEX(Fields!$J$2:$J$206,MATCH(H1331-129,Fields!$D$2:$D$206,1)),""),"")</f>
        <v/>
      </c>
      <c r="M1331">
        <f>IFERROR(IF(AND(H1331&lt;&gt;"",H1331&gt;=129,H1331&lt;=2176),INDEX(Fields!$K$2:$K$206,MATCH(H1331-129,Fields!$D$2:$D$206,1)),""),"")</f>
        <v/>
      </c>
    </row>
    <row r="1332">
      <c r="A1332" t="n">
        <v>1330</v>
      </c>
      <c r="B1332" t="n">
        <v>0</v>
      </c>
      <c r="C1332" t="inlineStr">
        <is>
          <t>No</t>
        </is>
      </c>
      <c r="D1332">
        <f>IF(AND(B1327=1,B1328=1,B1329=1,B1330=1,B1331=1),"Yes","")</f>
        <v/>
      </c>
      <c r="E1332" t="inlineStr">
        <is>
          <t>No</t>
        </is>
      </c>
      <c r="F1332" t="inlineStr">
        <is>
          <t>No</t>
        </is>
      </c>
      <c r="G1332">
        <f>IF(F1332="Yes",1-B1332,B1332)</f>
        <v/>
      </c>
      <c r="H1332">
        <f>IF(E1332="Yes","",COUNTIFS($E$2:E1332,"No"))</f>
        <v/>
      </c>
      <c r="I1332">
        <f>IF(H1332="","",IF(H1332&lt;=128,"address",IF(H1332&lt;=600,"data1",IF(H1332&lt;=1264,"zero-run1",IF(H1332&lt;=1648,"data2",IF(H1332&lt;=2176,"zero-run2",IF(H1332&lt;=2192,"FCS","trailing")))))))</f>
        <v/>
      </c>
      <c r="J1332">
        <f>IFERROR(IF(AND(H1332&lt;&gt;"",H1332&gt;=129,H1332&lt;=2176),INDEX(Fields!$B$2:$B$206,MATCH(H1332-129,Fields!$D$2:$D$206,1)),""),"")</f>
        <v/>
      </c>
      <c r="K1332">
        <f>IFERROR(IF(AND(H1332&lt;&gt;"",H1332&gt;=129,H1332&lt;=2176),INDEX(Fields!$C$2:$C$206,MATCH(H1332-129,Fields!$D$2:$D$206,1)),""),"")</f>
        <v/>
      </c>
      <c r="L1332">
        <f>IFERROR(IF(AND(H1332&lt;&gt;"",H1332&gt;=129,H1332&lt;=2176),INDEX(Fields!$J$2:$J$206,MATCH(H1332-129,Fields!$D$2:$D$206,1)),""),"")</f>
        <v/>
      </c>
      <c r="M1332">
        <f>IFERROR(IF(AND(H1332&lt;&gt;"",H1332&gt;=129,H1332&lt;=2176),INDEX(Fields!$K$2:$K$206,MATCH(H1332-129,Fields!$D$2:$D$206,1)),""),"")</f>
        <v/>
      </c>
    </row>
    <row r="1333">
      <c r="A1333" t="n">
        <v>1331</v>
      </c>
      <c r="B1333" t="n">
        <v>0</v>
      </c>
      <c r="C1333" t="inlineStr">
        <is>
          <t>No</t>
        </is>
      </c>
      <c r="D1333">
        <f>IF(AND(B1328=1,B1329=1,B1330=1,B1331=1,B1332=1),"Yes","")</f>
        <v/>
      </c>
      <c r="E1333" t="inlineStr">
        <is>
          <t>No</t>
        </is>
      </c>
      <c r="F1333" t="inlineStr">
        <is>
          <t>No</t>
        </is>
      </c>
      <c r="G1333">
        <f>IF(F1333="Yes",1-B1333,B1333)</f>
        <v/>
      </c>
      <c r="H1333">
        <f>IF(E1333="Yes","",COUNTIFS($E$2:E1333,"No"))</f>
        <v/>
      </c>
      <c r="I1333">
        <f>IF(H1333="","",IF(H1333&lt;=128,"address",IF(H1333&lt;=600,"data1",IF(H1333&lt;=1264,"zero-run1",IF(H1333&lt;=1648,"data2",IF(H1333&lt;=2176,"zero-run2",IF(H1333&lt;=2192,"FCS","trailing")))))))</f>
        <v/>
      </c>
      <c r="J1333">
        <f>IFERROR(IF(AND(H1333&lt;&gt;"",H1333&gt;=129,H1333&lt;=2176),INDEX(Fields!$B$2:$B$206,MATCH(H1333-129,Fields!$D$2:$D$206,1)),""),"")</f>
        <v/>
      </c>
      <c r="K1333">
        <f>IFERROR(IF(AND(H1333&lt;&gt;"",H1333&gt;=129,H1333&lt;=2176),INDEX(Fields!$C$2:$C$206,MATCH(H1333-129,Fields!$D$2:$D$206,1)),""),"")</f>
        <v/>
      </c>
      <c r="L1333">
        <f>IFERROR(IF(AND(H1333&lt;&gt;"",H1333&gt;=129,H1333&lt;=2176),INDEX(Fields!$J$2:$J$206,MATCH(H1333-129,Fields!$D$2:$D$206,1)),""),"")</f>
        <v/>
      </c>
      <c r="M1333">
        <f>IFERROR(IF(AND(H1333&lt;&gt;"",H1333&gt;=129,H1333&lt;=2176),INDEX(Fields!$K$2:$K$206,MATCH(H1333-129,Fields!$D$2:$D$206,1)),""),"")</f>
        <v/>
      </c>
    </row>
    <row r="1334">
      <c r="A1334" t="n">
        <v>1332</v>
      </c>
      <c r="B1334" t="n">
        <v>0</v>
      </c>
      <c r="C1334" t="inlineStr">
        <is>
          <t>No</t>
        </is>
      </c>
      <c r="D1334">
        <f>IF(AND(B1329=1,B1330=1,B1331=1,B1332=1,B1333=1),"Yes","")</f>
        <v/>
      </c>
      <c r="E1334" t="inlineStr">
        <is>
          <t>No</t>
        </is>
      </c>
      <c r="F1334" t="inlineStr">
        <is>
          <t>No</t>
        </is>
      </c>
      <c r="G1334">
        <f>IF(F1334="Yes",1-B1334,B1334)</f>
        <v/>
      </c>
      <c r="H1334">
        <f>IF(E1334="Yes","",COUNTIFS($E$2:E1334,"No"))</f>
        <v/>
      </c>
      <c r="I1334">
        <f>IF(H1334="","",IF(H1334&lt;=128,"address",IF(H1334&lt;=600,"data1",IF(H1334&lt;=1264,"zero-run1",IF(H1334&lt;=1648,"data2",IF(H1334&lt;=2176,"zero-run2",IF(H1334&lt;=2192,"FCS","trailing")))))))</f>
        <v/>
      </c>
      <c r="J1334">
        <f>IFERROR(IF(AND(H1334&lt;&gt;"",H1334&gt;=129,H1334&lt;=2176),INDEX(Fields!$B$2:$B$206,MATCH(H1334-129,Fields!$D$2:$D$206,1)),""),"")</f>
        <v/>
      </c>
      <c r="K1334">
        <f>IFERROR(IF(AND(H1334&lt;&gt;"",H1334&gt;=129,H1334&lt;=2176),INDEX(Fields!$C$2:$C$206,MATCH(H1334-129,Fields!$D$2:$D$206,1)),""),"")</f>
        <v/>
      </c>
      <c r="L1334">
        <f>IFERROR(IF(AND(H1334&lt;&gt;"",H1334&gt;=129,H1334&lt;=2176),INDEX(Fields!$J$2:$J$206,MATCH(H1334-129,Fields!$D$2:$D$206,1)),""),"")</f>
        <v/>
      </c>
      <c r="M1334">
        <f>IFERROR(IF(AND(H1334&lt;&gt;"",H1334&gt;=129,H1334&lt;=2176),INDEX(Fields!$K$2:$K$206,MATCH(H1334-129,Fields!$D$2:$D$206,1)),""),"")</f>
        <v/>
      </c>
    </row>
    <row r="1335">
      <c r="A1335" t="n">
        <v>1333</v>
      </c>
      <c r="B1335" t="n">
        <v>0</v>
      </c>
      <c r="C1335" t="inlineStr">
        <is>
          <t>No</t>
        </is>
      </c>
      <c r="D1335">
        <f>IF(AND(B1330=1,B1331=1,B1332=1,B1333=1,B1334=1),"Yes","")</f>
        <v/>
      </c>
      <c r="E1335" t="inlineStr">
        <is>
          <t>No</t>
        </is>
      </c>
      <c r="F1335" t="inlineStr">
        <is>
          <t>No</t>
        </is>
      </c>
      <c r="G1335">
        <f>IF(F1335="Yes",1-B1335,B1335)</f>
        <v/>
      </c>
      <c r="H1335">
        <f>IF(E1335="Yes","",COUNTIFS($E$2:E1335,"No"))</f>
        <v/>
      </c>
      <c r="I1335">
        <f>IF(H1335="","",IF(H1335&lt;=128,"address",IF(H1335&lt;=600,"data1",IF(H1335&lt;=1264,"zero-run1",IF(H1335&lt;=1648,"data2",IF(H1335&lt;=2176,"zero-run2",IF(H1335&lt;=2192,"FCS","trailing")))))))</f>
        <v/>
      </c>
      <c r="J1335">
        <f>IFERROR(IF(AND(H1335&lt;&gt;"",H1335&gt;=129,H1335&lt;=2176),INDEX(Fields!$B$2:$B$206,MATCH(H1335-129,Fields!$D$2:$D$206,1)),""),"")</f>
        <v/>
      </c>
      <c r="K1335">
        <f>IFERROR(IF(AND(H1335&lt;&gt;"",H1335&gt;=129,H1335&lt;=2176),INDEX(Fields!$C$2:$C$206,MATCH(H1335-129,Fields!$D$2:$D$206,1)),""),"")</f>
        <v/>
      </c>
      <c r="L1335">
        <f>IFERROR(IF(AND(H1335&lt;&gt;"",H1335&gt;=129,H1335&lt;=2176),INDEX(Fields!$J$2:$J$206,MATCH(H1335-129,Fields!$D$2:$D$206,1)),""),"")</f>
        <v/>
      </c>
      <c r="M1335">
        <f>IFERROR(IF(AND(H1335&lt;&gt;"",H1335&gt;=129,H1335&lt;=2176),INDEX(Fields!$K$2:$K$206,MATCH(H1335-129,Fields!$D$2:$D$206,1)),""),"")</f>
        <v/>
      </c>
    </row>
    <row r="1336">
      <c r="A1336" t="n">
        <v>1334</v>
      </c>
      <c r="B1336" t="n">
        <v>1</v>
      </c>
      <c r="C1336" t="inlineStr">
        <is>
          <t>No</t>
        </is>
      </c>
      <c r="D1336">
        <f>IF(AND(B1331=1,B1332=1,B1333=1,B1334=1,B1335=1),"Yes","")</f>
        <v/>
      </c>
      <c r="E1336" t="inlineStr">
        <is>
          <t>No</t>
        </is>
      </c>
      <c r="F1336" t="inlineStr">
        <is>
          <t>No</t>
        </is>
      </c>
      <c r="G1336">
        <f>IF(F1336="Yes",1-B1336,B1336)</f>
        <v/>
      </c>
      <c r="H1336">
        <f>IF(E1336="Yes","",COUNTIFS($E$2:E1336,"No"))</f>
        <v/>
      </c>
      <c r="I1336">
        <f>IF(H1336="","",IF(H1336&lt;=128,"address",IF(H1336&lt;=600,"data1",IF(H1336&lt;=1264,"zero-run1",IF(H1336&lt;=1648,"data2",IF(H1336&lt;=2176,"zero-run2",IF(H1336&lt;=2192,"FCS","trailing")))))))</f>
        <v/>
      </c>
      <c r="J1336">
        <f>IFERROR(IF(AND(H1336&lt;&gt;"",H1336&gt;=129,H1336&lt;=2176),INDEX(Fields!$B$2:$B$206,MATCH(H1336-129,Fields!$D$2:$D$206,1)),""),"")</f>
        <v/>
      </c>
      <c r="K1336">
        <f>IFERROR(IF(AND(H1336&lt;&gt;"",H1336&gt;=129,H1336&lt;=2176),INDEX(Fields!$C$2:$C$206,MATCH(H1336-129,Fields!$D$2:$D$206,1)),""),"")</f>
        <v/>
      </c>
      <c r="L1336">
        <f>IFERROR(IF(AND(H1336&lt;&gt;"",H1336&gt;=129,H1336&lt;=2176),INDEX(Fields!$J$2:$J$206,MATCH(H1336-129,Fields!$D$2:$D$206,1)),""),"")</f>
        <v/>
      </c>
      <c r="M1336">
        <f>IFERROR(IF(AND(H1336&lt;&gt;"",H1336&gt;=129,H1336&lt;=2176),INDEX(Fields!$K$2:$K$206,MATCH(H1336-129,Fields!$D$2:$D$206,1)),""),"")</f>
        <v/>
      </c>
    </row>
    <row r="1337">
      <c r="A1337" t="n">
        <v>1335</v>
      </c>
      <c r="B1337" t="n">
        <v>1</v>
      </c>
      <c r="C1337" t="inlineStr">
        <is>
          <t>No</t>
        </is>
      </c>
      <c r="D1337">
        <f>IF(AND(B1332=1,B1333=1,B1334=1,B1335=1,B1336=1),"Yes","")</f>
        <v/>
      </c>
      <c r="E1337" t="inlineStr">
        <is>
          <t>No</t>
        </is>
      </c>
      <c r="F1337" t="inlineStr">
        <is>
          <t>No</t>
        </is>
      </c>
      <c r="G1337">
        <f>IF(F1337="Yes",1-B1337,B1337)</f>
        <v/>
      </c>
      <c r="H1337">
        <f>IF(E1337="Yes","",COUNTIFS($E$2:E1337,"No"))</f>
        <v/>
      </c>
      <c r="I1337">
        <f>IF(H1337="","",IF(H1337&lt;=128,"address",IF(H1337&lt;=600,"data1",IF(H1337&lt;=1264,"zero-run1",IF(H1337&lt;=1648,"data2",IF(H1337&lt;=2176,"zero-run2",IF(H1337&lt;=2192,"FCS","trailing")))))))</f>
        <v/>
      </c>
      <c r="J1337">
        <f>IFERROR(IF(AND(H1337&lt;&gt;"",H1337&gt;=129,H1337&lt;=2176),INDEX(Fields!$B$2:$B$206,MATCH(H1337-129,Fields!$D$2:$D$206,1)),""),"")</f>
        <v/>
      </c>
      <c r="K1337">
        <f>IFERROR(IF(AND(H1337&lt;&gt;"",H1337&gt;=129,H1337&lt;=2176),INDEX(Fields!$C$2:$C$206,MATCH(H1337-129,Fields!$D$2:$D$206,1)),""),"")</f>
        <v/>
      </c>
      <c r="L1337">
        <f>IFERROR(IF(AND(H1337&lt;&gt;"",H1337&gt;=129,H1337&lt;=2176),INDEX(Fields!$J$2:$J$206,MATCH(H1337-129,Fields!$D$2:$D$206,1)),""),"")</f>
        <v/>
      </c>
      <c r="M1337">
        <f>IFERROR(IF(AND(H1337&lt;&gt;"",H1337&gt;=129,H1337&lt;=2176),INDEX(Fields!$K$2:$K$206,MATCH(H1337-129,Fields!$D$2:$D$206,1)),""),"")</f>
        <v/>
      </c>
    </row>
    <row r="1338">
      <c r="A1338" t="n">
        <v>1336</v>
      </c>
      <c r="B1338" t="n">
        <v>1</v>
      </c>
      <c r="C1338" t="inlineStr">
        <is>
          <t>No</t>
        </is>
      </c>
      <c r="D1338">
        <f>IF(AND(B1333=1,B1334=1,B1335=1,B1336=1,B1337=1),"Yes","")</f>
        <v/>
      </c>
      <c r="E1338" t="inlineStr">
        <is>
          <t>No</t>
        </is>
      </c>
      <c r="F1338" t="inlineStr">
        <is>
          <t>No</t>
        </is>
      </c>
      <c r="G1338">
        <f>IF(F1338="Yes",1-B1338,B1338)</f>
        <v/>
      </c>
      <c r="H1338">
        <f>IF(E1338="Yes","",COUNTIFS($E$2:E1338,"No"))</f>
        <v/>
      </c>
      <c r="I1338">
        <f>IF(H1338="","",IF(H1338&lt;=128,"address",IF(H1338&lt;=600,"data1",IF(H1338&lt;=1264,"zero-run1",IF(H1338&lt;=1648,"data2",IF(H1338&lt;=2176,"zero-run2",IF(H1338&lt;=2192,"FCS","trailing")))))))</f>
        <v/>
      </c>
      <c r="J1338">
        <f>IFERROR(IF(AND(H1338&lt;&gt;"",H1338&gt;=129,H1338&lt;=2176),INDEX(Fields!$B$2:$B$206,MATCH(H1338-129,Fields!$D$2:$D$206,1)),""),"")</f>
        <v/>
      </c>
      <c r="K1338">
        <f>IFERROR(IF(AND(H1338&lt;&gt;"",H1338&gt;=129,H1338&lt;=2176),INDEX(Fields!$C$2:$C$206,MATCH(H1338-129,Fields!$D$2:$D$206,1)),""),"")</f>
        <v/>
      </c>
      <c r="L1338">
        <f>IFERROR(IF(AND(H1338&lt;&gt;"",H1338&gt;=129,H1338&lt;=2176),INDEX(Fields!$J$2:$J$206,MATCH(H1338-129,Fields!$D$2:$D$206,1)),""),"")</f>
        <v/>
      </c>
      <c r="M1338">
        <f>IFERROR(IF(AND(H1338&lt;&gt;"",H1338&gt;=129,H1338&lt;=2176),INDEX(Fields!$K$2:$K$206,MATCH(H1338-129,Fields!$D$2:$D$206,1)),""),"")</f>
        <v/>
      </c>
    </row>
    <row r="1339">
      <c r="A1339" t="n">
        <v>1337</v>
      </c>
      <c r="B1339" t="n">
        <v>0</v>
      </c>
      <c r="C1339" t="inlineStr">
        <is>
          <t>No</t>
        </is>
      </c>
      <c r="D1339">
        <f>IF(AND(B1334=1,B1335=1,B1336=1,B1337=1,B1338=1),"Yes","")</f>
        <v/>
      </c>
      <c r="E1339" t="inlineStr">
        <is>
          <t>No</t>
        </is>
      </c>
      <c r="F1339" t="inlineStr">
        <is>
          <t>No</t>
        </is>
      </c>
      <c r="G1339">
        <f>IF(F1339="Yes",1-B1339,B1339)</f>
        <v/>
      </c>
      <c r="H1339">
        <f>IF(E1339="Yes","",COUNTIFS($E$2:E1339,"No"))</f>
        <v/>
      </c>
      <c r="I1339">
        <f>IF(H1339="","",IF(H1339&lt;=128,"address",IF(H1339&lt;=600,"data1",IF(H1339&lt;=1264,"zero-run1",IF(H1339&lt;=1648,"data2",IF(H1339&lt;=2176,"zero-run2",IF(H1339&lt;=2192,"FCS","trailing")))))))</f>
        <v/>
      </c>
      <c r="J1339">
        <f>IFERROR(IF(AND(H1339&lt;&gt;"",H1339&gt;=129,H1339&lt;=2176),INDEX(Fields!$B$2:$B$206,MATCH(H1339-129,Fields!$D$2:$D$206,1)),""),"")</f>
        <v/>
      </c>
      <c r="K1339">
        <f>IFERROR(IF(AND(H1339&lt;&gt;"",H1339&gt;=129,H1339&lt;=2176),INDEX(Fields!$C$2:$C$206,MATCH(H1339-129,Fields!$D$2:$D$206,1)),""),"")</f>
        <v/>
      </c>
      <c r="L1339">
        <f>IFERROR(IF(AND(H1339&lt;&gt;"",H1339&gt;=129,H1339&lt;=2176),INDEX(Fields!$J$2:$J$206,MATCH(H1339-129,Fields!$D$2:$D$206,1)),""),"")</f>
        <v/>
      </c>
      <c r="M1339">
        <f>IFERROR(IF(AND(H1339&lt;&gt;"",H1339&gt;=129,H1339&lt;=2176),INDEX(Fields!$K$2:$K$206,MATCH(H1339-129,Fields!$D$2:$D$206,1)),""),"")</f>
        <v/>
      </c>
    </row>
    <row r="1340">
      <c r="A1340" t="n">
        <v>1338</v>
      </c>
      <c r="B1340" t="n">
        <v>1</v>
      </c>
      <c r="C1340" t="inlineStr">
        <is>
          <t>No</t>
        </is>
      </c>
      <c r="D1340">
        <f>IF(AND(B1335=1,B1336=1,B1337=1,B1338=1,B1339=1),"Yes","")</f>
        <v/>
      </c>
      <c r="E1340" t="inlineStr">
        <is>
          <t>No</t>
        </is>
      </c>
      <c r="F1340" t="inlineStr">
        <is>
          <t>No</t>
        </is>
      </c>
      <c r="G1340">
        <f>IF(F1340="Yes",1-B1340,B1340)</f>
        <v/>
      </c>
      <c r="H1340">
        <f>IF(E1340="Yes","",COUNTIFS($E$2:E1340,"No"))</f>
        <v/>
      </c>
      <c r="I1340">
        <f>IF(H1340="","",IF(H1340&lt;=128,"address",IF(H1340&lt;=600,"data1",IF(H1340&lt;=1264,"zero-run1",IF(H1340&lt;=1648,"data2",IF(H1340&lt;=2176,"zero-run2",IF(H1340&lt;=2192,"FCS","trailing")))))))</f>
        <v/>
      </c>
      <c r="J1340">
        <f>IFERROR(IF(AND(H1340&lt;&gt;"",H1340&gt;=129,H1340&lt;=2176),INDEX(Fields!$B$2:$B$206,MATCH(H1340-129,Fields!$D$2:$D$206,1)),""),"")</f>
        <v/>
      </c>
      <c r="K1340">
        <f>IFERROR(IF(AND(H1340&lt;&gt;"",H1340&gt;=129,H1340&lt;=2176),INDEX(Fields!$C$2:$C$206,MATCH(H1340-129,Fields!$D$2:$D$206,1)),""),"")</f>
        <v/>
      </c>
      <c r="L1340">
        <f>IFERROR(IF(AND(H1340&lt;&gt;"",H1340&gt;=129,H1340&lt;=2176),INDEX(Fields!$J$2:$J$206,MATCH(H1340-129,Fields!$D$2:$D$206,1)),""),"")</f>
        <v/>
      </c>
      <c r="M1340">
        <f>IFERROR(IF(AND(H1340&lt;&gt;"",H1340&gt;=129,H1340&lt;=2176),INDEX(Fields!$K$2:$K$206,MATCH(H1340-129,Fields!$D$2:$D$206,1)),""),"")</f>
        <v/>
      </c>
    </row>
    <row r="1341">
      <c r="A1341" t="n">
        <v>1339</v>
      </c>
      <c r="B1341" t="n">
        <v>1</v>
      </c>
      <c r="C1341" t="inlineStr">
        <is>
          <t>No</t>
        </is>
      </c>
      <c r="D1341">
        <f>IF(AND(B1336=1,B1337=1,B1338=1,B1339=1,B1340=1),"Yes","")</f>
        <v/>
      </c>
      <c r="E1341" t="inlineStr">
        <is>
          <t>No</t>
        </is>
      </c>
      <c r="F1341" t="inlineStr">
        <is>
          <t>No</t>
        </is>
      </c>
      <c r="G1341">
        <f>IF(F1341="Yes",1-B1341,B1341)</f>
        <v/>
      </c>
      <c r="H1341">
        <f>IF(E1341="Yes","",COUNTIFS($E$2:E1341,"No"))</f>
        <v/>
      </c>
      <c r="I1341">
        <f>IF(H1341="","",IF(H1341&lt;=128,"address",IF(H1341&lt;=600,"data1",IF(H1341&lt;=1264,"zero-run1",IF(H1341&lt;=1648,"data2",IF(H1341&lt;=2176,"zero-run2",IF(H1341&lt;=2192,"FCS","trailing")))))))</f>
        <v/>
      </c>
      <c r="J1341">
        <f>IFERROR(IF(AND(H1341&lt;&gt;"",H1341&gt;=129,H1341&lt;=2176),INDEX(Fields!$B$2:$B$206,MATCH(H1341-129,Fields!$D$2:$D$206,1)),""),"")</f>
        <v/>
      </c>
      <c r="K1341">
        <f>IFERROR(IF(AND(H1341&lt;&gt;"",H1341&gt;=129,H1341&lt;=2176),INDEX(Fields!$C$2:$C$206,MATCH(H1341-129,Fields!$D$2:$D$206,1)),""),"")</f>
        <v/>
      </c>
      <c r="L1341">
        <f>IFERROR(IF(AND(H1341&lt;&gt;"",H1341&gt;=129,H1341&lt;=2176),INDEX(Fields!$J$2:$J$206,MATCH(H1341-129,Fields!$D$2:$D$206,1)),""),"")</f>
        <v/>
      </c>
      <c r="M1341">
        <f>IFERROR(IF(AND(H1341&lt;&gt;"",H1341&gt;=129,H1341&lt;=2176),INDEX(Fields!$K$2:$K$206,MATCH(H1341-129,Fields!$D$2:$D$206,1)),""),"")</f>
        <v/>
      </c>
    </row>
    <row r="1342">
      <c r="A1342" t="n">
        <v>1340</v>
      </c>
      <c r="B1342" t="n">
        <v>0</v>
      </c>
      <c r="C1342" t="inlineStr">
        <is>
          <t>No</t>
        </is>
      </c>
      <c r="D1342">
        <f>IF(AND(B1337=1,B1338=1,B1339=1,B1340=1,B1341=1),"Yes","")</f>
        <v/>
      </c>
      <c r="E1342" t="inlineStr">
        <is>
          <t>No</t>
        </is>
      </c>
      <c r="F1342" t="inlineStr">
        <is>
          <t>No</t>
        </is>
      </c>
      <c r="G1342">
        <f>IF(F1342="Yes",1-B1342,B1342)</f>
        <v/>
      </c>
      <c r="H1342">
        <f>IF(E1342="Yes","",COUNTIFS($E$2:E1342,"No"))</f>
        <v/>
      </c>
      <c r="I1342">
        <f>IF(H1342="","",IF(H1342&lt;=128,"address",IF(H1342&lt;=600,"data1",IF(H1342&lt;=1264,"zero-run1",IF(H1342&lt;=1648,"data2",IF(H1342&lt;=2176,"zero-run2",IF(H1342&lt;=2192,"FCS","trailing")))))))</f>
        <v/>
      </c>
      <c r="J1342">
        <f>IFERROR(IF(AND(H1342&lt;&gt;"",H1342&gt;=129,H1342&lt;=2176),INDEX(Fields!$B$2:$B$206,MATCH(H1342-129,Fields!$D$2:$D$206,1)),""),"")</f>
        <v/>
      </c>
      <c r="K1342">
        <f>IFERROR(IF(AND(H1342&lt;&gt;"",H1342&gt;=129,H1342&lt;=2176),INDEX(Fields!$C$2:$C$206,MATCH(H1342-129,Fields!$D$2:$D$206,1)),""),"")</f>
        <v/>
      </c>
      <c r="L1342">
        <f>IFERROR(IF(AND(H1342&lt;&gt;"",H1342&gt;=129,H1342&lt;=2176),INDEX(Fields!$J$2:$J$206,MATCH(H1342-129,Fields!$D$2:$D$206,1)),""),"")</f>
        <v/>
      </c>
      <c r="M1342">
        <f>IFERROR(IF(AND(H1342&lt;&gt;"",H1342&gt;=129,H1342&lt;=2176),INDEX(Fields!$K$2:$K$206,MATCH(H1342-129,Fields!$D$2:$D$206,1)),""),"")</f>
        <v/>
      </c>
    </row>
    <row r="1343">
      <c r="A1343" t="n">
        <v>1341</v>
      </c>
      <c r="B1343" t="n">
        <v>0</v>
      </c>
      <c r="C1343" t="inlineStr">
        <is>
          <t>No</t>
        </is>
      </c>
      <c r="D1343">
        <f>IF(AND(B1338=1,B1339=1,B1340=1,B1341=1,B1342=1),"Yes","")</f>
        <v/>
      </c>
      <c r="E1343" t="inlineStr">
        <is>
          <t>No</t>
        </is>
      </c>
      <c r="F1343" t="inlineStr">
        <is>
          <t>No</t>
        </is>
      </c>
      <c r="G1343">
        <f>IF(F1343="Yes",1-B1343,B1343)</f>
        <v/>
      </c>
      <c r="H1343">
        <f>IF(E1343="Yes","",COUNTIFS($E$2:E1343,"No"))</f>
        <v/>
      </c>
      <c r="I1343">
        <f>IF(H1343="","",IF(H1343&lt;=128,"address",IF(H1343&lt;=600,"data1",IF(H1343&lt;=1264,"zero-run1",IF(H1343&lt;=1648,"data2",IF(H1343&lt;=2176,"zero-run2",IF(H1343&lt;=2192,"FCS","trailing")))))))</f>
        <v/>
      </c>
      <c r="J1343">
        <f>IFERROR(IF(AND(H1343&lt;&gt;"",H1343&gt;=129,H1343&lt;=2176),INDEX(Fields!$B$2:$B$206,MATCH(H1343-129,Fields!$D$2:$D$206,1)),""),"")</f>
        <v/>
      </c>
      <c r="K1343">
        <f>IFERROR(IF(AND(H1343&lt;&gt;"",H1343&gt;=129,H1343&lt;=2176),INDEX(Fields!$C$2:$C$206,MATCH(H1343-129,Fields!$D$2:$D$206,1)),""),"")</f>
        <v/>
      </c>
      <c r="L1343">
        <f>IFERROR(IF(AND(H1343&lt;&gt;"",H1343&gt;=129,H1343&lt;=2176),INDEX(Fields!$J$2:$J$206,MATCH(H1343-129,Fields!$D$2:$D$206,1)),""),"")</f>
        <v/>
      </c>
      <c r="M1343">
        <f>IFERROR(IF(AND(H1343&lt;&gt;"",H1343&gt;=129,H1343&lt;=2176),INDEX(Fields!$K$2:$K$206,MATCH(H1343-129,Fields!$D$2:$D$206,1)),""),"")</f>
        <v/>
      </c>
    </row>
    <row r="1344">
      <c r="A1344" t="n">
        <v>1342</v>
      </c>
      <c r="B1344" t="n">
        <v>0</v>
      </c>
      <c r="C1344" t="inlineStr">
        <is>
          <t>No</t>
        </is>
      </c>
      <c r="D1344">
        <f>IF(AND(B1339=1,B1340=1,B1341=1,B1342=1,B1343=1),"Yes","")</f>
        <v/>
      </c>
      <c r="E1344" t="inlineStr">
        <is>
          <t>No</t>
        </is>
      </c>
      <c r="F1344" t="inlineStr">
        <is>
          <t>No</t>
        </is>
      </c>
      <c r="G1344">
        <f>IF(F1344="Yes",1-B1344,B1344)</f>
        <v/>
      </c>
      <c r="H1344">
        <f>IF(E1344="Yes","",COUNTIFS($E$2:E1344,"No"))</f>
        <v/>
      </c>
      <c r="I1344">
        <f>IF(H1344="","",IF(H1344&lt;=128,"address",IF(H1344&lt;=600,"data1",IF(H1344&lt;=1264,"zero-run1",IF(H1344&lt;=1648,"data2",IF(H1344&lt;=2176,"zero-run2",IF(H1344&lt;=2192,"FCS","trailing")))))))</f>
        <v/>
      </c>
      <c r="J1344">
        <f>IFERROR(IF(AND(H1344&lt;&gt;"",H1344&gt;=129,H1344&lt;=2176),INDEX(Fields!$B$2:$B$206,MATCH(H1344-129,Fields!$D$2:$D$206,1)),""),"")</f>
        <v/>
      </c>
      <c r="K1344">
        <f>IFERROR(IF(AND(H1344&lt;&gt;"",H1344&gt;=129,H1344&lt;=2176),INDEX(Fields!$C$2:$C$206,MATCH(H1344-129,Fields!$D$2:$D$206,1)),""),"")</f>
        <v/>
      </c>
      <c r="L1344">
        <f>IFERROR(IF(AND(H1344&lt;&gt;"",H1344&gt;=129,H1344&lt;=2176),INDEX(Fields!$J$2:$J$206,MATCH(H1344-129,Fields!$D$2:$D$206,1)),""),"")</f>
        <v/>
      </c>
      <c r="M1344">
        <f>IFERROR(IF(AND(H1344&lt;&gt;"",H1344&gt;=129,H1344&lt;=2176),INDEX(Fields!$K$2:$K$206,MATCH(H1344-129,Fields!$D$2:$D$206,1)),""),"")</f>
        <v/>
      </c>
    </row>
    <row r="1345">
      <c r="A1345" t="n">
        <v>1343</v>
      </c>
      <c r="B1345" t="n">
        <v>0</v>
      </c>
      <c r="C1345" t="inlineStr">
        <is>
          <t>No</t>
        </is>
      </c>
      <c r="D1345">
        <f>IF(AND(B1340=1,B1341=1,B1342=1,B1343=1,B1344=1),"Yes","")</f>
        <v/>
      </c>
      <c r="E1345" t="inlineStr">
        <is>
          <t>No</t>
        </is>
      </c>
      <c r="F1345" t="inlineStr">
        <is>
          <t>No</t>
        </is>
      </c>
      <c r="G1345">
        <f>IF(F1345="Yes",1-B1345,B1345)</f>
        <v/>
      </c>
      <c r="H1345">
        <f>IF(E1345="Yes","",COUNTIFS($E$2:E1345,"No"))</f>
        <v/>
      </c>
      <c r="I1345">
        <f>IF(H1345="","",IF(H1345&lt;=128,"address",IF(H1345&lt;=600,"data1",IF(H1345&lt;=1264,"zero-run1",IF(H1345&lt;=1648,"data2",IF(H1345&lt;=2176,"zero-run2",IF(H1345&lt;=2192,"FCS","trailing")))))))</f>
        <v/>
      </c>
      <c r="J1345">
        <f>IFERROR(IF(AND(H1345&lt;&gt;"",H1345&gt;=129,H1345&lt;=2176),INDEX(Fields!$B$2:$B$206,MATCH(H1345-129,Fields!$D$2:$D$206,1)),""),"")</f>
        <v/>
      </c>
      <c r="K1345">
        <f>IFERROR(IF(AND(H1345&lt;&gt;"",H1345&gt;=129,H1345&lt;=2176),INDEX(Fields!$C$2:$C$206,MATCH(H1345-129,Fields!$D$2:$D$206,1)),""),"")</f>
        <v/>
      </c>
      <c r="L1345">
        <f>IFERROR(IF(AND(H1345&lt;&gt;"",H1345&gt;=129,H1345&lt;=2176),INDEX(Fields!$J$2:$J$206,MATCH(H1345-129,Fields!$D$2:$D$206,1)),""),"")</f>
        <v/>
      </c>
      <c r="M1345">
        <f>IFERROR(IF(AND(H1345&lt;&gt;"",H1345&gt;=129,H1345&lt;=2176),INDEX(Fields!$K$2:$K$206,MATCH(H1345-129,Fields!$D$2:$D$206,1)),""),"")</f>
        <v/>
      </c>
    </row>
    <row r="1346">
      <c r="A1346" t="n">
        <v>1344</v>
      </c>
      <c r="B1346" t="n">
        <v>0</v>
      </c>
      <c r="C1346" t="inlineStr">
        <is>
          <t>No</t>
        </is>
      </c>
      <c r="D1346">
        <f>IF(AND(B1341=1,B1342=1,B1343=1,B1344=1,B1345=1),"Yes","")</f>
        <v/>
      </c>
      <c r="E1346" t="inlineStr">
        <is>
          <t>No</t>
        </is>
      </c>
      <c r="F1346" t="inlineStr">
        <is>
          <t>No</t>
        </is>
      </c>
      <c r="G1346">
        <f>IF(F1346="Yes",1-B1346,B1346)</f>
        <v/>
      </c>
      <c r="H1346">
        <f>IF(E1346="Yes","",COUNTIFS($E$2:E1346,"No"))</f>
        <v/>
      </c>
      <c r="I1346">
        <f>IF(H1346="","",IF(H1346&lt;=128,"address",IF(H1346&lt;=600,"data1",IF(H1346&lt;=1264,"zero-run1",IF(H1346&lt;=1648,"data2",IF(H1346&lt;=2176,"zero-run2",IF(H1346&lt;=2192,"FCS","trailing")))))))</f>
        <v/>
      </c>
      <c r="J1346">
        <f>IFERROR(IF(AND(H1346&lt;&gt;"",H1346&gt;=129,H1346&lt;=2176),INDEX(Fields!$B$2:$B$206,MATCH(H1346-129,Fields!$D$2:$D$206,1)),""),"")</f>
        <v/>
      </c>
      <c r="K1346">
        <f>IFERROR(IF(AND(H1346&lt;&gt;"",H1346&gt;=129,H1346&lt;=2176),INDEX(Fields!$C$2:$C$206,MATCH(H1346-129,Fields!$D$2:$D$206,1)),""),"")</f>
        <v/>
      </c>
      <c r="L1346">
        <f>IFERROR(IF(AND(H1346&lt;&gt;"",H1346&gt;=129,H1346&lt;=2176),INDEX(Fields!$J$2:$J$206,MATCH(H1346-129,Fields!$D$2:$D$206,1)),""),"")</f>
        <v/>
      </c>
      <c r="M1346">
        <f>IFERROR(IF(AND(H1346&lt;&gt;"",H1346&gt;=129,H1346&lt;=2176),INDEX(Fields!$K$2:$K$206,MATCH(H1346-129,Fields!$D$2:$D$206,1)),""),"")</f>
        <v/>
      </c>
    </row>
    <row r="1347">
      <c r="A1347" t="n">
        <v>1345</v>
      </c>
      <c r="B1347" t="n">
        <v>1</v>
      </c>
      <c r="C1347" t="inlineStr">
        <is>
          <t>No</t>
        </is>
      </c>
      <c r="D1347">
        <f>IF(AND(B1342=1,B1343=1,B1344=1,B1345=1,B1346=1),"Yes","")</f>
        <v/>
      </c>
      <c r="E1347" t="inlineStr">
        <is>
          <t>No</t>
        </is>
      </c>
      <c r="F1347" t="inlineStr">
        <is>
          <t>No</t>
        </is>
      </c>
      <c r="G1347">
        <f>IF(F1347="Yes",1-B1347,B1347)</f>
        <v/>
      </c>
      <c r="H1347">
        <f>IF(E1347="Yes","",COUNTIFS($E$2:E1347,"No"))</f>
        <v/>
      </c>
      <c r="I1347">
        <f>IF(H1347="","",IF(H1347&lt;=128,"address",IF(H1347&lt;=600,"data1",IF(H1347&lt;=1264,"zero-run1",IF(H1347&lt;=1648,"data2",IF(H1347&lt;=2176,"zero-run2",IF(H1347&lt;=2192,"FCS","trailing")))))))</f>
        <v/>
      </c>
      <c r="J1347">
        <f>IFERROR(IF(AND(H1347&lt;&gt;"",H1347&gt;=129,H1347&lt;=2176),INDEX(Fields!$B$2:$B$206,MATCH(H1347-129,Fields!$D$2:$D$206,1)),""),"")</f>
        <v/>
      </c>
      <c r="K1347">
        <f>IFERROR(IF(AND(H1347&lt;&gt;"",H1347&gt;=129,H1347&lt;=2176),INDEX(Fields!$C$2:$C$206,MATCH(H1347-129,Fields!$D$2:$D$206,1)),""),"")</f>
        <v/>
      </c>
      <c r="L1347">
        <f>IFERROR(IF(AND(H1347&lt;&gt;"",H1347&gt;=129,H1347&lt;=2176),INDEX(Fields!$J$2:$J$206,MATCH(H1347-129,Fields!$D$2:$D$206,1)),""),"")</f>
        <v/>
      </c>
      <c r="M1347">
        <f>IFERROR(IF(AND(H1347&lt;&gt;"",H1347&gt;=129,H1347&lt;=2176),INDEX(Fields!$K$2:$K$206,MATCH(H1347-129,Fields!$D$2:$D$206,1)),""),"")</f>
        <v/>
      </c>
    </row>
    <row r="1348">
      <c r="A1348" t="n">
        <v>1346</v>
      </c>
      <c r="B1348" t="n">
        <v>0</v>
      </c>
      <c r="C1348" t="inlineStr">
        <is>
          <t>No</t>
        </is>
      </c>
      <c r="D1348">
        <f>IF(AND(B1343=1,B1344=1,B1345=1,B1346=1,B1347=1),"Yes","")</f>
        <v/>
      </c>
      <c r="E1348" t="inlineStr">
        <is>
          <t>No</t>
        </is>
      </c>
      <c r="F1348" t="inlineStr">
        <is>
          <t>No</t>
        </is>
      </c>
      <c r="G1348">
        <f>IF(F1348="Yes",1-B1348,B1348)</f>
        <v/>
      </c>
      <c r="H1348">
        <f>IF(E1348="Yes","",COUNTIFS($E$2:E1348,"No"))</f>
        <v/>
      </c>
      <c r="I1348">
        <f>IF(H1348="","",IF(H1348&lt;=128,"address",IF(H1348&lt;=600,"data1",IF(H1348&lt;=1264,"zero-run1",IF(H1348&lt;=1648,"data2",IF(H1348&lt;=2176,"zero-run2",IF(H1348&lt;=2192,"FCS","trailing")))))))</f>
        <v/>
      </c>
      <c r="J1348">
        <f>IFERROR(IF(AND(H1348&lt;&gt;"",H1348&gt;=129,H1348&lt;=2176),INDEX(Fields!$B$2:$B$206,MATCH(H1348-129,Fields!$D$2:$D$206,1)),""),"")</f>
        <v/>
      </c>
      <c r="K1348">
        <f>IFERROR(IF(AND(H1348&lt;&gt;"",H1348&gt;=129,H1348&lt;=2176),INDEX(Fields!$C$2:$C$206,MATCH(H1348-129,Fields!$D$2:$D$206,1)),""),"")</f>
        <v/>
      </c>
      <c r="L1348">
        <f>IFERROR(IF(AND(H1348&lt;&gt;"",H1348&gt;=129,H1348&lt;=2176),INDEX(Fields!$J$2:$J$206,MATCH(H1348-129,Fields!$D$2:$D$206,1)),""),"")</f>
        <v/>
      </c>
      <c r="M1348">
        <f>IFERROR(IF(AND(H1348&lt;&gt;"",H1348&gt;=129,H1348&lt;=2176),INDEX(Fields!$K$2:$K$206,MATCH(H1348-129,Fields!$D$2:$D$206,1)),""),"")</f>
        <v/>
      </c>
    </row>
    <row r="1349">
      <c r="A1349" t="n">
        <v>1347</v>
      </c>
      <c r="B1349" t="n">
        <v>0</v>
      </c>
      <c r="C1349" t="inlineStr">
        <is>
          <t>No</t>
        </is>
      </c>
      <c r="D1349">
        <f>IF(AND(B1344=1,B1345=1,B1346=1,B1347=1,B1348=1),"Yes","")</f>
        <v/>
      </c>
      <c r="E1349" t="inlineStr">
        <is>
          <t>No</t>
        </is>
      </c>
      <c r="F1349" t="inlineStr">
        <is>
          <t>No</t>
        </is>
      </c>
      <c r="G1349">
        <f>IF(F1349="Yes",1-B1349,B1349)</f>
        <v/>
      </c>
      <c r="H1349">
        <f>IF(E1349="Yes","",COUNTIFS($E$2:E1349,"No"))</f>
        <v/>
      </c>
      <c r="I1349">
        <f>IF(H1349="","",IF(H1349&lt;=128,"address",IF(H1349&lt;=600,"data1",IF(H1349&lt;=1264,"zero-run1",IF(H1349&lt;=1648,"data2",IF(H1349&lt;=2176,"zero-run2",IF(H1349&lt;=2192,"FCS","trailing")))))))</f>
        <v/>
      </c>
      <c r="J1349">
        <f>IFERROR(IF(AND(H1349&lt;&gt;"",H1349&gt;=129,H1349&lt;=2176),INDEX(Fields!$B$2:$B$206,MATCH(H1349-129,Fields!$D$2:$D$206,1)),""),"")</f>
        <v/>
      </c>
      <c r="K1349">
        <f>IFERROR(IF(AND(H1349&lt;&gt;"",H1349&gt;=129,H1349&lt;=2176),INDEX(Fields!$C$2:$C$206,MATCH(H1349-129,Fields!$D$2:$D$206,1)),""),"")</f>
        <v/>
      </c>
      <c r="L1349">
        <f>IFERROR(IF(AND(H1349&lt;&gt;"",H1349&gt;=129,H1349&lt;=2176),INDEX(Fields!$J$2:$J$206,MATCH(H1349-129,Fields!$D$2:$D$206,1)),""),"")</f>
        <v/>
      </c>
      <c r="M1349">
        <f>IFERROR(IF(AND(H1349&lt;&gt;"",H1349&gt;=129,H1349&lt;=2176),INDEX(Fields!$K$2:$K$206,MATCH(H1349-129,Fields!$D$2:$D$206,1)),""),"")</f>
        <v/>
      </c>
    </row>
    <row r="1350">
      <c r="A1350" t="n">
        <v>1348</v>
      </c>
      <c r="B1350" t="n">
        <v>0</v>
      </c>
      <c r="C1350" t="inlineStr">
        <is>
          <t>No</t>
        </is>
      </c>
      <c r="D1350">
        <f>IF(AND(B1345=1,B1346=1,B1347=1,B1348=1,B1349=1),"Yes","")</f>
        <v/>
      </c>
      <c r="E1350" t="inlineStr">
        <is>
          <t>No</t>
        </is>
      </c>
      <c r="F1350" t="inlineStr">
        <is>
          <t>No</t>
        </is>
      </c>
      <c r="G1350">
        <f>IF(F1350="Yes",1-B1350,B1350)</f>
        <v/>
      </c>
      <c r="H1350">
        <f>IF(E1350="Yes","",COUNTIFS($E$2:E1350,"No"))</f>
        <v/>
      </c>
      <c r="I1350">
        <f>IF(H1350="","",IF(H1350&lt;=128,"address",IF(H1350&lt;=600,"data1",IF(H1350&lt;=1264,"zero-run1",IF(H1350&lt;=1648,"data2",IF(H1350&lt;=2176,"zero-run2",IF(H1350&lt;=2192,"FCS","trailing")))))))</f>
        <v/>
      </c>
      <c r="J1350">
        <f>IFERROR(IF(AND(H1350&lt;&gt;"",H1350&gt;=129,H1350&lt;=2176),INDEX(Fields!$B$2:$B$206,MATCH(H1350-129,Fields!$D$2:$D$206,1)),""),"")</f>
        <v/>
      </c>
      <c r="K1350">
        <f>IFERROR(IF(AND(H1350&lt;&gt;"",H1350&gt;=129,H1350&lt;=2176),INDEX(Fields!$C$2:$C$206,MATCH(H1350-129,Fields!$D$2:$D$206,1)),""),"")</f>
        <v/>
      </c>
      <c r="L1350">
        <f>IFERROR(IF(AND(H1350&lt;&gt;"",H1350&gt;=129,H1350&lt;=2176),INDEX(Fields!$J$2:$J$206,MATCH(H1350-129,Fields!$D$2:$D$206,1)),""),"")</f>
        <v/>
      </c>
      <c r="M1350">
        <f>IFERROR(IF(AND(H1350&lt;&gt;"",H1350&gt;=129,H1350&lt;=2176),INDEX(Fields!$K$2:$K$206,MATCH(H1350-129,Fields!$D$2:$D$206,1)),""),"")</f>
        <v/>
      </c>
    </row>
    <row r="1351">
      <c r="A1351" t="n">
        <v>1349</v>
      </c>
      <c r="B1351" t="n">
        <v>0</v>
      </c>
      <c r="C1351" t="inlineStr">
        <is>
          <t>No</t>
        </is>
      </c>
      <c r="D1351">
        <f>IF(AND(B1346=1,B1347=1,B1348=1,B1349=1,B1350=1),"Yes","")</f>
        <v/>
      </c>
      <c r="E1351" t="inlineStr">
        <is>
          <t>No</t>
        </is>
      </c>
      <c r="F1351" t="inlineStr">
        <is>
          <t>No</t>
        </is>
      </c>
      <c r="G1351">
        <f>IF(F1351="Yes",1-B1351,B1351)</f>
        <v/>
      </c>
      <c r="H1351">
        <f>IF(E1351="Yes","",COUNTIFS($E$2:E1351,"No"))</f>
        <v/>
      </c>
      <c r="I1351">
        <f>IF(H1351="","",IF(H1351&lt;=128,"address",IF(H1351&lt;=600,"data1",IF(H1351&lt;=1264,"zero-run1",IF(H1351&lt;=1648,"data2",IF(H1351&lt;=2176,"zero-run2",IF(H1351&lt;=2192,"FCS","trailing")))))))</f>
        <v/>
      </c>
      <c r="J1351">
        <f>IFERROR(IF(AND(H1351&lt;&gt;"",H1351&gt;=129,H1351&lt;=2176),INDEX(Fields!$B$2:$B$206,MATCH(H1351-129,Fields!$D$2:$D$206,1)),""),"")</f>
        <v/>
      </c>
      <c r="K1351">
        <f>IFERROR(IF(AND(H1351&lt;&gt;"",H1351&gt;=129,H1351&lt;=2176),INDEX(Fields!$C$2:$C$206,MATCH(H1351-129,Fields!$D$2:$D$206,1)),""),"")</f>
        <v/>
      </c>
      <c r="L1351">
        <f>IFERROR(IF(AND(H1351&lt;&gt;"",H1351&gt;=129,H1351&lt;=2176),INDEX(Fields!$J$2:$J$206,MATCH(H1351-129,Fields!$D$2:$D$206,1)),""),"")</f>
        <v/>
      </c>
      <c r="M1351">
        <f>IFERROR(IF(AND(H1351&lt;&gt;"",H1351&gt;=129,H1351&lt;=2176),INDEX(Fields!$K$2:$K$206,MATCH(H1351-129,Fields!$D$2:$D$206,1)),""),"")</f>
        <v/>
      </c>
    </row>
    <row r="1352">
      <c r="A1352" t="n">
        <v>1350</v>
      </c>
      <c r="B1352" t="n">
        <v>1</v>
      </c>
      <c r="C1352" t="inlineStr">
        <is>
          <t>No</t>
        </is>
      </c>
      <c r="D1352">
        <f>IF(AND(B1347=1,B1348=1,B1349=1,B1350=1,B1351=1),"Yes","")</f>
        <v/>
      </c>
      <c r="E1352" t="inlineStr">
        <is>
          <t>No</t>
        </is>
      </c>
      <c r="F1352" t="inlineStr">
        <is>
          <t>No</t>
        </is>
      </c>
      <c r="G1352">
        <f>IF(F1352="Yes",1-B1352,B1352)</f>
        <v/>
      </c>
      <c r="H1352">
        <f>IF(E1352="Yes","",COUNTIFS($E$2:E1352,"No"))</f>
        <v/>
      </c>
      <c r="I1352">
        <f>IF(H1352="","",IF(H1352&lt;=128,"address",IF(H1352&lt;=600,"data1",IF(H1352&lt;=1264,"zero-run1",IF(H1352&lt;=1648,"data2",IF(H1352&lt;=2176,"zero-run2",IF(H1352&lt;=2192,"FCS","trailing")))))))</f>
        <v/>
      </c>
      <c r="J1352">
        <f>IFERROR(IF(AND(H1352&lt;&gt;"",H1352&gt;=129,H1352&lt;=2176),INDEX(Fields!$B$2:$B$206,MATCH(H1352-129,Fields!$D$2:$D$206,1)),""),"")</f>
        <v/>
      </c>
      <c r="K1352">
        <f>IFERROR(IF(AND(H1352&lt;&gt;"",H1352&gt;=129,H1352&lt;=2176),INDEX(Fields!$C$2:$C$206,MATCH(H1352-129,Fields!$D$2:$D$206,1)),""),"")</f>
        <v/>
      </c>
      <c r="L1352">
        <f>IFERROR(IF(AND(H1352&lt;&gt;"",H1352&gt;=129,H1352&lt;=2176),INDEX(Fields!$J$2:$J$206,MATCH(H1352-129,Fields!$D$2:$D$206,1)),""),"")</f>
        <v/>
      </c>
      <c r="M1352">
        <f>IFERROR(IF(AND(H1352&lt;&gt;"",H1352&gt;=129,H1352&lt;=2176),INDEX(Fields!$K$2:$K$206,MATCH(H1352-129,Fields!$D$2:$D$206,1)),""),"")</f>
        <v/>
      </c>
    </row>
    <row r="1353">
      <c r="A1353" t="n">
        <v>1351</v>
      </c>
      <c r="B1353" t="n">
        <v>0</v>
      </c>
      <c r="C1353" t="inlineStr">
        <is>
          <t>No</t>
        </is>
      </c>
      <c r="D1353">
        <f>IF(AND(B1348=1,B1349=1,B1350=1,B1351=1,B1352=1),"Yes","")</f>
        <v/>
      </c>
      <c r="E1353" t="inlineStr">
        <is>
          <t>No</t>
        </is>
      </c>
      <c r="F1353" t="inlineStr">
        <is>
          <t>No</t>
        </is>
      </c>
      <c r="G1353">
        <f>IF(F1353="Yes",1-B1353,B1353)</f>
        <v/>
      </c>
      <c r="H1353">
        <f>IF(E1353="Yes","",COUNTIFS($E$2:E1353,"No"))</f>
        <v/>
      </c>
      <c r="I1353">
        <f>IF(H1353="","",IF(H1353&lt;=128,"address",IF(H1353&lt;=600,"data1",IF(H1353&lt;=1264,"zero-run1",IF(H1353&lt;=1648,"data2",IF(H1353&lt;=2176,"zero-run2",IF(H1353&lt;=2192,"FCS","trailing")))))))</f>
        <v/>
      </c>
      <c r="J1353">
        <f>IFERROR(IF(AND(H1353&lt;&gt;"",H1353&gt;=129,H1353&lt;=2176),INDEX(Fields!$B$2:$B$206,MATCH(H1353-129,Fields!$D$2:$D$206,1)),""),"")</f>
        <v/>
      </c>
      <c r="K1353">
        <f>IFERROR(IF(AND(H1353&lt;&gt;"",H1353&gt;=129,H1353&lt;=2176),INDEX(Fields!$C$2:$C$206,MATCH(H1353-129,Fields!$D$2:$D$206,1)),""),"")</f>
        <v/>
      </c>
      <c r="L1353">
        <f>IFERROR(IF(AND(H1353&lt;&gt;"",H1353&gt;=129,H1353&lt;=2176),INDEX(Fields!$J$2:$J$206,MATCH(H1353-129,Fields!$D$2:$D$206,1)),""),"")</f>
        <v/>
      </c>
      <c r="M1353">
        <f>IFERROR(IF(AND(H1353&lt;&gt;"",H1353&gt;=129,H1353&lt;=2176),INDEX(Fields!$K$2:$K$206,MATCH(H1353-129,Fields!$D$2:$D$206,1)),""),"")</f>
        <v/>
      </c>
    </row>
    <row r="1354">
      <c r="A1354" t="n">
        <v>1352</v>
      </c>
      <c r="B1354" t="n">
        <v>1</v>
      </c>
      <c r="C1354" t="inlineStr">
        <is>
          <t>No</t>
        </is>
      </c>
      <c r="D1354">
        <f>IF(AND(B1349=1,B1350=1,B1351=1,B1352=1,B1353=1),"Yes","")</f>
        <v/>
      </c>
      <c r="E1354" t="inlineStr">
        <is>
          <t>No</t>
        </is>
      </c>
      <c r="F1354" t="inlineStr">
        <is>
          <t>No</t>
        </is>
      </c>
      <c r="G1354">
        <f>IF(F1354="Yes",1-B1354,B1354)</f>
        <v/>
      </c>
      <c r="H1354">
        <f>IF(E1354="Yes","",COUNTIFS($E$2:E1354,"No"))</f>
        <v/>
      </c>
      <c r="I1354">
        <f>IF(H1354="","",IF(H1354&lt;=128,"address",IF(H1354&lt;=600,"data1",IF(H1354&lt;=1264,"zero-run1",IF(H1354&lt;=1648,"data2",IF(H1354&lt;=2176,"zero-run2",IF(H1354&lt;=2192,"FCS","trailing")))))))</f>
        <v/>
      </c>
      <c r="J1354">
        <f>IFERROR(IF(AND(H1354&lt;&gt;"",H1354&gt;=129,H1354&lt;=2176),INDEX(Fields!$B$2:$B$206,MATCH(H1354-129,Fields!$D$2:$D$206,1)),""),"")</f>
        <v/>
      </c>
      <c r="K1354">
        <f>IFERROR(IF(AND(H1354&lt;&gt;"",H1354&gt;=129,H1354&lt;=2176),INDEX(Fields!$C$2:$C$206,MATCH(H1354-129,Fields!$D$2:$D$206,1)),""),"")</f>
        <v/>
      </c>
      <c r="L1354">
        <f>IFERROR(IF(AND(H1354&lt;&gt;"",H1354&gt;=129,H1354&lt;=2176),INDEX(Fields!$J$2:$J$206,MATCH(H1354-129,Fields!$D$2:$D$206,1)),""),"")</f>
        <v/>
      </c>
      <c r="M1354">
        <f>IFERROR(IF(AND(H1354&lt;&gt;"",H1354&gt;=129,H1354&lt;=2176),INDEX(Fields!$K$2:$K$206,MATCH(H1354-129,Fields!$D$2:$D$206,1)),""),"")</f>
        <v/>
      </c>
    </row>
    <row r="1355">
      <c r="A1355" t="n">
        <v>1353</v>
      </c>
      <c r="B1355" t="n">
        <v>1</v>
      </c>
      <c r="C1355" t="inlineStr">
        <is>
          <t>No</t>
        </is>
      </c>
      <c r="D1355">
        <f>IF(AND(B1350=1,B1351=1,B1352=1,B1353=1,B1354=1),"Yes","")</f>
        <v/>
      </c>
      <c r="E1355" t="inlineStr">
        <is>
          <t>No</t>
        </is>
      </c>
      <c r="F1355" t="inlineStr">
        <is>
          <t>No</t>
        </is>
      </c>
      <c r="G1355">
        <f>IF(F1355="Yes",1-B1355,B1355)</f>
        <v/>
      </c>
      <c r="H1355">
        <f>IF(E1355="Yes","",COUNTIFS($E$2:E1355,"No"))</f>
        <v/>
      </c>
      <c r="I1355">
        <f>IF(H1355="","",IF(H1355&lt;=128,"address",IF(H1355&lt;=600,"data1",IF(H1355&lt;=1264,"zero-run1",IF(H1355&lt;=1648,"data2",IF(H1355&lt;=2176,"zero-run2",IF(H1355&lt;=2192,"FCS","trailing")))))))</f>
        <v/>
      </c>
      <c r="J1355">
        <f>IFERROR(IF(AND(H1355&lt;&gt;"",H1355&gt;=129,H1355&lt;=2176),INDEX(Fields!$B$2:$B$206,MATCH(H1355-129,Fields!$D$2:$D$206,1)),""),"")</f>
        <v/>
      </c>
      <c r="K1355">
        <f>IFERROR(IF(AND(H1355&lt;&gt;"",H1355&gt;=129,H1355&lt;=2176),INDEX(Fields!$C$2:$C$206,MATCH(H1355-129,Fields!$D$2:$D$206,1)),""),"")</f>
        <v/>
      </c>
      <c r="L1355">
        <f>IFERROR(IF(AND(H1355&lt;&gt;"",H1355&gt;=129,H1355&lt;=2176),INDEX(Fields!$J$2:$J$206,MATCH(H1355-129,Fields!$D$2:$D$206,1)),""),"")</f>
        <v/>
      </c>
      <c r="M1355">
        <f>IFERROR(IF(AND(H1355&lt;&gt;"",H1355&gt;=129,H1355&lt;=2176),INDEX(Fields!$K$2:$K$206,MATCH(H1355-129,Fields!$D$2:$D$206,1)),""),"")</f>
        <v/>
      </c>
    </row>
    <row r="1356">
      <c r="A1356" t="n">
        <v>1354</v>
      </c>
      <c r="B1356" t="n">
        <v>0</v>
      </c>
      <c r="C1356" t="inlineStr">
        <is>
          <t>No</t>
        </is>
      </c>
      <c r="D1356">
        <f>IF(AND(B1351=1,B1352=1,B1353=1,B1354=1,B1355=1),"Yes","")</f>
        <v/>
      </c>
      <c r="E1356" t="inlineStr">
        <is>
          <t>No</t>
        </is>
      </c>
      <c r="F1356" t="inlineStr">
        <is>
          <t>No</t>
        </is>
      </c>
      <c r="G1356">
        <f>IF(F1356="Yes",1-B1356,B1356)</f>
        <v/>
      </c>
      <c r="H1356">
        <f>IF(E1356="Yes","",COUNTIFS($E$2:E1356,"No"))</f>
        <v/>
      </c>
      <c r="I1356">
        <f>IF(H1356="","",IF(H1356&lt;=128,"address",IF(H1356&lt;=600,"data1",IF(H1356&lt;=1264,"zero-run1",IF(H1356&lt;=1648,"data2",IF(H1356&lt;=2176,"zero-run2",IF(H1356&lt;=2192,"FCS","trailing")))))))</f>
        <v/>
      </c>
      <c r="J1356">
        <f>IFERROR(IF(AND(H1356&lt;&gt;"",H1356&gt;=129,H1356&lt;=2176),INDEX(Fields!$B$2:$B$206,MATCH(H1356-129,Fields!$D$2:$D$206,1)),""),"")</f>
        <v/>
      </c>
      <c r="K1356">
        <f>IFERROR(IF(AND(H1356&lt;&gt;"",H1356&gt;=129,H1356&lt;=2176),INDEX(Fields!$C$2:$C$206,MATCH(H1356-129,Fields!$D$2:$D$206,1)),""),"")</f>
        <v/>
      </c>
      <c r="L1356">
        <f>IFERROR(IF(AND(H1356&lt;&gt;"",H1356&gt;=129,H1356&lt;=2176),INDEX(Fields!$J$2:$J$206,MATCH(H1356-129,Fields!$D$2:$D$206,1)),""),"")</f>
        <v/>
      </c>
      <c r="M1356">
        <f>IFERROR(IF(AND(H1356&lt;&gt;"",H1356&gt;=129,H1356&lt;=2176),INDEX(Fields!$K$2:$K$206,MATCH(H1356-129,Fields!$D$2:$D$206,1)),""),"")</f>
        <v/>
      </c>
    </row>
    <row r="1357">
      <c r="A1357" t="n">
        <v>1355</v>
      </c>
      <c r="B1357" t="n">
        <v>0</v>
      </c>
      <c r="C1357" t="inlineStr">
        <is>
          <t>No</t>
        </is>
      </c>
      <c r="D1357">
        <f>IF(AND(B1352=1,B1353=1,B1354=1,B1355=1,B1356=1),"Yes","")</f>
        <v/>
      </c>
      <c r="E1357" t="inlineStr">
        <is>
          <t>No</t>
        </is>
      </c>
      <c r="F1357" t="inlineStr">
        <is>
          <t>No</t>
        </is>
      </c>
      <c r="G1357">
        <f>IF(F1357="Yes",1-B1357,B1357)</f>
        <v/>
      </c>
      <c r="H1357">
        <f>IF(E1357="Yes","",COUNTIFS($E$2:E1357,"No"))</f>
        <v/>
      </c>
      <c r="I1357">
        <f>IF(H1357="","",IF(H1357&lt;=128,"address",IF(H1357&lt;=600,"data1",IF(H1357&lt;=1264,"zero-run1",IF(H1357&lt;=1648,"data2",IF(H1357&lt;=2176,"zero-run2",IF(H1357&lt;=2192,"FCS","trailing")))))))</f>
        <v/>
      </c>
      <c r="J1357">
        <f>IFERROR(IF(AND(H1357&lt;&gt;"",H1357&gt;=129,H1357&lt;=2176),INDEX(Fields!$B$2:$B$206,MATCH(H1357-129,Fields!$D$2:$D$206,1)),""),"")</f>
        <v/>
      </c>
      <c r="K1357">
        <f>IFERROR(IF(AND(H1357&lt;&gt;"",H1357&gt;=129,H1357&lt;=2176),INDEX(Fields!$C$2:$C$206,MATCH(H1357-129,Fields!$D$2:$D$206,1)),""),"")</f>
        <v/>
      </c>
      <c r="L1357">
        <f>IFERROR(IF(AND(H1357&lt;&gt;"",H1357&gt;=129,H1357&lt;=2176),INDEX(Fields!$J$2:$J$206,MATCH(H1357-129,Fields!$D$2:$D$206,1)),""),"")</f>
        <v/>
      </c>
      <c r="M1357">
        <f>IFERROR(IF(AND(H1357&lt;&gt;"",H1357&gt;=129,H1357&lt;=2176),INDEX(Fields!$K$2:$K$206,MATCH(H1357-129,Fields!$D$2:$D$206,1)),""),"")</f>
        <v/>
      </c>
    </row>
    <row r="1358">
      <c r="A1358" t="n">
        <v>1356</v>
      </c>
      <c r="B1358" t="n">
        <v>0</v>
      </c>
      <c r="C1358" t="inlineStr">
        <is>
          <t>No</t>
        </is>
      </c>
      <c r="D1358">
        <f>IF(AND(B1353=1,B1354=1,B1355=1,B1356=1,B1357=1),"Yes","")</f>
        <v/>
      </c>
      <c r="E1358" t="inlineStr">
        <is>
          <t>No</t>
        </is>
      </c>
      <c r="F1358" t="inlineStr">
        <is>
          <t>No</t>
        </is>
      </c>
      <c r="G1358">
        <f>IF(F1358="Yes",1-B1358,B1358)</f>
        <v/>
      </c>
      <c r="H1358">
        <f>IF(E1358="Yes","",COUNTIFS($E$2:E1358,"No"))</f>
        <v/>
      </c>
      <c r="I1358">
        <f>IF(H1358="","",IF(H1358&lt;=128,"address",IF(H1358&lt;=600,"data1",IF(H1358&lt;=1264,"zero-run1",IF(H1358&lt;=1648,"data2",IF(H1358&lt;=2176,"zero-run2",IF(H1358&lt;=2192,"FCS","trailing")))))))</f>
        <v/>
      </c>
      <c r="J1358">
        <f>IFERROR(IF(AND(H1358&lt;&gt;"",H1358&gt;=129,H1358&lt;=2176),INDEX(Fields!$B$2:$B$206,MATCH(H1358-129,Fields!$D$2:$D$206,1)),""),"")</f>
        <v/>
      </c>
      <c r="K1358">
        <f>IFERROR(IF(AND(H1358&lt;&gt;"",H1358&gt;=129,H1358&lt;=2176),INDEX(Fields!$C$2:$C$206,MATCH(H1358-129,Fields!$D$2:$D$206,1)),""),"")</f>
        <v/>
      </c>
      <c r="L1358">
        <f>IFERROR(IF(AND(H1358&lt;&gt;"",H1358&gt;=129,H1358&lt;=2176),INDEX(Fields!$J$2:$J$206,MATCH(H1358-129,Fields!$D$2:$D$206,1)),""),"")</f>
        <v/>
      </c>
      <c r="M1358">
        <f>IFERROR(IF(AND(H1358&lt;&gt;"",H1358&gt;=129,H1358&lt;=2176),INDEX(Fields!$K$2:$K$206,MATCH(H1358-129,Fields!$D$2:$D$206,1)),""),"")</f>
        <v/>
      </c>
    </row>
    <row r="1359">
      <c r="A1359" t="n">
        <v>1357</v>
      </c>
      <c r="B1359" t="n">
        <v>0</v>
      </c>
      <c r="C1359" t="inlineStr">
        <is>
          <t>No</t>
        </is>
      </c>
      <c r="D1359">
        <f>IF(AND(B1354=1,B1355=1,B1356=1,B1357=1,B1358=1),"Yes","")</f>
        <v/>
      </c>
      <c r="E1359" t="inlineStr">
        <is>
          <t>No</t>
        </is>
      </c>
      <c r="F1359" t="inlineStr">
        <is>
          <t>No</t>
        </is>
      </c>
      <c r="G1359">
        <f>IF(F1359="Yes",1-B1359,B1359)</f>
        <v/>
      </c>
      <c r="H1359">
        <f>IF(E1359="Yes","",COUNTIFS($E$2:E1359,"No"))</f>
        <v/>
      </c>
      <c r="I1359">
        <f>IF(H1359="","",IF(H1359&lt;=128,"address",IF(H1359&lt;=600,"data1",IF(H1359&lt;=1264,"zero-run1",IF(H1359&lt;=1648,"data2",IF(H1359&lt;=2176,"zero-run2",IF(H1359&lt;=2192,"FCS","trailing")))))))</f>
        <v/>
      </c>
      <c r="J1359">
        <f>IFERROR(IF(AND(H1359&lt;&gt;"",H1359&gt;=129,H1359&lt;=2176),INDEX(Fields!$B$2:$B$206,MATCH(H1359-129,Fields!$D$2:$D$206,1)),""),"")</f>
        <v/>
      </c>
      <c r="K1359">
        <f>IFERROR(IF(AND(H1359&lt;&gt;"",H1359&gt;=129,H1359&lt;=2176),INDEX(Fields!$C$2:$C$206,MATCH(H1359-129,Fields!$D$2:$D$206,1)),""),"")</f>
        <v/>
      </c>
      <c r="L1359">
        <f>IFERROR(IF(AND(H1359&lt;&gt;"",H1359&gt;=129,H1359&lt;=2176),INDEX(Fields!$J$2:$J$206,MATCH(H1359-129,Fields!$D$2:$D$206,1)),""),"")</f>
        <v/>
      </c>
      <c r="M1359">
        <f>IFERROR(IF(AND(H1359&lt;&gt;"",H1359&gt;=129,H1359&lt;=2176),INDEX(Fields!$K$2:$K$206,MATCH(H1359-129,Fields!$D$2:$D$206,1)),""),"")</f>
        <v/>
      </c>
    </row>
    <row r="1360">
      <c r="A1360" t="n">
        <v>1358</v>
      </c>
      <c r="B1360" t="n">
        <v>0</v>
      </c>
      <c r="C1360" t="inlineStr">
        <is>
          <t>No</t>
        </is>
      </c>
      <c r="D1360">
        <f>IF(AND(B1355=1,B1356=1,B1357=1,B1358=1,B1359=1),"Yes","")</f>
        <v/>
      </c>
      <c r="E1360" t="inlineStr">
        <is>
          <t>No</t>
        </is>
      </c>
      <c r="F1360" t="inlineStr">
        <is>
          <t>No</t>
        </is>
      </c>
      <c r="G1360">
        <f>IF(F1360="Yes",1-B1360,B1360)</f>
        <v/>
      </c>
      <c r="H1360">
        <f>IF(E1360="Yes","",COUNTIFS($E$2:E1360,"No"))</f>
        <v/>
      </c>
      <c r="I1360">
        <f>IF(H1360="","",IF(H1360&lt;=128,"address",IF(H1360&lt;=600,"data1",IF(H1360&lt;=1264,"zero-run1",IF(H1360&lt;=1648,"data2",IF(H1360&lt;=2176,"zero-run2",IF(H1360&lt;=2192,"FCS","trailing")))))))</f>
        <v/>
      </c>
      <c r="J1360">
        <f>IFERROR(IF(AND(H1360&lt;&gt;"",H1360&gt;=129,H1360&lt;=2176),INDEX(Fields!$B$2:$B$206,MATCH(H1360-129,Fields!$D$2:$D$206,1)),""),"")</f>
        <v/>
      </c>
      <c r="K1360">
        <f>IFERROR(IF(AND(H1360&lt;&gt;"",H1360&gt;=129,H1360&lt;=2176),INDEX(Fields!$C$2:$C$206,MATCH(H1360-129,Fields!$D$2:$D$206,1)),""),"")</f>
        <v/>
      </c>
      <c r="L1360">
        <f>IFERROR(IF(AND(H1360&lt;&gt;"",H1360&gt;=129,H1360&lt;=2176),INDEX(Fields!$J$2:$J$206,MATCH(H1360-129,Fields!$D$2:$D$206,1)),""),"")</f>
        <v/>
      </c>
      <c r="M1360">
        <f>IFERROR(IF(AND(H1360&lt;&gt;"",H1360&gt;=129,H1360&lt;=2176),INDEX(Fields!$K$2:$K$206,MATCH(H1360-129,Fields!$D$2:$D$206,1)),""),"")</f>
        <v/>
      </c>
    </row>
    <row r="1361">
      <c r="A1361" t="n">
        <v>1359</v>
      </c>
      <c r="B1361" t="n">
        <v>0</v>
      </c>
      <c r="C1361" t="inlineStr">
        <is>
          <t>No</t>
        </is>
      </c>
      <c r="D1361">
        <f>IF(AND(B1356=1,B1357=1,B1358=1,B1359=1,B1360=1),"Yes","")</f>
        <v/>
      </c>
      <c r="E1361" t="inlineStr">
        <is>
          <t>No</t>
        </is>
      </c>
      <c r="F1361" t="inlineStr">
        <is>
          <t>No</t>
        </is>
      </c>
      <c r="G1361">
        <f>IF(F1361="Yes",1-B1361,B1361)</f>
        <v/>
      </c>
      <c r="H1361">
        <f>IF(E1361="Yes","",COUNTIFS($E$2:E1361,"No"))</f>
        <v/>
      </c>
      <c r="I1361">
        <f>IF(H1361="","",IF(H1361&lt;=128,"address",IF(H1361&lt;=600,"data1",IF(H1361&lt;=1264,"zero-run1",IF(H1361&lt;=1648,"data2",IF(H1361&lt;=2176,"zero-run2",IF(H1361&lt;=2192,"FCS","trailing")))))))</f>
        <v/>
      </c>
      <c r="J1361">
        <f>IFERROR(IF(AND(H1361&lt;&gt;"",H1361&gt;=129,H1361&lt;=2176),INDEX(Fields!$B$2:$B$206,MATCH(H1361-129,Fields!$D$2:$D$206,1)),""),"")</f>
        <v/>
      </c>
      <c r="K1361">
        <f>IFERROR(IF(AND(H1361&lt;&gt;"",H1361&gt;=129,H1361&lt;=2176),INDEX(Fields!$C$2:$C$206,MATCH(H1361-129,Fields!$D$2:$D$206,1)),""),"")</f>
        <v/>
      </c>
      <c r="L1361">
        <f>IFERROR(IF(AND(H1361&lt;&gt;"",H1361&gt;=129,H1361&lt;=2176),INDEX(Fields!$J$2:$J$206,MATCH(H1361-129,Fields!$D$2:$D$206,1)),""),"")</f>
        <v/>
      </c>
      <c r="M1361">
        <f>IFERROR(IF(AND(H1361&lt;&gt;"",H1361&gt;=129,H1361&lt;=2176),INDEX(Fields!$K$2:$K$206,MATCH(H1361-129,Fields!$D$2:$D$206,1)),""),"")</f>
        <v/>
      </c>
    </row>
    <row r="1362">
      <c r="A1362" t="n">
        <v>1360</v>
      </c>
      <c r="B1362" t="n">
        <v>0</v>
      </c>
      <c r="C1362" t="inlineStr">
        <is>
          <t>No</t>
        </is>
      </c>
      <c r="D1362">
        <f>IF(AND(B1357=1,B1358=1,B1359=1,B1360=1,B1361=1),"Yes","")</f>
        <v/>
      </c>
      <c r="E1362" t="inlineStr">
        <is>
          <t>No</t>
        </is>
      </c>
      <c r="F1362" t="inlineStr">
        <is>
          <t>No</t>
        </is>
      </c>
      <c r="G1362">
        <f>IF(F1362="Yes",1-B1362,B1362)</f>
        <v/>
      </c>
      <c r="H1362">
        <f>IF(E1362="Yes","",COUNTIFS($E$2:E1362,"No"))</f>
        <v/>
      </c>
      <c r="I1362">
        <f>IF(H1362="","",IF(H1362&lt;=128,"address",IF(H1362&lt;=600,"data1",IF(H1362&lt;=1264,"zero-run1",IF(H1362&lt;=1648,"data2",IF(H1362&lt;=2176,"zero-run2",IF(H1362&lt;=2192,"FCS","trailing")))))))</f>
        <v/>
      </c>
      <c r="J1362">
        <f>IFERROR(IF(AND(H1362&lt;&gt;"",H1362&gt;=129,H1362&lt;=2176),INDEX(Fields!$B$2:$B$206,MATCH(H1362-129,Fields!$D$2:$D$206,1)),""),"")</f>
        <v/>
      </c>
      <c r="K1362">
        <f>IFERROR(IF(AND(H1362&lt;&gt;"",H1362&gt;=129,H1362&lt;=2176),INDEX(Fields!$C$2:$C$206,MATCH(H1362-129,Fields!$D$2:$D$206,1)),""),"")</f>
        <v/>
      </c>
      <c r="L1362">
        <f>IFERROR(IF(AND(H1362&lt;&gt;"",H1362&gt;=129,H1362&lt;=2176),INDEX(Fields!$J$2:$J$206,MATCH(H1362-129,Fields!$D$2:$D$206,1)),""),"")</f>
        <v/>
      </c>
      <c r="M1362">
        <f>IFERROR(IF(AND(H1362&lt;&gt;"",H1362&gt;=129,H1362&lt;=2176),INDEX(Fields!$K$2:$K$206,MATCH(H1362-129,Fields!$D$2:$D$206,1)),""),"")</f>
        <v/>
      </c>
    </row>
    <row r="1363">
      <c r="A1363" t="n">
        <v>1361</v>
      </c>
      <c r="B1363" t="n">
        <v>0</v>
      </c>
      <c r="C1363" t="inlineStr">
        <is>
          <t>No</t>
        </is>
      </c>
      <c r="D1363">
        <f>IF(AND(B1358=1,B1359=1,B1360=1,B1361=1,B1362=1),"Yes","")</f>
        <v/>
      </c>
      <c r="E1363" t="inlineStr">
        <is>
          <t>No</t>
        </is>
      </c>
      <c r="F1363" t="inlineStr">
        <is>
          <t>No</t>
        </is>
      </c>
      <c r="G1363">
        <f>IF(F1363="Yes",1-B1363,B1363)</f>
        <v/>
      </c>
      <c r="H1363">
        <f>IF(E1363="Yes","",COUNTIFS($E$2:E1363,"No"))</f>
        <v/>
      </c>
      <c r="I1363">
        <f>IF(H1363="","",IF(H1363&lt;=128,"address",IF(H1363&lt;=600,"data1",IF(H1363&lt;=1264,"zero-run1",IF(H1363&lt;=1648,"data2",IF(H1363&lt;=2176,"zero-run2",IF(H1363&lt;=2192,"FCS","trailing")))))))</f>
        <v/>
      </c>
      <c r="J1363">
        <f>IFERROR(IF(AND(H1363&lt;&gt;"",H1363&gt;=129,H1363&lt;=2176),INDEX(Fields!$B$2:$B$206,MATCH(H1363-129,Fields!$D$2:$D$206,1)),""),"")</f>
        <v/>
      </c>
      <c r="K1363">
        <f>IFERROR(IF(AND(H1363&lt;&gt;"",H1363&gt;=129,H1363&lt;=2176),INDEX(Fields!$C$2:$C$206,MATCH(H1363-129,Fields!$D$2:$D$206,1)),""),"")</f>
        <v/>
      </c>
      <c r="L1363">
        <f>IFERROR(IF(AND(H1363&lt;&gt;"",H1363&gt;=129,H1363&lt;=2176),INDEX(Fields!$J$2:$J$206,MATCH(H1363-129,Fields!$D$2:$D$206,1)),""),"")</f>
        <v/>
      </c>
      <c r="M1363">
        <f>IFERROR(IF(AND(H1363&lt;&gt;"",H1363&gt;=129,H1363&lt;=2176),INDEX(Fields!$K$2:$K$206,MATCH(H1363-129,Fields!$D$2:$D$206,1)),""),"")</f>
        <v/>
      </c>
    </row>
    <row r="1364">
      <c r="A1364" t="n">
        <v>1362</v>
      </c>
      <c r="B1364" t="n">
        <v>0</v>
      </c>
      <c r="C1364" t="inlineStr">
        <is>
          <t>No</t>
        </is>
      </c>
      <c r="D1364">
        <f>IF(AND(B1359=1,B1360=1,B1361=1,B1362=1,B1363=1),"Yes","")</f>
        <v/>
      </c>
      <c r="E1364" t="inlineStr">
        <is>
          <t>No</t>
        </is>
      </c>
      <c r="F1364" t="inlineStr">
        <is>
          <t>No</t>
        </is>
      </c>
      <c r="G1364">
        <f>IF(F1364="Yes",1-B1364,B1364)</f>
        <v/>
      </c>
      <c r="H1364">
        <f>IF(E1364="Yes","",COUNTIFS($E$2:E1364,"No"))</f>
        <v/>
      </c>
      <c r="I1364">
        <f>IF(H1364="","",IF(H1364&lt;=128,"address",IF(H1364&lt;=600,"data1",IF(H1364&lt;=1264,"zero-run1",IF(H1364&lt;=1648,"data2",IF(H1364&lt;=2176,"zero-run2",IF(H1364&lt;=2192,"FCS","trailing")))))))</f>
        <v/>
      </c>
      <c r="J1364">
        <f>IFERROR(IF(AND(H1364&lt;&gt;"",H1364&gt;=129,H1364&lt;=2176),INDEX(Fields!$B$2:$B$206,MATCH(H1364-129,Fields!$D$2:$D$206,1)),""),"")</f>
        <v/>
      </c>
      <c r="K1364">
        <f>IFERROR(IF(AND(H1364&lt;&gt;"",H1364&gt;=129,H1364&lt;=2176),INDEX(Fields!$C$2:$C$206,MATCH(H1364-129,Fields!$D$2:$D$206,1)),""),"")</f>
        <v/>
      </c>
      <c r="L1364">
        <f>IFERROR(IF(AND(H1364&lt;&gt;"",H1364&gt;=129,H1364&lt;=2176),INDEX(Fields!$J$2:$J$206,MATCH(H1364-129,Fields!$D$2:$D$206,1)),""),"")</f>
        <v/>
      </c>
      <c r="M1364">
        <f>IFERROR(IF(AND(H1364&lt;&gt;"",H1364&gt;=129,H1364&lt;=2176),INDEX(Fields!$K$2:$K$206,MATCH(H1364-129,Fields!$D$2:$D$206,1)),""),"")</f>
        <v/>
      </c>
    </row>
    <row r="1365">
      <c r="A1365" t="n">
        <v>1363</v>
      </c>
      <c r="B1365" t="n">
        <v>0</v>
      </c>
      <c r="C1365" t="inlineStr">
        <is>
          <t>No</t>
        </is>
      </c>
      <c r="D1365">
        <f>IF(AND(B1360=1,B1361=1,B1362=1,B1363=1,B1364=1),"Yes","")</f>
        <v/>
      </c>
      <c r="E1365" t="inlineStr">
        <is>
          <t>No</t>
        </is>
      </c>
      <c r="F1365" t="inlineStr">
        <is>
          <t>No</t>
        </is>
      </c>
      <c r="G1365">
        <f>IF(F1365="Yes",1-B1365,B1365)</f>
        <v/>
      </c>
      <c r="H1365">
        <f>IF(E1365="Yes","",COUNTIFS($E$2:E1365,"No"))</f>
        <v/>
      </c>
      <c r="I1365">
        <f>IF(H1365="","",IF(H1365&lt;=128,"address",IF(H1365&lt;=600,"data1",IF(H1365&lt;=1264,"zero-run1",IF(H1365&lt;=1648,"data2",IF(H1365&lt;=2176,"zero-run2",IF(H1365&lt;=2192,"FCS","trailing")))))))</f>
        <v/>
      </c>
      <c r="J1365">
        <f>IFERROR(IF(AND(H1365&lt;&gt;"",H1365&gt;=129,H1365&lt;=2176),INDEX(Fields!$B$2:$B$206,MATCH(H1365-129,Fields!$D$2:$D$206,1)),""),"")</f>
        <v/>
      </c>
      <c r="K1365">
        <f>IFERROR(IF(AND(H1365&lt;&gt;"",H1365&gt;=129,H1365&lt;=2176),INDEX(Fields!$C$2:$C$206,MATCH(H1365-129,Fields!$D$2:$D$206,1)),""),"")</f>
        <v/>
      </c>
      <c r="L1365">
        <f>IFERROR(IF(AND(H1365&lt;&gt;"",H1365&gt;=129,H1365&lt;=2176),INDEX(Fields!$J$2:$J$206,MATCH(H1365-129,Fields!$D$2:$D$206,1)),""),"")</f>
        <v/>
      </c>
      <c r="M1365">
        <f>IFERROR(IF(AND(H1365&lt;&gt;"",H1365&gt;=129,H1365&lt;=2176),INDEX(Fields!$K$2:$K$206,MATCH(H1365-129,Fields!$D$2:$D$206,1)),""),"")</f>
        <v/>
      </c>
    </row>
    <row r="1366">
      <c r="A1366" t="n">
        <v>1364</v>
      </c>
      <c r="B1366" t="n">
        <v>0</v>
      </c>
      <c r="C1366" t="inlineStr">
        <is>
          <t>No</t>
        </is>
      </c>
      <c r="D1366">
        <f>IF(AND(B1361=1,B1362=1,B1363=1,B1364=1,B1365=1),"Yes","")</f>
        <v/>
      </c>
      <c r="E1366" t="inlineStr">
        <is>
          <t>No</t>
        </is>
      </c>
      <c r="F1366" t="inlineStr">
        <is>
          <t>No</t>
        </is>
      </c>
      <c r="G1366">
        <f>IF(F1366="Yes",1-B1366,B1366)</f>
        <v/>
      </c>
      <c r="H1366">
        <f>IF(E1366="Yes","",COUNTIFS($E$2:E1366,"No"))</f>
        <v/>
      </c>
      <c r="I1366">
        <f>IF(H1366="","",IF(H1366&lt;=128,"address",IF(H1366&lt;=600,"data1",IF(H1366&lt;=1264,"zero-run1",IF(H1366&lt;=1648,"data2",IF(H1366&lt;=2176,"zero-run2",IF(H1366&lt;=2192,"FCS","trailing")))))))</f>
        <v/>
      </c>
      <c r="J1366">
        <f>IFERROR(IF(AND(H1366&lt;&gt;"",H1366&gt;=129,H1366&lt;=2176),INDEX(Fields!$B$2:$B$206,MATCH(H1366-129,Fields!$D$2:$D$206,1)),""),"")</f>
        <v/>
      </c>
      <c r="K1366">
        <f>IFERROR(IF(AND(H1366&lt;&gt;"",H1366&gt;=129,H1366&lt;=2176),INDEX(Fields!$C$2:$C$206,MATCH(H1366-129,Fields!$D$2:$D$206,1)),""),"")</f>
        <v/>
      </c>
      <c r="L1366">
        <f>IFERROR(IF(AND(H1366&lt;&gt;"",H1366&gt;=129,H1366&lt;=2176),INDEX(Fields!$J$2:$J$206,MATCH(H1366-129,Fields!$D$2:$D$206,1)),""),"")</f>
        <v/>
      </c>
      <c r="M1366">
        <f>IFERROR(IF(AND(H1366&lt;&gt;"",H1366&gt;=129,H1366&lt;=2176),INDEX(Fields!$K$2:$K$206,MATCH(H1366-129,Fields!$D$2:$D$206,1)),""),"")</f>
        <v/>
      </c>
    </row>
    <row r="1367">
      <c r="A1367" t="n">
        <v>1365</v>
      </c>
      <c r="B1367" t="n">
        <v>0</v>
      </c>
      <c r="C1367" t="inlineStr">
        <is>
          <t>No</t>
        </is>
      </c>
      <c r="D1367">
        <f>IF(AND(B1362=1,B1363=1,B1364=1,B1365=1,B1366=1),"Yes","")</f>
        <v/>
      </c>
      <c r="E1367" t="inlineStr">
        <is>
          <t>No</t>
        </is>
      </c>
      <c r="F1367" t="inlineStr">
        <is>
          <t>No</t>
        </is>
      </c>
      <c r="G1367">
        <f>IF(F1367="Yes",1-B1367,B1367)</f>
        <v/>
      </c>
      <c r="H1367">
        <f>IF(E1367="Yes","",COUNTIFS($E$2:E1367,"No"))</f>
        <v/>
      </c>
      <c r="I1367">
        <f>IF(H1367="","",IF(H1367&lt;=128,"address",IF(H1367&lt;=600,"data1",IF(H1367&lt;=1264,"zero-run1",IF(H1367&lt;=1648,"data2",IF(H1367&lt;=2176,"zero-run2",IF(H1367&lt;=2192,"FCS","trailing")))))))</f>
        <v/>
      </c>
      <c r="J1367">
        <f>IFERROR(IF(AND(H1367&lt;&gt;"",H1367&gt;=129,H1367&lt;=2176),INDEX(Fields!$B$2:$B$206,MATCH(H1367-129,Fields!$D$2:$D$206,1)),""),"")</f>
        <v/>
      </c>
      <c r="K1367">
        <f>IFERROR(IF(AND(H1367&lt;&gt;"",H1367&gt;=129,H1367&lt;=2176),INDEX(Fields!$C$2:$C$206,MATCH(H1367-129,Fields!$D$2:$D$206,1)),""),"")</f>
        <v/>
      </c>
      <c r="L1367">
        <f>IFERROR(IF(AND(H1367&lt;&gt;"",H1367&gt;=129,H1367&lt;=2176),INDEX(Fields!$J$2:$J$206,MATCH(H1367-129,Fields!$D$2:$D$206,1)),""),"")</f>
        <v/>
      </c>
      <c r="M1367">
        <f>IFERROR(IF(AND(H1367&lt;&gt;"",H1367&gt;=129,H1367&lt;=2176),INDEX(Fields!$K$2:$K$206,MATCH(H1367-129,Fields!$D$2:$D$206,1)),""),"")</f>
        <v/>
      </c>
    </row>
    <row r="1368">
      <c r="A1368" t="n">
        <v>1366</v>
      </c>
      <c r="B1368" t="n">
        <v>1</v>
      </c>
      <c r="C1368" t="inlineStr">
        <is>
          <t>No</t>
        </is>
      </c>
      <c r="D1368">
        <f>IF(AND(B1363=1,B1364=1,B1365=1,B1366=1,B1367=1),"Yes","")</f>
        <v/>
      </c>
      <c r="E1368" t="inlineStr">
        <is>
          <t>No</t>
        </is>
      </c>
      <c r="F1368" t="inlineStr">
        <is>
          <t>No</t>
        </is>
      </c>
      <c r="G1368">
        <f>IF(F1368="Yes",1-B1368,B1368)</f>
        <v/>
      </c>
      <c r="H1368">
        <f>IF(E1368="Yes","",COUNTIFS($E$2:E1368,"No"))</f>
        <v/>
      </c>
      <c r="I1368">
        <f>IF(H1368="","",IF(H1368&lt;=128,"address",IF(H1368&lt;=600,"data1",IF(H1368&lt;=1264,"zero-run1",IF(H1368&lt;=1648,"data2",IF(H1368&lt;=2176,"zero-run2",IF(H1368&lt;=2192,"FCS","trailing")))))))</f>
        <v/>
      </c>
      <c r="J1368">
        <f>IFERROR(IF(AND(H1368&lt;&gt;"",H1368&gt;=129,H1368&lt;=2176),INDEX(Fields!$B$2:$B$206,MATCH(H1368-129,Fields!$D$2:$D$206,1)),""),"")</f>
        <v/>
      </c>
      <c r="K1368">
        <f>IFERROR(IF(AND(H1368&lt;&gt;"",H1368&gt;=129,H1368&lt;=2176),INDEX(Fields!$C$2:$C$206,MATCH(H1368-129,Fields!$D$2:$D$206,1)),""),"")</f>
        <v/>
      </c>
      <c r="L1368">
        <f>IFERROR(IF(AND(H1368&lt;&gt;"",H1368&gt;=129,H1368&lt;=2176),INDEX(Fields!$J$2:$J$206,MATCH(H1368-129,Fields!$D$2:$D$206,1)),""),"")</f>
        <v/>
      </c>
      <c r="M1368">
        <f>IFERROR(IF(AND(H1368&lt;&gt;"",H1368&gt;=129,H1368&lt;=2176),INDEX(Fields!$K$2:$K$206,MATCH(H1368-129,Fields!$D$2:$D$206,1)),""),"")</f>
        <v/>
      </c>
    </row>
    <row r="1369">
      <c r="A1369" t="n">
        <v>1367</v>
      </c>
      <c r="B1369" t="n">
        <v>0</v>
      </c>
      <c r="C1369" t="inlineStr">
        <is>
          <t>No</t>
        </is>
      </c>
      <c r="D1369">
        <f>IF(AND(B1364=1,B1365=1,B1366=1,B1367=1,B1368=1),"Yes","")</f>
        <v/>
      </c>
      <c r="E1369" t="inlineStr">
        <is>
          <t>No</t>
        </is>
      </c>
      <c r="F1369" t="inlineStr">
        <is>
          <t>No</t>
        </is>
      </c>
      <c r="G1369">
        <f>IF(F1369="Yes",1-B1369,B1369)</f>
        <v/>
      </c>
      <c r="H1369">
        <f>IF(E1369="Yes","",COUNTIFS($E$2:E1369,"No"))</f>
        <v/>
      </c>
      <c r="I1369">
        <f>IF(H1369="","",IF(H1369&lt;=128,"address",IF(H1369&lt;=600,"data1",IF(H1369&lt;=1264,"zero-run1",IF(H1369&lt;=1648,"data2",IF(H1369&lt;=2176,"zero-run2",IF(H1369&lt;=2192,"FCS","trailing")))))))</f>
        <v/>
      </c>
      <c r="J1369">
        <f>IFERROR(IF(AND(H1369&lt;&gt;"",H1369&gt;=129,H1369&lt;=2176),INDEX(Fields!$B$2:$B$206,MATCH(H1369-129,Fields!$D$2:$D$206,1)),""),"")</f>
        <v/>
      </c>
      <c r="K1369">
        <f>IFERROR(IF(AND(H1369&lt;&gt;"",H1369&gt;=129,H1369&lt;=2176),INDEX(Fields!$C$2:$C$206,MATCH(H1369-129,Fields!$D$2:$D$206,1)),""),"")</f>
        <v/>
      </c>
      <c r="L1369">
        <f>IFERROR(IF(AND(H1369&lt;&gt;"",H1369&gt;=129,H1369&lt;=2176),INDEX(Fields!$J$2:$J$206,MATCH(H1369-129,Fields!$D$2:$D$206,1)),""),"")</f>
        <v/>
      </c>
      <c r="M1369">
        <f>IFERROR(IF(AND(H1369&lt;&gt;"",H1369&gt;=129,H1369&lt;=2176),INDEX(Fields!$K$2:$K$206,MATCH(H1369-129,Fields!$D$2:$D$206,1)),""),"")</f>
        <v/>
      </c>
    </row>
    <row r="1370">
      <c r="A1370" t="n">
        <v>1368</v>
      </c>
      <c r="B1370" t="n">
        <v>1</v>
      </c>
      <c r="C1370" t="inlineStr">
        <is>
          <t>No</t>
        </is>
      </c>
      <c r="D1370">
        <f>IF(AND(B1365=1,B1366=1,B1367=1,B1368=1,B1369=1),"Yes","")</f>
        <v/>
      </c>
      <c r="E1370" t="inlineStr">
        <is>
          <t>No</t>
        </is>
      </c>
      <c r="F1370" t="inlineStr">
        <is>
          <t>No</t>
        </is>
      </c>
      <c r="G1370">
        <f>IF(F1370="Yes",1-B1370,B1370)</f>
        <v/>
      </c>
      <c r="H1370">
        <f>IF(E1370="Yes","",COUNTIFS($E$2:E1370,"No"))</f>
        <v/>
      </c>
      <c r="I1370">
        <f>IF(H1370="","",IF(H1370&lt;=128,"address",IF(H1370&lt;=600,"data1",IF(H1370&lt;=1264,"zero-run1",IF(H1370&lt;=1648,"data2",IF(H1370&lt;=2176,"zero-run2",IF(H1370&lt;=2192,"FCS","trailing")))))))</f>
        <v/>
      </c>
      <c r="J1370">
        <f>IFERROR(IF(AND(H1370&lt;&gt;"",H1370&gt;=129,H1370&lt;=2176),INDEX(Fields!$B$2:$B$206,MATCH(H1370-129,Fields!$D$2:$D$206,1)),""),"")</f>
        <v/>
      </c>
      <c r="K1370">
        <f>IFERROR(IF(AND(H1370&lt;&gt;"",H1370&gt;=129,H1370&lt;=2176),INDEX(Fields!$C$2:$C$206,MATCH(H1370-129,Fields!$D$2:$D$206,1)),""),"")</f>
        <v/>
      </c>
      <c r="L1370">
        <f>IFERROR(IF(AND(H1370&lt;&gt;"",H1370&gt;=129,H1370&lt;=2176),INDEX(Fields!$J$2:$J$206,MATCH(H1370-129,Fields!$D$2:$D$206,1)),""),"")</f>
        <v/>
      </c>
      <c r="M1370">
        <f>IFERROR(IF(AND(H1370&lt;&gt;"",H1370&gt;=129,H1370&lt;=2176),INDEX(Fields!$K$2:$K$206,MATCH(H1370-129,Fields!$D$2:$D$206,1)),""),"")</f>
        <v/>
      </c>
    </row>
    <row r="1371">
      <c r="A1371" t="n">
        <v>1369</v>
      </c>
      <c r="B1371" t="n">
        <v>1</v>
      </c>
      <c r="C1371" t="inlineStr">
        <is>
          <t>No</t>
        </is>
      </c>
      <c r="D1371">
        <f>IF(AND(B1366=1,B1367=1,B1368=1,B1369=1,B1370=1),"Yes","")</f>
        <v/>
      </c>
      <c r="E1371" t="inlineStr">
        <is>
          <t>No</t>
        </is>
      </c>
      <c r="F1371" t="inlineStr">
        <is>
          <t>No</t>
        </is>
      </c>
      <c r="G1371">
        <f>IF(F1371="Yes",1-B1371,B1371)</f>
        <v/>
      </c>
      <c r="H1371">
        <f>IF(E1371="Yes","",COUNTIFS($E$2:E1371,"No"))</f>
        <v/>
      </c>
      <c r="I1371">
        <f>IF(H1371="","",IF(H1371&lt;=128,"address",IF(H1371&lt;=600,"data1",IF(H1371&lt;=1264,"zero-run1",IF(H1371&lt;=1648,"data2",IF(H1371&lt;=2176,"zero-run2",IF(H1371&lt;=2192,"FCS","trailing")))))))</f>
        <v/>
      </c>
      <c r="J1371">
        <f>IFERROR(IF(AND(H1371&lt;&gt;"",H1371&gt;=129,H1371&lt;=2176),INDEX(Fields!$B$2:$B$206,MATCH(H1371-129,Fields!$D$2:$D$206,1)),""),"")</f>
        <v/>
      </c>
      <c r="K1371">
        <f>IFERROR(IF(AND(H1371&lt;&gt;"",H1371&gt;=129,H1371&lt;=2176),INDEX(Fields!$C$2:$C$206,MATCH(H1371-129,Fields!$D$2:$D$206,1)),""),"")</f>
        <v/>
      </c>
      <c r="L1371">
        <f>IFERROR(IF(AND(H1371&lt;&gt;"",H1371&gt;=129,H1371&lt;=2176),INDEX(Fields!$J$2:$J$206,MATCH(H1371-129,Fields!$D$2:$D$206,1)),""),"")</f>
        <v/>
      </c>
      <c r="M1371">
        <f>IFERROR(IF(AND(H1371&lt;&gt;"",H1371&gt;=129,H1371&lt;=2176),INDEX(Fields!$K$2:$K$206,MATCH(H1371-129,Fields!$D$2:$D$206,1)),""),"")</f>
        <v/>
      </c>
    </row>
    <row r="1372">
      <c r="A1372" t="n">
        <v>1370</v>
      </c>
      <c r="B1372" t="n">
        <v>0</v>
      </c>
      <c r="C1372" t="inlineStr">
        <is>
          <t>No</t>
        </is>
      </c>
      <c r="D1372">
        <f>IF(AND(B1367=1,B1368=1,B1369=1,B1370=1,B1371=1),"Yes","")</f>
        <v/>
      </c>
      <c r="E1372" t="inlineStr">
        <is>
          <t>No</t>
        </is>
      </c>
      <c r="F1372" t="inlineStr">
        <is>
          <t>No</t>
        </is>
      </c>
      <c r="G1372">
        <f>IF(F1372="Yes",1-B1372,B1372)</f>
        <v/>
      </c>
      <c r="H1372">
        <f>IF(E1372="Yes","",COUNTIFS($E$2:E1372,"No"))</f>
        <v/>
      </c>
      <c r="I1372">
        <f>IF(H1372="","",IF(H1372&lt;=128,"address",IF(H1372&lt;=600,"data1",IF(H1372&lt;=1264,"zero-run1",IF(H1372&lt;=1648,"data2",IF(H1372&lt;=2176,"zero-run2",IF(H1372&lt;=2192,"FCS","trailing")))))))</f>
        <v/>
      </c>
      <c r="J1372">
        <f>IFERROR(IF(AND(H1372&lt;&gt;"",H1372&gt;=129,H1372&lt;=2176),INDEX(Fields!$B$2:$B$206,MATCH(H1372-129,Fields!$D$2:$D$206,1)),""),"")</f>
        <v/>
      </c>
      <c r="K1372">
        <f>IFERROR(IF(AND(H1372&lt;&gt;"",H1372&gt;=129,H1372&lt;=2176),INDEX(Fields!$C$2:$C$206,MATCH(H1372-129,Fields!$D$2:$D$206,1)),""),"")</f>
        <v/>
      </c>
      <c r="L1372">
        <f>IFERROR(IF(AND(H1372&lt;&gt;"",H1372&gt;=129,H1372&lt;=2176),INDEX(Fields!$J$2:$J$206,MATCH(H1372-129,Fields!$D$2:$D$206,1)),""),"")</f>
        <v/>
      </c>
      <c r="M1372">
        <f>IFERROR(IF(AND(H1372&lt;&gt;"",H1372&gt;=129,H1372&lt;=2176),INDEX(Fields!$K$2:$K$206,MATCH(H1372-129,Fields!$D$2:$D$206,1)),""),"")</f>
        <v/>
      </c>
    </row>
    <row r="1373">
      <c r="A1373" t="n">
        <v>1371</v>
      </c>
      <c r="B1373" t="n">
        <v>0</v>
      </c>
      <c r="C1373" t="inlineStr">
        <is>
          <t>No</t>
        </is>
      </c>
      <c r="D1373">
        <f>IF(AND(B1368=1,B1369=1,B1370=1,B1371=1,B1372=1),"Yes","")</f>
        <v/>
      </c>
      <c r="E1373" t="inlineStr">
        <is>
          <t>No</t>
        </is>
      </c>
      <c r="F1373" t="inlineStr">
        <is>
          <t>No</t>
        </is>
      </c>
      <c r="G1373">
        <f>IF(F1373="Yes",1-B1373,B1373)</f>
        <v/>
      </c>
      <c r="H1373">
        <f>IF(E1373="Yes","",COUNTIFS($E$2:E1373,"No"))</f>
        <v/>
      </c>
      <c r="I1373">
        <f>IF(H1373="","",IF(H1373&lt;=128,"address",IF(H1373&lt;=600,"data1",IF(H1373&lt;=1264,"zero-run1",IF(H1373&lt;=1648,"data2",IF(H1373&lt;=2176,"zero-run2",IF(H1373&lt;=2192,"FCS","trailing")))))))</f>
        <v/>
      </c>
      <c r="J1373">
        <f>IFERROR(IF(AND(H1373&lt;&gt;"",H1373&gt;=129,H1373&lt;=2176),INDEX(Fields!$B$2:$B$206,MATCH(H1373-129,Fields!$D$2:$D$206,1)),""),"")</f>
        <v/>
      </c>
      <c r="K1373">
        <f>IFERROR(IF(AND(H1373&lt;&gt;"",H1373&gt;=129,H1373&lt;=2176),INDEX(Fields!$C$2:$C$206,MATCH(H1373-129,Fields!$D$2:$D$206,1)),""),"")</f>
        <v/>
      </c>
      <c r="L1373">
        <f>IFERROR(IF(AND(H1373&lt;&gt;"",H1373&gt;=129,H1373&lt;=2176),INDEX(Fields!$J$2:$J$206,MATCH(H1373-129,Fields!$D$2:$D$206,1)),""),"")</f>
        <v/>
      </c>
      <c r="M1373">
        <f>IFERROR(IF(AND(H1373&lt;&gt;"",H1373&gt;=129,H1373&lt;=2176),INDEX(Fields!$K$2:$K$206,MATCH(H1373-129,Fields!$D$2:$D$206,1)),""),"")</f>
        <v/>
      </c>
    </row>
    <row r="1374">
      <c r="A1374" t="n">
        <v>1372</v>
      </c>
      <c r="B1374" t="n">
        <v>1</v>
      </c>
      <c r="C1374" t="inlineStr">
        <is>
          <t>No</t>
        </is>
      </c>
      <c r="D1374">
        <f>IF(AND(B1369=1,B1370=1,B1371=1,B1372=1,B1373=1),"Yes","")</f>
        <v/>
      </c>
      <c r="E1374" t="inlineStr">
        <is>
          <t>No</t>
        </is>
      </c>
      <c r="F1374" t="inlineStr">
        <is>
          <t>No</t>
        </is>
      </c>
      <c r="G1374">
        <f>IF(F1374="Yes",1-B1374,B1374)</f>
        <v/>
      </c>
      <c r="H1374">
        <f>IF(E1374="Yes","",COUNTIFS($E$2:E1374,"No"))</f>
        <v/>
      </c>
      <c r="I1374">
        <f>IF(H1374="","",IF(H1374&lt;=128,"address",IF(H1374&lt;=600,"data1",IF(H1374&lt;=1264,"zero-run1",IF(H1374&lt;=1648,"data2",IF(H1374&lt;=2176,"zero-run2",IF(H1374&lt;=2192,"FCS","trailing")))))))</f>
        <v/>
      </c>
      <c r="J1374">
        <f>IFERROR(IF(AND(H1374&lt;&gt;"",H1374&gt;=129,H1374&lt;=2176),INDEX(Fields!$B$2:$B$206,MATCH(H1374-129,Fields!$D$2:$D$206,1)),""),"")</f>
        <v/>
      </c>
      <c r="K1374">
        <f>IFERROR(IF(AND(H1374&lt;&gt;"",H1374&gt;=129,H1374&lt;=2176),INDEX(Fields!$C$2:$C$206,MATCH(H1374-129,Fields!$D$2:$D$206,1)),""),"")</f>
        <v/>
      </c>
      <c r="L1374">
        <f>IFERROR(IF(AND(H1374&lt;&gt;"",H1374&gt;=129,H1374&lt;=2176),INDEX(Fields!$J$2:$J$206,MATCH(H1374-129,Fields!$D$2:$D$206,1)),""),"")</f>
        <v/>
      </c>
      <c r="M1374">
        <f>IFERROR(IF(AND(H1374&lt;&gt;"",H1374&gt;=129,H1374&lt;=2176),INDEX(Fields!$K$2:$K$206,MATCH(H1374-129,Fields!$D$2:$D$206,1)),""),"")</f>
        <v/>
      </c>
    </row>
    <row r="1375">
      <c r="A1375" t="n">
        <v>1373</v>
      </c>
      <c r="B1375" t="n">
        <v>0</v>
      </c>
      <c r="C1375" t="inlineStr">
        <is>
          <t>No</t>
        </is>
      </c>
      <c r="D1375">
        <f>IF(AND(B1370=1,B1371=1,B1372=1,B1373=1,B1374=1),"Yes","")</f>
        <v/>
      </c>
      <c r="E1375" t="inlineStr">
        <is>
          <t>No</t>
        </is>
      </c>
      <c r="F1375" t="inlineStr">
        <is>
          <t>No</t>
        </is>
      </c>
      <c r="G1375">
        <f>IF(F1375="Yes",1-B1375,B1375)</f>
        <v/>
      </c>
      <c r="H1375">
        <f>IF(E1375="Yes","",COUNTIFS($E$2:E1375,"No"))</f>
        <v/>
      </c>
      <c r="I1375">
        <f>IF(H1375="","",IF(H1375&lt;=128,"address",IF(H1375&lt;=600,"data1",IF(H1375&lt;=1264,"zero-run1",IF(H1375&lt;=1648,"data2",IF(H1375&lt;=2176,"zero-run2",IF(H1375&lt;=2192,"FCS","trailing")))))))</f>
        <v/>
      </c>
      <c r="J1375">
        <f>IFERROR(IF(AND(H1375&lt;&gt;"",H1375&gt;=129,H1375&lt;=2176),INDEX(Fields!$B$2:$B$206,MATCH(H1375-129,Fields!$D$2:$D$206,1)),""),"")</f>
        <v/>
      </c>
      <c r="K1375">
        <f>IFERROR(IF(AND(H1375&lt;&gt;"",H1375&gt;=129,H1375&lt;=2176),INDEX(Fields!$C$2:$C$206,MATCH(H1375-129,Fields!$D$2:$D$206,1)),""),"")</f>
        <v/>
      </c>
      <c r="L1375">
        <f>IFERROR(IF(AND(H1375&lt;&gt;"",H1375&gt;=129,H1375&lt;=2176),INDEX(Fields!$J$2:$J$206,MATCH(H1375-129,Fields!$D$2:$D$206,1)),""),"")</f>
        <v/>
      </c>
      <c r="M1375">
        <f>IFERROR(IF(AND(H1375&lt;&gt;"",H1375&gt;=129,H1375&lt;=2176),INDEX(Fields!$K$2:$K$206,MATCH(H1375-129,Fields!$D$2:$D$206,1)),""),"")</f>
        <v/>
      </c>
    </row>
    <row r="1376">
      <c r="A1376" t="n">
        <v>1374</v>
      </c>
      <c r="B1376" t="n">
        <v>0</v>
      </c>
      <c r="C1376" t="inlineStr">
        <is>
          <t>No</t>
        </is>
      </c>
      <c r="D1376">
        <f>IF(AND(B1371=1,B1372=1,B1373=1,B1374=1,B1375=1),"Yes","")</f>
        <v/>
      </c>
      <c r="E1376" t="inlineStr">
        <is>
          <t>No</t>
        </is>
      </c>
      <c r="F1376" t="inlineStr">
        <is>
          <t>No</t>
        </is>
      </c>
      <c r="G1376">
        <f>IF(F1376="Yes",1-B1376,B1376)</f>
        <v/>
      </c>
      <c r="H1376">
        <f>IF(E1376="Yes","",COUNTIFS($E$2:E1376,"No"))</f>
        <v/>
      </c>
      <c r="I1376">
        <f>IF(H1376="","",IF(H1376&lt;=128,"address",IF(H1376&lt;=600,"data1",IF(H1376&lt;=1264,"zero-run1",IF(H1376&lt;=1648,"data2",IF(H1376&lt;=2176,"zero-run2",IF(H1376&lt;=2192,"FCS","trailing")))))))</f>
        <v/>
      </c>
      <c r="J1376">
        <f>IFERROR(IF(AND(H1376&lt;&gt;"",H1376&gt;=129,H1376&lt;=2176),INDEX(Fields!$B$2:$B$206,MATCH(H1376-129,Fields!$D$2:$D$206,1)),""),"")</f>
        <v/>
      </c>
      <c r="K1376">
        <f>IFERROR(IF(AND(H1376&lt;&gt;"",H1376&gt;=129,H1376&lt;=2176),INDEX(Fields!$C$2:$C$206,MATCH(H1376-129,Fields!$D$2:$D$206,1)),""),"")</f>
        <v/>
      </c>
      <c r="L1376">
        <f>IFERROR(IF(AND(H1376&lt;&gt;"",H1376&gt;=129,H1376&lt;=2176),INDEX(Fields!$J$2:$J$206,MATCH(H1376-129,Fields!$D$2:$D$206,1)),""),"")</f>
        <v/>
      </c>
      <c r="M1376">
        <f>IFERROR(IF(AND(H1376&lt;&gt;"",H1376&gt;=129,H1376&lt;=2176),INDEX(Fields!$K$2:$K$206,MATCH(H1376-129,Fields!$D$2:$D$206,1)),""),"")</f>
        <v/>
      </c>
    </row>
    <row r="1377">
      <c r="A1377" t="n">
        <v>1375</v>
      </c>
      <c r="B1377" t="n">
        <v>0</v>
      </c>
      <c r="C1377" t="inlineStr">
        <is>
          <t>No</t>
        </is>
      </c>
      <c r="D1377">
        <f>IF(AND(B1372=1,B1373=1,B1374=1,B1375=1,B1376=1),"Yes","")</f>
        <v/>
      </c>
      <c r="E1377" t="inlineStr">
        <is>
          <t>No</t>
        </is>
      </c>
      <c r="F1377" t="inlineStr">
        <is>
          <t>No</t>
        </is>
      </c>
      <c r="G1377">
        <f>IF(F1377="Yes",1-B1377,B1377)</f>
        <v/>
      </c>
      <c r="H1377">
        <f>IF(E1377="Yes","",COUNTIFS($E$2:E1377,"No"))</f>
        <v/>
      </c>
      <c r="I1377">
        <f>IF(H1377="","",IF(H1377&lt;=128,"address",IF(H1377&lt;=600,"data1",IF(H1377&lt;=1264,"zero-run1",IF(H1377&lt;=1648,"data2",IF(H1377&lt;=2176,"zero-run2",IF(H1377&lt;=2192,"FCS","trailing")))))))</f>
        <v/>
      </c>
      <c r="J1377">
        <f>IFERROR(IF(AND(H1377&lt;&gt;"",H1377&gt;=129,H1377&lt;=2176),INDEX(Fields!$B$2:$B$206,MATCH(H1377-129,Fields!$D$2:$D$206,1)),""),"")</f>
        <v/>
      </c>
      <c r="K1377">
        <f>IFERROR(IF(AND(H1377&lt;&gt;"",H1377&gt;=129,H1377&lt;=2176),INDEX(Fields!$C$2:$C$206,MATCH(H1377-129,Fields!$D$2:$D$206,1)),""),"")</f>
        <v/>
      </c>
      <c r="L1377">
        <f>IFERROR(IF(AND(H1377&lt;&gt;"",H1377&gt;=129,H1377&lt;=2176),INDEX(Fields!$J$2:$J$206,MATCH(H1377-129,Fields!$D$2:$D$206,1)),""),"")</f>
        <v/>
      </c>
      <c r="M1377">
        <f>IFERROR(IF(AND(H1377&lt;&gt;"",H1377&gt;=129,H1377&lt;=2176),INDEX(Fields!$K$2:$K$206,MATCH(H1377-129,Fields!$D$2:$D$206,1)),""),"")</f>
        <v/>
      </c>
    </row>
    <row r="1378">
      <c r="A1378" t="n">
        <v>1376</v>
      </c>
      <c r="B1378" t="n">
        <v>0</v>
      </c>
      <c r="C1378" t="inlineStr">
        <is>
          <t>No</t>
        </is>
      </c>
      <c r="D1378">
        <f>IF(AND(B1373=1,B1374=1,B1375=1,B1376=1,B1377=1),"Yes","")</f>
        <v/>
      </c>
      <c r="E1378" t="inlineStr">
        <is>
          <t>No</t>
        </is>
      </c>
      <c r="F1378" t="inlineStr">
        <is>
          <t>No</t>
        </is>
      </c>
      <c r="G1378">
        <f>IF(F1378="Yes",1-B1378,B1378)</f>
        <v/>
      </c>
      <c r="H1378">
        <f>IF(E1378="Yes","",COUNTIFS($E$2:E1378,"No"))</f>
        <v/>
      </c>
      <c r="I1378">
        <f>IF(H1378="","",IF(H1378&lt;=128,"address",IF(H1378&lt;=600,"data1",IF(H1378&lt;=1264,"zero-run1",IF(H1378&lt;=1648,"data2",IF(H1378&lt;=2176,"zero-run2",IF(H1378&lt;=2192,"FCS","trailing")))))))</f>
        <v/>
      </c>
      <c r="J1378">
        <f>IFERROR(IF(AND(H1378&lt;&gt;"",H1378&gt;=129,H1378&lt;=2176),INDEX(Fields!$B$2:$B$206,MATCH(H1378-129,Fields!$D$2:$D$206,1)),""),"")</f>
        <v/>
      </c>
      <c r="K1378">
        <f>IFERROR(IF(AND(H1378&lt;&gt;"",H1378&gt;=129,H1378&lt;=2176),INDEX(Fields!$C$2:$C$206,MATCH(H1378-129,Fields!$D$2:$D$206,1)),""),"")</f>
        <v/>
      </c>
      <c r="L1378">
        <f>IFERROR(IF(AND(H1378&lt;&gt;"",H1378&gt;=129,H1378&lt;=2176),INDEX(Fields!$J$2:$J$206,MATCH(H1378-129,Fields!$D$2:$D$206,1)),""),"")</f>
        <v/>
      </c>
      <c r="M1378">
        <f>IFERROR(IF(AND(H1378&lt;&gt;"",H1378&gt;=129,H1378&lt;=2176),INDEX(Fields!$K$2:$K$206,MATCH(H1378-129,Fields!$D$2:$D$206,1)),""),"")</f>
        <v/>
      </c>
    </row>
    <row r="1379">
      <c r="A1379" t="n">
        <v>1377</v>
      </c>
      <c r="B1379" t="n">
        <v>0</v>
      </c>
      <c r="C1379" t="inlineStr">
        <is>
          <t>No</t>
        </is>
      </c>
      <c r="D1379">
        <f>IF(AND(B1374=1,B1375=1,B1376=1,B1377=1,B1378=1),"Yes","")</f>
        <v/>
      </c>
      <c r="E1379" t="inlineStr">
        <is>
          <t>No</t>
        </is>
      </c>
      <c r="F1379" t="inlineStr">
        <is>
          <t>No</t>
        </is>
      </c>
      <c r="G1379">
        <f>IF(F1379="Yes",1-B1379,B1379)</f>
        <v/>
      </c>
      <c r="H1379">
        <f>IF(E1379="Yes","",COUNTIFS($E$2:E1379,"No"))</f>
        <v/>
      </c>
      <c r="I1379">
        <f>IF(H1379="","",IF(H1379&lt;=128,"address",IF(H1379&lt;=600,"data1",IF(H1379&lt;=1264,"zero-run1",IF(H1379&lt;=1648,"data2",IF(H1379&lt;=2176,"zero-run2",IF(H1379&lt;=2192,"FCS","trailing")))))))</f>
        <v/>
      </c>
      <c r="J1379">
        <f>IFERROR(IF(AND(H1379&lt;&gt;"",H1379&gt;=129,H1379&lt;=2176),INDEX(Fields!$B$2:$B$206,MATCH(H1379-129,Fields!$D$2:$D$206,1)),""),"")</f>
        <v/>
      </c>
      <c r="K1379">
        <f>IFERROR(IF(AND(H1379&lt;&gt;"",H1379&gt;=129,H1379&lt;=2176),INDEX(Fields!$C$2:$C$206,MATCH(H1379-129,Fields!$D$2:$D$206,1)),""),"")</f>
        <v/>
      </c>
      <c r="L1379">
        <f>IFERROR(IF(AND(H1379&lt;&gt;"",H1379&gt;=129,H1379&lt;=2176),INDEX(Fields!$J$2:$J$206,MATCH(H1379-129,Fields!$D$2:$D$206,1)),""),"")</f>
        <v/>
      </c>
      <c r="M1379">
        <f>IFERROR(IF(AND(H1379&lt;&gt;"",H1379&gt;=129,H1379&lt;=2176),INDEX(Fields!$K$2:$K$206,MATCH(H1379-129,Fields!$D$2:$D$206,1)),""),"")</f>
        <v/>
      </c>
    </row>
    <row r="1380">
      <c r="A1380" t="n">
        <v>1378</v>
      </c>
      <c r="B1380" t="n">
        <v>0</v>
      </c>
      <c r="C1380" t="inlineStr">
        <is>
          <t>No</t>
        </is>
      </c>
      <c r="D1380">
        <f>IF(AND(B1375=1,B1376=1,B1377=1,B1378=1,B1379=1),"Yes","")</f>
        <v/>
      </c>
      <c r="E1380" t="inlineStr">
        <is>
          <t>No</t>
        </is>
      </c>
      <c r="F1380" t="inlineStr">
        <is>
          <t>No</t>
        </is>
      </c>
      <c r="G1380">
        <f>IF(F1380="Yes",1-B1380,B1380)</f>
        <v/>
      </c>
      <c r="H1380">
        <f>IF(E1380="Yes","",COUNTIFS($E$2:E1380,"No"))</f>
        <v/>
      </c>
      <c r="I1380">
        <f>IF(H1380="","",IF(H1380&lt;=128,"address",IF(H1380&lt;=600,"data1",IF(H1380&lt;=1264,"zero-run1",IF(H1380&lt;=1648,"data2",IF(H1380&lt;=2176,"zero-run2",IF(H1380&lt;=2192,"FCS","trailing")))))))</f>
        <v/>
      </c>
      <c r="J1380">
        <f>IFERROR(IF(AND(H1380&lt;&gt;"",H1380&gt;=129,H1380&lt;=2176),INDEX(Fields!$B$2:$B$206,MATCH(H1380-129,Fields!$D$2:$D$206,1)),""),"")</f>
        <v/>
      </c>
      <c r="K1380">
        <f>IFERROR(IF(AND(H1380&lt;&gt;"",H1380&gt;=129,H1380&lt;=2176),INDEX(Fields!$C$2:$C$206,MATCH(H1380-129,Fields!$D$2:$D$206,1)),""),"")</f>
        <v/>
      </c>
      <c r="L1380">
        <f>IFERROR(IF(AND(H1380&lt;&gt;"",H1380&gt;=129,H1380&lt;=2176),INDEX(Fields!$J$2:$J$206,MATCH(H1380-129,Fields!$D$2:$D$206,1)),""),"")</f>
        <v/>
      </c>
      <c r="M1380">
        <f>IFERROR(IF(AND(H1380&lt;&gt;"",H1380&gt;=129,H1380&lt;=2176),INDEX(Fields!$K$2:$K$206,MATCH(H1380-129,Fields!$D$2:$D$206,1)),""),"")</f>
        <v/>
      </c>
    </row>
    <row r="1381">
      <c r="A1381" t="n">
        <v>1379</v>
      </c>
      <c r="B1381" t="n">
        <v>0</v>
      </c>
      <c r="C1381" t="inlineStr">
        <is>
          <t>No</t>
        </is>
      </c>
      <c r="D1381">
        <f>IF(AND(B1376=1,B1377=1,B1378=1,B1379=1,B1380=1),"Yes","")</f>
        <v/>
      </c>
      <c r="E1381" t="inlineStr">
        <is>
          <t>No</t>
        </is>
      </c>
      <c r="F1381" t="inlineStr">
        <is>
          <t>No</t>
        </is>
      </c>
      <c r="G1381">
        <f>IF(F1381="Yes",1-B1381,B1381)</f>
        <v/>
      </c>
      <c r="H1381">
        <f>IF(E1381="Yes","",COUNTIFS($E$2:E1381,"No"))</f>
        <v/>
      </c>
      <c r="I1381">
        <f>IF(H1381="","",IF(H1381&lt;=128,"address",IF(H1381&lt;=600,"data1",IF(H1381&lt;=1264,"zero-run1",IF(H1381&lt;=1648,"data2",IF(H1381&lt;=2176,"zero-run2",IF(H1381&lt;=2192,"FCS","trailing")))))))</f>
        <v/>
      </c>
      <c r="J1381">
        <f>IFERROR(IF(AND(H1381&lt;&gt;"",H1381&gt;=129,H1381&lt;=2176),INDEX(Fields!$B$2:$B$206,MATCH(H1381-129,Fields!$D$2:$D$206,1)),""),"")</f>
        <v/>
      </c>
      <c r="K1381">
        <f>IFERROR(IF(AND(H1381&lt;&gt;"",H1381&gt;=129,H1381&lt;=2176),INDEX(Fields!$C$2:$C$206,MATCH(H1381-129,Fields!$D$2:$D$206,1)),""),"")</f>
        <v/>
      </c>
      <c r="L1381">
        <f>IFERROR(IF(AND(H1381&lt;&gt;"",H1381&gt;=129,H1381&lt;=2176),INDEX(Fields!$J$2:$J$206,MATCH(H1381-129,Fields!$D$2:$D$206,1)),""),"")</f>
        <v/>
      </c>
      <c r="M1381">
        <f>IFERROR(IF(AND(H1381&lt;&gt;"",H1381&gt;=129,H1381&lt;=2176),INDEX(Fields!$K$2:$K$206,MATCH(H1381-129,Fields!$D$2:$D$206,1)),""),"")</f>
        <v/>
      </c>
    </row>
    <row r="1382">
      <c r="A1382" t="n">
        <v>1380</v>
      </c>
      <c r="B1382" t="n">
        <v>0</v>
      </c>
      <c r="C1382" t="inlineStr">
        <is>
          <t>No</t>
        </is>
      </c>
      <c r="D1382">
        <f>IF(AND(B1377=1,B1378=1,B1379=1,B1380=1,B1381=1),"Yes","")</f>
        <v/>
      </c>
      <c r="E1382" t="inlineStr">
        <is>
          <t>No</t>
        </is>
      </c>
      <c r="F1382" t="inlineStr">
        <is>
          <t>No</t>
        </is>
      </c>
      <c r="G1382">
        <f>IF(F1382="Yes",1-B1382,B1382)</f>
        <v/>
      </c>
      <c r="H1382">
        <f>IF(E1382="Yes","",COUNTIFS($E$2:E1382,"No"))</f>
        <v/>
      </c>
      <c r="I1382">
        <f>IF(H1382="","",IF(H1382&lt;=128,"address",IF(H1382&lt;=600,"data1",IF(H1382&lt;=1264,"zero-run1",IF(H1382&lt;=1648,"data2",IF(H1382&lt;=2176,"zero-run2",IF(H1382&lt;=2192,"FCS","trailing")))))))</f>
        <v/>
      </c>
      <c r="J1382">
        <f>IFERROR(IF(AND(H1382&lt;&gt;"",H1382&gt;=129,H1382&lt;=2176),INDEX(Fields!$B$2:$B$206,MATCH(H1382-129,Fields!$D$2:$D$206,1)),""),"")</f>
        <v/>
      </c>
      <c r="K1382">
        <f>IFERROR(IF(AND(H1382&lt;&gt;"",H1382&gt;=129,H1382&lt;=2176),INDEX(Fields!$C$2:$C$206,MATCH(H1382-129,Fields!$D$2:$D$206,1)),""),"")</f>
        <v/>
      </c>
      <c r="L1382">
        <f>IFERROR(IF(AND(H1382&lt;&gt;"",H1382&gt;=129,H1382&lt;=2176),INDEX(Fields!$J$2:$J$206,MATCH(H1382-129,Fields!$D$2:$D$206,1)),""),"")</f>
        <v/>
      </c>
      <c r="M1382">
        <f>IFERROR(IF(AND(H1382&lt;&gt;"",H1382&gt;=129,H1382&lt;=2176),INDEX(Fields!$K$2:$K$206,MATCH(H1382-129,Fields!$D$2:$D$206,1)),""),"")</f>
        <v/>
      </c>
    </row>
    <row r="1383">
      <c r="A1383" t="n">
        <v>1381</v>
      </c>
      <c r="B1383" t="n">
        <v>0</v>
      </c>
      <c r="C1383" t="inlineStr">
        <is>
          <t>No</t>
        </is>
      </c>
      <c r="D1383">
        <f>IF(AND(B1378=1,B1379=1,B1380=1,B1381=1,B1382=1),"Yes","")</f>
        <v/>
      </c>
      <c r="E1383" t="inlineStr">
        <is>
          <t>No</t>
        </is>
      </c>
      <c r="F1383" t="inlineStr">
        <is>
          <t>No</t>
        </is>
      </c>
      <c r="G1383">
        <f>IF(F1383="Yes",1-B1383,B1383)</f>
        <v/>
      </c>
      <c r="H1383">
        <f>IF(E1383="Yes","",COUNTIFS($E$2:E1383,"No"))</f>
        <v/>
      </c>
      <c r="I1383">
        <f>IF(H1383="","",IF(H1383&lt;=128,"address",IF(H1383&lt;=600,"data1",IF(H1383&lt;=1264,"zero-run1",IF(H1383&lt;=1648,"data2",IF(H1383&lt;=2176,"zero-run2",IF(H1383&lt;=2192,"FCS","trailing")))))))</f>
        <v/>
      </c>
      <c r="J1383">
        <f>IFERROR(IF(AND(H1383&lt;&gt;"",H1383&gt;=129,H1383&lt;=2176),INDEX(Fields!$B$2:$B$206,MATCH(H1383-129,Fields!$D$2:$D$206,1)),""),"")</f>
        <v/>
      </c>
      <c r="K1383">
        <f>IFERROR(IF(AND(H1383&lt;&gt;"",H1383&gt;=129,H1383&lt;=2176),INDEX(Fields!$C$2:$C$206,MATCH(H1383-129,Fields!$D$2:$D$206,1)),""),"")</f>
        <v/>
      </c>
      <c r="L1383">
        <f>IFERROR(IF(AND(H1383&lt;&gt;"",H1383&gt;=129,H1383&lt;=2176),INDEX(Fields!$J$2:$J$206,MATCH(H1383-129,Fields!$D$2:$D$206,1)),""),"")</f>
        <v/>
      </c>
      <c r="M1383">
        <f>IFERROR(IF(AND(H1383&lt;&gt;"",H1383&gt;=129,H1383&lt;=2176),INDEX(Fields!$K$2:$K$206,MATCH(H1383-129,Fields!$D$2:$D$206,1)),""),"")</f>
        <v/>
      </c>
    </row>
    <row r="1384">
      <c r="A1384" t="n">
        <v>1382</v>
      </c>
      <c r="B1384" t="n">
        <v>0</v>
      </c>
      <c r="C1384" t="inlineStr">
        <is>
          <t>No</t>
        </is>
      </c>
      <c r="D1384">
        <f>IF(AND(B1379=1,B1380=1,B1381=1,B1382=1,B1383=1),"Yes","")</f>
        <v/>
      </c>
      <c r="E1384" t="inlineStr">
        <is>
          <t>No</t>
        </is>
      </c>
      <c r="F1384" t="inlineStr">
        <is>
          <t>No</t>
        </is>
      </c>
      <c r="G1384">
        <f>IF(F1384="Yes",1-B1384,B1384)</f>
        <v/>
      </c>
      <c r="H1384">
        <f>IF(E1384="Yes","",COUNTIFS($E$2:E1384,"No"))</f>
        <v/>
      </c>
      <c r="I1384">
        <f>IF(H1384="","",IF(H1384&lt;=128,"address",IF(H1384&lt;=600,"data1",IF(H1384&lt;=1264,"zero-run1",IF(H1384&lt;=1648,"data2",IF(H1384&lt;=2176,"zero-run2",IF(H1384&lt;=2192,"FCS","trailing")))))))</f>
        <v/>
      </c>
      <c r="J1384">
        <f>IFERROR(IF(AND(H1384&lt;&gt;"",H1384&gt;=129,H1384&lt;=2176),INDEX(Fields!$B$2:$B$206,MATCH(H1384-129,Fields!$D$2:$D$206,1)),""),"")</f>
        <v/>
      </c>
      <c r="K1384">
        <f>IFERROR(IF(AND(H1384&lt;&gt;"",H1384&gt;=129,H1384&lt;=2176),INDEX(Fields!$C$2:$C$206,MATCH(H1384-129,Fields!$D$2:$D$206,1)),""),"")</f>
        <v/>
      </c>
      <c r="L1384">
        <f>IFERROR(IF(AND(H1384&lt;&gt;"",H1384&gt;=129,H1384&lt;=2176),INDEX(Fields!$J$2:$J$206,MATCH(H1384-129,Fields!$D$2:$D$206,1)),""),"")</f>
        <v/>
      </c>
      <c r="M1384">
        <f>IFERROR(IF(AND(H1384&lt;&gt;"",H1384&gt;=129,H1384&lt;=2176),INDEX(Fields!$K$2:$K$206,MATCH(H1384-129,Fields!$D$2:$D$206,1)),""),"")</f>
        <v/>
      </c>
    </row>
    <row r="1385">
      <c r="A1385" t="n">
        <v>1383</v>
      </c>
      <c r="B1385" t="n">
        <v>0</v>
      </c>
      <c r="C1385" t="inlineStr">
        <is>
          <t>No</t>
        </is>
      </c>
      <c r="D1385">
        <f>IF(AND(B1380=1,B1381=1,B1382=1,B1383=1,B1384=1),"Yes","")</f>
        <v/>
      </c>
      <c r="E1385" t="inlineStr">
        <is>
          <t>No</t>
        </is>
      </c>
      <c r="F1385" t="inlineStr">
        <is>
          <t>No</t>
        </is>
      </c>
      <c r="G1385">
        <f>IF(F1385="Yes",1-B1385,B1385)</f>
        <v/>
      </c>
      <c r="H1385">
        <f>IF(E1385="Yes","",COUNTIFS($E$2:E1385,"No"))</f>
        <v/>
      </c>
      <c r="I1385">
        <f>IF(H1385="","",IF(H1385&lt;=128,"address",IF(H1385&lt;=600,"data1",IF(H1385&lt;=1264,"zero-run1",IF(H1385&lt;=1648,"data2",IF(H1385&lt;=2176,"zero-run2",IF(H1385&lt;=2192,"FCS","trailing")))))))</f>
        <v/>
      </c>
      <c r="J1385">
        <f>IFERROR(IF(AND(H1385&lt;&gt;"",H1385&gt;=129,H1385&lt;=2176),INDEX(Fields!$B$2:$B$206,MATCH(H1385-129,Fields!$D$2:$D$206,1)),""),"")</f>
        <v/>
      </c>
      <c r="K1385">
        <f>IFERROR(IF(AND(H1385&lt;&gt;"",H1385&gt;=129,H1385&lt;=2176),INDEX(Fields!$C$2:$C$206,MATCH(H1385-129,Fields!$D$2:$D$206,1)),""),"")</f>
        <v/>
      </c>
      <c r="L1385">
        <f>IFERROR(IF(AND(H1385&lt;&gt;"",H1385&gt;=129,H1385&lt;=2176),INDEX(Fields!$J$2:$J$206,MATCH(H1385-129,Fields!$D$2:$D$206,1)),""),"")</f>
        <v/>
      </c>
      <c r="M1385">
        <f>IFERROR(IF(AND(H1385&lt;&gt;"",H1385&gt;=129,H1385&lt;=2176),INDEX(Fields!$K$2:$K$206,MATCH(H1385-129,Fields!$D$2:$D$206,1)),""),"")</f>
        <v/>
      </c>
    </row>
    <row r="1386">
      <c r="A1386" t="n">
        <v>1384</v>
      </c>
      <c r="B1386" t="n">
        <v>1</v>
      </c>
      <c r="C1386" t="inlineStr">
        <is>
          <t>No</t>
        </is>
      </c>
      <c r="D1386">
        <f>IF(AND(B1381=1,B1382=1,B1383=1,B1384=1,B1385=1),"Yes","")</f>
        <v/>
      </c>
      <c r="E1386" t="inlineStr">
        <is>
          <t>No</t>
        </is>
      </c>
      <c r="F1386" t="inlineStr">
        <is>
          <t>No</t>
        </is>
      </c>
      <c r="G1386">
        <f>IF(F1386="Yes",1-B1386,B1386)</f>
        <v/>
      </c>
      <c r="H1386">
        <f>IF(E1386="Yes","",COUNTIFS($E$2:E1386,"No"))</f>
        <v/>
      </c>
      <c r="I1386">
        <f>IF(H1386="","",IF(H1386&lt;=128,"address",IF(H1386&lt;=600,"data1",IF(H1386&lt;=1264,"zero-run1",IF(H1386&lt;=1648,"data2",IF(H1386&lt;=2176,"zero-run2",IF(H1386&lt;=2192,"FCS","trailing")))))))</f>
        <v/>
      </c>
      <c r="J1386">
        <f>IFERROR(IF(AND(H1386&lt;&gt;"",H1386&gt;=129,H1386&lt;=2176),INDEX(Fields!$B$2:$B$206,MATCH(H1386-129,Fields!$D$2:$D$206,1)),""),"")</f>
        <v/>
      </c>
      <c r="K1386">
        <f>IFERROR(IF(AND(H1386&lt;&gt;"",H1386&gt;=129,H1386&lt;=2176),INDEX(Fields!$C$2:$C$206,MATCH(H1386-129,Fields!$D$2:$D$206,1)),""),"")</f>
        <v/>
      </c>
      <c r="L1386">
        <f>IFERROR(IF(AND(H1386&lt;&gt;"",H1386&gt;=129,H1386&lt;=2176),INDEX(Fields!$J$2:$J$206,MATCH(H1386-129,Fields!$D$2:$D$206,1)),""),"")</f>
        <v/>
      </c>
      <c r="M1386">
        <f>IFERROR(IF(AND(H1386&lt;&gt;"",H1386&gt;=129,H1386&lt;=2176),INDEX(Fields!$K$2:$K$206,MATCH(H1386-129,Fields!$D$2:$D$206,1)),""),"")</f>
        <v/>
      </c>
    </row>
    <row r="1387">
      <c r="A1387" t="n">
        <v>1385</v>
      </c>
      <c r="B1387" t="n">
        <v>1</v>
      </c>
      <c r="C1387" t="inlineStr">
        <is>
          <t>No</t>
        </is>
      </c>
      <c r="D1387">
        <f>IF(AND(B1382=1,B1383=1,B1384=1,B1385=1,B1386=1),"Yes","")</f>
        <v/>
      </c>
      <c r="E1387" t="inlineStr">
        <is>
          <t>No</t>
        </is>
      </c>
      <c r="F1387" t="inlineStr">
        <is>
          <t>No</t>
        </is>
      </c>
      <c r="G1387">
        <f>IF(F1387="Yes",1-B1387,B1387)</f>
        <v/>
      </c>
      <c r="H1387">
        <f>IF(E1387="Yes","",COUNTIFS($E$2:E1387,"No"))</f>
        <v/>
      </c>
      <c r="I1387">
        <f>IF(H1387="","",IF(H1387&lt;=128,"address",IF(H1387&lt;=600,"data1",IF(H1387&lt;=1264,"zero-run1",IF(H1387&lt;=1648,"data2",IF(H1387&lt;=2176,"zero-run2",IF(H1387&lt;=2192,"FCS","trailing")))))))</f>
        <v/>
      </c>
      <c r="J1387">
        <f>IFERROR(IF(AND(H1387&lt;&gt;"",H1387&gt;=129,H1387&lt;=2176),INDEX(Fields!$B$2:$B$206,MATCH(H1387-129,Fields!$D$2:$D$206,1)),""),"")</f>
        <v/>
      </c>
      <c r="K1387">
        <f>IFERROR(IF(AND(H1387&lt;&gt;"",H1387&gt;=129,H1387&lt;=2176),INDEX(Fields!$C$2:$C$206,MATCH(H1387-129,Fields!$D$2:$D$206,1)),""),"")</f>
        <v/>
      </c>
      <c r="L1387">
        <f>IFERROR(IF(AND(H1387&lt;&gt;"",H1387&gt;=129,H1387&lt;=2176),INDEX(Fields!$J$2:$J$206,MATCH(H1387-129,Fields!$D$2:$D$206,1)),""),"")</f>
        <v/>
      </c>
      <c r="M1387">
        <f>IFERROR(IF(AND(H1387&lt;&gt;"",H1387&gt;=129,H1387&lt;=2176),INDEX(Fields!$K$2:$K$206,MATCH(H1387-129,Fields!$D$2:$D$206,1)),""),"")</f>
        <v/>
      </c>
    </row>
    <row r="1388">
      <c r="A1388" t="n">
        <v>1386</v>
      </c>
      <c r="B1388" t="n">
        <v>0</v>
      </c>
      <c r="C1388" t="inlineStr">
        <is>
          <t>No</t>
        </is>
      </c>
      <c r="D1388">
        <f>IF(AND(B1383=1,B1384=1,B1385=1,B1386=1,B1387=1),"Yes","")</f>
        <v/>
      </c>
      <c r="E1388" t="inlineStr">
        <is>
          <t>No</t>
        </is>
      </c>
      <c r="F1388" t="inlineStr">
        <is>
          <t>No</t>
        </is>
      </c>
      <c r="G1388">
        <f>IF(F1388="Yes",1-B1388,B1388)</f>
        <v/>
      </c>
      <c r="H1388">
        <f>IF(E1388="Yes","",COUNTIFS($E$2:E1388,"No"))</f>
        <v/>
      </c>
      <c r="I1388">
        <f>IF(H1388="","",IF(H1388&lt;=128,"address",IF(H1388&lt;=600,"data1",IF(H1388&lt;=1264,"zero-run1",IF(H1388&lt;=1648,"data2",IF(H1388&lt;=2176,"zero-run2",IF(H1388&lt;=2192,"FCS","trailing")))))))</f>
        <v/>
      </c>
      <c r="J1388">
        <f>IFERROR(IF(AND(H1388&lt;&gt;"",H1388&gt;=129,H1388&lt;=2176),INDEX(Fields!$B$2:$B$206,MATCH(H1388-129,Fields!$D$2:$D$206,1)),""),"")</f>
        <v/>
      </c>
      <c r="K1388">
        <f>IFERROR(IF(AND(H1388&lt;&gt;"",H1388&gt;=129,H1388&lt;=2176),INDEX(Fields!$C$2:$C$206,MATCH(H1388-129,Fields!$D$2:$D$206,1)),""),"")</f>
        <v/>
      </c>
      <c r="L1388">
        <f>IFERROR(IF(AND(H1388&lt;&gt;"",H1388&gt;=129,H1388&lt;=2176),INDEX(Fields!$J$2:$J$206,MATCH(H1388-129,Fields!$D$2:$D$206,1)),""),"")</f>
        <v/>
      </c>
      <c r="M1388">
        <f>IFERROR(IF(AND(H1388&lt;&gt;"",H1388&gt;=129,H1388&lt;=2176),INDEX(Fields!$K$2:$K$206,MATCH(H1388-129,Fields!$D$2:$D$206,1)),""),"")</f>
        <v/>
      </c>
    </row>
    <row r="1389">
      <c r="A1389" t="n">
        <v>1387</v>
      </c>
      <c r="B1389" t="n">
        <v>0</v>
      </c>
      <c r="C1389" t="inlineStr">
        <is>
          <t>No</t>
        </is>
      </c>
      <c r="D1389">
        <f>IF(AND(B1384=1,B1385=1,B1386=1,B1387=1,B1388=1),"Yes","")</f>
        <v/>
      </c>
      <c r="E1389" t="inlineStr">
        <is>
          <t>No</t>
        </is>
      </c>
      <c r="F1389" t="inlineStr">
        <is>
          <t>No</t>
        </is>
      </c>
      <c r="G1389">
        <f>IF(F1389="Yes",1-B1389,B1389)</f>
        <v/>
      </c>
      <c r="H1389">
        <f>IF(E1389="Yes","",COUNTIFS($E$2:E1389,"No"))</f>
        <v/>
      </c>
      <c r="I1389">
        <f>IF(H1389="","",IF(H1389&lt;=128,"address",IF(H1389&lt;=600,"data1",IF(H1389&lt;=1264,"zero-run1",IF(H1389&lt;=1648,"data2",IF(H1389&lt;=2176,"zero-run2",IF(H1389&lt;=2192,"FCS","trailing")))))))</f>
        <v/>
      </c>
      <c r="J1389">
        <f>IFERROR(IF(AND(H1389&lt;&gt;"",H1389&gt;=129,H1389&lt;=2176),INDEX(Fields!$B$2:$B$206,MATCH(H1389-129,Fields!$D$2:$D$206,1)),""),"")</f>
        <v/>
      </c>
      <c r="K1389">
        <f>IFERROR(IF(AND(H1389&lt;&gt;"",H1389&gt;=129,H1389&lt;=2176),INDEX(Fields!$C$2:$C$206,MATCH(H1389-129,Fields!$D$2:$D$206,1)),""),"")</f>
        <v/>
      </c>
      <c r="L1389">
        <f>IFERROR(IF(AND(H1389&lt;&gt;"",H1389&gt;=129,H1389&lt;=2176),INDEX(Fields!$J$2:$J$206,MATCH(H1389-129,Fields!$D$2:$D$206,1)),""),"")</f>
        <v/>
      </c>
      <c r="M1389">
        <f>IFERROR(IF(AND(H1389&lt;&gt;"",H1389&gt;=129,H1389&lt;=2176),INDEX(Fields!$K$2:$K$206,MATCH(H1389-129,Fields!$D$2:$D$206,1)),""),"")</f>
        <v/>
      </c>
    </row>
    <row r="1390">
      <c r="A1390" t="n">
        <v>1388</v>
      </c>
      <c r="B1390" t="n">
        <v>0</v>
      </c>
      <c r="C1390" t="inlineStr">
        <is>
          <t>No</t>
        </is>
      </c>
      <c r="D1390">
        <f>IF(AND(B1385=1,B1386=1,B1387=1,B1388=1,B1389=1),"Yes","")</f>
        <v/>
      </c>
      <c r="E1390" t="inlineStr">
        <is>
          <t>No</t>
        </is>
      </c>
      <c r="F1390" t="inlineStr">
        <is>
          <t>No</t>
        </is>
      </c>
      <c r="G1390">
        <f>IF(F1390="Yes",1-B1390,B1390)</f>
        <v/>
      </c>
      <c r="H1390">
        <f>IF(E1390="Yes","",COUNTIFS($E$2:E1390,"No"))</f>
        <v/>
      </c>
      <c r="I1390">
        <f>IF(H1390="","",IF(H1390&lt;=128,"address",IF(H1390&lt;=600,"data1",IF(H1390&lt;=1264,"zero-run1",IF(H1390&lt;=1648,"data2",IF(H1390&lt;=2176,"zero-run2",IF(H1390&lt;=2192,"FCS","trailing")))))))</f>
        <v/>
      </c>
      <c r="J1390">
        <f>IFERROR(IF(AND(H1390&lt;&gt;"",H1390&gt;=129,H1390&lt;=2176),INDEX(Fields!$B$2:$B$206,MATCH(H1390-129,Fields!$D$2:$D$206,1)),""),"")</f>
        <v/>
      </c>
      <c r="K1390">
        <f>IFERROR(IF(AND(H1390&lt;&gt;"",H1390&gt;=129,H1390&lt;=2176),INDEX(Fields!$C$2:$C$206,MATCH(H1390-129,Fields!$D$2:$D$206,1)),""),"")</f>
        <v/>
      </c>
      <c r="L1390">
        <f>IFERROR(IF(AND(H1390&lt;&gt;"",H1390&gt;=129,H1390&lt;=2176),INDEX(Fields!$J$2:$J$206,MATCH(H1390-129,Fields!$D$2:$D$206,1)),""),"")</f>
        <v/>
      </c>
      <c r="M1390">
        <f>IFERROR(IF(AND(H1390&lt;&gt;"",H1390&gt;=129,H1390&lt;=2176),INDEX(Fields!$K$2:$K$206,MATCH(H1390-129,Fields!$D$2:$D$206,1)),""),"")</f>
        <v/>
      </c>
    </row>
    <row r="1391">
      <c r="A1391" t="n">
        <v>1389</v>
      </c>
      <c r="B1391" t="n">
        <v>0</v>
      </c>
      <c r="C1391" t="inlineStr">
        <is>
          <t>No</t>
        </is>
      </c>
      <c r="D1391">
        <f>IF(AND(B1386=1,B1387=1,B1388=1,B1389=1,B1390=1),"Yes","")</f>
        <v/>
      </c>
      <c r="E1391" t="inlineStr">
        <is>
          <t>No</t>
        </is>
      </c>
      <c r="F1391" t="inlineStr">
        <is>
          <t>No</t>
        </is>
      </c>
      <c r="G1391">
        <f>IF(F1391="Yes",1-B1391,B1391)</f>
        <v/>
      </c>
      <c r="H1391">
        <f>IF(E1391="Yes","",COUNTIFS($E$2:E1391,"No"))</f>
        <v/>
      </c>
      <c r="I1391">
        <f>IF(H1391="","",IF(H1391&lt;=128,"address",IF(H1391&lt;=600,"data1",IF(H1391&lt;=1264,"zero-run1",IF(H1391&lt;=1648,"data2",IF(H1391&lt;=2176,"zero-run2",IF(H1391&lt;=2192,"FCS","trailing")))))))</f>
        <v/>
      </c>
      <c r="J1391">
        <f>IFERROR(IF(AND(H1391&lt;&gt;"",H1391&gt;=129,H1391&lt;=2176),INDEX(Fields!$B$2:$B$206,MATCH(H1391-129,Fields!$D$2:$D$206,1)),""),"")</f>
        <v/>
      </c>
      <c r="K1391">
        <f>IFERROR(IF(AND(H1391&lt;&gt;"",H1391&gt;=129,H1391&lt;=2176),INDEX(Fields!$C$2:$C$206,MATCH(H1391-129,Fields!$D$2:$D$206,1)),""),"")</f>
        <v/>
      </c>
      <c r="L1391">
        <f>IFERROR(IF(AND(H1391&lt;&gt;"",H1391&gt;=129,H1391&lt;=2176),INDEX(Fields!$J$2:$J$206,MATCH(H1391-129,Fields!$D$2:$D$206,1)),""),"")</f>
        <v/>
      </c>
      <c r="M1391">
        <f>IFERROR(IF(AND(H1391&lt;&gt;"",H1391&gt;=129,H1391&lt;=2176),INDEX(Fields!$K$2:$K$206,MATCH(H1391-129,Fields!$D$2:$D$206,1)),""),"")</f>
        <v/>
      </c>
    </row>
    <row r="1392">
      <c r="A1392" t="n">
        <v>1390</v>
      </c>
      <c r="B1392" t="n">
        <v>0</v>
      </c>
      <c r="C1392" t="inlineStr">
        <is>
          <t>No</t>
        </is>
      </c>
      <c r="D1392">
        <f>IF(AND(B1387=1,B1388=1,B1389=1,B1390=1,B1391=1),"Yes","")</f>
        <v/>
      </c>
      <c r="E1392" t="inlineStr">
        <is>
          <t>No</t>
        </is>
      </c>
      <c r="F1392" t="inlineStr">
        <is>
          <t>No</t>
        </is>
      </c>
      <c r="G1392">
        <f>IF(F1392="Yes",1-B1392,B1392)</f>
        <v/>
      </c>
      <c r="H1392">
        <f>IF(E1392="Yes","",COUNTIFS($E$2:E1392,"No"))</f>
        <v/>
      </c>
      <c r="I1392">
        <f>IF(H1392="","",IF(H1392&lt;=128,"address",IF(H1392&lt;=600,"data1",IF(H1392&lt;=1264,"zero-run1",IF(H1392&lt;=1648,"data2",IF(H1392&lt;=2176,"zero-run2",IF(H1392&lt;=2192,"FCS","trailing")))))))</f>
        <v/>
      </c>
      <c r="J1392">
        <f>IFERROR(IF(AND(H1392&lt;&gt;"",H1392&gt;=129,H1392&lt;=2176),INDEX(Fields!$B$2:$B$206,MATCH(H1392-129,Fields!$D$2:$D$206,1)),""),"")</f>
        <v/>
      </c>
      <c r="K1392">
        <f>IFERROR(IF(AND(H1392&lt;&gt;"",H1392&gt;=129,H1392&lt;=2176),INDEX(Fields!$C$2:$C$206,MATCH(H1392-129,Fields!$D$2:$D$206,1)),""),"")</f>
        <v/>
      </c>
      <c r="L1392">
        <f>IFERROR(IF(AND(H1392&lt;&gt;"",H1392&gt;=129,H1392&lt;=2176),INDEX(Fields!$J$2:$J$206,MATCH(H1392-129,Fields!$D$2:$D$206,1)),""),"")</f>
        <v/>
      </c>
      <c r="M1392">
        <f>IFERROR(IF(AND(H1392&lt;&gt;"",H1392&gt;=129,H1392&lt;=2176),INDEX(Fields!$K$2:$K$206,MATCH(H1392-129,Fields!$D$2:$D$206,1)),""),"")</f>
        <v/>
      </c>
    </row>
    <row r="1393">
      <c r="A1393" t="n">
        <v>1391</v>
      </c>
      <c r="B1393" t="n">
        <v>0</v>
      </c>
      <c r="C1393" t="inlineStr">
        <is>
          <t>No</t>
        </is>
      </c>
      <c r="D1393">
        <f>IF(AND(B1388=1,B1389=1,B1390=1,B1391=1,B1392=1),"Yes","")</f>
        <v/>
      </c>
      <c r="E1393" t="inlineStr">
        <is>
          <t>No</t>
        </is>
      </c>
      <c r="F1393" t="inlineStr">
        <is>
          <t>No</t>
        </is>
      </c>
      <c r="G1393">
        <f>IF(F1393="Yes",1-B1393,B1393)</f>
        <v/>
      </c>
      <c r="H1393">
        <f>IF(E1393="Yes","",COUNTIFS($E$2:E1393,"No"))</f>
        <v/>
      </c>
      <c r="I1393">
        <f>IF(H1393="","",IF(H1393&lt;=128,"address",IF(H1393&lt;=600,"data1",IF(H1393&lt;=1264,"zero-run1",IF(H1393&lt;=1648,"data2",IF(H1393&lt;=2176,"zero-run2",IF(H1393&lt;=2192,"FCS","trailing")))))))</f>
        <v/>
      </c>
      <c r="J1393">
        <f>IFERROR(IF(AND(H1393&lt;&gt;"",H1393&gt;=129,H1393&lt;=2176),INDEX(Fields!$B$2:$B$206,MATCH(H1393-129,Fields!$D$2:$D$206,1)),""),"")</f>
        <v/>
      </c>
      <c r="K1393">
        <f>IFERROR(IF(AND(H1393&lt;&gt;"",H1393&gt;=129,H1393&lt;=2176),INDEX(Fields!$C$2:$C$206,MATCH(H1393-129,Fields!$D$2:$D$206,1)),""),"")</f>
        <v/>
      </c>
      <c r="L1393">
        <f>IFERROR(IF(AND(H1393&lt;&gt;"",H1393&gt;=129,H1393&lt;=2176),INDEX(Fields!$J$2:$J$206,MATCH(H1393-129,Fields!$D$2:$D$206,1)),""),"")</f>
        <v/>
      </c>
      <c r="M1393">
        <f>IFERROR(IF(AND(H1393&lt;&gt;"",H1393&gt;=129,H1393&lt;=2176),INDEX(Fields!$K$2:$K$206,MATCH(H1393-129,Fields!$D$2:$D$206,1)),""),"")</f>
        <v/>
      </c>
    </row>
    <row r="1394">
      <c r="A1394" t="n">
        <v>1392</v>
      </c>
      <c r="B1394" t="n">
        <v>0</v>
      </c>
      <c r="C1394" t="inlineStr">
        <is>
          <t>No</t>
        </is>
      </c>
      <c r="D1394">
        <f>IF(AND(B1389=1,B1390=1,B1391=1,B1392=1,B1393=1),"Yes","")</f>
        <v/>
      </c>
      <c r="E1394" t="inlineStr">
        <is>
          <t>No</t>
        </is>
      </c>
      <c r="F1394" t="inlineStr">
        <is>
          <t>No</t>
        </is>
      </c>
      <c r="G1394">
        <f>IF(F1394="Yes",1-B1394,B1394)</f>
        <v/>
      </c>
      <c r="H1394">
        <f>IF(E1394="Yes","",COUNTIFS($E$2:E1394,"No"))</f>
        <v/>
      </c>
      <c r="I1394">
        <f>IF(H1394="","",IF(H1394&lt;=128,"address",IF(H1394&lt;=600,"data1",IF(H1394&lt;=1264,"zero-run1",IF(H1394&lt;=1648,"data2",IF(H1394&lt;=2176,"zero-run2",IF(H1394&lt;=2192,"FCS","trailing")))))))</f>
        <v/>
      </c>
      <c r="J1394">
        <f>IFERROR(IF(AND(H1394&lt;&gt;"",H1394&gt;=129,H1394&lt;=2176),INDEX(Fields!$B$2:$B$206,MATCH(H1394-129,Fields!$D$2:$D$206,1)),""),"")</f>
        <v/>
      </c>
      <c r="K1394">
        <f>IFERROR(IF(AND(H1394&lt;&gt;"",H1394&gt;=129,H1394&lt;=2176),INDEX(Fields!$C$2:$C$206,MATCH(H1394-129,Fields!$D$2:$D$206,1)),""),"")</f>
        <v/>
      </c>
      <c r="L1394">
        <f>IFERROR(IF(AND(H1394&lt;&gt;"",H1394&gt;=129,H1394&lt;=2176),INDEX(Fields!$J$2:$J$206,MATCH(H1394-129,Fields!$D$2:$D$206,1)),""),"")</f>
        <v/>
      </c>
      <c r="M1394">
        <f>IFERROR(IF(AND(H1394&lt;&gt;"",H1394&gt;=129,H1394&lt;=2176),INDEX(Fields!$K$2:$K$206,MATCH(H1394-129,Fields!$D$2:$D$206,1)),""),"")</f>
        <v/>
      </c>
    </row>
    <row r="1395">
      <c r="A1395" t="n">
        <v>1393</v>
      </c>
      <c r="B1395" t="n">
        <v>0</v>
      </c>
      <c r="C1395" t="inlineStr">
        <is>
          <t>No</t>
        </is>
      </c>
      <c r="D1395">
        <f>IF(AND(B1390=1,B1391=1,B1392=1,B1393=1,B1394=1),"Yes","")</f>
        <v/>
      </c>
      <c r="E1395" t="inlineStr">
        <is>
          <t>No</t>
        </is>
      </c>
      <c r="F1395" t="inlineStr">
        <is>
          <t>No</t>
        </is>
      </c>
      <c r="G1395">
        <f>IF(F1395="Yes",1-B1395,B1395)</f>
        <v/>
      </c>
      <c r="H1395">
        <f>IF(E1395="Yes","",COUNTIFS($E$2:E1395,"No"))</f>
        <v/>
      </c>
      <c r="I1395">
        <f>IF(H1395="","",IF(H1395&lt;=128,"address",IF(H1395&lt;=600,"data1",IF(H1395&lt;=1264,"zero-run1",IF(H1395&lt;=1648,"data2",IF(H1395&lt;=2176,"zero-run2",IF(H1395&lt;=2192,"FCS","trailing")))))))</f>
        <v/>
      </c>
      <c r="J1395">
        <f>IFERROR(IF(AND(H1395&lt;&gt;"",H1395&gt;=129,H1395&lt;=2176),INDEX(Fields!$B$2:$B$206,MATCH(H1395-129,Fields!$D$2:$D$206,1)),""),"")</f>
        <v/>
      </c>
      <c r="K1395">
        <f>IFERROR(IF(AND(H1395&lt;&gt;"",H1395&gt;=129,H1395&lt;=2176),INDEX(Fields!$C$2:$C$206,MATCH(H1395-129,Fields!$D$2:$D$206,1)),""),"")</f>
        <v/>
      </c>
      <c r="L1395">
        <f>IFERROR(IF(AND(H1395&lt;&gt;"",H1395&gt;=129,H1395&lt;=2176),INDEX(Fields!$J$2:$J$206,MATCH(H1395-129,Fields!$D$2:$D$206,1)),""),"")</f>
        <v/>
      </c>
      <c r="M1395">
        <f>IFERROR(IF(AND(H1395&lt;&gt;"",H1395&gt;=129,H1395&lt;=2176),INDEX(Fields!$K$2:$K$206,MATCH(H1395-129,Fields!$D$2:$D$206,1)),""),"")</f>
        <v/>
      </c>
    </row>
    <row r="1396">
      <c r="A1396" t="n">
        <v>1394</v>
      </c>
      <c r="B1396" t="n">
        <v>0</v>
      </c>
      <c r="C1396" t="inlineStr">
        <is>
          <t>No</t>
        </is>
      </c>
      <c r="D1396">
        <f>IF(AND(B1391=1,B1392=1,B1393=1,B1394=1,B1395=1),"Yes","")</f>
        <v/>
      </c>
      <c r="E1396" t="inlineStr">
        <is>
          <t>No</t>
        </is>
      </c>
      <c r="F1396" t="inlineStr">
        <is>
          <t>No</t>
        </is>
      </c>
      <c r="G1396">
        <f>IF(F1396="Yes",1-B1396,B1396)</f>
        <v/>
      </c>
      <c r="H1396">
        <f>IF(E1396="Yes","",COUNTIFS($E$2:E1396,"No"))</f>
        <v/>
      </c>
      <c r="I1396">
        <f>IF(H1396="","",IF(H1396&lt;=128,"address",IF(H1396&lt;=600,"data1",IF(H1396&lt;=1264,"zero-run1",IF(H1396&lt;=1648,"data2",IF(H1396&lt;=2176,"zero-run2",IF(H1396&lt;=2192,"FCS","trailing")))))))</f>
        <v/>
      </c>
      <c r="J1396">
        <f>IFERROR(IF(AND(H1396&lt;&gt;"",H1396&gt;=129,H1396&lt;=2176),INDEX(Fields!$B$2:$B$206,MATCH(H1396-129,Fields!$D$2:$D$206,1)),""),"")</f>
        <v/>
      </c>
      <c r="K1396">
        <f>IFERROR(IF(AND(H1396&lt;&gt;"",H1396&gt;=129,H1396&lt;=2176),INDEX(Fields!$C$2:$C$206,MATCH(H1396-129,Fields!$D$2:$D$206,1)),""),"")</f>
        <v/>
      </c>
      <c r="L1396">
        <f>IFERROR(IF(AND(H1396&lt;&gt;"",H1396&gt;=129,H1396&lt;=2176),INDEX(Fields!$J$2:$J$206,MATCH(H1396-129,Fields!$D$2:$D$206,1)),""),"")</f>
        <v/>
      </c>
      <c r="M1396">
        <f>IFERROR(IF(AND(H1396&lt;&gt;"",H1396&gt;=129,H1396&lt;=2176),INDEX(Fields!$K$2:$K$206,MATCH(H1396-129,Fields!$D$2:$D$206,1)),""),"")</f>
        <v/>
      </c>
    </row>
    <row r="1397">
      <c r="A1397" t="n">
        <v>1395</v>
      </c>
      <c r="B1397" t="n">
        <v>0</v>
      </c>
      <c r="C1397" t="inlineStr">
        <is>
          <t>No</t>
        </is>
      </c>
      <c r="D1397">
        <f>IF(AND(B1392=1,B1393=1,B1394=1,B1395=1,B1396=1),"Yes","")</f>
        <v/>
      </c>
      <c r="E1397" t="inlineStr">
        <is>
          <t>No</t>
        </is>
      </c>
      <c r="F1397" t="inlineStr">
        <is>
          <t>No</t>
        </is>
      </c>
      <c r="G1397">
        <f>IF(F1397="Yes",1-B1397,B1397)</f>
        <v/>
      </c>
      <c r="H1397">
        <f>IF(E1397="Yes","",COUNTIFS($E$2:E1397,"No"))</f>
        <v/>
      </c>
      <c r="I1397">
        <f>IF(H1397="","",IF(H1397&lt;=128,"address",IF(H1397&lt;=600,"data1",IF(H1397&lt;=1264,"zero-run1",IF(H1397&lt;=1648,"data2",IF(H1397&lt;=2176,"zero-run2",IF(H1397&lt;=2192,"FCS","trailing")))))))</f>
        <v/>
      </c>
      <c r="J1397">
        <f>IFERROR(IF(AND(H1397&lt;&gt;"",H1397&gt;=129,H1397&lt;=2176),INDEX(Fields!$B$2:$B$206,MATCH(H1397-129,Fields!$D$2:$D$206,1)),""),"")</f>
        <v/>
      </c>
      <c r="K1397">
        <f>IFERROR(IF(AND(H1397&lt;&gt;"",H1397&gt;=129,H1397&lt;=2176),INDEX(Fields!$C$2:$C$206,MATCH(H1397-129,Fields!$D$2:$D$206,1)),""),"")</f>
        <v/>
      </c>
      <c r="L1397">
        <f>IFERROR(IF(AND(H1397&lt;&gt;"",H1397&gt;=129,H1397&lt;=2176),INDEX(Fields!$J$2:$J$206,MATCH(H1397-129,Fields!$D$2:$D$206,1)),""),"")</f>
        <v/>
      </c>
      <c r="M1397">
        <f>IFERROR(IF(AND(H1397&lt;&gt;"",H1397&gt;=129,H1397&lt;=2176),INDEX(Fields!$K$2:$K$206,MATCH(H1397-129,Fields!$D$2:$D$206,1)),""),"")</f>
        <v/>
      </c>
    </row>
    <row r="1398">
      <c r="A1398" t="n">
        <v>1396</v>
      </c>
      <c r="B1398" t="n">
        <v>0</v>
      </c>
      <c r="C1398" t="inlineStr">
        <is>
          <t>No</t>
        </is>
      </c>
      <c r="D1398">
        <f>IF(AND(B1393=1,B1394=1,B1395=1,B1396=1,B1397=1),"Yes","")</f>
        <v/>
      </c>
      <c r="E1398" t="inlineStr">
        <is>
          <t>No</t>
        </is>
      </c>
      <c r="F1398" t="inlineStr">
        <is>
          <t>No</t>
        </is>
      </c>
      <c r="G1398">
        <f>IF(F1398="Yes",1-B1398,B1398)</f>
        <v/>
      </c>
      <c r="H1398">
        <f>IF(E1398="Yes","",COUNTIFS($E$2:E1398,"No"))</f>
        <v/>
      </c>
      <c r="I1398">
        <f>IF(H1398="","",IF(H1398&lt;=128,"address",IF(H1398&lt;=600,"data1",IF(H1398&lt;=1264,"zero-run1",IF(H1398&lt;=1648,"data2",IF(H1398&lt;=2176,"zero-run2",IF(H1398&lt;=2192,"FCS","trailing")))))))</f>
        <v/>
      </c>
      <c r="J1398">
        <f>IFERROR(IF(AND(H1398&lt;&gt;"",H1398&gt;=129,H1398&lt;=2176),INDEX(Fields!$B$2:$B$206,MATCH(H1398-129,Fields!$D$2:$D$206,1)),""),"")</f>
        <v/>
      </c>
      <c r="K1398">
        <f>IFERROR(IF(AND(H1398&lt;&gt;"",H1398&gt;=129,H1398&lt;=2176),INDEX(Fields!$C$2:$C$206,MATCH(H1398-129,Fields!$D$2:$D$206,1)),""),"")</f>
        <v/>
      </c>
      <c r="L1398">
        <f>IFERROR(IF(AND(H1398&lt;&gt;"",H1398&gt;=129,H1398&lt;=2176),INDEX(Fields!$J$2:$J$206,MATCH(H1398-129,Fields!$D$2:$D$206,1)),""),"")</f>
        <v/>
      </c>
      <c r="M1398">
        <f>IFERROR(IF(AND(H1398&lt;&gt;"",H1398&gt;=129,H1398&lt;=2176),INDEX(Fields!$K$2:$K$206,MATCH(H1398-129,Fields!$D$2:$D$206,1)),""),"")</f>
        <v/>
      </c>
    </row>
    <row r="1399">
      <c r="A1399" t="n">
        <v>1397</v>
      </c>
      <c r="B1399" t="n">
        <v>0</v>
      </c>
      <c r="C1399" t="inlineStr">
        <is>
          <t>No</t>
        </is>
      </c>
      <c r="D1399">
        <f>IF(AND(B1394=1,B1395=1,B1396=1,B1397=1,B1398=1),"Yes","")</f>
        <v/>
      </c>
      <c r="E1399" t="inlineStr">
        <is>
          <t>No</t>
        </is>
      </c>
      <c r="F1399" t="inlineStr">
        <is>
          <t>No</t>
        </is>
      </c>
      <c r="G1399">
        <f>IF(F1399="Yes",1-B1399,B1399)</f>
        <v/>
      </c>
      <c r="H1399">
        <f>IF(E1399="Yes","",COUNTIFS($E$2:E1399,"No"))</f>
        <v/>
      </c>
      <c r="I1399">
        <f>IF(H1399="","",IF(H1399&lt;=128,"address",IF(H1399&lt;=600,"data1",IF(H1399&lt;=1264,"zero-run1",IF(H1399&lt;=1648,"data2",IF(H1399&lt;=2176,"zero-run2",IF(H1399&lt;=2192,"FCS","trailing")))))))</f>
        <v/>
      </c>
      <c r="J1399">
        <f>IFERROR(IF(AND(H1399&lt;&gt;"",H1399&gt;=129,H1399&lt;=2176),INDEX(Fields!$B$2:$B$206,MATCH(H1399-129,Fields!$D$2:$D$206,1)),""),"")</f>
        <v/>
      </c>
      <c r="K1399">
        <f>IFERROR(IF(AND(H1399&lt;&gt;"",H1399&gt;=129,H1399&lt;=2176),INDEX(Fields!$C$2:$C$206,MATCH(H1399-129,Fields!$D$2:$D$206,1)),""),"")</f>
        <v/>
      </c>
      <c r="L1399">
        <f>IFERROR(IF(AND(H1399&lt;&gt;"",H1399&gt;=129,H1399&lt;=2176),INDEX(Fields!$J$2:$J$206,MATCH(H1399-129,Fields!$D$2:$D$206,1)),""),"")</f>
        <v/>
      </c>
      <c r="M1399">
        <f>IFERROR(IF(AND(H1399&lt;&gt;"",H1399&gt;=129,H1399&lt;=2176),INDEX(Fields!$K$2:$K$206,MATCH(H1399-129,Fields!$D$2:$D$206,1)),""),"")</f>
        <v/>
      </c>
    </row>
    <row r="1400">
      <c r="A1400" t="n">
        <v>1398</v>
      </c>
      <c r="B1400" t="n">
        <v>1</v>
      </c>
      <c r="C1400" t="inlineStr">
        <is>
          <t>No</t>
        </is>
      </c>
      <c r="D1400">
        <f>IF(AND(B1395=1,B1396=1,B1397=1,B1398=1,B1399=1),"Yes","")</f>
        <v/>
      </c>
      <c r="E1400" t="inlineStr">
        <is>
          <t>No</t>
        </is>
      </c>
      <c r="F1400" t="inlineStr">
        <is>
          <t>No</t>
        </is>
      </c>
      <c r="G1400">
        <f>IF(F1400="Yes",1-B1400,B1400)</f>
        <v/>
      </c>
      <c r="H1400">
        <f>IF(E1400="Yes","",COUNTIFS($E$2:E1400,"No"))</f>
        <v/>
      </c>
      <c r="I1400">
        <f>IF(H1400="","",IF(H1400&lt;=128,"address",IF(H1400&lt;=600,"data1",IF(H1400&lt;=1264,"zero-run1",IF(H1400&lt;=1648,"data2",IF(H1400&lt;=2176,"zero-run2",IF(H1400&lt;=2192,"FCS","trailing")))))))</f>
        <v/>
      </c>
      <c r="J1400">
        <f>IFERROR(IF(AND(H1400&lt;&gt;"",H1400&gt;=129,H1400&lt;=2176),INDEX(Fields!$B$2:$B$206,MATCH(H1400-129,Fields!$D$2:$D$206,1)),""),"")</f>
        <v/>
      </c>
      <c r="K1400">
        <f>IFERROR(IF(AND(H1400&lt;&gt;"",H1400&gt;=129,H1400&lt;=2176),INDEX(Fields!$C$2:$C$206,MATCH(H1400-129,Fields!$D$2:$D$206,1)),""),"")</f>
        <v/>
      </c>
      <c r="L1400">
        <f>IFERROR(IF(AND(H1400&lt;&gt;"",H1400&gt;=129,H1400&lt;=2176),INDEX(Fields!$J$2:$J$206,MATCH(H1400-129,Fields!$D$2:$D$206,1)),""),"")</f>
        <v/>
      </c>
      <c r="M1400">
        <f>IFERROR(IF(AND(H1400&lt;&gt;"",H1400&gt;=129,H1400&lt;=2176),INDEX(Fields!$K$2:$K$206,MATCH(H1400-129,Fields!$D$2:$D$206,1)),""),"")</f>
        <v/>
      </c>
    </row>
    <row r="1401">
      <c r="A1401" t="n">
        <v>1399</v>
      </c>
      <c r="B1401" t="n">
        <v>1</v>
      </c>
      <c r="C1401" t="inlineStr">
        <is>
          <t>No</t>
        </is>
      </c>
      <c r="D1401">
        <f>IF(AND(B1396=1,B1397=1,B1398=1,B1399=1,B1400=1),"Yes","")</f>
        <v/>
      </c>
      <c r="E1401" t="inlineStr">
        <is>
          <t>No</t>
        </is>
      </c>
      <c r="F1401" t="inlineStr">
        <is>
          <t>No</t>
        </is>
      </c>
      <c r="G1401">
        <f>IF(F1401="Yes",1-B1401,B1401)</f>
        <v/>
      </c>
      <c r="H1401">
        <f>IF(E1401="Yes","",COUNTIFS($E$2:E1401,"No"))</f>
        <v/>
      </c>
      <c r="I1401">
        <f>IF(H1401="","",IF(H1401&lt;=128,"address",IF(H1401&lt;=600,"data1",IF(H1401&lt;=1264,"zero-run1",IF(H1401&lt;=1648,"data2",IF(H1401&lt;=2176,"zero-run2",IF(H1401&lt;=2192,"FCS","trailing")))))))</f>
        <v/>
      </c>
      <c r="J1401">
        <f>IFERROR(IF(AND(H1401&lt;&gt;"",H1401&gt;=129,H1401&lt;=2176),INDEX(Fields!$B$2:$B$206,MATCH(H1401-129,Fields!$D$2:$D$206,1)),""),"")</f>
        <v/>
      </c>
      <c r="K1401">
        <f>IFERROR(IF(AND(H1401&lt;&gt;"",H1401&gt;=129,H1401&lt;=2176),INDEX(Fields!$C$2:$C$206,MATCH(H1401-129,Fields!$D$2:$D$206,1)),""),"")</f>
        <v/>
      </c>
      <c r="L1401">
        <f>IFERROR(IF(AND(H1401&lt;&gt;"",H1401&gt;=129,H1401&lt;=2176),INDEX(Fields!$J$2:$J$206,MATCH(H1401-129,Fields!$D$2:$D$206,1)),""),"")</f>
        <v/>
      </c>
      <c r="M1401">
        <f>IFERROR(IF(AND(H1401&lt;&gt;"",H1401&gt;=129,H1401&lt;=2176),INDEX(Fields!$K$2:$K$206,MATCH(H1401-129,Fields!$D$2:$D$206,1)),""),"")</f>
        <v/>
      </c>
    </row>
    <row r="1402">
      <c r="A1402" t="n">
        <v>1400</v>
      </c>
      <c r="B1402" t="n">
        <v>0</v>
      </c>
      <c r="C1402" t="inlineStr">
        <is>
          <t>No</t>
        </is>
      </c>
      <c r="D1402">
        <f>IF(AND(B1397=1,B1398=1,B1399=1,B1400=1,B1401=1),"Yes","")</f>
        <v/>
      </c>
      <c r="E1402" t="inlineStr">
        <is>
          <t>No</t>
        </is>
      </c>
      <c r="F1402" t="inlineStr">
        <is>
          <t>No</t>
        </is>
      </c>
      <c r="G1402">
        <f>IF(F1402="Yes",1-B1402,B1402)</f>
        <v/>
      </c>
      <c r="H1402">
        <f>IF(E1402="Yes","",COUNTIFS($E$2:E1402,"No"))</f>
        <v/>
      </c>
      <c r="I1402">
        <f>IF(H1402="","",IF(H1402&lt;=128,"address",IF(H1402&lt;=600,"data1",IF(H1402&lt;=1264,"zero-run1",IF(H1402&lt;=1648,"data2",IF(H1402&lt;=2176,"zero-run2",IF(H1402&lt;=2192,"FCS","trailing")))))))</f>
        <v/>
      </c>
      <c r="J1402">
        <f>IFERROR(IF(AND(H1402&lt;&gt;"",H1402&gt;=129,H1402&lt;=2176),INDEX(Fields!$B$2:$B$206,MATCH(H1402-129,Fields!$D$2:$D$206,1)),""),"")</f>
        <v/>
      </c>
      <c r="K1402">
        <f>IFERROR(IF(AND(H1402&lt;&gt;"",H1402&gt;=129,H1402&lt;=2176),INDEX(Fields!$C$2:$C$206,MATCH(H1402-129,Fields!$D$2:$D$206,1)),""),"")</f>
        <v/>
      </c>
      <c r="L1402">
        <f>IFERROR(IF(AND(H1402&lt;&gt;"",H1402&gt;=129,H1402&lt;=2176),INDEX(Fields!$J$2:$J$206,MATCH(H1402-129,Fields!$D$2:$D$206,1)),""),"")</f>
        <v/>
      </c>
      <c r="M1402">
        <f>IFERROR(IF(AND(H1402&lt;&gt;"",H1402&gt;=129,H1402&lt;=2176),INDEX(Fields!$K$2:$K$206,MATCH(H1402-129,Fields!$D$2:$D$206,1)),""),"")</f>
        <v/>
      </c>
    </row>
    <row r="1403">
      <c r="A1403" t="n">
        <v>1401</v>
      </c>
      <c r="B1403" t="n">
        <v>0</v>
      </c>
      <c r="C1403" t="inlineStr">
        <is>
          <t>No</t>
        </is>
      </c>
      <c r="D1403">
        <f>IF(AND(B1398=1,B1399=1,B1400=1,B1401=1,B1402=1),"Yes","")</f>
        <v/>
      </c>
      <c r="E1403" t="inlineStr">
        <is>
          <t>No</t>
        </is>
      </c>
      <c r="F1403" t="inlineStr">
        <is>
          <t>No</t>
        </is>
      </c>
      <c r="G1403">
        <f>IF(F1403="Yes",1-B1403,B1403)</f>
        <v/>
      </c>
      <c r="H1403">
        <f>IF(E1403="Yes","",COUNTIFS($E$2:E1403,"No"))</f>
        <v/>
      </c>
      <c r="I1403">
        <f>IF(H1403="","",IF(H1403&lt;=128,"address",IF(H1403&lt;=600,"data1",IF(H1403&lt;=1264,"zero-run1",IF(H1403&lt;=1648,"data2",IF(H1403&lt;=2176,"zero-run2",IF(H1403&lt;=2192,"FCS","trailing")))))))</f>
        <v/>
      </c>
      <c r="J1403">
        <f>IFERROR(IF(AND(H1403&lt;&gt;"",H1403&gt;=129,H1403&lt;=2176),INDEX(Fields!$B$2:$B$206,MATCH(H1403-129,Fields!$D$2:$D$206,1)),""),"")</f>
        <v/>
      </c>
      <c r="K1403">
        <f>IFERROR(IF(AND(H1403&lt;&gt;"",H1403&gt;=129,H1403&lt;=2176),INDEX(Fields!$C$2:$C$206,MATCH(H1403-129,Fields!$D$2:$D$206,1)),""),"")</f>
        <v/>
      </c>
      <c r="L1403">
        <f>IFERROR(IF(AND(H1403&lt;&gt;"",H1403&gt;=129,H1403&lt;=2176),INDEX(Fields!$J$2:$J$206,MATCH(H1403-129,Fields!$D$2:$D$206,1)),""),"")</f>
        <v/>
      </c>
      <c r="M1403">
        <f>IFERROR(IF(AND(H1403&lt;&gt;"",H1403&gt;=129,H1403&lt;=2176),INDEX(Fields!$K$2:$K$206,MATCH(H1403-129,Fields!$D$2:$D$206,1)),""),"")</f>
        <v/>
      </c>
    </row>
    <row r="1404">
      <c r="A1404" t="n">
        <v>1402</v>
      </c>
      <c r="B1404" t="n">
        <v>1</v>
      </c>
      <c r="C1404" t="inlineStr">
        <is>
          <t>No</t>
        </is>
      </c>
      <c r="D1404">
        <f>IF(AND(B1399=1,B1400=1,B1401=1,B1402=1,B1403=1),"Yes","")</f>
        <v/>
      </c>
      <c r="E1404" t="inlineStr">
        <is>
          <t>No</t>
        </is>
      </c>
      <c r="F1404" t="inlineStr">
        <is>
          <t>No</t>
        </is>
      </c>
      <c r="G1404">
        <f>IF(F1404="Yes",1-B1404,B1404)</f>
        <v/>
      </c>
      <c r="H1404">
        <f>IF(E1404="Yes","",COUNTIFS($E$2:E1404,"No"))</f>
        <v/>
      </c>
      <c r="I1404">
        <f>IF(H1404="","",IF(H1404&lt;=128,"address",IF(H1404&lt;=600,"data1",IF(H1404&lt;=1264,"zero-run1",IF(H1404&lt;=1648,"data2",IF(H1404&lt;=2176,"zero-run2",IF(H1404&lt;=2192,"FCS","trailing")))))))</f>
        <v/>
      </c>
      <c r="J1404">
        <f>IFERROR(IF(AND(H1404&lt;&gt;"",H1404&gt;=129,H1404&lt;=2176),INDEX(Fields!$B$2:$B$206,MATCH(H1404-129,Fields!$D$2:$D$206,1)),""),"")</f>
        <v/>
      </c>
      <c r="K1404">
        <f>IFERROR(IF(AND(H1404&lt;&gt;"",H1404&gt;=129,H1404&lt;=2176),INDEX(Fields!$C$2:$C$206,MATCH(H1404-129,Fields!$D$2:$D$206,1)),""),"")</f>
        <v/>
      </c>
      <c r="L1404">
        <f>IFERROR(IF(AND(H1404&lt;&gt;"",H1404&gt;=129,H1404&lt;=2176),INDEX(Fields!$J$2:$J$206,MATCH(H1404-129,Fields!$D$2:$D$206,1)),""),"")</f>
        <v/>
      </c>
      <c r="M1404">
        <f>IFERROR(IF(AND(H1404&lt;&gt;"",H1404&gt;=129,H1404&lt;=2176),INDEX(Fields!$K$2:$K$206,MATCH(H1404-129,Fields!$D$2:$D$206,1)),""),"")</f>
        <v/>
      </c>
    </row>
    <row r="1405">
      <c r="A1405" t="n">
        <v>1403</v>
      </c>
      <c r="B1405" t="n">
        <v>1</v>
      </c>
      <c r="C1405" t="inlineStr">
        <is>
          <t>No</t>
        </is>
      </c>
      <c r="D1405">
        <f>IF(AND(B1400=1,B1401=1,B1402=1,B1403=1,B1404=1),"Yes","")</f>
        <v/>
      </c>
      <c r="E1405" t="inlineStr">
        <is>
          <t>No</t>
        </is>
      </c>
      <c r="F1405" t="inlineStr">
        <is>
          <t>No</t>
        </is>
      </c>
      <c r="G1405">
        <f>IF(F1405="Yes",1-B1405,B1405)</f>
        <v/>
      </c>
      <c r="H1405">
        <f>IF(E1405="Yes","",COUNTIFS($E$2:E1405,"No"))</f>
        <v/>
      </c>
      <c r="I1405">
        <f>IF(H1405="","",IF(H1405&lt;=128,"address",IF(H1405&lt;=600,"data1",IF(H1405&lt;=1264,"zero-run1",IF(H1405&lt;=1648,"data2",IF(H1405&lt;=2176,"zero-run2",IF(H1405&lt;=2192,"FCS","trailing")))))))</f>
        <v/>
      </c>
      <c r="J1405">
        <f>IFERROR(IF(AND(H1405&lt;&gt;"",H1405&gt;=129,H1405&lt;=2176),INDEX(Fields!$B$2:$B$206,MATCH(H1405-129,Fields!$D$2:$D$206,1)),""),"")</f>
        <v/>
      </c>
      <c r="K1405">
        <f>IFERROR(IF(AND(H1405&lt;&gt;"",H1405&gt;=129,H1405&lt;=2176),INDEX(Fields!$C$2:$C$206,MATCH(H1405-129,Fields!$D$2:$D$206,1)),""),"")</f>
        <v/>
      </c>
      <c r="L1405">
        <f>IFERROR(IF(AND(H1405&lt;&gt;"",H1405&gt;=129,H1405&lt;=2176),INDEX(Fields!$J$2:$J$206,MATCH(H1405-129,Fields!$D$2:$D$206,1)),""),"")</f>
        <v/>
      </c>
      <c r="M1405">
        <f>IFERROR(IF(AND(H1405&lt;&gt;"",H1405&gt;=129,H1405&lt;=2176),INDEX(Fields!$K$2:$K$206,MATCH(H1405-129,Fields!$D$2:$D$206,1)),""),"")</f>
        <v/>
      </c>
    </row>
    <row r="1406">
      <c r="A1406" t="n">
        <v>1404</v>
      </c>
      <c r="B1406" t="n">
        <v>0</v>
      </c>
      <c r="C1406" t="inlineStr">
        <is>
          <t>No</t>
        </is>
      </c>
      <c r="D1406">
        <f>IF(AND(B1401=1,B1402=1,B1403=1,B1404=1,B1405=1),"Yes","")</f>
        <v/>
      </c>
      <c r="E1406" t="inlineStr">
        <is>
          <t>No</t>
        </is>
      </c>
      <c r="F1406" t="inlineStr">
        <is>
          <t>No</t>
        </is>
      </c>
      <c r="G1406">
        <f>IF(F1406="Yes",1-B1406,B1406)</f>
        <v/>
      </c>
      <c r="H1406">
        <f>IF(E1406="Yes","",COUNTIFS($E$2:E1406,"No"))</f>
        <v/>
      </c>
      <c r="I1406">
        <f>IF(H1406="","",IF(H1406&lt;=128,"address",IF(H1406&lt;=600,"data1",IF(H1406&lt;=1264,"zero-run1",IF(H1406&lt;=1648,"data2",IF(H1406&lt;=2176,"zero-run2",IF(H1406&lt;=2192,"FCS","trailing")))))))</f>
        <v/>
      </c>
      <c r="J1406">
        <f>IFERROR(IF(AND(H1406&lt;&gt;"",H1406&gt;=129,H1406&lt;=2176),INDEX(Fields!$B$2:$B$206,MATCH(H1406-129,Fields!$D$2:$D$206,1)),""),"")</f>
        <v/>
      </c>
      <c r="K1406">
        <f>IFERROR(IF(AND(H1406&lt;&gt;"",H1406&gt;=129,H1406&lt;=2176),INDEX(Fields!$C$2:$C$206,MATCH(H1406-129,Fields!$D$2:$D$206,1)),""),"")</f>
        <v/>
      </c>
      <c r="L1406">
        <f>IFERROR(IF(AND(H1406&lt;&gt;"",H1406&gt;=129,H1406&lt;=2176),INDEX(Fields!$J$2:$J$206,MATCH(H1406-129,Fields!$D$2:$D$206,1)),""),"")</f>
        <v/>
      </c>
      <c r="M1406">
        <f>IFERROR(IF(AND(H1406&lt;&gt;"",H1406&gt;=129,H1406&lt;=2176),INDEX(Fields!$K$2:$K$206,MATCH(H1406-129,Fields!$D$2:$D$206,1)),""),"")</f>
        <v/>
      </c>
    </row>
    <row r="1407">
      <c r="A1407" t="n">
        <v>1405</v>
      </c>
      <c r="B1407" t="n">
        <v>0</v>
      </c>
      <c r="C1407" t="inlineStr">
        <is>
          <t>No</t>
        </is>
      </c>
      <c r="D1407">
        <f>IF(AND(B1402=1,B1403=1,B1404=1,B1405=1,B1406=1),"Yes","")</f>
        <v/>
      </c>
      <c r="E1407" t="inlineStr">
        <is>
          <t>No</t>
        </is>
      </c>
      <c r="F1407" t="inlineStr">
        <is>
          <t>No</t>
        </is>
      </c>
      <c r="G1407">
        <f>IF(F1407="Yes",1-B1407,B1407)</f>
        <v/>
      </c>
      <c r="H1407">
        <f>IF(E1407="Yes","",COUNTIFS($E$2:E1407,"No"))</f>
        <v/>
      </c>
      <c r="I1407">
        <f>IF(H1407="","",IF(H1407&lt;=128,"address",IF(H1407&lt;=600,"data1",IF(H1407&lt;=1264,"zero-run1",IF(H1407&lt;=1648,"data2",IF(H1407&lt;=2176,"zero-run2",IF(H1407&lt;=2192,"FCS","trailing")))))))</f>
        <v/>
      </c>
      <c r="J1407">
        <f>IFERROR(IF(AND(H1407&lt;&gt;"",H1407&gt;=129,H1407&lt;=2176),INDEX(Fields!$B$2:$B$206,MATCH(H1407-129,Fields!$D$2:$D$206,1)),""),"")</f>
        <v/>
      </c>
      <c r="K1407">
        <f>IFERROR(IF(AND(H1407&lt;&gt;"",H1407&gt;=129,H1407&lt;=2176),INDEX(Fields!$C$2:$C$206,MATCH(H1407-129,Fields!$D$2:$D$206,1)),""),"")</f>
        <v/>
      </c>
      <c r="L1407">
        <f>IFERROR(IF(AND(H1407&lt;&gt;"",H1407&gt;=129,H1407&lt;=2176),INDEX(Fields!$J$2:$J$206,MATCH(H1407-129,Fields!$D$2:$D$206,1)),""),"")</f>
        <v/>
      </c>
      <c r="M1407">
        <f>IFERROR(IF(AND(H1407&lt;&gt;"",H1407&gt;=129,H1407&lt;=2176),INDEX(Fields!$K$2:$K$206,MATCH(H1407-129,Fields!$D$2:$D$206,1)),""),"")</f>
        <v/>
      </c>
    </row>
    <row r="1408">
      <c r="A1408" t="n">
        <v>1406</v>
      </c>
      <c r="B1408" t="n">
        <v>0</v>
      </c>
      <c r="C1408" t="inlineStr">
        <is>
          <t>No</t>
        </is>
      </c>
      <c r="D1408">
        <f>IF(AND(B1403=1,B1404=1,B1405=1,B1406=1,B1407=1),"Yes","")</f>
        <v/>
      </c>
      <c r="E1408" t="inlineStr">
        <is>
          <t>No</t>
        </is>
      </c>
      <c r="F1408" t="inlineStr">
        <is>
          <t>No</t>
        </is>
      </c>
      <c r="G1408">
        <f>IF(F1408="Yes",1-B1408,B1408)</f>
        <v/>
      </c>
      <c r="H1408">
        <f>IF(E1408="Yes","",COUNTIFS($E$2:E1408,"No"))</f>
        <v/>
      </c>
      <c r="I1408">
        <f>IF(H1408="","",IF(H1408&lt;=128,"address",IF(H1408&lt;=600,"data1",IF(H1408&lt;=1264,"zero-run1",IF(H1408&lt;=1648,"data2",IF(H1408&lt;=2176,"zero-run2",IF(H1408&lt;=2192,"FCS","trailing")))))))</f>
        <v/>
      </c>
      <c r="J1408">
        <f>IFERROR(IF(AND(H1408&lt;&gt;"",H1408&gt;=129,H1408&lt;=2176),INDEX(Fields!$B$2:$B$206,MATCH(H1408-129,Fields!$D$2:$D$206,1)),""),"")</f>
        <v/>
      </c>
      <c r="K1408">
        <f>IFERROR(IF(AND(H1408&lt;&gt;"",H1408&gt;=129,H1408&lt;=2176),INDEX(Fields!$C$2:$C$206,MATCH(H1408-129,Fields!$D$2:$D$206,1)),""),"")</f>
        <v/>
      </c>
      <c r="L1408">
        <f>IFERROR(IF(AND(H1408&lt;&gt;"",H1408&gt;=129,H1408&lt;=2176),INDEX(Fields!$J$2:$J$206,MATCH(H1408-129,Fields!$D$2:$D$206,1)),""),"")</f>
        <v/>
      </c>
      <c r="M1408">
        <f>IFERROR(IF(AND(H1408&lt;&gt;"",H1408&gt;=129,H1408&lt;=2176),INDEX(Fields!$K$2:$K$206,MATCH(H1408-129,Fields!$D$2:$D$206,1)),""),"")</f>
        <v/>
      </c>
    </row>
    <row r="1409">
      <c r="A1409" t="n">
        <v>1407</v>
      </c>
      <c r="B1409" t="n">
        <v>0</v>
      </c>
      <c r="C1409" t="inlineStr">
        <is>
          <t>No</t>
        </is>
      </c>
      <c r="D1409">
        <f>IF(AND(B1404=1,B1405=1,B1406=1,B1407=1,B1408=1),"Yes","")</f>
        <v/>
      </c>
      <c r="E1409" t="inlineStr">
        <is>
          <t>No</t>
        </is>
      </c>
      <c r="F1409" t="inlineStr">
        <is>
          <t>No</t>
        </is>
      </c>
      <c r="G1409">
        <f>IF(F1409="Yes",1-B1409,B1409)</f>
        <v/>
      </c>
      <c r="H1409">
        <f>IF(E1409="Yes","",COUNTIFS($E$2:E1409,"No"))</f>
        <v/>
      </c>
      <c r="I1409">
        <f>IF(H1409="","",IF(H1409&lt;=128,"address",IF(H1409&lt;=600,"data1",IF(H1409&lt;=1264,"zero-run1",IF(H1409&lt;=1648,"data2",IF(H1409&lt;=2176,"zero-run2",IF(H1409&lt;=2192,"FCS","trailing")))))))</f>
        <v/>
      </c>
      <c r="J1409">
        <f>IFERROR(IF(AND(H1409&lt;&gt;"",H1409&gt;=129,H1409&lt;=2176),INDEX(Fields!$B$2:$B$206,MATCH(H1409-129,Fields!$D$2:$D$206,1)),""),"")</f>
        <v/>
      </c>
      <c r="K1409">
        <f>IFERROR(IF(AND(H1409&lt;&gt;"",H1409&gt;=129,H1409&lt;=2176),INDEX(Fields!$C$2:$C$206,MATCH(H1409-129,Fields!$D$2:$D$206,1)),""),"")</f>
        <v/>
      </c>
      <c r="L1409">
        <f>IFERROR(IF(AND(H1409&lt;&gt;"",H1409&gt;=129,H1409&lt;=2176),INDEX(Fields!$J$2:$J$206,MATCH(H1409-129,Fields!$D$2:$D$206,1)),""),"")</f>
        <v/>
      </c>
      <c r="M1409">
        <f>IFERROR(IF(AND(H1409&lt;&gt;"",H1409&gt;=129,H1409&lt;=2176),INDEX(Fields!$K$2:$K$206,MATCH(H1409-129,Fields!$D$2:$D$206,1)),""),"")</f>
        <v/>
      </c>
    </row>
    <row r="1410">
      <c r="A1410" t="n">
        <v>1408</v>
      </c>
      <c r="B1410" t="n">
        <v>0</v>
      </c>
      <c r="C1410" t="inlineStr">
        <is>
          <t>No</t>
        </is>
      </c>
      <c r="D1410">
        <f>IF(AND(B1405=1,B1406=1,B1407=1,B1408=1,B1409=1),"Yes","")</f>
        <v/>
      </c>
      <c r="E1410" t="inlineStr">
        <is>
          <t>No</t>
        </is>
      </c>
      <c r="F1410" t="inlineStr">
        <is>
          <t>No</t>
        </is>
      </c>
      <c r="G1410">
        <f>IF(F1410="Yes",1-B1410,B1410)</f>
        <v/>
      </c>
      <c r="H1410">
        <f>IF(E1410="Yes","",COUNTIFS($E$2:E1410,"No"))</f>
        <v/>
      </c>
      <c r="I1410">
        <f>IF(H1410="","",IF(H1410&lt;=128,"address",IF(H1410&lt;=600,"data1",IF(H1410&lt;=1264,"zero-run1",IF(H1410&lt;=1648,"data2",IF(H1410&lt;=2176,"zero-run2",IF(H1410&lt;=2192,"FCS","trailing")))))))</f>
        <v/>
      </c>
      <c r="J1410">
        <f>IFERROR(IF(AND(H1410&lt;&gt;"",H1410&gt;=129,H1410&lt;=2176),INDEX(Fields!$B$2:$B$206,MATCH(H1410-129,Fields!$D$2:$D$206,1)),""),"")</f>
        <v/>
      </c>
      <c r="K1410">
        <f>IFERROR(IF(AND(H1410&lt;&gt;"",H1410&gt;=129,H1410&lt;=2176),INDEX(Fields!$C$2:$C$206,MATCH(H1410-129,Fields!$D$2:$D$206,1)),""),"")</f>
        <v/>
      </c>
      <c r="L1410">
        <f>IFERROR(IF(AND(H1410&lt;&gt;"",H1410&gt;=129,H1410&lt;=2176),INDEX(Fields!$J$2:$J$206,MATCH(H1410-129,Fields!$D$2:$D$206,1)),""),"")</f>
        <v/>
      </c>
      <c r="M1410">
        <f>IFERROR(IF(AND(H1410&lt;&gt;"",H1410&gt;=129,H1410&lt;=2176),INDEX(Fields!$K$2:$K$206,MATCH(H1410-129,Fields!$D$2:$D$206,1)),""),"")</f>
        <v/>
      </c>
    </row>
    <row r="1411">
      <c r="A1411" t="n">
        <v>1409</v>
      </c>
      <c r="B1411" t="n">
        <v>0</v>
      </c>
      <c r="C1411" t="inlineStr">
        <is>
          <t>No</t>
        </is>
      </c>
      <c r="D1411">
        <f>IF(AND(B1406=1,B1407=1,B1408=1,B1409=1,B1410=1),"Yes","")</f>
        <v/>
      </c>
      <c r="E1411" t="inlineStr">
        <is>
          <t>No</t>
        </is>
      </c>
      <c r="F1411" t="inlineStr">
        <is>
          <t>No</t>
        </is>
      </c>
      <c r="G1411">
        <f>IF(F1411="Yes",1-B1411,B1411)</f>
        <v/>
      </c>
      <c r="H1411">
        <f>IF(E1411="Yes","",COUNTIFS($E$2:E1411,"No"))</f>
        <v/>
      </c>
      <c r="I1411">
        <f>IF(H1411="","",IF(H1411&lt;=128,"address",IF(H1411&lt;=600,"data1",IF(H1411&lt;=1264,"zero-run1",IF(H1411&lt;=1648,"data2",IF(H1411&lt;=2176,"zero-run2",IF(H1411&lt;=2192,"FCS","trailing")))))))</f>
        <v/>
      </c>
      <c r="J1411">
        <f>IFERROR(IF(AND(H1411&lt;&gt;"",H1411&gt;=129,H1411&lt;=2176),INDEX(Fields!$B$2:$B$206,MATCH(H1411-129,Fields!$D$2:$D$206,1)),""),"")</f>
        <v/>
      </c>
      <c r="K1411">
        <f>IFERROR(IF(AND(H1411&lt;&gt;"",H1411&gt;=129,H1411&lt;=2176),INDEX(Fields!$C$2:$C$206,MATCH(H1411-129,Fields!$D$2:$D$206,1)),""),"")</f>
        <v/>
      </c>
      <c r="L1411">
        <f>IFERROR(IF(AND(H1411&lt;&gt;"",H1411&gt;=129,H1411&lt;=2176),INDEX(Fields!$J$2:$J$206,MATCH(H1411-129,Fields!$D$2:$D$206,1)),""),"")</f>
        <v/>
      </c>
      <c r="M1411">
        <f>IFERROR(IF(AND(H1411&lt;&gt;"",H1411&gt;=129,H1411&lt;=2176),INDEX(Fields!$K$2:$K$206,MATCH(H1411-129,Fields!$D$2:$D$206,1)),""),"")</f>
        <v/>
      </c>
    </row>
    <row r="1412">
      <c r="A1412" t="n">
        <v>1410</v>
      </c>
      <c r="B1412" t="n">
        <v>0</v>
      </c>
      <c r="C1412" t="inlineStr">
        <is>
          <t>No</t>
        </is>
      </c>
      <c r="D1412">
        <f>IF(AND(B1407=1,B1408=1,B1409=1,B1410=1,B1411=1),"Yes","")</f>
        <v/>
      </c>
      <c r="E1412" t="inlineStr">
        <is>
          <t>No</t>
        </is>
      </c>
      <c r="F1412" t="inlineStr">
        <is>
          <t>No</t>
        </is>
      </c>
      <c r="G1412">
        <f>IF(F1412="Yes",1-B1412,B1412)</f>
        <v/>
      </c>
      <c r="H1412">
        <f>IF(E1412="Yes","",COUNTIFS($E$2:E1412,"No"))</f>
        <v/>
      </c>
      <c r="I1412">
        <f>IF(H1412="","",IF(H1412&lt;=128,"address",IF(H1412&lt;=600,"data1",IF(H1412&lt;=1264,"zero-run1",IF(H1412&lt;=1648,"data2",IF(H1412&lt;=2176,"zero-run2",IF(H1412&lt;=2192,"FCS","trailing")))))))</f>
        <v/>
      </c>
      <c r="J1412">
        <f>IFERROR(IF(AND(H1412&lt;&gt;"",H1412&gt;=129,H1412&lt;=2176),INDEX(Fields!$B$2:$B$206,MATCH(H1412-129,Fields!$D$2:$D$206,1)),""),"")</f>
        <v/>
      </c>
      <c r="K1412">
        <f>IFERROR(IF(AND(H1412&lt;&gt;"",H1412&gt;=129,H1412&lt;=2176),INDEX(Fields!$C$2:$C$206,MATCH(H1412-129,Fields!$D$2:$D$206,1)),""),"")</f>
        <v/>
      </c>
      <c r="L1412">
        <f>IFERROR(IF(AND(H1412&lt;&gt;"",H1412&gt;=129,H1412&lt;=2176),INDEX(Fields!$J$2:$J$206,MATCH(H1412-129,Fields!$D$2:$D$206,1)),""),"")</f>
        <v/>
      </c>
      <c r="M1412">
        <f>IFERROR(IF(AND(H1412&lt;&gt;"",H1412&gt;=129,H1412&lt;=2176),INDEX(Fields!$K$2:$K$206,MATCH(H1412-129,Fields!$D$2:$D$206,1)),""),"")</f>
        <v/>
      </c>
    </row>
    <row r="1413">
      <c r="A1413" t="n">
        <v>1411</v>
      </c>
      <c r="B1413" t="n">
        <v>0</v>
      </c>
      <c r="C1413" t="inlineStr">
        <is>
          <t>No</t>
        </is>
      </c>
      <c r="D1413">
        <f>IF(AND(B1408=1,B1409=1,B1410=1,B1411=1,B1412=1),"Yes","")</f>
        <v/>
      </c>
      <c r="E1413" t="inlineStr">
        <is>
          <t>No</t>
        </is>
      </c>
      <c r="F1413" t="inlineStr">
        <is>
          <t>No</t>
        </is>
      </c>
      <c r="G1413">
        <f>IF(F1413="Yes",1-B1413,B1413)</f>
        <v/>
      </c>
      <c r="H1413">
        <f>IF(E1413="Yes","",COUNTIFS($E$2:E1413,"No"))</f>
        <v/>
      </c>
      <c r="I1413">
        <f>IF(H1413="","",IF(H1413&lt;=128,"address",IF(H1413&lt;=600,"data1",IF(H1413&lt;=1264,"zero-run1",IF(H1413&lt;=1648,"data2",IF(H1413&lt;=2176,"zero-run2",IF(H1413&lt;=2192,"FCS","trailing")))))))</f>
        <v/>
      </c>
      <c r="J1413">
        <f>IFERROR(IF(AND(H1413&lt;&gt;"",H1413&gt;=129,H1413&lt;=2176),INDEX(Fields!$B$2:$B$206,MATCH(H1413-129,Fields!$D$2:$D$206,1)),""),"")</f>
        <v/>
      </c>
      <c r="K1413">
        <f>IFERROR(IF(AND(H1413&lt;&gt;"",H1413&gt;=129,H1413&lt;=2176),INDEX(Fields!$C$2:$C$206,MATCH(H1413-129,Fields!$D$2:$D$206,1)),""),"")</f>
        <v/>
      </c>
      <c r="L1413">
        <f>IFERROR(IF(AND(H1413&lt;&gt;"",H1413&gt;=129,H1413&lt;=2176),INDEX(Fields!$J$2:$J$206,MATCH(H1413-129,Fields!$D$2:$D$206,1)),""),"")</f>
        <v/>
      </c>
      <c r="M1413">
        <f>IFERROR(IF(AND(H1413&lt;&gt;"",H1413&gt;=129,H1413&lt;=2176),INDEX(Fields!$K$2:$K$206,MATCH(H1413-129,Fields!$D$2:$D$206,1)),""),"")</f>
        <v/>
      </c>
    </row>
    <row r="1414">
      <c r="A1414" t="n">
        <v>1412</v>
      </c>
      <c r="B1414" t="n">
        <v>0</v>
      </c>
      <c r="C1414" t="inlineStr">
        <is>
          <t>No</t>
        </is>
      </c>
      <c r="D1414">
        <f>IF(AND(B1409=1,B1410=1,B1411=1,B1412=1,B1413=1),"Yes","")</f>
        <v/>
      </c>
      <c r="E1414" t="inlineStr">
        <is>
          <t>No</t>
        </is>
      </c>
      <c r="F1414" t="inlineStr">
        <is>
          <t>No</t>
        </is>
      </c>
      <c r="G1414">
        <f>IF(F1414="Yes",1-B1414,B1414)</f>
        <v/>
      </c>
      <c r="H1414">
        <f>IF(E1414="Yes","",COUNTIFS($E$2:E1414,"No"))</f>
        <v/>
      </c>
      <c r="I1414">
        <f>IF(H1414="","",IF(H1414&lt;=128,"address",IF(H1414&lt;=600,"data1",IF(H1414&lt;=1264,"zero-run1",IF(H1414&lt;=1648,"data2",IF(H1414&lt;=2176,"zero-run2",IF(H1414&lt;=2192,"FCS","trailing")))))))</f>
        <v/>
      </c>
      <c r="J1414">
        <f>IFERROR(IF(AND(H1414&lt;&gt;"",H1414&gt;=129,H1414&lt;=2176),INDEX(Fields!$B$2:$B$206,MATCH(H1414-129,Fields!$D$2:$D$206,1)),""),"")</f>
        <v/>
      </c>
      <c r="K1414">
        <f>IFERROR(IF(AND(H1414&lt;&gt;"",H1414&gt;=129,H1414&lt;=2176),INDEX(Fields!$C$2:$C$206,MATCH(H1414-129,Fields!$D$2:$D$206,1)),""),"")</f>
        <v/>
      </c>
      <c r="L1414">
        <f>IFERROR(IF(AND(H1414&lt;&gt;"",H1414&gt;=129,H1414&lt;=2176),INDEX(Fields!$J$2:$J$206,MATCH(H1414-129,Fields!$D$2:$D$206,1)),""),"")</f>
        <v/>
      </c>
      <c r="M1414">
        <f>IFERROR(IF(AND(H1414&lt;&gt;"",H1414&gt;=129,H1414&lt;=2176),INDEX(Fields!$K$2:$K$206,MATCH(H1414-129,Fields!$D$2:$D$206,1)),""),"")</f>
        <v/>
      </c>
    </row>
    <row r="1415">
      <c r="A1415" t="n">
        <v>1413</v>
      </c>
      <c r="B1415" t="n">
        <v>0</v>
      </c>
      <c r="C1415" t="inlineStr">
        <is>
          <t>No</t>
        </is>
      </c>
      <c r="D1415">
        <f>IF(AND(B1410=1,B1411=1,B1412=1,B1413=1,B1414=1),"Yes","")</f>
        <v/>
      </c>
      <c r="E1415" t="inlineStr">
        <is>
          <t>No</t>
        </is>
      </c>
      <c r="F1415" t="inlineStr">
        <is>
          <t>No</t>
        </is>
      </c>
      <c r="G1415">
        <f>IF(F1415="Yes",1-B1415,B1415)</f>
        <v/>
      </c>
      <c r="H1415">
        <f>IF(E1415="Yes","",COUNTIFS($E$2:E1415,"No"))</f>
        <v/>
      </c>
      <c r="I1415">
        <f>IF(H1415="","",IF(H1415&lt;=128,"address",IF(H1415&lt;=600,"data1",IF(H1415&lt;=1264,"zero-run1",IF(H1415&lt;=1648,"data2",IF(H1415&lt;=2176,"zero-run2",IF(H1415&lt;=2192,"FCS","trailing")))))))</f>
        <v/>
      </c>
      <c r="J1415">
        <f>IFERROR(IF(AND(H1415&lt;&gt;"",H1415&gt;=129,H1415&lt;=2176),INDEX(Fields!$B$2:$B$206,MATCH(H1415-129,Fields!$D$2:$D$206,1)),""),"")</f>
        <v/>
      </c>
      <c r="K1415">
        <f>IFERROR(IF(AND(H1415&lt;&gt;"",H1415&gt;=129,H1415&lt;=2176),INDEX(Fields!$C$2:$C$206,MATCH(H1415-129,Fields!$D$2:$D$206,1)),""),"")</f>
        <v/>
      </c>
      <c r="L1415">
        <f>IFERROR(IF(AND(H1415&lt;&gt;"",H1415&gt;=129,H1415&lt;=2176),INDEX(Fields!$J$2:$J$206,MATCH(H1415-129,Fields!$D$2:$D$206,1)),""),"")</f>
        <v/>
      </c>
      <c r="M1415">
        <f>IFERROR(IF(AND(H1415&lt;&gt;"",H1415&gt;=129,H1415&lt;=2176),INDEX(Fields!$K$2:$K$206,MATCH(H1415-129,Fields!$D$2:$D$206,1)),""),"")</f>
        <v/>
      </c>
    </row>
    <row r="1416">
      <c r="A1416" t="n">
        <v>1414</v>
      </c>
      <c r="B1416" t="n">
        <v>1</v>
      </c>
      <c r="C1416" t="inlineStr">
        <is>
          <t>No</t>
        </is>
      </c>
      <c r="D1416">
        <f>IF(AND(B1411=1,B1412=1,B1413=1,B1414=1,B1415=1),"Yes","")</f>
        <v/>
      </c>
      <c r="E1416" t="inlineStr">
        <is>
          <t>No</t>
        </is>
      </c>
      <c r="F1416" t="inlineStr">
        <is>
          <t>No</t>
        </is>
      </c>
      <c r="G1416">
        <f>IF(F1416="Yes",1-B1416,B1416)</f>
        <v/>
      </c>
      <c r="H1416">
        <f>IF(E1416="Yes","",COUNTIFS($E$2:E1416,"No"))</f>
        <v/>
      </c>
      <c r="I1416">
        <f>IF(H1416="","",IF(H1416&lt;=128,"address",IF(H1416&lt;=600,"data1",IF(H1416&lt;=1264,"zero-run1",IF(H1416&lt;=1648,"data2",IF(H1416&lt;=2176,"zero-run2",IF(H1416&lt;=2192,"FCS","trailing")))))))</f>
        <v/>
      </c>
      <c r="J1416">
        <f>IFERROR(IF(AND(H1416&lt;&gt;"",H1416&gt;=129,H1416&lt;=2176),INDEX(Fields!$B$2:$B$206,MATCH(H1416-129,Fields!$D$2:$D$206,1)),""),"")</f>
        <v/>
      </c>
      <c r="K1416">
        <f>IFERROR(IF(AND(H1416&lt;&gt;"",H1416&gt;=129,H1416&lt;=2176),INDEX(Fields!$C$2:$C$206,MATCH(H1416-129,Fields!$D$2:$D$206,1)),""),"")</f>
        <v/>
      </c>
      <c r="L1416">
        <f>IFERROR(IF(AND(H1416&lt;&gt;"",H1416&gt;=129,H1416&lt;=2176),INDEX(Fields!$J$2:$J$206,MATCH(H1416-129,Fields!$D$2:$D$206,1)),""),"")</f>
        <v/>
      </c>
      <c r="M1416">
        <f>IFERROR(IF(AND(H1416&lt;&gt;"",H1416&gt;=129,H1416&lt;=2176),INDEX(Fields!$K$2:$K$206,MATCH(H1416-129,Fields!$D$2:$D$206,1)),""),"")</f>
        <v/>
      </c>
    </row>
    <row r="1417">
      <c r="A1417" t="n">
        <v>1415</v>
      </c>
      <c r="B1417" t="n">
        <v>0</v>
      </c>
      <c r="C1417" t="inlineStr">
        <is>
          <t>No</t>
        </is>
      </c>
      <c r="D1417">
        <f>IF(AND(B1412=1,B1413=1,B1414=1,B1415=1,B1416=1),"Yes","")</f>
        <v/>
      </c>
      <c r="E1417" t="inlineStr">
        <is>
          <t>No</t>
        </is>
      </c>
      <c r="F1417" t="inlineStr">
        <is>
          <t>No</t>
        </is>
      </c>
      <c r="G1417">
        <f>IF(F1417="Yes",1-B1417,B1417)</f>
        <v/>
      </c>
      <c r="H1417">
        <f>IF(E1417="Yes","",COUNTIFS($E$2:E1417,"No"))</f>
        <v/>
      </c>
      <c r="I1417">
        <f>IF(H1417="","",IF(H1417&lt;=128,"address",IF(H1417&lt;=600,"data1",IF(H1417&lt;=1264,"zero-run1",IF(H1417&lt;=1648,"data2",IF(H1417&lt;=2176,"zero-run2",IF(H1417&lt;=2192,"FCS","trailing")))))))</f>
        <v/>
      </c>
      <c r="J1417">
        <f>IFERROR(IF(AND(H1417&lt;&gt;"",H1417&gt;=129,H1417&lt;=2176),INDEX(Fields!$B$2:$B$206,MATCH(H1417-129,Fields!$D$2:$D$206,1)),""),"")</f>
        <v/>
      </c>
      <c r="K1417">
        <f>IFERROR(IF(AND(H1417&lt;&gt;"",H1417&gt;=129,H1417&lt;=2176),INDEX(Fields!$C$2:$C$206,MATCH(H1417-129,Fields!$D$2:$D$206,1)),""),"")</f>
        <v/>
      </c>
      <c r="L1417">
        <f>IFERROR(IF(AND(H1417&lt;&gt;"",H1417&gt;=129,H1417&lt;=2176),INDEX(Fields!$J$2:$J$206,MATCH(H1417-129,Fields!$D$2:$D$206,1)),""),"")</f>
        <v/>
      </c>
      <c r="M1417">
        <f>IFERROR(IF(AND(H1417&lt;&gt;"",H1417&gt;=129,H1417&lt;=2176),INDEX(Fields!$K$2:$K$206,MATCH(H1417-129,Fields!$D$2:$D$206,1)),""),"")</f>
        <v/>
      </c>
    </row>
    <row r="1418">
      <c r="A1418" t="n">
        <v>1416</v>
      </c>
      <c r="B1418" t="n">
        <v>0</v>
      </c>
      <c r="C1418" t="inlineStr">
        <is>
          <t>No</t>
        </is>
      </c>
      <c r="D1418">
        <f>IF(AND(B1413=1,B1414=1,B1415=1,B1416=1,B1417=1),"Yes","")</f>
        <v/>
      </c>
      <c r="E1418" t="inlineStr">
        <is>
          <t>No</t>
        </is>
      </c>
      <c r="F1418" t="inlineStr">
        <is>
          <t>No</t>
        </is>
      </c>
      <c r="G1418">
        <f>IF(F1418="Yes",1-B1418,B1418)</f>
        <v/>
      </c>
      <c r="H1418">
        <f>IF(E1418="Yes","",COUNTIFS($E$2:E1418,"No"))</f>
        <v/>
      </c>
      <c r="I1418">
        <f>IF(H1418="","",IF(H1418&lt;=128,"address",IF(H1418&lt;=600,"data1",IF(H1418&lt;=1264,"zero-run1",IF(H1418&lt;=1648,"data2",IF(H1418&lt;=2176,"zero-run2",IF(H1418&lt;=2192,"FCS","trailing")))))))</f>
        <v/>
      </c>
      <c r="J1418">
        <f>IFERROR(IF(AND(H1418&lt;&gt;"",H1418&gt;=129,H1418&lt;=2176),INDEX(Fields!$B$2:$B$206,MATCH(H1418-129,Fields!$D$2:$D$206,1)),""),"")</f>
        <v/>
      </c>
      <c r="K1418">
        <f>IFERROR(IF(AND(H1418&lt;&gt;"",H1418&gt;=129,H1418&lt;=2176),INDEX(Fields!$C$2:$C$206,MATCH(H1418-129,Fields!$D$2:$D$206,1)),""),"")</f>
        <v/>
      </c>
      <c r="L1418">
        <f>IFERROR(IF(AND(H1418&lt;&gt;"",H1418&gt;=129,H1418&lt;=2176),INDEX(Fields!$J$2:$J$206,MATCH(H1418-129,Fields!$D$2:$D$206,1)),""),"")</f>
        <v/>
      </c>
      <c r="M1418">
        <f>IFERROR(IF(AND(H1418&lt;&gt;"",H1418&gt;=129,H1418&lt;=2176),INDEX(Fields!$K$2:$K$206,MATCH(H1418-129,Fields!$D$2:$D$206,1)),""),"")</f>
        <v/>
      </c>
    </row>
    <row r="1419">
      <c r="A1419" t="n">
        <v>1417</v>
      </c>
      <c r="B1419" t="n">
        <v>0</v>
      </c>
      <c r="C1419" t="inlineStr">
        <is>
          <t>No</t>
        </is>
      </c>
      <c r="D1419">
        <f>IF(AND(B1414=1,B1415=1,B1416=1,B1417=1,B1418=1),"Yes","")</f>
        <v/>
      </c>
      <c r="E1419" t="inlineStr">
        <is>
          <t>No</t>
        </is>
      </c>
      <c r="F1419" t="inlineStr">
        <is>
          <t>No</t>
        </is>
      </c>
      <c r="G1419">
        <f>IF(F1419="Yes",1-B1419,B1419)</f>
        <v/>
      </c>
      <c r="H1419">
        <f>IF(E1419="Yes","",COUNTIFS($E$2:E1419,"No"))</f>
        <v/>
      </c>
      <c r="I1419">
        <f>IF(H1419="","",IF(H1419&lt;=128,"address",IF(H1419&lt;=600,"data1",IF(H1419&lt;=1264,"zero-run1",IF(H1419&lt;=1648,"data2",IF(H1419&lt;=2176,"zero-run2",IF(H1419&lt;=2192,"FCS","trailing")))))))</f>
        <v/>
      </c>
      <c r="J1419">
        <f>IFERROR(IF(AND(H1419&lt;&gt;"",H1419&gt;=129,H1419&lt;=2176),INDEX(Fields!$B$2:$B$206,MATCH(H1419-129,Fields!$D$2:$D$206,1)),""),"")</f>
        <v/>
      </c>
      <c r="K1419">
        <f>IFERROR(IF(AND(H1419&lt;&gt;"",H1419&gt;=129,H1419&lt;=2176),INDEX(Fields!$C$2:$C$206,MATCH(H1419-129,Fields!$D$2:$D$206,1)),""),"")</f>
        <v/>
      </c>
      <c r="L1419">
        <f>IFERROR(IF(AND(H1419&lt;&gt;"",H1419&gt;=129,H1419&lt;=2176),INDEX(Fields!$J$2:$J$206,MATCH(H1419-129,Fields!$D$2:$D$206,1)),""),"")</f>
        <v/>
      </c>
      <c r="M1419">
        <f>IFERROR(IF(AND(H1419&lt;&gt;"",H1419&gt;=129,H1419&lt;=2176),INDEX(Fields!$K$2:$K$206,MATCH(H1419-129,Fields!$D$2:$D$206,1)),""),"")</f>
        <v/>
      </c>
    </row>
    <row r="1420">
      <c r="A1420" t="n">
        <v>1418</v>
      </c>
      <c r="B1420" t="n">
        <v>1</v>
      </c>
      <c r="C1420" t="inlineStr">
        <is>
          <t>No</t>
        </is>
      </c>
      <c r="D1420">
        <f>IF(AND(B1415=1,B1416=1,B1417=1,B1418=1,B1419=1),"Yes","")</f>
        <v/>
      </c>
      <c r="E1420" t="inlineStr">
        <is>
          <t>No</t>
        </is>
      </c>
      <c r="F1420" t="inlineStr">
        <is>
          <t>No</t>
        </is>
      </c>
      <c r="G1420">
        <f>IF(F1420="Yes",1-B1420,B1420)</f>
        <v/>
      </c>
      <c r="H1420">
        <f>IF(E1420="Yes","",COUNTIFS($E$2:E1420,"No"))</f>
        <v/>
      </c>
      <c r="I1420">
        <f>IF(H1420="","",IF(H1420&lt;=128,"address",IF(H1420&lt;=600,"data1",IF(H1420&lt;=1264,"zero-run1",IF(H1420&lt;=1648,"data2",IF(H1420&lt;=2176,"zero-run2",IF(H1420&lt;=2192,"FCS","trailing")))))))</f>
        <v/>
      </c>
      <c r="J1420">
        <f>IFERROR(IF(AND(H1420&lt;&gt;"",H1420&gt;=129,H1420&lt;=2176),INDEX(Fields!$B$2:$B$206,MATCH(H1420-129,Fields!$D$2:$D$206,1)),""),"")</f>
        <v/>
      </c>
      <c r="K1420">
        <f>IFERROR(IF(AND(H1420&lt;&gt;"",H1420&gt;=129,H1420&lt;=2176),INDEX(Fields!$C$2:$C$206,MATCH(H1420-129,Fields!$D$2:$D$206,1)),""),"")</f>
        <v/>
      </c>
      <c r="L1420">
        <f>IFERROR(IF(AND(H1420&lt;&gt;"",H1420&gt;=129,H1420&lt;=2176),INDEX(Fields!$J$2:$J$206,MATCH(H1420-129,Fields!$D$2:$D$206,1)),""),"")</f>
        <v/>
      </c>
      <c r="M1420">
        <f>IFERROR(IF(AND(H1420&lt;&gt;"",H1420&gt;=129,H1420&lt;=2176),INDEX(Fields!$K$2:$K$206,MATCH(H1420-129,Fields!$D$2:$D$206,1)),""),"")</f>
        <v/>
      </c>
    </row>
    <row r="1421">
      <c r="A1421" t="n">
        <v>1419</v>
      </c>
      <c r="B1421" t="n">
        <v>0</v>
      </c>
      <c r="C1421" t="inlineStr">
        <is>
          <t>No</t>
        </is>
      </c>
      <c r="D1421">
        <f>IF(AND(B1416=1,B1417=1,B1418=1,B1419=1,B1420=1),"Yes","")</f>
        <v/>
      </c>
      <c r="E1421" t="inlineStr">
        <is>
          <t>No</t>
        </is>
      </c>
      <c r="F1421" t="inlineStr">
        <is>
          <t>No</t>
        </is>
      </c>
      <c r="G1421">
        <f>IF(F1421="Yes",1-B1421,B1421)</f>
        <v/>
      </c>
      <c r="H1421">
        <f>IF(E1421="Yes","",COUNTIFS($E$2:E1421,"No"))</f>
        <v/>
      </c>
      <c r="I1421">
        <f>IF(H1421="","",IF(H1421&lt;=128,"address",IF(H1421&lt;=600,"data1",IF(H1421&lt;=1264,"zero-run1",IF(H1421&lt;=1648,"data2",IF(H1421&lt;=2176,"zero-run2",IF(H1421&lt;=2192,"FCS","trailing")))))))</f>
        <v/>
      </c>
      <c r="J1421">
        <f>IFERROR(IF(AND(H1421&lt;&gt;"",H1421&gt;=129,H1421&lt;=2176),INDEX(Fields!$B$2:$B$206,MATCH(H1421-129,Fields!$D$2:$D$206,1)),""),"")</f>
        <v/>
      </c>
      <c r="K1421">
        <f>IFERROR(IF(AND(H1421&lt;&gt;"",H1421&gt;=129,H1421&lt;=2176),INDEX(Fields!$C$2:$C$206,MATCH(H1421-129,Fields!$D$2:$D$206,1)),""),"")</f>
        <v/>
      </c>
      <c r="L1421">
        <f>IFERROR(IF(AND(H1421&lt;&gt;"",H1421&gt;=129,H1421&lt;=2176),INDEX(Fields!$J$2:$J$206,MATCH(H1421-129,Fields!$D$2:$D$206,1)),""),"")</f>
        <v/>
      </c>
      <c r="M1421">
        <f>IFERROR(IF(AND(H1421&lt;&gt;"",H1421&gt;=129,H1421&lt;=2176),INDEX(Fields!$K$2:$K$206,MATCH(H1421-129,Fields!$D$2:$D$206,1)),""),"")</f>
        <v/>
      </c>
    </row>
    <row r="1422">
      <c r="A1422" t="n">
        <v>1420</v>
      </c>
      <c r="B1422" t="n">
        <v>1</v>
      </c>
      <c r="C1422" t="inlineStr">
        <is>
          <t>No</t>
        </is>
      </c>
      <c r="D1422">
        <f>IF(AND(B1417=1,B1418=1,B1419=1,B1420=1,B1421=1),"Yes","")</f>
        <v/>
      </c>
      <c r="E1422" t="inlineStr">
        <is>
          <t>No</t>
        </is>
      </c>
      <c r="F1422" t="inlineStr">
        <is>
          <t>No</t>
        </is>
      </c>
      <c r="G1422">
        <f>IF(F1422="Yes",1-B1422,B1422)</f>
        <v/>
      </c>
      <c r="H1422">
        <f>IF(E1422="Yes","",COUNTIFS($E$2:E1422,"No"))</f>
        <v/>
      </c>
      <c r="I1422">
        <f>IF(H1422="","",IF(H1422&lt;=128,"address",IF(H1422&lt;=600,"data1",IF(H1422&lt;=1264,"zero-run1",IF(H1422&lt;=1648,"data2",IF(H1422&lt;=2176,"zero-run2",IF(H1422&lt;=2192,"FCS","trailing")))))))</f>
        <v/>
      </c>
      <c r="J1422">
        <f>IFERROR(IF(AND(H1422&lt;&gt;"",H1422&gt;=129,H1422&lt;=2176),INDEX(Fields!$B$2:$B$206,MATCH(H1422-129,Fields!$D$2:$D$206,1)),""),"")</f>
        <v/>
      </c>
      <c r="K1422">
        <f>IFERROR(IF(AND(H1422&lt;&gt;"",H1422&gt;=129,H1422&lt;=2176),INDEX(Fields!$C$2:$C$206,MATCH(H1422-129,Fields!$D$2:$D$206,1)),""),"")</f>
        <v/>
      </c>
      <c r="L1422">
        <f>IFERROR(IF(AND(H1422&lt;&gt;"",H1422&gt;=129,H1422&lt;=2176),INDEX(Fields!$J$2:$J$206,MATCH(H1422-129,Fields!$D$2:$D$206,1)),""),"")</f>
        <v/>
      </c>
      <c r="M1422">
        <f>IFERROR(IF(AND(H1422&lt;&gt;"",H1422&gt;=129,H1422&lt;=2176),INDEX(Fields!$K$2:$K$206,MATCH(H1422-129,Fields!$D$2:$D$206,1)),""),"")</f>
        <v/>
      </c>
    </row>
    <row r="1423">
      <c r="A1423" t="n">
        <v>1421</v>
      </c>
      <c r="B1423" t="n">
        <v>0</v>
      </c>
      <c r="C1423" t="inlineStr">
        <is>
          <t>No</t>
        </is>
      </c>
      <c r="D1423">
        <f>IF(AND(B1418=1,B1419=1,B1420=1,B1421=1,B1422=1),"Yes","")</f>
        <v/>
      </c>
      <c r="E1423" t="inlineStr">
        <is>
          <t>No</t>
        </is>
      </c>
      <c r="F1423" t="inlineStr">
        <is>
          <t>No</t>
        </is>
      </c>
      <c r="G1423">
        <f>IF(F1423="Yes",1-B1423,B1423)</f>
        <v/>
      </c>
      <c r="H1423">
        <f>IF(E1423="Yes","",COUNTIFS($E$2:E1423,"No"))</f>
        <v/>
      </c>
      <c r="I1423">
        <f>IF(H1423="","",IF(H1423&lt;=128,"address",IF(H1423&lt;=600,"data1",IF(H1423&lt;=1264,"zero-run1",IF(H1423&lt;=1648,"data2",IF(H1423&lt;=2176,"zero-run2",IF(H1423&lt;=2192,"FCS","trailing")))))))</f>
        <v/>
      </c>
      <c r="J1423">
        <f>IFERROR(IF(AND(H1423&lt;&gt;"",H1423&gt;=129,H1423&lt;=2176),INDEX(Fields!$B$2:$B$206,MATCH(H1423-129,Fields!$D$2:$D$206,1)),""),"")</f>
        <v/>
      </c>
      <c r="K1423">
        <f>IFERROR(IF(AND(H1423&lt;&gt;"",H1423&gt;=129,H1423&lt;=2176),INDEX(Fields!$C$2:$C$206,MATCH(H1423-129,Fields!$D$2:$D$206,1)),""),"")</f>
        <v/>
      </c>
      <c r="L1423">
        <f>IFERROR(IF(AND(H1423&lt;&gt;"",H1423&gt;=129,H1423&lt;=2176),INDEX(Fields!$J$2:$J$206,MATCH(H1423-129,Fields!$D$2:$D$206,1)),""),"")</f>
        <v/>
      </c>
      <c r="M1423">
        <f>IFERROR(IF(AND(H1423&lt;&gt;"",H1423&gt;=129,H1423&lt;=2176),INDEX(Fields!$K$2:$K$206,MATCH(H1423-129,Fields!$D$2:$D$206,1)),""),"")</f>
        <v/>
      </c>
    </row>
    <row r="1424">
      <c r="A1424" t="n">
        <v>1422</v>
      </c>
      <c r="B1424" t="n">
        <v>0</v>
      </c>
      <c r="C1424" t="inlineStr">
        <is>
          <t>No</t>
        </is>
      </c>
      <c r="D1424">
        <f>IF(AND(B1419=1,B1420=1,B1421=1,B1422=1,B1423=1),"Yes","")</f>
        <v/>
      </c>
      <c r="E1424" t="inlineStr">
        <is>
          <t>No</t>
        </is>
      </c>
      <c r="F1424" t="inlineStr">
        <is>
          <t>No</t>
        </is>
      </c>
      <c r="G1424">
        <f>IF(F1424="Yes",1-B1424,B1424)</f>
        <v/>
      </c>
      <c r="H1424">
        <f>IF(E1424="Yes","",COUNTIFS($E$2:E1424,"No"))</f>
        <v/>
      </c>
      <c r="I1424">
        <f>IF(H1424="","",IF(H1424&lt;=128,"address",IF(H1424&lt;=600,"data1",IF(H1424&lt;=1264,"zero-run1",IF(H1424&lt;=1648,"data2",IF(H1424&lt;=2176,"zero-run2",IF(H1424&lt;=2192,"FCS","trailing")))))))</f>
        <v/>
      </c>
      <c r="J1424">
        <f>IFERROR(IF(AND(H1424&lt;&gt;"",H1424&gt;=129,H1424&lt;=2176),INDEX(Fields!$B$2:$B$206,MATCH(H1424-129,Fields!$D$2:$D$206,1)),""),"")</f>
        <v/>
      </c>
      <c r="K1424">
        <f>IFERROR(IF(AND(H1424&lt;&gt;"",H1424&gt;=129,H1424&lt;=2176),INDEX(Fields!$C$2:$C$206,MATCH(H1424-129,Fields!$D$2:$D$206,1)),""),"")</f>
        <v/>
      </c>
      <c r="L1424">
        <f>IFERROR(IF(AND(H1424&lt;&gt;"",H1424&gt;=129,H1424&lt;=2176),INDEX(Fields!$J$2:$J$206,MATCH(H1424-129,Fields!$D$2:$D$206,1)),""),"")</f>
        <v/>
      </c>
      <c r="M1424">
        <f>IFERROR(IF(AND(H1424&lt;&gt;"",H1424&gt;=129,H1424&lt;=2176),INDEX(Fields!$K$2:$K$206,MATCH(H1424-129,Fields!$D$2:$D$206,1)),""),"")</f>
        <v/>
      </c>
    </row>
    <row r="1425">
      <c r="A1425" t="n">
        <v>1423</v>
      </c>
      <c r="B1425" t="n">
        <v>0</v>
      </c>
      <c r="C1425" t="inlineStr">
        <is>
          <t>No</t>
        </is>
      </c>
      <c r="D1425">
        <f>IF(AND(B1420=1,B1421=1,B1422=1,B1423=1,B1424=1),"Yes","")</f>
        <v/>
      </c>
      <c r="E1425" t="inlineStr">
        <is>
          <t>No</t>
        </is>
      </c>
      <c r="F1425" t="inlineStr">
        <is>
          <t>No</t>
        </is>
      </c>
      <c r="G1425">
        <f>IF(F1425="Yes",1-B1425,B1425)</f>
        <v/>
      </c>
      <c r="H1425">
        <f>IF(E1425="Yes","",COUNTIFS($E$2:E1425,"No"))</f>
        <v/>
      </c>
      <c r="I1425">
        <f>IF(H1425="","",IF(H1425&lt;=128,"address",IF(H1425&lt;=600,"data1",IF(H1425&lt;=1264,"zero-run1",IF(H1425&lt;=1648,"data2",IF(H1425&lt;=2176,"zero-run2",IF(H1425&lt;=2192,"FCS","trailing")))))))</f>
        <v/>
      </c>
      <c r="J1425">
        <f>IFERROR(IF(AND(H1425&lt;&gt;"",H1425&gt;=129,H1425&lt;=2176),INDEX(Fields!$B$2:$B$206,MATCH(H1425-129,Fields!$D$2:$D$206,1)),""),"")</f>
        <v/>
      </c>
      <c r="K1425">
        <f>IFERROR(IF(AND(H1425&lt;&gt;"",H1425&gt;=129,H1425&lt;=2176),INDEX(Fields!$C$2:$C$206,MATCH(H1425-129,Fields!$D$2:$D$206,1)),""),"")</f>
        <v/>
      </c>
      <c r="L1425">
        <f>IFERROR(IF(AND(H1425&lt;&gt;"",H1425&gt;=129,H1425&lt;=2176),INDEX(Fields!$J$2:$J$206,MATCH(H1425-129,Fields!$D$2:$D$206,1)),""),"")</f>
        <v/>
      </c>
      <c r="M1425">
        <f>IFERROR(IF(AND(H1425&lt;&gt;"",H1425&gt;=129,H1425&lt;=2176),INDEX(Fields!$K$2:$K$206,MATCH(H1425-129,Fields!$D$2:$D$206,1)),""),"")</f>
        <v/>
      </c>
    </row>
    <row r="1426">
      <c r="A1426" t="n">
        <v>1424</v>
      </c>
      <c r="B1426" t="n">
        <v>0</v>
      </c>
      <c r="C1426" t="inlineStr">
        <is>
          <t>No</t>
        </is>
      </c>
      <c r="D1426">
        <f>IF(AND(B1421=1,B1422=1,B1423=1,B1424=1,B1425=1),"Yes","")</f>
        <v/>
      </c>
      <c r="E1426" t="inlineStr">
        <is>
          <t>No</t>
        </is>
      </c>
      <c r="F1426" t="inlineStr">
        <is>
          <t>No</t>
        </is>
      </c>
      <c r="G1426">
        <f>IF(F1426="Yes",1-B1426,B1426)</f>
        <v/>
      </c>
      <c r="H1426">
        <f>IF(E1426="Yes","",COUNTIFS($E$2:E1426,"No"))</f>
        <v/>
      </c>
      <c r="I1426">
        <f>IF(H1426="","",IF(H1426&lt;=128,"address",IF(H1426&lt;=600,"data1",IF(H1426&lt;=1264,"zero-run1",IF(H1426&lt;=1648,"data2",IF(H1426&lt;=2176,"zero-run2",IF(H1426&lt;=2192,"FCS","trailing")))))))</f>
        <v/>
      </c>
      <c r="J1426">
        <f>IFERROR(IF(AND(H1426&lt;&gt;"",H1426&gt;=129,H1426&lt;=2176),INDEX(Fields!$B$2:$B$206,MATCH(H1426-129,Fields!$D$2:$D$206,1)),""),"")</f>
        <v/>
      </c>
      <c r="K1426">
        <f>IFERROR(IF(AND(H1426&lt;&gt;"",H1426&gt;=129,H1426&lt;=2176),INDEX(Fields!$C$2:$C$206,MATCH(H1426-129,Fields!$D$2:$D$206,1)),""),"")</f>
        <v/>
      </c>
      <c r="L1426">
        <f>IFERROR(IF(AND(H1426&lt;&gt;"",H1426&gt;=129,H1426&lt;=2176),INDEX(Fields!$J$2:$J$206,MATCH(H1426-129,Fields!$D$2:$D$206,1)),""),"")</f>
        <v/>
      </c>
      <c r="M1426">
        <f>IFERROR(IF(AND(H1426&lt;&gt;"",H1426&gt;=129,H1426&lt;=2176),INDEX(Fields!$K$2:$K$206,MATCH(H1426-129,Fields!$D$2:$D$206,1)),""),"")</f>
        <v/>
      </c>
    </row>
    <row r="1427">
      <c r="A1427" t="n">
        <v>1425</v>
      </c>
      <c r="B1427" t="n">
        <v>0</v>
      </c>
      <c r="C1427" t="inlineStr">
        <is>
          <t>No</t>
        </is>
      </c>
      <c r="D1427">
        <f>IF(AND(B1422=1,B1423=1,B1424=1,B1425=1,B1426=1),"Yes","")</f>
        <v/>
      </c>
      <c r="E1427" t="inlineStr">
        <is>
          <t>No</t>
        </is>
      </c>
      <c r="F1427" t="inlineStr">
        <is>
          <t>No</t>
        </is>
      </c>
      <c r="G1427">
        <f>IF(F1427="Yes",1-B1427,B1427)</f>
        <v/>
      </c>
      <c r="H1427">
        <f>IF(E1427="Yes","",COUNTIFS($E$2:E1427,"No"))</f>
        <v/>
      </c>
      <c r="I1427">
        <f>IF(H1427="","",IF(H1427&lt;=128,"address",IF(H1427&lt;=600,"data1",IF(H1427&lt;=1264,"zero-run1",IF(H1427&lt;=1648,"data2",IF(H1427&lt;=2176,"zero-run2",IF(H1427&lt;=2192,"FCS","trailing")))))))</f>
        <v/>
      </c>
      <c r="J1427">
        <f>IFERROR(IF(AND(H1427&lt;&gt;"",H1427&gt;=129,H1427&lt;=2176),INDEX(Fields!$B$2:$B$206,MATCH(H1427-129,Fields!$D$2:$D$206,1)),""),"")</f>
        <v/>
      </c>
      <c r="K1427">
        <f>IFERROR(IF(AND(H1427&lt;&gt;"",H1427&gt;=129,H1427&lt;=2176),INDEX(Fields!$C$2:$C$206,MATCH(H1427-129,Fields!$D$2:$D$206,1)),""),"")</f>
        <v/>
      </c>
      <c r="L1427">
        <f>IFERROR(IF(AND(H1427&lt;&gt;"",H1427&gt;=129,H1427&lt;=2176),INDEX(Fields!$J$2:$J$206,MATCH(H1427-129,Fields!$D$2:$D$206,1)),""),"")</f>
        <v/>
      </c>
      <c r="M1427">
        <f>IFERROR(IF(AND(H1427&lt;&gt;"",H1427&gt;=129,H1427&lt;=2176),INDEX(Fields!$K$2:$K$206,MATCH(H1427-129,Fields!$D$2:$D$206,1)),""),"")</f>
        <v/>
      </c>
    </row>
    <row r="1428">
      <c r="A1428" t="n">
        <v>1426</v>
      </c>
      <c r="B1428" t="n">
        <v>0</v>
      </c>
      <c r="C1428" t="inlineStr">
        <is>
          <t>No</t>
        </is>
      </c>
      <c r="D1428">
        <f>IF(AND(B1423=1,B1424=1,B1425=1,B1426=1,B1427=1),"Yes","")</f>
        <v/>
      </c>
      <c r="E1428" t="inlineStr">
        <is>
          <t>No</t>
        </is>
      </c>
      <c r="F1428" t="inlineStr">
        <is>
          <t>No</t>
        </is>
      </c>
      <c r="G1428">
        <f>IF(F1428="Yes",1-B1428,B1428)</f>
        <v/>
      </c>
      <c r="H1428">
        <f>IF(E1428="Yes","",COUNTIFS($E$2:E1428,"No"))</f>
        <v/>
      </c>
      <c r="I1428">
        <f>IF(H1428="","",IF(H1428&lt;=128,"address",IF(H1428&lt;=600,"data1",IF(H1428&lt;=1264,"zero-run1",IF(H1428&lt;=1648,"data2",IF(H1428&lt;=2176,"zero-run2",IF(H1428&lt;=2192,"FCS","trailing")))))))</f>
        <v/>
      </c>
      <c r="J1428">
        <f>IFERROR(IF(AND(H1428&lt;&gt;"",H1428&gt;=129,H1428&lt;=2176),INDEX(Fields!$B$2:$B$206,MATCH(H1428-129,Fields!$D$2:$D$206,1)),""),"")</f>
        <v/>
      </c>
      <c r="K1428">
        <f>IFERROR(IF(AND(H1428&lt;&gt;"",H1428&gt;=129,H1428&lt;=2176),INDEX(Fields!$C$2:$C$206,MATCH(H1428-129,Fields!$D$2:$D$206,1)),""),"")</f>
        <v/>
      </c>
      <c r="L1428">
        <f>IFERROR(IF(AND(H1428&lt;&gt;"",H1428&gt;=129,H1428&lt;=2176),INDEX(Fields!$J$2:$J$206,MATCH(H1428-129,Fields!$D$2:$D$206,1)),""),"")</f>
        <v/>
      </c>
      <c r="M1428">
        <f>IFERROR(IF(AND(H1428&lt;&gt;"",H1428&gt;=129,H1428&lt;=2176),INDEX(Fields!$K$2:$K$206,MATCH(H1428-129,Fields!$D$2:$D$206,1)),""),"")</f>
        <v/>
      </c>
    </row>
    <row r="1429">
      <c r="A1429" t="n">
        <v>1427</v>
      </c>
      <c r="B1429" t="n">
        <v>0</v>
      </c>
      <c r="C1429" t="inlineStr">
        <is>
          <t>No</t>
        </is>
      </c>
      <c r="D1429">
        <f>IF(AND(B1424=1,B1425=1,B1426=1,B1427=1,B1428=1),"Yes","")</f>
        <v/>
      </c>
      <c r="E1429" t="inlineStr">
        <is>
          <t>No</t>
        </is>
      </c>
      <c r="F1429" t="inlineStr">
        <is>
          <t>No</t>
        </is>
      </c>
      <c r="G1429">
        <f>IF(F1429="Yes",1-B1429,B1429)</f>
        <v/>
      </c>
      <c r="H1429">
        <f>IF(E1429="Yes","",COUNTIFS($E$2:E1429,"No"))</f>
        <v/>
      </c>
      <c r="I1429">
        <f>IF(H1429="","",IF(H1429&lt;=128,"address",IF(H1429&lt;=600,"data1",IF(H1429&lt;=1264,"zero-run1",IF(H1429&lt;=1648,"data2",IF(H1429&lt;=2176,"zero-run2",IF(H1429&lt;=2192,"FCS","trailing")))))))</f>
        <v/>
      </c>
      <c r="J1429">
        <f>IFERROR(IF(AND(H1429&lt;&gt;"",H1429&gt;=129,H1429&lt;=2176),INDEX(Fields!$B$2:$B$206,MATCH(H1429-129,Fields!$D$2:$D$206,1)),""),"")</f>
        <v/>
      </c>
      <c r="K1429">
        <f>IFERROR(IF(AND(H1429&lt;&gt;"",H1429&gt;=129,H1429&lt;=2176),INDEX(Fields!$C$2:$C$206,MATCH(H1429-129,Fields!$D$2:$D$206,1)),""),"")</f>
        <v/>
      </c>
      <c r="L1429">
        <f>IFERROR(IF(AND(H1429&lt;&gt;"",H1429&gt;=129,H1429&lt;=2176),INDEX(Fields!$J$2:$J$206,MATCH(H1429-129,Fields!$D$2:$D$206,1)),""),"")</f>
        <v/>
      </c>
      <c r="M1429">
        <f>IFERROR(IF(AND(H1429&lt;&gt;"",H1429&gt;=129,H1429&lt;=2176),INDEX(Fields!$K$2:$K$206,MATCH(H1429-129,Fields!$D$2:$D$206,1)),""),"")</f>
        <v/>
      </c>
    </row>
    <row r="1430">
      <c r="A1430" t="n">
        <v>1428</v>
      </c>
      <c r="B1430" t="n">
        <v>0</v>
      </c>
      <c r="C1430" t="inlineStr">
        <is>
          <t>No</t>
        </is>
      </c>
      <c r="D1430">
        <f>IF(AND(B1425=1,B1426=1,B1427=1,B1428=1,B1429=1),"Yes","")</f>
        <v/>
      </c>
      <c r="E1430" t="inlineStr">
        <is>
          <t>No</t>
        </is>
      </c>
      <c r="F1430" t="inlineStr">
        <is>
          <t>No</t>
        </is>
      </c>
      <c r="G1430">
        <f>IF(F1430="Yes",1-B1430,B1430)</f>
        <v/>
      </c>
      <c r="H1430">
        <f>IF(E1430="Yes","",COUNTIFS($E$2:E1430,"No"))</f>
        <v/>
      </c>
      <c r="I1430">
        <f>IF(H1430="","",IF(H1430&lt;=128,"address",IF(H1430&lt;=600,"data1",IF(H1430&lt;=1264,"zero-run1",IF(H1430&lt;=1648,"data2",IF(H1430&lt;=2176,"zero-run2",IF(H1430&lt;=2192,"FCS","trailing")))))))</f>
        <v/>
      </c>
      <c r="J1430">
        <f>IFERROR(IF(AND(H1430&lt;&gt;"",H1430&gt;=129,H1430&lt;=2176),INDEX(Fields!$B$2:$B$206,MATCH(H1430-129,Fields!$D$2:$D$206,1)),""),"")</f>
        <v/>
      </c>
      <c r="K1430">
        <f>IFERROR(IF(AND(H1430&lt;&gt;"",H1430&gt;=129,H1430&lt;=2176),INDEX(Fields!$C$2:$C$206,MATCH(H1430-129,Fields!$D$2:$D$206,1)),""),"")</f>
        <v/>
      </c>
      <c r="L1430">
        <f>IFERROR(IF(AND(H1430&lt;&gt;"",H1430&gt;=129,H1430&lt;=2176),INDEX(Fields!$J$2:$J$206,MATCH(H1430-129,Fields!$D$2:$D$206,1)),""),"")</f>
        <v/>
      </c>
      <c r="M1430">
        <f>IFERROR(IF(AND(H1430&lt;&gt;"",H1430&gt;=129,H1430&lt;=2176),INDEX(Fields!$K$2:$K$206,MATCH(H1430-129,Fields!$D$2:$D$206,1)),""),"")</f>
        <v/>
      </c>
    </row>
    <row r="1431">
      <c r="A1431" t="n">
        <v>1429</v>
      </c>
      <c r="B1431" t="n">
        <v>0</v>
      </c>
      <c r="C1431" t="inlineStr">
        <is>
          <t>No</t>
        </is>
      </c>
      <c r="D1431">
        <f>IF(AND(B1426=1,B1427=1,B1428=1,B1429=1,B1430=1),"Yes","")</f>
        <v/>
      </c>
      <c r="E1431" t="inlineStr">
        <is>
          <t>No</t>
        </is>
      </c>
      <c r="F1431" t="inlineStr">
        <is>
          <t>No</t>
        </is>
      </c>
      <c r="G1431">
        <f>IF(F1431="Yes",1-B1431,B1431)</f>
        <v/>
      </c>
      <c r="H1431">
        <f>IF(E1431="Yes","",COUNTIFS($E$2:E1431,"No"))</f>
        <v/>
      </c>
      <c r="I1431">
        <f>IF(H1431="","",IF(H1431&lt;=128,"address",IF(H1431&lt;=600,"data1",IF(H1431&lt;=1264,"zero-run1",IF(H1431&lt;=1648,"data2",IF(H1431&lt;=2176,"zero-run2",IF(H1431&lt;=2192,"FCS","trailing")))))))</f>
        <v/>
      </c>
      <c r="J1431">
        <f>IFERROR(IF(AND(H1431&lt;&gt;"",H1431&gt;=129,H1431&lt;=2176),INDEX(Fields!$B$2:$B$206,MATCH(H1431-129,Fields!$D$2:$D$206,1)),""),"")</f>
        <v/>
      </c>
      <c r="K1431">
        <f>IFERROR(IF(AND(H1431&lt;&gt;"",H1431&gt;=129,H1431&lt;=2176),INDEX(Fields!$C$2:$C$206,MATCH(H1431-129,Fields!$D$2:$D$206,1)),""),"")</f>
        <v/>
      </c>
      <c r="L1431">
        <f>IFERROR(IF(AND(H1431&lt;&gt;"",H1431&gt;=129,H1431&lt;=2176),INDEX(Fields!$J$2:$J$206,MATCH(H1431-129,Fields!$D$2:$D$206,1)),""),"")</f>
        <v/>
      </c>
      <c r="M1431">
        <f>IFERROR(IF(AND(H1431&lt;&gt;"",H1431&gt;=129,H1431&lt;=2176),INDEX(Fields!$K$2:$K$206,MATCH(H1431-129,Fields!$D$2:$D$206,1)),""),"")</f>
        <v/>
      </c>
    </row>
    <row r="1432">
      <c r="A1432" t="n">
        <v>1430</v>
      </c>
      <c r="B1432" t="n">
        <v>0</v>
      </c>
      <c r="C1432" t="inlineStr">
        <is>
          <t>No</t>
        </is>
      </c>
      <c r="D1432">
        <f>IF(AND(B1427=1,B1428=1,B1429=1,B1430=1,B1431=1),"Yes","")</f>
        <v/>
      </c>
      <c r="E1432" t="inlineStr">
        <is>
          <t>No</t>
        </is>
      </c>
      <c r="F1432" t="inlineStr">
        <is>
          <t>No</t>
        </is>
      </c>
      <c r="G1432">
        <f>IF(F1432="Yes",1-B1432,B1432)</f>
        <v/>
      </c>
      <c r="H1432">
        <f>IF(E1432="Yes","",COUNTIFS($E$2:E1432,"No"))</f>
        <v/>
      </c>
      <c r="I1432">
        <f>IF(H1432="","",IF(H1432&lt;=128,"address",IF(H1432&lt;=600,"data1",IF(H1432&lt;=1264,"zero-run1",IF(H1432&lt;=1648,"data2",IF(H1432&lt;=2176,"zero-run2",IF(H1432&lt;=2192,"FCS","trailing")))))))</f>
        <v/>
      </c>
      <c r="J1432">
        <f>IFERROR(IF(AND(H1432&lt;&gt;"",H1432&gt;=129,H1432&lt;=2176),INDEX(Fields!$B$2:$B$206,MATCH(H1432-129,Fields!$D$2:$D$206,1)),""),"")</f>
        <v/>
      </c>
      <c r="K1432">
        <f>IFERROR(IF(AND(H1432&lt;&gt;"",H1432&gt;=129,H1432&lt;=2176),INDEX(Fields!$C$2:$C$206,MATCH(H1432-129,Fields!$D$2:$D$206,1)),""),"")</f>
        <v/>
      </c>
      <c r="L1432">
        <f>IFERROR(IF(AND(H1432&lt;&gt;"",H1432&gt;=129,H1432&lt;=2176),INDEX(Fields!$J$2:$J$206,MATCH(H1432-129,Fields!$D$2:$D$206,1)),""),"")</f>
        <v/>
      </c>
      <c r="M1432">
        <f>IFERROR(IF(AND(H1432&lt;&gt;"",H1432&gt;=129,H1432&lt;=2176),INDEX(Fields!$K$2:$K$206,MATCH(H1432-129,Fields!$D$2:$D$206,1)),""),"")</f>
        <v/>
      </c>
    </row>
    <row r="1433">
      <c r="A1433" t="n">
        <v>1431</v>
      </c>
      <c r="B1433" t="n">
        <v>0</v>
      </c>
      <c r="C1433" t="inlineStr">
        <is>
          <t>No</t>
        </is>
      </c>
      <c r="D1433">
        <f>IF(AND(B1428=1,B1429=1,B1430=1,B1431=1,B1432=1),"Yes","")</f>
        <v/>
      </c>
      <c r="E1433" t="inlineStr">
        <is>
          <t>No</t>
        </is>
      </c>
      <c r="F1433" t="inlineStr">
        <is>
          <t>No</t>
        </is>
      </c>
      <c r="G1433">
        <f>IF(F1433="Yes",1-B1433,B1433)</f>
        <v/>
      </c>
      <c r="H1433">
        <f>IF(E1433="Yes","",COUNTIFS($E$2:E1433,"No"))</f>
        <v/>
      </c>
      <c r="I1433">
        <f>IF(H1433="","",IF(H1433&lt;=128,"address",IF(H1433&lt;=600,"data1",IF(H1433&lt;=1264,"zero-run1",IF(H1433&lt;=1648,"data2",IF(H1433&lt;=2176,"zero-run2",IF(H1433&lt;=2192,"FCS","trailing")))))))</f>
        <v/>
      </c>
      <c r="J1433">
        <f>IFERROR(IF(AND(H1433&lt;&gt;"",H1433&gt;=129,H1433&lt;=2176),INDEX(Fields!$B$2:$B$206,MATCH(H1433-129,Fields!$D$2:$D$206,1)),""),"")</f>
        <v/>
      </c>
      <c r="K1433">
        <f>IFERROR(IF(AND(H1433&lt;&gt;"",H1433&gt;=129,H1433&lt;=2176),INDEX(Fields!$C$2:$C$206,MATCH(H1433-129,Fields!$D$2:$D$206,1)),""),"")</f>
        <v/>
      </c>
      <c r="L1433">
        <f>IFERROR(IF(AND(H1433&lt;&gt;"",H1433&gt;=129,H1433&lt;=2176),INDEX(Fields!$J$2:$J$206,MATCH(H1433-129,Fields!$D$2:$D$206,1)),""),"")</f>
        <v/>
      </c>
      <c r="M1433">
        <f>IFERROR(IF(AND(H1433&lt;&gt;"",H1433&gt;=129,H1433&lt;=2176),INDEX(Fields!$K$2:$K$206,MATCH(H1433-129,Fields!$D$2:$D$206,1)),""),"")</f>
        <v/>
      </c>
    </row>
    <row r="1434">
      <c r="A1434" t="n">
        <v>1432</v>
      </c>
      <c r="B1434" t="n">
        <v>1</v>
      </c>
      <c r="C1434" t="inlineStr">
        <is>
          <t>No</t>
        </is>
      </c>
      <c r="D1434">
        <f>IF(AND(B1429=1,B1430=1,B1431=1,B1432=1,B1433=1),"Yes","")</f>
        <v/>
      </c>
      <c r="E1434" t="inlineStr">
        <is>
          <t>No</t>
        </is>
      </c>
      <c r="F1434" t="inlineStr">
        <is>
          <t>No</t>
        </is>
      </c>
      <c r="G1434">
        <f>IF(F1434="Yes",1-B1434,B1434)</f>
        <v/>
      </c>
      <c r="H1434">
        <f>IF(E1434="Yes","",COUNTIFS($E$2:E1434,"No"))</f>
        <v/>
      </c>
      <c r="I1434">
        <f>IF(H1434="","",IF(H1434&lt;=128,"address",IF(H1434&lt;=600,"data1",IF(H1434&lt;=1264,"zero-run1",IF(H1434&lt;=1648,"data2",IF(H1434&lt;=2176,"zero-run2",IF(H1434&lt;=2192,"FCS","trailing")))))))</f>
        <v/>
      </c>
      <c r="J1434">
        <f>IFERROR(IF(AND(H1434&lt;&gt;"",H1434&gt;=129,H1434&lt;=2176),INDEX(Fields!$B$2:$B$206,MATCH(H1434-129,Fields!$D$2:$D$206,1)),""),"")</f>
        <v/>
      </c>
      <c r="K1434">
        <f>IFERROR(IF(AND(H1434&lt;&gt;"",H1434&gt;=129,H1434&lt;=2176),INDEX(Fields!$C$2:$C$206,MATCH(H1434-129,Fields!$D$2:$D$206,1)),""),"")</f>
        <v/>
      </c>
      <c r="L1434">
        <f>IFERROR(IF(AND(H1434&lt;&gt;"",H1434&gt;=129,H1434&lt;=2176),INDEX(Fields!$J$2:$J$206,MATCH(H1434-129,Fields!$D$2:$D$206,1)),""),"")</f>
        <v/>
      </c>
      <c r="M1434">
        <f>IFERROR(IF(AND(H1434&lt;&gt;"",H1434&gt;=129,H1434&lt;=2176),INDEX(Fields!$K$2:$K$206,MATCH(H1434-129,Fields!$D$2:$D$206,1)),""),"")</f>
        <v/>
      </c>
    </row>
    <row r="1435">
      <c r="A1435" t="n">
        <v>1433</v>
      </c>
      <c r="B1435" t="n">
        <v>1</v>
      </c>
      <c r="C1435" t="inlineStr">
        <is>
          <t>No</t>
        </is>
      </c>
      <c r="D1435">
        <f>IF(AND(B1430=1,B1431=1,B1432=1,B1433=1,B1434=1),"Yes","")</f>
        <v/>
      </c>
      <c r="E1435" t="inlineStr">
        <is>
          <t>No</t>
        </is>
      </c>
      <c r="F1435" t="inlineStr">
        <is>
          <t>No</t>
        </is>
      </c>
      <c r="G1435">
        <f>IF(F1435="Yes",1-B1435,B1435)</f>
        <v/>
      </c>
      <c r="H1435">
        <f>IF(E1435="Yes","",COUNTIFS($E$2:E1435,"No"))</f>
        <v/>
      </c>
      <c r="I1435">
        <f>IF(H1435="","",IF(H1435&lt;=128,"address",IF(H1435&lt;=600,"data1",IF(H1435&lt;=1264,"zero-run1",IF(H1435&lt;=1648,"data2",IF(H1435&lt;=2176,"zero-run2",IF(H1435&lt;=2192,"FCS","trailing")))))))</f>
        <v/>
      </c>
      <c r="J1435">
        <f>IFERROR(IF(AND(H1435&lt;&gt;"",H1435&gt;=129,H1435&lt;=2176),INDEX(Fields!$B$2:$B$206,MATCH(H1435-129,Fields!$D$2:$D$206,1)),""),"")</f>
        <v/>
      </c>
      <c r="K1435">
        <f>IFERROR(IF(AND(H1435&lt;&gt;"",H1435&gt;=129,H1435&lt;=2176),INDEX(Fields!$C$2:$C$206,MATCH(H1435-129,Fields!$D$2:$D$206,1)),""),"")</f>
        <v/>
      </c>
      <c r="L1435">
        <f>IFERROR(IF(AND(H1435&lt;&gt;"",H1435&gt;=129,H1435&lt;=2176),INDEX(Fields!$J$2:$J$206,MATCH(H1435-129,Fields!$D$2:$D$206,1)),""),"")</f>
        <v/>
      </c>
      <c r="M1435">
        <f>IFERROR(IF(AND(H1435&lt;&gt;"",H1435&gt;=129,H1435&lt;=2176),INDEX(Fields!$K$2:$K$206,MATCH(H1435-129,Fields!$D$2:$D$206,1)),""),"")</f>
        <v/>
      </c>
    </row>
    <row r="1436">
      <c r="A1436" t="n">
        <v>1434</v>
      </c>
      <c r="B1436" t="n">
        <v>0</v>
      </c>
      <c r="C1436" t="inlineStr">
        <is>
          <t>No</t>
        </is>
      </c>
      <c r="D1436">
        <f>IF(AND(B1431=1,B1432=1,B1433=1,B1434=1,B1435=1),"Yes","")</f>
        <v/>
      </c>
      <c r="E1436" t="inlineStr">
        <is>
          <t>No</t>
        </is>
      </c>
      <c r="F1436" t="inlineStr">
        <is>
          <t>No</t>
        </is>
      </c>
      <c r="G1436">
        <f>IF(F1436="Yes",1-B1436,B1436)</f>
        <v/>
      </c>
      <c r="H1436">
        <f>IF(E1436="Yes","",COUNTIFS($E$2:E1436,"No"))</f>
        <v/>
      </c>
      <c r="I1436">
        <f>IF(H1436="","",IF(H1436&lt;=128,"address",IF(H1436&lt;=600,"data1",IF(H1436&lt;=1264,"zero-run1",IF(H1436&lt;=1648,"data2",IF(H1436&lt;=2176,"zero-run2",IF(H1436&lt;=2192,"FCS","trailing")))))))</f>
        <v/>
      </c>
      <c r="J1436">
        <f>IFERROR(IF(AND(H1436&lt;&gt;"",H1436&gt;=129,H1436&lt;=2176),INDEX(Fields!$B$2:$B$206,MATCH(H1436-129,Fields!$D$2:$D$206,1)),""),"")</f>
        <v/>
      </c>
      <c r="K1436">
        <f>IFERROR(IF(AND(H1436&lt;&gt;"",H1436&gt;=129,H1436&lt;=2176),INDEX(Fields!$C$2:$C$206,MATCH(H1436-129,Fields!$D$2:$D$206,1)),""),"")</f>
        <v/>
      </c>
      <c r="L1436">
        <f>IFERROR(IF(AND(H1436&lt;&gt;"",H1436&gt;=129,H1436&lt;=2176),INDEX(Fields!$J$2:$J$206,MATCH(H1436-129,Fields!$D$2:$D$206,1)),""),"")</f>
        <v/>
      </c>
      <c r="M1436">
        <f>IFERROR(IF(AND(H1436&lt;&gt;"",H1436&gt;=129,H1436&lt;=2176),INDEX(Fields!$K$2:$K$206,MATCH(H1436-129,Fields!$D$2:$D$206,1)),""),"")</f>
        <v/>
      </c>
    </row>
    <row r="1437">
      <c r="A1437" t="n">
        <v>1435</v>
      </c>
      <c r="B1437" t="n">
        <v>1</v>
      </c>
      <c r="C1437" t="inlineStr">
        <is>
          <t>No</t>
        </is>
      </c>
      <c r="D1437">
        <f>IF(AND(B1432=1,B1433=1,B1434=1,B1435=1,B1436=1),"Yes","")</f>
        <v/>
      </c>
      <c r="E1437" t="inlineStr">
        <is>
          <t>No</t>
        </is>
      </c>
      <c r="F1437" t="inlineStr">
        <is>
          <t>No</t>
        </is>
      </c>
      <c r="G1437">
        <f>IF(F1437="Yes",1-B1437,B1437)</f>
        <v/>
      </c>
      <c r="H1437">
        <f>IF(E1437="Yes","",COUNTIFS($E$2:E1437,"No"))</f>
        <v/>
      </c>
      <c r="I1437">
        <f>IF(H1437="","",IF(H1437&lt;=128,"address",IF(H1437&lt;=600,"data1",IF(H1437&lt;=1264,"zero-run1",IF(H1437&lt;=1648,"data2",IF(H1437&lt;=2176,"zero-run2",IF(H1437&lt;=2192,"FCS","trailing")))))))</f>
        <v/>
      </c>
      <c r="J1437">
        <f>IFERROR(IF(AND(H1437&lt;&gt;"",H1437&gt;=129,H1437&lt;=2176),INDEX(Fields!$B$2:$B$206,MATCH(H1437-129,Fields!$D$2:$D$206,1)),""),"")</f>
        <v/>
      </c>
      <c r="K1437">
        <f>IFERROR(IF(AND(H1437&lt;&gt;"",H1437&gt;=129,H1437&lt;=2176),INDEX(Fields!$C$2:$C$206,MATCH(H1437-129,Fields!$D$2:$D$206,1)),""),"")</f>
        <v/>
      </c>
      <c r="L1437">
        <f>IFERROR(IF(AND(H1437&lt;&gt;"",H1437&gt;=129,H1437&lt;=2176),INDEX(Fields!$J$2:$J$206,MATCH(H1437-129,Fields!$D$2:$D$206,1)),""),"")</f>
        <v/>
      </c>
      <c r="M1437">
        <f>IFERROR(IF(AND(H1437&lt;&gt;"",H1437&gt;=129,H1437&lt;=2176),INDEX(Fields!$K$2:$K$206,MATCH(H1437-129,Fields!$D$2:$D$206,1)),""),"")</f>
        <v/>
      </c>
    </row>
    <row r="1438">
      <c r="A1438" t="n">
        <v>1436</v>
      </c>
      <c r="B1438" t="n">
        <v>0</v>
      </c>
      <c r="C1438" t="inlineStr">
        <is>
          <t>No</t>
        </is>
      </c>
      <c r="D1438">
        <f>IF(AND(B1433=1,B1434=1,B1435=1,B1436=1,B1437=1),"Yes","")</f>
        <v/>
      </c>
      <c r="E1438" t="inlineStr">
        <is>
          <t>No</t>
        </is>
      </c>
      <c r="F1438" t="inlineStr">
        <is>
          <t>No</t>
        </is>
      </c>
      <c r="G1438">
        <f>IF(F1438="Yes",1-B1438,B1438)</f>
        <v/>
      </c>
      <c r="H1438">
        <f>IF(E1438="Yes","",COUNTIFS($E$2:E1438,"No"))</f>
        <v/>
      </c>
      <c r="I1438">
        <f>IF(H1438="","",IF(H1438&lt;=128,"address",IF(H1438&lt;=600,"data1",IF(H1438&lt;=1264,"zero-run1",IF(H1438&lt;=1648,"data2",IF(H1438&lt;=2176,"zero-run2",IF(H1438&lt;=2192,"FCS","trailing")))))))</f>
        <v/>
      </c>
      <c r="J1438">
        <f>IFERROR(IF(AND(H1438&lt;&gt;"",H1438&gt;=129,H1438&lt;=2176),INDEX(Fields!$B$2:$B$206,MATCH(H1438-129,Fields!$D$2:$D$206,1)),""),"")</f>
        <v/>
      </c>
      <c r="K1438">
        <f>IFERROR(IF(AND(H1438&lt;&gt;"",H1438&gt;=129,H1438&lt;=2176),INDEX(Fields!$C$2:$C$206,MATCH(H1438-129,Fields!$D$2:$D$206,1)),""),"")</f>
        <v/>
      </c>
      <c r="L1438">
        <f>IFERROR(IF(AND(H1438&lt;&gt;"",H1438&gt;=129,H1438&lt;=2176),INDEX(Fields!$J$2:$J$206,MATCH(H1438-129,Fields!$D$2:$D$206,1)),""),"")</f>
        <v/>
      </c>
      <c r="M1438">
        <f>IFERROR(IF(AND(H1438&lt;&gt;"",H1438&gt;=129,H1438&lt;=2176),INDEX(Fields!$K$2:$K$206,MATCH(H1438-129,Fields!$D$2:$D$206,1)),""),"")</f>
        <v/>
      </c>
    </row>
    <row r="1439">
      <c r="A1439" t="n">
        <v>1437</v>
      </c>
      <c r="B1439" t="n">
        <v>0</v>
      </c>
      <c r="C1439" t="inlineStr">
        <is>
          <t>No</t>
        </is>
      </c>
      <c r="D1439">
        <f>IF(AND(B1434=1,B1435=1,B1436=1,B1437=1,B1438=1),"Yes","")</f>
        <v/>
      </c>
      <c r="E1439" t="inlineStr">
        <is>
          <t>No</t>
        </is>
      </c>
      <c r="F1439" t="inlineStr">
        <is>
          <t>No</t>
        </is>
      </c>
      <c r="G1439">
        <f>IF(F1439="Yes",1-B1439,B1439)</f>
        <v/>
      </c>
      <c r="H1439">
        <f>IF(E1439="Yes","",COUNTIFS($E$2:E1439,"No"))</f>
        <v/>
      </c>
      <c r="I1439">
        <f>IF(H1439="","",IF(H1439&lt;=128,"address",IF(H1439&lt;=600,"data1",IF(H1439&lt;=1264,"zero-run1",IF(H1439&lt;=1648,"data2",IF(H1439&lt;=2176,"zero-run2",IF(H1439&lt;=2192,"FCS","trailing")))))))</f>
        <v/>
      </c>
      <c r="J1439">
        <f>IFERROR(IF(AND(H1439&lt;&gt;"",H1439&gt;=129,H1439&lt;=2176),INDEX(Fields!$B$2:$B$206,MATCH(H1439-129,Fields!$D$2:$D$206,1)),""),"")</f>
        <v/>
      </c>
      <c r="K1439">
        <f>IFERROR(IF(AND(H1439&lt;&gt;"",H1439&gt;=129,H1439&lt;=2176),INDEX(Fields!$C$2:$C$206,MATCH(H1439-129,Fields!$D$2:$D$206,1)),""),"")</f>
        <v/>
      </c>
      <c r="L1439">
        <f>IFERROR(IF(AND(H1439&lt;&gt;"",H1439&gt;=129,H1439&lt;=2176),INDEX(Fields!$J$2:$J$206,MATCH(H1439-129,Fields!$D$2:$D$206,1)),""),"")</f>
        <v/>
      </c>
      <c r="M1439">
        <f>IFERROR(IF(AND(H1439&lt;&gt;"",H1439&gt;=129,H1439&lt;=2176),INDEX(Fields!$K$2:$K$206,MATCH(H1439-129,Fields!$D$2:$D$206,1)),""),"")</f>
        <v/>
      </c>
    </row>
    <row r="1440">
      <c r="A1440" t="n">
        <v>1438</v>
      </c>
      <c r="B1440" t="n">
        <v>0</v>
      </c>
      <c r="C1440" t="inlineStr">
        <is>
          <t>No</t>
        </is>
      </c>
      <c r="D1440">
        <f>IF(AND(B1435=1,B1436=1,B1437=1,B1438=1,B1439=1),"Yes","")</f>
        <v/>
      </c>
      <c r="E1440" t="inlineStr">
        <is>
          <t>No</t>
        </is>
      </c>
      <c r="F1440" t="inlineStr">
        <is>
          <t>No</t>
        </is>
      </c>
      <c r="G1440">
        <f>IF(F1440="Yes",1-B1440,B1440)</f>
        <v/>
      </c>
      <c r="H1440">
        <f>IF(E1440="Yes","",COUNTIFS($E$2:E1440,"No"))</f>
        <v/>
      </c>
      <c r="I1440">
        <f>IF(H1440="","",IF(H1440&lt;=128,"address",IF(H1440&lt;=600,"data1",IF(H1440&lt;=1264,"zero-run1",IF(H1440&lt;=1648,"data2",IF(H1440&lt;=2176,"zero-run2",IF(H1440&lt;=2192,"FCS","trailing")))))))</f>
        <v/>
      </c>
      <c r="J1440">
        <f>IFERROR(IF(AND(H1440&lt;&gt;"",H1440&gt;=129,H1440&lt;=2176),INDEX(Fields!$B$2:$B$206,MATCH(H1440-129,Fields!$D$2:$D$206,1)),""),"")</f>
        <v/>
      </c>
      <c r="K1440">
        <f>IFERROR(IF(AND(H1440&lt;&gt;"",H1440&gt;=129,H1440&lt;=2176),INDEX(Fields!$C$2:$C$206,MATCH(H1440-129,Fields!$D$2:$D$206,1)),""),"")</f>
        <v/>
      </c>
      <c r="L1440">
        <f>IFERROR(IF(AND(H1440&lt;&gt;"",H1440&gt;=129,H1440&lt;=2176),INDEX(Fields!$J$2:$J$206,MATCH(H1440-129,Fields!$D$2:$D$206,1)),""),"")</f>
        <v/>
      </c>
      <c r="M1440">
        <f>IFERROR(IF(AND(H1440&lt;&gt;"",H1440&gt;=129,H1440&lt;=2176),INDEX(Fields!$K$2:$K$206,MATCH(H1440-129,Fields!$D$2:$D$206,1)),""),"")</f>
        <v/>
      </c>
    </row>
    <row r="1441">
      <c r="A1441" t="n">
        <v>1439</v>
      </c>
      <c r="B1441" t="n">
        <v>0</v>
      </c>
      <c r="C1441" t="inlineStr">
        <is>
          <t>No</t>
        </is>
      </c>
      <c r="D1441">
        <f>IF(AND(B1436=1,B1437=1,B1438=1,B1439=1,B1440=1),"Yes","")</f>
        <v/>
      </c>
      <c r="E1441" t="inlineStr">
        <is>
          <t>No</t>
        </is>
      </c>
      <c r="F1441" t="inlineStr">
        <is>
          <t>No</t>
        </is>
      </c>
      <c r="G1441">
        <f>IF(F1441="Yes",1-B1441,B1441)</f>
        <v/>
      </c>
      <c r="H1441">
        <f>IF(E1441="Yes","",COUNTIFS($E$2:E1441,"No"))</f>
        <v/>
      </c>
      <c r="I1441">
        <f>IF(H1441="","",IF(H1441&lt;=128,"address",IF(H1441&lt;=600,"data1",IF(H1441&lt;=1264,"zero-run1",IF(H1441&lt;=1648,"data2",IF(H1441&lt;=2176,"zero-run2",IF(H1441&lt;=2192,"FCS","trailing")))))))</f>
        <v/>
      </c>
      <c r="J1441">
        <f>IFERROR(IF(AND(H1441&lt;&gt;"",H1441&gt;=129,H1441&lt;=2176),INDEX(Fields!$B$2:$B$206,MATCH(H1441-129,Fields!$D$2:$D$206,1)),""),"")</f>
        <v/>
      </c>
      <c r="K1441">
        <f>IFERROR(IF(AND(H1441&lt;&gt;"",H1441&gt;=129,H1441&lt;=2176),INDEX(Fields!$C$2:$C$206,MATCH(H1441-129,Fields!$D$2:$D$206,1)),""),"")</f>
        <v/>
      </c>
      <c r="L1441">
        <f>IFERROR(IF(AND(H1441&lt;&gt;"",H1441&gt;=129,H1441&lt;=2176),INDEX(Fields!$J$2:$J$206,MATCH(H1441-129,Fields!$D$2:$D$206,1)),""),"")</f>
        <v/>
      </c>
      <c r="M1441">
        <f>IFERROR(IF(AND(H1441&lt;&gt;"",H1441&gt;=129,H1441&lt;=2176),INDEX(Fields!$K$2:$K$206,MATCH(H1441-129,Fields!$D$2:$D$206,1)),""),"")</f>
        <v/>
      </c>
    </row>
    <row r="1442">
      <c r="A1442" t="n">
        <v>1440</v>
      </c>
      <c r="B1442" t="n">
        <v>0</v>
      </c>
      <c r="C1442" t="inlineStr">
        <is>
          <t>No</t>
        </is>
      </c>
      <c r="D1442">
        <f>IF(AND(B1437=1,B1438=1,B1439=1,B1440=1,B1441=1),"Yes","")</f>
        <v/>
      </c>
      <c r="E1442" t="inlineStr">
        <is>
          <t>No</t>
        </is>
      </c>
      <c r="F1442" t="inlineStr">
        <is>
          <t>No</t>
        </is>
      </c>
      <c r="G1442">
        <f>IF(F1442="Yes",1-B1442,B1442)</f>
        <v/>
      </c>
      <c r="H1442">
        <f>IF(E1442="Yes","",COUNTIFS($E$2:E1442,"No"))</f>
        <v/>
      </c>
      <c r="I1442">
        <f>IF(H1442="","",IF(H1442&lt;=128,"address",IF(H1442&lt;=600,"data1",IF(H1442&lt;=1264,"zero-run1",IF(H1442&lt;=1648,"data2",IF(H1442&lt;=2176,"zero-run2",IF(H1442&lt;=2192,"FCS","trailing")))))))</f>
        <v/>
      </c>
      <c r="J1442">
        <f>IFERROR(IF(AND(H1442&lt;&gt;"",H1442&gt;=129,H1442&lt;=2176),INDEX(Fields!$B$2:$B$206,MATCH(H1442-129,Fields!$D$2:$D$206,1)),""),"")</f>
        <v/>
      </c>
      <c r="K1442">
        <f>IFERROR(IF(AND(H1442&lt;&gt;"",H1442&gt;=129,H1442&lt;=2176),INDEX(Fields!$C$2:$C$206,MATCH(H1442-129,Fields!$D$2:$D$206,1)),""),"")</f>
        <v/>
      </c>
      <c r="L1442">
        <f>IFERROR(IF(AND(H1442&lt;&gt;"",H1442&gt;=129,H1442&lt;=2176),INDEX(Fields!$J$2:$J$206,MATCH(H1442-129,Fields!$D$2:$D$206,1)),""),"")</f>
        <v/>
      </c>
      <c r="M1442">
        <f>IFERROR(IF(AND(H1442&lt;&gt;"",H1442&gt;=129,H1442&lt;=2176),INDEX(Fields!$K$2:$K$206,MATCH(H1442-129,Fields!$D$2:$D$206,1)),""),"")</f>
        <v/>
      </c>
    </row>
    <row r="1443">
      <c r="A1443" t="n">
        <v>1441</v>
      </c>
      <c r="B1443" t="n">
        <v>1</v>
      </c>
      <c r="C1443" t="inlineStr">
        <is>
          <t>No</t>
        </is>
      </c>
      <c r="D1443">
        <f>IF(AND(B1438=1,B1439=1,B1440=1,B1441=1,B1442=1),"Yes","")</f>
        <v/>
      </c>
      <c r="E1443" t="inlineStr">
        <is>
          <t>No</t>
        </is>
      </c>
      <c r="F1443" t="inlineStr">
        <is>
          <t>No</t>
        </is>
      </c>
      <c r="G1443">
        <f>IF(F1443="Yes",1-B1443,B1443)</f>
        <v/>
      </c>
      <c r="H1443">
        <f>IF(E1443="Yes","",COUNTIFS($E$2:E1443,"No"))</f>
        <v/>
      </c>
      <c r="I1443">
        <f>IF(H1443="","",IF(H1443&lt;=128,"address",IF(H1443&lt;=600,"data1",IF(H1443&lt;=1264,"zero-run1",IF(H1443&lt;=1648,"data2",IF(H1443&lt;=2176,"zero-run2",IF(H1443&lt;=2192,"FCS","trailing")))))))</f>
        <v/>
      </c>
      <c r="J1443">
        <f>IFERROR(IF(AND(H1443&lt;&gt;"",H1443&gt;=129,H1443&lt;=2176),INDEX(Fields!$B$2:$B$206,MATCH(H1443-129,Fields!$D$2:$D$206,1)),""),"")</f>
        <v/>
      </c>
      <c r="K1443">
        <f>IFERROR(IF(AND(H1443&lt;&gt;"",H1443&gt;=129,H1443&lt;=2176),INDEX(Fields!$C$2:$C$206,MATCH(H1443-129,Fields!$D$2:$D$206,1)),""),"")</f>
        <v/>
      </c>
      <c r="L1443">
        <f>IFERROR(IF(AND(H1443&lt;&gt;"",H1443&gt;=129,H1443&lt;=2176),INDEX(Fields!$J$2:$J$206,MATCH(H1443-129,Fields!$D$2:$D$206,1)),""),"")</f>
        <v/>
      </c>
      <c r="M1443">
        <f>IFERROR(IF(AND(H1443&lt;&gt;"",H1443&gt;=129,H1443&lt;=2176),INDEX(Fields!$K$2:$K$206,MATCH(H1443-129,Fields!$D$2:$D$206,1)),""),"")</f>
        <v/>
      </c>
    </row>
    <row r="1444">
      <c r="A1444" t="n">
        <v>1442</v>
      </c>
      <c r="B1444" t="n">
        <v>0</v>
      </c>
      <c r="C1444" t="inlineStr">
        <is>
          <t>No</t>
        </is>
      </c>
      <c r="D1444">
        <f>IF(AND(B1439=1,B1440=1,B1441=1,B1442=1,B1443=1),"Yes","")</f>
        <v/>
      </c>
      <c r="E1444" t="inlineStr">
        <is>
          <t>No</t>
        </is>
      </c>
      <c r="F1444" t="inlineStr">
        <is>
          <t>No</t>
        </is>
      </c>
      <c r="G1444">
        <f>IF(F1444="Yes",1-B1444,B1444)</f>
        <v/>
      </c>
      <c r="H1444">
        <f>IF(E1444="Yes","",COUNTIFS($E$2:E1444,"No"))</f>
        <v/>
      </c>
      <c r="I1444">
        <f>IF(H1444="","",IF(H1444&lt;=128,"address",IF(H1444&lt;=600,"data1",IF(H1444&lt;=1264,"zero-run1",IF(H1444&lt;=1648,"data2",IF(H1444&lt;=2176,"zero-run2",IF(H1444&lt;=2192,"FCS","trailing")))))))</f>
        <v/>
      </c>
      <c r="J1444">
        <f>IFERROR(IF(AND(H1444&lt;&gt;"",H1444&gt;=129,H1444&lt;=2176),INDEX(Fields!$B$2:$B$206,MATCH(H1444-129,Fields!$D$2:$D$206,1)),""),"")</f>
        <v/>
      </c>
      <c r="K1444">
        <f>IFERROR(IF(AND(H1444&lt;&gt;"",H1444&gt;=129,H1444&lt;=2176),INDEX(Fields!$C$2:$C$206,MATCH(H1444-129,Fields!$D$2:$D$206,1)),""),"")</f>
        <v/>
      </c>
      <c r="L1444">
        <f>IFERROR(IF(AND(H1444&lt;&gt;"",H1444&gt;=129,H1444&lt;=2176),INDEX(Fields!$J$2:$J$206,MATCH(H1444-129,Fields!$D$2:$D$206,1)),""),"")</f>
        <v/>
      </c>
      <c r="M1444">
        <f>IFERROR(IF(AND(H1444&lt;&gt;"",H1444&gt;=129,H1444&lt;=2176),INDEX(Fields!$K$2:$K$206,MATCH(H1444-129,Fields!$D$2:$D$206,1)),""),"")</f>
        <v/>
      </c>
    </row>
    <row r="1445">
      <c r="A1445" t="n">
        <v>1443</v>
      </c>
      <c r="B1445" t="n">
        <v>0</v>
      </c>
      <c r="C1445" t="inlineStr">
        <is>
          <t>No</t>
        </is>
      </c>
      <c r="D1445">
        <f>IF(AND(B1440=1,B1441=1,B1442=1,B1443=1,B1444=1),"Yes","")</f>
        <v/>
      </c>
      <c r="E1445" t="inlineStr">
        <is>
          <t>No</t>
        </is>
      </c>
      <c r="F1445" t="inlineStr">
        <is>
          <t>No</t>
        </is>
      </c>
      <c r="G1445">
        <f>IF(F1445="Yes",1-B1445,B1445)</f>
        <v/>
      </c>
      <c r="H1445">
        <f>IF(E1445="Yes","",COUNTIFS($E$2:E1445,"No"))</f>
        <v/>
      </c>
      <c r="I1445">
        <f>IF(H1445="","",IF(H1445&lt;=128,"address",IF(H1445&lt;=600,"data1",IF(H1445&lt;=1264,"zero-run1",IF(H1445&lt;=1648,"data2",IF(H1445&lt;=2176,"zero-run2",IF(H1445&lt;=2192,"FCS","trailing")))))))</f>
        <v/>
      </c>
      <c r="J1445">
        <f>IFERROR(IF(AND(H1445&lt;&gt;"",H1445&gt;=129,H1445&lt;=2176),INDEX(Fields!$B$2:$B$206,MATCH(H1445-129,Fields!$D$2:$D$206,1)),""),"")</f>
        <v/>
      </c>
      <c r="K1445">
        <f>IFERROR(IF(AND(H1445&lt;&gt;"",H1445&gt;=129,H1445&lt;=2176),INDEX(Fields!$C$2:$C$206,MATCH(H1445-129,Fields!$D$2:$D$206,1)),""),"")</f>
        <v/>
      </c>
      <c r="L1445">
        <f>IFERROR(IF(AND(H1445&lt;&gt;"",H1445&gt;=129,H1445&lt;=2176),INDEX(Fields!$J$2:$J$206,MATCH(H1445-129,Fields!$D$2:$D$206,1)),""),"")</f>
        <v/>
      </c>
      <c r="M1445">
        <f>IFERROR(IF(AND(H1445&lt;&gt;"",H1445&gt;=129,H1445&lt;=2176),INDEX(Fields!$K$2:$K$206,MATCH(H1445-129,Fields!$D$2:$D$206,1)),""),"")</f>
        <v/>
      </c>
    </row>
    <row r="1446">
      <c r="A1446" t="n">
        <v>1444</v>
      </c>
      <c r="B1446" t="n">
        <v>0</v>
      </c>
      <c r="C1446" t="inlineStr">
        <is>
          <t>No</t>
        </is>
      </c>
      <c r="D1446">
        <f>IF(AND(B1441=1,B1442=1,B1443=1,B1444=1,B1445=1),"Yes","")</f>
        <v/>
      </c>
      <c r="E1446" t="inlineStr">
        <is>
          <t>No</t>
        </is>
      </c>
      <c r="F1446" t="inlineStr">
        <is>
          <t>No</t>
        </is>
      </c>
      <c r="G1446">
        <f>IF(F1446="Yes",1-B1446,B1446)</f>
        <v/>
      </c>
      <c r="H1446">
        <f>IF(E1446="Yes","",COUNTIFS($E$2:E1446,"No"))</f>
        <v/>
      </c>
      <c r="I1446">
        <f>IF(H1446="","",IF(H1446&lt;=128,"address",IF(H1446&lt;=600,"data1",IF(H1446&lt;=1264,"zero-run1",IF(H1446&lt;=1648,"data2",IF(H1446&lt;=2176,"zero-run2",IF(H1446&lt;=2192,"FCS","trailing")))))))</f>
        <v/>
      </c>
      <c r="J1446">
        <f>IFERROR(IF(AND(H1446&lt;&gt;"",H1446&gt;=129,H1446&lt;=2176),INDEX(Fields!$B$2:$B$206,MATCH(H1446-129,Fields!$D$2:$D$206,1)),""),"")</f>
        <v/>
      </c>
      <c r="K1446">
        <f>IFERROR(IF(AND(H1446&lt;&gt;"",H1446&gt;=129,H1446&lt;=2176),INDEX(Fields!$C$2:$C$206,MATCH(H1446-129,Fields!$D$2:$D$206,1)),""),"")</f>
        <v/>
      </c>
      <c r="L1446">
        <f>IFERROR(IF(AND(H1446&lt;&gt;"",H1446&gt;=129,H1446&lt;=2176),INDEX(Fields!$J$2:$J$206,MATCH(H1446-129,Fields!$D$2:$D$206,1)),""),"")</f>
        <v/>
      </c>
      <c r="M1446">
        <f>IFERROR(IF(AND(H1446&lt;&gt;"",H1446&gt;=129,H1446&lt;=2176),INDEX(Fields!$K$2:$K$206,MATCH(H1446-129,Fields!$D$2:$D$206,1)),""),"")</f>
        <v/>
      </c>
    </row>
    <row r="1447">
      <c r="A1447" t="n">
        <v>1445</v>
      </c>
      <c r="B1447" t="n">
        <v>0</v>
      </c>
      <c r="C1447" t="inlineStr">
        <is>
          <t>No</t>
        </is>
      </c>
      <c r="D1447">
        <f>IF(AND(B1442=1,B1443=1,B1444=1,B1445=1,B1446=1),"Yes","")</f>
        <v/>
      </c>
      <c r="E1447" t="inlineStr">
        <is>
          <t>No</t>
        </is>
      </c>
      <c r="F1447" t="inlineStr">
        <is>
          <t>No</t>
        </is>
      </c>
      <c r="G1447">
        <f>IF(F1447="Yes",1-B1447,B1447)</f>
        <v/>
      </c>
      <c r="H1447">
        <f>IF(E1447="Yes","",COUNTIFS($E$2:E1447,"No"))</f>
        <v/>
      </c>
      <c r="I1447">
        <f>IF(H1447="","",IF(H1447&lt;=128,"address",IF(H1447&lt;=600,"data1",IF(H1447&lt;=1264,"zero-run1",IF(H1447&lt;=1648,"data2",IF(H1447&lt;=2176,"zero-run2",IF(H1447&lt;=2192,"FCS","trailing")))))))</f>
        <v/>
      </c>
      <c r="J1447">
        <f>IFERROR(IF(AND(H1447&lt;&gt;"",H1447&gt;=129,H1447&lt;=2176),INDEX(Fields!$B$2:$B$206,MATCH(H1447-129,Fields!$D$2:$D$206,1)),""),"")</f>
        <v/>
      </c>
      <c r="K1447">
        <f>IFERROR(IF(AND(H1447&lt;&gt;"",H1447&gt;=129,H1447&lt;=2176),INDEX(Fields!$C$2:$C$206,MATCH(H1447-129,Fields!$D$2:$D$206,1)),""),"")</f>
        <v/>
      </c>
      <c r="L1447">
        <f>IFERROR(IF(AND(H1447&lt;&gt;"",H1447&gt;=129,H1447&lt;=2176),INDEX(Fields!$J$2:$J$206,MATCH(H1447-129,Fields!$D$2:$D$206,1)),""),"")</f>
        <v/>
      </c>
      <c r="M1447">
        <f>IFERROR(IF(AND(H1447&lt;&gt;"",H1447&gt;=129,H1447&lt;=2176),INDEX(Fields!$K$2:$K$206,MATCH(H1447-129,Fields!$D$2:$D$206,1)),""),"")</f>
        <v/>
      </c>
    </row>
    <row r="1448">
      <c r="A1448" t="n">
        <v>1446</v>
      </c>
      <c r="B1448" t="n">
        <v>0</v>
      </c>
      <c r="C1448" t="inlineStr">
        <is>
          <t>No</t>
        </is>
      </c>
      <c r="D1448">
        <f>IF(AND(B1443=1,B1444=1,B1445=1,B1446=1,B1447=1),"Yes","")</f>
        <v/>
      </c>
      <c r="E1448" t="inlineStr">
        <is>
          <t>No</t>
        </is>
      </c>
      <c r="F1448" t="inlineStr">
        <is>
          <t>No</t>
        </is>
      </c>
      <c r="G1448">
        <f>IF(F1448="Yes",1-B1448,B1448)</f>
        <v/>
      </c>
      <c r="H1448">
        <f>IF(E1448="Yes","",COUNTIFS($E$2:E1448,"No"))</f>
        <v/>
      </c>
      <c r="I1448">
        <f>IF(H1448="","",IF(H1448&lt;=128,"address",IF(H1448&lt;=600,"data1",IF(H1448&lt;=1264,"zero-run1",IF(H1448&lt;=1648,"data2",IF(H1448&lt;=2176,"zero-run2",IF(H1448&lt;=2192,"FCS","trailing")))))))</f>
        <v/>
      </c>
      <c r="J1448">
        <f>IFERROR(IF(AND(H1448&lt;&gt;"",H1448&gt;=129,H1448&lt;=2176),INDEX(Fields!$B$2:$B$206,MATCH(H1448-129,Fields!$D$2:$D$206,1)),""),"")</f>
        <v/>
      </c>
      <c r="K1448">
        <f>IFERROR(IF(AND(H1448&lt;&gt;"",H1448&gt;=129,H1448&lt;=2176),INDEX(Fields!$C$2:$C$206,MATCH(H1448-129,Fields!$D$2:$D$206,1)),""),"")</f>
        <v/>
      </c>
      <c r="L1448">
        <f>IFERROR(IF(AND(H1448&lt;&gt;"",H1448&gt;=129,H1448&lt;=2176),INDEX(Fields!$J$2:$J$206,MATCH(H1448-129,Fields!$D$2:$D$206,1)),""),"")</f>
        <v/>
      </c>
      <c r="M1448">
        <f>IFERROR(IF(AND(H1448&lt;&gt;"",H1448&gt;=129,H1448&lt;=2176),INDEX(Fields!$K$2:$K$206,MATCH(H1448-129,Fields!$D$2:$D$206,1)),""),"")</f>
        <v/>
      </c>
    </row>
    <row r="1449">
      <c r="A1449" t="n">
        <v>1447</v>
      </c>
      <c r="B1449" t="n">
        <v>0</v>
      </c>
      <c r="C1449" t="inlineStr">
        <is>
          <t>No</t>
        </is>
      </c>
      <c r="D1449">
        <f>IF(AND(B1444=1,B1445=1,B1446=1,B1447=1,B1448=1),"Yes","")</f>
        <v/>
      </c>
      <c r="E1449" t="inlineStr">
        <is>
          <t>No</t>
        </is>
      </c>
      <c r="F1449" t="inlineStr">
        <is>
          <t>No</t>
        </is>
      </c>
      <c r="G1449">
        <f>IF(F1449="Yes",1-B1449,B1449)</f>
        <v/>
      </c>
      <c r="H1449">
        <f>IF(E1449="Yes","",COUNTIFS($E$2:E1449,"No"))</f>
        <v/>
      </c>
      <c r="I1449">
        <f>IF(H1449="","",IF(H1449&lt;=128,"address",IF(H1449&lt;=600,"data1",IF(H1449&lt;=1264,"zero-run1",IF(H1449&lt;=1648,"data2",IF(H1449&lt;=2176,"zero-run2",IF(H1449&lt;=2192,"FCS","trailing")))))))</f>
        <v/>
      </c>
      <c r="J1449">
        <f>IFERROR(IF(AND(H1449&lt;&gt;"",H1449&gt;=129,H1449&lt;=2176),INDEX(Fields!$B$2:$B$206,MATCH(H1449-129,Fields!$D$2:$D$206,1)),""),"")</f>
        <v/>
      </c>
      <c r="K1449">
        <f>IFERROR(IF(AND(H1449&lt;&gt;"",H1449&gt;=129,H1449&lt;=2176),INDEX(Fields!$C$2:$C$206,MATCH(H1449-129,Fields!$D$2:$D$206,1)),""),"")</f>
        <v/>
      </c>
      <c r="L1449">
        <f>IFERROR(IF(AND(H1449&lt;&gt;"",H1449&gt;=129,H1449&lt;=2176),INDEX(Fields!$J$2:$J$206,MATCH(H1449-129,Fields!$D$2:$D$206,1)),""),"")</f>
        <v/>
      </c>
      <c r="M1449">
        <f>IFERROR(IF(AND(H1449&lt;&gt;"",H1449&gt;=129,H1449&lt;=2176),INDEX(Fields!$K$2:$K$206,MATCH(H1449-129,Fields!$D$2:$D$206,1)),""),"")</f>
        <v/>
      </c>
    </row>
    <row r="1450">
      <c r="A1450" t="n">
        <v>1448</v>
      </c>
      <c r="B1450" t="n">
        <v>0</v>
      </c>
      <c r="C1450" t="inlineStr">
        <is>
          <t>No</t>
        </is>
      </c>
      <c r="D1450">
        <f>IF(AND(B1445=1,B1446=1,B1447=1,B1448=1,B1449=1),"Yes","")</f>
        <v/>
      </c>
      <c r="E1450" t="inlineStr">
        <is>
          <t>No</t>
        </is>
      </c>
      <c r="F1450" t="inlineStr">
        <is>
          <t>No</t>
        </is>
      </c>
      <c r="G1450">
        <f>IF(F1450="Yes",1-B1450,B1450)</f>
        <v/>
      </c>
      <c r="H1450">
        <f>IF(E1450="Yes","",COUNTIFS($E$2:E1450,"No"))</f>
        <v/>
      </c>
      <c r="I1450">
        <f>IF(H1450="","",IF(H1450&lt;=128,"address",IF(H1450&lt;=600,"data1",IF(H1450&lt;=1264,"zero-run1",IF(H1450&lt;=1648,"data2",IF(H1450&lt;=2176,"zero-run2",IF(H1450&lt;=2192,"FCS","trailing")))))))</f>
        <v/>
      </c>
      <c r="J1450">
        <f>IFERROR(IF(AND(H1450&lt;&gt;"",H1450&gt;=129,H1450&lt;=2176),INDEX(Fields!$B$2:$B$206,MATCH(H1450-129,Fields!$D$2:$D$206,1)),""),"")</f>
        <v/>
      </c>
      <c r="K1450">
        <f>IFERROR(IF(AND(H1450&lt;&gt;"",H1450&gt;=129,H1450&lt;=2176),INDEX(Fields!$C$2:$C$206,MATCH(H1450-129,Fields!$D$2:$D$206,1)),""),"")</f>
        <v/>
      </c>
      <c r="L1450">
        <f>IFERROR(IF(AND(H1450&lt;&gt;"",H1450&gt;=129,H1450&lt;=2176),INDEX(Fields!$J$2:$J$206,MATCH(H1450-129,Fields!$D$2:$D$206,1)),""),"")</f>
        <v/>
      </c>
      <c r="M1450">
        <f>IFERROR(IF(AND(H1450&lt;&gt;"",H1450&gt;=129,H1450&lt;=2176),INDEX(Fields!$K$2:$K$206,MATCH(H1450-129,Fields!$D$2:$D$206,1)),""),"")</f>
        <v/>
      </c>
    </row>
    <row r="1451">
      <c r="A1451" t="n">
        <v>1449</v>
      </c>
      <c r="B1451" t="n">
        <v>0</v>
      </c>
      <c r="C1451" t="inlineStr">
        <is>
          <t>No</t>
        </is>
      </c>
      <c r="D1451">
        <f>IF(AND(B1446=1,B1447=1,B1448=1,B1449=1,B1450=1),"Yes","")</f>
        <v/>
      </c>
      <c r="E1451" t="inlineStr">
        <is>
          <t>No</t>
        </is>
      </c>
      <c r="F1451" t="inlineStr">
        <is>
          <t>No</t>
        </is>
      </c>
      <c r="G1451">
        <f>IF(F1451="Yes",1-B1451,B1451)</f>
        <v/>
      </c>
      <c r="H1451">
        <f>IF(E1451="Yes","",COUNTIFS($E$2:E1451,"No"))</f>
        <v/>
      </c>
      <c r="I1451">
        <f>IF(H1451="","",IF(H1451&lt;=128,"address",IF(H1451&lt;=600,"data1",IF(H1451&lt;=1264,"zero-run1",IF(H1451&lt;=1648,"data2",IF(H1451&lt;=2176,"zero-run2",IF(H1451&lt;=2192,"FCS","trailing")))))))</f>
        <v/>
      </c>
      <c r="J1451">
        <f>IFERROR(IF(AND(H1451&lt;&gt;"",H1451&gt;=129,H1451&lt;=2176),INDEX(Fields!$B$2:$B$206,MATCH(H1451-129,Fields!$D$2:$D$206,1)),""),"")</f>
        <v/>
      </c>
      <c r="K1451">
        <f>IFERROR(IF(AND(H1451&lt;&gt;"",H1451&gt;=129,H1451&lt;=2176),INDEX(Fields!$C$2:$C$206,MATCH(H1451-129,Fields!$D$2:$D$206,1)),""),"")</f>
        <v/>
      </c>
      <c r="L1451">
        <f>IFERROR(IF(AND(H1451&lt;&gt;"",H1451&gt;=129,H1451&lt;=2176),INDEX(Fields!$J$2:$J$206,MATCH(H1451-129,Fields!$D$2:$D$206,1)),""),"")</f>
        <v/>
      </c>
      <c r="M1451">
        <f>IFERROR(IF(AND(H1451&lt;&gt;"",H1451&gt;=129,H1451&lt;=2176),INDEX(Fields!$K$2:$K$206,MATCH(H1451-129,Fields!$D$2:$D$206,1)),""),"")</f>
        <v/>
      </c>
    </row>
    <row r="1452">
      <c r="A1452" t="n">
        <v>1450</v>
      </c>
      <c r="B1452" t="n">
        <v>0</v>
      </c>
      <c r="C1452" t="inlineStr">
        <is>
          <t>No</t>
        </is>
      </c>
      <c r="D1452">
        <f>IF(AND(B1447=1,B1448=1,B1449=1,B1450=1,B1451=1),"Yes","")</f>
        <v/>
      </c>
      <c r="E1452" t="inlineStr">
        <is>
          <t>No</t>
        </is>
      </c>
      <c r="F1452" t="inlineStr">
        <is>
          <t>No</t>
        </is>
      </c>
      <c r="G1452">
        <f>IF(F1452="Yes",1-B1452,B1452)</f>
        <v/>
      </c>
      <c r="H1452">
        <f>IF(E1452="Yes","",COUNTIFS($E$2:E1452,"No"))</f>
        <v/>
      </c>
      <c r="I1452">
        <f>IF(H1452="","",IF(H1452&lt;=128,"address",IF(H1452&lt;=600,"data1",IF(H1452&lt;=1264,"zero-run1",IF(H1452&lt;=1648,"data2",IF(H1452&lt;=2176,"zero-run2",IF(H1452&lt;=2192,"FCS","trailing")))))))</f>
        <v/>
      </c>
      <c r="J1452">
        <f>IFERROR(IF(AND(H1452&lt;&gt;"",H1452&gt;=129,H1452&lt;=2176),INDEX(Fields!$B$2:$B$206,MATCH(H1452-129,Fields!$D$2:$D$206,1)),""),"")</f>
        <v/>
      </c>
      <c r="K1452">
        <f>IFERROR(IF(AND(H1452&lt;&gt;"",H1452&gt;=129,H1452&lt;=2176),INDEX(Fields!$C$2:$C$206,MATCH(H1452-129,Fields!$D$2:$D$206,1)),""),"")</f>
        <v/>
      </c>
      <c r="L1452">
        <f>IFERROR(IF(AND(H1452&lt;&gt;"",H1452&gt;=129,H1452&lt;=2176),INDEX(Fields!$J$2:$J$206,MATCH(H1452-129,Fields!$D$2:$D$206,1)),""),"")</f>
        <v/>
      </c>
      <c r="M1452">
        <f>IFERROR(IF(AND(H1452&lt;&gt;"",H1452&gt;=129,H1452&lt;=2176),INDEX(Fields!$K$2:$K$206,MATCH(H1452-129,Fields!$D$2:$D$206,1)),""),"")</f>
        <v/>
      </c>
    </row>
    <row r="1453">
      <c r="A1453" t="n">
        <v>1451</v>
      </c>
      <c r="B1453" t="n">
        <v>0</v>
      </c>
      <c r="C1453" t="inlineStr">
        <is>
          <t>No</t>
        </is>
      </c>
      <c r="D1453">
        <f>IF(AND(B1448=1,B1449=1,B1450=1,B1451=1,B1452=1),"Yes","")</f>
        <v/>
      </c>
      <c r="E1453" t="inlineStr">
        <is>
          <t>No</t>
        </is>
      </c>
      <c r="F1453" t="inlineStr">
        <is>
          <t>No</t>
        </is>
      </c>
      <c r="G1453">
        <f>IF(F1453="Yes",1-B1453,B1453)</f>
        <v/>
      </c>
      <c r="H1453">
        <f>IF(E1453="Yes","",COUNTIFS($E$2:E1453,"No"))</f>
        <v/>
      </c>
      <c r="I1453">
        <f>IF(H1453="","",IF(H1453&lt;=128,"address",IF(H1453&lt;=600,"data1",IF(H1453&lt;=1264,"zero-run1",IF(H1453&lt;=1648,"data2",IF(H1453&lt;=2176,"zero-run2",IF(H1453&lt;=2192,"FCS","trailing")))))))</f>
        <v/>
      </c>
      <c r="J1453">
        <f>IFERROR(IF(AND(H1453&lt;&gt;"",H1453&gt;=129,H1453&lt;=2176),INDEX(Fields!$B$2:$B$206,MATCH(H1453-129,Fields!$D$2:$D$206,1)),""),"")</f>
        <v/>
      </c>
      <c r="K1453">
        <f>IFERROR(IF(AND(H1453&lt;&gt;"",H1453&gt;=129,H1453&lt;=2176),INDEX(Fields!$C$2:$C$206,MATCH(H1453-129,Fields!$D$2:$D$206,1)),""),"")</f>
        <v/>
      </c>
      <c r="L1453">
        <f>IFERROR(IF(AND(H1453&lt;&gt;"",H1453&gt;=129,H1453&lt;=2176),INDEX(Fields!$J$2:$J$206,MATCH(H1453-129,Fields!$D$2:$D$206,1)),""),"")</f>
        <v/>
      </c>
      <c r="M1453">
        <f>IFERROR(IF(AND(H1453&lt;&gt;"",H1453&gt;=129,H1453&lt;=2176),INDEX(Fields!$K$2:$K$206,MATCH(H1453-129,Fields!$D$2:$D$206,1)),""),"")</f>
        <v/>
      </c>
    </row>
    <row r="1454">
      <c r="A1454" t="n">
        <v>1452</v>
      </c>
      <c r="B1454" t="n">
        <v>1</v>
      </c>
      <c r="C1454" t="inlineStr">
        <is>
          <t>No</t>
        </is>
      </c>
      <c r="D1454">
        <f>IF(AND(B1449=1,B1450=1,B1451=1,B1452=1,B1453=1),"Yes","")</f>
        <v/>
      </c>
      <c r="E1454" t="inlineStr">
        <is>
          <t>No</t>
        </is>
      </c>
      <c r="F1454" t="inlineStr">
        <is>
          <t>No</t>
        </is>
      </c>
      <c r="G1454">
        <f>IF(F1454="Yes",1-B1454,B1454)</f>
        <v/>
      </c>
      <c r="H1454">
        <f>IF(E1454="Yes","",COUNTIFS($E$2:E1454,"No"))</f>
        <v/>
      </c>
      <c r="I1454">
        <f>IF(H1454="","",IF(H1454&lt;=128,"address",IF(H1454&lt;=600,"data1",IF(H1454&lt;=1264,"zero-run1",IF(H1454&lt;=1648,"data2",IF(H1454&lt;=2176,"zero-run2",IF(H1454&lt;=2192,"FCS","trailing")))))))</f>
        <v/>
      </c>
      <c r="J1454">
        <f>IFERROR(IF(AND(H1454&lt;&gt;"",H1454&gt;=129,H1454&lt;=2176),INDEX(Fields!$B$2:$B$206,MATCH(H1454-129,Fields!$D$2:$D$206,1)),""),"")</f>
        <v/>
      </c>
      <c r="K1454">
        <f>IFERROR(IF(AND(H1454&lt;&gt;"",H1454&gt;=129,H1454&lt;=2176),INDEX(Fields!$C$2:$C$206,MATCH(H1454-129,Fields!$D$2:$D$206,1)),""),"")</f>
        <v/>
      </c>
      <c r="L1454">
        <f>IFERROR(IF(AND(H1454&lt;&gt;"",H1454&gt;=129,H1454&lt;=2176),INDEX(Fields!$J$2:$J$206,MATCH(H1454-129,Fields!$D$2:$D$206,1)),""),"")</f>
        <v/>
      </c>
      <c r="M1454">
        <f>IFERROR(IF(AND(H1454&lt;&gt;"",H1454&gt;=129,H1454&lt;=2176),INDEX(Fields!$K$2:$K$206,MATCH(H1454-129,Fields!$D$2:$D$206,1)),""),"")</f>
        <v/>
      </c>
    </row>
    <row r="1455">
      <c r="A1455" t="n">
        <v>1453</v>
      </c>
      <c r="B1455" t="n">
        <v>1</v>
      </c>
      <c r="C1455" t="inlineStr">
        <is>
          <t>No</t>
        </is>
      </c>
      <c r="D1455">
        <f>IF(AND(B1450=1,B1451=1,B1452=1,B1453=1,B1454=1),"Yes","")</f>
        <v/>
      </c>
      <c r="E1455" t="inlineStr">
        <is>
          <t>No</t>
        </is>
      </c>
      <c r="F1455" t="inlineStr">
        <is>
          <t>No</t>
        </is>
      </c>
      <c r="G1455">
        <f>IF(F1455="Yes",1-B1455,B1455)</f>
        <v/>
      </c>
      <c r="H1455">
        <f>IF(E1455="Yes","",COUNTIFS($E$2:E1455,"No"))</f>
        <v/>
      </c>
      <c r="I1455">
        <f>IF(H1455="","",IF(H1455&lt;=128,"address",IF(H1455&lt;=600,"data1",IF(H1455&lt;=1264,"zero-run1",IF(H1455&lt;=1648,"data2",IF(H1455&lt;=2176,"zero-run2",IF(H1455&lt;=2192,"FCS","trailing")))))))</f>
        <v/>
      </c>
      <c r="J1455">
        <f>IFERROR(IF(AND(H1455&lt;&gt;"",H1455&gt;=129,H1455&lt;=2176),INDEX(Fields!$B$2:$B$206,MATCH(H1455-129,Fields!$D$2:$D$206,1)),""),"")</f>
        <v/>
      </c>
      <c r="K1455">
        <f>IFERROR(IF(AND(H1455&lt;&gt;"",H1455&gt;=129,H1455&lt;=2176),INDEX(Fields!$C$2:$C$206,MATCH(H1455-129,Fields!$D$2:$D$206,1)),""),"")</f>
        <v/>
      </c>
      <c r="L1455">
        <f>IFERROR(IF(AND(H1455&lt;&gt;"",H1455&gt;=129,H1455&lt;=2176),INDEX(Fields!$J$2:$J$206,MATCH(H1455-129,Fields!$D$2:$D$206,1)),""),"")</f>
        <v/>
      </c>
      <c r="M1455">
        <f>IFERROR(IF(AND(H1455&lt;&gt;"",H1455&gt;=129,H1455&lt;=2176),INDEX(Fields!$K$2:$K$206,MATCH(H1455-129,Fields!$D$2:$D$206,1)),""),"")</f>
        <v/>
      </c>
    </row>
    <row r="1456">
      <c r="A1456" t="n">
        <v>1454</v>
      </c>
      <c r="B1456" t="n">
        <v>0</v>
      </c>
      <c r="C1456" t="inlineStr">
        <is>
          <t>No</t>
        </is>
      </c>
      <c r="D1456">
        <f>IF(AND(B1451=1,B1452=1,B1453=1,B1454=1,B1455=1),"Yes","")</f>
        <v/>
      </c>
      <c r="E1456" t="inlineStr">
        <is>
          <t>No</t>
        </is>
      </c>
      <c r="F1456" t="inlineStr">
        <is>
          <t>No</t>
        </is>
      </c>
      <c r="G1456">
        <f>IF(F1456="Yes",1-B1456,B1456)</f>
        <v/>
      </c>
      <c r="H1456">
        <f>IF(E1456="Yes","",COUNTIFS($E$2:E1456,"No"))</f>
        <v/>
      </c>
      <c r="I1456">
        <f>IF(H1456="","",IF(H1456&lt;=128,"address",IF(H1456&lt;=600,"data1",IF(H1456&lt;=1264,"zero-run1",IF(H1456&lt;=1648,"data2",IF(H1456&lt;=2176,"zero-run2",IF(H1456&lt;=2192,"FCS","trailing")))))))</f>
        <v/>
      </c>
      <c r="J1456">
        <f>IFERROR(IF(AND(H1456&lt;&gt;"",H1456&gt;=129,H1456&lt;=2176),INDEX(Fields!$B$2:$B$206,MATCH(H1456-129,Fields!$D$2:$D$206,1)),""),"")</f>
        <v/>
      </c>
      <c r="K1456">
        <f>IFERROR(IF(AND(H1456&lt;&gt;"",H1456&gt;=129,H1456&lt;=2176),INDEX(Fields!$C$2:$C$206,MATCH(H1456-129,Fields!$D$2:$D$206,1)),""),"")</f>
        <v/>
      </c>
      <c r="L1456">
        <f>IFERROR(IF(AND(H1456&lt;&gt;"",H1456&gt;=129,H1456&lt;=2176),INDEX(Fields!$J$2:$J$206,MATCH(H1456-129,Fields!$D$2:$D$206,1)),""),"")</f>
        <v/>
      </c>
      <c r="M1456">
        <f>IFERROR(IF(AND(H1456&lt;&gt;"",H1456&gt;=129,H1456&lt;=2176),INDEX(Fields!$K$2:$K$206,MATCH(H1456-129,Fields!$D$2:$D$206,1)),""),"")</f>
        <v/>
      </c>
    </row>
    <row r="1457">
      <c r="A1457" t="n">
        <v>1455</v>
      </c>
      <c r="B1457" t="n">
        <v>0</v>
      </c>
      <c r="C1457" t="inlineStr">
        <is>
          <t>No</t>
        </is>
      </c>
      <c r="D1457">
        <f>IF(AND(B1452=1,B1453=1,B1454=1,B1455=1,B1456=1),"Yes","")</f>
        <v/>
      </c>
      <c r="E1457" t="inlineStr">
        <is>
          <t>No</t>
        </is>
      </c>
      <c r="F1457" t="inlineStr">
        <is>
          <t>No</t>
        </is>
      </c>
      <c r="G1457">
        <f>IF(F1457="Yes",1-B1457,B1457)</f>
        <v/>
      </c>
      <c r="H1457">
        <f>IF(E1457="Yes","",COUNTIFS($E$2:E1457,"No"))</f>
        <v/>
      </c>
      <c r="I1457">
        <f>IF(H1457="","",IF(H1457&lt;=128,"address",IF(H1457&lt;=600,"data1",IF(H1457&lt;=1264,"zero-run1",IF(H1457&lt;=1648,"data2",IF(H1457&lt;=2176,"zero-run2",IF(H1457&lt;=2192,"FCS","trailing")))))))</f>
        <v/>
      </c>
      <c r="J1457">
        <f>IFERROR(IF(AND(H1457&lt;&gt;"",H1457&gt;=129,H1457&lt;=2176),INDEX(Fields!$B$2:$B$206,MATCH(H1457-129,Fields!$D$2:$D$206,1)),""),"")</f>
        <v/>
      </c>
      <c r="K1457">
        <f>IFERROR(IF(AND(H1457&lt;&gt;"",H1457&gt;=129,H1457&lt;=2176),INDEX(Fields!$C$2:$C$206,MATCH(H1457-129,Fields!$D$2:$D$206,1)),""),"")</f>
        <v/>
      </c>
      <c r="L1457">
        <f>IFERROR(IF(AND(H1457&lt;&gt;"",H1457&gt;=129,H1457&lt;=2176),INDEX(Fields!$J$2:$J$206,MATCH(H1457-129,Fields!$D$2:$D$206,1)),""),"")</f>
        <v/>
      </c>
      <c r="M1457">
        <f>IFERROR(IF(AND(H1457&lt;&gt;"",H1457&gt;=129,H1457&lt;=2176),INDEX(Fields!$K$2:$K$206,MATCH(H1457-129,Fields!$D$2:$D$206,1)),""),"")</f>
        <v/>
      </c>
    </row>
    <row r="1458">
      <c r="A1458" t="n">
        <v>1456</v>
      </c>
      <c r="B1458" t="n">
        <v>0</v>
      </c>
      <c r="C1458" t="inlineStr">
        <is>
          <t>No</t>
        </is>
      </c>
      <c r="D1458">
        <f>IF(AND(B1453=1,B1454=1,B1455=1,B1456=1,B1457=1),"Yes","")</f>
        <v/>
      </c>
      <c r="E1458" t="inlineStr">
        <is>
          <t>No</t>
        </is>
      </c>
      <c r="F1458" t="inlineStr">
        <is>
          <t>No</t>
        </is>
      </c>
      <c r="G1458">
        <f>IF(F1458="Yes",1-B1458,B1458)</f>
        <v/>
      </c>
      <c r="H1458">
        <f>IF(E1458="Yes","",COUNTIFS($E$2:E1458,"No"))</f>
        <v/>
      </c>
      <c r="I1458">
        <f>IF(H1458="","",IF(H1458&lt;=128,"address",IF(H1458&lt;=600,"data1",IF(H1458&lt;=1264,"zero-run1",IF(H1458&lt;=1648,"data2",IF(H1458&lt;=2176,"zero-run2",IF(H1458&lt;=2192,"FCS","trailing")))))))</f>
        <v/>
      </c>
      <c r="J1458">
        <f>IFERROR(IF(AND(H1458&lt;&gt;"",H1458&gt;=129,H1458&lt;=2176),INDEX(Fields!$B$2:$B$206,MATCH(H1458-129,Fields!$D$2:$D$206,1)),""),"")</f>
        <v/>
      </c>
      <c r="K1458">
        <f>IFERROR(IF(AND(H1458&lt;&gt;"",H1458&gt;=129,H1458&lt;=2176),INDEX(Fields!$C$2:$C$206,MATCH(H1458-129,Fields!$D$2:$D$206,1)),""),"")</f>
        <v/>
      </c>
      <c r="L1458">
        <f>IFERROR(IF(AND(H1458&lt;&gt;"",H1458&gt;=129,H1458&lt;=2176),INDEX(Fields!$J$2:$J$206,MATCH(H1458-129,Fields!$D$2:$D$206,1)),""),"")</f>
        <v/>
      </c>
      <c r="M1458">
        <f>IFERROR(IF(AND(H1458&lt;&gt;"",H1458&gt;=129,H1458&lt;=2176),INDEX(Fields!$K$2:$K$206,MATCH(H1458-129,Fields!$D$2:$D$206,1)),""),"")</f>
        <v/>
      </c>
    </row>
    <row r="1459">
      <c r="A1459" t="n">
        <v>1457</v>
      </c>
      <c r="B1459" t="n">
        <v>0</v>
      </c>
      <c r="C1459" t="inlineStr">
        <is>
          <t>No</t>
        </is>
      </c>
      <c r="D1459">
        <f>IF(AND(B1454=1,B1455=1,B1456=1,B1457=1,B1458=1),"Yes","")</f>
        <v/>
      </c>
      <c r="E1459" t="inlineStr">
        <is>
          <t>No</t>
        </is>
      </c>
      <c r="F1459" t="inlineStr">
        <is>
          <t>No</t>
        </is>
      </c>
      <c r="G1459">
        <f>IF(F1459="Yes",1-B1459,B1459)</f>
        <v/>
      </c>
      <c r="H1459">
        <f>IF(E1459="Yes","",COUNTIFS($E$2:E1459,"No"))</f>
        <v/>
      </c>
      <c r="I1459">
        <f>IF(H1459="","",IF(H1459&lt;=128,"address",IF(H1459&lt;=600,"data1",IF(H1459&lt;=1264,"zero-run1",IF(H1459&lt;=1648,"data2",IF(H1459&lt;=2176,"zero-run2",IF(H1459&lt;=2192,"FCS","trailing")))))))</f>
        <v/>
      </c>
      <c r="J1459">
        <f>IFERROR(IF(AND(H1459&lt;&gt;"",H1459&gt;=129,H1459&lt;=2176),INDEX(Fields!$B$2:$B$206,MATCH(H1459-129,Fields!$D$2:$D$206,1)),""),"")</f>
        <v/>
      </c>
      <c r="K1459">
        <f>IFERROR(IF(AND(H1459&lt;&gt;"",H1459&gt;=129,H1459&lt;=2176),INDEX(Fields!$C$2:$C$206,MATCH(H1459-129,Fields!$D$2:$D$206,1)),""),"")</f>
        <v/>
      </c>
      <c r="L1459">
        <f>IFERROR(IF(AND(H1459&lt;&gt;"",H1459&gt;=129,H1459&lt;=2176),INDEX(Fields!$J$2:$J$206,MATCH(H1459-129,Fields!$D$2:$D$206,1)),""),"")</f>
        <v/>
      </c>
      <c r="M1459">
        <f>IFERROR(IF(AND(H1459&lt;&gt;"",H1459&gt;=129,H1459&lt;=2176),INDEX(Fields!$K$2:$K$206,MATCH(H1459-129,Fields!$D$2:$D$206,1)),""),"")</f>
        <v/>
      </c>
    </row>
    <row r="1460">
      <c r="A1460" t="n">
        <v>1458</v>
      </c>
      <c r="B1460" t="n">
        <v>0</v>
      </c>
      <c r="C1460" t="inlineStr">
        <is>
          <t>No</t>
        </is>
      </c>
      <c r="D1460">
        <f>IF(AND(B1455=1,B1456=1,B1457=1,B1458=1,B1459=1),"Yes","")</f>
        <v/>
      </c>
      <c r="E1460" t="inlineStr">
        <is>
          <t>No</t>
        </is>
      </c>
      <c r="F1460" t="inlineStr">
        <is>
          <t>No</t>
        </is>
      </c>
      <c r="G1460">
        <f>IF(F1460="Yes",1-B1460,B1460)</f>
        <v/>
      </c>
      <c r="H1460">
        <f>IF(E1460="Yes","",COUNTIFS($E$2:E1460,"No"))</f>
        <v/>
      </c>
      <c r="I1460">
        <f>IF(H1460="","",IF(H1460&lt;=128,"address",IF(H1460&lt;=600,"data1",IF(H1460&lt;=1264,"zero-run1",IF(H1460&lt;=1648,"data2",IF(H1460&lt;=2176,"zero-run2",IF(H1460&lt;=2192,"FCS","trailing")))))))</f>
        <v/>
      </c>
      <c r="J1460">
        <f>IFERROR(IF(AND(H1460&lt;&gt;"",H1460&gt;=129,H1460&lt;=2176),INDEX(Fields!$B$2:$B$206,MATCH(H1460-129,Fields!$D$2:$D$206,1)),""),"")</f>
        <v/>
      </c>
      <c r="K1460">
        <f>IFERROR(IF(AND(H1460&lt;&gt;"",H1460&gt;=129,H1460&lt;=2176),INDEX(Fields!$C$2:$C$206,MATCH(H1460-129,Fields!$D$2:$D$206,1)),""),"")</f>
        <v/>
      </c>
      <c r="L1460">
        <f>IFERROR(IF(AND(H1460&lt;&gt;"",H1460&gt;=129,H1460&lt;=2176),INDEX(Fields!$J$2:$J$206,MATCH(H1460-129,Fields!$D$2:$D$206,1)),""),"")</f>
        <v/>
      </c>
      <c r="M1460">
        <f>IFERROR(IF(AND(H1460&lt;&gt;"",H1460&gt;=129,H1460&lt;=2176),INDEX(Fields!$K$2:$K$206,MATCH(H1460-129,Fields!$D$2:$D$206,1)),""),"")</f>
        <v/>
      </c>
    </row>
    <row r="1461">
      <c r="A1461" t="n">
        <v>1459</v>
      </c>
      <c r="B1461" t="n">
        <v>1</v>
      </c>
      <c r="C1461" t="inlineStr">
        <is>
          <t>No</t>
        </is>
      </c>
      <c r="D1461">
        <f>IF(AND(B1456=1,B1457=1,B1458=1,B1459=1,B1460=1),"Yes","")</f>
        <v/>
      </c>
      <c r="E1461" t="inlineStr">
        <is>
          <t>No</t>
        </is>
      </c>
      <c r="F1461" t="inlineStr">
        <is>
          <t>No</t>
        </is>
      </c>
      <c r="G1461">
        <f>IF(F1461="Yes",1-B1461,B1461)</f>
        <v/>
      </c>
      <c r="H1461">
        <f>IF(E1461="Yes","",COUNTIFS($E$2:E1461,"No"))</f>
        <v/>
      </c>
      <c r="I1461">
        <f>IF(H1461="","",IF(H1461&lt;=128,"address",IF(H1461&lt;=600,"data1",IF(H1461&lt;=1264,"zero-run1",IF(H1461&lt;=1648,"data2",IF(H1461&lt;=2176,"zero-run2",IF(H1461&lt;=2192,"FCS","trailing")))))))</f>
        <v/>
      </c>
      <c r="J1461">
        <f>IFERROR(IF(AND(H1461&lt;&gt;"",H1461&gt;=129,H1461&lt;=2176),INDEX(Fields!$B$2:$B$206,MATCH(H1461-129,Fields!$D$2:$D$206,1)),""),"")</f>
        <v/>
      </c>
      <c r="K1461">
        <f>IFERROR(IF(AND(H1461&lt;&gt;"",H1461&gt;=129,H1461&lt;=2176),INDEX(Fields!$C$2:$C$206,MATCH(H1461-129,Fields!$D$2:$D$206,1)),""),"")</f>
        <v/>
      </c>
      <c r="L1461">
        <f>IFERROR(IF(AND(H1461&lt;&gt;"",H1461&gt;=129,H1461&lt;=2176),INDEX(Fields!$J$2:$J$206,MATCH(H1461-129,Fields!$D$2:$D$206,1)),""),"")</f>
        <v/>
      </c>
      <c r="M1461">
        <f>IFERROR(IF(AND(H1461&lt;&gt;"",H1461&gt;=129,H1461&lt;=2176),INDEX(Fields!$K$2:$K$206,MATCH(H1461-129,Fields!$D$2:$D$206,1)),""),"")</f>
        <v/>
      </c>
    </row>
    <row r="1462">
      <c r="A1462" t="n">
        <v>1460</v>
      </c>
      <c r="B1462" t="n">
        <v>0</v>
      </c>
      <c r="C1462" t="inlineStr">
        <is>
          <t>No</t>
        </is>
      </c>
      <c r="D1462">
        <f>IF(AND(B1457=1,B1458=1,B1459=1,B1460=1,B1461=1),"Yes","")</f>
        <v/>
      </c>
      <c r="E1462" t="inlineStr">
        <is>
          <t>No</t>
        </is>
      </c>
      <c r="F1462" t="inlineStr">
        <is>
          <t>No</t>
        </is>
      </c>
      <c r="G1462">
        <f>IF(F1462="Yes",1-B1462,B1462)</f>
        <v/>
      </c>
      <c r="H1462">
        <f>IF(E1462="Yes","",COUNTIFS($E$2:E1462,"No"))</f>
        <v/>
      </c>
      <c r="I1462">
        <f>IF(H1462="","",IF(H1462&lt;=128,"address",IF(H1462&lt;=600,"data1",IF(H1462&lt;=1264,"zero-run1",IF(H1462&lt;=1648,"data2",IF(H1462&lt;=2176,"zero-run2",IF(H1462&lt;=2192,"FCS","trailing")))))))</f>
        <v/>
      </c>
      <c r="J1462">
        <f>IFERROR(IF(AND(H1462&lt;&gt;"",H1462&gt;=129,H1462&lt;=2176),INDEX(Fields!$B$2:$B$206,MATCH(H1462-129,Fields!$D$2:$D$206,1)),""),"")</f>
        <v/>
      </c>
      <c r="K1462">
        <f>IFERROR(IF(AND(H1462&lt;&gt;"",H1462&gt;=129,H1462&lt;=2176),INDEX(Fields!$C$2:$C$206,MATCH(H1462-129,Fields!$D$2:$D$206,1)),""),"")</f>
        <v/>
      </c>
      <c r="L1462">
        <f>IFERROR(IF(AND(H1462&lt;&gt;"",H1462&gt;=129,H1462&lt;=2176),INDEX(Fields!$J$2:$J$206,MATCH(H1462-129,Fields!$D$2:$D$206,1)),""),"")</f>
        <v/>
      </c>
      <c r="M1462">
        <f>IFERROR(IF(AND(H1462&lt;&gt;"",H1462&gt;=129,H1462&lt;=2176),INDEX(Fields!$K$2:$K$206,MATCH(H1462-129,Fields!$D$2:$D$206,1)),""),"")</f>
        <v/>
      </c>
    </row>
    <row r="1463">
      <c r="A1463" t="n">
        <v>1461</v>
      </c>
      <c r="B1463" t="n">
        <v>0</v>
      </c>
      <c r="C1463" t="inlineStr">
        <is>
          <t>No</t>
        </is>
      </c>
      <c r="D1463">
        <f>IF(AND(B1458=1,B1459=1,B1460=1,B1461=1,B1462=1),"Yes","")</f>
        <v/>
      </c>
      <c r="E1463" t="inlineStr">
        <is>
          <t>No</t>
        </is>
      </c>
      <c r="F1463" t="inlineStr">
        <is>
          <t>No</t>
        </is>
      </c>
      <c r="G1463">
        <f>IF(F1463="Yes",1-B1463,B1463)</f>
        <v/>
      </c>
      <c r="H1463">
        <f>IF(E1463="Yes","",COUNTIFS($E$2:E1463,"No"))</f>
        <v/>
      </c>
      <c r="I1463">
        <f>IF(H1463="","",IF(H1463&lt;=128,"address",IF(H1463&lt;=600,"data1",IF(H1463&lt;=1264,"zero-run1",IF(H1463&lt;=1648,"data2",IF(H1463&lt;=2176,"zero-run2",IF(H1463&lt;=2192,"FCS","trailing")))))))</f>
        <v/>
      </c>
      <c r="J1463">
        <f>IFERROR(IF(AND(H1463&lt;&gt;"",H1463&gt;=129,H1463&lt;=2176),INDEX(Fields!$B$2:$B$206,MATCH(H1463-129,Fields!$D$2:$D$206,1)),""),"")</f>
        <v/>
      </c>
      <c r="K1463">
        <f>IFERROR(IF(AND(H1463&lt;&gt;"",H1463&gt;=129,H1463&lt;=2176),INDEX(Fields!$C$2:$C$206,MATCH(H1463-129,Fields!$D$2:$D$206,1)),""),"")</f>
        <v/>
      </c>
      <c r="L1463">
        <f>IFERROR(IF(AND(H1463&lt;&gt;"",H1463&gt;=129,H1463&lt;=2176),INDEX(Fields!$J$2:$J$206,MATCH(H1463-129,Fields!$D$2:$D$206,1)),""),"")</f>
        <v/>
      </c>
      <c r="M1463">
        <f>IFERROR(IF(AND(H1463&lt;&gt;"",H1463&gt;=129,H1463&lt;=2176),INDEX(Fields!$K$2:$K$206,MATCH(H1463-129,Fields!$D$2:$D$206,1)),""),"")</f>
        <v/>
      </c>
    </row>
    <row r="1464">
      <c r="A1464" t="n">
        <v>1462</v>
      </c>
      <c r="B1464" t="n">
        <v>0</v>
      </c>
      <c r="C1464" s="4" t="inlineStr">
        <is>
          <t>Yes</t>
        </is>
      </c>
      <c r="D1464">
        <f>IF(AND(B1459=1,B1460=1,B1461=1,B1462=1,B1463=1),"Yes","")</f>
        <v/>
      </c>
      <c r="E1464" t="inlineStr">
        <is>
          <t>No</t>
        </is>
      </c>
      <c r="F1464" t="inlineStr">
        <is>
          <t>No</t>
        </is>
      </c>
      <c r="G1464">
        <f>IF(F1464="Yes",1-B1464,B1464)</f>
        <v/>
      </c>
      <c r="H1464">
        <f>IF(E1464="Yes","",COUNTIFS($E$2:E1464,"No"))</f>
        <v/>
      </c>
      <c r="I1464">
        <f>IF(H1464="","",IF(H1464&lt;=128,"address",IF(H1464&lt;=600,"data1",IF(H1464&lt;=1264,"zero-run1",IF(H1464&lt;=1648,"data2",IF(H1464&lt;=2176,"zero-run2",IF(H1464&lt;=2192,"FCS","trailing")))))))</f>
        <v/>
      </c>
      <c r="J1464">
        <f>IFERROR(IF(AND(H1464&lt;&gt;"",H1464&gt;=129,H1464&lt;=2176),INDEX(Fields!$B$2:$B$206,MATCH(H1464-129,Fields!$D$2:$D$206,1)),""),"")</f>
        <v/>
      </c>
      <c r="K1464">
        <f>IFERROR(IF(AND(H1464&lt;&gt;"",H1464&gt;=129,H1464&lt;=2176),INDEX(Fields!$C$2:$C$206,MATCH(H1464-129,Fields!$D$2:$D$206,1)),""),"")</f>
        <v/>
      </c>
      <c r="L1464">
        <f>IFERROR(IF(AND(H1464&lt;&gt;"",H1464&gt;=129,H1464&lt;=2176),INDEX(Fields!$J$2:$J$206,MATCH(H1464-129,Fields!$D$2:$D$206,1)),""),"")</f>
        <v/>
      </c>
      <c r="M1464">
        <f>IFERROR(IF(AND(H1464&lt;&gt;"",H1464&gt;=129,H1464&lt;=2176),INDEX(Fields!$K$2:$K$206,MATCH(H1464-129,Fields!$D$2:$D$206,1)),""),"")</f>
        <v/>
      </c>
    </row>
    <row r="1465">
      <c r="A1465" t="n">
        <v>1463</v>
      </c>
      <c r="B1465" t="n">
        <v>0</v>
      </c>
      <c r="C1465" t="inlineStr">
        <is>
          <t>No</t>
        </is>
      </c>
      <c r="D1465">
        <f>IF(AND(B1460=1,B1461=1,B1462=1,B1463=1,B1464=1),"Yes","")</f>
        <v/>
      </c>
      <c r="E1465" t="inlineStr">
        <is>
          <t>No</t>
        </is>
      </c>
      <c r="F1465" t="inlineStr">
        <is>
          <t>No</t>
        </is>
      </c>
      <c r="G1465">
        <f>IF(F1465="Yes",1-B1465,B1465)</f>
        <v/>
      </c>
      <c r="H1465">
        <f>IF(E1465="Yes","",COUNTIFS($E$2:E1465,"No"))</f>
        <v/>
      </c>
      <c r="I1465">
        <f>IF(H1465="","",IF(H1465&lt;=128,"address",IF(H1465&lt;=600,"data1",IF(H1465&lt;=1264,"zero-run1",IF(H1465&lt;=1648,"data2",IF(H1465&lt;=2176,"zero-run2",IF(H1465&lt;=2192,"FCS","trailing")))))))</f>
        <v/>
      </c>
      <c r="J1465">
        <f>IFERROR(IF(AND(H1465&lt;&gt;"",H1465&gt;=129,H1465&lt;=2176),INDEX(Fields!$B$2:$B$206,MATCH(H1465-129,Fields!$D$2:$D$206,1)),""),"")</f>
        <v/>
      </c>
      <c r="K1465">
        <f>IFERROR(IF(AND(H1465&lt;&gt;"",H1465&gt;=129,H1465&lt;=2176),INDEX(Fields!$C$2:$C$206,MATCH(H1465-129,Fields!$D$2:$D$206,1)),""),"")</f>
        <v/>
      </c>
      <c r="L1465">
        <f>IFERROR(IF(AND(H1465&lt;&gt;"",H1465&gt;=129,H1465&lt;=2176),INDEX(Fields!$J$2:$J$206,MATCH(H1465-129,Fields!$D$2:$D$206,1)),""),"")</f>
        <v/>
      </c>
      <c r="M1465">
        <f>IFERROR(IF(AND(H1465&lt;&gt;"",H1465&gt;=129,H1465&lt;=2176),INDEX(Fields!$K$2:$K$206,MATCH(H1465-129,Fields!$D$2:$D$206,1)),""),"")</f>
        <v/>
      </c>
    </row>
    <row r="1466">
      <c r="A1466" t="n">
        <v>1464</v>
      </c>
      <c r="B1466" t="n">
        <v>1</v>
      </c>
      <c r="C1466" t="inlineStr">
        <is>
          <t>No</t>
        </is>
      </c>
      <c r="D1466">
        <f>IF(AND(B1461=1,B1462=1,B1463=1,B1464=1,B1465=1),"Yes","")</f>
        <v/>
      </c>
      <c r="E1466" t="inlineStr">
        <is>
          <t>No</t>
        </is>
      </c>
      <c r="F1466" t="inlineStr">
        <is>
          <t>No</t>
        </is>
      </c>
      <c r="G1466">
        <f>IF(F1466="Yes",1-B1466,B1466)</f>
        <v/>
      </c>
      <c r="H1466">
        <f>IF(E1466="Yes","",COUNTIFS($E$2:E1466,"No"))</f>
        <v/>
      </c>
      <c r="I1466">
        <f>IF(H1466="","",IF(H1466&lt;=128,"address",IF(H1466&lt;=600,"data1",IF(H1466&lt;=1264,"zero-run1",IF(H1466&lt;=1648,"data2",IF(H1466&lt;=2176,"zero-run2",IF(H1466&lt;=2192,"FCS","trailing")))))))</f>
        <v/>
      </c>
      <c r="J1466">
        <f>IFERROR(IF(AND(H1466&lt;&gt;"",H1466&gt;=129,H1466&lt;=2176),INDEX(Fields!$B$2:$B$206,MATCH(H1466-129,Fields!$D$2:$D$206,1)),""),"")</f>
        <v/>
      </c>
      <c r="K1466">
        <f>IFERROR(IF(AND(H1466&lt;&gt;"",H1466&gt;=129,H1466&lt;=2176),INDEX(Fields!$C$2:$C$206,MATCH(H1466-129,Fields!$D$2:$D$206,1)),""),"")</f>
        <v/>
      </c>
      <c r="L1466">
        <f>IFERROR(IF(AND(H1466&lt;&gt;"",H1466&gt;=129,H1466&lt;=2176),INDEX(Fields!$J$2:$J$206,MATCH(H1466-129,Fields!$D$2:$D$206,1)),""),"")</f>
        <v/>
      </c>
      <c r="M1466">
        <f>IFERROR(IF(AND(H1466&lt;&gt;"",H1466&gt;=129,H1466&lt;=2176),INDEX(Fields!$K$2:$K$206,MATCH(H1466-129,Fields!$D$2:$D$206,1)),""),"")</f>
        <v/>
      </c>
    </row>
    <row r="1467">
      <c r="A1467" t="n">
        <v>1465</v>
      </c>
      <c r="B1467" t="n">
        <v>1</v>
      </c>
      <c r="C1467" t="inlineStr">
        <is>
          <t>No</t>
        </is>
      </c>
      <c r="D1467">
        <f>IF(AND(B1462=1,B1463=1,B1464=1,B1465=1,B1466=1),"Yes","")</f>
        <v/>
      </c>
      <c r="E1467" t="inlineStr">
        <is>
          <t>No</t>
        </is>
      </c>
      <c r="F1467" t="inlineStr">
        <is>
          <t>No</t>
        </is>
      </c>
      <c r="G1467">
        <f>IF(F1467="Yes",1-B1467,B1467)</f>
        <v/>
      </c>
      <c r="H1467">
        <f>IF(E1467="Yes","",COUNTIFS($E$2:E1467,"No"))</f>
        <v/>
      </c>
      <c r="I1467">
        <f>IF(H1467="","",IF(H1467&lt;=128,"address",IF(H1467&lt;=600,"data1",IF(H1467&lt;=1264,"zero-run1",IF(H1467&lt;=1648,"data2",IF(H1467&lt;=2176,"zero-run2",IF(H1467&lt;=2192,"FCS","trailing")))))))</f>
        <v/>
      </c>
      <c r="J1467">
        <f>IFERROR(IF(AND(H1467&lt;&gt;"",H1467&gt;=129,H1467&lt;=2176),INDEX(Fields!$B$2:$B$206,MATCH(H1467-129,Fields!$D$2:$D$206,1)),""),"")</f>
        <v/>
      </c>
      <c r="K1467">
        <f>IFERROR(IF(AND(H1467&lt;&gt;"",H1467&gt;=129,H1467&lt;=2176),INDEX(Fields!$C$2:$C$206,MATCH(H1467-129,Fields!$D$2:$D$206,1)),""),"")</f>
        <v/>
      </c>
      <c r="L1467">
        <f>IFERROR(IF(AND(H1467&lt;&gt;"",H1467&gt;=129,H1467&lt;=2176),INDEX(Fields!$J$2:$J$206,MATCH(H1467-129,Fields!$D$2:$D$206,1)),""),"")</f>
        <v/>
      </c>
      <c r="M1467">
        <f>IFERROR(IF(AND(H1467&lt;&gt;"",H1467&gt;=129,H1467&lt;=2176),INDEX(Fields!$K$2:$K$206,MATCH(H1467-129,Fields!$D$2:$D$206,1)),""),"")</f>
        <v/>
      </c>
    </row>
    <row r="1468">
      <c r="A1468" t="n">
        <v>1466</v>
      </c>
      <c r="B1468" t="n">
        <v>0</v>
      </c>
      <c r="C1468" t="inlineStr">
        <is>
          <t>No</t>
        </is>
      </c>
      <c r="D1468">
        <f>IF(AND(B1463=1,B1464=1,B1465=1,B1466=1,B1467=1),"Yes","")</f>
        <v/>
      </c>
      <c r="E1468" t="inlineStr">
        <is>
          <t>No</t>
        </is>
      </c>
      <c r="F1468" t="inlineStr">
        <is>
          <t>No</t>
        </is>
      </c>
      <c r="G1468">
        <f>IF(F1468="Yes",1-B1468,B1468)</f>
        <v/>
      </c>
      <c r="H1468">
        <f>IF(E1468="Yes","",COUNTIFS($E$2:E1468,"No"))</f>
        <v/>
      </c>
      <c r="I1468">
        <f>IF(H1468="","",IF(H1468&lt;=128,"address",IF(H1468&lt;=600,"data1",IF(H1468&lt;=1264,"zero-run1",IF(H1468&lt;=1648,"data2",IF(H1468&lt;=2176,"zero-run2",IF(H1468&lt;=2192,"FCS","trailing")))))))</f>
        <v/>
      </c>
      <c r="J1468">
        <f>IFERROR(IF(AND(H1468&lt;&gt;"",H1468&gt;=129,H1468&lt;=2176),INDEX(Fields!$B$2:$B$206,MATCH(H1468-129,Fields!$D$2:$D$206,1)),""),"")</f>
        <v/>
      </c>
      <c r="K1468">
        <f>IFERROR(IF(AND(H1468&lt;&gt;"",H1468&gt;=129,H1468&lt;=2176),INDEX(Fields!$C$2:$C$206,MATCH(H1468-129,Fields!$D$2:$D$206,1)),""),"")</f>
        <v/>
      </c>
      <c r="L1468">
        <f>IFERROR(IF(AND(H1468&lt;&gt;"",H1468&gt;=129,H1468&lt;=2176),INDEX(Fields!$J$2:$J$206,MATCH(H1468-129,Fields!$D$2:$D$206,1)),""),"")</f>
        <v/>
      </c>
      <c r="M1468">
        <f>IFERROR(IF(AND(H1468&lt;&gt;"",H1468&gt;=129,H1468&lt;=2176),INDEX(Fields!$K$2:$K$206,MATCH(H1468-129,Fields!$D$2:$D$206,1)),""),"")</f>
        <v/>
      </c>
    </row>
    <row r="1469">
      <c r="A1469" t="n">
        <v>1467</v>
      </c>
      <c r="B1469" t="n">
        <v>0</v>
      </c>
      <c r="C1469" t="inlineStr">
        <is>
          <t>No</t>
        </is>
      </c>
      <c r="D1469">
        <f>IF(AND(B1464=1,B1465=1,B1466=1,B1467=1,B1468=1),"Yes","")</f>
        <v/>
      </c>
      <c r="E1469" t="inlineStr">
        <is>
          <t>No</t>
        </is>
      </c>
      <c r="F1469" t="inlineStr">
        <is>
          <t>No</t>
        </is>
      </c>
      <c r="G1469">
        <f>IF(F1469="Yes",1-B1469,B1469)</f>
        <v/>
      </c>
      <c r="H1469">
        <f>IF(E1469="Yes","",COUNTIFS($E$2:E1469,"No"))</f>
        <v/>
      </c>
      <c r="I1469">
        <f>IF(H1469="","",IF(H1469&lt;=128,"address",IF(H1469&lt;=600,"data1",IF(H1469&lt;=1264,"zero-run1",IF(H1469&lt;=1648,"data2",IF(H1469&lt;=2176,"zero-run2",IF(H1469&lt;=2192,"FCS","trailing")))))))</f>
        <v/>
      </c>
      <c r="J1469">
        <f>IFERROR(IF(AND(H1469&lt;&gt;"",H1469&gt;=129,H1469&lt;=2176),INDEX(Fields!$B$2:$B$206,MATCH(H1469-129,Fields!$D$2:$D$206,1)),""),"")</f>
        <v/>
      </c>
      <c r="K1469">
        <f>IFERROR(IF(AND(H1469&lt;&gt;"",H1469&gt;=129,H1469&lt;=2176),INDEX(Fields!$C$2:$C$206,MATCH(H1469-129,Fields!$D$2:$D$206,1)),""),"")</f>
        <v/>
      </c>
      <c r="L1469">
        <f>IFERROR(IF(AND(H1469&lt;&gt;"",H1469&gt;=129,H1469&lt;=2176),INDEX(Fields!$J$2:$J$206,MATCH(H1469-129,Fields!$D$2:$D$206,1)),""),"")</f>
        <v/>
      </c>
      <c r="M1469">
        <f>IFERROR(IF(AND(H1469&lt;&gt;"",H1469&gt;=129,H1469&lt;=2176),INDEX(Fields!$K$2:$K$206,MATCH(H1469-129,Fields!$D$2:$D$206,1)),""),"")</f>
        <v/>
      </c>
    </row>
    <row r="1470">
      <c r="A1470" t="n">
        <v>1468</v>
      </c>
      <c r="B1470" t="n">
        <v>0</v>
      </c>
      <c r="C1470" t="inlineStr">
        <is>
          <t>No</t>
        </is>
      </c>
      <c r="D1470">
        <f>IF(AND(B1465=1,B1466=1,B1467=1,B1468=1,B1469=1),"Yes","")</f>
        <v/>
      </c>
      <c r="E1470" t="inlineStr">
        <is>
          <t>No</t>
        </is>
      </c>
      <c r="F1470" t="inlineStr">
        <is>
          <t>No</t>
        </is>
      </c>
      <c r="G1470">
        <f>IF(F1470="Yes",1-B1470,B1470)</f>
        <v/>
      </c>
      <c r="H1470">
        <f>IF(E1470="Yes","",COUNTIFS($E$2:E1470,"No"))</f>
        <v/>
      </c>
      <c r="I1470">
        <f>IF(H1470="","",IF(H1470&lt;=128,"address",IF(H1470&lt;=600,"data1",IF(H1470&lt;=1264,"zero-run1",IF(H1470&lt;=1648,"data2",IF(H1470&lt;=2176,"zero-run2",IF(H1470&lt;=2192,"FCS","trailing")))))))</f>
        <v/>
      </c>
      <c r="J1470">
        <f>IFERROR(IF(AND(H1470&lt;&gt;"",H1470&gt;=129,H1470&lt;=2176),INDEX(Fields!$B$2:$B$206,MATCH(H1470-129,Fields!$D$2:$D$206,1)),""),"")</f>
        <v/>
      </c>
      <c r="K1470">
        <f>IFERROR(IF(AND(H1470&lt;&gt;"",H1470&gt;=129,H1470&lt;=2176),INDEX(Fields!$C$2:$C$206,MATCH(H1470-129,Fields!$D$2:$D$206,1)),""),"")</f>
        <v/>
      </c>
      <c r="L1470">
        <f>IFERROR(IF(AND(H1470&lt;&gt;"",H1470&gt;=129,H1470&lt;=2176),INDEX(Fields!$J$2:$J$206,MATCH(H1470-129,Fields!$D$2:$D$206,1)),""),"")</f>
        <v/>
      </c>
      <c r="M1470">
        <f>IFERROR(IF(AND(H1470&lt;&gt;"",H1470&gt;=129,H1470&lt;=2176),INDEX(Fields!$K$2:$K$206,MATCH(H1470-129,Fields!$D$2:$D$206,1)),""),"")</f>
        <v/>
      </c>
    </row>
    <row r="1471">
      <c r="A1471" t="n">
        <v>1469</v>
      </c>
      <c r="B1471" t="n">
        <v>0</v>
      </c>
      <c r="C1471" t="inlineStr">
        <is>
          <t>No</t>
        </is>
      </c>
      <c r="D1471">
        <f>IF(AND(B1466=1,B1467=1,B1468=1,B1469=1,B1470=1),"Yes","")</f>
        <v/>
      </c>
      <c r="E1471" t="inlineStr">
        <is>
          <t>No</t>
        </is>
      </c>
      <c r="F1471" t="inlineStr">
        <is>
          <t>No</t>
        </is>
      </c>
      <c r="G1471">
        <f>IF(F1471="Yes",1-B1471,B1471)</f>
        <v/>
      </c>
      <c r="H1471">
        <f>IF(E1471="Yes","",COUNTIFS($E$2:E1471,"No"))</f>
        <v/>
      </c>
      <c r="I1471">
        <f>IF(H1471="","",IF(H1471&lt;=128,"address",IF(H1471&lt;=600,"data1",IF(H1471&lt;=1264,"zero-run1",IF(H1471&lt;=1648,"data2",IF(H1471&lt;=2176,"zero-run2",IF(H1471&lt;=2192,"FCS","trailing")))))))</f>
        <v/>
      </c>
      <c r="J1471">
        <f>IFERROR(IF(AND(H1471&lt;&gt;"",H1471&gt;=129,H1471&lt;=2176),INDEX(Fields!$B$2:$B$206,MATCH(H1471-129,Fields!$D$2:$D$206,1)),""),"")</f>
        <v/>
      </c>
      <c r="K1471">
        <f>IFERROR(IF(AND(H1471&lt;&gt;"",H1471&gt;=129,H1471&lt;=2176),INDEX(Fields!$C$2:$C$206,MATCH(H1471-129,Fields!$D$2:$D$206,1)),""),"")</f>
        <v/>
      </c>
      <c r="L1471">
        <f>IFERROR(IF(AND(H1471&lt;&gt;"",H1471&gt;=129,H1471&lt;=2176),INDEX(Fields!$J$2:$J$206,MATCH(H1471-129,Fields!$D$2:$D$206,1)),""),"")</f>
        <v/>
      </c>
      <c r="M1471">
        <f>IFERROR(IF(AND(H1471&lt;&gt;"",H1471&gt;=129,H1471&lt;=2176),INDEX(Fields!$K$2:$K$206,MATCH(H1471-129,Fields!$D$2:$D$206,1)),""),"")</f>
        <v/>
      </c>
    </row>
    <row r="1472">
      <c r="A1472" t="n">
        <v>1470</v>
      </c>
      <c r="B1472" t="n">
        <v>0</v>
      </c>
      <c r="C1472" t="inlineStr">
        <is>
          <t>No</t>
        </is>
      </c>
      <c r="D1472">
        <f>IF(AND(B1467=1,B1468=1,B1469=1,B1470=1,B1471=1),"Yes","")</f>
        <v/>
      </c>
      <c r="E1472" t="inlineStr">
        <is>
          <t>No</t>
        </is>
      </c>
      <c r="F1472" t="inlineStr">
        <is>
          <t>No</t>
        </is>
      </c>
      <c r="G1472">
        <f>IF(F1472="Yes",1-B1472,B1472)</f>
        <v/>
      </c>
      <c r="H1472">
        <f>IF(E1472="Yes","",COUNTIFS($E$2:E1472,"No"))</f>
        <v/>
      </c>
      <c r="I1472">
        <f>IF(H1472="","",IF(H1472&lt;=128,"address",IF(H1472&lt;=600,"data1",IF(H1472&lt;=1264,"zero-run1",IF(H1472&lt;=1648,"data2",IF(H1472&lt;=2176,"zero-run2",IF(H1472&lt;=2192,"FCS","trailing")))))))</f>
        <v/>
      </c>
      <c r="J1472">
        <f>IFERROR(IF(AND(H1472&lt;&gt;"",H1472&gt;=129,H1472&lt;=2176),INDEX(Fields!$B$2:$B$206,MATCH(H1472-129,Fields!$D$2:$D$206,1)),""),"")</f>
        <v/>
      </c>
      <c r="K1472">
        <f>IFERROR(IF(AND(H1472&lt;&gt;"",H1472&gt;=129,H1472&lt;=2176),INDEX(Fields!$C$2:$C$206,MATCH(H1472-129,Fields!$D$2:$D$206,1)),""),"")</f>
        <v/>
      </c>
      <c r="L1472">
        <f>IFERROR(IF(AND(H1472&lt;&gt;"",H1472&gt;=129,H1472&lt;=2176),INDEX(Fields!$J$2:$J$206,MATCH(H1472-129,Fields!$D$2:$D$206,1)),""),"")</f>
        <v/>
      </c>
      <c r="M1472">
        <f>IFERROR(IF(AND(H1472&lt;&gt;"",H1472&gt;=129,H1472&lt;=2176),INDEX(Fields!$K$2:$K$206,MATCH(H1472-129,Fields!$D$2:$D$206,1)),""),"")</f>
        <v/>
      </c>
    </row>
    <row r="1473">
      <c r="A1473" t="n">
        <v>1471</v>
      </c>
      <c r="B1473" t="n">
        <v>1</v>
      </c>
      <c r="C1473" t="inlineStr">
        <is>
          <t>No</t>
        </is>
      </c>
      <c r="D1473">
        <f>IF(AND(B1468=1,B1469=1,B1470=1,B1471=1,B1472=1),"Yes","")</f>
        <v/>
      </c>
      <c r="E1473" t="inlineStr">
        <is>
          <t>No</t>
        </is>
      </c>
      <c r="F1473" t="inlineStr">
        <is>
          <t>No</t>
        </is>
      </c>
      <c r="G1473">
        <f>IF(F1473="Yes",1-B1473,B1473)</f>
        <v/>
      </c>
      <c r="H1473">
        <f>IF(E1473="Yes","",COUNTIFS($E$2:E1473,"No"))</f>
        <v/>
      </c>
      <c r="I1473">
        <f>IF(H1473="","",IF(H1473&lt;=128,"address",IF(H1473&lt;=600,"data1",IF(H1473&lt;=1264,"zero-run1",IF(H1473&lt;=1648,"data2",IF(H1473&lt;=2176,"zero-run2",IF(H1473&lt;=2192,"FCS","trailing")))))))</f>
        <v/>
      </c>
      <c r="J1473">
        <f>IFERROR(IF(AND(H1473&lt;&gt;"",H1473&gt;=129,H1473&lt;=2176),INDEX(Fields!$B$2:$B$206,MATCH(H1473-129,Fields!$D$2:$D$206,1)),""),"")</f>
        <v/>
      </c>
      <c r="K1473">
        <f>IFERROR(IF(AND(H1473&lt;&gt;"",H1473&gt;=129,H1473&lt;=2176),INDEX(Fields!$C$2:$C$206,MATCH(H1473-129,Fields!$D$2:$D$206,1)),""),"")</f>
        <v/>
      </c>
      <c r="L1473">
        <f>IFERROR(IF(AND(H1473&lt;&gt;"",H1473&gt;=129,H1473&lt;=2176),INDEX(Fields!$J$2:$J$206,MATCH(H1473-129,Fields!$D$2:$D$206,1)),""),"")</f>
        <v/>
      </c>
      <c r="M1473">
        <f>IFERROR(IF(AND(H1473&lt;&gt;"",H1473&gt;=129,H1473&lt;=2176),INDEX(Fields!$K$2:$K$206,MATCH(H1473-129,Fields!$D$2:$D$206,1)),""),"")</f>
        <v/>
      </c>
    </row>
    <row r="1474">
      <c r="A1474" t="n">
        <v>1472</v>
      </c>
      <c r="B1474" t="n">
        <v>0</v>
      </c>
      <c r="C1474" t="inlineStr">
        <is>
          <t>No</t>
        </is>
      </c>
      <c r="D1474">
        <f>IF(AND(B1469=1,B1470=1,B1471=1,B1472=1,B1473=1),"Yes","")</f>
        <v/>
      </c>
      <c r="E1474" t="inlineStr">
        <is>
          <t>No</t>
        </is>
      </c>
      <c r="F1474" t="inlineStr">
        <is>
          <t>No</t>
        </is>
      </c>
      <c r="G1474">
        <f>IF(F1474="Yes",1-B1474,B1474)</f>
        <v/>
      </c>
      <c r="H1474">
        <f>IF(E1474="Yes","",COUNTIFS($E$2:E1474,"No"))</f>
        <v/>
      </c>
      <c r="I1474">
        <f>IF(H1474="","",IF(H1474&lt;=128,"address",IF(H1474&lt;=600,"data1",IF(H1474&lt;=1264,"zero-run1",IF(H1474&lt;=1648,"data2",IF(H1474&lt;=2176,"zero-run2",IF(H1474&lt;=2192,"FCS","trailing")))))))</f>
        <v/>
      </c>
      <c r="J1474">
        <f>IFERROR(IF(AND(H1474&lt;&gt;"",H1474&gt;=129,H1474&lt;=2176),INDEX(Fields!$B$2:$B$206,MATCH(H1474-129,Fields!$D$2:$D$206,1)),""),"")</f>
        <v/>
      </c>
      <c r="K1474">
        <f>IFERROR(IF(AND(H1474&lt;&gt;"",H1474&gt;=129,H1474&lt;=2176),INDEX(Fields!$C$2:$C$206,MATCH(H1474-129,Fields!$D$2:$D$206,1)),""),"")</f>
        <v/>
      </c>
      <c r="L1474">
        <f>IFERROR(IF(AND(H1474&lt;&gt;"",H1474&gt;=129,H1474&lt;=2176),INDEX(Fields!$J$2:$J$206,MATCH(H1474-129,Fields!$D$2:$D$206,1)),""),"")</f>
        <v/>
      </c>
      <c r="M1474">
        <f>IFERROR(IF(AND(H1474&lt;&gt;"",H1474&gt;=129,H1474&lt;=2176),INDEX(Fields!$K$2:$K$206,MATCH(H1474-129,Fields!$D$2:$D$206,1)),""),"")</f>
        <v/>
      </c>
    </row>
    <row r="1475">
      <c r="A1475" t="n">
        <v>1473</v>
      </c>
      <c r="B1475" t="n">
        <v>0</v>
      </c>
      <c r="C1475" t="inlineStr">
        <is>
          <t>No</t>
        </is>
      </c>
      <c r="D1475">
        <f>IF(AND(B1470=1,B1471=1,B1472=1,B1473=1,B1474=1),"Yes","")</f>
        <v/>
      </c>
      <c r="E1475" t="inlineStr">
        <is>
          <t>No</t>
        </is>
      </c>
      <c r="F1475" t="inlineStr">
        <is>
          <t>No</t>
        </is>
      </c>
      <c r="G1475">
        <f>IF(F1475="Yes",1-B1475,B1475)</f>
        <v/>
      </c>
      <c r="H1475">
        <f>IF(E1475="Yes","",COUNTIFS($E$2:E1475,"No"))</f>
        <v/>
      </c>
      <c r="I1475">
        <f>IF(H1475="","",IF(H1475&lt;=128,"address",IF(H1475&lt;=600,"data1",IF(H1475&lt;=1264,"zero-run1",IF(H1475&lt;=1648,"data2",IF(H1475&lt;=2176,"zero-run2",IF(H1475&lt;=2192,"FCS","trailing")))))))</f>
        <v/>
      </c>
      <c r="J1475">
        <f>IFERROR(IF(AND(H1475&lt;&gt;"",H1475&gt;=129,H1475&lt;=2176),INDEX(Fields!$B$2:$B$206,MATCH(H1475-129,Fields!$D$2:$D$206,1)),""),"")</f>
        <v/>
      </c>
      <c r="K1475">
        <f>IFERROR(IF(AND(H1475&lt;&gt;"",H1475&gt;=129,H1475&lt;=2176),INDEX(Fields!$C$2:$C$206,MATCH(H1475-129,Fields!$D$2:$D$206,1)),""),"")</f>
        <v/>
      </c>
      <c r="L1475">
        <f>IFERROR(IF(AND(H1475&lt;&gt;"",H1475&gt;=129,H1475&lt;=2176),INDEX(Fields!$J$2:$J$206,MATCH(H1475-129,Fields!$D$2:$D$206,1)),""),"")</f>
        <v/>
      </c>
      <c r="M1475">
        <f>IFERROR(IF(AND(H1475&lt;&gt;"",H1475&gt;=129,H1475&lt;=2176),INDEX(Fields!$K$2:$K$206,MATCH(H1475-129,Fields!$D$2:$D$206,1)),""),"")</f>
        <v/>
      </c>
    </row>
    <row r="1476">
      <c r="A1476" t="n">
        <v>1474</v>
      </c>
      <c r="B1476" t="n">
        <v>0</v>
      </c>
      <c r="C1476" t="inlineStr">
        <is>
          <t>No</t>
        </is>
      </c>
      <c r="D1476">
        <f>IF(AND(B1471=1,B1472=1,B1473=1,B1474=1,B1475=1),"Yes","")</f>
        <v/>
      </c>
      <c r="E1476" t="inlineStr">
        <is>
          <t>No</t>
        </is>
      </c>
      <c r="F1476" t="inlineStr">
        <is>
          <t>No</t>
        </is>
      </c>
      <c r="G1476">
        <f>IF(F1476="Yes",1-B1476,B1476)</f>
        <v/>
      </c>
      <c r="H1476">
        <f>IF(E1476="Yes","",COUNTIFS($E$2:E1476,"No"))</f>
        <v/>
      </c>
      <c r="I1476">
        <f>IF(H1476="","",IF(H1476&lt;=128,"address",IF(H1476&lt;=600,"data1",IF(H1476&lt;=1264,"zero-run1",IF(H1476&lt;=1648,"data2",IF(H1476&lt;=2176,"zero-run2",IF(H1476&lt;=2192,"FCS","trailing")))))))</f>
        <v/>
      </c>
      <c r="J1476">
        <f>IFERROR(IF(AND(H1476&lt;&gt;"",H1476&gt;=129,H1476&lt;=2176),INDEX(Fields!$B$2:$B$206,MATCH(H1476-129,Fields!$D$2:$D$206,1)),""),"")</f>
        <v/>
      </c>
      <c r="K1476">
        <f>IFERROR(IF(AND(H1476&lt;&gt;"",H1476&gt;=129,H1476&lt;=2176),INDEX(Fields!$C$2:$C$206,MATCH(H1476-129,Fields!$D$2:$D$206,1)),""),"")</f>
        <v/>
      </c>
      <c r="L1476">
        <f>IFERROR(IF(AND(H1476&lt;&gt;"",H1476&gt;=129,H1476&lt;=2176),INDEX(Fields!$J$2:$J$206,MATCH(H1476-129,Fields!$D$2:$D$206,1)),""),"")</f>
        <v/>
      </c>
      <c r="M1476">
        <f>IFERROR(IF(AND(H1476&lt;&gt;"",H1476&gt;=129,H1476&lt;=2176),INDEX(Fields!$K$2:$K$206,MATCH(H1476-129,Fields!$D$2:$D$206,1)),""),"")</f>
        <v/>
      </c>
    </row>
    <row r="1477">
      <c r="A1477" t="n">
        <v>1475</v>
      </c>
      <c r="B1477" t="n">
        <v>0</v>
      </c>
      <c r="C1477" t="inlineStr">
        <is>
          <t>No</t>
        </is>
      </c>
      <c r="D1477">
        <f>IF(AND(B1472=1,B1473=1,B1474=1,B1475=1,B1476=1),"Yes","")</f>
        <v/>
      </c>
      <c r="E1477" t="inlineStr">
        <is>
          <t>No</t>
        </is>
      </c>
      <c r="F1477" t="inlineStr">
        <is>
          <t>No</t>
        </is>
      </c>
      <c r="G1477">
        <f>IF(F1477="Yes",1-B1477,B1477)</f>
        <v/>
      </c>
      <c r="H1477">
        <f>IF(E1477="Yes","",COUNTIFS($E$2:E1477,"No"))</f>
        <v/>
      </c>
      <c r="I1477">
        <f>IF(H1477="","",IF(H1477&lt;=128,"address",IF(H1477&lt;=600,"data1",IF(H1477&lt;=1264,"zero-run1",IF(H1477&lt;=1648,"data2",IF(H1477&lt;=2176,"zero-run2",IF(H1477&lt;=2192,"FCS","trailing")))))))</f>
        <v/>
      </c>
      <c r="J1477">
        <f>IFERROR(IF(AND(H1477&lt;&gt;"",H1477&gt;=129,H1477&lt;=2176),INDEX(Fields!$B$2:$B$206,MATCH(H1477-129,Fields!$D$2:$D$206,1)),""),"")</f>
        <v/>
      </c>
      <c r="K1477">
        <f>IFERROR(IF(AND(H1477&lt;&gt;"",H1477&gt;=129,H1477&lt;=2176),INDEX(Fields!$C$2:$C$206,MATCH(H1477-129,Fields!$D$2:$D$206,1)),""),"")</f>
        <v/>
      </c>
      <c r="L1477">
        <f>IFERROR(IF(AND(H1477&lt;&gt;"",H1477&gt;=129,H1477&lt;=2176),INDEX(Fields!$J$2:$J$206,MATCH(H1477-129,Fields!$D$2:$D$206,1)),""),"")</f>
        <v/>
      </c>
      <c r="M1477">
        <f>IFERROR(IF(AND(H1477&lt;&gt;"",H1477&gt;=129,H1477&lt;=2176),INDEX(Fields!$K$2:$K$206,MATCH(H1477-129,Fields!$D$2:$D$206,1)),""),"")</f>
        <v/>
      </c>
    </row>
    <row r="1478">
      <c r="A1478" t="n">
        <v>1476</v>
      </c>
      <c r="B1478" t="n">
        <v>1</v>
      </c>
      <c r="C1478" t="inlineStr">
        <is>
          <t>No</t>
        </is>
      </c>
      <c r="D1478">
        <f>IF(AND(B1473=1,B1474=1,B1475=1,B1476=1,B1477=1),"Yes","")</f>
        <v/>
      </c>
      <c r="E1478" t="inlineStr">
        <is>
          <t>No</t>
        </is>
      </c>
      <c r="F1478" t="inlineStr">
        <is>
          <t>No</t>
        </is>
      </c>
      <c r="G1478">
        <f>IF(F1478="Yes",1-B1478,B1478)</f>
        <v/>
      </c>
      <c r="H1478">
        <f>IF(E1478="Yes","",COUNTIFS($E$2:E1478,"No"))</f>
        <v/>
      </c>
      <c r="I1478">
        <f>IF(H1478="","",IF(H1478&lt;=128,"address",IF(H1478&lt;=600,"data1",IF(H1478&lt;=1264,"zero-run1",IF(H1478&lt;=1648,"data2",IF(H1478&lt;=2176,"zero-run2",IF(H1478&lt;=2192,"FCS","trailing")))))))</f>
        <v/>
      </c>
      <c r="J1478">
        <f>IFERROR(IF(AND(H1478&lt;&gt;"",H1478&gt;=129,H1478&lt;=2176),INDEX(Fields!$B$2:$B$206,MATCH(H1478-129,Fields!$D$2:$D$206,1)),""),"")</f>
        <v/>
      </c>
      <c r="K1478">
        <f>IFERROR(IF(AND(H1478&lt;&gt;"",H1478&gt;=129,H1478&lt;=2176),INDEX(Fields!$C$2:$C$206,MATCH(H1478-129,Fields!$D$2:$D$206,1)),""),"")</f>
        <v/>
      </c>
      <c r="L1478">
        <f>IFERROR(IF(AND(H1478&lt;&gt;"",H1478&gt;=129,H1478&lt;=2176),INDEX(Fields!$J$2:$J$206,MATCH(H1478-129,Fields!$D$2:$D$206,1)),""),"")</f>
        <v/>
      </c>
      <c r="M1478">
        <f>IFERROR(IF(AND(H1478&lt;&gt;"",H1478&gt;=129,H1478&lt;=2176),INDEX(Fields!$K$2:$K$206,MATCH(H1478-129,Fields!$D$2:$D$206,1)),""),"")</f>
        <v/>
      </c>
    </row>
    <row r="1479">
      <c r="A1479" t="n">
        <v>1477</v>
      </c>
      <c r="B1479" t="n">
        <v>0</v>
      </c>
      <c r="C1479" t="inlineStr">
        <is>
          <t>No</t>
        </is>
      </c>
      <c r="D1479">
        <f>IF(AND(B1474=1,B1475=1,B1476=1,B1477=1,B1478=1),"Yes","")</f>
        <v/>
      </c>
      <c r="E1479" t="inlineStr">
        <is>
          <t>No</t>
        </is>
      </c>
      <c r="F1479" t="inlineStr">
        <is>
          <t>No</t>
        </is>
      </c>
      <c r="G1479">
        <f>IF(F1479="Yes",1-B1479,B1479)</f>
        <v/>
      </c>
      <c r="H1479">
        <f>IF(E1479="Yes","",COUNTIFS($E$2:E1479,"No"))</f>
        <v/>
      </c>
      <c r="I1479">
        <f>IF(H1479="","",IF(H1479&lt;=128,"address",IF(H1479&lt;=600,"data1",IF(H1479&lt;=1264,"zero-run1",IF(H1479&lt;=1648,"data2",IF(H1479&lt;=2176,"zero-run2",IF(H1479&lt;=2192,"FCS","trailing")))))))</f>
        <v/>
      </c>
      <c r="J1479">
        <f>IFERROR(IF(AND(H1479&lt;&gt;"",H1479&gt;=129,H1479&lt;=2176),INDEX(Fields!$B$2:$B$206,MATCH(H1479-129,Fields!$D$2:$D$206,1)),""),"")</f>
        <v/>
      </c>
      <c r="K1479">
        <f>IFERROR(IF(AND(H1479&lt;&gt;"",H1479&gt;=129,H1479&lt;=2176),INDEX(Fields!$C$2:$C$206,MATCH(H1479-129,Fields!$D$2:$D$206,1)),""),"")</f>
        <v/>
      </c>
      <c r="L1479">
        <f>IFERROR(IF(AND(H1479&lt;&gt;"",H1479&gt;=129,H1479&lt;=2176),INDEX(Fields!$J$2:$J$206,MATCH(H1479-129,Fields!$D$2:$D$206,1)),""),"")</f>
        <v/>
      </c>
      <c r="M1479">
        <f>IFERROR(IF(AND(H1479&lt;&gt;"",H1479&gt;=129,H1479&lt;=2176),INDEX(Fields!$K$2:$K$206,MATCH(H1479-129,Fields!$D$2:$D$206,1)),""),"")</f>
        <v/>
      </c>
    </row>
    <row r="1480">
      <c r="A1480" t="n">
        <v>1478</v>
      </c>
      <c r="B1480" t="n">
        <v>0</v>
      </c>
      <c r="C1480" t="inlineStr">
        <is>
          <t>No</t>
        </is>
      </c>
      <c r="D1480">
        <f>IF(AND(B1475=1,B1476=1,B1477=1,B1478=1,B1479=1),"Yes","")</f>
        <v/>
      </c>
      <c r="E1480" t="inlineStr">
        <is>
          <t>No</t>
        </is>
      </c>
      <c r="F1480" t="inlineStr">
        <is>
          <t>No</t>
        </is>
      </c>
      <c r="G1480">
        <f>IF(F1480="Yes",1-B1480,B1480)</f>
        <v/>
      </c>
      <c r="H1480">
        <f>IF(E1480="Yes","",COUNTIFS($E$2:E1480,"No"))</f>
        <v/>
      </c>
      <c r="I1480">
        <f>IF(H1480="","",IF(H1480&lt;=128,"address",IF(H1480&lt;=600,"data1",IF(H1480&lt;=1264,"zero-run1",IF(H1480&lt;=1648,"data2",IF(H1480&lt;=2176,"zero-run2",IF(H1480&lt;=2192,"FCS","trailing")))))))</f>
        <v/>
      </c>
      <c r="J1480">
        <f>IFERROR(IF(AND(H1480&lt;&gt;"",H1480&gt;=129,H1480&lt;=2176),INDEX(Fields!$B$2:$B$206,MATCH(H1480-129,Fields!$D$2:$D$206,1)),""),"")</f>
        <v/>
      </c>
      <c r="K1480">
        <f>IFERROR(IF(AND(H1480&lt;&gt;"",H1480&gt;=129,H1480&lt;=2176),INDEX(Fields!$C$2:$C$206,MATCH(H1480-129,Fields!$D$2:$D$206,1)),""),"")</f>
        <v/>
      </c>
      <c r="L1480">
        <f>IFERROR(IF(AND(H1480&lt;&gt;"",H1480&gt;=129,H1480&lt;=2176),INDEX(Fields!$J$2:$J$206,MATCH(H1480-129,Fields!$D$2:$D$206,1)),""),"")</f>
        <v/>
      </c>
      <c r="M1480">
        <f>IFERROR(IF(AND(H1480&lt;&gt;"",H1480&gt;=129,H1480&lt;=2176),INDEX(Fields!$K$2:$K$206,MATCH(H1480-129,Fields!$D$2:$D$206,1)),""),"")</f>
        <v/>
      </c>
    </row>
    <row r="1481">
      <c r="A1481" t="n">
        <v>1479</v>
      </c>
      <c r="B1481" t="n">
        <v>1</v>
      </c>
      <c r="C1481" t="inlineStr">
        <is>
          <t>No</t>
        </is>
      </c>
      <c r="D1481">
        <f>IF(AND(B1476=1,B1477=1,B1478=1,B1479=1,B1480=1),"Yes","")</f>
        <v/>
      </c>
      <c r="E1481" t="inlineStr">
        <is>
          <t>No</t>
        </is>
      </c>
      <c r="F1481" t="inlineStr">
        <is>
          <t>No</t>
        </is>
      </c>
      <c r="G1481">
        <f>IF(F1481="Yes",1-B1481,B1481)</f>
        <v/>
      </c>
      <c r="H1481">
        <f>IF(E1481="Yes","",COUNTIFS($E$2:E1481,"No"))</f>
        <v/>
      </c>
      <c r="I1481">
        <f>IF(H1481="","",IF(H1481&lt;=128,"address",IF(H1481&lt;=600,"data1",IF(H1481&lt;=1264,"zero-run1",IF(H1481&lt;=1648,"data2",IF(H1481&lt;=2176,"zero-run2",IF(H1481&lt;=2192,"FCS","trailing")))))))</f>
        <v/>
      </c>
      <c r="J1481">
        <f>IFERROR(IF(AND(H1481&lt;&gt;"",H1481&gt;=129,H1481&lt;=2176),INDEX(Fields!$B$2:$B$206,MATCH(H1481-129,Fields!$D$2:$D$206,1)),""),"")</f>
        <v/>
      </c>
      <c r="K1481">
        <f>IFERROR(IF(AND(H1481&lt;&gt;"",H1481&gt;=129,H1481&lt;=2176),INDEX(Fields!$C$2:$C$206,MATCH(H1481-129,Fields!$D$2:$D$206,1)),""),"")</f>
        <v/>
      </c>
      <c r="L1481">
        <f>IFERROR(IF(AND(H1481&lt;&gt;"",H1481&gt;=129,H1481&lt;=2176),INDEX(Fields!$J$2:$J$206,MATCH(H1481-129,Fields!$D$2:$D$206,1)),""),"")</f>
        <v/>
      </c>
      <c r="M1481">
        <f>IFERROR(IF(AND(H1481&lt;&gt;"",H1481&gt;=129,H1481&lt;=2176),INDEX(Fields!$K$2:$K$206,MATCH(H1481-129,Fields!$D$2:$D$206,1)),""),"")</f>
        <v/>
      </c>
    </row>
    <row r="1482">
      <c r="A1482" t="n">
        <v>1480</v>
      </c>
      <c r="B1482" t="n">
        <v>0</v>
      </c>
      <c r="C1482" t="inlineStr">
        <is>
          <t>No</t>
        </is>
      </c>
      <c r="D1482">
        <f>IF(AND(B1477=1,B1478=1,B1479=1,B1480=1,B1481=1),"Yes","")</f>
        <v/>
      </c>
      <c r="E1482" t="inlineStr">
        <is>
          <t>No</t>
        </is>
      </c>
      <c r="F1482" t="inlineStr">
        <is>
          <t>No</t>
        </is>
      </c>
      <c r="G1482">
        <f>IF(F1482="Yes",1-B1482,B1482)</f>
        <v/>
      </c>
      <c r="H1482">
        <f>IF(E1482="Yes","",COUNTIFS($E$2:E1482,"No"))</f>
        <v/>
      </c>
      <c r="I1482">
        <f>IF(H1482="","",IF(H1482&lt;=128,"address",IF(H1482&lt;=600,"data1",IF(H1482&lt;=1264,"zero-run1",IF(H1482&lt;=1648,"data2",IF(H1482&lt;=2176,"zero-run2",IF(H1482&lt;=2192,"FCS","trailing")))))))</f>
        <v/>
      </c>
      <c r="J1482">
        <f>IFERROR(IF(AND(H1482&lt;&gt;"",H1482&gt;=129,H1482&lt;=2176),INDEX(Fields!$B$2:$B$206,MATCH(H1482-129,Fields!$D$2:$D$206,1)),""),"")</f>
        <v/>
      </c>
      <c r="K1482">
        <f>IFERROR(IF(AND(H1482&lt;&gt;"",H1482&gt;=129,H1482&lt;=2176),INDEX(Fields!$C$2:$C$206,MATCH(H1482-129,Fields!$D$2:$D$206,1)),""),"")</f>
        <v/>
      </c>
      <c r="L1482">
        <f>IFERROR(IF(AND(H1482&lt;&gt;"",H1482&gt;=129,H1482&lt;=2176),INDEX(Fields!$J$2:$J$206,MATCH(H1482-129,Fields!$D$2:$D$206,1)),""),"")</f>
        <v/>
      </c>
      <c r="M1482">
        <f>IFERROR(IF(AND(H1482&lt;&gt;"",H1482&gt;=129,H1482&lt;=2176),INDEX(Fields!$K$2:$K$206,MATCH(H1482-129,Fields!$D$2:$D$206,1)),""),"")</f>
        <v/>
      </c>
    </row>
    <row r="1483">
      <c r="A1483" t="n">
        <v>1481</v>
      </c>
      <c r="B1483" t="n">
        <v>1</v>
      </c>
      <c r="C1483" t="inlineStr">
        <is>
          <t>No</t>
        </is>
      </c>
      <c r="D1483">
        <f>IF(AND(B1478=1,B1479=1,B1480=1,B1481=1,B1482=1),"Yes","")</f>
        <v/>
      </c>
      <c r="E1483" t="inlineStr">
        <is>
          <t>No</t>
        </is>
      </c>
      <c r="F1483" t="inlineStr">
        <is>
          <t>No</t>
        </is>
      </c>
      <c r="G1483">
        <f>IF(F1483="Yes",1-B1483,B1483)</f>
        <v/>
      </c>
      <c r="H1483">
        <f>IF(E1483="Yes","",COUNTIFS($E$2:E1483,"No"))</f>
        <v/>
      </c>
      <c r="I1483">
        <f>IF(H1483="","",IF(H1483&lt;=128,"address",IF(H1483&lt;=600,"data1",IF(H1483&lt;=1264,"zero-run1",IF(H1483&lt;=1648,"data2",IF(H1483&lt;=2176,"zero-run2",IF(H1483&lt;=2192,"FCS","trailing")))))))</f>
        <v/>
      </c>
      <c r="J1483">
        <f>IFERROR(IF(AND(H1483&lt;&gt;"",H1483&gt;=129,H1483&lt;=2176),INDEX(Fields!$B$2:$B$206,MATCH(H1483-129,Fields!$D$2:$D$206,1)),""),"")</f>
        <v/>
      </c>
      <c r="K1483">
        <f>IFERROR(IF(AND(H1483&lt;&gt;"",H1483&gt;=129,H1483&lt;=2176),INDEX(Fields!$C$2:$C$206,MATCH(H1483-129,Fields!$D$2:$D$206,1)),""),"")</f>
        <v/>
      </c>
      <c r="L1483">
        <f>IFERROR(IF(AND(H1483&lt;&gt;"",H1483&gt;=129,H1483&lt;=2176),INDEX(Fields!$J$2:$J$206,MATCH(H1483-129,Fields!$D$2:$D$206,1)),""),"")</f>
        <v/>
      </c>
      <c r="M1483">
        <f>IFERROR(IF(AND(H1483&lt;&gt;"",H1483&gt;=129,H1483&lt;=2176),INDEX(Fields!$K$2:$K$206,MATCH(H1483-129,Fields!$D$2:$D$206,1)),""),"")</f>
        <v/>
      </c>
    </row>
    <row r="1484">
      <c r="A1484" t="n">
        <v>1482</v>
      </c>
      <c r="B1484" t="n">
        <v>1</v>
      </c>
      <c r="C1484" t="inlineStr">
        <is>
          <t>No</t>
        </is>
      </c>
      <c r="D1484">
        <f>IF(AND(B1479=1,B1480=1,B1481=1,B1482=1,B1483=1),"Yes","")</f>
        <v/>
      </c>
      <c r="E1484" t="inlineStr">
        <is>
          <t>No</t>
        </is>
      </c>
      <c r="F1484" t="inlineStr">
        <is>
          <t>No</t>
        </is>
      </c>
      <c r="G1484">
        <f>IF(F1484="Yes",1-B1484,B1484)</f>
        <v/>
      </c>
      <c r="H1484">
        <f>IF(E1484="Yes","",COUNTIFS($E$2:E1484,"No"))</f>
        <v/>
      </c>
      <c r="I1484">
        <f>IF(H1484="","",IF(H1484&lt;=128,"address",IF(H1484&lt;=600,"data1",IF(H1484&lt;=1264,"zero-run1",IF(H1484&lt;=1648,"data2",IF(H1484&lt;=2176,"zero-run2",IF(H1484&lt;=2192,"FCS","trailing")))))))</f>
        <v/>
      </c>
      <c r="J1484">
        <f>IFERROR(IF(AND(H1484&lt;&gt;"",H1484&gt;=129,H1484&lt;=2176),INDEX(Fields!$B$2:$B$206,MATCH(H1484-129,Fields!$D$2:$D$206,1)),""),"")</f>
        <v/>
      </c>
      <c r="K1484">
        <f>IFERROR(IF(AND(H1484&lt;&gt;"",H1484&gt;=129,H1484&lt;=2176),INDEX(Fields!$C$2:$C$206,MATCH(H1484-129,Fields!$D$2:$D$206,1)),""),"")</f>
        <v/>
      </c>
      <c r="L1484">
        <f>IFERROR(IF(AND(H1484&lt;&gt;"",H1484&gt;=129,H1484&lt;=2176),INDEX(Fields!$J$2:$J$206,MATCH(H1484-129,Fields!$D$2:$D$206,1)),""),"")</f>
        <v/>
      </c>
      <c r="M1484">
        <f>IFERROR(IF(AND(H1484&lt;&gt;"",H1484&gt;=129,H1484&lt;=2176),INDEX(Fields!$K$2:$K$206,MATCH(H1484-129,Fields!$D$2:$D$206,1)),""),"")</f>
        <v/>
      </c>
    </row>
    <row r="1485">
      <c r="A1485" t="n">
        <v>1483</v>
      </c>
      <c r="B1485" t="n">
        <v>0</v>
      </c>
      <c r="C1485" t="inlineStr">
        <is>
          <t>No</t>
        </is>
      </c>
      <c r="D1485">
        <f>IF(AND(B1480=1,B1481=1,B1482=1,B1483=1,B1484=1),"Yes","")</f>
        <v/>
      </c>
      <c r="E1485" t="inlineStr">
        <is>
          <t>No</t>
        </is>
      </c>
      <c r="F1485" t="inlineStr">
        <is>
          <t>No</t>
        </is>
      </c>
      <c r="G1485">
        <f>IF(F1485="Yes",1-B1485,B1485)</f>
        <v/>
      </c>
      <c r="H1485">
        <f>IF(E1485="Yes","",COUNTIFS($E$2:E1485,"No"))</f>
        <v/>
      </c>
      <c r="I1485">
        <f>IF(H1485="","",IF(H1485&lt;=128,"address",IF(H1485&lt;=600,"data1",IF(H1485&lt;=1264,"zero-run1",IF(H1485&lt;=1648,"data2",IF(H1485&lt;=2176,"zero-run2",IF(H1485&lt;=2192,"FCS","trailing")))))))</f>
        <v/>
      </c>
      <c r="J1485">
        <f>IFERROR(IF(AND(H1485&lt;&gt;"",H1485&gt;=129,H1485&lt;=2176),INDEX(Fields!$B$2:$B$206,MATCH(H1485-129,Fields!$D$2:$D$206,1)),""),"")</f>
        <v/>
      </c>
      <c r="K1485">
        <f>IFERROR(IF(AND(H1485&lt;&gt;"",H1485&gt;=129,H1485&lt;=2176),INDEX(Fields!$C$2:$C$206,MATCH(H1485-129,Fields!$D$2:$D$206,1)),""),"")</f>
        <v/>
      </c>
      <c r="L1485">
        <f>IFERROR(IF(AND(H1485&lt;&gt;"",H1485&gt;=129,H1485&lt;=2176),INDEX(Fields!$J$2:$J$206,MATCH(H1485-129,Fields!$D$2:$D$206,1)),""),"")</f>
        <v/>
      </c>
      <c r="M1485">
        <f>IFERROR(IF(AND(H1485&lt;&gt;"",H1485&gt;=129,H1485&lt;=2176),INDEX(Fields!$K$2:$K$206,MATCH(H1485-129,Fields!$D$2:$D$206,1)),""),"")</f>
        <v/>
      </c>
    </row>
    <row r="1486">
      <c r="A1486" t="n">
        <v>1484</v>
      </c>
      <c r="B1486" t="n">
        <v>1</v>
      </c>
      <c r="C1486" t="inlineStr">
        <is>
          <t>No</t>
        </is>
      </c>
      <c r="D1486">
        <f>IF(AND(B1481=1,B1482=1,B1483=1,B1484=1,B1485=1),"Yes","")</f>
        <v/>
      </c>
      <c r="E1486" t="inlineStr">
        <is>
          <t>No</t>
        </is>
      </c>
      <c r="F1486" t="inlineStr">
        <is>
          <t>No</t>
        </is>
      </c>
      <c r="G1486">
        <f>IF(F1486="Yes",1-B1486,B1486)</f>
        <v/>
      </c>
      <c r="H1486">
        <f>IF(E1486="Yes","",COUNTIFS($E$2:E1486,"No"))</f>
        <v/>
      </c>
      <c r="I1486">
        <f>IF(H1486="","",IF(H1486&lt;=128,"address",IF(H1486&lt;=600,"data1",IF(H1486&lt;=1264,"zero-run1",IF(H1486&lt;=1648,"data2",IF(H1486&lt;=2176,"zero-run2",IF(H1486&lt;=2192,"FCS","trailing")))))))</f>
        <v/>
      </c>
      <c r="J1486">
        <f>IFERROR(IF(AND(H1486&lt;&gt;"",H1486&gt;=129,H1486&lt;=2176),INDEX(Fields!$B$2:$B$206,MATCH(H1486-129,Fields!$D$2:$D$206,1)),""),"")</f>
        <v/>
      </c>
      <c r="K1486">
        <f>IFERROR(IF(AND(H1486&lt;&gt;"",H1486&gt;=129,H1486&lt;=2176),INDEX(Fields!$C$2:$C$206,MATCH(H1486-129,Fields!$D$2:$D$206,1)),""),"")</f>
        <v/>
      </c>
      <c r="L1486">
        <f>IFERROR(IF(AND(H1486&lt;&gt;"",H1486&gt;=129,H1486&lt;=2176),INDEX(Fields!$J$2:$J$206,MATCH(H1486-129,Fields!$D$2:$D$206,1)),""),"")</f>
        <v/>
      </c>
      <c r="M1486">
        <f>IFERROR(IF(AND(H1486&lt;&gt;"",H1486&gt;=129,H1486&lt;=2176),INDEX(Fields!$K$2:$K$206,MATCH(H1486-129,Fields!$D$2:$D$206,1)),""),"")</f>
        <v/>
      </c>
    </row>
    <row r="1487">
      <c r="A1487" t="n">
        <v>1485</v>
      </c>
      <c r="B1487" t="n">
        <v>0</v>
      </c>
      <c r="C1487" t="inlineStr">
        <is>
          <t>No</t>
        </is>
      </c>
      <c r="D1487">
        <f>IF(AND(B1482=1,B1483=1,B1484=1,B1485=1,B1486=1),"Yes","")</f>
        <v/>
      </c>
      <c r="E1487" t="inlineStr">
        <is>
          <t>No</t>
        </is>
      </c>
      <c r="F1487" t="inlineStr">
        <is>
          <t>No</t>
        </is>
      </c>
      <c r="G1487">
        <f>IF(F1487="Yes",1-B1487,B1487)</f>
        <v/>
      </c>
      <c r="H1487">
        <f>IF(E1487="Yes","",COUNTIFS($E$2:E1487,"No"))</f>
        <v/>
      </c>
      <c r="I1487">
        <f>IF(H1487="","",IF(H1487&lt;=128,"address",IF(H1487&lt;=600,"data1",IF(H1487&lt;=1264,"zero-run1",IF(H1487&lt;=1648,"data2",IF(H1487&lt;=2176,"zero-run2",IF(H1487&lt;=2192,"FCS","trailing")))))))</f>
        <v/>
      </c>
      <c r="J1487">
        <f>IFERROR(IF(AND(H1487&lt;&gt;"",H1487&gt;=129,H1487&lt;=2176),INDEX(Fields!$B$2:$B$206,MATCH(H1487-129,Fields!$D$2:$D$206,1)),""),"")</f>
        <v/>
      </c>
      <c r="K1487">
        <f>IFERROR(IF(AND(H1487&lt;&gt;"",H1487&gt;=129,H1487&lt;=2176),INDEX(Fields!$C$2:$C$206,MATCH(H1487-129,Fields!$D$2:$D$206,1)),""),"")</f>
        <v/>
      </c>
      <c r="L1487">
        <f>IFERROR(IF(AND(H1487&lt;&gt;"",H1487&gt;=129,H1487&lt;=2176),INDEX(Fields!$J$2:$J$206,MATCH(H1487-129,Fields!$D$2:$D$206,1)),""),"")</f>
        <v/>
      </c>
      <c r="M1487">
        <f>IFERROR(IF(AND(H1487&lt;&gt;"",H1487&gt;=129,H1487&lt;=2176),INDEX(Fields!$K$2:$K$206,MATCH(H1487-129,Fields!$D$2:$D$206,1)),""),"")</f>
        <v/>
      </c>
    </row>
    <row r="1488">
      <c r="A1488" t="n">
        <v>1486</v>
      </c>
      <c r="B1488" t="n">
        <v>0</v>
      </c>
      <c r="C1488" t="inlineStr">
        <is>
          <t>No</t>
        </is>
      </c>
      <c r="D1488">
        <f>IF(AND(B1483=1,B1484=1,B1485=1,B1486=1,B1487=1),"Yes","")</f>
        <v/>
      </c>
      <c r="E1488" t="inlineStr">
        <is>
          <t>No</t>
        </is>
      </c>
      <c r="F1488" t="inlineStr">
        <is>
          <t>No</t>
        </is>
      </c>
      <c r="G1488">
        <f>IF(F1488="Yes",1-B1488,B1488)</f>
        <v/>
      </c>
      <c r="H1488">
        <f>IF(E1488="Yes","",COUNTIFS($E$2:E1488,"No"))</f>
        <v/>
      </c>
      <c r="I1488">
        <f>IF(H1488="","",IF(H1488&lt;=128,"address",IF(H1488&lt;=600,"data1",IF(H1488&lt;=1264,"zero-run1",IF(H1488&lt;=1648,"data2",IF(H1488&lt;=2176,"zero-run2",IF(H1488&lt;=2192,"FCS","trailing")))))))</f>
        <v/>
      </c>
      <c r="J1488">
        <f>IFERROR(IF(AND(H1488&lt;&gt;"",H1488&gt;=129,H1488&lt;=2176),INDEX(Fields!$B$2:$B$206,MATCH(H1488-129,Fields!$D$2:$D$206,1)),""),"")</f>
        <v/>
      </c>
      <c r="K1488">
        <f>IFERROR(IF(AND(H1488&lt;&gt;"",H1488&gt;=129,H1488&lt;=2176),INDEX(Fields!$C$2:$C$206,MATCH(H1488-129,Fields!$D$2:$D$206,1)),""),"")</f>
        <v/>
      </c>
      <c r="L1488">
        <f>IFERROR(IF(AND(H1488&lt;&gt;"",H1488&gt;=129,H1488&lt;=2176),INDEX(Fields!$J$2:$J$206,MATCH(H1488-129,Fields!$D$2:$D$206,1)),""),"")</f>
        <v/>
      </c>
      <c r="M1488">
        <f>IFERROR(IF(AND(H1488&lt;&gt;"",H1488&gt;=129,H1488&lt;=2176),INDEX(Fields!$K$2:$K$206,MATCH(H1488-129,Fields!$D$2:$D$206,1)),""),"")</f>
        <v/>
      </c>
    </row>
    <row r="1489">
      <c r="A1489" t="n">
        <v>1487</v>
      </c>
      <c r="B1489" t="n">
        <v>0</v>
      </c>
      <c r="C1489" t="inlineStr">
        <is>
          <t>No</t>
        </is>
      </c>
      <c r="D1489">
        <f>IF(AND(B1484=1,B1485=1,B1486=1,B1487=1,B1488=1),"Yes","")</f>
        <v/>
      </c>
      <c r="E1489" t="inlineStr">
        <is>
          <t>No</t>
        </is>
      </c>
      <c r="F1489" t="inlineStr">
        <is>
          <t>No</t>
        </is>
      </c>
      <c r="G1489">
        <f>IF(F1489="Yes",1-B1489,B1489)</f>
        <v/>
      </c>
      <c r="H1489">
        <f>IF(E1489="Yes","",COUNTIFS($E$2:E1489,"No"))</f>
        <v/>
      </c>
      <c r="I1489">
        <f>IF(H1489="","",IF(H1489&lt;=128,"address",IF(H1489&lt;=600,"data1",IF(H1489&lt;=1264,"zero-run1",IF(H1489&lt;=1648,"data2",IF(H1489&lt;=2176,"zero-run2",IF(H1489&lt;=2192,"FCS","trailing")))))))</f>
        <v/>
      </c>
      <c r="J1489">
        <f>IFERROR(IF(AND(H1489&lt;&gt;"",H1489&gt;=129,H1489&lt;=2176),INDEX(Fields!$B$2:$B$206,MATCH(H1489-129,Fields!$D$2:$D$206,1)),""),"")</f>
        <v/>
      </c>
      <c r="K1489">
        <f>IFERROR(IF(AND(H1489&lt;&gt;"",H1489&gt;=129,H1489&lt;=2176),INDEX(Fields!$C$2:$C$206,MATCH(H1489-129,Fields!$D$2:$D$206,1)),""),"")</f>
        <v/>
      </c>
      <c r="L1489">
        <f>IFERROR(IF(AND(H1489&lt;&gt;"",H1489&gt;=129,H1489&lt;=2176),INDEX(Fields!$J$2:$J$206,MATCH(H1489-129,Fields!$D$2:$D$206,1)),""),"")</f>
        <v/>
      </c>
      <c r="M1489">
        <f>IFERROR(IF(AND(H1489&lt;&gt;"",H1489&gt;=129,H1489&lt;=2176),INDEX(Fields!$K$2:$K$206,MATCH(H1489-129,Fields!$D$2:$D$206,1)),""),"")</f>
        <v/>
      </c>
    </row>
    <row r="1490">
      <c r="A1490" t="n">
        <v>1488</v>
      </c>
      <c r="B1490" t="n">
        <v>0</v>
      </c>
      <c r="C1490" t="inlineStr">
        <is>
          <t>No</t>
        </is>
      </c>
      <c r="D1490">
        <f>IF(AND(B1485=1,B1486=1,B1487=1,B1488=1,B1489=1),"Yes","")</f>
        <v/>
      </c>
      <c r="E1490" t="inlineStr">
        <is>
          <t>No</t>
        </is>
      </c>
      <c r="F1490" t="inlineStr">
        <is>
          <t>No</t>
        </is>
      </c>
      <c r="G1490">
        <f>IF(F1490="Yes",1-B1490,B1490)</f>
        <v/>
      </c>
      <c r="H1490">
        <f>IF(E1490="Yes","",COUNTIFS($E$2:E1490,"No"))</f>
        <v/>
      </c>
      <c r="I1490">
        <f>IF(H1490="","",IF(H1490&lt;=128,"address",IF(H1490&lt;=600,"data1",IF(H1490&lt;=1264,"zero-run1",IF(H1490&lt;=1648,"data2",IF(H1490&lt;=2176,"zero-run2",IF(H1490&lt;=2192,"FCS","trailing")))))))</f>
        <v/>
      </c>
      <c r="J1490">
        <f>IFERROR(IF(AND(H1490&lt;&gt;"",H1490&gt;=129,H1490&lt;=2176),INDEX(Fields!$B$2:$B$206,MATCH(H1490-129,Fields!$D$2:$D$206,1)),""),"")</f>
        <v/>
      </c>
      <c r="K1490">
        <f>IFERROR(IF(AND(H1490&lt;&gt;"",H1490&gt;=129,H1490&lt;=2176),INDEX(Fields!$C$2:$C$206,MATCH(H1490-129,Fields!$D$2:$D$206,1)),""),"")</f>
        <v/>
      </c>
      <c r="L1490">
        <f>IFERROR(IF(AND(H1490&lt;&gt;"",H1490&gt;=129,H1490&lt;=2176),INDEX(Fields!$J$2:$J$206,MATCH(H1490-129,Fields!$D$2:$D$206,1)),""),"")</f>
        <v/>
      </c>
      <c r="M1490">
        <f>IFERROR(IF(AND(H1490&lt;&gt;"",H1490&gt;=129,H1490&lt;=2176),INDEX(Fields!$K$2:$K$206,MATCH(H1490-129,Fields!$D$2:$D$206,1)),""),"")</f>
        <v/>
      </c>
    </row>
    <row r="1491">
      <c r="A1491" t="n">
        <v>1489</v>
      </c>
      <c r="B1491" t="n">
        <v>0</v>
      </c>
      <c r="C1491" t="inlineStr">
        <is>
          <t>No</t>
        </is>
      </c>
      <c r="D1491">
        <f>IF(AND(B1486=1,B1487=1,B1488=1,B1489=1,B1490=1),"Yes","")</f>
        <v/>
      </c>
      <c r="E1491" t="inlineStr">
        <is>
          <t>No</t>
        </is>
      </c>
      <c r="F1491" t="inlineStr">
        <is>
          <t>No</t>
        </is>
      </c>
      <c r="G1491">
        <f>IF(F1491="Yes",1-B1491,B1491)</f>
        <v/>
      </c>
      <c r="H1491">
        <f>IF(E1491="Yes","",COUNTIFS($E$2:E1491,"No"))</f>
        <v/>
      </c>
      <c r="I1491">
        <f>IF(H1491="","",IF(H1491&lt;=128,"address",IF(H1491&lt;=600,"data1",IF(H1491&lt;=1264,"zero-run1",IF(H1491&lt;=1648,"data2",IF(H1491&lt;=2176,"zero-run2",IF(H1491&lt;=2192,"FCS","trailing")))))))</f>
        <v/>
      </c>
      <c r="J1491">
        <f>IFERROR(IF(AND(H1491&lt;&gt;"",H1491&gt;=129,H1491&lt;=2176),INDEX(Fields!$B$2:$B$206,MATCH(H1491-129,Fields!$D$2:$D$206,1)),""),"")</f>
        <v/>
      </c>
      <c r="K1491">
        <f>IFERROR(IF(AND(H1491&lt;&gt;"",H1491&gt;=129,H1491&lt;=2176),INDEX(Fields!$C$2:$C$206,MATCH(H1491-129,Fields!$D$2:$D$206,1)),""),"")</f>
        <v/>
      </c>
      <c r="L1491">
        <f>IFERROR(IF(AND(H1491&lt;&gt;"",H1491&gt;=129,H1491&lt;=2176),INDEX(Fields!$J$2:$J$206,MATCH(H1491-129,Fields!$D$2:$D$206,1)),""),"")</f>
        <v/>
      </c>
      <c r="M1491">
        <f>IFERROR(IF(AND(H1491&lt;&gt;"",H1491&gt;=129,H1491&lt;=2176),INDEX(Fields!$K$2:$K$206,MATCH(H1491-129,Fields!$D$2:$D$206,1)),""),"")</f>
        <v/>
      </c>
    </row>
    <row r="1492">
      <c r="A1492" t="n">
        <v>1490</v>
      </c>
      <c r="B1492" t="n">
        <v>0</v>
      </c>
      <c r="C1492" t="inlineStr">
        <is>
          <t>No</t>
        </is>
      </c>
      <c r="D1492">
        <f>IF(AND(B1487=1,B1488=1,B1489=1,B1490=1,B1491=1),"Yes","")</f>
        <v/>
      </c>
      <c r="E1492" t="inlineStr">
        <is>
          <t>No</t>
        </is>
      </c>
      <c r="F1492" t="inlineStr">
        <is>
          <t>No</t>
        </is>
      </c>
      <c r="G1492">
        <f>IF(F1492="Yes",1-B1492,B1492)</f>
        <v/>
      </c>
      <c r="H1492">
        <f>IF(E1492="Yes","",COUNTIFS($E$2:E1492,"No"))</f>
        <v/>
      </c>
      <c r="I1492">
        <f>IF(H1492="","",IF(H1492&lt;=128,"address",IF(H1492&lt;=600,"data1",IF(H1492&lt;=1264,"zero-run1",IF(H1492&lt;=1648,"data2",IF(H1492&lt;=2176,"zero-run2",IF(H1492&lt;=2192,"FCS","trailing")))))))</f>
        <v/>
      </c>
      <c r="J1492">
        <f>IFERROR(IF(AND(H1492&lt;&gt;"",H1492&gt;=129,H1492&lt;=2176),INDEX(Fields!$B$2:$B$206,MATCH(H1492-129,Fields!$D$2:$D$206,1)),""),"")</f>
        <v/>
      </c>
      <c r="K1492">
        <f>IFERROR(IF(AND(H1492&lt;&gt;"",H1492&gt;=129,H1492&lt;=2176),INDEX(Fields!$C$2:$C$206,MATCH(H1492-129,Fields!$D$2:$D$206,1)),""),"")</f>
        <v/>
      </c>
      <c r="L1492">
        <f>IFERROR(IF(AND(H1492&lt;&gt;"",H1492&gt;=129,H1492&lt;=2176),INDEX(Fields!$J$2:$J$206,MATCH(H1492-129,Fields!$D$2:$D$206,1)),""),"")</f>
        <v/>
      </c>
      <c r="M1492">
        <f>IFERROR(IF(AND(H1492&lt;&gt;"",H1492&gt;=129,H1492&lt;=2176),INDEX(Fields!$K$2:$K$206,MATCH(H1492-129,Fields!$D$2:$D$206,1)),""),"")</f>
        <v/>
      </c>
    </row>
    <row r="1493">
      <c r="A1493" t="n">
        <v>1491</v>
      </c>
      <c r="B1493" t="n">
        <v>1</v>
      </c>
      <c r="C1493" t="inlineStr">
        <is>
          <t>No</t>
        </is>
      </c>
      <c r="D1493">
        <f>IF(AND(B1488=1,B1489=1,B1490=1,B1491=1,B1492=1),"Yes","")</f>
        <v/>
      </c>
      <c r="E1493" t="inlineStr">
        <is>
          <t>No</t>
        </is>
      </c>
      <c r="F1493" t="inlineStr">
        <is>
          <t>No</t>
        </is>
      </c>
      <c r="G1493">
        <f>IF(F1493="Yes",1-B1493,B1493)</f>
        <v/>
      </c>
      <c r="H1493">
        <f>IF(E1493="Yes","",COUNTIFS($E$2:E1493,"No"))</f>
        <v/>
      </c>
      <c r="I1493">
        <f>IF(H1493="","",IF(H1493&lt;=128,"address",IF(H1493&lt;=600,"data1",IF(H1493&lt;=1264,"zero-run1",IF(H1493&lt;=1648,"data2",IF(H1493&lt;=2176,"zero-run2",IF(H1493&lt;=2192,"FCS","trailing")))))))</f>
        <v/>
      </c>
      <c r="J1493">
        <f>IFERROR(IF(AND(H1493&lt;&gt;"",H1493&gt;=129,H1493&lt;=2176),INDEX(Fields!$B$2:$B$206,MATCH(H1493-129,Fields!$D$2:$D$206,1)),""),"")</f>
        <v/>
      </c>
      <c r="K1493">
        <f>IFERROR(IF(AND(H1493&lt;&gt;"",H1493&gt;=129,H1493&lt;=2176),INDEX(Fields!$C$2:$C$206,MATCH(H1493-129,Fields!$D$2:$D$206,1)),""),"")</f>
        <v/>
      </c>
      <c r="L1493">
        <f>IFERROR(IF(AND(H1493&lt;&gt;"",H1493&gt;=129,H1493&lt;=2176),INDEX(Fields!$J$2:$J$206,MATCH(H1493-129,Fields!$D$2:$D$206,1)),""),"")</f>
        <v/>
      </c>
      <c r="M1493">
        <f>IFERROR(IF(AND(H1493&lt;&gt;"",H1493&gt;=129,H1493&lt;=2176),INDEX(Fields!$K$2:$K$206,MATCH(H1493-129,Fields!$D$2:$D$206,1)),""),"")</f>
        <v/>
      </c>
    </row>
    <row r="1494">
      <c r="A1494" t="n">
        <v>1492</v>
      </c>
      <c r="B1494" t="n">
        <v>1</v>
      </c>
      <c r="C1494" t="inlineStr">
        <is>
          <t>No</t>
        </is>
      </c>
      <c r="D1494">
        <f>IF(AND(B1489=1,B1490=1,B1491=1,B1492=1,B1493=1),"Yes","")</f>
        <v/>
      </c>
      <c r="E1494" t="inlineStr">
        <is>
          <t>No</t>
        </is>
      </c>
      <c r="F1494" t="inlineStr">
        <is>
          <t>No</t>
        </is>
      </c>
      <c r="G1494">
        <f>IF(F1494="Yes",1-B1494,B1494)</f>
        <v/>
      </c>
      <c r="H1494">
        <f>IF(E1494="Yes","",COUNTIFS($E$2:E1494,"No"))</f>
        <v/>
      </c>
      <c r="I1494">
        <f>IF(H1494="","",IF(H1494&lt;=128,"address",IF(H1494&lt;=600,"data1",IF(H1494&lt;=1264,"zero-run1",IF(H1494&lt;=1648,"data2",IF(H1494&lt;=2176,"zero-run2",IF(H1494&lt;=2192,"FCS","trailing")))))))</f>
        <v/>
      </c>
      <c r="J1494">
        <f>IFERROR(IF(AND(H1494&lt;&gt;"",H1494&gt;=129,H1494&lt;=2176),INDEX(Fields!$B$2:$B$206,MATCH(H1494-129,Fields!$D$2:$D$206,1)),""),"")</f>
        <v/>
      </c>
      <c r="K1494">
        <f>IFERROR(IF(AND(H1494&lt;&gt;"",H1494&gt;=129,H1494&lt;=2176),INDEX(Fields!$C$2:$C$206,MATCH(H1494-129,Fields!$D$2:$D$206,1)),""),"")</f>
        <v/>
      </c>
      <c r="L1494">
        <f>IFERROR(IF(AND(H1494&lt;&gt;"",H1494&gt;=129,H1494&lt;=2176),INDEX(Fields!$J$2:$J$206,MATCH(H1494-129,Fields!$D$2:$D$206,1)),""),"")</f>
        <v/>
      </c>
      <c r="M1494">
        <f>IFERROR(IF(AND(H1494&lt;&gt;"",H1494&gt;=129,H1494&lt;=2176),INDEX(Fields!$K$2:$K$206,MATCH(H1494-129,Fields!$D$2:$D$206,1)),""),"")</f>
        <v/>
      </c>
    </row>
    <row r="1495">
      <c r="A1495" t="n">
        <v>1493</v>
      </c>
      <c r="B1495" t="n">
        <v>1</v>
      </c>
      <c r="C1495" t="inlineStr">
        <is>
          <t>No</t>
        </is>
      </c>
      <c r="D1495">
        <f>IF(AND(B1490=1,B1491=1,B1492=1,B1493=1,B1494=1),"Yes","")</f>
        <v/>
      </c>
      <c r="E1495" t="inlineStr">
        <is>
          <t>No</t>
        </is>
      </c>
      <c r="F1495" t="inlineStr">
        <is>
          <t>No</t>
        </is>
      </c>
      <c r="G1495">
        <f>IF(F1495="Yes",1-B1495,B1495)</f>
        <v/>
      </c>
      <c r="H1495">
        <f>IF(E1495="Yes","",COUNTIFS($E$2:E1495,"No"))</f>
        <v/>
      </c>
      <c r="I1495">
        <f>IF(H1495="","",IF(H1495&lt;=128,"address",IF(H1495&lt;=600,"data1",IF(H1495&lt;=1264,"zero-run1",IF(H1495&lt;=1648,"data2",IF(H1495&lt;=2176,"zero-run2",IF(H1495&lt;=2192,"FCS","trailing")))))))</f>
        <v/>
      </c>
      <c r="J1495">
        <f>IFERROR(IF(AND(H1495&lt;&gt;"",H1495&gt;=129,H1495&lt;=2176),INDEX(Fields!$B$2:$B$206,MATCH(H1495-129,Fields!$D$2:$D$206,1)),""),"")</f>
        <v/>
      </c>
      <c r="K1495">
        <f>IFERROR(IF(AND(H1495&lt;&gt;"",H1495&gt;=129,H1495&lt;=2176),INDEX(Fields!$C$2:$C$206,MATCH(H1495-129,Fields!$D$2:$D$206,1)),""),"")</f>
        <v/>
      </c>
      <c r="L1495">
        <f>IFERROR(IF(AND(H1495&lt;&gt;"",H1495&gt;=129,H1495&lt;=2176),INDEX(Fields!$J$2:$J$206,MATCH(H1495-129,Fields!$D$2:$D$206,1)),""),"")</f>
        <v/>
      </c>
      <c r="M1495">
        <f>IFERROR(IF(AND(H1495&lt;&gt;"",H1495&gt;=129,H1495&lt;=2176),INDEX(Fields!$K$2:$K$206,MATCH(H1495-129,Fields!$D$2:$D$206,1)),""),"")</f>
        <v/>
      </c>
    </row>
    <row r="1496">
      <c r="A1496" t="n">
        <v>1494</v>
      </c>
      <c r="B1496" t="n">
        <v>1</v>
      </c>
      <c r="C1496" t="inlineStr">
        <is>
          <t>No</t>
        </is>
      </c>
      <c r="D1496">
        <f>IF(AND(B1491=1,B1492=1,B1493=1,B1494=1,B1495=1),"Yes","")</f>
        <v/>
      </c>
      <c r="E1496" t="inlineStr">
        <is>
          <t>No</t>
        </is>
      </c>
      <c r="F1496" t="inlineStr">
        <is>
          <t>No</t>
        </is>
      </c>
      <c r="G1496">
        <f>IF(F1496="Yes",1-B1496,B1496)</f>
        <v/>
      </c>
      <c r="H1496">
        <f>IF(E1496="Yes","",COUNTIFS($E$2:E1496,"No"))</f>
        <v/>
      </c>
      <c r="I1496">
        <f>IF(H1496="","",IF(H1496&lt;=128,"address",IF(H1496&lt;=600,"data1",IF(H1496&lt;=1264,"zero-run1",IF(H1496&lt;=1648,"data2",IF(H1496&lt;=2176,"zero-run2",IF(H1496&lt;=2192,"FCS","trailing")))))))</f>
        <v/>
      </c>
      <c r="J1496">
        <f>IFERROR(IF(AND(H1496&lt;&gt;"",H1496&gt;=129,H1496&lt;=2176),INDEX(Fields!$B$2:$B$206,MATCH(H1496-129,Fields!$D$2:$D$206,1)),""),"")</f>
        <v/>
      </c>
      <c r="K1496">
        <f>IFERROR(IF(AND(H1496&lt;&gt;"",H1496&gt;=129,H1496&lt;=2176),INDEX(Fields!$C$2:$C$206,MATCH(H1496-129,Fields!$D$2:$D$206,1)),""),"")</f>
        <v/>
      </c>
      <c r="L1496">
        <f>IFERROR(IF(AND(H1496&lt;&gt;"",H1496&gt;=129,H1496&lt;=2176),INDEX(Fields!$J$2:$J$206,MATCH(H1496-129,Fields!$D$2:$D$206,1)),""),"")</f>
        <v/>
      </c>
      <c r="M1496">
        <f>IFERROR(IF(AND(H1496&lt;&gt;"",H1496&gt;=129,H1496&lt;=2176),INDEX(Fields!$K$2:$K$206,MATCH(H1496-129,Fields!$D$2:$D$206,1)),""),"")</f>
        <v/>
      </c>
    </row>
    <row r="1497">
      <c r="A1497" t="n">
        <v>1495</v>
      </c>
      <c r="B1497" t="n">
        <v>0</v>
      </c>
      <c r="C1497" t="inlineStr">
        <is>
          <t>No</t>
        </is>
      </c>
      <c r="D1497">
        <f>IF(AND(B1492=1,B1493=1,B1494=1,B1495=1,B1496=1),"Yes","")</f>
        <v/>
      </c>
      <c r="E1497" t="inlineStr">
        <is>
          <t>No</t>
        </is>
      </c>
      <c r="F1497" t="inlineStr">
        <is>
          <t>No</t>
        </is>
      </c>
      <c r="G1497">
        <f>IF(F1497="Yes",1-B1497,B1497)</f>
        <v/>
      </c>
      <c r="H1497">
        <f>IF(E1497="Yes","",COUNTIFS($E$2:E1497,"No"))</f>
        <v/>
      </c>
      <c r="I1497">
        <f>IF(H1497="","",IF(H1497&lt;=128,"address",IF(H1497&lt;=600,"data1",IF(H1497&lt;=1264,"zero-run1",IF(H1497&lt;=1648,"data2",IF(H1497&lt;=2176,"zero-run2",IF(H1497&lt;=2192,"FCS","trailing")))))))</f>
        <v/>
      </c>
      <c r="J1497">
        <f>IFERROR(IF(AND(H1497&lt;&gt;"",H1497&gt;=129,H1497&lt;=2176),INDEX(Fields!$B$2:$B$206,MATCH(H1497-129,Fields!$D$2:$D$206,1)),""),"")</f>
        <v/>
      </c>
      <c r="K1497">
        <f>IFERROR(IF(AND(H1497&lt;&gt;"",H1497&gt;=129,H1497&lt;=2176),INDEX(Fields!$C$2:$C$206,MATCH(H1497-129,Fields!$D$2:$D$206,1)),""),"")</f>
        <v/>
      </c>
      <c r="L1497">
        <f>IFERROR(IF(AND(H1497&lt;&gt;"",H1497&gt;=129,H1497&lt;=2176),INDEX(Fields!$J$2:$J$206,MATCH(H1497-129,Fields!$D$2:$D$206,1)),""),"")</f>
        <v/>
      </c>
      <c r="M1497">
        <f>IFERROR(IF(AND(H1497&lt;&gt;"",H1497&gt;=129,H1497&lt;=2176),INDEX(Fields!$K$2:$K$206,MATCH(H1497-129,Fields!$D$2:$D$206,1)),""),"")</f>
        <v/>
      </c>
    </row>
    <row r="1498">
      <c r="A1498" t="n">
        <v>1496</v>
      </c>
      <c r="B1498" t="n">
        <v>0</v>
      </c>
      <c r="C1498" t="inlineStr">
        <is>
          <t>No</t>
        </is>
      </c>
      <c r="D1498">
        <f>IF(AND(B1493=1,B1494=1,B1495=1,B1496=1,B1497=1),"Yes","")</f>
        <v/>
      </c>
      <c r="E1498" t="inlineStr">
        <is>
          <t>No</t>
        </is>
      </c>
      <c r="F1498" t="inlineStr">
        <is>
          <t>No</t>
        </is>
      </c>
      <c r="G1498">
        <f>IF(F1498="Yes",1-B1498,B1498)</f>
        <v/>
      </c>
      <c r="H1498">
        <f>IF(E1498="Yes","",COUNTIFS($E$2:E1498,"No"))</f>
        <v/>
      </c>
      <c r="I1498">
        <f>IF(H1498="","",IF(H1498&lt;=128,"address",IF(H1498&lt;=600,"data1",IF(H1498&lt;=1264,"zero-run1",IF(H1498&lt;=1648,"data2",IF(H1498&lt;=2176,"zero-run2",IF(H1498&lt;=2192,"FCS","trailing")))))))</f>
        <v/>
      </c>
      <c r="J1498">
        <f>IFERROR(IF(AND(H1498&lt;&gt;"",H1498&gt;=129,H1498&lt;=2176),INDEX(Fields!$B$2:$B$206,MATCH(H1498-129,Fields!$D$2:$D$206,1)),""),"")</f>
        <v/>
      </c>
      <c r="K1498">
        <f>IFERROR(IF(AND(H1498&lt;&gt;"",H1498&gt;=129,H1498&lt;=2176),INDEX(Fields!$C$2:$C$206,MATCH(H1498-129,Fields!$D$2:$D$206,1)),""),"")</f>
        <v/>
      </c>
      <c r="L1498">
        <f>IFERROR(IF(AND(H1498&lt;&gt;"",H1498&gt;=129,H1498&lt;=2176),INDEX(Fields!$J$2:$J$206,MATCH(H1498-129,Fields!$D$2:$D$206,1)),""),"")</f>
        <v/>
      </c>
      <c r="M1498">
        <f>IFERROR(IF(AND(H1498&lt;&gt;"",H1498&gt;=129,H1498&lt;=2176),INDEX(Fields!$K$2:$K$206,MATCH(H1498-129,Fields!$D$2:$D$206,1)),""),"")</f>
        <v/>
      </c>
    </row>
    <row r="1499">
      <c r="A1499" t="n">
        <v>1497</v>
      </c>
      <c r="B1499" t="n">
        <v>0</v>
      </c>
      <c r="C1499" t="inlineStr">
        <is>
          <t>No</t>
        </is>
      </c>
      <c r="D1499">
        <f>IF(AND(B1494=1,B1495=1,B1496=1,B1497=1,B1498=1),"Yes","")</f>
        <v/>
      </c>
      <c r="E1499" t="inlineStr">
        <is>
          <t>No</t>
        </is>
      </c>
      <c r="F1499" t="inlineStr">
        <is>
          <t>No</t>
        </is>
      </c>
      <c r="G1499">
        <f>IF(F1499="Yes",1-B1499,B1499)</f>
        <v/>
      </c>
      <c r="H1499">
        <f>IF(E1499="Yes","",COUNTIFS($E$2:E1499,"No"))</f>
        <v/>
      </c>
      <c r="I1499">
        <f>IF(H1499="","",IF(H1499&lt;=128,"address",IF(H1499&lt;=600,"data1",IF(H1499&lt;=1264,"zero-run1",IF(H1499&lt;=1648,"data2",IF(H1499&lt;=2176,"zero-run2",IF(H1499&lt;=2192,"FCS","trailing")))))))</f>
        <v/>
      </c>
      <c r="J1499">
        <f>IFERROR(IF(AND(H1499&lt;&gt;"",H1499&gt;=129,H1499&lt;=2176),INDEX(Fields!$B$2:$B$206,MATCH(H1499-129,Fields!$D$2:$D$206,1)),""),"")</f>
        <v/>
      </c>
      <c r="K1499">
        <f>IFERROR(IF(AND(H1499&lt;&gt;"",H1499&gt;=129,H1499&lt;=2176),INDEX(Fields!$C$2:$C$206,MATCH(H1499-129,Fields!$D$2:$D$206,1)),""),"")</f>
        <v/>
      </c>
      <c r="L1499">
        <f>IFERROR(IF(AND(H1499&lt;&gt;"",H1499&gt;=129,H1499&lt;=2176),INDEX(Fields!$J$2:$J$206,MATCH(H1499-129,Fields!$D$2:$D$206,1)),""),"")</f>
        <v/>
      </c>
      <c r="M1499">
        <f>IFERROR(IF(AND(H1499&lt;&gt;"",H1499&gt;=129,H1499&lt;=2176),INDEX(Fields!$K$2:$K$206,MATCH(H1499-129,Fields!$D$2:$D$206,1)),""),"")</f>
        <v/>
      </c>
    </row>
    <row r="1500">
      <c r="A1500" t="n">
        <v>1498</v>
      </c>
      <c r="B1500" t="n">
        <v>1</v>
      </c>
      <c r="C1500" t="inlineStr">
        <is>
          <t>No</t>
        </is>
      </c>
      <c r="D1500">
        <f>IF(AND(B1495=1,B1496=1,B1497=1,B1498=1,B1499=1),"Yes","")</f>
        <v/>
      </c>
      <c r="E1500" t="inlineStr">
        <is>
          <t>No</t>
        </is>
      </c>
      <c r="F1500" t="inlineStr">
        <is>
          <t>No</t>
        </is>
      </c>
      <c r="G1500">
        <f>IF(F1500="Yes",1-B1500,B1500)</f>
        <v/>
      </c>
      <c r="H1500">
        <f>IF(E1500="Yes","",COUNTIFS($E$2:E1500,"No"))</f>
        <v/>
      </c>
      <c r="I1500">
        <f>IF(H1500="","",IF(H1500&lt;=128,"address",IF(H1500&lt;=600,"data1",IF(H1500&lt;=1264,"zero-run1",IF(H1500&lt;=1648,"data2",IF(H1500&lt;=2176,"zero-run2",IF(H1500&lt;=2192,"FCS","trailing")))))))</f>
        <v/>
      </c>
      <c r="J1500">
        <f>IFERROR(IF(AND(H1500&lt;&gt;"",H1500&gt;=129,H1500&lt;=2176),INDEX(Fields!$B$2:$B$206,MATCH(H1500-129,Fields!$D$2:$D$206,1)),""),"")</f>
        <v/>
      </c>
      <c r="K1500">
        <f>IFERROR(IF(AND(H1500&lt;&gt;"",H1500&gt;=129,H1500&lt;=2176),INDEX(Fields!$C$2:$C$206,MATCH(H1500-129,Fields!$D$2:$D$206,1)),""),"")</f>
        <v/>
      </c>
      <c r="L1500">
        <f>IFERROR(IF(AND(H1500&lt;&gt;"",H1500&gt;=129,H1500&lt;=2176),INDEX(Fields!$J$2:$J$206,MATCH(H1500-129,Fields!$D$2:$D$206,1)),""),"")</f>
        <v/>
      </c>
      <c r="M1500">
        <f>IFERROR(IF(AND(H1500&lt;&gt;"",H1500&gt;=129,H1500&lt;=2176),INDEX(Fields!$K$2:$K$206,MATCH(H1500-129,Fields!$D$2:$D$206,1)),""),"")</f>
        <v/>
      </c>
    </row>
    <row r="1501">
      <c r="A1501" t="n">
        <v>1499</v>
      </c>
      <c r="B1501" t="n">
        <v>1</v>
      </c>
      <c r="C1501" t="inlineStr">
        <is>
          <t>No</t>
        </is>
      </c>
      <c r="D1501">
        <f>IF(AND(B1496=1,B1497=1,B1498=1,B1499=1,B1500=1),"Yes","")</f>
        <v/>
      </c>
      <c r="E1501" t="inlineStr">
        <is>
          <t>No</t>
        </is>
      </c>
      <c r="F1501" t="inlineStr">
        <is>
          <t>No</t>
        </is>
      </c>
      <c r="G1501">
        <f>IF(F1501="Yes",1-B1501,B1501)</f>
        <v/>
      </c>
      <c r="H1501">
        <f>IF(E1501="Yes","",COUNTIFS($E$2:E1501,"No"))</f>
        <v/>
      </c>
      <c r="I1501">
        <f>IF(H1501="","",IF(H1501&lt;=128,"address",IF(H1501&lt;=600,"data1",IF(H1501&lt;=1264,"zero-run1",IF(H1501&lt;=1648,"data2",IF(H1501&lt;=2176,"zero-run2",IF(H1501&lt;=2192,"FCS","trailing")))))))</f>
        <v/>
      </c>
      <c r="J1501">
        <f>IFERROR(IF(AND(H1501&lt;&gt;"",H1501&gt;=129,H1501&lt;=2176),INDEX(Fields!$B$2:$B$206,MATCH(H1501-129,Fields!$D$2:$D$206,1)),""),"")</f>
        <v/>
      </c>
      <c r="K1501">
        <f>IFERROR(IF(AND(H1501&lt;&gt;"",H1501&gt;=129,H1501&lt;=2176),INDEX(Fields!$C$2:$C$206,MATCH(H1501-129,Fields!$D$2:$D$206,1)),""),"")</f>
        <v/>
      </c>
      <c r="L1501">
        <f>IFERROR(IF(AND(H1501&lt;&gt;"",H1501&gt;=129,H1501&lt;=2176),INDEX(Fields!$J$2:$J$206,MATCH(H1501-129,Fields!$D$2:$D$206,1)),""),"")</f>
        <v/>
      </c>
      <c r="M1501">
        <f>IFERROR(IF(AND(H1501&lt;&gt;"",H1501&gt;=129,H1501&lt;=2176),INDEX(Fields!$K$2:$K$206,MATCH(H1501-129,Fields!$D$2:$D$206,1)),""),"")</f>
        <v/>
      </c>
    </row>
    <row r="1502">
      <c r="A1502" t="n">
        <v>1500</v>
      </c>
      <c r="B1502" t="n">
        <v>1</v>
      </c>
      <c r="C1502" t="inlineStr">
        <is>
          <t>No</t>
        </is>
      </c>
      <c r="D1502">
        <f>IF(AND(B1497=1,B1498=1,B1499=1,B1500=1,B1501=1),"Yes","")</f>
        <v/>
      </c>
      <c r="E1502" t="inlineStr">
        <is>
          <t>No</t>
        </is>
      </c>
      <c r="F1502" t="inlineStr">
        <is>
          <t>No</t>
        </is>
      </c>
      <c r="G1502">
        <f>IF(F1502="Yes",1-B1502,B1502)</f>
        <v/>
      </c>
      <c r="H1502">
        <f>IF(E1502="Yes","",COUNTIFS($E$2:E1502,"No"))</f>
        <v/>
      </c>
      <c r="I1502">
        <f>IF(H1502="","",IF(H1502&lt;=128,"address",IF(H1502&lt;=600,"data1",IF(H1502&lt;=1264,"zero-run1",IF(H1502&lt;=1648,"data2",IF(H1502&lt;=2176,"zero-run2",IF(H1502&lt;=2192,"FCS","trailing")))))))</f>
        <v/>
      </c>
      <c r="J1502">
        <f>IFERROR(IF(AND(H1502&lt;&gt;"",H1502&gt;=129,H1502&lt;=2176),INDEX(Fields!$B$2:$B$206,MATCH(H1502-129,Fields!$D$2:$D$206,1)),""),"")</f>
        <v/>
      </c>
      <c r="K1502">
        <f>IFERROR(IF(AND(H1502&lt;&gt;"",H1502&gt;=129,H1502&lt;=2176),INDEX(Fields!$C$2:$C$206,MATCH(H1502-129,Fields!$D$2:$D$206,1)),""),"")</f>
        <v/>
      </c>
      <c r="L1502">
        <f>IFERROR(IF(AND(H1502&lt;&gt;"",H1502&gt;=129,H1502&lt;=2176),INDEX(Fields!$J$2:$J$206,MATCH(H1502-129,Fields!$D$2:$D$206,1)),""),"")</f>
        <v/>
      </c>
      <c r="M1502">
        <f>IFERROR(IF(AND(H1502&lt;&gt;"",H1502&gt;=129,H1502&lt;=2176),INDEX(Fields!$K$2:$K$206,MATCH(H1502-129,Fields!$D$2:$D$206,1)),""),"")</f>
        <v/>
      </c>
    </row>
    <row r="1503">
      <c r="A1503" t="n">
        <v>1501</v>
      </c>
      <c r="B1503" t="n">
        <v>0</v>
      </c>
      <c r="C1503" t="inlineStr">
        <is>
          <t>No</t>
        </is>
      </c>
      <c r="D1503">
        <f>IF(AND(B1498=1,B1499=1,B1500=1,B1501=1,B1502=1),"Yes","")</f>
        <v/>
      </c>
      <c r="E1503" t="inlineStr">
        <is>
          <t>No</t>
        </is>
      </c>
      <c r="F1503" t="inlineStr">
        <is>
          <t>No</t>
        </is>
      </c>
      <c r="G1503">
        <f>IF(F1503="Yes",1-B1503,B1503)</f>
        <v/>
      </c>
      <c r="H1503">
        <f>IF(E1503="Yes","",COUNTIFS($E$2:E1503,"No"))</f>
        <v/>
      </c>
      <c r="I1503">
        <f>IF(H1503="","",IF(H1503&lt;=128,"address",IF(H1503&lt;=600,"data1",IF(H1503&lt;=1264,"zero-run1",IF(H1503&lt;=1648,"data2",IF(H1503&lt;=2176,"zero-run2",IF(H1503&lt;=2192,"FCS","trailing")))))))</f>
        <v/>
      </c>
      <c r="J1503">
        <f>IFERROR(IF(AND(H1503&lt;&gt;"",H1503&gt;=129,H1503&lt;=2176),INDEX(Fields!$B$2:$B$206,MATCH(H1503-129,Fields!$D$2:$D$206,1)),""),"")</f>
        <v/>
      </c>
      <c r="K1503">
        <f>IFERROR(IF(AND(H1503&lt;&gt;"",H1503&gt;=129,H1503&lt;=2176),INDEX(Fields!$C$2:$C$206,MATCH(H1503-129,Fields!$D$2:$D$206,1)),""),"")</f>
        <v/>
      </c>
      <c r="L1503">
        <f>IFERROR(IF(AND(H1503&lt;&gt;"",H1503&gt;=129,H1503&lt;=2176),INDEX(Fields!$J$2:$J$206,MATCH(H1503-129,Fields!$D$2:$D$206,1)),""),"")</f>
        <v/>
      </c>
      <c r="M1503">
        <f>IFERROR(IF(AND(H1503&lt;&gt;"",H1503&gt;=129,H1503&lt;=2176),INDEX(Fields!$K$2:$K$206,MATCH(H1503-129,Fields!$D$2:$D$206,1)),""),"")</f>
        <v/>
      </c>
    </row>
    <row r="1504">
      <c r="A1504" t="n">
        <v>1502</v>
      </c>
      <c r="B1504" t="n">
        <v>0</v>
      </c>
      <c r="C1504" t="inlineStr">
        <is>
          <t>No</t>
        </is>
      </c>
      <c r="D1504">
        <f>IF(AND(B1499=1,B1500=1,B1501=1,B1502=1,B1503=1),"Yes","")</f>
        <v/>
      </c>
      <c r="E1504" t="inlineStr">
        <is>
          <t>No</t>
        </is>
      </c>
      <c r="F1504" t="inlineStr">
        <is>
          <t>No</t>
        </is>
      </c>
      <c r="G1504">
        <f>IF(F1504="Yes",1-B1504,B1504)</f>
        <v/>
      </c>
      <c r="H1504">
        <f>IF(E1504="Yes","",COUNTIFS($E$2:E1504,"No"))</f>
        <v/>
      </c>
      <c r="I1504">
        <f>IF(H1504="","",IF(H1504&lt;=128,"address",IF(H1504&lt;=600,"data1",IF(H1504&lt;=1264,"zero-run1",IF(H1504&lt;=1648,"data2",IF(H1504&lt;=2176,"zero-run2",IF(H1504&lt;=2192,"FCS","trailing")))))))</f>
        <v/>
      </c>
      <c r="J1504">
        <f>IFERROR(IF(AND(H1504&lt;&gt;"",H1504&gt;=129,H1504&lt;=2176),INDEX(Fields!$B$2:$B$206,MATCH(H1504-129,Fields!$D$2:$D$206,1)),""),"")</f>
        <v/>
      </c>
      <c r="K1504">
        <f>IFERROR(IF(AND(H1504&lt;&gt;"",H1504&gt;=129,H1504&lt;=2176),INDEX(Fields!$C$2:$C$206,MATCH(H1504-129,Fields!$D$2:$D$206,1)),""),"")</f>
        <v/>
      </c>
      <c r="L1504">
        <f>IFERROR(IF(AND(H1504&lt;&gt;"",H1504&gt;=129,H1504&lt;=2176),INDEX(Fields!$J$2:$J$206,MATCH(H1504-129,Fields!$D$2:$D$206,1)),""),"")</f>
        <v/>
      </c>
      <c r="M1504">
        <f>IFERROR(IF(AND(H1504&lt;&gt;"",H1504&gt;=129,H1504&lt;=2176),INDEX(Fields!$K$2:$K$206,MATCH(H1504-129,Fields!$D$2:$D$206,1)),""),"")</f>
        <v/>
      </c>
    </row>
    <row r="1505">
      <c r="A1505" t="n">
        <v>1503</v>
      </c>
      <c r="B1505" t="n">
        <v>0</v>
      </c>
      <c r="C1505" t="inlineStr">
        <is>
          <t>No</t>
        </is>
      </c>
      <c r="D1505">
        <f>IF(AND(B1500=1,B1501=1,B1502=1,B1503=1,B1504=1),"Yes","")</f>
        <v/>
      </c>
      <c r="E1505" t="inlineStr">
        <is>
          <t>No</t>
        </is>
      </c>
      <c r="F1505" t="inlineStr">
        <is>
          <t>No</t>
        </is>
      </c>
      <c r="G1505">
        <f>IF(F1505="Yes",1-B1505,B1505)</f>
        <v/>
      </c>
      <c r="H1505">
        <f>IF(E1505="Yes","",COUNTIFS($E$2:E1505,"No"))</f>
        <v/>
      </c>
      <c r="I1505">
        <f>IF(H1505="","",IF(H1505&lt;=128,"address",IF(H1505&lt;=600,"data1",IF(H1505&lt;=1264,"zero-run1",IF(H1505&lt;=1648,"data2",IF(H1505&lt;=2176,"zero-run2",IF(H1505&lt;=2192,"FCS","trailing")))))))</f>
        <v/>
      </c>
      <c r="J1505">
        <f>IFERROR(IF(AND(H1505&lt;&gt;"",H1505&gt;=129,H1505&lt;=2176),INDEX(Fields!$B$2:$B$206,MATCH(H1505-129,Fields!$D$2:$D$206,1)),""),"")</f>
        <v/>
      </c>
      <c r="K1505">
        <f>IFERROR(IF(AND(H1505&lt;&gt;"",H1505&gt;=129,H1505&lt;=2176),INDEX(Fields!$C$2:$C$206,MATCH(H1505-129,Fields!$D$2:$D$206,1)),""),"")</f>
        <v/>
      </c>
      <c r="L1505">
        <f>IFERROR(IF(AND(H1505&lt;&gt;"",H1505&gt;=129,H1505&lt;=2176),INDEX(Fields!$J$2:$J$206,MATCH(H1505-129,Fields!$D$2:$D$206,1)),""),"")</f>
        <v/>
      </c>
      <c r="M1505">
        <f>IFERROR(IF(AND(H1505&lt;&gt;"",H1505&gt;=129,H1505&lt;=2176),INDEX(Fields!$K$2:$K$206,MATCH(H1505-129,Fields!$D$2:$D$206,1)),""),"")</f>
        <v/>
      </c>
    </row>
    <row r="1506">
      <c r="A1506" t="n">
        <v>1504</v>
      </c>
      <c r="B1506" t="n">
        <v>1</v>
      </c>
      <c r="C1506" t="inlineStr">
        <is>
          <t>No</t>
        </is>
      </c>
      <c r="D1506">
        <f>IF(AND(B1501=1,B1502=1,B1503=1,B1504=1,B1505=1),"Yes","")</f>
        <v/>
      </c>
      <c r="E1506" t="inlineStr">
        <is>
          <t>No</t>
        </is>
      </c>
      <c r="F1506" t="inlineStr">
        <is>
          <t>No</t>
        </is>
      </c>
      <c r="G1506">
        <f>IF(F1506="Yes",1-B1506,B1506)</f>
        <v/>
      </c>
      <c r="H1506">
        <f>IF(E1506="Yes","",COUNTIFS($E$2:E1506,"No"))</f>
        <v/>
      </c>
      <c r="I1506">
        <f>IF(H1506="","",IF(H1506&lt;=128,"address",IF(H1506&lt;=600,"data1",IF(H1506&lt;=1264,"zero-run1",IF(H1506&lt;=1648,"data2",IF(H1506&lt;=2176,"zero-run2",IF(H1506&lt;=2192,"FCS","trailing")))))))</f>
        <v/>
      </c>
      <c r="J1506">
        <f>IFERROR(IF(AND(H1506&lt;&gt;"",H1506&gt;=129,H1506&lt;=2176),INDEX(Fields!$B$2:$B$206,MATCH(H1506-129,Fields!$D$2:$D$206,1)),""),"")</f>
        <v/>
      </c>
      <c r="K1506">
        <f>IFERROR(IF(AND(H1506&lt;&gt;"",H1506&gt;=129,H1506&lt;=2176),INDEX(Fields!$C$2:$C$206,MATCH(H1506-129,Fields!$D$2:$D$206,1)),""),"")</f>
        <v/>
      </c>
      <c r="L1506">
        <f>IFERROR(IF(AND(H1506&lt;&gt;"",H1506&gt;=129,H1506&lt;=2176),INDEX(Fields!$J$2:$J$206,MATCH(H1506-129,Fields!$D$2:$D$206,1)),""),"")</f>
        <v/>
      </c>
      <c r="M1506">
        <f>IFERROR(IF(AND(H1506&lt;&gt;"",H1506&gt;=129,H1506&lt;=2176),INDEX(Fields!$K$2:$K$206,MATCH(H1506-129,Fields!$D$2:$D$206,1)),""),"")</f>
        <v/>
      </c>
    </row>
    <row r="1507">
      <c r="A1507" t="n">
        <v>1505</v>
      </c>
      <c r="B1507" t="n">
        <v>0</v>
      </c>
      <c r="C1507" t="inlineStr">
        <is>
          <t>No</t>
        </is>
      </c>
      <c r="D1507">
        <f>IF(AND(B1502=1,B1503=1,B1504=1,B1505=1,B1506=1),"Yes","")</f>
        <v/>
      </c>
      <c r="E1507" t="inlineStr">
        <is>
          <t>No</t>
        </is>
      </c>
      <c r="F1507" t="inlineStr">
        <is>
          <t>No</t>
        </is>
      </c>
      <c r="G1507">
        <f>IF(F1507="Yes",1-B1507,B1507)</f>
        <v/>
      </c>
      <c r="H1507">
        <f>IF(E1507="Yes","",COUNTIFS($E$2:E1507,"No"))</f>
        <v/>
      </c>
      <c r="I1507">
        <f>IF(H1507="","",IF(H1507&lt;=128,"address",IF(H1507&lt;=600,"data1",IF(H1507&lt;=1264,"zero-run1",IF(H1507&lt;=1648,"data2",IF(H1507&lt;=2176,"zero-run2",IF(H1507&lt;=2192,"FCS","trailing")))))))</f>
        <v/>
      </c>
      <c r="J1507">
        <f>IFERROR(IF(AND(H1507&lt;&gt;"",H1507&gt;=129,H1507&lt;=2176),INDEX(Fields!$B$2:$B$206,MATCH(H1507-129,Fields!$D$2:$D$206,1)),""),"")</f>
        <v/>
      </c>
      <c r="K1507">
        <f>IFERROR(IF(AND(H1507&lt;&gt;"",H1507&gt;=129,H1507&lt;=2176),INDEX(Fields!$C$2:$C$206,MATCH(H1507-129,Fields!$D$2:$D$206,1)),""),"")</f>
        <v/>
      </c>
      <c r="L1507">
        <f>IFERROR(IF(AND(H1507&lt;&gt;"",H1507&gt;=129,H1507&lt;=2176),INDEX(Fields!$J$2:$J$206,MATCH(H1507-129,Fields!$D$2:$D$206,1)),""),"")</f>
        <v/>
      </c>
      <c r="M1507">
        <f>IFERROR(IF(AND(H1507&lt;&gt;"",H1507&gt;=129,H1507&lt;=2176),INDEX(Fields!$K$2:$K$206,MATCH(H1507-129,Fields!$D$2:$D$206,1)),""),"")</f>
        <v/>
      </c>
    </row>
    <row r="1508">
      <c r="A1508" t="n">
        <v>1506</v>
      </c>
      <c r="B1508" t="n">
        <v>0</v>
      </c>
      <c r="C1508" t="inlineStr">
        <is>
          <t>No</t>
        </is>
      </c>
      <c r="D1508">
        <f>IF(AND(B1503=1,B1504=1,B1505=1,B1506=1,B1507=1),"Yes","")</f>
        <v/>
      </c>
      <c r="E1508" t="inlineStr">
        <is>
          <t>No</t>
        </is>
      </c>
      <c r="F1508" t="inlineStr">
        <is>
          <t>No</t>
        </is>
      </c>
      <c r="G1508">
        <f>IF(F1508="Yes",1-B1508,B1508)</f>
        <v/>
      </c>
      <c r="H1508">
        <f>IF(E1508="Yes","",COUNTIFS($E$2:E1508,"No"))</f>
        <v/>
      </c>
      <c r="I1508">
        <f>IF(H1508="","",IF(H1508&lt;=128,"address",IF(H1508&lt;=600,"data1",IF(H1508&lt;=1264,"zero-run1",IF(H1508&lt;=1648,"data2",IF(H1508&lt;=2176,"zero-run2",IF(H1508&lt;=2192,"FCS","trailing")))))))</f>
        <v/>
      </c>
      <c r="J1508">
        <f>IFERROR(IF(AND(H1508&lt;&gt;"",H1508&gt;=129,H1508&lt;=2176),INDEX(Fields!$B$2:$B$206,MATCH(H1508-129,Fields!$D$2:$D$206,1)),""),"")</f>
        <v/>
      </c>
      <c r="K1508">
        <f>IFERROR(IF(AND(H1508&lt;&gt;"",H1508&gt;=129,H1508&lt;=2176),INDEX(Fields!$C$2:$C$206,MATCH(H1508-129,Fields!$D$2:$D$206,1)),""),"")</f>
        <v/>
      </c>
      <c r="L1508">
        <f>IFERROR(IF(AND(H1508&lt;&gt;"",H1508&gt;=129,H1508&lt;=2176),INDEX(Fields!$J$2:$J$206,MATCH(H1508-129,Fields!$D$2:$D$206,1)),""),"")</f>
        <v/>
      </c>
      <c r="M1508">
        <f>IFERROR(IF(AND(H1508&lt;&gt;"",H1508&gt;=129,H1508&lt;=2176),INDEX(Fields!$K$2:$K$206,MATCH(H1508-129,Fields!$D$2:$D$206,1)),""),"")</f>
        <v/>
      </c>
    </row>
    <row r="1509">
      <c r="A1509" t="n">
        <v>1507</v>
      </c>
      <c r="B1509" t="n">
        <v>0</v>
      </c>
      <c r="C1509" t="inlineStr">
        <is>
          <t>No</t>
        </is>
      </c>
      <c r="D1509">
        <f>IF(AND(B1504=1,B1505=1,B1506=1,B1507=1,B1508=1),"Yes","")</f>
        <v/>
      </c>
      <c r="E1509" t="inlineStr">
        <is>
          <t>No</t>
        </is>
      </c>
      <c r="F1509" t="inlineStr">
        <is>
          <t>No</t>
        </is>
      </c>
      <c r="G1509">
        <f>IF(F1509="Yes",1-B1509,B1509)</f>
        <v/>
      </c>
      <c r="H1509">
        <f>IF(E1509="Yes","",COUNTIFS($E$2:E1509,"No"))</f>
        <v/>
      </c>
      <c r="I1509">
        <f>IF(H1509="","",IF(H1509&lt;=128,"address",IF(H1509&lt;=600,"data1",IF(H1509&lt;=1264,"zero-run1",IF(H1509&lt;=1648,"data2",IF(H1509&lt;=2176,"zero-run2",IF(H1509&lt;=2192,"FCS","trailing")))))))</f>
        <v/>
      </c>
      <c r="J1509">
        <f>IFERROR(IF(AND(H1509&lt;&gt;"",H1509&gt;=129,H1509&lt;=2176),INDEX(Fields!$B$2:$B$206,MATCH(H1509-129,Fields!$D$2:$D$206,1)),""),"")</f>
        <v/>
      </c>
      <c r="K1509">
        <f>IFERROR(IF(AND(H1509&lt;&gt;"",H1509&gt;=129,H1509&lt;=2176),INDEX(Fields!$C$2:$C$206,MATCH(H1509-129,Fields!$D$2:$D$206,1)),""),"")</f>
        <v/>
      </c>
      <c r="L1509">
        <f>IFERROR(IF(AND(H1509&lt;&gt;"",H1509&gt;=129,H1509&lt;=2176),INDEX(Fields!$J$2:$J$206,MATCH(H1509-129,Fields!$D$2:$D$206,1)),""),"")</f>
        <v/>
      </c>
      <c r="M1509">
        <f>IFERROR(IF(AND(H1509&lt;&gt;"",H1509&gt;=129,H1509&lt;=2176),INDEX(Fields!$K$2:$K$206,MATCH(H1509-129,Fields!$D$2:$D$206,1)),""),"")</f>
        <v/>
      </c>
    </row>
    <row r="1510">
      <c r="A1510" t="n">
        <v>1508</v>
      </c>
      <c r="B1510" t="n">
        <v>1</v>
      </c>
      <c r="C1510" t="inlineStr">
        <is>
          <t>No</t>
        </is>
      </c>
      <c r="D1510">
        <f>IF(AND(B1505=1,B1506=1,B1507=1,B1508=1,B1509=1),"Yes","")</f>
        <v/>
      </c>
      <c r="E1510" t="inlineStr">
        <is>
          <t>No</t>
        </is>
      </c>
      <c r="F1510" t="inlineStr">
        <is>
          <t>No</t>
        </is>
      </c>
      <c r="G1510">
        <f>IF(F1510="Yes",1-B1510,B1510)</f>
        <v/>
      </c>
      <c r="H1510">
        <f>IF(E1510="Yes","",COUNTIFS($E$2:E1510,"No"))</f>
        <v/>
      </c>
      <c r="I1510">
        <f>IF(H1510="","",IF(H1510&lt;=128,"address",IF(H1510&lt;=600,"data1",IF(H1510&lt;=1264,"zero-run1",IF(H1510&lt;=1648,"data2",IF(H1510&lt;=2176,"zero-run2",IF(H1510&lt;=2192,"FCS","trailing")))))))</f>
        <v/>
      </c>
      <c r="J1510">
        <f>IFERROR(IF(AND(H1510&lt;&gt;"",H1510&gt;=129,H1510&lt;=2176),INDEX(Fields!$B$2:$B$206,MATCH(H1510-129,Fields!$D$2:$D$206,1)),""),"")</f>
        <v/>
      </c>
      <c r="K1510">
        <f>IFERROR(IF(AND(H1510&lt;&gt;"",H1510&gt;=129,H1510&lt;=2176),INDEX(Fields!$C$2:$C$206,MATCH(H1510-129,Fields!$D$2:$D$206,1)),""),"")</f>
        <v/>
      </c>
      <c r="L1510">
        <f>IFERROR(IF(AND(H1510&lt;&gt;"",H1510&gt;=129,H1510&lt;=2176),INDEX(Fields!$J$2:$J$206,MATCH(H1510-129,Fields!$D$2:$D$206,1)),""),"")</f>
        <v/>
      </c>
      <c r="M1510">
        <f>IFERROR(IF(AND(H1510&lt;&gt;"",H1510&gt;=129,H1510&lt;=2176),INDEX(Fields!$K$2:$K$206,MATCH(H1510-129,Fields!$D$2:$D$206,1)),""),"")</f>
        <v/>
      </c>
    </row>
    <row r="1511">
      <c r="A1511" t="n">
        <v>1509</v>
      </c>
      <c r="B1511" t="n">
        <v>1</v>
      </c>
      <c r="C1511" t="inlineStr">
        <is>
          <t>No</t>
        </is>
      </c>
      <c r="D1511">
        <f>IF(AND(B1506=1,B1507=1,B1508=1,B1509=1,B1510=1),"Yes","")</f>
        <v/>
      </c>
      <c r="E1511" t="inlineStr">
        <is>
          <t>No</t>
        </is>
      </c>
      <c r="F1511" t="inlineStr">
        <is>
          <t>No</t>
        </is>
      </c>
      <c r="G1511">
        <f>IF(F1511="Yes",1-B1511,B1511)</f>
        <v/>
      </c>
      <c r="H1511">
        <f>IF(E1511="Yes","",COUNTIFS($E$2:E1511,"No"))</f>
        <v/>
      </c>
      <c r="I1511">
        <f>IF(H1511="","",IF(H1511&lt;=128,"address",IF(H1511&lt;=600,"data1",IF(H1511&lt;=1264,"zero-run1",IF(H1511&lt;=1648,"data2",IF(H1511&lt;=2176,"zero-run2",IF(H1511&lt;=2192,"FCS","trailing")))))))</f>
        <v/>
      </c>
      <c r="J1511">
        <f>IFERROR(IF(AND(H1511&lt;&gt;"",H1511&gt;=129,H1511&lt;=2176),INDEX(Fields!$B$2:$B$206,MATCH(H1511-129,Fields!$D$2:$D$206,1)),""),"")</f>
        <v/>
      </c>
      <c r="K1511">
        <f>IFERROR(IF(AND(H1511&lt;&gt;"",H1511&gt;=129,H1511&lt;=2176),INDEX(Fields!$C$2:$C$206,MATCH(H1511-129,Fields!$D$2:$D$206,1)),""),"")</f>
        <v/>
      </c>
      <c r="L1511">
        <f>IFERROR(IF(AND(H1511&lt;&gt;"",H1511&gt;=129,H1511&lt;=2176),INDEX(Fields!$J$2:$J$206,MATCH(H1511-129,Fields!$D$2:$D$206,1)),""),"")</f>
        <v/>
      </c>
      <c r="M1511">
        <f>IFERROR(IF(AND(H1511&lt;&gt;"",H1511&gt;=129,H1511&lt;=2176),INDEX(Fields!$K$2:$K$206,MATCH(H1511-129,Fields!$D$2:$D$206,1)),""),"")</f>
        <v/>
      </c>
    </row>
    <row r="1512">
      <c r="A1512" t="n">
        <v>1510</v>
      </c>
      <c r="B1512" t="n">
        <v>1</v>
      </c>
      <c r="C1512" t="inlineStr">
        <is>
          <t>No</t>
        </is>
      </c>
      <c r="D1512">
        <f>IF(AND(B1507=1,B1508=1,B1509=1,B1510=1,B1511=1),"Yes","")</f>
        <v/>
      </c>
      <c r="E1512" t="inlineStr">
        <is>
          <t>No</t>
        </is>
      </c>
      <c r="F1512" t="inlineStr">
        <is>
          <t>No</t>
        </is>
      </c>
      <c r="G1512">
        <f>IF(F1512="Yes",1-B1512,B1512)</f>
        <v/>
      </c>
      <c r="H1512">
        <f>IF(E1512="Yes","",COUNTIFS($E$2:E1512,"No"))</f>
        <v/>
      </c>
      <c r="I1512">
        <f>IF(H1512="","",IF(H1512&lt;=128,"address",IF(H1512&lt;=600,"data1",IF(H1512&lt;=1264,"zero-run1",IF(H1512&lt;=1648,"data2",IF(H1512&lt;=2176,"zero-run2",IF(H1512&lt;=2192,"FCS","trailing")))))))</f>
        <v/>
      </c>
      <c r="J1512">
        <f>IFERROR(IF(AND(H1512&lt;&gt;"",H1512&gt;=129,H1512&lt;=2176),INDEX(Fields!$B$2:$B$206,MATCH(H1512-129,Fields!$D$2:$D$206,1)),""),"")</f>
        <v/>
      </c>
      <c r="K1512">
        <f>IFERROR(IF(AND(H1512&lt;&gt;"",H1512&gt;=129,H1512&lt;=2176),INDEX(Fields!$C$2:$C$206,MATCH(H1512-129,Fields!$D$2:$D$206,1)),""),"")</f>
        <v/>
      </c>
      <c r="L1512">
        <f>IFERROR(IF(AND(H1512&lt;&gt;"",H1512&gt;=129,H1512&lt;=2176),INDEX(Fields!$J$2:$J$206,MATCH(H1512-129,Fields!$D$2:$D$206,1)),""),"")</f>
        <v/>
      </c>
      <c r="M1512">
        <f>IFERROR(IF(AND(H1512&lt;&gt;"",H1512&gt;=129,H1512&lt;=2176),INDEX(Fields!$K$2:$K$206,MATCH(H1512-129,Fields!$D$2:$D$206,1)),""),"")</f>
        <v/>
      </c>
    </row>
    <row r="1513">
      <c r="A1513" t="n">
        <v>1511</v>
      </c>
      <c r="B1513" t="n">
        <v>0</v>
      </c>
      <c r="C1513" t="inlineStr">
        <is>
          <t>No</t>
        </is>
      </c>
      <c r="D1513">
        <f>IF(AND(B1508=1,B1509=1,B1510=1,B1511=1,B1512=1),"Yes","")</f>
        <v/>
      </c>
      <c r="E1513" t="inlineStr">
        <is>
          <t>No</t>
        </is>
      </c>
      <c r="F1513" t="inlineStr">
        <is>
          <t>No</t>
        </is>
      </c>
      <c r="G1513">
        <f>IF(F1513="Yes",1-B1513,B1513)</f>
        <v/>
      </c>
      <c r="H1513">
        <f>IF(E1513="Yes","",COUNTIFS($E$2:E1513,"No"))</f>
        <v/>
      </c>
      <c r="I1513">
        <f>IF(H1513="","",IF(H1513&lt;=128,"address",IF(H1513&lt;=600,"data1",IF(H1513&lt;=1264,"zero-run1",IF(H1513&lt;=1648,"data2",IF(H1513&lt;=2176,"zero-run2",IF(H1513&lt;=2192,"FCS","trailing")))))))</f>
        <v/>
      </c>
      <c r="J1513">
        <f>IFERROR(IF(AND(H1513&lt;&gt;"",H1513&gt;=129,H1513&lt;=2176),INDEX(Fields!$B$2:$B$206,MATCH(H1513-129,Fields!$D$2:$D$206,1)),""),"")</f>
        <v/>
      </c>
      <c r="K1513">
        <f>IFERROR(IF(AND(H1513&lt;&gt;"",H1513&gt;=129,H1513&lt;=2176),INDEX(Fields!$C$2:$C$206,MATCH(H1513-129,Fields!$D$2:$D$206,1)),""),"")</f>
        <v/>
      </c>
      <c r="L1513">
        <f>IFERROR(IF(AND(H1513&lt;&gt;"",H1513&gt;=129,H1513&lt;=2176),INDEX(Fields!$J$2:$J$206,MATCH(H1513-129,Fields!$D$2:$D$206,1)),""),"")</f>
        <v/>
      </c>
      <c r="M1513">
        <f>IFERROR(IF(AND(H1513&lt;&gt;"",H1513&gt;=129,H1513&lt;=2176),INDEX(Fields!$K$2:$K$206,MATCH(H1513-129,Fields!$D$2:$D$206,1)),""),"")</f>
        <v/>
      </c>
    </row>
    <row r="1514">
      <c r="A1514" t="n">
        <v>1512</v>
      </c>
      <c r="B1514" t="n">
        <v>0</v>
      </c>
      <c r="C1514" t="inlineStr">
        <is>
          <t>No</t>
        </is>
      </c>
      <c r="D1514">
        <f>IF(AND(B1509=1,B1510=1,B1511=1,B1512=1,B1513=1),"Yes","")</f>
        <v/>
      </c>
      <c r="E1514" t="inlineStr">
        <is>
          <t>No</t>
        </is>
      </c>
      <c r="F1514" t="inlineStr">
        <is>
          <t>No</t>
        </is>
      </c>
      <c r="G1514">
        <f>IF(F1514="Yes",1-B1514,B1514)</f>
        <v/>
      </c>
      <c r="H1514">
        <f>IF(E1514="Yes","",COUNTIFS($E$2:E1514,"No"))</f>
        <v/>
      </c>
      <c r="I1514">
        <f>IF(H1514="","",IF(H1514&lt;=128,"address",IF(H1514&lt;=600,"data1",IF(H1514&lt;=1264,"zero-run1",IF(H1514&lt;=1648,"data2",IF(H1514&lt;=2176,"zero-run2",IF(H1514&lt;=2192,"FCS","trailing")))))))</f>
        <v/>
      </c>
      <c r="J1514">
        <f>IFERROR(IF(AND(H1514&lt;&gt;"",H1514&gt;=129,H1514&lt;=2176),INDEX(Fields!$B$2:$B$206,MATCH(H1514-129,Fields!$D$2:$D$206,1)),""),"")</f>
        <v/>
      </c>
      <c r="K1514">
        <f>IFERROR(IF(AND(H1514&lt;&gt;"",H1514&gt;=129,H1514&lt;=2176),INDEX(Fields!$C$2:$C$206,MATCH(H1514-129,Fields!$D$2:$D$206,1)),""),"")</f>
        <v/>
      </c>
      <c r="L1514">
        <f>IFERROR(IF(AND(H1514&lt;&gt;"",H1514&gt;=129,H1514&lt;=2176),INDEX(Fields!$J$2:$J$206,MATCH(H1514-129,Fields!$D$2:$D$206,1)),""),"")</f>
        <v/>
      </c>
      <c r="M1514">
        <f>IFERROR(IF(AND(H1514&lt;&gt;"",H1514&gt;=129,H1514&lt;=2176),INDEX(Fields!$K$2:$K$206,MATCH(H1514-129,Fields!$D$2:$D$206,1)),""),"")</f>
        <v/>
      </c>
    </row>
    <row r="1515">
      <c r="A1515" t="n">
        <v>1513</v>
      </c>
      <c r="B1515" t="n">
        <v>0</v>
      </c>
      <c r="C1515" t="inlineStr">
        <is>
          <t>No</t>
        </is>
      </c>
      <c r="D1515">
        <f>IF(AND(B1510=1,B1511=1,B1512=1,B1513=1,B1514=1),"Yes","")</f>
        <v/>
      </c>
      <c r="E1515" t="inlineStr">
        <is>
          <t>No</t>
        </is>
      </c>
      <c r="F1515" t="inlineStr">
        <is>
          <t>No</t>
        </is>
      </c>
      <c r="G1515">
        <f>IF(F1515="Yes",1-B1515,B1515)</f>
        <v/>
      </c>
      <c r="H1515">
        <f>IF(E1515="Yes","",COUNTIFS($E$2:E1515,"No"))</f>
        <v/>
      </c>
      <c r="I1515">
        <f>IF(H1515="","",IF(H1515&lt;=128,"address",IF(H1515&lt;=600,"data1",IF(H1515&lt;=1264,"zero-run1",IF(H1515&lt;=1648,"data2",IF(H1515&lt;=2176,"zero-run2",IF(H1515&lt;=2192,"FCS","trailing")))))))</f>
        <v/>
      </c>
      <c r="J1515">
        <f>IFERROR(IF(AND(H1515&lt;&gt;"",H1515&gt;=129,H1515&lt;=2176),INDEX(Fields!$B$2:$B$206,MATCH(H1515-129,Fields!$D$2:$D$206,1)),""),"")</f>
        <v/>
      </c>
      <c r="K1515">
        <f>IFERROR(IF(AND(H1515&lt;&gt;"",H1515&gt;=129,H1515&lt;=2176),INDEX(Fields!$C$2:$C$206,MATCH(H1515-129,Fields!$D$2:$D$206,1)),""),"")</f>
        <v/>
      </c>
      <c r="L1515">
        <f>IFERROR(IF(AND(H1515&lt;&gt;"",H1515&gt;=129,H1515&lt;=2176),INDEX(Fields!$J$2:$J$206,MATCH(H1515-129,Fields!$D$2:$D$206,1)),""),"")</f>
        <v/>
      </c>
      <c r="M1515">
        <f>IFERROR(IF(AND(H1515&lt;&gt;"",H1515&gt;=129,H1515&lt;=2176),INDEX(Fields!$K$2:$K$206,MATCH(H1515-129,Fields!$D$2:$D$206,1)),""),"")</f>
        <v/>
      </c>
    </row>
    <row r="1516">
      <c r="A1516" t="n">
        <v>1514</v>
      </c>
      <c r="B1516" t="n">
        <v>0</v>
      </c>
      <c r="C1516" t="inlineStr">
        <is>
          <t>No</t>
        </is>
      </c>
      <c r="D1516">
        <f>IF(AND(B1511=1,B1512=1,B1513=1,B1514=1,B1515=1),"Yes","")</f>
        <v/>
      </c>
      <c r="E1516" t="inlineStr">
        <is>
          <t>No</t>
        </is>
      </c>
      <c r="F1516" t="inlineStr">
        <is>
          <t>No</t>
        </is>
      </c>
      <c r="G1516">
        <f>IF(F1516="Yes",1-B1516,B1516)</f>
        <v/>
      </c>
      <c r="H1516">
        <f>IF(E1516="Yes","",COUNTIFS($E$2:E1516,"No"))</f>
        <v/>
      </c>
      <c r="I1516">
        <f>IF(H1516="","",IF(H1516&lt;=128,"address",IF(H1516&lt;=600,"data1",IF(H1516&lt;=1264,"zero-run1",IF(H1516&lt;=1648,"data2",IF(H1516&lt;=2176,"zero-run2",IF(H1516&lt;=2192,"FCS","trailing")))))))</f>
        <v/>
      </c>
      <c r="J1516">
        <f>IFERROR(IF(AND(H1516&lt;&gt;"",H1516&gt;=129,H1516&lt;=2176),INDEX(Fields!$B$2:$B$206,MATCH(H1516-129,Fields!$D$2:$D$206,1)),""),"")</f>
        <v/>
      </c>
      <c r="K1516">
        <f>IFERROR(IF(AND(H1516&lt;&gt;"",H1516&gt;=129,H1516&lt;=2176),INDEX(Fields!$C$2:$C$206,MATCH(H1516-129,Fields!$D$2:$D$206,1)),""),"")</f>
        <v/>
      </c>
      <c r="L1516">
        <f>IFERROR(IF(AND(H1516&lt;&gt;"",H1516&gt;=129,H1516&lt;=2176),INDEX(Fields!$J$2:$J$206,MATCH(H1516-129,Fields!$D$2:$D$206,1)),""),"")</f>
        <v/>
      </c>
      <c r="M1516">
        <f>IFERROR(IF(AND(H1516&lt;&gt;"",H1516&gt;=129,H1516&lt;=2176),INDEX(Fields!$K$2:$K$206,MATCH(H1516-129,Fields!$D$2:$D$206,1)),""),"")</f>
        <v/>
      </c>
    </row>
    <row r="1517">
      <c r="A1517" t="n">
        <v>1515</v>
      </c>
      <c r="B1517" t="n">
        <v>1</v>
      </c>
      <c r="C1517" s="4" t="inlineStr">
        <is>
          <t>Yes</t>
        </is>
      </c>
      <c r="D1517">
        <f>IF(AND(B1512=1,B1513=1,B1514=1,B1515=1,B1516=1),"Yes","")</f>
        <v/>
      </c>
      <c r="E1517" t="inlineStr">
        <is>
          <t>No</t>
        </is>
      </c>
      <c r="F1517" t="inlineStr">
        <is>
          <t>No</t>
        </is>
      </c>
      <c r="G1517">
        <f>IF(F1517="Yes",1-B1517,B1517)</f>
        <v/>
      </c>
      <c r="H1517">
        <f>IF(E1517="Yes","",COUNTIFS($E$2:E1517,"No"))</f>
        <v/>
      </c>
      <c r="I1517">
        <f>IF(H1517="","",IF(H1517&lt;=128,"address",IF(H1517&lt;=600,"data1",IF(H1517&lt;=1264,"zero-run1",IF(H1517&lt;=1648,"data2",IF(H1517&lt;=2176,"zero-run2",IF(H1517&lt;=2192,"FCS","trailing")))))))</f>
        <v/>
      </c>
      <c r="J1517">
        <f>IFERROR(IF(AND(H1517&lt;&gt;"",H1517&gt;=129,H1517&lt;=2176),INDEX(Fields!$B$2:$B$206,MATCH(H1517-129,Fields!$D$2:$D$206,1)),""),"")</f>
        <v/>
      </c>
      <c r="K1517">
        <f>IFERROR(IF(AND(H1517&lt;&gt;"",H1517&gt;=129,H1517&lt;=2176),INDEX(Fields!$C$2:$C$206,MATCH(H1517-129,Fields!$D$2:$D$206,1)),""),"")</f>
        <v/>
      </c>
      <c r="L1517">
        <f>IFERROR(IF(AND(H1517&lt;&gt;"",H1517&gt;=129,H1517&lt;=2176),INDEX(Fields!$J$2:$J$206,MATCH(H1517-129,Fields!$D$2:$D$206,1)),""),"")</f>
        <v/>
      </c>
      <c r="M1517">
        <f>IFERROR(IF(AND(H1517&lt;&gt;"",H1517&gt;=129,H1517&lt;=2176),INDEX(Fields!$K$2:$K$206,MATCH(H1517-129,Fields!$D$2:$D$206,1)),""),"")</f>
        <v/>
      </c>
    </row>
    <row r="1518">
      <c r="A1518" t="n">
        <v>1516</v>
      </c>
      <c r="B1518" t="n">
        <v>1</v>
      </c>
      <c r="C1518" t="inlineStr">
        <is>
          <t>No</t>
        </is>
      </c>
      <c r="D1518">
        <f>IF(AND(B1513=1,B1514=1,B1515=1,B1516=1,B1517=1),"Yes","")</f>
        <v/>
      </c>
      <c r="E1518" t="inlineStr">
        <is>
          <t>No</t>
        </is>
      </c>
      <c r="F1518" t="inlineStr">
        <is>
          <t>No</t>
        </is>
      </c>
      <c r="G1518">
        <f>IF(F1518="Yes",1-B1518,B1518)</f>
        <v/>
      </c>
      <c r="H1518">
        <f>IF(E1518="Yes","",COUNTIFS($E$2:E1518,"No"))</f>
        <v/>
      </c>
      <c r="I1518">
        <f>IF(H1518="","",IF(H1518&lt;=128,"address",IF(H1518&lt;=600,"data1",IF(H1518&lt;=1264,"zero-run1",IF(H1518&lt;=1648,"data2",IF(H1518&lt;=2176,"zero-run2",IF(H1518&lt;=2192,"FCS","trailing")))))))</f>
        <v/>
      </c>
      <c r="J1518">
        <f>IFERROR(IF(AND(H1518&lt;&gt;"",H1518&gt;=129,H1518&lt;=2176),INDEX(Fields!$B$2:$B$206,MATCH(H1518-129,Fields!$D$2:$D$206,1)),""),"")</f>
        <v/>
      </c>
      <c r="K1518">
        <f>IFERROR(IF(AND(H1518&lt;&gt;"",H1518&gt;=129,H1518&lt;=2176),INDEX(Fields!$C$2:$C$206,MATCH(H1518-129,Fields!$D$2:$D$206,1)),""),"")</f>
        <v/>
      </c>
      <c r="L1518">
        <f>IFERROR(IF(AND(H1518&lt;&gt;"",H1518&gt;=129,H1518&lt;=2176),INDEX(Fields!$J$2:$J$206,MATCH(H1518-129,Fields!$D$2:$D$206,1)),""),"")</f>
        <v/>
      </c>
      <c r="M1518">
        <f>IFERROR(IF(AND(H1518&lt;&gt;"",H1518&gt;=129,H1518&lt;=2176),INDEX(Fields!$K$2:$K$206,MATCH(H1518-129,Fields!$D$2:$D$206,1)),""),"")</f>
        <v/>
      </c>
    </row>
    <row r="1519">
      <c r="A1519" t="n">
        <v>1517</v>
      </c>
      <c r="B1519" t="n">
        <v>1</v>
      </c>
      <c r="C1519" t="inlineStr">
        <is>
          <t>No</t>
        </is>
      </c>
      <c r="D1519">
        <f>IF(AND(B1514=1,B1515=1,B1516=1,B1517=1,B1518=1),"Yes","")</f>
        <v/>
      </c>
      <c r="E1519" t="inlineStr">
        <is>
          <t>No</t>
        </is>
      </c>
      <c r="F1519" t="inlineStr">
        <is>
          <t>No</t>
        </is>
      </c>
      <c r="G1519">
        <f>IF(F1519="Yes",1-B1519,B1519)</f>
        <v/>
      </c>
      <c r="H1519">
        <f>IF(E1519="Yes","",COUNTIFS($E$2:E1519,"No"))</f>
        <v/>
      </c>
      <c r="I1519">
        <f>IF(H1519="","",IF(H1519&lt;=128,"address",IF(H1519&lt;=600,"data1",IF(H1519&lt;=1264,"zero-run1",IF(H1519&lt;=1648,"data2",IF(H1519&lt;=2176,"zero-run2",IF(H1519&lt;=2192,"FCS","trailing")))))))</f>
        <v/>
      </c>
      <c r="J1519">
        <f>IFERROR(IF(AND(H1519&lt;&gt;"",H1519&gt;=129,H1519&lt;=2176),INDEX(Fields!$B$2:$B$206,MATCH(H1519-129,Fields!$D$2:$D$206,1)),""),"")</f>
        <v/>
      </c>
      <c r="K1519">
        <f>IFERROR(IF(AND(H1519&lt;&gt;"",H1519&gt;=129,H1519&lt;=2176),INDEX(Fields!$C$2:$C$206,MATCH(H1519-129,Fields!$D$2:$D$206,1)),""),"")</f>
        <v/>
      </c>
      <c r="L1519">
        <f>IFERROR(IF(AND(H1519&lt;&gt;"",H1519&gt;=129,H1519&lt;=2176),INDEX(Fields!$J$2:$J$206,MATCH(H1519-129,Fields!$D$2:$D$206,1)),""),"")</f>
        <v/>
      </c>
      <c r="M1519">
        <f>IFERROR(IF(AND(H1519&lt;&gt;"",H1519&gt;=129,H1519&lt;=2176),INDEX(Fields!$K$2:$K$206,MATCH(H1519-129,Fields!$D$2:$D$206,1)),""),"")</f>
        <v/>
      </c>
    </row>
    <row r="1520">
      <c r="A1520" t="n">
        <v>1518</v>
      </c>
      <c r="B1520" t="n">
        <v>1</v>
      </c>
      <c r="C1520" t="inlineStr">
        <is>
          <t>No</t>
        </is>
      </c>
      <c r="D1520">
        <f>IF(AND(B1515=1,B1516=1,B1517=1,B1518=1,B1519=1),"Yes","")</f>
        <v/>
      </c>
      <c r="E1520" t="inlineStr">
        <is>
          <t>No</t>
        </is>
      </c>
      <c r="F1520" t="inlineStr">
        <is>
          <t>No</t>
        </is>
      </c>
      <c r="G1520">
        <f>IF(F1520="Yes",1-B1520,B1520)</f>
        <v/>
      </c>
      <c r="H1520">
        <f>IF(E1520="Yes","",COUNTIFS($E$2:E1520,"No"))</f>
        <v/>
      </c>
      <c r="I1520">
        <f>IF(H1520="","",IF(H1520&lt;=128,"address",IF(H1520&lt;=600,"data1",IF(H1520&lt;=1264,"zero-run1",IF(H1520&lt;=1648,"data2",IF(H1520&lt;=2176,"zero-run2",IF(H1520&lt;=2192,"FCS","trailing")))))))</f>
        <v/>
      </c>
      <c r="J1520">
        <f>IFERROR(IF(AND(H1520&lt;&gt;"",H1520&gt;=129,H1520&lt;=2176),INDEX(Fields!$B$2:$B$206,MATCH(H1520-129,Fields!$D$2:$D$206,1)),""),"")</f>
        <v/>
      </c>
      <c r="K1520">
        <f>IFERROR(IF(AND(H1520&lt;&gt;"",H1520&gt;=129,H1520&lt;=2176),INDEX(Fields!$C$2:$C$206,MATCH(H1520-129,Fields!$D$2:$D$206,1)),""),"")</f>
        <v/>
      </c>
      <c r="L1520">
        <f>IFERROR(IF(AND(H1520&lt;&gt;"",H1520&gt;=129,H1520&lt;=2176),INDEX(Fields!$J$2:$J$206,MATCH(H1520-129,Fields!$D$2:$D$206,1)),""),"")</f>
        <v/>
      </c>
      <c r="M1520">
        <f>IFERROR(IF(AND(H1520&lt;&gt;"",H1520&gt;=129,H1520&lt;=2176),INDEX(Fields!$K$2:$K$206,MATCH(H1520-129,Fields!$D$2:$D$206,1)),""),"")</f>
        <v/>
      </c>
    </row>
    <row r="1521">
      <c r="A1521" t="n">
        <v>1519</v>
      </c>
      <c r="B1521" t="n">
        <v>0</v>
      </c>
      <c r="C1521" t="inlineStr">
        <is>
          <t>No</t>
        </is>
      </c>
      <c r="D1521">
        <f>IF(AND(B1516=1,B1517=1,B1518=1,B1519=1,B1520=1),"Yes","")</f>
        <v/>
      </c>
      <c r="E1521" t="inlineStr">
        <is>
          <t>No</t>
        </is>
      </c>
      <c r="F1521" t="inlineStr">
        <is>
          <t>No</t>
        </is>
      </c>
      <c r="G1521">
        <f>IF(F1521="Yes",1-B1521,B1521)</f>
        <v/>
      </c>
      <c r="H1521">
        <f>IF(E1521="Yes","",COUNTIFS($E$2:E1521,"No"))</f>
        <v/>
      </c>
      <c r="I1521">
        <f>IF(H1521="","",IF(H1521&lt;=128,"address",IF(H1521&lt;=600,"data1",IF(H1521&lt;=1264,"zero-run1",IF(H1521&lt;=1648,"data2",IF(H1521&lt;=2176,"zero-run2",IF(H1521&lt;=2192,"FCS","trailing")))))))</f>
        <v/>
      </c>
      <c r="J1521">
        <f>IFERROR(IF(AND(H1521&lt;&gt;"",H1521&gt;=129,H1521&lt;=2176),INDEX(Fields!$B$2:$B$206,MATCH(H1521-129,Fields!$D$2:$D$206,1)),""),"")</f>
        <v/>
      </c>
      <c r="K1521">
        <f>IFERROR(IF(AND(H1521&lt;&gt;"",H1521&gt;=129,H1521&lt;=2176),INDEX(Fields!$C$2:$C$206,MATCH(H1521-129,Fields!$D$2:$D$206,1)),""),"")</f>
        <v/>
      </c>
      <c r="L1521">
        <f>IFERROR(IF(AND(H1521&lt;&gt;"",H1521&gt;=129,H1521&lt;=2176),INDEX(Fields!$J$2:$J$206,MATCH(H1521-129,Fields!$D$2:$D$206,1)),""),"")</f>
        <v/>
      </c>
      <c r="M1521">
        <f>IFERROR(IF(AND(H1521&lt;&gt;"",H1521&gt;=129,H1521&lt;=2176),INDEX(Fields!$K$2:$K$206,MATCH(H1521-129,Fields!$D$2:$D$206,1)),""),"")</f>
        <v/>
      </c>
    </row>
    <row r="1522">
      <c r="A1522" t="n">
        <v>1520</v>
      </c>
      <c r="B1522" t="n">
        <v>0</v>
      </c>
      <c r="C1522" t="inlineStr">
        <is>
          <t>No</t>
        </is>
      </c>
      <c r="D1522">
        <f>IF(AND(B1517=1,B1518=1,B1519=1,B1520=1,B1521=1),"Yes","")</f>
        <v/>
      </c>
      <c r="E1522" t="inlineStr">
        <is>
          <t>No</t>
        </is>
      </c>
      <c r="F1522" t="inlineStr">
        <is>
          <t>No</t>
        </is>
      </c>
      <c r="G1522">
        <f>IF(F1522="Yes",1-B1522,B1522)</f>
        <v/>
      </c>
      <c r="H1522">
        <f>IF(E1522="Yes","",COUNTIFS($E$2:E1522,"No"))</f>
        <v/>
      </c>
      <c r="I1522">
        <f>IF(H1522="","",IF(H1522&lt;=128,"address",IF(H1522&lt;=600,"data1",IF(H1522&lt;=1264,"zero-run1",IF(H1522&lt;=1648,"data2",IF(H1522&lt;=2176,"zero-run2",IF(H1522&lt;=2192,"FCS","trailing")))))))</f>
        <v/>
      </c>
      <c r="J1522">
        <f>IFERROR(IF(AND(H1522&lt;&gt;"",H1522&gt;=129,H1522&lt;=2176),INDEX(Fields!$B$2:$B$206,MATCH(H1522-129,Fields!$D$2:$D$206,1)),""),"")</f>
        <v/>
      </c>
      <c r="K1522">
        <f>IFERROR(IF(AND(H1522&lt;&gt;"",H1522&gt;=129,H1522&lt;=2176),INDEX(Fields!$C$2:$C$206,MATCH(H1522-129,Fields!$D$2:$D$206,1)),""),"")</f>
        <v/>
      </c>
      <c r="L1522">
        <f>IFERROR(IF(AND(H1522&lt;&gt;"",H1522&gt;=129,H1522&lt;=2176),INDEX(Fields!$J$2:$J$206,MATCH(H1522-129,Fields!$D$2:$D$206,1)),""),"")</f>
        <v/>
      </c>
      <c r="M1522">
        <f>IFERROR(IF(AND(H1522&lt;&gt;"",H1522&gt;=129,H1522&lt;=2176),INDEX(Fields!$K$2:$K$206,MATCH(H1522-129,Fields!$D$2:$D$206,1)),""),"")</f>
        <v/>
      </c>
    </row>
    <row r="1523">
      <c r="A1523" t="n">
        <v>1521</v>
      </c>
      <c r="B1523" t="n">
        <v>0</v>
      </c>
      <c r="C1523" t="inlineStr">
        <is>
          <t>No</t>
        </is>
      </c>
      <c r="D1523">
        <f>IF(AND(B1518=1,B1519=1,B1520=1,B1521=1,B1522=1),"Yes","")</f>
        <v/>
      </c>
      <c r="E1523" t="inlineStr">
        <is>
          <t>No</t>
        </is>
      </c>
      <c r="F1523" t="inlineStr">
        <is>
          <t>No</t>
        </is>
      </c>
      <c r="G1523">
        <f>IF(F1523="Yes",1-B1523,B1523)</f>
        <v/>
      </c>
      <c r="H1523">
        <f>IF(E1523="Yes","",COUNTIFS($E$2:E1523,"No"))</f>
        <v/>
      </c>
      <c r="I1523">
        <f>IF(H1523="","",IF(H1523&lt;=128,"address",IF(H1523&lt;=600,"data1",IF(H1523&lt;=1264,"zero-run1",IF(H1523&lt;=1648,"data2",IF(H1523&lt;=2176,"zero-run2",IF(H1523&lt;=2192,"FCS","trailing")))))))</f>
        <v/>
      </c>
      <c r="J1523">
        <f>IFERROR(IF(AND(H1523&lt;&gt;"",H1523&gt;=129,H1523&lt;=2176),INDEX(Fields!$B$2:$B$206,MATCH(H1523-129,Fields!$D$2:$D$206,1)),""),"")</f>
        <v/>
      </c>
      <c r="K1523">
        <f>IFERROR(IF(AND(H1523&lt;&gt;"",H1523&gt;=129,H1523&lt;=2176),INDEX(Fields!$C$2:$C$206,MATCH(H1523-129,Fields!$D$2:$D$206,1)),""),"")</f>
        <v/>
      </c>
      <c r="L1523">
        <f>IFERROR(IF(AND(H1523&lt;&gt;"",H1523&gt;=129,H1523&lt;=2176),INDEX(Fields!$J$2:$J$206,MATCH(H1523-129,Fields!$D$2:$D$206,1)),""),"")</f>
        <v/>
      </c>
      <c r="M1523">
        <f>IFERROR(IF(AND(H1523&lt;&gt;"",H1523&gt;=129,H1523&lt;=2176),INDEX(Fields!$K$2:$K$206,MATCH(H1523-129,Fields!$D$2:$D$206,1)),""),"")</f>
        <v/>
      </c>
    </row>
    <row r="1524">
      <c r="A1524" t="n">
        <v>1522</v>
      </c>
      <c r="B1524" t="n">
        <v>0</v>
      </c>
      <c r="C1524" t="inlineStr">
        <is>
          <t>No</t>
        </is>
      </c>
      <c r="D1524">
        <f>IF(AND(B1519=1,B1520=1,B1521=1,B1522=1,B1523=1),"Yes","")</f>
        <v/>
      </c>
      <c r="E1524" t="inlineStr">
        <is>
          <t>No</t>
        </is>
      </c>
      <c r="F1524" t="inlineStr">
        <is>
          <t>No</t>
        </is>
      </c>
      <c r="G1524">
        <f>IF(F1524="Yes",1-B1524,B1524)</f>
        <v/>
      </c>
      <c r="H1524">
        <f>IF(E1524="Yes","",COUNTIFS($E$2:E1524,"No"))</f>
        <v/>
      </c>
      <c r="I1524">
        <f>IF(H1524="","",IF(H1524&lt;=128,"address",IF(H1524&lt;=600,"data1",IF(H1524&lt;=1264,"zero-run1",IF(H1524&lt;=1648,"data2",IF(H1524&lt;=2176,"zero-run2",IF(H1524&lt;=2192,"FCS","trailing")))))))</f>
        <v/>
      </c>
      <c r="J1524">
        <f>IFERROR(IF(AND(H1524&lt;&gt;"",H1524&gt;=129,H1524&lt;=2176),INDEX(Fields!$B$2:$B$206,MATCH(H1524-129,Fields!$D$2:$D$206,1)),""),"")</f>
        <v/>
      </c>
      <c r="K1524">
        <f>IFERROR(IF(AND(H1524&lt;&gt;"",H1524&gt;=129,H1524&lt;=2176),INDEX(Fields!$C$2:$C$206,MATCH(H1524-129,Fields!$D$2:$D$206,1)),""),"")</f>
        <v/>
      </c>
      <c r="L1524">
        <f>IFERROR(IF(AND(H1524&lt;&gt;"",H1524&gt;=129,H1524&lt;=2176),INDEX(Fields!$J$2:$J$206,MATCH(H1524-129,Fields!$D$2:$D$206,1)),""),"")</f>
        <v/>
      </c>
      <c r="M1524">
        <f>IFERROR(IF(AND(H1524&lt;&gt;"",H1524&gt;=129,H1524&lt;=2176),INDEX(Fields!$K$2:$K$206,MATCH(H1524-129,Fields!$D$2:$D$206,1)),""),"")</f>
        <v/>
      </c>
    </row>
    <row r="1525">
      <c r="A1525" t="n">
        <v>1523</v>
      </c>
      <c r="B1525" t="n">
        <v>0</v>
      </c>
      <c r="C1525" t="inlineStr">
        <is>
          <t>No</t>
        </is>
      </c>
      <c r="D1525">
        <f>IF(AND(B1520=1,B1521=1,B1522=1,B1523=1,B1524=1),"Yes","")</f>
        <v/>
      </c>
      <c r="E1525" t="inlineStr">
        <is>
          <t>No</t>
        </is>
      </c>
      <c r="F1525" t="inlineStr">
        <is>
          <t>No</t>
        </is>
      </c>
      <c r="G1525">
        <f>IF(F1525="Yes",1-B1525,B1525)</f>
        <v/>
      </c>
      <c r="H1525">
        <f>IF(E1525="Yes","",COUNTIFS($E$2:E1525,"No"))</f>
        <v/>
      </c>
      <c r="I1525">
        <f>IF(H1525="","",IF(H1525&lt;=128,"address",IF(H1525&lt;=600,"data1",IF(H1525&lt;=1264,"zero-run1",IF(H1525&lt;=1648,"data2",IF(H1525&lt;=2176,"zero-run2",IF(H1525&lt;=2192,"FCS","trailing")))))))</f>
        <v/>
      </c>
      <c r="J1525">
        <f>IFERROR(IF(AND(H1525&lt;&gt;"",H1525&gt;=129,H1525&lt;=2176),INDEX(Fields!$B$2:$B$206,MATCH(H1525-129,Fields!$D$2:$D$206,1)),""),"")</f>
        <v/>
      </c>
      <c r="K1525">
        <f>IFERROR(IF(AND(H1525&lt;&gt;"",H1525&gt;=129,H1525&lt;=2176),INDEX(Fields!$C$2:$C$206,MATCH(H1525-129,Fields!$D$2:$D$206,1)),""),"")</f>
        <v/>
      </c>
      <c r="L1525">
        <f>IFERROR(IF(AND(H1525&lt;&gt;"",H1525&gt;=129,H1525&lt;=2176),INDEX(Fields!$J$2:$J$206,MATCH(H1525-129,Fields!$D$2:$D$206,1)),""),"")</f>
        <v/>
      </c>
      <c r="M1525">
        <f>IFERROR(IF(AND(H1525&lt;&gt;"",H1525&gt;=129,H1525&lt;=2176),INDEX(Fields!$K$2:$K$206,MATCH(H1525-129,Fields!$D$2:$D$206,1)),""),"")</f>
        <v/>
      </c>
    </row>
    <row r="1526">
      <c r="A1526" t="n">
        <v>1524</v>
      </c>
      <c r="B1526" t="n">
        <v>0</v>
      </c>
      <c r="C1526" t="inlineStr">
        <is>
          <t>No</t>
        </is>
      </c>
      <c r="D1526">
        <f>IF(AND(B1521=1,B1522=1,B1523=1,B1524=1,B1525=1),"Yes","")</f>
        <v/>
      </c>
      <c r="E1526" t="inlineStr">
        <is>
          <t>No</t>
        </is>
      </c>
      <c r="F1526" t="inlineStr">
        <is>
          <t>No</t>
        </is>
      </c>
      <c r="G1526">
        <f>IF(F1526="Yes",1-B1526,B1526)</f>
        <v/>
      </c>
      <c r="H1526">
        <f>IF(E1526="Yes","",COUNTIFS($E$2:E1526,"No"))</f>
        <v/>
      </c>
      <c r="I1526">
        <f>IF(H1526="","",IF(H1526&lt;=128,"address",IF(H1526&lt;=600,"data1",IF(H1526&lt;=1264,"zero-run1",IF(H1526&lt;=1648,"data2",IF(H1526&lt;=2176,"zero-run2",IF(H1526&lt;=2192,"FCS","trailing")))))))</f>
        <v/>
      </c>
      <c r="J1526">
        <f>IFERROR(IF(AND(H1526&lt;&gt;"",H1526&gt;=129,H1526&lt;=2176),INDEX(Fields!$B$2:$B$206,MATCH(H1526-129,Fields!$D$2:$D$206,1)),""),"")</f>
        <v/>
      </c>
      <c r="K1526">
        <f>IFERROR(IF(AND(H1526&lt;&gt;"",H1526&gt;=129,H1526&lt;=2176),INDEX(Fields!$C$2:$C$206,MATCH(H1526-129,Fields!$D$2:$D$206,1)),""),"")</f>
        <v/>
      </c>
      <c r="L1526">
        <f>IFERROR(IF(AND(H1526&lt;&gt;"",H1526&gt;=129,H1526&lt;=2176),INDEX(Fields!$J$2:$J$206,MATCH(H1526-129,Fields!$D$2:$D$206,1)),""),"")</f>
        <v/>
      </c>
      <c r="M1526">
        <f>IFERROR(IF(AND(H1526&lt;&gt;"",H1526&gt;=129,H1526&lt;=2176),INDEX(Fields!$K$2:$K$206,MATCH(H1526-129,Fields!$D$2:$D$206,1)),""),"")</f>
        <v/>
      </c>
    </row>
    <row r="1527">
      <c r="A1527" t="n">
        <v>1525</v>
      </c>
      <c r="B1527" t="n">
        <v>1</v>
      </c>
      <c r="C1527" t="inlineStr">
        <is>
          <t>No</t>
        </is>
      </c>
      <c r="D1527">
        <f>IF(AND(B1522=1,B1523=1,B1524=1,B1525=1,B1526=1),"Yes","")</f>
        <v/>
      </c>
      <c r="E1527" t="inlineStr">
        <is>
          <t>No</t>
        </is>
      </c>
      <c r="F1527" t="inlineStr">
        <is>
          <t>No</t>
        </is>
      </c>
      <c r="G1527">
        <f>IF(F1527="Yes",1-B1527,B1527)</f>
        <v/>
      </c>
      <c r="H1527">
        <f>IF(E1527="Yes","",COUNTIFS($E$2:E1527,"No"))</f>
        <v/>
      </c>
      <c r="I1527">
        <f>IF(H1527="","",IF(H1527&lt;=128,"address",IF(H1527&lt;=600,"data1",IF(H1527&lt;=1264,"zero-run1",IF(H1527&lt;=1648,"data2",IF(H1527&lt;=2176,"zero-run2",IF(H1527&lt;=2192,"FCS","trailing")))))))</f>
        <v/>
      </c>
      <c r="J1527">
        <f>IFERROR(IF(AND(H1527&lt;&gt;"",H1527&gt;=129,H1527&lt;=2176),INDEX(Fields!$B$2:$B$206,MATCH(H1527-129,Fields!$D$2:$D$206,1)),""),"")</f>
        <v/>
      </c>
      <c r="K1527">
        <f>IFERROR(IF(AND(H1527&lt;&gt;"",H1527&gt;=129,H1527&lt;=2176),INDEX(Fields!$C$2:$C$206,MATCH(H1527-129,Fields!$D$2:$D$206,1)),""),"")</f>
        <v/>
      </c>
      <c r="L1527">
        <f>IFERROR(IF(AND(H1527&lt;&gt;"",H1527&gt;=129,H1527&lt;=2176),INDEX(Fields!$J$2:$J$206,MATCH(H1527-129,Fields!$D$2:$D$206,1)),""),"")</f>
        <v/>
      </c>
      <c r="M1527">
        <f>IFERROR(IF(AND(H1527&lt;&gt;"",H1527&gt;=129,H1527&lt;=2176),INDEX(Fields!$K$2:$K$206,MATCH(H1527-129,Fields!$D$2:$D$206,1)),""),"")</f>
        <v/>
      </c>
    </row>
    <row r="1528">
      <c r="A1528" t="n">
        <v>1526</v>
      </c>
      <c r="B1528" t="n">
        <v>1</v>
      </c>
      <c r="C1528" t="inlineStr">
        <is>
          <t>No</t>
        </is>
      </c>
      <c r="D1528">
        <f>IF(AND(B1523=1,B1524=1,B1525=1,B1526=1,B1527=1),"Yes","")</f>
        <v/>
      </c>
      <c r="E1528" t="inlineStr">
        <is>
          <t>No</t>
        </is>
      </c>
      <c r="F1528" t="inlineStr">
        <is>
          <t>No</t>
        </is>
      </c>
      <c r="G1528">
        <f>IF(F1528="Yes",1-B1528,B1528)</f>
        <v/>
      </c>
      <c r="H1528">
        <f>IF(E1528="Yes","",COUNTIFS($E$2:E1528,"No"))</f>
        <v/>
      </c>
      <c r="I1528">
        <f>IF(H1528="","",IF(H1528&lt;=128,"address",IF(H1528&lt;=600,"data1",IF(H1528&lt;=1264,"zero-run1",IF(H1528&lt;=1648,"data2",IF(H1528&lt;=2176,"zero-run2",IF(H1528&lt;=2192,"FCS","trailing")))))))</f>
        <v/>
      </c>
      <c r="J1528">
        <f>IFERROR(IF(AND(H1528&lt;&gt;"",H1528&gt;=129,H1528&lt;=2176),INDEX(Fields!$B$2:$B$206,MATCH(H1528-129,Fields!$D$2:$D$206,1)),""),"")</f>
        <v/>
      </c>
      <c r="K1528">
        <f>IFERROR(IF(AND(H1528&lt;&gt;"",H1528&gt;=129,H1528&lt;=2176),INDEX(Fields!$C$2:$C$206,MATCH(H1528-129,Fields!$D$2:$D$206,1)),""),"")</f>
        <v/>
      </c>
      <c r="L1528">
        <f>IFERROR(IF(AND(H1528&lt;&gt;"",H1528&gt;=129,H1528&lt;=2176),INDEX(Fields!$J$2:$J$206,MATCH(H1528-129,Fields!$D$2:$D$206,1)),""),"")</f>
        <v/>
      </c>
      <c r="M1528">
        <f>IFERROR(IF(AND(H1528&lt;&gt;"",H1528&gt;=129,H1528&lt;=2176),INDEX(Fields!$K$2:$K$206,MATCH(H1528-129,Fields!$D$2:$D$206,1)),""),"")</f>
        <v/>
      </c>
    </row>
    <row r="1529">
      <c r="A1529" t="n">
        <v>1527</v>
      </c>
      <c r="B1529" t="n">
        <v>0</v>
      </c>
      <c r="C1529" t="inlineStr">
        <is>
          <t>No</t>
        </is>
      </c>
      <c r="D1529">
        <f>IF(AND(B1524=1,B1525=1,B1526=1,B1527=1,B1528=1),"Yes","")</f>
        <v/>
      </c>
      <c r="E1529" t="inlineStr">
        <is>
          <t>No</t>
        </is>
      </c>
      <c r="F1529" t="inlineStr">
        <is>
          <t>No</t>
        </is>
      </c>
      <c r="G1529">
        <f>IF(F1529="Yes",1-B1529,B1529)</f>
        <v/>
      </c>
      <c r="H1529">
        <f>IF(E1529="Yes","",COUNTIFS($E$2:E1529,"No"))</f>
        <v/>
      </c>
      <c r="I1529">
        <f>IF(H1529="","",IF(H1529&lt;=128,"address",IF(H1529&lt;=600,"data1",IF(H1529&lt;=1264,"zero-run1",IF(H1529&lt;=1648,"data2",IF(H1529&lt;=2176,"zero-run2",IF(H1529&lt;=2192,"FCS","trailing")))))))</f>
        <v/>
      </c>
      <c r="J1529">
        <f>IFERROR(IF(AND(H1529&lt;&gt;"",H1529&gt;=129,H1529&lt;=2176),INDEX(Fields!$B$2:$B$206,MATCH(H1529-129,Fields!$D$2:$D$206,1)),""),"")</f>
        <v/>
      </c>
      <c r="K1529">
        <f>IFERROR(IF(AND(H1529&lt;&gt;"",H1529&gt;=129,H1529&lt;=2176),INDEX(Fields!$C$2:$C$206,MATCH(H1529-129,Fields!$D$2:$D$206,1)),""),"")</f>
        <v/>
      </c>
      <c r="L1529">
        <f>IFERROR(IF(AND(H1529&lt;&gt;"",H1529&gt;=129,H1529&lt;=2176),INDEX(Fields!$J$2:$J$206,MATCH(H1529-129,Fields!$D$2:$D$206,1)),""),"")</f>
        <v/>
      </c>
      <c r="M1529">
        <f>IFERROR(IF(AND(H1529&lt;&gt;"",H1529&gt;=129,H1529&lt;=2176),INDEX(Fields!$K$2:$K$206,MATCH(H1529-129,Fields!$D$2:$D$206,1)),""),"")</f>
        <v/>
      </c>
    </row>
    <row r="1530">
      <c r="A1530" t="n">
        <v>1528</v>
      </c>
      <c r="B1530" t="n">
        <v>0</v>
      </c>
      <c r="C1530" t="inlineStr">
        <is>
          <t>No</t>
        </is>
      </c>
      <c r="D1530">
        <f>IF(AND(B1525=1,B1526=1,B1527=1,B1528=1,B1529=1),"Yes","")</f>
        <v/>
      </c>
      <c r="E1530" t="inlineStr">
        <is>
          <t>No</t>
        </is>
      </c>
      <c r="F1530" t="inlineStr">
        <is>
          <t>No</t>
        </is>
      </c>
      <c r="G1530">
        <f>IF(F1530="Yes",1-B1530,B1530)</f>
        <v/>
      </c>
      <c r="H1530">
        <f>IF(E1530="Yes","",COUNTIFS($E$2:E1530,"No"))</f>
        <v/>
      </c>
      <c r="I1530">
        <f>IF(H1530="","",IF(H1530&lt;=128,"address",IF(H1530&lt;=600,"data1",IF(H1530&lt;=1264,"zero-run1",IF(H1530&lt;=1648,"data2",IF(H1530&lt;=2176,"zero-run2",IF(H1530&lt;=2192,"FCS","trailing")))))))</f>
        <v/>
      </c>
      <c r="J1530">
        <f>IFERROR(IF(AND(H1530&lt;&gt;"",H1530&gt;=129,H1530&lt;=2176),INDEX(Fields!$B$2:$B$206,MATCH(H1530-129,Fields!$D$2:$D$206,1)),""),"")</f>
        <v/>
      </c>
      <c r="K1530">
        <f>IFERROR(IF(AND(H1530&lt;&gt;"",H1530&gt;=129,H1530&lt;=2176),INDEX(Fields!$C$2:$C$206,MATCH(H1530-129,Fields!$D$2:$D$206,1)),""),"")</f>
        <v/>
      </c>
      <c r="L1530">
        <f>IFERROR(IF(AND(H1530&lt;&gt;"",H1530&gt;=129,H1530&lt;=2176),INDEX(Fields!$J$2:$J$206,MATCH(H1530-129,Fields!$D$2:$D$206,1)),""),"")</f>
        <v/>
      </c>
      <c r="M1530">
        <f>IFERROR(IF(AND(H1530&lt;&gt;"",H1530&gt;=129,H1530&lt;=2176),INDEX(Fields!$K$2:$K$206,MATCH(H1530-129,Fields!$D$2:$D$206,1)),""),"")</f>
        <v/>
      </c>
    </row>
    <row r="1531">
      <c r="A1531" t="n">
        <v>1529</v>
      </c>
      <c r="B1531" t="n">
        <v>0</v>
      </c>
      <c r="C1531" t="inlineStr">
        <is>
          <t>No</t>
        </is>
      </c>
      <c r="D1531">
        <f>IF(AND(B1526=1,B1527=1,B1528=1,B1529=1,B1530=1),"Yes","")</f>
        <v/>
      </c>
      <c r="E1531" t="inlineStr">
        <is>
          <t>No</t>
        </is>
      </c>
      <c r="F1531" t="inlineStr">
        <is>
          <t>No</t>
        </is>
      </c>
      <c r="G1531">
        <f>IF(F1531="Yes",1-B1531,B1531)</f>
        <v/>
      </c>
      <c r="H1531">
        <f>IF(E1531="Yes","",COUNTIFS($E$2:E1531,"No"))</f>
        <v/>
      </c>
      <c r="I1531">
        <f>IF(H1531="","",IF(H1531&lt;=128,"address",IF(H1531&lt;=600,"data1",IF(H1531&lt;=1264,"zero-run1",IF(H1531&lt;=1648,"data2",IF(H1531&lt;=2176,"zero-run2",IF(H1531&lt;=2192,"FCS","trailing")))))))</f>
        <v/>
      </c>
      <c r="J1531">
        <f>IFERROR(IF(AND(H1531&lt;&gt;"",H1531&gt;=129,H1531&lt;=2176),INDEX(Fields!$B$2:$B$206,MATCH(H1531-129,Fields!$D$2:$D$206,1)),""),"")</f>
        <v/>
      </c>
      <c r="K1531">
        <f>IFERROR(IF(AND(H1531&lt;&gt;"",H1531&gt;=129,H1531&lt;=2176),INDEX(Fields!$C$2:$C$206,MATCH(H1531-129,Fields!$D$2:$D$206,1)),""),"")</f>
        <v/>
      </c>
      <c r="L1531">
        <f>IFERROR(IF(AND(H1531&lt;&gt;"",H1531&gt;=129,H1531&lt;=2176),INDEX(Fields!$J$2:$J$206,MATCH(H1531-129,Fields!$D$2:$D$206,1)),""),"")</f>
        <v/>
      </c>
      <c r="M1531">
        <f>IFERROR(IF(AND(H1531&lt;&gt;"",H1531&gt;=129,H1531&lt;=2176),INDEX(Fields!$K$2:$K$206,MATCH(H1531-129,Fields!$D$2:$D$206,1)),""),"")</f>
        <v/>
      </c>
    </row>
    <row r="1532">
      <c r="A1532" t="n">
        <v>1530</v>
      </c>
      <c r="B1532" t="n">
        <v>0</v>
      </c>
      <c r="C1532" t="inlineStr">
        <is>
          <t>No</t>
        </is>
      </c>
      <c r="D1532">
        <f>IF(AND(B1527=1,B1528=1,B1529=1,B1530=1,B1531=1),"Yes","")</f>
        <v/>
      </c>
      <c r="E1532" t="inlineStr">
        <is>
          <t>No</t>
        </is>
      </c>
      <c r="F1532" t="inlineStr">
        <is>
          <t>No</t>
        </is>
      </c>
      <c r="G1532">
        <f>IF(F1532="Yes",1-B1532,B1532)</f>
        <v/>
      </c>
      <c r="H1532">
        <f>IF(E1532="Yes","",COUNTIFS($E$2:E1532,"No"))</f>
        <v/>
      </c>
      <c r="I1532">
        <f>IF(H1532="","",IF(H1532&lt;=128,"address",IF(H1532&lt;=600,"data1",IF(H1532&lt;=1264,"zero-run1",IF(H1532&lt;=1648,"data2",IF(H1532&lt;=2176,"zero-run2",IF(H1532&lt;=2192,"FCS","trailing")))))))</f>
        <v/>
      </c>
      <c r="J1532">
        <f>IFERROR(IF(AND(H1532&lt;&gt;"",H1532&gt;=129,H1532&lt;=2176),INDEX(Fields!$B$2:$B$206,MATCH(H1532-129,Fields!$D$2:$D$206,1)),""),"")</f>
        <v/>
      </c>
      <c r="K1532">
        <f>IFERROR(IF(AND(H1532&lt;&gt;"",H1532&gt;=129,H1532&lt;=2176),INDEX(Fields!$C$2:$C$206,MATCH(H1532-129,Fields!$D$2:$D$206,1)),""),"")</f>
        <v/>
      </c>
      <c r="L1532">
        <f>IFERROR(IF(AND(H1532&lt;&gt;"",H1532&gt;=129,H1532&lt;=2176),INDEX(Fields!$J$2:$J$206,MATCH(H1532-129,Fields!$D$2:$D$206,1)),""),"")</f>
        <v/>
      </c>
      <c r="M1532">
        <f>IFERROR(IF(AND(H1532&lt;&gt;"",H1532&gt;=129,H1532&lt;=2176),INDEX(Fields!$K$2:$K$206,MATCH(H1532-129,Fields!$D$2:$D$206,1)),""),"")</f>
        <v/>
      </c>
    </row>
    <row r="1533">
      <c r="A1533" t="n">
        <v>1531</v>
      </c>
      <c r="B1533" t="n">
        <v>1</v>
      </c>
      <c r="C1533" t="inlineStr">
        <is>
          <t>No</t>
        </is>
      </c>
      <c r="D1533">
        <f>IF(AND(B1528=1,B1529=1,B1530=1,B1531=1,B1532=1),"Yes","")</f>
        <v/>
      </c>
      <c r="E1533" t="inlineStr">
        <is>
          <t>No</t>
        </is>
      </c>
      <c r="F1533" t="inlineStr">
        <is>
          <t>No</t>
        </is>
      </c>
      <c r="G1533">
        <f>IF(F1533="Yes",1-B1533,B1533)</f>
        <v/>
      </c>
      <c r="H1533">
        <f>IF(E1533="Yes","",COUNTIFS($E$2:E1533,"No"))</f>
        <v/>
      </c>
      <c r="I1533">
        <f>IF(H1533="","",IF(H1533&lt;=128,"address",IF(H1533&lt;=600,"data1",IF(H1533&lt;=1264,"zero-run1",IF(H1533&lt;=1648,"data2",IF(H1533&lt;=2176,"zero-run2",IF(H1533&lt;=2192,"FCS","trailing")))))))</f>
        <v/>
      </c>
      <c r="J1533">
        <f>IFERROR(IF(AND(H1533&lt;&gt;"",H1533&gt;=129,H1533&lt;=2176),INDEX(Fields!$B$2:$B$206,MATCH(H1533-129,Fields!$D$2:$D$206,1)),""),"")</f>
        <v/>
      </c>
      <c r="K1533">
        <f>IFERROR(IF(AND(H1533&lt;&gt;"",H1533&gt;=129,H1533&lt;=2176),INDEX(Fields!$C$2:$C$206,MATCH(H1533-129,Fields!$D$2:$D$206,1)),""),"")</f>
        <v/>
      </c>
      <c r="L1533">
        <f>IFERROR(IF(AND(H1533&lt;&gt;"",H1533&gt;=129,H1533&lt;=2176),INDEX(Fields!$J$2:$J$206,MATCH(H1533-129,Fields!$D$2:$D$206,1)),""),"")</f>
        <v/>
      </c>
      <c r="M1533">
        <f>IFERROR(IF(AND(H1533&lt;&gt;"",H1533&gt;=129,H1533&lt;=2176),INDEX(Fields!$K$2:$K$206,MATCH(H1533-129,Fields!$D$2:$D$206,1)),""),"")</f>
        <v/>
      </c>
    </row>
    <row r="1534">
      <c r="A1534" t="n">
        <v>1532</v>
      </c>
      <c r="B1534" t="n">
        <v>1</v>
      </c>
      <c r="C1534" s="4" t="inlineStr">
        <is>
          <t>Yes</t>
        </is>
      </c>
      <c r="D1534">
        <f>IF(AND(B1529=1,B1530=1,B1531=1,B1532=1,B1533=1),"Yes","")</f>
        <v/>
      </c>
      <c r="E1534" t="inlineStr">
        <is>
          <t>No</t>
        </is>
      </c>
      <c r="F1534" t="inlineStr">
        <is>
          <t>No</t>
        </is>
      </c>
      <c r="G1534">
        <f>IF(F1534="Yes",1-B1534,B1534)</f>
        <v/>
      </c>
      <c r="H1534">
        <f>IF(E1534="Yes","",COUNTIFS($E$2:E1534,"No"))</f>
        <v/>
      </c>
      <c r="I1534">
        <f>IF(H1534="","",IF(H1534&lt;=128,"address",IF(H1534&lt;=600,"data1",IF(H1534&lt;=1264,"zero-run1",IF(H1534&lt;=1648,"data2",IF(H1534&lt;=2176,"zero-run2",IF(H1534&lt;=2192,"FCS","trailing")))))))</f>
        <v/>
      </c>
      <c r="J1534">
        <f>IFERROR(IF(AND(H1534&lt;&gt;"",H1534&gt;=129,H1534&lt;=2176),INDEX(Fields!$B$2:$B$206,MATCH(H1534-129,Fields!$D$2:$D$206,1)),""),"")</f>
        <v/>
      </c>
      <c r="K1534">
        <f>IFERROR(IF(AND(H1534&lt;&gt;"",H1534&gt;=129,H1534&lt;=2176),INDEX(Fields!$C$2:$C$206,MATCH(H1534-129,Fields!$D$2:$D$206,1)),""),"")</f>
        <v/>
      </c>
      <c r="L1534">
        <f>IFERROR(IF(AND(H1534&lt;&gt;"",H1534&gt;=129,H1534&lt;=2176),INDEX(Fields!$J$2:$J$206,MATCH(H1534-129,Fields!$D$2:$D$206,1)),""),"")</f>
        <v/>
      </c>
      <c r="M1534">
        <f>IFERROR(IF(AND(H1534&lt;&gt;"",H1534&gt;=129,H1534&lt;=2176),INDEX(Fields!$K$2:$K$206,MATCH(H1534-129,Fields!$D$2:$D$206,1)),""),"")</f>
        <v/>
      </c>
    </row>
    <row r="1535">
      <c r="A1535" t="n">
        <v>1533</v>
      </c>
      <c r="B1535" t="n">
        <v>1</v>
      </c>
      <c r="C1535" t="inlineStr">
        <is>
          <t>No</t>
        </is>
      </c>
      <c r="D1535">
        <f>IF(AND(B1530=1,B1531=1,B1532=1,B1533=1,B1534=1),"Yes","")</f>
        <v/>
      </c>
      <c r="E1535" t="inlineStr">
        <is>
          <t>No</t>
        </is>
      </c>
      <c r="F1535" t="inlineStr">
        <is>
          <t>No</t>
        </is>
      </c>
      <c r="G1535">
        <f>IF(F1535="Yes",1-B1535,B1535)</f>
        <v/>
      </c>
      <c r="H1535">
        <f>IF(E1535="Yes","",COUNTIFS($E$2:E1535,"No"))</f>
        <v/>
      </c>
      <c r="I1535">
        <f>IF(H1535="","",IF(H1535&lt;=128,"address",IF(H1535&lt;=600,"data1",IF(H1535&lt;=1264,"zero-run1",IF(H1535&lt;=1648,"data2",IF(H1535&lt;=2176,"zero-run2",IF(H1535&lt;=2192,"FCS","trailing")))))))</f>
        <v/>
      </c>
      <c r="J1535">
        <f>IFERROR(IF(AND(H1535&lt;&gt;"",H1535&gt;=129,H1535&lt;=2176),INDEX(Fields!$B$2:$B$206,MATCH(H1535-129,Fields!$D$2:$D$206,1)),""),"")</f>
        <v/>
      </c>
      <c r="K1535">
        <f>IFERROR(IF(AND(H1535&lt;&gt;"",H1535&gt;=129,H1535&lt;=2176),INDEX(Fields!$C$2:$C$206,MATCH(H1535-129,Fields!$D$2:$D$206,1)),""),"")</f>
        <v/>
      </c>
      <c r="L1535">
        <f>IFERROR(IF(AND(H1535&lt;&gt;"",H1535&gt;=129,H1535&lt;=2176),INDEX(Fields!$J$2:$J$206,MATCH(H1535-129,Fields!$D$2:$D$206,1)),""),"")</f>
        <v/>
      </c>
      <c r="M1535">
        <f>IFERROR(IF(AND(H1535&lt;&gt;"",H1535&gt;=129,H1535&lt;=2176),INDEX(Fields!$K$2:$K$206,MATCH(H1535-129,Fields!$D$2:$D$206,1)),""),"")</f>
        <v/>
      </c>
    </row>
    <row r="1536">
      <c r="A1536" t="n">
        <v>1534</v>
      </c>
      <c r="B1536" t="n">
        <v>0</v>
      </c>
      <c r="C1536" t="inlineStr">
        <is>
          <t>No</t>
        </is>
      </c>
      <c r="D1536">
        <f>IF(AND(B1531=1,B1532=1,B1533=1,B1534=1,B1535=1),"Yes","")</f>
        <v/>
      </c>
      <c r="E1536" t="inlineStr">
        <is>
          <t>No</t>
        </is>
      </c>
      <c r="F1536" t="inlineStr">
        <is>
          <t>No</t>
        </is>
      </c>
      <c r="G1536">
        <f>IF(F1536="Yes",1-B1536,B1536)</f>
        <v/>
      </c>
      <c r="H1536">
        <f>IF(E1536="Yes","",COUNTIFS($E$2:E1536,"No"))</f>
        <v/>
      </c>
      <c r="I1536">
        <f>IF(H1536="","",IF(H1536&lt;=128,"address",IF(H1536&lt;=600,"data1",IF(H1536&lt;=1264,"zero-run1",IF(H1536&lt;=1648,"data2",IF(H1536&lt;=2176,"zero-run2",IF(H1536&lt;=2192,"FCS","trailing")))))))</f>
        <v/>
      </c>
      <c r="J1536">
        <f>IFERROR(IF(AND(H1536&lt;&gt;"",H1536&gt;=129,H1536&lt;=2176),INDEX(Fields!$B$2:$B$206,MATCH(H1536-129,Fields!$D$2:$D$206,1)),""),"")</f>
        <v/>
      </c>
      <c r="K1536">
        <f>IFERROR(IF(AND(H1536&lt;&gt;"",H1536&gt;=129,H1536&lt;=2176),INDEX(Fields!$C$2:$C$206,MATCH(H1536-129,Fields!$D$2:$D$206,1)),""),"")</f>
        <v/>
      </c>
      <c r="L1536">
        <f>IFERROR(IF(AND(H1536&lt;&gt;"",H1536&gt;=129,H1536&lt;=2176),INDEX(Fields!$J$2:$J$206,MATCH(H1536-129,Fields!$D$2:$D$206,1)),""),"")</f>
        <v/>
      </c>
      <c r="M1536">
        <f>IFERROR(IF(AND(H1536&lt;&gt;"",H1536&gt;=129,H1536&lt;=2176),INDEX(Fields!$K$2:$K$206,MATCH(H1536-129,Fields!$D$2:$D$206,1)),""),"")</f>
        <v/>
      </c>
    </row>
    <row r="1537">
      <c r="A1537" t="n">
        <v>1535</v>
      </c>
      <c r="B1537" t="n">
        <v>0</v>
      </c>
      <c r="C1537" t="inlineStr">
        <is>
          <t>No</t>
        </is>
      </c>
      <c r="D1537">
        <f>IF(AND(B1532=1,B1533=1,B1534=1,B1535=1,B1536=1),"Yes","")</f>
        <v/>
      </c>
      <c r="E1537" t="inlineStr">
        <is>
          <t>No</t>
        </is>
      </c>
      <c r="F1537" t="inlineStr">
        <is>
          <t>No</t>
        </is>
      </c>
      <c r="G1537">
        <f>IF(F1537="Yes",1-B1537,B1537)</f>
        <v/>
      </c>
      <c r="H1537">
        <f>IF(E1537="Yes","",COUNTIFS($E$2:E1537,"No"))</f>
        <v/>
      </c>
      <c r="I1537">
        <f>IF(H1537="","",IF(H1537&lt;=128,"address",IF(H1537&lt;=600,"data1",IF(H1537&lt;=1264,"zero-run1",IF(H1537&lt;=1648,"data2",IF(H1537&lt;=2176,"zero-run2",IF(H1537&lt;=2192,"FCS","trailing")))))))</f>
        <v/>
      </c>
      <c r="J1537">
        <f>IFERROR(IF(AND(H1537&lt;&gt;"",H1537&gt;=129,H1537&lt;=2176),INDEX(Fields!$B$2:$B$206,MATCH(H1537-129,Fields!$D$2:$D$206,1)),""),"")</f>
        <v/>
      </c>
      <c r="K1537">
        <f>IFERROR(IF(AND(H1537&lt;&gt;"",H1537&gt;=129,H1537&lt;=2176),INDEX(Fields!$C$2:$C$206,MATCH(H1537-129,Fields!$D$2:$D$206,1)),""),"")</f>
        <v/>
      </c>
      <c r="L1537">
        <f>IFERROR(IF(AND(H1537&lt;&gt;"",H1537&gt;=129,H1537&lt;=2176),INDEX(Fields!$J$2:$J$206,MATCH(H1537-129,Fields!$D$2:$D$206,1)),""),"")</f>
        <v/>
      </c>
      <c r="M1537">
        <f>IFERROR(IF(AND(H1537&lt;&gt;"",H1537&gt;=129,H1537&lt;=2176),INDEX(Fields!$K$2:$K$206,MATCH(H1537-129,Fields!$D$2:$D$206,1)),""),"")</f>
        <v/>
      </c>
    </row>
    <row r="1538">
      <c r="A1538" t="n">
        <v>1536</v>
      </c>
      <c r="B1538" t="n">
        <v>0</v>
      </c>
      <c r="C1538" t="inlineStr">
        <is>
          <t>No</t>
        </is>
      </c>
      <c r="D1538">
        <f>IF(AND(B1533=1,B1534=1,B1535=1,B1536=1,B1537=1),"Yes","")</f>
        <v/>
      </c>
      <c r="E1538" t="inlineStr">
        <is>
          <t>No</t>
        </is>
      </c>
      <c r="F1538" t="inlineStr">
        <is>
          <t>No</t>
        </is>
      </c>
      <c r="G1538">
        <f>IF(F1538="Yes",1-B1538,B1538)</f>
        <v/>
      </c>
      <c r="H1538">
        <f>IF(E1538="Yes","",COUNTIFS($E$2:E1538,"No"))</f>
        <v/>
      </c>
      <c r="I1538">
        <f>IF(H1538="","",IF(H1538&lt;=128,"address",IF(H1538&lt;=600,"data1",IF(H1538&lt;=1264,"zero-run1",IF(H1538&lt;=1648,"data2",IF(H1538&lt;=2176,"zero-run2",IF(H1538&lt;=2192,"FCS","trailing")))))))</f>
        <v/>
      </c>
      <c r="J1538">
        <f>IFERROR(IF(AND(H1538&lt;&gt;"",H1538&gt;=129,H1538&lt;=2176),INDEX(Fields!$B$2:$B$206,MATCH(H1538-129,Fields!$D$2:$D$206,1)),""),"")</f>
        <v/>
      </c>
      <c r="K1538">
        <f>IFERROR(IF(AND(H1538&lt;&gt;"",H1538&gt;=129,H1538&lt;=2176),INDEX(Fields!$C$2:$C$206,MATCH(H1538-129,Fields!$D$2:$D$206,1)),""),"")</f>
        <v/>
      </c>
      <c r="L1538">
        <f>IFERROR(IF(AND(H1538&lt;&gt;"",H1538&gt;=129,H1538&lt;=2176),INDEX(Fields!$J$2:$J$206,MATCH(H1538-129,Fields!$D$2:$D$206,1)),""),"")</f>
        <v/>
      </c>
      <c r="M1538">
        <f>IFERROR(IF(AND(H1538&lt;&gt;"",H1538&gt;=129,H1538&lt;=2176),INDEX(Fields!$K$2:$K$206,MATCH(H1538-129,Fields!$D$2:$D$206,1)),""),"")</f>
        <v/>
      </c>
    </row>
    <row r="1539">
      <c r="A1539" t="n">
        <v>1537</v>
      </c>
      <c r="B1539" t="n">
        <v>0</v>
      </c>
      <c r="C1539" t="inlineStr">
        <is>
          <t>No</t>
        </is>
      </c>
      <c r="D1539">
        <f>IF(AND(B1534=1,B1535=1,B1536=1,B1537=1,B1538=1),"Yes","")</f>
        <v/>
      </c>
      <c r="E1539" t="inlineStr">
        <is>
          <t>No</t>
        </is>
      </c>
      <c r="F1539" t="inlineStr">
        <is>
          <t>No</t>
        </is>
      </c>
      <c r="G1539">
        <f>IF(F1539="Yes",1-B1539,B1539)</f>
        <v/>
      </c>
      <c r="H1539">
        <f>IF(E1539="Yes","",COUNTIFS($E$2:E1539,"No"))</f>
        <v/>
      </c>
      <c r="I1539">
        <f>IF(H1539="","",IF(H1539&lt;=128,"address",IF(H1539&lt;=600,"data1",IF(H1539&lt;=1264,"zero-run1",IF(H1539&lt;=1648,"data2",IF(H1539&lt;=2176,"zero-run2",IF(H1539&lt;=2192,"FCS","trailing")))))))</f>
        <v/>
      </c>
      <c r="J1539">
        <f>IFERROR(IF(AND(H1539&lt;&gt;"",H1539&gt;=129,H1539&lt;=2176),INDEX(Fields!$B$2:$B$206,MATCH(H1539-129,Fields!$D$2:$D$206,1)),""),"")</f>
        <v/>
      </c>
      <c r="K1539">
        <f>IFERROR(IF(AND(H1539&lt;&gt;"",H1539&gt;=129,H1539&lt;=2176),INDEX(Fields!$C$2:$C$206,MATCH(H1539-129,Fields!$D$2:$D$206,1)),""),"")</f>
        <v/>
      </c>
      <c r="L1539">
        <f>IFERROR(IF(AND(H1539&lt;&gt;"",H1539&gt;=129,H1539&lt;=2176),INDEX(Fields!$J$2:$J$206,MATCH(H1539-129,Fields!$D$2:$D$206,1)),""),"")</f>
        <v/>
      </c>
      <c r="M1539">
        <f>IFERROR(IF(AND(H1539&lt;&gt;"",H1539&gt;=129,H1539&lt;=2176),INDEX(Fields!$K$2:$K$206,MATCH(H1539-129,Fields!$D$2:$D$206,1)),""),"")</f>
        <v/>
      </c>
    </row>
    <row r="1540">
      <c r="A1540" t="n">
        <v>1538</v>
      </c>
      <c r="B1540" t="n">
        <v>0</v>
      </c>
      <c r="C1540" t="inlineStr">
        <is>
          <t>No</t>
        </is>
      </c>
      <c r="D1540">
        <f>IF(AND(B1535=1,B1536=1,B1537=1,B1538=1,B1539=1),"Yes","")</f>
        <v/>
      </c>
      <c r="E1540" t="inlineStr">
        <is>
          <t>No</t>
        </is>
      </c>
      <c r="F1540" t="inlineStr">
        <is>
          <t>No</t>
        </is>
      </c>
      <c r="G1540">
        <f>IF(F1540="Yes",1-B1540,B1540)</f>
        <v/>
      </c>
      <c r="H1540">
        <f>IF(E1540="Yes","",COUNTIFS($E$2:E1540,"No"))</f>
        <v/>
      </c>
      <c r="I1540">
        <f>IF(H1540="","",IF(H1540&lt;=128,"address",IF(H1540&lt;=600,"data1",IF(H1540&lt;=1264,"zero-run1",IF(H1540&lt;=1648,"data2",IF(H1540&lt;=2176,"zero-run2",IF(H1540&lt;=2192,"FCS","trailing")))))))</f>
        <v/>
      </c>
      <c r="J1540">
        <f>IFERROR(IF(AND(H1540&lt;&gt;"",H1540&gt;=129,H1540&lt;=2176),INDEX(Fields!$B$2:$B$206,MATCH(H1540-129,Fields!$D$2:$D$206,1)),""),"")</f>
        <v/>
      </c>
      <c r="K1540">
        <f>IFERROR(IF(AND(H1540&lt;&gt;"",H1540&gt;=129,H1540&lt;=2176),INDEX(Fields!$C$2:$C$206,MATCH(H1540-129,Fields!$D$2:$D$206,1)),""),"")</f>
        <v/>
      </c>
      <c r="L1540">
        <f>IFERROR(IF(AND(H1540&lt;&gt;"",H1540&gt;=129,H1540&lt;=2176),INDEX(Fields!$J$2:$J$206,MATCH(H1540-129,Fields!$D$2:$D$206,1)),""),"")</f>
        <v/>
      </c>
      <c r="M1540">
        <f>IFERROR(IF(AND(H1540&lt;&gt;"",H1540&gt;=129,H1540&lt;=2176),INDEX(Fields!$K$2:$K$206,MATCH(H1540-129,Fields!$D$2:$D$206,1)),""),"")</f>
        <v/>
      </c>
    </row>
    <row r="1541">
      <c r="A1541" t="n">
        <v>1539</v>
      </c>
      <c r="B1541" t="n">
        <v>0</v>
      </c>
      <c r="C1541" t="inlineStr">
        <is>
          <t>No</t>
        </is>
      </c>
      <c r="D1541">
        <f>IF(AND(B1536=1,B1537=1,B1538=1,B1539=1,B1540=1),"Yes","")</f>
        <v/>
      </c>
      <c r="E1541" t="inlineStr">
        <is>
          <t>No</t>
        </is>
      </c>
      <c r="F1541" t="inlineStr">
        <is>
          <t>No</t>
        </is>
      </c>
      <c r="G1541">
        <f>IF(F1541="Yes",1-B1541,B1541)</f>
        <v/>
      </c>
      <c r="H1541">
        <f>IF(E1541="Yes","",COUNTIFS($E$2:E1541,"No"))</f>
        <v/>
      </c>
      <c r="I1541">
        <f>IF(H1541="","",IF(H1541&lt;=128,"address",IF(H1541&lt;=600,"data1",IF(H1541&lt;=1264,"zero-run1",IF(H1541&lt;=1648,"data2",IF(H1541&lt;=2176,"zero-run2",IF(H1541&lt;=2192,"FCS","trailing")))))))</f>
        <v/>
      </c>
      <c r="J1541">
        <f>IFERROR(IF(AND(H1541&lt;&gt;"",H1541&gt;=129,H1541&lt;=2176),INDEX(Fields!$B$2:$B$206,MATCH(H1541-129,Fields!$D$2:$D$206,1)),""),"")</f>
        <v/>
      </c>
      <c r="K1541">
        <f>IFERROR(IF(AND(H1541&lt;&gt;"",H1541&gt;=129,H1541&lt;=2176),INDEX(Fields!$C$2:$C$206,MATCH(H1541-129,Fields!$D$2:$D$206,1)),""),"")</f>
        <v/>
      </c>
      <c r="L1541">
        <f>IFERROR(IF(AND(H1541&lt;&gt;"",H1541&gt;=129,H1541&lt;=2176),INDEX(Fields!$J$2:$J$206,MATCH(H1541-129,Fields!$D$2:$D$206,1)),""),"")</f>
        <v/>
      </c>
      <c r="M1541">
        <f>IFERROR(IF(AND(H1541&lt;&gt;"",H1541&gt;=129,H1541&lt;=2176),INDEX(Fields!$K$2:$K$206,MATCH(H1541-129,Fields!$D$2:$D$206,1)),""),"")</f>
        <v/>
      </c>
    </row>
    <row r="1542">
      <c r="A1542" t="n">
        <v>1540</v>
      </c>
      <c r="B1542" t="n">
        <v>1</v>
      </c>
      <c r="C1542" t="inlineStr">
        <is>
          <t>No</t>
        </is>
      </c>
      <c r="D1542">
        <f>IF(AND(B1537=1,B1538=1,B1539=1,B1540=1,B1541=1),"Yes","")</f>
        <v/>
      </c>
      <c r="E1542" t="inlineStr">
        <is>
          <t>No</t>
        </is>
      </c>
      <c r="F1542" t="inlineStr">
        <is>
          <t>No</t>
        </is>
      </c>
      <c r="G1542">
        <f>IF(F1542="Yes",1-B1542,B1542)</f>
        <v/>
      </c>
      <c r="H1542">
        <f>IF(E1542="Yes","",COUNTIFS($E$2:E1542,"No"))</f>
        <v/>
      </c>
      <c r="I1542">
        <f>IF(H1542="","",IF(H1542&lt;=128,"address",IF(H1542&lt;=600,"data1",IF(H1542&lt;=1264,"zero-run1",IF(H1542&lt;=1648,"data2",IF(H1542&lt;=2176,"zero-run2",IF(H1542&lt;=2192,"FCS","trailing")))))))</f>
        <v/>
      </c>
      <c r="J1542">
        <f>IFERROR(IF(AND(H1542&lt;&gt;"",H1542&gt;=129,H1542&lt;=2176),INDEX(Fields!$B$2:$B$206,MATCH(H1542-129,Fields!$D$2:$D$206,1)),""),"")</f>
        <v/>
      </c>
      <c r="K1542">
        <f>IFERROR(IF(AND(H1542&lt;&gt;"",H1542&gt;=129,H1542&lt;=2176),INDEX(Fields!$C$2:$C$206,MATCH(H1542-129,Fields!$D$2:$D$206,1)),""),"")</f>
        <v/>
      </c>
      <c r="L1542">
        <f>IFERROR(IF(AND(H1542&lt;&gt;"",H1542&gt;=129,H1542&lt;=2176),INDEX(Fields!$J$2:$J$206,MATCH(H1542-129,Fields!$D$2:$D$206,1)),""),"")</f>
        <v/>
      </c>
      <c r="M1542">
        <f>IFERROR(IF(AND(H1542&lt;&gt;"",H1542&gt;=129,H1542&lt;=2176),INDEX(Fields!$K$2:$K$206,MATCH(H1542-129,Fields!$D$2:$D$206,1)),""),"")</f>
        <v/>
      </c>
    </row>
    <row r="1543">
      <c r="A1543" t="n">
        <v>1541</v>
      </c>
      <c r="B1543" t="n">
        <v>0</v>
      </c>
      <c r="C1543" t="inlineStr">
        <is>
          <t>No</t>
        </is>
      </c>
      <c r="D1543">
        <f>IF(AND(B1538=1,B1539=1,B1540=1,B1541=1,B1542=1),"Yes","")</f>
        <v/>
      </c>
      <c r="E1543" t="inlineStr">
        <is>
          <t>No</t>
        </is>
      </c>
      <c r="F1543" t="inlineStr">
        <is>
          <t>No</t>
        </is>
      </c>
      <c r="G1543">
        <f>IF(F1543="Yes",1-B1543,B1543)</f>
        <v/>
      </c>
      <c r="H1543">
        <f>IF(E1543="Yes","",COUNTIFS($E$2:E1543,"No"))</f>
        <v/>
      </c>
      <c r="I1543">
        <f>IF(H1543="","",IF(H1543&lt;=128,"address",IF(H1543&lt;=600,"data1",IF(H1543&lt;=1264,"zero-run1",IF(H1543&lt;=1648,"data2",IF(H1543&lt;=2176,"zero-run2",IF(H1543&lt;=2192,"FCS","trailing")))))))</f>
        <v/>
      </c>
      <c r="J1543">
        <f>IFERROR(IF(AND(H1543&lt;&gt;"",H1543&gt;=129,H1543&lt;=2176),INDEX(Fields!$B$2:$B$206,MATCH(H1543-129,Fields!$D$2:$D$206,1)),""),"")</f>
        <v/>
      </c>
      <c r="K1543">
        <f>IFERROR(IF(AND(H1543&lt;&gt;"",H1543&gt;=129,H1543&lt;=2176),INDEX(Fields!$C$2:$C$206,MATCH(H1543-129,Fields!$D$2:$D$206,1)),""),"")</f>
        <v/>
      </c>
      <c r="L1543">
        <f>IFERROR(IF(AND(H1543&lt;&gt;"",H1543&gt;=129,H1543&lt;=2176),INDEX(Fields!$J$2:$J$206,MATCH(H1543-129,Fields!$D$2:$D$206,1)),""),"")</f>
        <v/>
      </c>
      <c r="M1543">
        <f>IFERROR(IF(AND(H1543&lt;&gt;"",H1543&gt;=129,H1543&lt;=2176),INDEX(Fields!$K$2:$K$206,MATCH(H1543-129,Fields!$D$2:$D$206,1)),""),"")</f>
        <v/>
      </c>
    </row>
    <row r="1544">
      <c r="A1544" t="n">
        <v>1542</v>
      </c>
      <c r="B1544" t="n">
        <v>0</v>
      </c>
      <c r="C1544" t="inlineStr">
        <is>
          <t>No</t>
        </is>
      </c>
      <c r="D1544">
        <f>IF(AND(B1539=1,B1540=1,B1541=1,B1542=1,B1543=1),"Yes","")</f>
        <v/>
      </c>
      <c r="E1544" t="inlineStr">
        <is>
          <t>No</t>
        </is>
      </c>
      <c r="F1544" t="inlineStr">
        <is>
          <t>No</t>
        </is>
      </c>
      <c r="G1544">
        <f>IF(F1544="Yes",1-B1544,B1544)</f>
        <v/>
      </c>
      <c r="H1544">
        <f>IF(E1544="Yes","",COUNTIFS($E$2:E1544,"No"))</f>
        <v/>
      </c>
      <c r="I1544">
        <f>IF(H1544="","",IF(H1544&lt;=128,"address",IF(H1544&lt;=600,"data1",IF(H1544&lt;=1264,"zero-run1",IF(H1544&lt;=1648,"data2",IF(H1544&lt;=2176,"zero-run2",IF(H1544&lt;=2192,"FCS","trailing")))))))</f>
        <v/>
      </c>
      <c r="J1544">
        <f>IFERROR(IF(AND(H1544&lt;&gt;"",H1544&gt;=129,H1544&lt;=2176),INDEX(Fields!$B$2:$B$206,MATCH(H1544-129,Fields!$D$2:$D$206,1)),""),"")</f>
        <v/>
      </c>
      <c r="K1544">
        <f>IFERROR(IF(AND(H1544&lt;&gt;"",H1544&gt;=129,H1544&lt;=2176),INDEX(Fields!$C$2:$C$206,MATCH(H1544-129,Fields!$D$2:$D$206,1)),""),"")</f>
        <v/>
      </c>
      <c r="L1544">
        <f>IFERROR(IF(AND(H1544&lt;&gt;"",H1544&gt;=129,H1544&lt;=2176),INDEX(Fields!$J$2:$J$206,MATCH(H1544-129,Fields!$D$2:$D$206,1)),""),"")</f>
        <v/>
      </c>
      <c r="M1544">
        <f>IFERROR(IF(AND(H1544&lt;&gt;"",H1544&gt;=129,H1544&lt;=2176),INDEX(Fields!$K$2:$K$206,MATCH(H1544-129,Fields!$D$2:$D$206,1)),""),"")</f>
        <v/>
      </c>
    </row>
    <row r="1545">
      <c r="A1545" t="n">
        <v>1543</v>
      </c>
      <c r="B1545" t="n">
        <v>0</v>
      </c>
      <c r="C1545" t="inlineStr">
        <is>
          <t>No</t>
        </is>
      </c>
      <c r="D1545">
        <f>IF(AND(B1540=1,B1541=1,B1542=1,B1543=1,B1544=1),"Yes","")</f>
        <v/>
      </c>
      <c r="E1545" t="inlineStr">
        <is>
          <t>No</t>
        </is>
      </c>
      <c r="F1545" t="inlineStr">
        <is>
          <t>No</t>
        </is>
      </c>
      <c r="G1545">
        <f>IF(F1545="Yes",1-B1545,B1545)</f>
        <v/>
      </c>
      <c r="H1545">
        <f>IF(E1545="Yes","",COUNTIFS($E$2:E1545,"No"))</f>
        <v/>
      </c>
      <c r="I1545">
        <f>IF(H1545="","",IF(H1545&lt;=128,"address",IF(H1545&lt;=600,"data1",IF(H1545&lt;=1264,"zero-run1",IF(H1545&lt;=1648,"data2",IF(H1545&lt;=2176,"zero-run2",IF(H1545&lt;=2192,"FCS","trailing")))))))</f>
        <v/>
      </c>
      <c r="J1545">
        <f>IFERROR(IF(AND(H1545&lt;&gt;"",H1545&gt;=129,H1545&lt;=2176),INDEX(Fields!$B$2:$B$206,MATCH(H1545-129,Fields!$D$2:$D$206,1)),""),"")</f>
        <v/>
      </c>
      <c r="K1545">
        <f>IFERROR(IF(AND(H1545&lt;&gt;"",H1545&gt;=129,H1545&lt;=2176),INDEX(Fields!$C$2:$C$206,MATCH(H1545-129,Fields!$D$2:$D$206,1)),""),"")</f>
        <v/>
      </c>
      <c r="L1545">
        <f>IFERROR(IF(AND(H1545&lt;&gt;"",H1545&gt;=129,H1545&lt;=2176),INDEX(Fields!$J$2:$J$206,MATCH(H1545-129,Fields!$D$2:$D$206,1)),""),"")</f>
        <v/>
      </c>
      <c r="M1545">
        <f>IFERROR(IF(AND(H1545&lt;&gt;"",H1545&gt;=129,H1545&lt;=2176),INDEX(Fields!$K$2:$K$206,MATCH(H1545-129,Fields!$D$2:$D$206,1)),""),"")</f>
        <v/>
      </c>
    </row>
    <row r="1546">
      <c r="A1546" t="n">
        <v>1544</v>
      </c>
      <c r="B1546" t="n">
        <v>0</v>
      </c>
      <c r="C1546" t="inlineStr">
        <is>
          <t>No</t>
        </is>
      </c>
      <c r="D1546">
        <f>IF(AND(B1541=1,B1542=1,B1543=1,B1544=1,B1545=1),"Yes","")</f>
        <v/>
      </c>
      <c r="E1546" t="inlineStr">
        <is>
          <t>No</t>
        </is>
      </c>
      <c r="F1546" t="inlineStr">
        <is>
          <t>No</t>
        </is>
      </c>
      <c r="G1546">
        <f>IF(F1546="Yes",1-B1546,B1546)</f>
        <v/>
      </c>
      <c r="H1546">
        <f>IF(E1546="Yes","",COUNTIFS($E$2:E1546,"No"))</f>
        <v/>
      </c>
      <c r="I1546">
        <f>IF(H1546="","",IF(H1546&lt;=128,"address",IF(H1546&lt;=600,"data1",IF(H1546&lt;=1264,"zero-run1",IF(H1546&lt;=1648,"data2",IF(H1546&lt;=2176,"zero-run2",IF(H1546&lt;=2192,"FCS","trailing")))))))</f>
        <v/>
      </c>
      <c r="J1546">
        <f>IFERROR(IF(AND(H1546&lt;&gt;"",H1546&gt;=129,H1546&lt;=2176),INDEX(Fields!$B$2:$B$206,MATCH(H1546-129,Fields!$D$2:$D$206,1)),""),"")</f>
        <v/>
      </c>
      <c r="K1546">
        <f>IFERROR(IF(AND(H1546&lt;&gt;"",H1546&gt;=129,H1546&lt;=2176),INDEX(Fields!$C$2:$C$206,MATCH(H1546-129,Fields!$D$2:$D$206,1)),""),"")</f>
        <v/>
      </c>
      <c r="L1546">
        <f>IFERROR(IF(AND(H1546&lt;&gt;"",H1546&gt;=129,H1546&lt;=2176),INDEX(Fields!$J$2:$J$206,MATCH(H1546-129,Fields!$D$2:$D$206,1)),""),"")</f>
        <v/>
      </c>
      <c r="M1546">
        <f>IFERROR(IF(AND(H1546&lt;&gt;"",H1546&gt;=129,H1546&lt;=2176),INDEX(Fields!$K$2:$K$206,MATCH(H1546-129,Fields!$D$2:$D$206,1)),""),"")</f>
        <v/>
      </c>
    </row>
    <row r="1547">
      <c r="A1547" t="n">
        <v>1545</v>
      </c>
      <c r="B1547" t="n">
        <v>0</v>
      </c>
      <c r="C1547" t="inlineStr">
        <is>
          <t>No</t>
        </is>
      </c>
      <c r="D1547">
        <f>IF(AND(B1542=1,B1543=1,B1544=1,B1545=1,B1546=1),"Yes","")</f>
        <v/>
      </c>
      <c r="E1547" t="inlineStr">
        <is>
          <t>No</t>
        </is>
      </c>
      <c r="F1547" t="inlineStr">
        <is>
          <t>No</t>
        </is>
      </c>
      <c r="G1547">
        <f>IF(F1547="Yes",1-B1547,B1547)</f>
        <v/>
      </c>
      <c r="H1547">
        <f>IF(E1547="Yes","",COUNTIFS($E$2:E1547,"No"))</f>
        <v/>
      </c>
      <c r="I1547">
        <f>IF(H1547="","",IF(H1547&lt;=128,"address",IF(H1547&lt;=600,"data1",IF(H1547&lt;=1264,"zero-run1",IF(H1547&lt;=1648,"data2",IF(H1547&lt;=2176,"zero-run2",IF(H1547&lt;=2192,"FCS","trailing")))))))</f>
        <v/>
      </c>
      <c r="J1547">
        <f>IFERROR(IF(AND(H1547&lt;&gt;"",H1547&gt;=129,H1547&lt;=2176),INDEX(Fields!$B$2:$B$206,MATCH(H1547-129,Fields!$D$2:$D$206,1)),""),"")</f>
        <v/>
      </c>
      <c r="K1547">
        <f>IFERROR(IF(AND(H1547&lt;&gt;"",H1547&gt;=129,H1547&lt;=2176),INDEX(Fields!$C$2:$C$206,MATCH(H1547-129,Fields!$D$2:$D$206,1)),""),"")</f>
        <v/>
      </c>
      <c r="L1547">
        <f>IFERROR(IF(AND(H1547&lt;&gt;"",H1547&gt;=129,H1547&lt;=2176),INDEX(Fields!$J$2:$J$206,MATCH(H1547-129,Fields!$D$2:$D$206,1)),""),"")</f>
        <v/>
      </c>
      <c r="M1547">
        <f>IFERROR(IF(AND(H1547&lt;&gt;"",H1547&gt;=129,H1547&lt;=2176),INDEX(Fields!$K$2:$K$206,MATCH(H1547-129,Fields!$D$2:$D$206,1)),""),"")</f>
        <v/>
      </c>
    </row>
    <row r="1548">
      <c r="A1548" t="n">
        <v>1546</v>
      </c>
      <c r="B1548" t="n">
        <v>0</v>
      </c>
      <c r="C1548" t="inlineStr">
        <is>
          <t>No</t>
        </is>
      </c>
      <c r="D1548">
        <f>IF(AND(B1543=1,B1544=1,B1545=1,B1546=1,B1547=1),"Yes","")</f>
        <v/>
      </c>
      <c r="E1548" t="inlineStr">
        <is>
          <t>No</t>
        </is>
      </c>
      <c r="F1548" t="inlineStr">
        <is>
          <t>No</t>
        </is>
      </c>
      <c r="G1548">
        <f>IF(F1548="Yes",1-B1548,B1548)</f>
        <v/>
      </c>
      <c r="H1548">
        <f>IF(E1548="Yes","",COUNTIFS($E$2:E1548,"No"))</f>
        <v/>
      </c>
      <c r="I1548">
        <f>IF(H1548="","",IF(H1548&lt;=128,"address",IF(H1548&lt;=600,"data1",IF(H1548&lt;=1264,"zero-run1",IF(H1548&lt;=1648,"data2",IF(H1548&lt;=2176,"zero-run2",IF(H1548&lt;=2192,"FCS","trailing")))))))</f>
        <v/>
      </c>
      <c r="J1548">
        <f>IFERROR(IF(AND(H1548&lt;&gt;"",H1548&gt;=129,H1548&lt;=2176),INDEX(Fields!$B$2:$B$206,MATCH(H1548-129,Fields!$D$2:$D$206,1)),""),"")</f>
        <v/>
      </c>
      <c r="K1548">
        <f>IFERROR(IF(AND(H1548&lt;&gt;"",H1548&gt;=129,H1548&lt;=2176),INDEX(Fields!$C$2:$C$206,MATCH(H1548-129,Fields!$D$2:$D$206,1)),""),"")</f>
        <v/>
      </c>
      <c r="L1548">
        <f>IFERROR(IF(AND(H1548&lt;&gt;"",H1548&gt;=129,H1548&lt;=2176),INDEX(Fields!$J$2:$J$206,MATCH(H1548-129,Fields!$D$2:$D$206,1)),""),"")</f>
        <v/>
      </c>
      <c r="M1548">
        <f>IFERROR(IF(AND(H1548&lt;&gt;"",H1548&gt;=129,H1548&lt;=2176),INDEX(Fields!$K$2:$K$206,MATCH(H1548-129,Fields!$D$2:$D$206,1)),""),"")</f>
        <v/>
      </c>
    </row>
    <row r="1549">
      <c r="A1549" t="n">
        <v>1547</v>
      </c>
      <c r="B1549" t="n">
        <v>0</v>
      </c>
      <c r="C1549" t="inlineStr">
        <is>
          <t>No</t>
        </is>
      </c>
      <c r="D1549">
        <f>IF(AND(B1544=1,B1545=1,B1546=1,B1547=1,B1548=1),"Yes","")</f>
        <v/>
      </c>
      <c r="E1549" t="inlineStr">
        <is>
          <t>No</t>
        </is>
      </c>
      <c r="F1549" t="inlineStr">
        <is>
          <t>No</t>
        </is>
      </c>
      <c r="G1549">
        <f>IF(F1549="Yes",1-B1549,B1549)</f>
        <v/>
      </c>
      <c r="H1549">
        <f>IF(E1549="Yes","",COUNTIFS($E$2:E1549,"No"))</f>
        <v/>
      </c>
      <c r="I1549">
        <f>IF(H1549="","",IF(H1549&lt;=128,"address",IF(H1549&lt;=600,"data1",IF(H1549&lt;=1264,"zero-run1",IF(H1549&lt;=1648,"data2",IF(H1549&lt;=2176,"zero-run2",IF(H1549&lt;=2192,"FCS","trailing")))))))</f>
        <v/>
      </c>
      <c r="J1549">
        <f>IFERROR(IF(AND(H1549&lt;&gt;"",H1549&gt;=129,H1549&lt;=2176),INDEX(Fields!$B$2:$B$206,MATCH(H1549-129,Fields!$D$2:$D$206,1)),""),"")</f>
        <v/>
      </c>
      <c r="K1549">
        <f>IFERROR(IF(AND(H1549&lt;&gt;"",H1549&gt;=129,H1549&lt;=2176),INDEX(Fields!$C$2:$C$206,MATCH(H1549-129,Fields!$D$2:$D$206,1)),""),"")</f>
        <v/>
      </c>
      <c r="L1549">
        <f>IFERROR(IF(AND(H1549&lt;&gt;"",H1549&gt;=129,H1549&lt;=2176),INDEX(Fields!$J$2:$J$206,MATCH(H1549-129,Fields!$D$2:$D$206,1)),""),"")</f>
        <v/>
      </c>
      <c r="M1549">
        <f>IFERROR(IF(AND(H1549&lt;&gt;"",H1549&gt;=129,H1549&lt;=2176),INDEX(Fields!$K$2:$K$206,MATCH(H1549-129,Fields!$D$2:$D$206,1)),""),"")</f>
        <v/>
      </c>
    </row>
    <row r="1550">
      <c r="A1550" t="n">
        <v>1548</v>
      </c>
      <c r="B1550" t="n">
        <v>0</v>
      </c>
      <c r="C1550" t="inlineStr">
        <is>
          <t>No</t>
        </is>
      </c>
      <c r="D1550">
        <f>IF(AND(B1545=1,B1546=1,B1547=1,B1548=1,B1549=1),"Yes","")</f>
        <v/>
      </c>
      <c r="E1550" t="inlineStr">
        <is>
          <t>No</t>
        </is>
      </c>
      <c r="F1550" t="inlineStr">
        <is>
          <t>No</t>
        </is>
      </c>
      <c r="G1550">
        <f>IF(F1550="Yes",1-B1550,B1550)</f>
        <v/>
      </c>
      <c r="H1550">
        <f>IF(E1550="Yes","",COUNTIFS($E$2:E1550,"No"))</f>
        <v/>
      </c>
      <c r="I1550">
        <f>IF(H1550="","",IF(H1550&lt;=128,"address",IF(H1550&lt;=600,"data1",IF(H1550&lt;=1264,"zero-run1",IF(H1550&lt;=1648,"data2",IF(H1550&lt;=2176,"zero-run2",IF(H1550&lt;=2192,"FCS","trailing")))))))</f>
        <v/>
      </c>
      <c r="J1550">
        <f>IFERROR(IF(AND(H1550&lt;&gt;"",H1550&gt;=129,H1550&lt;=2176),INDEX(Fields!$B$2:$B$206,MATCH(H1550-129,Fields!$D$2:$D$206,1)),""),"")</f>
        <v/>
      </c>
      <c r="K1550">
        <f>IFERROR(IF(AND(H1550&lt;&gt;"",H1550&gt;=129,H1550&lt;=2176),INDEX(Fields!$C$2:$C$206,MATCH(H1550-129,Fields!$D$2:$D$206,1)),""),"")</f>
        <v/>
      </c>
      <c r="L1550">
        <f>IFERROR(IF(AND(H1550&lt;&gt;"",H1550&gt;=129,H1550&lt;=2176),INDEX(Fields!$J$2:$J$206,MATCH(H1550-129,Fields!$D$2:$D$206,1)),""),"")</f>
        <v/>
      </c>
      <c r="M1550">
        <f>IFERROR(IF(AND(H1550&lt;&gt;"",H1550&gt;=129,H1550&lt;=2176),INDEX(Fields!$K$2:$K$206,MATCH(H1550-129,Fields!$D$2:$D$206,1)),""),"")</f>
        <v/>
      </c>
    </row>
    <row r="1551">
      <c r="A1551" t="n">
        <v>1549</v>
      </c>
      <c r="B1551" t="n">
        <v>0</v>
      </c>
      <c r="C1551" t="inlineStr">
        <is>
          <t>No</t>
        </is>
      </c>
      <c r="D1551">
        <f>IF(AND(B1546=1,B1547=1,B1548=1,B1549=1,B1550=1),"Yes","")</f>
        <v/>
      </c>
      <c r="E1551" t="inlineStr">
        <is>
          <t>No</t>
        </is>
      </c>
      <c r="F1551" t="inlineStr">
        <is>
          <t>No</t>
        </is>
      </c>
      <c r="G1551">
        <f>IF(F1551="Yes",1-B1551,B1551)</f>
        <v/>
      </c>
      <c r="H1551">
        <f>IF(E1551="Yes","",COUNTIFS($E$2:E1551,"No"))</f>
        <v/>
      </c>
      <c r="I1551">
        <f>IF(H1551="","",IF(H1551&lt;=128,"address",IF(H1551&lt;=600,"data1",IF(H1551&lt;=1264,"zero-run1",IF(H1551&lt;=1648,"data2",IF(H1551&lt;=2176,"zero-run2",IF(H1551&lt;=2192,"FCS","trailing")))))))</f>
        <v/>
      </c>
      <c r="J1551">
        <f>IFERROR(IF(AND(H1551&lt;&gt;"",H1551&gt;=129,H1551&lt;=2176),INDEX(Fields!$B$2:$B$206,MATCH(H1551-129,Fields!$D$2:$D$206,1)),""),"")</f>
        <v/>
      </c>
      <c r="K1551">
        <f>IFERROR(IF(AND(H1551&lt;&gt;"",H1551&gt;=129,H1551&lt;=2176),INDEX(Fields!$C$2:$C$206,MATCH(H1551-129,Fields!$D$2:$D$206,1)),""),"")</f>
        <v/>
      </c>
      <c r="L1551">
        <f>IFERROR(IF(AND(H1551&lt;&gt;"",H1551&gt;=129,H1551&lt;=2176),INDEX(Fields!$J$2:$J$206,MATCH(H1551-129,Fields!$D$2:$D$206,1)),""),"")</f>
        <v/>
      </c>
      <c r="M1551">
        <f>IFERROR(IF(AND(H1551&lt;&gt;"",H1551&gt;=129,H1551&lt;=2176),INDEX(Fields!$K$2:$K$206,MATCH(H1551-129,Fields!$D$2:$D$206,1)),""),"")</f>
        <v/>
      </c>
    </row>
    <row r="1552">
      <c r="A1552" t="n">
        <v>1550</v>
      </c>
      <c r="B1552" t="n">
        <v>1</v>
      </c>
      <c r="C1552" t="inlineStr">
        <is>
          <t>No</t>
        </is>
      </c>
      <c r="D1552">
        <f>IF(AND(B1547=1,B1548=1,B1549=1,B1550=1,B1551=1),"Yes","")</f>
        <v/>
      </c>
      <c r="E1552" t="inlineStr">
        <is>
          <t>No</t>
        </is>
      </c>
      <c r="F1552" t="inlineStr">
        <is>
          <t>No</t>
        </is>
      </c>
      <c r="G1552">
        <f>IF(F1552="Yes",1-B1552,B1552)</f>
        <v/>
      </c>
      <c r="H1552">
        <f>IF(E1552="Yes","",COUNTIFS($E$2:E1552,"No"))</f>
        <v/>
      </c>
      <c r="I1552">
        <f>IF(H1552="","",IF(H1552&lt;=128,"address",IF(H1552&lt;=600,"data1",IF(H1552&lt;=1264,"zero-run1",IF(H1552&lt;=1648,"data2",IF(H1552&lt;=2176,"zero-run2",IF(H1552&lt;=2192,"FCS","trailing")))))))</f>
        <v/>
      </c>
      <c r="J1552">
        <f>IFERROR(IF(AND(H1552&lt;&gt;"",H1552&gt;=129,H1552&lt;=2176),INDEX(Fields!$B$2:$B$206,MATCH(H1552-129,Fields!$D$2:$D$206,1)),""),"")</f>
        <v/>
      </c>
      <c r="K1552">
        <f>IFERROR(IF(AND(H1552&lt;&gt;"",H1552&gt;=129,H1552&lt;=2176),INDEX(Fields!$C$2:$C$206,MATCH(H1552-129,Fields!$D$2:$D$206,1)),""),"")</f>
        <v/>
      </c>
      <c r="L1552">
        <f>IFERROR(IF(AND(H1552&lt;&gt;"",H1552&gt;=129,H1552&lt;=2176),INDEX(Fields!$J$2:$J$206,MATCH(H1552-129,Fields!$D$2:$D$206,1)),""),"")</f>
        <v/>
      </c>
      <c r="M1552">
        <f>IFERROR(IF(AND(H1552&lt;&gt;"",H1552&gt;=129,H1552&lt;=2176),INDEX(Fields!$K$2:$K$206,MATCH(H1552-129,Fields!$D$2:$D$206,1)),""),"")</f>
        <v/>
      </c>
    </row>
    <row r="1553">
      <c r="A1553" t="n">
        <v>1551</v>
      </c>
      <c r="B1553" t="n">
        <v>0</v>
      </c>
      <c r="C1553" t="inlineStr">
        <is>
          <t>No</t>
        </is>
      </c>
      <c r="D1553">
        <f>IF(AND(B1548=1,B1549=1,B1550=1,B1551=1,B1552=1),"Yes","")</f>
        <v/>
      </c>
      <c r="E1553" t="inlineStr">
        <is>
          <t>No</t>
        </is>
      </c>
      <c r="F1553" t="inlineStr">
        <is>
          <t>No</t>
        </is>
      </c>
      <c r="G1553">
        <f>IF(F1553="Yes",1-B1553,B1553)</f>
        <v/>
      </c>
      <c r="H1553">
        <f>IF(E1553="Yes","",COUNTIFS($E$2:E1553,"No"))</f>
        <v/>
      </c>
      <c r="I1553">
        <f>IF(H1553="","",IF(H1553&lt;=128,"address",IF(H1553&lt;=600,"data1",IF(H1553&lt;=1264,"zero-run1",IF(H1553&lt;=1648,"data2",IF(H1553&lt;=2176,"zero-run2",IF(H1553&lt;=2192,"FCS","trailing")))))))</f>
        <v/>
      </c>
      <c r="J1553">
        <f>IFERROR(IF(AND(H1553&lt;&gt;"",H1553&gt;=129,H1553&lt;=2176),INDEX(Fields!$B$2:$B$206,MATCH(H1553-129,Fields!$D$2:$D$206,1)),""),"")</f>
        <v/>
      </c>
      <c r="K1553">
        <f>IFERROR(IF(AND(H1553&lt;&gt;"",H1553&gt;=129,H1553&lt;=2176),INDEX(Fields!$C$2:$C$206,MATCH(H1553-129,Fields!$D$2:$D$206,1)),""),"")</f>
        <v/>
      </c>
      <c r="L1553">
        <f>IFERROR(IF(AND(H1553&lt;&gt;"",H1553&gt;=129,H1553&lt;=2176),INDEX(Fields!$J$2:$J$206,MATCH(H1553-129,Fields!$D$2:$D$206,1)),""),"")</f>
        <v/>
      </c>
      <c r="M1553">
        <f>IFERROR(IF(AND(H1553&lt;&gt;"",H1553&gt;=129,H1553&lt;=2176),INDEX(Fields!$K$2:$K$206,MATCH(H1553-129,Fields!$D$2:$D$206,1)),""),"")</f>
        <v/>
      </c>
    </row>
    <row r="1554">
      <c r="A1554" t="n">
        <v>1552</v>
      </c>
      <c r="B1554" t="n">
        <v>0</v>
      </c>
      <c r="C1554" t="inlineStr">
        <is>
          <t>No</t>
        </is>
      </c>
      <c r="D1554">
        <f>IF(AND(B1549=1,B1550=1,B1551=1,B1552=1,B1553=1),"Yes","")</f>
        <v/>
      </c>
      <c r="E1554" t="inlineStr">
        <is>
          <t>No</t>
        </is>
      </c>
      <c r="F1554" t="inlineStr">
        <is>
          <t>No</t>
        </is>
      </c>
      <c r="G1554">
        <f>IF(F1554="Yes",1-B1554,B1554)</f>
        <v/>
      </c>
      <c r="H1554">
        <f>IF(E1554="Yes","",COUNTIFS($E$2:E1554,"No"))</f>
        <v/>
      </c>
      <c r="I1554">
        <f>IF(H1554="","",IF(H1554&lt;=128,"address",IF(H1554&lt;=600,"data1",IF(H1554&lt;=1264,"zero-run1",IF(H1554&lt;=1648,"data2",IF(H1554&lt;=2176,"zero-run2",IF(H1554&lt;=2192,"FCS","trailing")))))))</f>
        <v/>
      </c>
      <c r="J1554">
        <f>IFERROR(IF(AND(H1554&lt;&gt;"",H1554&gt;=129,H1554&lt;=2176),INDEX(Fields!$B$2:$B$206,MATCH(H1554-129,Fields!$D$2:$D$206,1)),""),"")</f>
        <v/>
      </c>
      <c r="K1554">
        <f>IFERROR(IF(AND(H1554&lt;&gt;"",H1554&gt;=129,H1554&lt;=2176),INDEX(Fields!$C$2:$C$206,MATCH(H1554-129,Fields!$D$2:$D$206,1)),""),"")</f>
        <v/>
      </c>
      <c r="L1554">
        <f>IFERROR(IF(AND(H1554&lt;&gt;"",H1554&gt;=129,H1554&lt;=2176),INDEX(Fields!$J$2:$J$206,MATCH(H1554-129,Fields!$D$2:$D$206,1)),""),"")</f>
        <v/>
      </c>
      <c r="M1554">
        <f>IFERROR(IF(AND(H1554&lt;&gt;"",H1554&gt;=129,H1554&lt;=2176),INDEX(Fields!$K$2:$K$206,MATCH(H1554-129,Fields!$D$2:$D$206,1)),""),"")</f>
        <v/>
      </c>
    </row>
    <row r="1555">
      <c r="A1555" t="n">
        <v>1553</v>
      </c>
      <c r="B1555" t="n">
        <v>0</v>
      </c>
      <c r="C1555" t="inlineStr">
        <is>
          <t>No</t>
        </is>
      </c>
      <c r="D1555">
        <f>IF(AND(B1550=1,B1551=1,B1552=1,B1553=1,B1554=1),"Yes","")</f>
        <v/>
      </c>
      <c r="E1555" t="inlineStr">
        <is>
          <t>No</t>
        </is>
      </c>
      <c r="F1555" t="inlineStr">
        <is>
          <t>No</t>
        </is>
      </c>
      <c r="G1555">
        <f>IF(F1555="Yes",1-B1555,B1555)</f>
        <v/>
      </c>
      <c r="H1555">
        <f>IF(E1555="Yes","",COUNTIFS($E$2:E1555,"No"))</f>
        <v/>
      </c>
      <c r="I1555">
        <f>IF(H1555="","",IF(H1555&lt;=128,"address",IF(H1555&lt;=600,"data1",IF(H1555&lt;=1264,"zero-run1",IF(H1555&lt;=1648,"data2",IF(H1555&lt;=2176,"zero-run2",IF(H1555&lt;=2192,"FCS","trailing")))))))</f>
        <v/>
      </c>
      <c r="J1555">
        <f>IFERROR(IF(AND(H1555&lt;&gt;"",H1555&gt;=129,H1555&lt;=2176),INDEX(Fields!$B$2:$B$206,MATCH(H1555-129,Fields!$D$2:$D$206,1)),""),"")</f>
        <v/>
      </c>
      <c r="K1555">
        <f>IFERROR(IF(AND(H1555&lt;&gt;"",H1555&gt;=129,H1555&lt;=2176),INDEX(Fields!$C$2:$C$206,MATCH(H1555-129,Fields!$D$2:$D$206,1)),""),"")</f>
        <v/>
      </c>
      <c r="L1555">
        <f>IFERROR(IF(AND(H1555&lt;&gt;"",H1555&gt;=129,H1555&lt;=2176),INDEX(Fields!$J$2:$J$206,MATCH(H1555-129,Fields!$D$2:$D$206,1)),""),"")</f>
        <v/>
      </c>
      <c r="M1555">
        <f>IFERROR(IF(AND(H1555&lt;&gt;"",H1555&gt;=129,H1555&lt;=2176),INDEX(Fields!$K$2:$K$206,MATCH(H1555-129,Fields!$D$2:$D$206,1)),""),"")</f>
        <v/>
      </c>
    </row>
    <row r="1556">
      <c r="A1556" t="n">
        <v>1554</v>
      </c>
      <c r="B1556" t="n">
        <v>0</v>
      </c>
      <c r="C1556" t="inlineStr">
        <is>
          <t>No</t>
        </is>
      </c>
      <c r="D1556">
        <f>IF(AND(B1551=1,B1552=1,B1553=1,B1554=1,B1555=1),"Yes","")</f>
        <v/>
      </c>
      <c r="E1556" t="inlineStr">
        <is>
          <t>No</t>
        </is>
      </c>
      <c r="F1556" t="inlineStr">
        <is>
          <t>No</t>
        </is>
      </c>
      <c r="G1556">
        <f>IF(F1556="Yes",1-B1556,B1556)</f>
        <v/>
      </c>
      <c r="H1556">
        <f>IF(E1556="Yes","",COUNTIFS($E$2:E1556,"No"))</f>
        <v/>
      </c>
      <c r="I1556">
        <f>IF(H1556="","",IF(H1556&lt;=128,"address",IF(H1556&lt;=600,"data1",IF(H1556&lt;=1264,"zero-run1",IF(H1556&lt;=1648,"data2",IF(H1556&lt;=2176,"zero-run2",IF(H1556&lt;=2192,"FCS","trailing")))))))</f>
        <v/>
      </c>
      <c r="J1556">
        <f>IFERROR(IF(AND(H1556&lt;&gt;"",H1556&gt;=129,H1556&lt;=2176),INDEX(Fields!$B$2:$B$206,MATCH(H1556-129,Fields!$D$2:$D$206,1)),""),"")</f>
        <v/>
      </c>
      <c r="K1556">
        <f>IFERROR(IF(AND(H1556&lt;&gt;"",H1556&gt;=129,H1556&lt;=2176),INDEX(Fields!$C$2:$C$206,MATCH(H1556-129,Fields!$D$2:$D$206,1)),""),"")</f>
        <v/>
      </c>
      <c r="L1556">
        <f>IFERROR(IF(AND(H1556&lt;&gt;"",H1556&gt;=129,H1556&lt;=2176),INDEX(Fields!$J$2:$J$206,MATCH(H1556-129,Fields!$D$2:$D$206,1)),""),"")</f>
        <v/>
      </c>
      <c r="M1556">
        <f>IFERROR(IF(AND(H1556&lt;&gt;"",H1556&gt;=129,H1556&lt;=2176),INDEX(Fields!$K$2:$K$206,MATCH(H1556-129,Fields!$D$2:$D$206,1)),""),"")</f>
        <v/>
      </c>
    </row>
    <row r="1557">
      <c r="A1557" t="n">
        <v>1555</v>
      </c>
      <c r="B1557" t="n">
        <v>1</v>
      </c>
      <c r="C1557" t="inlineStr">
        <is>
          <t>No</t>
        </is>
      </c>
      <c r="D1557">
        <f>IF(AND(B1552=1,B1553=1,B1554=1,B1555=1,B1556=1),"Yes","")</f>
        <v/>
      </c>
      <c r="E1557" t="inlineStr">
        <is>
          <t>No</t>
        </is>
      </c>
      <c r="F1557" t="inlineStr">
        <is>
          <t>No</t>
        </is>
      </c>
      <c r="G1557">
        <f>IF(F1557="Yes",1-B1557,B1557)</f>
        <v/>
      </c>
      <c r="H1557">
        <f>IF(E1557="Yes","",COUNTIFS($E$2:E1557,"No"))</f>
        <v/>
      </c>
      <c r="I1557">
        <f>IF(H1557="","",IF(H1557&lt;=128,"address",IF(H1557&lt;=600,"data1",IF(H1557&lt;=1264,"zero-run1",IF(H1557&lt;=1648,"data2",IF(H1557&lt;=2176,"zero-run2",IF(H1557&lt;=2192,"FCS","trailing")))))))</f>
        <v/>
      </c>
      <c r="J1557">
        <f>IFERROR(IF(AND(H1557&lt;&gt;"",H1557&gt;=129,H1557&lt;=2176),INDEX(Fields!$B$2:$B$206,MATCH(H1557-129,Fields!$D$2:$D$206,1)),""),"")</f>
        <v/>
      </c>
      <c r="K1557">
        <f>IFERROR(IF(AND(H1557&lt;&gt;"",H1557&gt;=129,H1557&lt;=2176),INDEX(Fields!$C$2:$C$206,MATCH(H1557-129,Fields!$D$2:$D$206,1)),""),"")</f>
        <v/>
      </c>
      <c r="L1557">
        <f>IFERROR(IF(AND(H1557&lt;&gt;"",H1557&gt;=129,H1557&lt;=2176),INDEX(Fields!$J$2:$J$206,MATCH(H1557-129,Fields!$D$2:$D$206,1)),""),"")</f>
        <v/>
      </c>
      <c r="M1557">
        <f>IFERROR(IF(AND(H1557&lt;&gt;"",H1557&gt;=129,H1557&lt;=2176),INDEX(Fields!$K$2:$K$206,MATCH(H1557-129,Fields!$D$2:$D$206,1)),""),"")</f>
        <v/>
      </c>
    </row>
    <row r="1558">
      <c r="A1558" t="n">
        <v>1556</v>
      </c>
      <c r="B1558" t="n">
        <v>1</v>
      </c>
      <c r="C1558" t="inlineStr">
        <is>
          <t>No</t>
        </is>
      </c>
      <c r="D1558">
        <f>IF(AND(B1553=1,B1554=1,B1555=1,B1556=1,B1557=1),"Yes","")</f>
        <v/>
      </c>
      <c r="E1558" t="inlineStr">
        <is>
          <t>No</t>
        </is>
      </c>
      <c r="F1558" t="inlineStr">
        <is>
          <t>No</t>
        </is>
      </c>
      <c r="G1558">
        <f>IF(F1558="Yes",1-B1558,B1558)</f>
        <v/>
      </c>
      <c r="H1558">
        <f>IF(E1558="Yes","",COUNTIFS($E$2:E1558,"No"))</f>
        <v/>
      </c>
      <c r="I1558">
        <f>IF(H1558="","",IF(H1558&lt;=128,"address",IF(H1558&lt;=600,"data1",IF(H1558&lt;=1264,"zero-run1",IF(H1558&lt;=1648,"data2",IF(H1558&lt;=2176,"zero-run2",IF(H1558&lt;=2192,"FCS","trailing")))))))</f>
        <v/>
      </c>
      <c r="J1558">
        <f>IFERROR(IF(AND(H1558&lt;&gt;"",H1558&gt;=129,H1558&lt;=2176),INDEX(Fields!$B$2:$B$206,MATCH(H1558-129,Fields!$D$2:$D$206,1)),""),"")</f>
        <v/>
      </c>
      <c r="K1558">
        <f>IFERROR(IF(AND(H1558&lt;&gt;"",H1558&gt;=129,H1558&lt;=2176),INDEX(Fields!$C$2:$C$206,MATCH(H1558-129,Fields!$D$2:$D$206,1)),""),"")</f>
        <v/>
      </c>
      <c r="L1558">
        <f>IFERROR(IF(AND(H1558&lt;&gt;"",H1558&gt;=129,H1558&lt;=2176),INDEX(Fields!$J$2:$J$206,MATCH(H1558-129,Fields!$D$2:$D$206,1)),""),"")</f>
        <v/>
      </c>
      <c r="M1558">
        <f>IFERROR(IF(AND(H1558&lt;&gt;"",H1558&gt;=129,H1558&lt;=2176),INDEX(Fields!$K$2:$K$206,MATCH(H1558-129,Fields!$D$2:$D$206,1)),""),"")</f>
        <v/>
      </c>
    </row>
    <row r="1559">
      <c r="A1559" t="n">
        <v>1557</v>
      </c>
      <c r="B1559" t="n">
        <v>0</v>
      </c>
      <c r="C1559" t="inlineStr">
        <is>
          <t>No</t>
        </is>
      </c>
      <c r="D1559">
        <f>IF(AND(B1554=1,B1555=1,B1556=1,B1557=1,B1558=1),"Yes","")</f>
        <v/>
      </c>
      <c r="E1559" t="inlineStr">
        <is>
          <t>No</t>
        </is>
      </c>
      <c r="F1559" t="inlineStr">
        <is>
          <t>No</t>
        </is>
      </c>
      <c r="G1559">
        <f>IF(F1559="Yes",1-B1559,B1559)</f>
        <v/>
      </c>
      <c r="H1559">
        <f>IF(E1559="Yes","",COUNTIFS($E$2:E1559,"No"))</f>
        <v/>
      </c>
      <c r="I1559">
        <f>IF(H1559="","",IF(H1559&lt;=128,"address",IF(H1559&lt;=600,"data1",IF(H1559&lt;=1264,"zero-run1",IF(H1559&lt;=1648,"data2",IF(H1559&lt;=2176,"zero-run2",IF(H1559&lt;=2192,"FCS","trailing")))))))</f>
        <v/>
      </c>
      <c r="J1559">
        <f>IFERROR(IF(AND(H1559&lt;&gt;"",H1559&gt;=129,H1559&lt;=2176),INDEX(Fields!$B$2:$B$206,MATCH(H1559-129,Fields!$D$2:$D$206,1)),""),"")</f>
        <v/>
      </c>
      <c r="K1559">
        <f>IFERROR(IF(AND(H1559&lt;&gt;"",H1559&gt;=129,H1559&lt;=2176),INDEX(Fields!$C$2:$C$206,MATCH(H1559-129,Fields!$D$2:$D$206,1)),""),"")</f>
        <v/>
      </c>
      <c r="L1559">
        <f>IFERROR(IF(AND(H1559&lt;&gt;"",H1559&gt;=129,H1559&lt;=2176),INDEX(Fields!$J$2:$J$206,MATCH(H1559-129,Fields!$D$2:$D$206,1)),""),"")</f>
        <v/>
      </c>
      <c r="M1559">
        <f>IFERROR(IF(AND(H1559&lt;&gt;"",H1559&gt;=129,H1559&lt;=2176),INDEX(Fields!$K$2:$K$206,MATCH(H1559-129,Fields!$D$2:$D$206,1)),""),"")</f>
        <v/>
      </c>
    </row>
    <row r="1560">
      <c r="A1560" t="n">
        <v>1558</v>
      </c>
      <c r="B1560" t="n">
        <v>0</v>
      </c>
      <c r="C1560" t="inlineStr">
        <is>
          <t>No</t>
        </is>
      </c>
      <c r="D1560">
        <f>IF(AND(B1555=1,B1556=1,B1557=1,B1558=1,B1559=1),"Yes","")</f>
        <v/>
      </c>
      <c r="E1560" t="inlineStr">
        <is>
          <t>No</t>
        </is>
      </c>
      <c r="F1560" t="inlineStr">
        <is>
          <t>No</t>
        </is>
      </c>
      <c r="G1560">
        <f>IF(F1560="Yes",1-B1560,B1560)</f>
        <v/>
      </c>
      <c r="H1560">
        <f>IF(E1560="Yes","",COUNTIFS($E$2:E1560,"No"))</f>
        <v/>
      </c>
      <c r="I1560">
        <f>IF(H1560="","",IF(H1560&lt;=128,"address",IF(H1560&lt;=600,"data1",IF(H1560&lt;=1264,"zero-run1",IF(H1560&lt;=1648,"data2",IF(H1560&lt;=2176,"zero-run2",IF(H1560&lt;=2192,"FCS","trailing")))))))</f>
        <v/>
      </c>
      <c r="J1560">
        <f>IFERROR(IF(AND(H1560&lt;&gt;"",H1560&gt;=129,H1560&lt;=2176),INDEX(Fields!$B$2:$B$206,MATCH(H1560-129,Fields!$D$2:$D$206,1)),""),"")</f>
        <v/>
      </c>
      <c r="K1560">
        <f>IFERROR(IF(AND(H1560&lt;&gt;"",H1560&gt;=129,H1560&lt;=2176),INDEX(Fields!$C$2:$C$206,MATCH(H1560-129,Fields!$D$2:$D$206,1)),""),"")</f>
        <v/>
      </c>
      <c r="L1560">
        <f>IFERROR(IF(AND(H1560&lt;&gt;"",H1560&gt;=129,H1560&lt;=2176),INDEX(Fields!$J$2:$J$206,MATCH(H1560-129,Fields!$D$2:$D$206,1)),""),"")</f>
        <v/>
      </c>
      <c r="M1560">
        <f>IFERROR(IF(AND(H1560&lt;&gt;"",H1560&gt;=129,H1560&lt;=2176),INDEX(Fields!$K$2:$K$206,MATCH(H1560-129,Fields!$D$2:$D$206,1)),""),"")</f>
        <v/>
      </c>
    </row>
    <row r="1561">
      <c r="A1561" t="n">
        <v>1559</v>
      </c>
      <c r="B1561" t="n">
        <v>0</v>
      </c>
      <c r="C1561" t="inlineStr">
        <is>
          <t>No</t>
        </is>
      </c>
      <c r="D1561">
        <f>IF(AND(B1556=1,B1557=1,B1558=1,B1559=1,B1560=1),"Yes","")</f>
        <v/>
      </c>
      <c r="E1561" t="inlineStr">
        <is>
          <t>No</t>
        </is>
      </c>
      <c r="F1561" t="inlineStr">
        <is>
          <t>No</t>
        </is>
      </c>
      <c r="G1561">
        <f>IF(F1561="Yes",1-B1561,B1561)</f>
        <v/>
      </c>
      <c r="H1561">
        <f>IF(E1561="Yes","",COUNTIFS($E$2:E1561,"No"))</f>
        <v/>
      </c>
      <c r="I1561">
        <f>IF(H1561="","",IF(H1561&lt;=128,"address",IF(H1561&lt;=600,"data1",IF(H1561&lt;=1264,"zero-run1",IF(H1561&lt;=1648,"data2",IF(H1561&lt;=2176,"zero-run2",IF(H1561&lt;=2192,"FCS","trailing")))))))</f>
        <v/>
      </c>
      <c r="J1561">
        <f>IFERROR(IF(AND(H1561&lt;&gt;"",H1561&gt;=129,H1561&lt;=2176),INDEX(Fields!$B$2:$B$206,MATCH(H1561-129,Fields!$D$2:$D$206,1)),""),"")</f>
        <v/>
      </c>
      <c r="K1561">
        <f>IFERROR(IF(AND(H1561&lt;&gt;"",H1561&gt;=129,H1561&lt;=2176),INDEX(Fields!$C$2:$C$206,MATCH(H1561-129,Fields!$D$2:$D$206,1)),""),"")</f>
        <v/>
      </c>
      <c r="L1561">
        <f>IFERROR(IF(AND(H1561&lt;&gt;"",H1561&gt;=129,H1561&lt;=2176),INDEX(Fields!$J$2:$J$206,MATCH(H1561-129,Fields!$D$2:$D$206,1)),""),"")</f>
        <v/>
      </c>
      <c r="M1561">
        <f>IFERROR(IF(AND(H1561&lt;&gt;"",H1561&gt;=129,H1561&lt;=2176),INDEX(Fields!$K$2:$K$206,MATCH(H1561-129,Fields!$D$2:$D$206,1)),""),"")</f>
        <v/>
      </c>
    </row>
    <row r="1562">
      <c r="A1562" t="n">
        <v>1560</v>
      </c>
      <c r="B1562" t="n">
        <v>0</v>
      </c>
      <c r="C1562" t="inlineStr">
        <is>
          <t>No</t>
        </is>
      </c>
      <c r="D1562">
        <f>IF(AND(B1557=1,B1558=1,B1559=1,B1560=1,B1561=1),"Yes","")</f>
        <v/>
      </c>
      <c r="E1562" t="inlineStr">
        <is>
          <t>No</t>
        </is>
      </c>
      <c r="F1562" t="inlineStr">
        <is>
          <t>No</t>
        </is>
      </c>
      <c r="G1562">
        <f>IF(F1562="Yes",1-B1562,B1562)</f>
        <v/>
      </c>
      <c r="H1562">
        <f>IF(E1562="Yes","",COUNTIFS($E$2:E1562,"No"))</f>
        <v/>
      </c>
      <c r="I1562">
        <f>IF(H1562="","",IF(H1562&lt;=128,"address",IF(H1562&lt;=600,"data1",IF(H1562&lt;=1264,"zero-run1",IF(H1562&lt;=1648,"data2",IF(H1562&lt;=2176,"zero-run2",IF(H1562&lt;=2192,"FCS","trailing")))))))</f>
        <v/>
      </c>
      <c r="J1562">
        <f>IFERROR(IF(AND(H1562&lt;&gt;"",H1562&gt;=129,H1562&lt;=2176),INDEX(Fields!$B$2:$B$206,MATCH(H1562-129,Fields!$D$2:$D$206,1)),""),"")</f>
        <v/>
      </c>
      <c r="K1562">
        <f>IFERROR(IF(AND(H1562&lt;&gt;"",H1562&gt;=129,H1562&lt;=2176),INDEX(Fields!$C$2:$C$206,MATCH(H1562-129,Fields!$D$2:$D$206,1)),""),"")</f>
        <v/>
      </c>
      <c r="L1562">
        <f>IFERROR(IF(AND(H1562&lt;&gt;"",H1562&gt;=129,H1562&lt;=2176),INDEX(Fields!$J$2:$J$206,MATCH(H1562-129,Fields!$D$2:$D$206,1)),""),"")</f>
        <v/>
      </c>
      <c r="M1562">
        <f>IFERROR(IF(AND(H1562&lt;&gt;"",H1562&gt;=129,H1562&lt;=2176),INDEX(Fields!$K$2:$K$206,MATCH(H1562-129,Fields!$D$2:$D$206,1)),""),"")</f>
        <v/>
      </c>
    </row>
    <row r="1563">
      <c r="A1563" t="n">
        <v>1561</v>
      </c>
      <c r="B1563" t="n">
        <v>0</v>
      </c>
      <c r="C1563" t="inlineStr">
        <is>
          <t>No</t>
        </is>
      </c>
      <c r="D1563">
        <f>IF(AND(B1558=1,B1559=1,B1560=1,B1561=1,B1562=1),"Yes","")</f>
        <v/>
      </c>
      <c r="E1563" t="inlineStr">
        <is>
          <t>No</t>
        </is>
      </c>
      <c r="F1563" t="inlineStr">
        <is>
          <t>No</t>
        </is>
      </c>
      <c r="G1563">
        <f>IF(F1563="Yes",1-B1563,B1563)</f>
        <v/>
      </c>
      <c r="H1563">
        <f>IF(E1563="Yes","",COUNTIFS($E$2:E1563,"No"))</f>
        <v/>
      </c>
      <c r="I1563">
        <f>IF(H1563="","",IF(H1563&lt;=128,"address",IF(H1563&lt;=600,"data1",IF(H1563&lt;=1264,"zero-run1",IF(H1563&lt;=1648,"data2",IF(H1563&lt;=2176,"zero-run2",IF(H1563&lt;=2192,"FCS","trailing")))))))</f>
        <v/>
      </c>
      <c r="J1563">
        <f>IFERROR(IF(AND(H1563&lt;&gt;"",H1563&gt;=129,H1563&lt;=2176),INDEX(Fields!$B$2:$B$206,MATCH(H1563-129,Fields!$D$2:$D$206,1)),""),"")</f>
        <v/>
      </c>
      <c r="K1563">
        <f>IFERROR(IF(AND(H1563&lt;&gt;"",H1563&gt;=129,H1563&lt;=2176),INDEX(Fields!$C$2:$C$206,MATCH(H1563-129,Fields!$D$2:$D$206,1)),""),"")</f>
        <v/>
      </c>
      <c r="L1563">
        <f>IFERROR(IF(AND(H1563&lt;&gt;"",H1563&gt;=129,H1563&lt;=2176),INDEX(Fields!$J$2:$J$206,MATCH(H1563-129,Fields!$D$2:$D$206,1)),""),"")</f>
        <v/>
      </c>
      <c r="M1563">
        <f>IFERROR(IF(AND(H1563&lt;&gt;"",H1563&gt;=129,H1563&lt;=2176),INDEX(Fields!$K$2:$K$206,MATCH(H1563-129,Fields!$D$2:$D$206,1)),""),"")</f>
        <v/>
      </c>
    </row>
    <row r="1564">
      <c r="A1564" t="n">
        <v>1562</v>
      </c>
      <c r="B1564" t="n">
        <v>0</v>
      </c>
      <c r="C1564" t="inlineStr">
        <is>
          <t>No</t>
        </is>
      </c>
      <c r="D1564">
        <f>IF(AND(B1559=1,B1560=1,B1561=1,B1562=1,B1563=1),"Yes","")</f>
        <v/>
      </c>
      <c r="E1564" t="inlineStr">
        <is>
          <t>No</t>
        </is>
      </c>
      <c r="F1564" t="inlineStr">
        <is>
          <t>No</t>
        </is>
      </c>
      <c r="G1564">
        <f>IF(F1564="Yes",1-B1564,B1564)</f>
        <v/>
      </c>
      <c r="H1564">
        <f>IF(E1564="Yes","",COUNTIFS($E$2:E1564,"No"))</f>
        <v/>
      </c>
      <c r="I1564">
        <f>IF(H1564="","",IF(H1564&lt;=128,"address",IF(H1564&lt;=600,"data1",IF(H1564&lt;=1264,"zero-run1",IF(H1564&lt;=1648,"data2",IF(H1564&lt;=2176,"zero-run2",IF(H1564&lt;=2192,"FCS","trailing")))))))</f>
        <v/>
      </c>
      <c r="J1564">
        <f>IFERROR(IF(AND(H1564&lt;&gt;"",H1564&gt;=129,H1564&lt;=2176),INDEX(Fields!$B$2:$B$206,MATCH(H1564-129,Fields!$D$2:$D$206,1)),""),"")</f>
        <v/>
      </c>
      <c r="K1564">
        <f>IFERROR(IF(AND(H1564&lt;&gt;"",H1564&gt;=129,H1564&lt;=2176),INDEX(Fields!$C$2:$C$206,MATCH(H1564-129,Fields!$D$2:$D$206,1)),""),"")</f>
        <v/>
      </c>
      <c r="L1564">
        <f>IFERROR(IF(AND(H1564&lt;&gt;"",H1564&gt;=129,H1564&lt;=2176),INDEX(Fields!$J$2:$J$206,MATCH(H1564-129,Fields!$D$2:$D$206,1)),""),"")</f>
        <v/>
      </c>
      <c r="M1564">
        <f>IFERROR(IF(AND(H1564&lt;&gt;"",H1564&gt;=129,H1564&lt;=2176),INDEX(Fields!$K$2:$K$206,MATCH(H1564-129,Fields!$D$2:$D$206,1)),""),"")</f>
        <v/>
      </c>
    </row>
    <row r="1565">
      <c r="A1565" t="n">
        <v>1563</v>
      </c>
      <c r="B1565" t="n">
        <v>1</v>
      </c>
      <c r="C1565" t="inlineStr">
        <is>
          <t>No</t>
        </is>
      </c>
      <c r="D1565">
        <f>IF(AND(B1560=1,B1561=1,B1562=1,B1563=1,B1564=1),"Yes","")</f>
        <v/>
      </c>
      <c r="E1565" t="inlineStr">
        <is>
          <t>No</t>
        </is>
      </c>
      <c r="F1565" t="inlineStr">
        <is>
          <t>No</t>
        </is>
      </c>
      <c r="G1565">
        <f>IF(F1565="Yes",1-B1565,B1565)</f>
        <v/>
      </c>
      <c r="H1565">
        <f>IF(E1565="Yes","",COUNTIFS($E$2:E1565,"No"))</f>
        <v/>
      </c>
      <c r="I1565">
        <f>IF(H1565="","",IF(H1565&lt;=128,"address",IF(H1565&lt;=600,"data1",IF(H1565&lt;=1264,"zero-run1",IF(H1565&lt;=1648,"data2",IF(H1565&lt;=2176,"zero-run2",IF(H1565&lt;=2192,"FCS","trailing")))))))</f>
        <v/>
      </c>
      <c r="J1565">
        <f>IFERROR(IF(AND(H1565&lt;&gt;"",H1565&gt;=129,H1565&lt;=2176),INDEX(Fields!$B$2:$B$206,MATCH(H1565-129,Fields!$D$2:$D$206,1)),""),"")</f>
        <v/>
      </c>
      <c r="K1565">
        <f>IFERROR(IF(AND(H1565&lt;&gt;"",H1565&gt;=129,H1565&lt;=2176),INDEX(Fields!$C$2:$C$206,MATCH(H1565-129,Fields!$D$2:$D$206,1)),""),"")</f>
        <v/>
      </c>
      <c r="L1565">
        <f>IFERROR(IF(AND(H1565&lt;&gt;"",H1565&gt;=129,H1565&lt;=2176),INDEX(Fields!$J$2:$J$206,MATCH(H1565-129,Fields!$D$2:$D$206,1)),""),"")</f>
        <v/>
      </c>
      <c r="M1565">
        <f>IFERROR(IF(AND(H1565&lt;&gt;"",H1565&gt;=129,H1565&lt;=2176),INDEX(Fields!$K$2:$K$206,MATCH(H1565-129,Fields!$D$2:$D$206,1)),""),"")</f>
        <v/>
      </c>
    </row>
    <row r="1566">
      <c r="A1566" t="n">
        <v>1564</v>
      </c>
      <c r="B1566" t="n">
        <v>1</v>
      </c>
      <c r="C1566" t="inlineStr">
        <is>
          <t>No</t>
        </is>
      </c>
      <c r="D1566">
        <f>IF(AND(B1561=1,B1562=1,B1563=1,B1564=1,B1565=1),"Yes","")</f>
        <v/>
      </c>
      <c r="E1566" t="inlineStr">
        <is>
          <t>No</t>
        </is>
      </c>
      <c r="F1566" t="inlineStr">
        <is>
          <t>No</t>
        </is>
      </c>
      <c r="G1566">
        <f>IF(F1566="Yes",1-B1566,B1566)</f>
        <v/>
      </c>
      <c r="H1566">
        <f>IF(E1566="Yes","",COUNTIFS($E$2:E1566,"No"))</f>
        <v/>
      </c>
      <c r="I1566">
        <f>IF(H1566="","",IF(H1566&lt;=128,"address",IF(H1566&lt;=600,"data1",IF(H1566&lt;=1264,"zero-run1",IF(H1566&lt;=1648,"data2",IF(H1566&lt;=2176,"zero-run2",IF(H1566&lt;=2192,"FCS","trailing")))))))</f>
        <v/>
      </c>
      <c r="J1566">
        <f>IFERROR(IF(AND(H1566&lt;&gt;"",H1566&gt;=129,H1566&lt;=2176),INDEX(Fields!$B$2:$B$206,MATCH(H1566-129,Fields!$D$2:$D$206,1)),""),"")</f>
        <v/>
      </c>
      <c r="K1566">
        <f>IFERROR(IF(AND(H1566&lt;&gt;"",H1566&gt;=129,H1566&lt;=2176),INDEX(Fields!$C$2:$C$206,MATCH(H1566-129,Fields!$D$2:$D$206,1)),""),"")</f>
        <v/>
      </c>
      <c r="L1566">
        <f>IFERROR(IF(AND(H1566&lt;&gt;"",H1566&gt;=129,H1566&lt;=2176),INDEX(Fields!$J$2:$J$206,MATCH(H1566-129,Fields!$D$2:$D$206,1)),""),"")</f>
        <v/>
      </c>
      <c r="M1566">
        <f>IFERROR(IF(AND(H1566&lt;&gt;"",H1566&gt;=129,H1566&lt;=2176),INDEX(Fields!$K$2:$K$206,MATCH(H1566-129,Fields!$D$2:$D$206,1)),""),"")</f>
        <v/>
      </c>
    </row>
    <row r="1567">
      <c r="A1567" t="n">
        <v>1565</v>
      </c>
      <c r="B1567" t="n">
        <v>0</v>
      </c>
      <c r="C1567" s="4" t="inlineStr">
        <is>
          <t>Yes</t>
        </is>
      </c>
      <c r="D1567">
        <f>IF(AND(B1562=1,B1563=1,B1564=1,B1565=1,B1566=1),"Yes","")</f>
        <v/>
      </c>
      <c r="E1567" t="inlineStr">
        <is>
          <t>No</t>
        </is>
      </c>
      <c r="F1567" t="inlineStr">
        <is>
          <t>No</t>
        </is>
      </c>
      <c r="G1567">
        <f>IF(F1567="Yes",1-B1567,B1567)</f>
        <v/>
      </c>
      <c r="H1567">
        <f>IF(E1567="Yes","",COUNTIFS($E$2:E1567,"No"))</f>
        <v/>
      </c>
      <c r="I1567">
        <f>IF(H1567="","",IF(H1567&lt;=128,"address",IF(H1567&lt;=600,"data1",IF(H1567&lt;=1264,"zero-run1",IF(H1567&lt;=1648,"data2",IF(H1567&lt;=2176,"zero-run2",IF(H1567&lt;=2192,"FCS","trailing")))))))</f>
        <v/>
      </c>
      <c r="J1567">
        <f>IFERROR(IF(AND(H1567&lt;&gt;"",H1567&gt;=129,H1567&lt;=2176),INDEX(Fields!$B$2:$B$206,MATCH(H1567-129,Fields!$D$2:$D$206,1)),""),"")</f>
        <v/>
      </c>
      <c r="K1567">
        <f>IFERROR(IF(AND(H1567&lt;&gt;"",H1567&gt;=129,H1567&lt;=2176),INDEX(Fields!$C$2:$C$206,MATCH(H1567-129,Fields!$D$2:$D$206,1)),""),"")</f>
        <v/>
      </c>
      <c r="L1567">
        <f>IFERROR(IF(AND(H1567&lt;&gt;"",H1567&gt;=129,H1567&lt;=2176),INDEX(Fields!$J$2:$J$206,MATCH(H1567-129,Fields!$D$2:$D$206,1)),""),"")</f>
        <v/>
      </c>
      <c r="M1567">
        <f>IFERROR(IF(AND(H1567&lt;&gt;"",H1567&gt;=129,H1567&lt;=2176),INDEX(Fields!$K$2:$K$206,MATCH(H1567-129,Fields!$D$2:$D$206,1)),""),"")</f>
        <v/>
      </c>
    </row>
    <row r="1568">
      <c r="A1568" t="n">
        <v>1566</v>
      </c>
      <c r="B1568" t="n">
        <v>1</v>
      </c>
      <c r="C1568" t="inlineStr">
        <is>
          <t>No</t>
        </is>
      </c>
      <c r="D1568">
        <f>IF(AND(B1563=1,B1564=1,B1565=1,B1566=1,B1567=1),"Yes","")</f>
        <v/>
      </c>
      <c r="E1568" t="inlineStr">
        <is>
          <t>No</t>
        </is>
      </c>
      <c r="F1568" t="inlineStr">
        <is>
          <t>No</t>
        </is>
      </c>
      <c r="G1568">
        <f>IF(F1568="Yes",1-B1568,B1568)</f>
        <v/>
      </c>
      <c r="H1568">
        <f>IF(E1568="Yes","",COUNTIFS($E$2:E1568,"No"))</f>
        <v/>
      </c>
      <c r="I1568">
        <f>IF(H1568="","",IF(H1568&lt;=128,"address",IF(H1568&lt;=600,"data1",IF(H1568&lt;=1264,"zero-run1",IF(H1568&lt;=1648,"data2",IF(H1568&lt;=2176,"zero-run2",IF(H1568&lt;=2192,"FCS","trailing")))))))</f>
        <v/>
      </c>
      <c r="J1568">
        <f>IFERROR(IF(AND(H1568&lt;&gt;"",H1568&gt;=129,H1568&lt;=2176),INDEX(Fields!$B$2:$B$206,MATCH(H1568-129,Fields!$D$2:$D$206,1)),""),"")</f>
        <v/>
      </c>
      <c r="K1568">
        <f>IFERROR(IF(AND(H1568&lt;&gt;"",H1568&gt;=129,H1568&lt;=2176),INDEX(Fields!$C$2:$C$206,MATCH(H1568-129,Fields!$D$2:$D$206,1)),""),"")</f>
        <v/>
      </c>
      <c r="L1568">
        <f>IFERROR(IF(AND(H1568&lt;&gt;"",H1568&gt;=129,H1568&lt;=2176),INDEX(Fields!$J$2:$J$206,MATCH(H1568-129,Fields!$D$2:$D$206,1)),""),"")</f>
        <v/>
      </c>
      <c r="M1568">
        <f>IFERROR(IF(AND(H1568&lt;&gt;"",H1568&gt;=129,H1568&lt;=2176),INDEX(Fields!$K$2:$K$206,MATCH(H1568-129,Fields!$D$2:$D$206,1)),""),"")</f>
        <v/>
      </c>
    </row>
    <row r="1569">
      <c r="A1569" t="n">
        <v>1567</v>
      </c>
      <c r="B1569" t="n">
        <v>1</v>
      </c>
      <c r="C1569" t="inlineStr">
        <is>
          <t>No</t>
        </is>
      </c>
      <c r="D1569">
        <f>IF(AND(B1564=1,B1565=1,B1566=1,B1567=1,B1568=1),"Yes","")</f>
        <v/>
      </c>
      <c r="E1569" t="inlineStr">
        <is>
          <t>No</t>
        </is>
      </c>
      <c r="F1569" t="inlineStr">
        <is>
          <t>No</t>
        </is>
      </c>
      <c r="G1569">
        <f>IF(F1569="Yes",1-B1569,B1569)</f>
        <v/>
      </c>
      <c r="H1569">
        <f>IF(E1569="Yes","",COUNTIFS($E$2:E1569,"No"))</f>
        <v/>
      </c>
      <c r="I1569">
        <f>IF(H1569="","",IF(H1569&lt;=128,"address",IF(H1569&lt;=600,"data1",IF(H1569&lt;=1264,"zero-run1",IF(H1569&lt;=1648,"data2",IF(H1569&lt;=2176,"zero-run2",IF(H1569&lt;=2192,"FCS","trailing")))))))</f>
        <v/>
      </c>
      <c r="J1569">
        <f>IFERROR(IF(AND(H1569&lt;&gt;"",H1569&gt;=129,H1569&lt;=2176),INDEX(Fields!$B$2:$B$206,MATCH(H1569-129,Fields!$D$2:$D$206,1)),""),"")</f>
        <v/>
      </c>
      <c r="K1569">
        <f>IFERROR(IF(AND(H1569&lt;&gt;"",H1569&gt;=129,H1569&lt;=2176),INDEX(Fields!$C$2:$C$206,MATCH(H1569-129,Fields!$D$2:$D$206,1)),""),"")</f>
        <v/>
      </c>
      <c r="L1569">
        <f>IFERROR(IF(AND(H1569&lt;&gt;"",H1569&gt;=129,H1569&lt;=2176),INDEX(Fields!$J$2:$J$206,MATCH(H1569-129,Fields!$D$2:$D$206,1)),""),"")</f>
        <v/>
      </c>
      <c r="M1569">
        <f>IFERROR(IF(AND(H1569&lt;&gt;"",H1569&gt;=129,H1569&lt;=2176),INDEX(Fields!$K$2:$K$206,MATCH(H1569-129,Fields!$D$2:$D$206,1)),""),"")</f>
        <v/>
      </c>
    </row>
    <row r="1570">
      <c r="A1570" t="n">
        <v>1568</v>
      </c>
      <c r="B1570" t="n">
        <v>1</v>
      </c>
      <c r="C1570" t="inlineStr">
        <is>
          <t>No</t>
        </is>
      </c>
      <c r="D1570">
        <f>IF(AND(B1565=1,B1566=1,B1567=1,B1568=1,B1569=1),"Yes","")</f>
        <v/>
      </c>
      <c r="E1570" t="inlineStr">
        <is>
          <t>No</t>
        </is>
      </c>
      <c r="F1570" t="inlineStr">
        <is>
          <t>No</t>
        </is>
      </c>
      <c r="G1570">
        <f>IF(F1570="Yes",1-B1570,B1570)</f>
        <v/>
      </c>
      <c r="H1570">
        <f>IF(E1570="Yes","",COUNTIFS($E$2:E1570,"No"))</f>
        <v/>
      </c>
      <c r="I1570">
        <f>IF(H1570="","",IF(H1570&lt;=128,"address",IF(H1570&lt;=600,"data1",IF(H1570&lt;=1264,"zero-run1",IF(H1570&lt;=1648,"data2",IF(H1570&lt;=2176,"zero-run2",IF(H1570&lt;=2192,"FCS","trailing")))))))</f>
        <v/>
      </c>
      <c r="J1570">
        <f>IFERROR(IF(AND(H1570&lt;&gt;"",H1570&gt;=129,H1570&lt;=2176),INDEX(Fields!$B$2:$B$206,MATCH(H1570-129,Fields!$D$2:$D$206,1)),""),"")</f>
        <v/>
      </c>
      <c r="K1570">
        <f>IFERROR(IF(AND(H1570&lt;&gt;"",H1570&gt;=129,H1570&lt;=2176),INDEX(Fields!$C$2:$C$206,MATCH(H1570-129,Fields!$D$2:$D$206,1)),""),"")</f>
        <v/>
      </c>
      <c r="L1570">
        <f>IFERROR(IF(AND(H1570&lt;&gt;"",H1570&gt;=129,H1570&lt;=2176),INDEX(Fields!$J$2:$J$206,MATCH(H1570-129,Fields!$D$2:$D$206,1)),""),"")</f>
        <v/>
      </c>
      <c r="M1570">
        <f>IFERROR(IF(AND(H1570&lt;&gt;"",H1570&gt;=129,H1570&lt;=2176),INDEX(Fields!$K$2:$K$206,MATCH(H1570-129,Fields!$D$2:$D$206,1)),""),"")</f>
        <v/>
      </c>
    </row>
    <row r="1571">
      <c r="A1571" t="n">
        <v>1569</v>
      </c>
      <c r="B1571" t="n">
        <v>1</v>
      </c>
      <c r="C1571" t="inlineStr">
        <is>
          <t>No</t>
        </is>
      </c>
      <c r="D1571">
        <f>IF(AND(B1566=1,B1567=1,B1568=1,B1569=1,B1570=1),"Yes","")</f>
        <v/>
      </c>
      <c r="E1571" t="inlineStr">
        <is>
          <t>No</t>
        </is>
      </c>
      <c r="F1571" t="inlineStr">
        <is>
          <t>No</t>
        </is>
      </c>
      <c r="G1571">
        <f>IF(F1571="Yes",1-B1571,B1571)</f>
        <v/>
      </c>
      <c r="H1571">
        <f>IF(E1571="Yes","",COUNTIFS($E$2:E1571,"No"))</f>
        <v/>
      </c>
      <c r="I1571">
        <f>IF(H1571="","",IF(H1571&lt;=128,"address",IF(H1571&lt;=600,"data1",IF(H1571&lt;=1264,"zero-run1",IF(H1571&lt;=1648,"data2",IF(H1571&lt;=2176,"zero-run2",IF(H1571&lt;=2192,"FCS","trailing")))))))</f>
        <v/>
      </c>
      <c r="J1571">
        <f>IFERROR(IF(AND(H1571&lt;&gt;"",H1571&gt;=129,H1571&lt;=2176),INDEX(Fields!$B$2:$B$206,MATCH(H1571-129,Fields!$D$2:$D$206,1)),""),"")</f>
        <v/>
      </c>
      <c r="K1571">
        <f>IFERROR(IF(AND(H1571&lt;&gt;"",H1571&gt;=129,H1571&lt;=2176),INDEX(Fields!$C$2:$C$206,MATCH(H1571-129,Fields!$D$2:$D$206,1)),""),"")</f>
        <v/>
      </c>
      <c r="L1571">
        <f>IFERROR(IF(AND(H1571&lt;&gt;"",H1571&gt;=129,H1571&lt;=2176),INDEX(Fields!$J$2:$J$206,MATCH(H1571-129,Fields!$D$2:$D$206,1)),""),"")</f>
        <v/>
      </c>
      <c r="M1571">
        <f>IFERROR(IF(AND(H1571&lt;&gt;"",H1571&gt;=129,H1571&lt;=2176),INDEX(Fields!$K$2:$K$206,MATCH(H1571-129,Fields!$D$2:$D$206,1)),""),"")</f>
        <v/>
      </c>
    </row>
    <row r="1572">
      <c r="A1572" t="n">
        <v>1570</v>
      </c>
      <c r="B1572" t="n">
        <v>1</v>
      </c>
      <c r="C1572" t="inlineStr">
        <is>
          <t>No</t>
        </is>
      </c>
      <c r="D1572">
        <f>IF(AND(B1567=1,B1568=1,B1569=1,B1570=1,B1571=1),"Yes","")</f>
        <v/>
      </c>
      <c r="E1572" t="inlineStr">
        <is>
          <t>No</t>
        </is>
      </c>
      <c r="F1572" t="inlineStr">
        <is>
          <t>No</t>
        </is>
      </c>
      <c r="G1572">
        <f>IF(F1572="Yes",1-B1572,B1572)</f>
        <v/>
      </c>
      <c r="H1572">
        <f>IF(E1572="Yes","",COUNTIFS($E$2:E1572,"No"))</f>
        <v/>
      </c>
      <c r="I1572">
        <f>IF(H1572="","",IF(H1572&lt;=128,"address",IF(H1572&lt;=600,"data1",IF(H1572&lt;=1264,"zero-run1",IF(H1572&lt;=1648,"data2",IF(H1572&lt;=2176,"zero-run2",IF(H1572&lt;=2192,"FCS","trailing")))))))</f>
        <v/>
      </c>
      <c r="J1572">
        <f>IFERROR(IF(AND(H1572&lt;&gt;"",H1572&gt;=129,H1572&lt;=2176),INDEX(Fields!$B$2:$B$206,MATCH(H1572-129,Fields!$D$2:$D$206,1)),""),"")</f>
        <v/>
      </c>
      <c r="K1572">
        <f>IFERROR(IF(AND(H1572&lt;&gt;"",H1572&gt;=129,H1572&lt;=2176),INDEX(Fields!$C$2:$C$206,MATCH(H1572-129,Fields!$D$2:$D$206,1)),""),"")</f>
        <v/>
      </c>
      <c r="L1572">
        <f>IFERROR(IF(AND(H1572&lt;&gt;"",H1572&gt;=129,H1572&lt;=2176),INDEX(Fields!$J$2:$J$206,MATCH(H1572-129,Fields!$D$2:$D$206,1)),""),"")</f>
        <v/>
      </c>
      <c r="M1572">
        <f>IFERROR(IF(AND(H1572&lt;&gt;"",H1572&gt;=129,H1572&lt;=2176),INDEX(Fields!$K$2:$K$206,MATCH(H1572-129,Fields!$D$2:$D$206,1)),""),"")</f>
        <v/>
      </c>
    </row>
    <row r="1573">
      <c r="A1573" t="n">
        <v>1571</v>
      </c>
      <c r="B1573" t="n">
        <v>0</v>
      </c>
      <c r="C1573" t="inlineStr">
        <is>
          <t>No</t>
        </is>
      </c>
      <c r="D1573" s="4">
        <f>IF(AND(B1568=1,B1569=1,B1570=1,B1571=1,B1572=1),"Yes","")</f>
        <v/>
      </c>
      <c r="E1573" t="inlineStr">
        <is>
          <t>No</t>
        </is>
      </c>
      <c r="F1573" t="inlineStr">
        <is>
          <t>No</t>
        </is>
      </c>
      <c r="G1573">
        <f>IF(F1573="Yes",1-B1573,B1573)</f>
        <v/>
      </c>
      <c r="H1573">
        <f>IF(E1573="Yes","",COUNTIFS($E$2:E1573,"No"))</f>
        <v/>
      </c>
      <c r="I1573">
        <f>IF(H1573="","",IF(H1573&lt;=128,"address",IF(H1573&lt;=600,"data1",IF(H1573&lt;=1264,"zero-run1",IF(H1573&lt;=1648,"data2",IF(H1573&lt;=2176,"zero-run2",IF(H1573&lt;=2192,"FCS","trailing")))))))</f>
        <v/>
      </c>
      <c r="J1573">
        <f>IFERROR(IF(AND(H1573&lt;&gt;"",H1573&gt;=129,H1573&lt;=2176),INDEX(Fields!$B$2:$B$206,MATCH(H1573-129,Fields!$D$2:$D$206,1)),""),"")</f>
        <v/>
      </c>
      <c r="K1573">
        <f>IFERROR(IF(AND(H1573&lt;&gt;"",H1573&gt;=129,H1573&lt;=2176),INDEX(Fields!$C$2:$C$206,MATCH(H1573-129,Fields!$D$2:$D$206,1)),""),"")</f>
        <v/>
      </c>
      <c r="L1573">
        <f>IFERROR(IF(AND(H1573&lt;&gt;"",H1573&gt;=129,H1573&lt;=2176),INDEX(Fields!$J$2:$J$206,MATCH(H1573-129,Fields!$D$2:$D$206,1)),""),"")</f>
        <v/>
      </c>
      <c r="M1573">
        <f>IFERROR(IF(AND(H1573&lt;&gt;"",H1573&gt;=129,H1573&lt;=2176),INDEX(Fields!$K$2:$K$206,MATCH(H1573-129,Fields!$D$2:$D$206,1)),""),"")</f>
        <v/>
      </c>
    </row>
    <row r="1574">
      <c r="A1574" t="n">
        <v>1572</v>
      </c>
      <c r="B1574" t="n">
        <v>1</v>
      </c>
      <c r="C1574" t="inlineStr">
        <is>
          <t>No</t>
        </is>
      </c>
      <c r="D1574">
        <f>IF(AND(B1569=1,B1570=1,B1571=1,B1572=1,B1573=1),"Yes","")</f>
        <v/>
      </c>
      <c r="E1574" t="inlineStr">
        <is>
          <t>No</t>
        </is>
      </c>
      <c r="F1574" t="inlineStr">
        <is>
          <t>No</t>
        </is>
      </c>
      <c r="G1574">
        <f>IF(F1574="Yes",1-B1574,B1574)</f>
        <v/>
      </c>
      <c r="H1574">
        <f>IF(E1574="Yes","",COUNTIFS($E$2:E1574,"No"))</f>
        <v/>
      </c>
      <c r="I1574">
        <f>IF(H1574="","",IF(H1574&lt;=128,"address",IF(H1574&lt;=600,"data1",IF(H1574&lt;=1264,"zero-run1",IF(H1574&lt;=1648,"data2",IF(H1574&lt;=2176,"zero-run2",IF(H1574&lt;=2192,"FCS","trailing")))))))</f>
        <v/>
      </c>
      <c r="J1574">
        <f>IFERROR(IF(AND(H1574&lt;&gt;"",H1574&gt;=129,H1574&lt;=2176),INDEX(Fields!$B$2:$B$206,MATCH(H1574-129,Fields!$D$2:$D$206,1)),""),"")</f>
        <v/>
      </c>
      <c r="K1574">
        <f>IFERROR(IF(AND(H1574&lt;&gt;"",H1574&gt;=129,H1574&lt;=2176),INDEX(Fields!$C$2:$C$206,MATCH(H1574-129,Fields!$D$2:$D$206,1)),""),"")</f>
        <v/>
      </c>
      <c r="L1574">
        <f>IFERROR(IF(AND(H1574&lt;&gt;"",H1574&gt;=129,H1574&lt;=2176),INDEX(Fields!$J$2:$J$206,MATCH(H1574-129,Fields!$D$2:$D$206,1)),""),"")</f>
        <v/>
      </c>
      <c r="M1574">
        <f>IFERROR(IF(AND(H1574&lt;&gt;"",H1574&gt;=129,H1574&lt;=2176),INDEX(Fields!$K$2:$K$206,MATCH(H1574-129,Fields!$D$2:$D$206,1)),""),"")</f>
        <v/>
      </c>
    </row>
    <row r="1575">
      <c r="A1575" t="n">
        <v>1573</v>
      </c>
      <c r="B1575" t="n">
        <v>1</v>
      </c>
      <c r="C1575" t="inlineStr">
        <is>
          <t>No</t>
        </is>
      </c>
      <c r="D1575">
        <f>IF(AND(B1570=1,B1571=1,B1572=1,B1573=1,B1574=1),"Yes","")</f>
        <v/>
      </c>
      <c r="E1575" t="inlineStr">
        <is>
          <t>No</t>
        </is>
      </c>
      <c r="F1575" t="inlineStr">
        <is>
          <t>No</t>
        </is>
      </c>
      <c r="G1575">
        <f>IF(F1575="Yes",1-B1575,B1575)</f>
        <v/>
      </c>
      <c r="H1575">
        <f>IF(E1575="Yes","",COUNTIFS($E$2:E1575,"No"))</f>
        <v/>
      </c>
      <c r="I1575">
        <f>IF(H1575="","",IF(H1575&lt;=128,"address",IF(H1575&lt;=600,"data1",IF(H1575&lt;=1264,"zero-run1",IF(H1575&lt;=1648,"data2",IF(H1575&lt;=2176,"zero-run2",IF(H1575&lt;=2192,"FCS","trailing")))))))</f>
        <v/>
      </c>
      <c r="J1575">
        <f>IFERROR(IF(AND(H1575&lt;&gt;"",H1575&gt;=129,H1575&lt;=2176),INDEX(Fields!$B$2:$B$206,MATCH(H1575-129,Fields!$D$2:$D$206,1)),""),"")</f>
        <v/>
      </c>
      <c r="K1575">
        <f>IFERROR(IF(AND(H1575&lt;&gt;"",H1575&gt;=129,H1575&lt;=2176),INDEX(Fields!$C$2:$C$206,MATCH(H1575-129,Fields!$D$2:$D$206,1)),""),"")</f>
        <v/>
      </c>
      <c r="L1575">
        <f>IFERROR(IF(AND(H1575&lt;&gt;"",H1575&gt;=129,H1575&lt;=2176),INDEX(Fields!$J$2:$J$206,MATCH(H1575-129,Fields!$D$2:$D$206,1)),""),"")</f>
        <v/>
      </c>
      <c r="M1575">
        <f>IFERROR(IF(AND(H1575&lt;&gt;"",H1575&gt;=129,H1575&lt;=2176),INDEX(Fields!$K$2:$K$206,MATCH(H1575-129,Fields!$D$2:$D$206,1)),""),"")</f>
        <v/>
      </c>
    </row>
    <row r="1576">
      <c r="A1576" t="n">
        <v>1574</v>
      </c>
      <c r="B1576" t="n">
        <v>1</v>
      </c>
      <c r="C1576" s="4" t="inlineStr">
        <is>
          <t>Yes</t>
        </is>
      </c>
      <c r="D1576">
        <f>IF(AND(B1571=1,B1572=1,B1573=1,B1574=1,B1575=1),"Yes","")</f>
        <v/>
      </c>
      <c r="E1576" t="inlineStr">
        <is>
          <t>No</t>
        </is>
      </c>
      <c r="F1576" t="inlineStr">
        <is>
          <t>No</t>
        </is>
      </c>
      <c r="G1576">
        <f>IF(F1576="Yes",1-B1576,B1576)</f>
        <v/>
      </c>
      <c r="H1576">
        <f>IF(E1576="Yes","",COUNTIFS($E$2:E1576,"No"))</f>
        <v/>
      </c>
      <c r="I1576">
        <f>IF(H1576="","",IF(H1576&lt;=128,"address",IF(H1576&lt;=600,"data1",IF(H1576&lt;=1264,"zero-run1",IF(H1576&lt;=1648,"data2",IF(H1576&lt;=2176,"zero-run2",IF(H1576&lt;=2192,"FCS","trailing")))))))</f>
        <v/>
      </c>
      <c r="J1576">
        <f>IFERROR(IF(AND(H1576&lt;&gt;"",H1576&gt;=129,H1576&lt;=2176),INDEX(Fields!$B$2:$B$206,MATCH(H1576-129,Fields!$D$2:$D$206,1)),""),"")</f>
        <v/>
      </c>
      <c r="K1576">
        <f>IFERROR(IF(AND(H1576&lt;&gt;"",H1576&gt;=129,H1576&lt;=2176),INDEX(Fields!$C$2:$C$206,MATCH(H1576-129,Fields!$D$2:$D$206,1)),""),"")</f>
        <v/>
      </c>
      <c r="L1576">
        <f>IFERROR(IF(AND(H1576&lt;&gt;"",H1576&gt;=129,H1576&lt;=2176),INDEX(Fields!$J$2:$J$206,MATCH(H1576-129,Fields!$D$2:$D$206,1)),""),"")</f>
        <v/>
      </c>
      <c r="M1576">
        <f>IFERROR(IF(AND(H1576&lt;&gt;"",H1576&gt;=129,H1576&lt;=2176),INDEX(Fields!$K$2:$K$206,MATCH(H1576-129,Fields!$D$2:$D$206,1)),""),"")</f>
        <v/>
      </c>
    </row>
    <row r="1577">
      <c r="A1577" t="n">
        <v>1575</v>
      </c>
      <c r="B1577" t="n">
        <v>1</v>
      </c>
      <c r="C1577" t="inlineStr">
        <is>
          <t>No</t>
        </is>
      </c>
      <c r="D1577">
        <f>IF(AND(B1572=1,B1573=1,B1574=1,B1575=1,B1576=1),"Yes","")</f>
        <v/>
      </c>
      <c r="E1577" t="inlineStr">
        <is>
          <t>No</t>
        </is>
      </c>
      <c r="F1577" t="inlineStr">
        <is>
          <t>No</t>
        </is>
      </c>
      <c r="G1577">
        <f>IF(F1577="Yes",1-B1577,B1577)</f>
        <v/>
      </c>
      <c r="H1577">
        <f>IF(E1577="Yes","",COUNTIFS($E$2:E1577,"No"))</f>
        <v/>
      </c>
      <c r="I1577">
        <f>IF(H1577="","",IF(H1577&lt;=128,"address",IF(H1577&lt;=600,"data1",IF(H1577&lt;=1264,"zero-run1",IF(H1577&lt;=1648,"data2",IF(H1577&lt;=2176,"zero-run2",IF(H1577&lt;=2192,"FCS","trailing")))))))</f>
        <v/>
      </c>
      <c r="J1577">
        <f>IFERROR(IF(AND(H1577&lt;&gt;"",H1577&gt;=129,H1577&lt;=2176),INDEX(Fields!$B$2:$B$206,MATCH(H1577-129,Fields!$D$2:$D$206,1)),""),"")</f>
        <v/>
      </c>
      <c r="K1577">
        <f>IFERROR(IF(AND(H1577&lt;&gt;"",H1577&gt;=129,H1577&lt;=2176),INDEX(Fields!$C$2:$C$206,MATCH(H1577-129,Fields!$D$2:$D$206,1)),""),"")</f>
        <v/>
      </c>
      <c r="L1577">
        <f>IFERROR(IF(AND(H1577&lt;&gt;"",H1577&gt;=129,H1577&lt;=2176),INDEX(Fields!$J$2:$J$206,MATCH(H1577-129,Fields!$D$2:$D$206,1)),""),"")</f>
        <v/>
      </c>
      <c r="M1577">
        <f>IFERROR(IF(AND(H1577&lt;&gt;"",H1577&gt;=129,H1577&lt;=2176),INDEX(Fields!$K$2:$K$206,MATCH(H1577-129,Fields!$D$2:$D$206,1)),""),"")</f>
        <v/>
      </c>
    </row>
    <row r="1578">
      <c r="A1578" t="n">
        <v>1576</v>
      </c>
      <c r="B1578" t="n">
        <v>0</v>
      </c>
      <c r="C1578" t="inlineStr">
        <is>
          <t>No</t>
        </is>
      </c>
      <c r="D1578">
        <f>IF(AND(B1573=1,B1574=1,B1575=1,B1576=1,B1577=1),"Yes","")</f>
        <v/>
      </c>
      <c r="E1578" t="inlineStr">
        <is>
          <t>No</t>
        </is>
      </c>
      <c r="F1578" t="inlineStr">
        <is>
          <t>No</t>
        </is>
      </c>
      <c r="G1578">
        <f>IF(F1578="Yes",1-B1578,B1578)</f>
        <v/>
      </c>
      <c r="H1578">
        <f>IF(E1578="Yes","",COUNTIFS($E$2:E1578,"No"))</f>
        <v/>
      </c>
      <c r="I1578">
        <f>IF(H1578="","",IF(H1578&lt;=128,"address",IF(H1578&lt;=600,"data1",IF(H1578&lt;=1264,"zero-run1",IF(H1578&lt;=1648,"data2",IF(H1578&lt;=2176,"zero-run2",IF(H1578&lt;=2192,"FCS","trailing")))))))</f>
        <v/>
      </c>
      <c r="J1578">
        <f>IFERROR(IF(AND(H1578&lt;&gt;"",H1578&gt;=129,H1578&lt;=2176),INDEX(Fields!$B$2:$B$206,MATCH(H1578-129,Fields!$D$2:$D$206,1)),""),"")</f>
        <v/>
      </c>
      <c r="K1578">
        <f>IFERROR(IF(AND(H1578&lt;&gt;"",H1578&gt;=129,H1578&lt;=2176),INDEX(Fields!$C$2:$C$206,MATCH(H1578-129,Fields!$D$2:$D$206,1)),""),"")</f>
        <v/>
      </c>
      <c r="L1578">
        <f>IFERROR(IF(AND(H1578&lt;&gt;"",H1578&gt;=129,H1578&lt;=2176),INDEX(Fields!$J$2:$J$206,MATCH(H1578-129,Fields!$D$2:$D$206,1)),""),"")</f>
        <v/>
      </c>
      <c r="M1578">
        <f>IFERROR(IF(AND(H1578&lt;&gt;"",H1578&gt;=129,H1578&lt;=2176),INDEX(Fields!$K$2:$K$206,MATCH(H1578-129,Fields!$D$2:$D$206,1)),""),"")</f>
        <v/>
      </c>
    </row>
    <row r="1579">
      <c r="A1579" t="n">
        <v>1577</v>
      </c>
      <c r="B1579" t="n">
        <v>0</v>
      </c>
      <c r="C1579" t="inlineStr">
        <is>
          <t>No</t>
        </is>
      </c>
      <c r="D1579">
        <f>IF(AND(B1574=1,B1575=1,B1576=1,B1577=1,B1578=1),"Yes","")</f>
        <v/>
      </c>
      <c r="E1579" t="inlineStr">
        <is>
          <t>No</t>
        </is>
      </c>
      <c r="F1579" t="inlineStr">
        <is>
          <t>No</t>
        </is>
      </c>
      <c r="G1579">
        <f>IF(F1579="Yes",1-B1579,B1579)</f>
        <v/>
      </c>
      <c r="H1579">
        <f>IF(E1579="Yes","",COUNTIFS($E$2:E1579,"No"))</f>
        <v/>
      </c>
      <c r="I1579">
        <f>IF(H1579="","",IF(H1579&lt;=128,"address",IF(H1579&lt;=600,"data1",IF(H1579&lt;=1264,"zero-run1",IF(H1579&lt;=1648,"data2",IF(H1579&lt;=2176,"zero-run2",IF(H1579&lt;=2192,"FCS","trailing")))))))</f>
        <v/>
      </c>
      <c r="J1579">
        <f>IFERROR(IF(AND(H1579&lt;&gt;"",H1579&gt;=129,H1579&lt;=2176),INDEX(Fields!$B$2:$B$206,MATCH(H1579-129,Fields!$D$2:$D$206,1)),""),"")</f>
        <v/>
      </c>
      <c r="K1579">
        <f>IFERROR(IF(AND(H1579&lt;&gt;"",H1579&gt;=129,H1579&lt;=2176),INDEX(Fields!$C$2:$C$206,MATCH(H1579-129,Fields!$D$2:$D$206,1)),""),"")</f>
        <v/>
      </c>
      <c r="L1579">
        <f>IFERROR(IF(AND(H1579&lt;&gt;"",H1579&gt;=129,H1579&lt;=2176),INDEX(Fields!$J$2:$J$206,MATCH(H1579-129,Fields!$D$2:$D$206,1)),""),"")</f>
        <v/>
      </c>
      <c r="M1579">
        <f>IFERROR(IF(AND(H1579&lt;&gt;"",H1579&gt;=129,H1579&lt;=2176),INDEX(Fields!$K$2:$K$206,MATCH(H1579-129,Fields!$D$2:$D$206,1)),""),"")</f>
        <v/>
      </c>
    </row>
    <row r="1580">
      <c r="A1580" t="n">
        <v>1578</v>
      </c>
      <c r="B1580" t="n">
        <v>0</v>
      </c>
      <c r="C1580" t="inlineStr">
        <is>
          <t>No</t>
        </is>
      </c>
      <c r="D1580">
        <f>IF(AND(B1575=1,B1576=1,B1577=1,B1578=1,B1579=1),"Yes","")</f>
        <v/>
      </c>
      <c r="E1580" t="inlineStr">
        <is>
          <t>No</t>
        </is>
      </c>
      <c r="F1580" t="inlineStr">
        <is>
          <t>No</t>
        </is>
      </c>
      <c r="G1580">
        <f>IF(F1580="Yes",1-B1580,B1580)</f>
        <v/>
      </c>
      <c r="H1580">
        <f>IF(E1580="Yes","",COUNTIFS($E$2:E1580,"No"))</f>
        <v/>
      </c>
      <c r="I1580">
        <f>IF(H1580="","",IF(H1580&lt;=128,"address",IF(H1580&lt;=600,"data1",IF(H1580&lt;=1264,"zero-run1",IF(H1580&lt;=1648,"data2",IF(H1580&lt;=2176,"zero-run2",IF(H1580&lt;=2192,"FCS","trailing")))))))</f>
        <v/>
      </c>
      <c r="J1580">
        <f>IFERROR(IF(AND(H1580&lt;&gt;"",H1580&gt;=129,H1580&lt;=2176),INDEX(Fields!$B$2:$B$206,MATCH(H1580-129,Fields!$D$2:$D$206,1)),""),"")</f>
        <v/>
      </c>
      <c r="K1580">
        <f>IFERROR(IF(AND(H1580&lt;&gt;"",H1580&gt;=129,H1580&lt;=2176),INDEX(Fields!$C$2:$C$206,MATCH(H1580-129,Fields!$D$2:$D$206,1)),""),"")</f>
        <v/>
      </c>
      <c r="L1580">
        <f>IFERROR(IF(AND(H1580&lt;&gt;"",H1580&gt;=129,H1580&lt;=2176),INDEX(Fields!$J$2:$J$206,MATCH(H1580-129,Fields!$D$2:$D$206,1)),""),"")</f>
        <v/>
      </c>
      <c r="M1580">
        <f>IFERROR(IF(AND(H1580&lt;&gt;"",H1580&gt;=129,H1580&lt;=2176),INDEX(Fields!$K$2:$K$206,MATCH(H1580-129,Fields!$D$2:$D$206,1)),""),"")</f>
        <v/>
      </c>
    </row>
    <row r="1581">
      <c r="A1581" t="n">
        <v>1579</v>
      </c>
      <c r="B1581" t="n">
        <v>0</v>
      </c>
      <c r="C1581" t="inlineStr">
        <is>
          <t>No</t>
        </is>
      </c>
      <c r="D1581">
        <f>IF(AND(B1576=1,B1577=1,B1578=1,B1579=1,B1580=1),"Yes","")</f>
        <v/>
      </c>
      <c r="E1581" t="inlineStr">
        <is>
          <t>No</t>
        </is>
      </c>
      <c r="F1581" t="inlineStr">
        <is>
          <t>No</t>
        </is>
      </c>
      <c r="G1581">
        <f>IF(F1581="Yes",1-B1581,B1581)</f>
        <v/>
      </c>
      <c r="H1581">
        <f>IF(E1581="Yes","",COUNTIFS($E$2:E1581,"No"))</f>
        <v/>
      </c>
      <c r="I1581">
        <f>IF(H1581="","",IF(H1581&lt;=128,"address",IF(H1581&lt;=600,"data1",IF(H1581&lt;=1264,"zero-run1",IF(H1581&lt;=1648,"data2",IF(H1581&lt;=2176,"zero-run2",IF(H1581&lt;=2192,"FCS","trailing")))))))</f>
        <v/>
      </c>
      <c r="J1581">
        <f>IFERROR(IF(AND(H1581&lt;&gt;"",H1581&gt;=129,H1581&lt;=2176),INDEX(Fields!$B$2:$B$206,MATCH(H1581-129,Fields!$D$2:$D$206,1)),""),"")</f>
        <v/>
      </c>
      <c r="K1581">
        <f>IFERROR(IF(AND(H1581&lt;&gt;"",H1581&gt;=129,H1581&lt;=2176),INDEX(Fields!$C$2:$C$206,MATCH(H1581-129,Fields!$D$2:$D$206,1)),""),"")</f>
        <v/>
      </c>
      <c r="L1581">
        <f>IFERROR(IF(AND(H1581&lt;&gt;"",H1581&gt;=129,H1581&lt;=2176),INDEX(Fields!$J$2:$J$206,MATCH(H1581-129,Fields!$D$2:$D$206,1)),""),"")</f>
        <v/>
      </c>
      <c r="M1581">
        <f>IFERROR(IF(AND(H1581&lt;&gt;"",H1581&gt;=129,H1581&lt;=2176),INDEX(Fields!$K$2:$K$206,MATCH(H1581-129,Fields!$D$2:$D$206,1)),""),"")</f>
        <v/>
      </c>
    </row>
    <row r="1582">
      <c r="A1582" t="n">
        <v>1580</v>
      </c>
      <c r="B1582" t="n">
        <v>1</v>
      </c>
      <c r="C1582" t="inlineStr">
        <is>
          <t>No</t>
        </is>
      </c>
      <c r="D1582">
        <f>IF(AND(B1577=1,B1578=1,B1579=1,B1580=1,B1581=1),"Yes","")</f>
        <v/>
      </c>
      <c r="E1582" t="inlineStr">
        <is>
          <t>No</t>
        </is>
      </c>
      <c r="F1582" t="inlineStr">
        <is>
          <t>No</t>
        </is>
      </c>
      <c r="G1582">
        <f>IF(F1582="Yes",1-B1582,B1582)</f>
        <v/>
      </c>
      <c r="H1582">
        <f>IF(E1582="Yes","",COUNTIFS($E$2:E1582,"No"))</f>
        <v/>
      </c>
      <c r="I1582">
        <f>IF(H1582="","",IF(H1582&lt;=128,"address",IF(H1582&lt;=600,"data1",IF(H1582&lt;=1264,"zero-run1",IF(H1582&lt;=1648,"data2",IF(H1582&lt;=2176,"zero-run2",IF(H1582&lt;=2192,"FCS","trailing")))))))</f>
        <v/>
      </c>
      <c r="J1582">
        <f>IFERROR(IF(AND(H1582&lt;&gt;"",H1582&gt;=129,H1582&lt;=2176),INDEX(Fields!$B$2:$B$206,MATCH(H1582-129,Fields!$D$2:$D$206,1)),""),"")</f>
        <v/>
      </c>
      <c r="K1582">
        <f>IFERROR(IF(AND(H1582&lt;&gt;"",H1582&gt;=129,H1582&lt;=2176),INDEX(Fields!$C$2:$C$206,MATCH(H1582-129,Fields!$D$2:$D$206,1)),""),"")</f>
        <v/>
      </c>
      <c r="L1582">
        <f>IFERROR(IF(AND(H1582&lt;&gt;"",H1582&gt;=129,H1582&lt;=2176),INDEX(Fields!$J$2:$J$206,MATCH(H1582-129,Fields!$D$2:$D$206,1)),""),"")</f>
        <v/>
      </c>
      <c r="M1582">
        <f>IFERROR(IF(AND(H1582&lt;&gt;"",H1582&gt;=129,H1582&lt;=2176),INDEX(Fields!$K$2:$K$206,MATCH(H1582-129,Fields!$D$2:$D$206,1)),""),"")</f>
        <v/>
      </c>
    </row>
    <row r="1583">
      <c r="A1583" t="n">
        <v>1581</v>
      </c>
      <c r="B1583" t="n">
        <v>0</v>
      </c>
      <c r="C1583" t="inlineStr">
        <is>
          <t>No</t>
        </is>
      </c>
      <c r="D1583">
        <f>IF(AND(B1578=1,B1579=1,B1580=1,B1581=1,B1582=1),"Yes","")</f>
        <v/>
      </c>
      <c r="E1583" t="inlineStr">
        <is>
          <t>No</t>
        </is>
      </c>
      <c r="F1583" t="inlineStr">
        <is>
          <t>No</t>
        </is>
      </c>
      <c r="G1583">
        <f>IF(F1583="Yes",1-B1583,B1583)</f>
        <v/>
      </c>
      <c r="H1583">
        <f>IF(E1583="Yes","",COUNTIFS($E$2:E1583,"No"))</f>
        <v/>
      </c>
      <c r="I1583">
        <f>IF(H1583="","",IF(H1583&lt;=128,"address",IF(H1583&lt;=600,"data1",IF(H1583&lt;=1264,"zero-run1",IF(H1583&lt;=1648,"data2",IF(H1583&lt;=2176,"zero-run2",IF(H1583&lt;=2192,"FCS","trailing")))))))</f>
        <v/>
      </c>
      <c r="J1583">
        <f>IFERROR(IF(AND(H1583&lt;&gt;"",H1583&gt;=129,H1583&lt;=2176),INDEX(Fields!$B$2:$B$206,MATCH(H1583-129,Fields!$D$2:$D$206,1)),""),"")</f>
        <v/>
      </c>
      <c r="K1583">
        <f>IFERROR(IF(AND(H1583&lt;&gt;"",H1583&gt;=129,H1583&lt;=2176),INDEX(Fields!$C$2:$C$206,MATCH(H1583-129,Fields!$D$2:$D$206,1)),""),"")</f>
        <v/>
      </c>
      <c r="L1583">
        <f>IFERROR(IF(AND(H1583&lt;&gt;"",H1583&gt;=129,H1583&lt;=2176),INDEX(Fields!$J$2:$J$206,MATCH(H1583-129,Fields!$D$2:$D$206,1)),""),"")</f>
        <v/>
      </c>
      <c r="M1583">
        <f>IFERROR(IF(AND(H1583&lt;&gt;"",H1583&gt;=129,H1583&lt;=2176),INDEX(Fields!$K$2:$K$206,MATCH(H1583-129,Fields!$D$2:$D$206,1)),""),"")</f>
        <v/>
      </c>
    </row>
    <row r="1584">
      <c r="A1584" t="n">
        <v>1582</v>
      </c>
      <c r="B1584" t="n">
        <v>0</v>
      </c>
      <c r="C1584" t="inlineStr">
        <is>
          <t>No</t>
        </is>
      </c>
      <c r="D1584">
        <f>IF(AND(B1579=1,B1580=1,B1581=1,B1582=1,B1583=1),"Yes","")</f>
        <v/>
      </c>
      <c r="E1584" t="inlineStr">
        <is>
          <t>No</t>
        </is>
      </c>
      <c r="F1584" t="inlineStr">
        <is>
          <t>No</t>
        </is>
      </c>
      <c r="G1584">
        <f>IF(F1584="Yes",1-B1584,B1584)</f>
        <v/>
      </c>
      <c r="H1584">
        <f>IF(E1584="Yes","",COUNTIFS($E$2:E1584,"No"))</f>
        <v/>
      </c>
      <c r="I1584">
        <f>IF(H1584="","",IF(H1584&lt;=128,"address",IF(H1584&lt;=600,"data1",IF(H1584&lt;=1264,"zero-run1",IF(H1584&lt;=1648,"data2",IF(H1584&lt;=2176,"zero-run2",IF(H1584&lt;=2192,"FCS","trailing")))))))</f>
        <v/>
      </c>
      <c r="J1584">
        <f>IFERROR(IF(AND(H1584&lt;&gt;"",H1584&gt;=129,H1584&lt;=2176),INDEX(Fields!$B$2:$B$206,MATCH(H1584-129,Fields!$D$2:$D$206,1)),""),"")</f>
        <v/>
      </c>
      <c r="K1584">
        <f>IFERROR(IF(AND(H1584&lt;&gt;"",H1584&gt;=129,H1584&lt;=2176),INDEX(Fields!$C$2:$C$206,MATCH(H1584-129,Fields!$D$2:$D$206,1)),""),"")</f>
        <v/>
      </c>
      <c r="L1584">
        <f>IFERROR(IF(AND(H1584&lt;&gt;"",H1584&gt;=129,H1584&lt;=2176),INDEX(Fields!$J$2:$J$206,MATCH(H1584-129,Fields!$D$2:$D$206,1)),""),"")</f>
        <v/>
      </c>
      <c r="M1584">
        <f>IFERROR(IF(AND(H1584&lt;&gt;"",H1584&gt;=129,H1584&lt;=2176),INDEX(Fields!$K$2:$K$206,MATCH(H1584-129,Fields!$D$2:$D$206,1)),""),"")</f>
        <v/>
      </c>
    </row>
    <row r="1585">
      <c r="A1585" t="n">
        <v>1583</v>
      </c>
      <c r="B1585" t="n">
        <v>1</v>
      </c>
      <c r="C1585" t="inlineStr">
        <is>
          <t>No</t>
        </is>
      </c>
      <c r="D1585">
        <f>IF(AND(B1580=1,B1581=1,B1582=1,B1583=1,B1584=1),"Yes","")</f>
        <v/>
      </c>
      <c r="E1585" t="inlineStr">
        <is>
          <t>No</t>
        </is>
      </c>
      <c r="F1585" t="inlineStr">
        <is>
          <t>No</t>
        </is>
      </c>
      <c r="G1585">
        <f>IF(F1585="Yes",1-B1585,B1585)</f>
        <v/>
      </c>
      <c r="H1585">
        <f>IF(E1585="Yes","",COUNTIFS($E$2:E1585,"No"))</f>
        <v/>
      </c>
      <c r="I1585">
        <f>IF(H1585="","",IF(H1585&lt;=128,"address",IF(H1585&lt;=600,"data1",IF(H1585&lt;=1264,"zero-run1",IF(H1585&lt;=1648,"data2",IF(H1585&lt;=2176,"zero-run2",IF(H1585&lt;=2192,"FCS","trailing")))))))</f>
        <v/>
      </c>
      <c r="J1585">
        <f>IFERROR(IF(AND(H1585&lt;&gt;"",H1585&gt;=129,H1585&lt;=2176),INDEX(Fields!$B$2:$B$206,MATCH(H1585-129,Fields!$D$2:$D$206,1)),""),"")</f>
        <v/>
      </c>
      <c r="K1585">
        <f>IFERROR(IF(AND(H1585&lt;&gt;"",H1585&gt;=129,H1585&lt;=2176),INDEX(Fields!$C$2:$C$206,MATCH(H1585-129,Fields!$D$2:$D$206,1)),""),"")</f>
        <v/>
      </c>
      <c r="L1585">
        <f>IFERROR(IF(AND(H1585&lt;&gt;"",H1585&gt;=129,H1585&lt;=2176),INDEX(Fields!$J$2:$J$206,MATCH(H1585-129,Fields!$D$2:$D$206,1)),""),"")</f>
        <v/>
      </c>
      <c r="M1585">
        <f>IFERROR(IF(AND(H1585&lt;&gt;"",H1585&gt;=129,H1585&lt;=2176),INDEX(Fields!$K$2:$K$206,MATCH(H1585-129,Fields!$D$2:$D$206,1)),""),"")</f>
        <v/>
      </c>
    </row>
    <row r="1586">
      <c r="A1586" t="n">
        <v>1584</v>
      </c>
      <c r="B1586" t="n">
        <v>0</v>
      </c>
      <c r="C1586" t="inlineStr">
        <is>
          <t>No</t>
        </is>
      </c>
      <c r="D1586">
        <f>IF(AND(B1581=1,B1582=1,B1583=1,B1584=1,B1585=1),"Yes","")</f>
        <v/>
      </c>
      <c r="E1586" t="inlineStr">
        <is>
          <t>No</t>
        </is>
      </c>
      <c r="F1586" t="inlineStr">
        <is>
          <t>No</t>
        </is>
      </c>
      <c r="G1586">
        <f>IF(F1586="Yes",1-B1586,B1586)</f>
        <v/>
      </c>
      <c r="H1586">
        <f>IF(E1586="Yes","",COUNTIFS($E$2:E1586,"No"))</f>
        <v/>
      </c>
      <c r="I1586">
        <f>IF(H1586="","",IF(H1586&lt;=128,"address",IF(H1586&lt;=600,"data1",IF(H1586&lt;=1264,"zero-run1",IF(H1586&lt;=1648,"data2",IF(H1586&lt;=2176,"zero-run2",IF(H1586&lt;=2192,"FCS","trailing")))))))</f>
        <v/>
      </c>
      <c r="J1586">
        <f>IFERROR(IF(AND(H1586&lt;&gt;"",H1586&gt;=129,H1586&lt;=2176),INDEX(Fields!$B$2:$B$206,MATCH(H1586-129,Fields!$D$2:$D$206,1)),""),"")</f>
        <v/>
      </c>
      <c r="K1586">
        <f>IFERROR(IF(AND(H1586&lt;&gt;"",H1586&gt;=129,H1586&lt;=2176),INDEX(Fields!$C$2:$C$206,MATCH(H1586-129,Fields!$D$2:$D$206,1)),""),"")</f>
        <v/>
      </c>
      <c r="L1586">
        <f>IFERROR(IF(AND(H1586&lt;&gt;"",H1586&gt;=129,H1586&lt;=2176),INDEX(Fields!$J$2:$J$206,MATCH(H1586-129,Fields!$D$2:$D$206,1)),""),"")</f>
        <v/>
      </c>
      <c r="M1586">
        <f>IFERROR(IF(AND(H1586&lt;&gt;"",H1586&gt;=129,H1586&lt;=2176),INDEX(Fields!$K$2:$K$206,MATCH(H1586-129,Fields!$D$2:$D$206,1)),""),"")</f>
        <v/>
      </c>
    </row>
    <row r="1587">
      <c r="A1587" t="n">
        <v>1585</v>
      </c>
      <c r="B1587" t="n">
        <v>0</v>
      </c>
      <c r="C1587" t="inlineStr">
        <is>
          <t>No</t>
        </is>
      </c>
      <c r="D1587">
        <f>IF(AND(B1582=1,B1583=1,B1584=1,B1585=1,B1586=1),"Yes","")</f>
        <v/>
      </c>
      <c r="E1587" t="inlineStr">
        <is>
          <t>No</t>
        </is>
      </c>
      <c r="F1587" t="inlineStr">
        <is>
          <t>No</t>
        </is>
      </c>
      <c r="G1587">
        <f>IF(F1587="Yes",1-B1587,B1587)</f>
        <v/>
      </c>
      <c r="H1587">
        <f>IF(E1587="Yes","",COUNTIFS($E$2:E1587,"No"))</f>
        <v/>
      </c>
      <c r="I1587">
        <f>IF(H1587="","",IF(H1587&lt;=128,"address",IF(H1587&lt;=600,"data1",IF(H1587&lt;=1264,"zero-run1",IF(H1587&lt;=1648,"data2",IF(H1587&lt;=2176,"zero-run2",IF(H1587&lt;=2192,"FCS","trailing")))))))</f>
        <v/>
      </c>
      <c r="J1587">
        <f>IFERROR(IF(AND(H1587&lt;&gt;"",H1587&gt;=129,H1587&lt;=2176),INDEX(Fields!$B$2:$B$206,MATCH(H1587-129,Fields!$D$2:$D$206,1)),""),"")</f>
        <v/>
      </c>
      <c r="K1587">
        <f>IFERROR(IF(AND(H1587&lt;&gt;"",H1587&gt;=129,H1587&lt;=2176),INDEX(Fields!$C$2:$C$206,MATCH(H1587-129,Fields!$D$2:$D$206,1)),""),"")</f>
        <v/>
      </c>
      <c r="L1587">
        <f>IFERROR(IF(AND(H1587&lt;&gt;"",H1587&gt;=129,H1587&lt;=2176),INDEX(Fields!$J$2:$J$206,MATCH(H1587-129,Fields!$D$2:$D$206,1)),""),"")</f>
        <v/>
      </c>
      <c r="M1587">
        <f>IFERROR(IF(AND(H1587&lt;&gt;"",H1587&gt;=129,H1587&lt;=2176),INDEX(Fields!$K$2:$K$206,MATCH(H1587-129,Fields!$D$2:$D$206,1)),""),"")</f>
        <v/>
      </c>
    </row>
    <row r="1588">
      <c r="A1588" t="n">
        <v>1586</v>
      </c>
      <c r="B1588" t="n">
        <v>0</v>
      </c>
      <c r="C1588" t="inlineStr">
        <is>
          <t>No</t>
        </is>
      </c>
      <c r="D1588">
        <f>IF(AND(B1583=1,B1584=1,B1585=1,B1586=1,B1587=1),"Yes","")</f>
        <v/>
      </c>
      <c r="E1588" t="inlineStr">
        <is>
          <t>No</t>
        </is>
      </c>
      <c r="F1588" t="inlineStr">
        <is>
          <t>No</t>
        </is>
      </c>
      <c r="G1588">
        <f>IF(F1588="Yes",1-B1588,B1588)</f>
        <v/>
      </c>
      <c r="H1588">
        <f>IF(E1588="Yes","",COUNTIFS($E$2:E1588,"No"))</f>
        <v/>
      </c>
      <c r="I1588">
        <f>IF(H1588="","",IF(H1588&lt;=128,"address",IF(H1588&lt;=600,"data1",IF(H1588&lt;=1264,"zero-run1",IF(H1588&lt;=1648,"data2",IF(H1588&lt;=2176,"zero-run2",IF(H1588&lt;=2192,"FCS","trailing")))))))</f>
        <v/>
      </c>
      <c r="J1588">
        <f>IFERROR(IF(AND(H1588&lt;&gt;"",H1588&gt;=129,H1588&lt;=2176),INDEX(Fields!$B$2:$B$206,MATCH(H1588-129,Fields!$D$2:$D$206,1)),""),"")</f>
        <v/>
      </c>
      <c r="K1588">
        <f>IFERROR(IF(AND(H1588&lt;&gt;"",H1588&gt;=129,H1588&lt;=2176),INDEX(Fields!$C$2:$C$206,MATCH(H1588-129,Fields!$D$2:$D$206,1)),""),"")</f>
        <v/>
      </c>
      <c r="L1588">
        <f>IFERROR(IF(AND(H1588&lt;&gt;"",H1588&gt;=129,H1588&lt;=2176),INDEX(Fields!$J$2:$J$206,MATCH(H1588-129,Fields!$D$2:$D$206,1)),""),"")</f>
        <v/>
      </c>
      <c r="M1588">
        <f>IFERROR(IF(AND(H1588&lt;&gt;"",H1588&gt;=129,H1588&lt;=2176),INDEX(Fields!$K$2:$K$206,MATCH(H1588-129,Fields!$D$2:$D$206,1)),""),"")</f>
        <v/>
      </c>
    </row>
    <row r="1589">
      <c r="A1589" t="n">
        <v>1587</v>
      </c>
      <c r="B1589" t="n">
        <v>0</v>
      </c>
      <c r="C1589" t="inlineStr">
        <is>
          <t>No</t>
        </is>
      </c>
      <c r="D1589">
        <f>IF(AND(B1584=1,B1585=1,B1586=1,B1587=1,B1588=1),"Yes","")</f>
        <v/>
      </c>
      <c r="E1589" t="inlineStr">
        <is>
          <t>No</t>
        </is>
      </c>
      <c r="F1589" t="inlineStr">
        <is>
          <t>No</t>
        </is>
      </c>
      <c r="G1589">
        <f>IF(F1589="Yes",1-B1589,B1589)</f>
        <v/>
      </c>
      <c r="H1589">
        <f>IF(E1589="Yes","",COUNTIFS($E$2:E1589,"No"))</f>
        <v/>
      </c>
      <c r="I1589">
        <f>IF(H1589="","",IF(H1589&lt;=128,"address",IF(H1589&lt;=600,"data1",IF(H1589&lt;=1264,"zero-run1",IF(H1589&lt;=1648,"data2",IF(H1589&lt;=2176,"zero-run2",IF(H1589&lt;=2192,"FCS","trailing")))))))</f>
        <v/>
      </c>
      <c r="J1589">
        <f>IFERROR(IF(AND(H1589&lt;&gt;"",H1589&gt;=129,H1589&lt;=2176),INDEX(Fields!$B$2:$B$206,MATCH(H1589-129,Fields!$D$2:$D$206,1)),""),"")</f>
        <v/>
      </c>
      <c r="K1589">
        <f>IFERROR(IF(AND(H1589&lt;&gt;"",H1589&gt;=129,H1589&lt;=2176),INDEX(Fields!$C$2:$C$206,MATCH(H1589-129,Fields!$D$2:$D$206,1)),""),"")</f>
        <v/>
      </c>
      <c r="L1589">
        <f>IFERROR(IF(AND(H1589&lt;&gt;"",H1589&gt;=129,H1589&lt;=2176),INDEX(Fields!$J$2:$J$206,MATCH(H1589-129,Fields!$D$2:$D$206,1)),""),"")</f>
        <v/>
      </c>
      <c r="M1589">
        <f>IFERROR(IF(AND(H1589&lt;&gt;"",H1589&gt;=129,H1589&lt;=2176),INDEX(Fields!$K$2:$K$206,MATCH(H1589-129,Fields!$D$2:$D$206,1)),""),"")</f>
        <v/>
      </c>
    </row>
    <row r="1590">
      <c r="A1590" t="n">
        <v>1588</v>
      </c>
      <c r="B1590" t="n">
        <v>0</v>
      </c>
      <c r="C1590" t="inlineStr">
        <is>
          <t>No</t>
        </is>
      </c>
      <c r="D1590">
        <f>IF(AND(B1585=1,B1586=1,B1587=1,B1588=1,B1589=1),"Yes","")</f>
        <v/>
      </c>
      <c r="E1590" t="inlineStr">
        <is>
          <t>No</t>
        </is>
      </c>
      <c r="F1590" t="inlineStr">
        <is>
          <t>No</t>
        </is>
      </c>
      <c r="G1590">
        <f>IF(F1590="Yes",1-B1590,B1590)</f>
        <v/>
      </c>
      <c r="H1590">
        <f>IF(E1590="Yes","",COUNTIFS($E$2:E1590,"No"))</f>
        <v/>
      </c>
      <c r="I1590">
        <f>IF(H1590="","",IF(H1590&lt;=128,"address",IF(H1590&lt;=600,"data1",IF(H1590&lt;=1264,"zero-run1",IF(H1590&lt;=1648,"data2",IF(H1590&lt;=2176,"zero-run2",IF(H1590&lt;=2192,"FCS","trailing")))))))</f>
        <v/>
      </c>
      <c r="J1590">
        <f>IFERROR(IF(AND(H1590&lt;&gt;"",H1590&gt;=129,H1590&lt;=2176),INDEX(Fields!$B$2:$B$206,MATCH(H1590-129,Fields!$D$2:$D$206,1)),""),"")</f>
        <v/>
      </c>
      <c r="K1590">
        <f>IFERROR(IF(AND(H1590&lt;&gt;"",H1590&gt;=129,H1590&lt;=2176),INDEX(Fields!$C$2:$C$206,MATCH(H1590-129,Fields!$D$2:$D$206,1)),""),"")</f>
        <v/>
      </c>
      <c r="L1590">
        <f>IFERROR(IF(AND(H1590&lt;&gt;"",H1590&gt;=129,H1590&lt;=2176),INDEX(Fields!$J$2:$J$206,MATCH(H1590-129,Fields!$D$2:$D$206,1)),""),"")</f>
        <v/>
      </c>
      <c r="M1590">
        <f>IFERROR(IF(AND(H1590&lt;&gt;"",H1590&gt;=129,H1590&lt;=2176),INDEX(Fields!$K$2:$K$206,MATCH(H1590-129,Fields!$D$2:$D$206,1)),""),"")</f>
        <v/>
      </c>
    </row>
    <row r="1591">
      <c r="A1591" t="n">
        <v>1589</v>
      </c>
      <c r="B1591" t="n">
        <v>0</v>
      </c>
      <c r="C1591" t="inlineStr">
        <is>
          <t>No</t>
        </is>
      </c>
      <c r="D1591">
        <f>IF(AND(B1586=1,B1587=1,B1588=1,B1589=1,B1590=1),"Yes","")</f>
        <v/>
      </c>
      <c r="E1591" t="inlineStr">
        <is>
          <t>No</t>
        </is>
      </c>
      <c r="F1591" t="inlineStr">
        <is>
          <t>No</t>
        </is>
      </c>
      <c r="G1591">
        <f>IF(F1591="Yes",1-B1591,B1591)</f>
        <v/>
      </c>
      <c r="H1591">
        <f>IF(E1591="Yes","",COUNTIFS($E$2:E1591,"No"))</f>
        <v/>
      </c>
      <c r="I1591">
        <f>IF(H1591="","",IF(H1591&lt;=128,"address",IF(H1591&lt;=600,"data1",IF(H1591&lt;=1264,"zero-run1",IF(H1591&lt;=1648,"data2",IF(H1591&lt;=2176,"zero-run2",IF(H1591&lt;=2192,"FCS","trailing")))))))</f>
        <v/>
      </c>
      <c r="J1591">
        <f>IFERROR(IF(AND(H1591&lt;&gt;"",H1591&gt;=129,H1591&lt;=2176),INDEX(Fields!$B$2:$B$206,MATCH(H1591-129,Fields!$D$2:$D$206,1)),""),"")</f>
        <v/>
      </c>
      <c r="K1591">
        <f>IFERROR(IF(AND(H1591&lt;&gt;"",H1591&gt;=129,H1591&lt;=2176),INDEX(Fields!$C$2:$C$206,MATCH(H1591-129,Fields!$D$2:$D$206,1)),""),"")</f>
        <v/>
      </c>
      <c r="L1591">
        <f>IFERROR(IF(AND(H1591&lt;&gt;"",H1591&gt;=129,H1591&lt;=2176),INDEX(Fields!$J$2:$J$206,MATCH(H1591-129,Fields!$D$2:$D$206,1)),""),"")</f>
        <v/>
      </c>
      <c r="M1591">
        <f>IFERROR(IF(AND(H1591&lt;&gt;"",H1591&gt;=129,H1591&lt;=2176),INDEX(Fields!$K$2:$K$206,MATCH(H1591-129,Fields!$D$2:$D$206,1)),""),"")</f>
        <v/>
      </c>
    </row>
    <row r="1592">
      <c r="A1592" t="n">
        <v>1590</v>
      </c>
      <c r="B1592" t="n">
        <v>0</v>
      </c>
      <c r="C1592" t="inlineStr">
        <is>
          <t>No</t>
        </is>
      </c>
      <c r="D1592">
        <f>IF(AND(B1587=1,B1588=1,B1589=1,B1590=1,B1591=1),"Yes","")</f>
        <v/>
      </c>
      <c r="E1592" t="inlineStr">
        <is>
          <t>No</t>
        </is>
      </c>
      <c r="F1592" t="inlineStr">
        <is>
          <t>No</t>
        </is>
      </c>
      <c r="G1592">
        <f>IF(F1592="Yes",1-B1592,B1592)</f>
        <v/>
      </c>
      <c r="H1592">
        <f>IF(E1592="Yes","",COUNTIFS($E$2:E1592,"No"))</f>
        <v/>
      </c>
      <c r="I1592">
        <f>IF(H1592="","",IF(H1592&lt;=128,"address",IF(H1592&lt;=600,"data1",IF(H1592&lt;=1264,"zero-run1",IF(H1592&lt;=1648,"data2",IF(H1592&lt;=2176,"zero-run2",IF(H1592&lt;=2192,"FCS","trailing")))))))</f>
        <v/>
      </c>
      <c r="J1592">
        <f>IFERROR(IF(AND(H1592&lt;&gt;"",H1592&gt;=129,H1592&lt;=2176),INDEX(Fields!$B$2:$B$206,MATCH(H1592-129,Fields!$D$2:$D$206,1)),""),"")</f>
        <v/>
      </c>
      <c r="K1592">
        <f>IFERROR(IF(AND(H1592&lt;&gt;"",H1592&gt;=129,H1592&lt;=2176),INDEX(Fields!$C$2:$C$206,MATCH(H1592-129,Fields!$D$2:$D$206,1)),""),"")</f>
        <v/>
      </c>
      <c r="L1592">
        <f>IFERROR(IF(AND(H1592&lt;&gt;"",H1592&gt;=129,H1592&lt;=2176),INDEX(Fields!$J$2:$J$206,MATCH(H1592-129,Fields!$D$2:$D$206,1)),""),"")</f>
        <v/>
      </c>
      <c r="M1592">
        <f>IFERROR(IF(AND(H1592&lt;&gt;"",H1592&gt;=129,H1592&lt;=2176),INDEX(Fields!$K$2:$K$206,MATCH(H1592-129,Fields!$D$2:$D$206,1)),""),"")</f>
        <v/>
      </c>
    </row>
    <row r="1593">
      <c r="A1593" t="n">
        <v>1591</v>
      </c>
      <c r="B1593" t="n">
        <v>1</v>
      </c>
      <c r="C1593" t="inlineStr">
        <is>
          <t>No</t>
        </is>
      </c>
      <c r="D1593">
        <f>IF(AND(B1588=1,B1589=1,B1590=1,B1591=1,B1592=1),"Yes","")</f>
        <v/>
      </c>
      <c r="E1593" t="inlineStr">
        <is>
          <t>No</t>
        </is>
      </c>
      <c r="F1593" t="inlineStr">
        <is>
          <t>No</t>
        </is>
      </c>
      <c r="G1593">
        <f>IF(F1593="Yes",1-B1593,B1593)</f>
        <v/>
      </c>
      <c r="H1593">
        <f>IF(E1593="Yes","",COUNTIFS($E$2:E1593,"No"))</f>
        <v/>
      </c>
      <c r="I1593">
        <f>IF(H1593="","",IF(H1593&lt;=128,"address",IF(H1593&lt;=600,"data1",IF(H1593&lt;=1264,"zero-run1",IF(H1593&lt;=1648,"data2",IF(H1593&lt;=2176,"zero-run2",IF(H1593&lt;=2192,"FCS","trailing")))))))</f>
        <v/>
      </c>
      <c r="J1593">
        <f>IFERROR(IF(AND(H1593&lt;&gt;"",H1593&gt;=129,H1593&lt;=2176),INDEX(Fields!$B$2:$B$206,MATCH(H1593-129,Fields!$D$2:$D$206,1)),""),"")</f>
        <v/>
      </c>
      <c r="K1593">
        <f>IFERROR(IF(AND(H1593&lt;&gt;"",H1593&gt;=129,H1593&lt;=2176),INDEX(Fields!$C$2:$C$206,MATCH(H1593-129,Fields!$D$2:$D$206,1)),""),"")</f>
        <v/>
      </c>
      <c r="L1593">
        <f>IFERROR(IF(AND(H1593&lt;&gt;"",H1593&gt;=129,H1593&lt;=2176),INDEX(Fields!$J$2:$J$206,MATCH(H1593-129,Fields!$D$2:$D$206,1)),""),"")</f>
        <v/>
      </c>
      <c r="M1593">
        <f>IFERROR(IF(AND(H1593&lt;&gt;"",H1593&gt;=129,H1593&lt;=2176),INDEX(Fields!$K$2:$K$206,MATCH(H1593-129,Fields!$D$2:$D$206,1)),""),"")</f>
        <v/>
      </c>
    </row>
    <row r="1594">
      <c r="A1594" t="n">
        <v>1592</v>
      </c>
      <c r="B1594" t="n">
        <v>0</v>
      </c>
      <c r="C1594" t="inlineStr">
        <is>
          <t>No</t>
        </is>
      </c>
      <c r="D1594">
        <f>IF(AND(B1589=1,B1590=1,B1591=1,B1592=1,B1593=1),"Yes","")</f>
        <v/>
      </c>
      <c r="E1594" t="inlineStr">
        <is>
          <t>No</t>
        </is>
      </c>
      <c r="F1594" t="inlineStr">
        <is>
          <t>No</t>
        </is>
      </c>
      <c r="G1594">
        <f>IF(F1594="Yes",1-B1594,B1594)</f>
        <v/>
      </c>
      <c r="H1594">
        <f>IF(E1594="Yes","",COUNTIFS($E$2:E1594,"No"))</f>
        <v/>
      </c>
      <c r="I1594">
        <f>IF(H1594="","",IF(H1594&lt;=128,"address",IF(H1594&lt;=600,"data1",IF(H1594&lt;=1264,"zero-run1",IF(H1594&lt;=1648,"data2",IF(H1594&lt;=2176,"zero-run2",IF(H1594&lt;=2192,"FCS","trailing")))))))</f>
        <v/>
      </c>
      <c r="J1594">
        <f>IFERROR(IF(AND(H1594&lt;&gt;"",H1594&gt;=129,H1594&lt;=2176),INDEX(Fields!$B$2:$B$206,MATCH(H1594-129,Fields!$D$2:$D$206,1)),""),"")</f>
        <v/>
      </c>
      <c r="K1594">
        <f>IFERROR(IF(AND(H1594&lt;&gt;"",H1594&gt;=129,H1594&lt;=2176),INDEX(Fields!$C$2:$C$206,MATCH(H1594-129,Fields!$D$2:$D$206,1)),""),"")</f>
        <v/>
      </c>
      <c r="L1594">
        <f>IFERROR(IF(AND(H1594&lt;&gt;"",H1594&gt;=129,H1594&lt;=2176),INDEX(Fields!$J$2:$J$206,MATCH(H1594-129,Fields!$D$2:$D$206,1)),""),"")</f>
        <v/>
      </c>
      <c r="M1594">
        <f>IFERROR(IF(AND(H1594&lt;&gt;"",H1594&gt;=129,H1594&lt;=2176),INDEX(Fields!$K$2:$K$206,MATCH(H1594-129,Fields!$D$2:$D$206,1)),""),"")</f>
        <v/>
      </c>
    </row>
    <row r="1595">
      <c r="A1595" t="n">
        <v>1593</v>
      </c>
      <c r="B1595" t="n">
        <v>0</v>
      </c>
      <c r="C1595" t="inlineStr">
        <is>
          <t>No</t>
        </is>
      </c>
      <c r="D1595">
        <f>IF(AND(B1590=1,B1591=1,B1592=1,B1593=1,B1594=1),"Yes","")</f>
        <v/>
      </c>
      <c r="E1595" t="inlineStr">
        <is>
          <t>No</t>
        </is>
      </c>
      <c r="F1595" t="inlineStr">
        <is>
          <t>No</t>
        </is>
      </c>
      <c r="G1595">
        <f>IF(F1595="Yes",1-B1595,B1595)</f>
        <v/>
      </c>
      <c r="H1595">
        <f>IF(E1595="Yes","",COUNTIFS($E$2:E1595,"No"))</f>
        <v/>
      </c>
      <c r="I1595">
        <f>IF(H1595="","",IF(H1595&lt;=128,"address",IF(H1595&lt;=600,"data1",IF(H1595&lt;=1264,"zero-run1",IF(H1595&lt;=1648,"data2",IF(H1595&lt;=2176,"zero-run2",IF(H1595&lt;=2192,"FCS","trailing")))))))</f>
        <v/>
      </c>
      <c r="J1595">
        <f>IFERROR(IF(AND(H1595&lt;&gt;"",H1595&gt;=129,H1595&lt;=2176),INDEX(Fields!$B$2:$B$206,MATCH(H1595-129,Fields!$D$2:$D$206,1)),""),"")</f>
        <v/>
      </c>
      <c r="K1595">
        <f>IFERROR(IF(AND(H1595&lt;&gt;"",H1595&gt;=129,H1595&lt;=2176),INDEX(Fields!$C$2:$C$206,MATCH(H1595-129,Fields!$D$2:$D$206,1)),""),"")</f>
        <v/>
      </c>
      <c r="L1595">
        <f>IFERROR(IF(AND(H1595&lt;&gt;"",H1595&gt;=129,H1595&lt;=2176),INDEX(Fields!$J$2:$J$206,MATCH(H1595-129,Fields!$D$2:$D$206,1)),""),"")</f>
        <v/>
      </c>
      <c r="M1595">
        <f>IFERROR(IF(AND(H1595&lt;&gt;"",H1595&gt;=129,H1595&lt;=2176),INDEX(Fields!$K$2:$K$206,MATCH(H1595-129,Fields!$D$2:$D$206,1)),""),"")</f>
        <v/>
      </c>
    </row>
    <row r="1596">
      <c r="A1596" t="n">
        <v>1594</v>
      </c>
      <c r="B1596" t="n">
        <v>0</v>
      </c>
      <c r="C1596" t="inlineStr">
        <is>
          <t>No</t>
        </is>
      </c>
      <c r="D1596">
        <f>IF(AND(B1591=1,B1592=1,B1593=1,B1594=1,B1595=1),"Yes","")</f>
        <v/>
      </c>
      <c r="E1596" t="inlineStr">
        <is>
          <t>No</t>
        </is>
      </c>
      <c r="F1596" t="inlineStr">
        <is>
          <t>No</t>
        </is>
      </c>
      <c r="G1596">
        <f>IF(F1596="Yes",1-B1596,B1596)</f>
        <v/>
      </c>
      <c r="H1596">
        <f>IF(E1596="Yes","",COUNTIFS($E$2:E1596,"No"))</f>
        <v/>
      </c>
      <c r="I1596">
        <f>IF(H1596="","",IF(H1596&lt;=128,"address",IF(H1596&lt;=600,"data1",IF(H1596&lt;=1264,"zero-run1",IF(H1596&lt;=1648,"data2",IF(H1596&lt;=2176,"zero-run2",IF(H1596&lt;=2192,"FCS","trailing")))))))</f>
        <v/>
      </c>
      <c r="J1596">
        <f>IFERROR(IF(AND(H1596&lt;&gt;"",H1596&gt;=129,H1596&lt;=2176),INDEX(Fields!$B$2:$B$206,MATCH(H1596-129,Fields!$D$2:$D$206,1)),""),"")</f>
        <v/>
      </c>
      <c r="K1596">
        <f>IFERROR(IF(AND(H1596&lt;&gt;"",H1596&gt;=129,H1596&lt;=2176),INDEX(Fields!$C$2:$C$206,MATCH(H1596-129,Fields!$D$2:$D$206,1)),""),"")</f>
        <v/>
      </c>
      <c r="L1596">
        <f>IFERROR(IF(AND(H1596&lt;&gt;"",H1596&gt;=129,H1596&lt;=2176),INDEX(Fields!$J$2:$J$206,MATCH(H1596-129,Fields!$D$2:$D$206,1)),""),"")</f>
        <v/>
      </c>
      <c r="M1596">
        <f>IFERROR(IF(AND(H1596&lt;&gt;"",H1596&gt;=129,H1596&lt;=2176),INDEX(Fields!$K$2:$K$206,MATCH(H1596-129,Fields!$D$2:$D$206,1)),""),"")</f>
        <v/>
      </c>
    </row>
    <row r="1597">
      <c r="A1597" t="n">
        <v>1595</v>
      </c>
      <c r="B1597" t="n">
        <v>0</v>
      </c>
      <c r="C1597" t="inlineStr">
        <is>
          <t>No</t>
        </is>
      </c>
      <c r="D1597">
        <f>IF(AND(B1592=1,B1593=1,B1594=1,B1595=1,B1596=1),"Yes","")</f>
        <v/>
      </c>
      <c r="E1597" t="inlineStr">
        <is>
          <t>No</t>
        </is>
      </c>
      <c r="F1597" t="inlineStr">
        <is>
          <t>No</t>
        </is>
      </c>
      <c r="G1597">
        <f>IF(F1597="Yes",1-B1597,B1597)</f>
        <v/>
      </c>
      <c r="H1597">
        <f>IF(E1597="Yes","",COUNTIFS($E$2:E1597,"No"))</f>
        <v/>
      </c>
      <c r="I1597">
        <f>IF(H1597="","",IF(H1597&lt;=128,"address",IF(H1597&lt;=600,"data1",IF(H1597&lt;=1264,"zero-run1",IF(H1597&lt;=1648,"data2",IF(H1597&lt;=2176,"zero-run2",IF(H1597&lt;=2192,"FCS","trailing")))))))</f>
        <v/>
      </c>
      <c r="J1597">
        <f>IFERROR(IF(AND(H1597&lt;&gt;"",H1597&gt;=129,H1597&lt;=2176),INDEX(Fields!$B$2:$B$206,MATCH(H1597-129,Fields!$D$2:$D$206,1)),""),"")</f>
        <v/>
      </c>
      <c r="K1597">
        <f>IFERROR(IF(AND(H1597&lt;&gt;"",H1597&gt;=129,H1597&lt;=2176),INDEX(Fields!$C$2:$C$206,MATCH(H1597-129,Fields!$D$2:$D$206,1)),""),"")</f>
        <v/>
      </c>
      <c r="L1597">
        <f>IFERROR(IF(AND(H1597&lt;&gt;"",H1597&gt;=129,H1597&lt;=2176),INDEX(Fields!$J$2:$J$206,MATCH(H1597-129,Fields!$D$2:$D$206,1)),""),"")</f>
        <v/>
      </c>
      <c r="M1597">
        <f>IFERROR(IF(AND(H1597&lt;&gt;"",H1597&gt;=129,H1597&lt;=2176),INDEX(Fields!$K$2:$K$206,MATCH(H1597-129,Fields!$D$2:$D$206,1)),""),"")</f>
        <v/>
      </c>
    </row>
    <row r="1598">
      <c r="A1598" t="n">
        <v>1596</v>
      </c>
      <c r="B1598" t="n">
        <v>0</v>
      </c>
      <c r="C1598" t="inlineStr">
        <is>
          <t>No</t>
        </is>
      </c>
      <c r="D1598">
        <f>IF(AND(B1593=1,B1594=1,B1595=1,B1596=1,B1597=1),"Yes","")</f>
        <v/>
      </c>
      <c r="E1598" t="inlineStr">
        <is>
          <t>No</t>
        </is>
      </c>
      <c r="F1598" t="inlineStr">
        <is>
          <t>No</t>
        </is>
      </c>
      <c r="G1598">
        <f>IF(F1598="Yes",1-B1598,B1598)</f>
        <v/>
      </c>
      <c r="H1598">
        <f>IF(E1598="Yes","",COUNTIFS($E$2:E1598,"No"))</f>
        <v/>
      </c>
      <c r="I1598">
        <f>IF(H1598="","",IF(H1598&lt;=128,"address",IF(H1598&lt;=600,"data1",IF(H1598&lt;=1264,"zero-run1",IF(H1598&lt;=1648,"data2",IF(H1598&lt;=2176,"zero-run2",IF(H1598&lt;=2192,"FCS","trailing")))))))</f>
        <v/>
      </c>
      <c r="J1598">
        <f>IFERROR(IF(AND(H1598&lt;&gt;"",H1598&gt;=129,H1598&lt;=2176),INDEX(Fields!$B$2:$B$206,MATCH(H1598-129,Fields!$D$2:$D$206,1)),""),"")</f>
        <v/>
      </c>
      <c r="K1598">
        <f>IFERROR(IF(AND(H1598&lt;&gt;"",H1598&gt;=129,H1598&lt;=2176),INDEX(Fields!$C$2:$C$206,MATCH(H1598-129,Fields!$D$2:$D$206,1)),""),"")</f>
        <v/>
      </c>
      <c r="L1598">
        <f>IFERROR(IF(AND(H1598&lt;&gt;"",H1598&gt;=129,H1598&lt;=2176),INDEX(Fields!$J$2:$J$206,MATCH(H1598-129,Fields!$D$2:$D$206,1)),""),"")</f>
        <v/>
      </c>
      <c r="M1598">
        <f>IFERROR(IF(AND(H1598&lt;&gt;"",H1598&gt;=129,H1598&lt;=2176),INDEX(Fields!$K$2:$K$206,MATCH(H1598-129,Fields!$D$2:$D$206,1)),""),"")</f>
        <v/>
      </c>
    </row>
    <row r="1599">
      <c r="A1599" t="n">
        <v>1597</v>
      </c>
      <c r="B1599" t="n">
        <v>0</v>
      </c>
      <c r="C1599" t="inlineStr">
        <is>
          <t>No</t>
        </is>
      </c>
      <c r="D1599">
        <f>IF(AND(B1594=1,B1595=1,B1596=1,B1597=1,B1598=1),"Yes","")</f>
        <v/>
      </c>
      <c r="E1599" t="inlineStr">
        <is>
          <t>No</t>
        </is>
      </c>
      <c r="F1599" t="inlineStr">
        <is>
          <t>No</t>
        </is>
      </c>
      <c r="G1599">
        <f>IF(F1599="Yes",1-B1599,B1599)</f>
        <v/>
      </c>
      <c r="H1599">
        <f>IF(E1599="Yes","",COUNTIFS($E$2:E1599,"No"))</f>
        <v/>
      </c>
      <c r="I1599">
        <f>IF(H1599="","",IF(H1599&lt;=128,"address",IF(H1599&lt;=600,"data1",IF(H1599&lt;=1264,"zero-run1",IF(H1599&lt;=1648,"data2",IF(H1599&lt;=2176,"zero-run2",IF(H1599&lt;=2192,"FCS","trailing")))))))</f>
        <v/>
      </c>
      <c r="J1599">
        <f>IFERROR(IF(AND(H1599&lt;&gt;"",H1599&gt;=129,H1599&lt;=2176),INDEX(Fields!$B$2:$B$206,MATCH(H1599-129,Fields!$D$2:$D$206,1)),""),"")</f>
        <v/>
      </c>
      <c r="K1599">
        <f>IFERROR(IF(AND(H1599&lt;&gt;"",H1599&gt;=129,H1599&lt;=2176),INDEX(Fields!$C$2:$C$206,MATCH(H1599-129,Fields!$D$2:$D$206,1)),""),"")</f>
        <v/>
      </c>
      <c r="L1599">
        <f>IFERROR(IF(AND(H1599&lt;&gt;"",H1599&gt;=129,H1599&lt;=2176),INDEX(Fields!$J$2:$J$206,MATCH(H1599-129,Fields!$D$2:$D$206,1)),""),"")</f>
        <v/>
      </c>
      <c r="M1599">
        <f>IFERROR(IF(AND(H1599&lt;&gt;"",H1599&gt;=129,H1599&lt;=2176),INDEX(Fields!$K$2:$K$206,MATCH(H1599-129,Fields!$D$2:$D$206,1)),""),"")</f>
        <v/>
      </c>
    </row>
    <row r="1600">
      <c r="A1600" t="n">
        <v>1598</v>
      </c>
      <c r="B1600" t="n">
        <v>0</v>
      </c>
      <c r="C1600" t="inlineStr">
        <is>
          <t>No</t>
        </is>
      </c>
      <c r="D1600">
        <f>IF(AND(B1595=1,B1596=1,B1597=1,B1598=1,B1599=1),"Yes","")</f>
        <v/>
      </c>
      <c r="E1600" t="inlineStr">
        <is>
          <t>No</t>
        </is>
      </c>
      <c r="F1600" t="inlineStr">
        <is>
          <t>No</t>
        </is>
      </c>
      <c r="G1600">
        <f>IF(F1600="Yes",1-B1600,B1600)</f>
        <v/>
      </c>
      <c r="H1600">
        <f>IF(E1600="Yes","",COUNTIFS($E$2:E1600,"No"))</f>
        <v/>
      </c>
      <c r="I1600">
        <f>IF(H1600="","",IF(H1600&lt;=128,"address",IF(H1600&lt;=600,"data1",IF(H1600&lt;=1264,"zero-run1",IF(H1600&lt;=1648,"data2",IF(H1600&lt;=2176,"zero-run2",IF(H1600&lt;=2192,"FCS","trailing")))))))</f>
        <v/>
      </c>
      <c r="J1600">
        <f>IFERROR(IF(AND(H1600&lt;&gt;"",H1600&gt;=129,H1600&lt;=2176),INDEX(Fields!$B$2:$B$206,MATCH(H1600-129,Fields!$D$2:$D$206,1)),""),"")</f>
        <v/>
      </c>
      <c r="K1600">
        <f>IFERROR(IF(AND(H1600&lt;&gt;"",H1600&gt;=129,H1600&lt;=2176),INDEX(Fields!$C$2:$C$206,MATCH(H1600-129,Fields!$D$2:$D$206,1)),""),"")</f>
        <v/>
      </c>
      <c r="L1600">
        <f>IFERROR(IF(AND(H1600&lt;&gt;"",H1600&gt;=129,H1600&lt;=2176),INDEX(Fields!$J$2:$J$206,MATCH(H1600-129,Fields!$D$2:$D$206,1)),""),"")</f>
        <v/>
      </c>
      <c r="M1600">
        <f>IFERROR(IF(AND(H1600&lt;&gt;"",H1600&gt;=129,H1600&lt;=2176),INDEX(Fields!$K$2:$K$206,MATCH(H1600-129,Fields!$D$2:$D$206,1)),""),"")</f>
        <v/>
      </c>
    </row>
    <row r="1601">
      <c r="A1601" t="n">
        <v>1599</v>
      </c>
      <c r="B1601" t="n">
        <v>0</v>
      </c>
      <c r="C1601" t="inlineStr">
        <is>
          <t>No</t>
        </is>
      </c>
      <c r="D1601">
        <f>IF(AND(B1596=1,B1597=1,B1598=1,B1599=1,B1600=1),"Yes","")</f>
        <v/>
      </c>
      <c r="E1601" t="inlineStr">
        <is>
          <t>No</t>
        </is>
      </c>
      <c r="F1601" t="inlineStr">
        <is>
          <t>No</t>
        </is>
      </c>
      <c r="G1601">
        <f>IF(F1601="Yes",1-B1601,B1601)</f>
        <v/>
      </c>
      <c r="H1601">
        <f>IF(E1601="Yes","",COUNTIFS($E$2:E1601,"No"))</f>
        <v/>
      </c>
      <c r="I1601">
        <f>IF(H1601="","",IF(H1601&lt;=128,"address",IF(H1601&lt;=600,"data1",IF(H1601&lt;=1264,"zero-run1",IF(H1601&lt;=1648,"data2",IF(H1601&lt;=2176,"zero-run2",IF(H1601&lt;=2192,"FCS","trailing")))))))</f>
        <v/>
      </c>
      <c r="J1601">
        <f>IFERROR(IF(AND(H1601&lt;&gt;"",H1601&gt;=129,H1601&lt;=2176),INDEX(Fields!$B$2:$B$206,MATCH(H1601-129,Fields!$D$2:$D$206,1)),""),"")</f>
        <v/>
      </c>
      <c r="K1601">
        <f>IFERROR(IF(AND(H1601&lt;&gt;"",H1601&gt;=129,H1601&lt;=2176),INDEX(Fields!$C$2:$C$206,MATCH(H1601-129,Fields!$D$2:$D$206,1)),""),"")</f>
        <v/>
      </c>
      <c r="L1601">
        <f>IFERROR(IF(AND(H1601&lt;&gt;"",H1601&gt;=129,H1601&lt;=2176),INDEX(Fields!$J$2:$J$206,MATCH(H1601-129,Fields!$D$2:$D$206,1)),""),"")</f>
        <v/>
      </c>
      <c r="M1601">
        <f>IFERROR(IF(AND(H1601&lt;&gt;"",H1601&gt;=129,H1601&lt;=2176),INDEX(Fields!$K$2:$K$206,MATCH(H1601-129,Fields!$D$2:$D$206,1)),""),"")</f>
        <v/>
      </c>
    </row>
    <row r="1602">
      <c r="A1602" t="n">
        <v>1600</v>
      </c>
      <c r="B1602" t="n">
        <v>0</v>
      </c>
      <c r="C1602" t="inlineStr">
        <is>
          <t>No</t>
        </is>
      </c>
      <c r="D1602">
        <f>IF(AND(B1597=1,B1598=1,B1599=1,B1600=1,B1601=1),"Yes","")</f>
        <v/>
      </c>
      <c r="E1602" t="inlineStr">
        <is>
          <t>No</t>
        </is>
      </c>
      <c r="F1602" t="inlineStr">
        <is>
          <t>No</t>
        </is>
      </c>
      <c r="G1602">
        <f>IF(F1602="Yes",1-B1602,B1602)</f>
        <v/>
      </c>
      <c r="H1602">
        <f>IF(E1602="Yes","",COUNTIFS($E$2:E1602,"No"))</f>
        <v/>
      </c>
      <c r="I1602">
        <f>IF(H1602="","",IF(H1602&lt;=128,"address",IF(H1602&lt;=600,"data1",IF(H1602&lt;=1264,"zero-run1",IF(H1602&lt;=1648,"data2",IF(H1602&lt;=2176,"zero-run2",IF(H1602&lt;=2192,"FCS","trailing")))))))</f>
        <v/>
      </c>
      <c r="J1602">
        <f>IFERROR(IF(AND(H1602&lt;&gt;"",H1602&gt;=129,H1602&lt;=2176),INDEX(Fields!$B$2:$B$206,MATCH(H1602-129,Fields!$D$2:$D$206,1)),""),"")</f>
        <v/>
      </c>
      <c r="K1602">
        <f>IFERROR(IF(AND(H1602&lt;&gt;"",H1602&gt;=129,H1602&lt;=2176),INDEX(Fields!$C$2:$C$206,MATCH(H1602-129,Fields!$D$2:$D$206,1)),""),"")</f>
        <v/>
      </c>
      <c r="L1602">
        <f>IFERROR(IF(AND(H1602&lt;&gt;"",H1602&gt;=129,H1602&lt;=2176),INDEX(Fields!$J$2:$J$206,MATCH(H1602-129,Fields!$D$2:$D$206,1)),""),"")</f>
        <v/>
      </c>
      <c r="M1602">
        <f>IFERROR(IF(AND(H1602&lt;&gt;"",H1602&gt;=129,H1602&lt;=2176),INDEX(Fields!$K$2:$K$206,MATCH(H1602-129,Fields!$D$2:$D$206,1)),""),"")</f>
        <v/>
      </c>
    </row>
    <row r="1603">
      <c r="A1603" t="n">
        <v>1601</v>
      </c>
      <c r="B1603" t="n">
        <v>1</v>
      </c>
      <c r="C1603" t="inlineStr">
        <is>
          <t>No</t>
        </is>
      </c>
      <c r="D1603">
        <f>IF(AND(B1598=1,B1599=1,B1600=1,B1601=1,B1602=1),"Yes","")</f>
        <v/>
      </c>
      <c r="E1603" t="inlineStr">
        <is>
          <t>No</t>
        </is>
      </c>
      <c r="F1603" t="inlineStr">
        <is>
          <t>No</t>
        </is>
      </c>
      <c r="G1603">
        <f>IF(F1603="Yes",1-B1603,B1603)</f>
        <v/>
      </c>
      <c r="H1603">
        <f>IF(E1603="Yes","",COUNTIFS($E$2:E1603,"No"))</f>
        <v/>
      </c>
      <c r="I1603">
        <f>IF(H1603="","",IF(H1603&lt;=128,"address",IF(H1603&lt;=600,"data1",IF(H1603&lt;=1264,"zero-run1",IF(H1603&lt;=1648,"data2",IF(H1603&lt;=2176,"zero-run2",IF(H1603&lt;=2192,"FCS","trailing")))))))</f>
        <v/>
      </c>
      <c r="J1603">
        <f>IFERROR(IF(AND(H1603&lt;&gt;"",H1603&gt;=129,H1603&lt;=2176),INDEX(Fields!$B$2:$B$206,MATCH(H1603-129,Fields!$D$2:$D$206,1)),""),"")</f>
        <v/>
      </c>
      <c r="K1603">
        <f>IFERROR(IF(AND(H1603&lt;&gt;"",H1603&gt;=129,H1603&lt;=2176),INDEX(Fields!$C$2:$C$206,MATCH(H1603-129,Fields!$D$2:$D$206,1)),""),"")</f>
        <v/>
      </c>
      <c r="L1603">
        <f>IFERROR(IF(AND(H1603&lt;&gt;"",H1603&gt;=129,H1603&lt;=2176),INDEX(Fields!$J$2:$J$206,MATCH(H1603-129,Fields!$D$2:$D$206,1)),""),"")</f>
        <v/>
      </c>
      <c r="M1603">
        <f>IFERROR(IF(AND(H1603&lt;&gt;"",H1603&gt;=129,H1603&lt;=2176),INDEX(Fields!$K$2:$K$206,MATCH(H1603-129,Fields!$D$2:$D$206,1)),""),"")</f>
        <v/>
      </c>
    </row>
    <row r="1604">
      <c r="A1604" t="n">
        <v>1602</v>
      </c>
      <c r="B1604" t="n">
        <v>1</v>
      </c>
      <c r="C1604" t="inlineStr">
        <is>
          <t>No</t>
        </is>
      </c>
      <c r="D1604">
        <f>IF(AND(B1599=1,B1600=1,B1601=1,B1602=1,B1603=1),"Yes","")</f>
        <v/>
      </c>
      <c r="E1604" t="inlineStr">
        <is>
          <t>No</t>
        </is>
      </c>
      <c r="F1604" t="inlineStr">
        <is>
          <t>No</t>
        </is>
      </c>
      <c r="G1604">
        <f>IF(F1604="Yes",1-B1604,B1604)</f>
        <v/>
      </c>
      <c r="H1604">
        <f>IF(E1604="Yes","",COUNTIFS($E$2:E1604,"No"))</f>
        <v/>
      </c>
      <c r="I1604">
        <f>IF(H1604="","",IF(H1604&lt;=128,"address",IF(H1604&lt;=600,"data1",IF(H1604&lt;=1264,"zero-run1",IF(H1604&lt;=1648,"data2",IF(H1604&lt;=2176,"zero-run2",IF(H1604&lt;=2192,"FCS","trailing")))))))</f>
        <v/>
      </c>
      <c r="J1604">
        <f>IFERROR(IF(AND(H1604&lt;&gt;"",H1604&gt;=129,H1604&lt;=2176),INDEX(Fields!$B$2:$B$206,MATCH(H1604-129,Fields!$D$2:$D$206,1)),""),"")</f>
        <v/>
      </c>
      <c r="K1604">
        <f>IFERROR(IF(AND(H1604&lt;&gt;"",H1604&gt;=129,H1604&lt;=2176),INDEX(Fields!$C$2:$C$206,MATCH(H1604-129,Fields!$D$2:$D$206,1)),""),"")</f>
        <v/>
      </c>
      <c r="L1604">
        <f>IFERROR(IF(AND(H1604&lt;&gt;"",H1604&gt;=129,H1604&lt;=2176),INDEX(Fields!$J$2:$J$206,MATCH(H1604-129,Fields!$D$2:$D$206,1)),""),"")</f>
        <v/>
      </c>
      <c r="M1604">
        <f>IFERROR(IF(AND(H1604&lt;&gt;"",H1604&gt;=129,H1604&lt;=2176),INDEX(Fields!$K$2:$K$206,MATCH(H1604-129,Fields!$D$2:$D$206,1)),""),"")</f>
        <v/>
      </c>
    </row>
    <row r="1605">
      <c r="A1605" t="n">
        <v>1603</v>
      </c>
      <c r="B1605" t="n">
        <v>1</v>
      </c>
      <c r="C1605" t="inlineStr">
        <is>
          <t>No</t>
        </is>
      </c>
      <c r="D1605">
        <f>IF(AND(B1600=1,B1601=1,B1602=1,B1603=1,B1604=1),"Yes","")</f>
        <v/>
      </c>
      <c r="E1605" t="inlineStr">
        <is>
          <t>No</t>
        </is>
      </c>
      <c r="F1605" t="inlineStr">
        <is>
          <t>No</t>
        </is>
      </c>
      <c r="G1605">
        <f>IF(F1605="Yes",1-B1605,B1605)</f>
        <v/>
      </c>
      <c r="H1605">
        <f>IF(E1605="Yes","",COUNTIFS($E$2:E1605,"No"))</f>
        <v/>
      </c>
      <c r="I1605">
        <f>IF(H1605="","",IF(H1605&lt;=128,"address",IF(H1605&lt;=600,"data1",IF(H1605&lt;=1264,"zero-run1",IF(H1605&lt;=1648,"data2",IF(H1605&lt;=2176,"zero-run2",IF(H1605&lt;=2192,"FCS","trailing")))))))</f>
        <v/>
      </c>
      <c r="J1605">
        <f>IFERROR(IF(AND(H1605&lt;&gt;"",H1605&gt;=129,H1605&lt;=2176),INDEX(Fields!$B$2:$B$206,MATCH(H1605-129,Fields!$D$2:$D$206,1)),""),"")</f>
        <v/>
      </c>
      <c r="K1605">
        <f>IFERROR(IF(AND(H1605&lt;&gt;"",H1605&gt;=129,H1605&lt;=2176),INDEX(Fields!$C$2:$C$206,MATCH(H1605-129,Fields!$D$2:$D$206,1)),""),"")</f>
        <v/>
      </c>
      <c r="L1605">
        <f>IFERROR(IF(AND(H1605&lt;&gt;"",H1605&gt;=129,H1605&lt;=2176),INDEX(Fields!$J$2:$J$206,MATCH(H1605-129,Fields!$D$2:$D$206,1)),""),"")</f>
        <v/>
      </c>
      <c r="M1605">
        <f>IFERROR(IF(AND(H1605&lt;&gt;"",H1605&gt;=129,H1605&lt;=2176),INDEX(Fields!$K$2:$K$206,MATCH(H1605-129,Fields!$D$2:$D$206,1)),""),"")</f>
        <v/>
      </c>
    </row>
    <row r="1606">
      <c r="A1606" t="n">
        <v>1604</v>
      </c>
      <c r="B1606" t="n">
        <v>0</v>
      </c>
      <c r="C1606" t="inlineStr">
        <is>
          <t>No</t>
        </is>
      </c>
      <c r="D1606">
        <f>IF(AND(B1601=1,B1602=1,B1603=1,B1604=1,B1605=1),"Yes","")</f>
        <v/>
      </c>
      <c r="E1606" t="inlineStr">
        <is>
          <t>No</t>
        </is>
      </c>
      <c r="F1606" t="inlineStr">
        <is>
          <t>No</t>
        </is>
      </c>
      <c r="G1606">
        <f>IF(F1606="Yes",1-B1606,B1606)</f>
        <v/>
      </c>
      <c r="H1606">
        <f>IF(E1606="Yes","",COUNTIFS($E$2:E1606,"No"))</f>
        <v/>
      </c>
      <c r="I1606">
        <f>IF(H1606="","",IF(H1606&lt;=128,"address",IF(H1606&lt;=600,"data1",IF(H1606&lt;=1264,"zero-run1",IF(H1606&lt;=1648,"data2",IF(H1606&lt;=2176,"zero-run2",IF(H1606&lt;=2192,"FCS","trailing")))))))</f>
        <v/>
      </c>
      <c r="J1606">
        <f>IFERROR(IF(AND(H1606&lt;&gt;"",H1606&gt;=129,H1606&lt;=2176),INDEX(Fields!$B$2:$B$206,MATCH(H1606-129,Fields!$D$2:$D$206,1)),""),"")</f>
        <v/>
      </c>
      <c r="K1606">
        <f>IFERROR(IF(AND(H1606&lt;&gt;"",H1606&gt;=129,H1606&lt;=2176),INDEX(Fields!$C$2:$C$206,MATCH(H1606-129,Fields!$D$2:$D$206,1)),""),"")</f>
        <v/>
      </c>
      <c r="L1606">
        <f>IFERROR(IF(AND(H1606&lt;&gt;"",H1606&gt;=129,H1606&lt;=2176),INDEX(Fields!$J$2:$J$206,MATCH(H1606-129,Fields!$D$2:$D$206,1)),""),"")</f>
        <v/>
      </c>
      <c r="M1606">
        <f>IFERROR(IF(AND(H1606&lt;&gt;"",H1606&gt;=129,H1606&lt;=2176),INDEX(Fields!$K$2:$K$206,MATCH(H1606-129,Fields!$D$2:$D$206,1)),""),"")</f>
        <v/>
      </c>
    </row>
    <row r="1607">
      <c r="A1607" t="n">
        <v>1605</v>
      </c>
      <c r="B1607" t="n">
        <v>0</v>
      </c>
      <c r="C1607" t="inlineStr">
        <is>
          <t>No</t>
        </is>
      </c>
      <c r="D1607">
        <f>IF(AND(B1602=1,B1603=1,B1604=1,B1605=1,B1606=1),"Yes","")</f>
        <v/>
      </c>
      <c r="E1607" t="inlineStr">
        <is>
          <t>No</t>
        </is>
      </c>
      <c r="F1607" t="inlineStr">
        <is>
          <t>No</t>
        </is>
      </c>
      <c r="G1607">
        <f>IF(F1607="Yes",1-B1607,B1607)</f>
        <v/>
      </c>
      <c r="H1607">
        <f>IF(E1607="Yes","",COUNTIFS($E$2:E1607,"No"))</f>
        <v/>
      </c>
      <c r="I1607">
        <f>IF(H1607="","",IF(H1607&lt;=128,"address",IF(H1607&lt;=600,"data1",IF(H1607&lt;=1264,"zero-run1",IF(H1607&lt;=1648,"data2",IF(H1607&lt;=2176,"zero-run2",IF(H1607&lt;=2192,"FCS","trailing")))))))</f>
        <v/>
      </c>
      <c r="J1607">
        <f>IFERROR(IF(AND(H1607&lt;&gt;"",H1607&gt;=129,H1607&lt;=2176),INDEX(Fields!$B$2:$B$206,MATCH(H1607-129,Fields!$D$2:$D$206,1)),""),"")</f>
        <v/>
      </c>
      <c r="K1607">
        <f>IFERROR(IF(AND(H1607&lt;&gt;"",H1607&gt;=129,H1607&lt;=2176),INDEX(Fields!$C$2:$C$206,MATCH(H1607-129,Fields!$D$2:$D$206,1)),""),"")</f>
        <v/>
      </c>
      <c r="L1607">
        <f>IFERROR(IF(AND(H1607&lt;&gt;"",H1607&gt;=129,H1607&lt;=2176),INDEX(Fields!$J$2:$J$206,MATCH(H1607-129,Fields!$D$2:$D$206,1)),""),"")</f>
        <v/>
      </c>
      <c r="M1607">
        <f>IFERROR(IF(AND(H1607&lt;&gt;"",H1607&gt;=129,H1607&lt;=2176),INDEX(Fields!$K$2:$K$206,MATCH(H1607-129,Fields!$D$2:$D$206,1)),""),"")</f>
        <v/>
      </c>
    </row>
    <row r="1608">
      <c r="A1608" t="n">
        <v>1606</v>
      </c>
      <c r="B1608" t="n">
        <v>1</v>
      </c>
      <c r="C1608" t="inlineStr">
        <is>
          <t>No</t>
        </is>
      </c>
      <c r="D1608">
        <f>IF(AND(B1603=1,B1604=1,B1605=1,B1606=1,B1607=1),"Yes","")</f>
        <v/>
      </c>
      <c r="E1608" t="inlineStr">
        <is>
          <t>No</t>
        </is>
      </c>
      <c r="F1608" t="inlineStr">
        <is>
          <t>No</t>
        </is>
      </c>
      <c r="G1608">
        <f>IF(F1608="Yes",1-B1608,B1608)</f>
        <v/>
      </c>
      <c r="H1608">
        <f>IF(E1608="Yes","",COUNTIFS($E$2:E1608,"No"))</f>
        <v/>
      </c>
      <c r="I1608">
        <f>IF(H1608="","",IF(H1608&lt;=128,"address",IF(H1608&lt;=600,"data1",IF(H1608&lt;=1264,"zero-run1",IF(H1608&lt;=1648,"data2",IF(H1608&lt;=2176,"zero-run2",IF(H1608&lt;=2192,"FCS","trailing")))))))</f>
        <v/>
      </c>
      <c r="J1608">
        <f>IFERROR(IF(AND(H1608&lt;&gt;"",H1608&gt;=129,H1608&lt;=2176),INDEX(Fields!$B$2:$B$206,MATCH(H1608-129,Fields!$D$2:$D$206,1)),""),"")</f>
        <v/>
      </c>
      <c r="K1608">
        <f>IFERROR(IF(AND(H1608&lt;&gt;"",H1608&gt;=129,H1608&lt;=2176),INDEX(Fields!$C$2:$C$206,MATCH(H1608-129,Fields!$D$2:$D$206,1)),""),"")</f>
        <v/>
      </c>
      <c r="L1608">
        <f>IFERROR(IF(AND(H1608&lt;&gt;"",H1608&gt;=129,H1608&lt;=2176),INDEX(Fields!$J$2:$J$206,MATCH(H1608-129,Fields!$D$2:$D$206,1)),""),"")</f>
        <v/>
      </c>
      <c r="M1608">
        <f>IFERROR(IF(AND(H1608&lt;&gt;"",H1608&gt;=129,H1608&lt;=2176),INDEX(Fields!$K$2:$K$206,MATCH(H1608-129,Fields!$D$2:$D$206,1)),""),"")</f>
        <v/>
      </c>
    </row>
    <row r="1609">
      <c r="A1609" t="n">
        <v>1607</v>
      </c>
      <c r="B1609" t="n">
        <v>1</v>
      </c>
      <c r="C1609" t="inlineStr">
        <is>
          <t>No</t>
        </is>
      </c>
      <c r="D1609">
        <f>IF(AND(B1604=1,B1605=1,B1606=1,B1607=1,B1608=1),"Yes","")</f>
        <v/>
      </c>
      <c r="E1609" t="inlineStr">
        <is>
          <t>No</t>
        </is>
      </c>
      <c r="F1609" t="inlineStr">
        <is>
          <t>No</t>
        </is>
      </c>
      <c r="G1609">
        <f>IF(F1609="Yes",1-B1609,B1609)</f>
        <v/>
      </c>
      <c r="H1609">
        <f>IF(E1609="Yes","",COUNTIFS($E$2:E1609,"No"))</f>
        <v/>
      </c>
      <c r="I1609">
        <f>IF(H1609="","",IF(H1609&lt;=128,"address",IF(H1609&lt;=600,"data1",IF(H1609&lt;=1264,"zero-run1",IF(H1609&lt;=1648,"data2",IF(H1609&lt;=2176,"zero-run2",IF(H1609&lt;=2192,"FCS","trailing")))))))</f>
        <v/>
      </c>
      <c r="J1609">
        <f>IFERROR(IF(AND(H1609&lt;&gt;"",H1609&gt;=129,H1609&lt;=2176),INDEX(Fields!$B$2:$B$206,MATCH(H1609-129,Fields!$D$2:$D$206,1)),""),"")</f>
        <v/>
      </c>
      <c r="K1609">
        <f>IFERROR(IF(AND(H1609&lt;&gt;"",H1609&gt;=129,H1609&lt;=2176),INDEX(Fields!$C$2:$C$206,MATCH(H1609-129,Fields!$D$2:$D$206,1)),""),"")</f>
        <v/>
      </c>
      <c r="L1609">
        <f>IFERROR(IF(AND(H1609&lt;&gt;"",H1609&gt;=129,H1609&lt;=2176),INDEX(Fields!$J$2:$J$206,MATCH(H1609-129,Fields!$D$2:$D$206,1)),""),"")</f>
        <v/>
      </c>
      <c r="M1609">
        <f>IFERROR(IF(AND(H1609&lt;&gt;"",H1609&gt;=129,H1609&lt;=2176),INDEX(Fields!$K$2:$K$206,MATCH(H1609-129,Fields!$D$2:$D$206,1)),""),"")</f>
        <v/>
      </c>
    </row>
    <row r="1610">
      <c r="A1610" t="n">
        <v>1608</v>
      </c>
      <c r="B1610" t="n">
        <v>0</v>
      </c>
      <c r="C1610" t="inlineStr">
        <is>
          <t>No</t>
        </is>
      </c>
      <c r="D1610">
        <f>IF(AND(B1605=1,B1606=1,B1607=1,B1608=1,B1609=1),"Yes","")</f>
        <v/>
      </c>
      <c r="E1610" t="inlineStr">
        <is>
          <t>No</t>
        </is>
      </c>
      <c r="F1610" t="inlineStr">
        <is>
          <t>No</t>
        </is>
      </c>
      <c r="G1610">
        <f>IF(F1610="Yes",1-B1610,B1610)</f>
        <v/>
      </c>
      <c r="H1610">
        <f>IF(E1610="Yes","",COUNTIFS($E$2:E1610,"No"))</f>
        <v/>
      </c>
      <c r="I1610">
        <f>IF(H1610="","",IF(H1610&lt;=128,"address",IF(H1610&lt;=600,"data1",IF(H1610&lt;=1264,"zero-run1",IF(H1610&lt;=1648,"data2",IF(H1610&lt;=2176,"zero-run2",IF(H1610&lt;=2192,"FCS","trailing")))))))</f>
        <v/>
      </c>
      <c r="J1610">
        <f>IFERROR(IF(AND(H1610&lt;&gt;"",H1610&gt;=129,H1610&lt;=2176),INDEX(Fields!$B$2:$B$206,MATCH(H1610-129,Fields!$D$2:$D$206,1)),""),"")</f>
        <v/>
      </c>
      <c r="K1610">
        <f>IFERROR(IF(AND(H1610&lt;&gt;"",H1610&gt;=129,H1610&lt;=2176),INDEX(Fields!$C$2:$C$206,MATCH(H1610-129,Fields!$D$2:$D$206,1)),""),"")</f>
        <v/>
      </c>
      <c r="L1610">
        <f>IFERROR(IF(AND(H1610&lt;&gt;"",H1610&gt;=129,H1610&lt;=2176),INDEX(Fields!$J$2:$J$206,MATCH(H1610-129,Fields!$D$2:$D$206,1)),""),"")</f>
        <v/>
      </c>
      <c r="M1610">
        <f>IFERROR(IF(AND(H1610&lt;&gt;"",H1610&gt;=129,H1610&lt;=2176),INDEX(Fields!$K$2:$K$206,MATCH(H1610-129,Fields!$D$2:$D$206,1)),""),"")</f>
        <v/>
      </c>
    </row>
    <row r="1611">
      <c r="A1611" t="n">
        <v>1609</v>
      </c>
      <c r="B1611" t="n">
        <v>0</v>
      </c>
      <c r="C1611" t="inlineStr">
        <is>
          <t>No</t>
        </is>
      </c>
      <c r="D1611">
        <f>IF(AND(B1606=1,B1607=1,B1608=1,B1609=1,B1610=1),"Yes","")</f>
        <v/>
      </c>
      <c r="E1611" t="inlineStr">
        <is>
          <t>No</t>
        </is>
      </c>
      <c r="F1611" t="inlineStr">
        <is>
          <t>No</t>
        </is>
      </c>
      <c r="G1611">
        <f>IF(F1611="Yes",1-B1611,B1611)</f>
        <v/>
      </c>
      <c r="H1611">
        <f>IF(E1611="Yes","",COUNTIFS($E$2:E1611,"No"))</f>
        <v/>
      </c>
      <c r="I1611">
        <f>IF(H1611="","",IF(H1611&lt;=128,"address",IF(H1611&lt;=600,"data1",IF(H1611&lt;=1264,"zero-run1",IF(H1611&lt;=1648,"data2",IF(H1611&lt;=2176,"zero-run2",IF(H1611&lt;=2192,"FCS","trailing")))))))</f>
        <v/>
      </c>
      <c r="J1611">
        <f>IFERROR(IF(AND(H1611&lt;&gt;"",H1611&gt;=129,H1611&lt;=2176),INDEX(Fields!$B$2:$B$206,MATCH(H1611-129,Fields!$D$2:$D$206,1)),""),"")</f>
        <v/>
      </c>
      <c r="K1611">
        <f>IFERROR(IF(AND(H1611&lt;&gt;"",H1611&gt;=129,H1611&lt;=2176),INDEX(Fields!$C$2:$C$206,MATCH(H1611-129,Fields!$D$2:$D$206,1)),""),"")</f>
        <v/>
      </c>
      <c r="L1611">
        <f>IFERROR(IF(AND(H1611&lt;&gt;"",H1611&gt;=129,H1611&lt;=2176),INDEX(Fields!$J$2:$J$206,MATCH(H1611-129,Fields!$D$2:$D$206,1)),""),"")</f>
        <v/>
      </c>
      <c r="M1611">
        <f>IFERROR(IF(AND(H1611&lt;&gt;"",H1611&gt;=129,H1611&lt;=2176),INDEX(Fields!$K$2:$K$206,MATCH(H1611-129,Fields!$D$2:$D$206,1)),""),"")</f>
        <v/>
      </c>
    </row>
    <row r="1612">
      <c r="A1612" t="n">
        <v>1610</v>
      </c>
      <c r="B1612" t="n">
        <v>0</v>
      </c>
      <c r="C1612" t="inlineStr">
        <is>
          <t>No</t>
        </is>
      </c>
      <c r="D1612">
        <f>IF(AND(B1607=1,B1608=1,B1609=1,B1610=1,B1611=1),"Yes","")</f>
        <v/>
      </c>
      <c r="E1612" t="inlineStr">
        <is>
          <t>No</t>
        </is>
      </c>
      <c r="F1612" t="inlineStr">
        <is>
          <t>No</t>
        </is>
      </c>
      <c r="G1612">
        <f>IF(F1612="Yes",1-B1612,B1612)</f>
        <v/>
      </c>
      <c r="H1612">
        <f>IF(E1612="Yes","",COUNTIFS($E$2:E1612,"No"))</f>
        <v/>
      </c>
      <c r="I1612">
        <f>IF(H1612="","",IF(H1612&lt;=128,"address",IF(H1612&lt;=600,"data1",IF(H1612&lt;=1264,"zero-run1",IF(H1612&lt;=1648,"data2",IF(H1612&lt;=2176,"zero-run2",IF(H1612&lt;=2192,"FCS","trailing")))))))</f>
        <v/>
      </c>
      <c r="J1612">
        <f>IFERROR(IF(AND(H1612&lt;&gt;"",H1612&gt;=129,H1612&lt;=2176),INDEX(Fields!$B$2:$B$206,MATCH(H1612-129,Fields!$D$2:$D$206,1)),""),"")</f>
        <v/>
      </c>
      <c r="K1612">
        <f>IFERROR(IF(AND(H1612&lt;&gt;"",H1612&gt;=129,H1612&lt;=2176),INDEX(Fields!$C$2:$C$206,MATCH(H1612-129,Fields!$D$2:$D$206,1)),""),"")</f>
        <v/>
      </c>
      <c r="L1612">
        <f>IFERROR(IF(AND(H1612&lt;&gt;"",H1612&gt;=129,H1612&lt;=2176),INDEX(Fields!$J$2:$J$206,MATCH(H1612-129,Fields!$D$2:$D$206,1)),""),"")</f>
        <v/>
      </c>
      <c r="M1612">
        <f>IFERROR(IF(AND(H1612&lt;&gt;"",H1612&gt;=129,H1612&lt;=2176),INDEX(Fields!$K$2:$K$206,MATCH(H1612-129,Fields!$D$2:$D$206,1)),""),"")</f>
        <v/>
      </c>
    </row>
    <row r="1613">
      <c r="A1613" t="n">
        <v>1611</v>
      </c>
      <c r="B1613" t="n">
        <v>0</v>
      </c>
      <c r="C1613" t="inlineStr">
        <is>
          <t>No</t>
        </is>
      </c>
      <c r="D1613">
        <f>IF(AND(B1608=1,B1609=1,B1610=1,B1611=1,B1612=1),"Yes","")</f>
        <v/>
      </c>
      <c r="E1613" t="inlineStr">
        <is>
          <t>No</t>
        </is>
      </c>
      <c r="F1613" t="inlineStr">
        <is>
          <t>No</t>
        </is>
      </c>
      <c r="G1613">
        <f>IF(F1613="Yes",1-B1613,B1613)</f>
        <v/>
      </c>
      <c r="H1613">
        <f>IF(E1613="Yes","",COUNTIFS($E$2:E1613,"No"))</f>
        <v/>
      </c>
      <c r="I1613">
        <f>IF(H1613="","",IF(H1613&lt;=128,"address",IF(H1613&lt;=600,"data1",IF(H1613&lt;=1264,"zero-run1",IF(H1613&lt;=1648,"data2",IF(H1613&lt;=2176,"zero-run2",IF(H1613&lt;=2192,"FCS","trailing")))))))</f>
        <v/>
      </c>
      <c r="J1613">
        <f>IFERROR(IF(AND(H1613&lt;&gt;"",H1613&gt;=129,H1613&lt;=2176),INDEX(Fields!$B$2:$B$206,MATCH(H1613-129,Fields!$D$2:$D$206,1)),""),"")</f>
        <v/>
      </c>
      <c r="K1613">
        <f>IFERROR(IF(AND(H1613&lt;&gt;"",H1613&gt;=129,H1613&lt;=2176),INDEX(Fields!$C$2:$C$206,MATCH(H1613-129,Fields!$D$2:$D$206,1)),""),"")</f>
        <v/>
      </c>
      <c r="L1613">
        <f>IFERROR(IF(AND(H1613&lt;&gt;"",H1613&gt;=129,H1613&lt;=2176),INDEX(Fields!$J$2:$J$206,MATCH(H1613-129,Fields!$D$2:$D$206,1)),""),"")</f>
        <v/>
      </c>
      <c r="M1613">
        <f>IFERROR(IF(AND(H1613&lt;&gt;"",H1613&gt;=129,H1613&lt;=2176),INDEX(Fields!$K$2:$K$206,MATCH(H1613-129,Fields!$D$2:$D$206,1)),""),"")</f>
        <v/>
      </c>
    </row>
    <row r="1614">
      <c r="A1614" t="n">
        <v>1612</v>
      </c>
      <c r="B1614" t="n">
        <v>0</v>
      </c>
      <c r="C1614" t="inlineStr">
        <is>
          <t>No</t>
        </is>
      </c>
      <c r="D1614">
        <f>IF(AND(B1609=1,B1610=1,B1611=1,B1612=1,B1613=1),"Yes","")</f>
        <v/>
      </c>
      <c r="E1614" t="inlineStr">
        <is>
          <t>No</t>
        </is>
      </c>
      <c r="F1614" t="inlineStr">
        <is>
          <t>No</t>
        </is>
      </c>
      <c r="G1614">
        <f>IF(F1614="Yes",1-B1614,B1614)</f>
        <v/>
      </c>
      <c r="H1614">
        <f>IF(E1614="Yes","",COUNTIFS($E$2:E1614,"No"))</f>
        <v/>
      </c>
      <c r="I1614">
        <f>IF(H1614="","",IF(H1614&lt;=128,"address",IF(H1614&lt;=600,"data1",IF(H1614&lt;=1264,"zero-run1",IF(H1614&lt;=1648,"data2",IF(H1614&lt;=2176,"zero-run2",IF(H1614&lt;=2192,"FCS","trailing")))))))</f>
        <v/>
      </c>
      <c r="J1614">
        <f>IFERROR(IF(AND(H1614&lt;&gt;"",H1614&gt;=129,H1614&lt;=2176),INDEX(Fields!$B$2:$B$206,MATCH(H1614-129,Fields!$D$2:$D$206,1)),""),"")</f>
        <v/>
      </c>
      <c r="K1614">
        <f>IFERROR(IF(AND(H1614&lt;&gt;"",H1614&gt;=129,H1614&lt;=2176),INDEX(Fields!$C$2:$C$206,MATCH(H1614-129,Fields!$D$2:$D$206,1)),""),"")</f>
        <v/>
      </c>
      <c r="L1614">
        <f>IFERROR(IF(AND(H1614&lt;&gt;"",H1614&gt;=129,H1614&lt;=2176),INDEX(Fields!$J$2:$J$206,MATCH(H1614-129,Fields!$D$2:$D$206,1)),""),"")</f>
        <v/>
      </c>
      <c r="M1614">
        <f>IFERROR(IF(AND(H1614&lt;&gt;"",H1614&gt;=129,H1614&lt;=2176),INDEX(Fields!$K$2:$K$206,MATCH(H1614-129,Fields!$D$2:$D$206,1)),""),"")</f>
        <v/>
      </c>
    </row>
    <row r="1615">
      <c r="A1615" t="n">
        <v>1613</v>
      </c>
      <c r="B1615" t="n">
        <v>0</v>
      </c>
      <c r="C1615" t="inlineStr">
        <is>
          <t>No</t>
        </is>
      </c>
      <c r="D1615">
        <f>IF(AND(B1610=1,B1611=1,B1612=1,B1613=1,B1614=1),"Yes","")</f>
        <v/>
      </c>
      <c r="E1615" t="inlineStr">
        <is>
          <t>No</t>
        </is>
      </c>
      <c r="F1615" t="inlineStr">
        <is>
          <t>No</t>
        </is>
      </c>
      <c r="G1615">
        <f>IF(F1615="Yes",1-B1615,B1615)</f>
        <v/>
      </c>
      <c r="H1615">
        <f>IF(E1615="Yes","",COUNTIFS($E$2:E1615,"No"))</f>
        <v/>
      </c>
      <c r="I1615">
        <f>IF(H1615="","",IF(H1615&lt;=128,"address",IF(H1615&lt;=600,"data1",IF(H1615&lt;=1264,"zero-run1",IF(H1615&lt;=1648,"data2",IF(H1615&lt;=2176,"zero-run2",IF(H1615&lt;=2192,"FCS","trailing")))))))</f>
        <v/>
      </c>
      <c r="J1615">
        <f>IFERROR(IF(AND(H1615&lt;&gt;"",H1615&gt;=129,H1615&lt;=2176),INDEX(Fields!$B$2:$B$206,MATCH(H1615-129,Fields!$D$2:$D$206,1)),""),"")</f>
        <v/>
      </c>
      <c r="K1615">
        <f>IFERROR(IF(AND(H1615&lt;&gt;"",H1615&gt;=129,H1615&lt;=2176),INDEX(Fields!$C$2:$C$206,MATCH(H1615-129,Fields!$D$2:$D$206,1)),""),"")</f>
        <v/>
      </c>
      <c r="L1615">
        <f>IFERROR(IF(AND(H1615&lt;&gt;"",H1615&gt;=129,H1615&lt;=2176),INDEX(Fields!$J$2:$J$206,MATCH(H1615-129,Fields!$D$2:$D$206,1)),""),"")</f>
        <v/>
      </c>
      <c r="M1615">
        <f>IFERROR(IF(AND(H1615&lt;&gt;"",H1615&gt;=129,H1615&lt;=2176),INDEX(Fields!$K$2:$K$206,MATCH(H1615-129,Fields!$D$2:$D$206,1)),""),"")</f>
        <v/>
      </c>
    </row>
    <row r="1616">
      <c r="A1616" t="n">
        <v>1614</v>
      </c>
      <c r="B1616" t="n">
        <v>0</v>
      </c>
      <c r="C1616" t="inlineStr">
        <is>
          <t>No</t>
        </is>
      </c>
      <c r="D1616">
        <f>IF(AND(B1611=1,B1612=1,B1613=1,B1614=1,B1615=1),"Yes","")</f>
        <v/>
      </c>
      <c r="E1616" t="inlineStr">
        <is>
          <t>No</t>
        </is>
      </c>
      <c r="F1616" t="inlineStr">
        <is>
          <t>No</t>
        </is>
      </c>
      <c r="G1616">
        <f>IF(F1616="Yes",1-B1616,B1616)</f>
        <v/>
      </c>
      <c r="H1616">
        <f>IF(E1616="Yes","",COUNTIFS($E$2:E1616,"No"))</f>
        <v/>
      </c>
      <c r="I1616">
        <f>IF(H1616="","",IF(H1616&lt;=128,"address",IF(H1616&lt;=600,"data1",IF(H1616&lt;=1264,"zero-run1",IF(H1616&lt;=1648,"data2",IF(H1616&lt;=2176,"zero-run2",IF(H1616&lt;=2192,"FCS","trailing")))))))</f>
        <v/>
      </c>
      <c r="J1616">
        <f>IFERROR(IF(AND(H1616&lt;&gt;"",H1616&gt;=129,H1616&lt;=2176),INDEX(Fields!$B$2:$B$206,MATCH(H1616-129,Fields!$D$2:$D$206,1)),""),"")</f>
        <v/>
      </c>
      <c r="K1616">
        <f>IFERROR(IF(AND(H1616&lt;&gt;"",H1616&gt;=129,H1616&lt;=2176),INDEX(Fields!$C$2:$C$206,MATCH(H1616-129,Fields!$D$2:$D$206,1)),""),"")</f>
        <v/>
      </c>
      <c r="L1616">
        <f>IFERROR(IF(AND(H1616&lt;&gt;"",H1616&gt;=129,H1616&lt;=2176),INDEX(Fields!$J$2:$J$206,MATCH(H1616-129,Fields!$D$2:$D$206,1)),""),"")</f>
        <v/>
      </c>
      <c r="M1616">
        <f>IFERROR(IF(AND(H1616&lt;&gt;"",H1616&gt;=129,H1616&lt;=2176),INDEX(Fields!$K$2:$K$206,MATCH(H1616-129,Fields!$D$2:$D$206,1)),""),"")</f>
        <v/>
      </c>
    </row>
    <row r="1617">
      <c r="A1617" t="n">
        <v>1615</v>
      </c>
      <c r="B1617" t="n">
        <v>0</v>
      </c>
      <c r="C1617" t="inlineStr">
        <is>
          <t>No</t>
        </is>
      </c>
      <c r="D1617">
        <f>IF(AND(B1612=1,B1613=1,B1614=1,B1615=1,B1616=1),"Yes","")</f>
        <v/>
      </c>
      <c r="E1617" t="inlineStr">
        <is>
          <t>No</t>
        </is>
      </c>
      <c r="F1617" t="inlineStr">
        <is>
          <t>No</t>
        </is>
      </c>
      <c r="G1617">
        <f>IF(F1617="Yes",1-B1617,B1617)</f>
        <v/>
      </c>
      <c r="H1617">
        <f>IF(E1617="Yes","",COUNTIFS($E$2:E1617,"No"))</f>
        <v/>
      </c>
      <c r="I1617">
        <f>IF(H1617="","",IF(H1617&lt;=128,"address",IF(H1617&lt;=600,"data1",IF(H1617&lt;=1264,"zero-run1",IF(H1617&lt;=1648,"data2",IF(H1617&lt;=2176,"zero-run2",IF(H1617&lt;=2192,"FCS","trailing")))))))</f>
        <v/>
      </c>
      <c r="J1617">
        <f>IFERROR(IF(AND(H1617&lt;&gt;"",H1617&gt;=129,H1617&lt;=2176),INDEX(Fields!$B$2:$B$206,MATCH(H1617-129,Fields!$D$2:$D$206,1)),""),"")</f>
        <v/>
      </c>
      <c r="K1617">
        <f>IFERROR(IF(AND(H1617&lt;&gt;"",H1617&gt;=129,H1617&lt;=2176),INDEX(Fields!$C$2:$C$206,MATCH(H1617-129,Fields!$D$2:$D$206,1)),""),"")</f>
        <v/>
      </c>
      <c r="L1617">
        <f>IFERROR(IF(AND(H1617&lt;&gt;"",H1617&gt;=129,H1617&lt;=2176),INDEX(Fields!$J$2:$J$206,MATCH(H1617-129,Fields!$D$2:$D$206,1)),""),"")</f>
        <v/>
      </c>
      <c r="M1617">
        <f>IFERROR(IF(AND(H1617&lt;&gt;"",H1617&gt;=129,H1617&lt;=2176),INDEX(Fields!$K$2:$K$206,MATCH(H1617-129,Fields!$D$2:$D$206,1)),""),"")</f>
        <v/>
      </c>
    </row>
    <row r="1618">
      <c r="A1618" t="n">
        <v>1616</v>
      </c>
      <c r="B1618" t="n">
        <v>1</v>
      </c>
      <c r="C1618" t="inlineStr">
        <is>
          <t>No</t>
        </is>
      </c>
      <c r="D1618">
        <f>IF(AND(B1613=1,B1614=1,B1615=1,B1616=1,B1617=1),"Yes","")</f>
        <v/>
      </c>
      <c r="E1618" t="inlineStr">
        <is>
          <t>No</t>
        </is>
      </c>
      <c r="F1618" t="inlineStr">
        <is>
          <t>No</t>
        </is>
      </c>
      <c r="G1618">
        <f>IF(F1618="Yes",1-B1618,B1618)</f>
        <v/>
      </c>
      <c r="H1618">
        <f>IF(E1618="Yes","",COUNTIFS($E$2:E1618,"No"))</f>
        <v/>
      </c>
      <c r="I1618">
        <f>IF(H1618="","",IF(H1618&lt;=128,"address",IF(H1618&lt;=600,"data1",IF(H1618&lt;=1264,"zero-run1",IF(H1618&lt;=1648,"data2",IF(H1618&lt;=2176,"zero-run2",IF(H1618&lt;=2192,"FCS","trailing")))))))</f>
        <v/>
      </c>
      <c r="J1618">
        <f>IFERROR(IF(AND(H1618&lt;&gt;"",H1618&gt;=129,H1618&lt;=2176),INDEX(Fields!$B$2:$B$206,MATCH(H1618-129,Fields!$D$2:$D$206,1)),""),"")</f>
        <v/>
      </c>
      <c r="K1618">
        <f>IFERROR(IF(AND(H1618&lt;&gt;"",H1618&gt;=129,H1618&lt;=2176),INDEX(Fields!$C$2:$C$206,MATCH(H1618-129,Fields!$D$2:$D$206,1)),""),"")</f>
        <v/>
      </c>
      <c r="L1618">
        <f>IFERROR(IF(AND(H1618&lt;&gt;"",H1618&gt;=129,H1618&lt;=2176),INDEX(Fields!$J$2:$J$206,MATCH(H1618-129,Fields!$D$2:$D$206,1)),""),"")</f>
        <v/>
      </c>
      <c r="M1618">
        <f>IFERROR(IF(AND(H1618&lt;&gt;"",H1618&gt;=129,H1618&lt;=2176),INDEX(Fields!$K$2:$K$206,MATCH(H1618-129,Fields!$D$2:$D$206,1)),""),"")</f>
        <v/>
      </c>
    </row>
    <row r="1619">
      <c r="A1619" t="n">
        <v>1617</v>
      </c>
      <c r="B1619" t="n">
        <v>1</v>
      </c>
      <c r="C1619" t="inlineStr">
        <is>
          <t>No</t>
        </is>
      </c>
      <c r="D1619">
        <f>IF(AND(B1614=1,B1615=1,B1616=1,B1617=1,B1618=1),"Yes","")</f>
        <v/>
      </c>
      <c r="E1619" t="inlineStr">
        <is>
          <t>No</t>
        </is>
      </c>
      <c r="F1619" t="inlineStr">
        <is>
          <t>No</t>
        </is>
      </c>
      <c r="G1619">
        <f>IF(F1619="Yes",1-B1619,B1619)</f>
        <v/>
      </c>
      <c r="H1619">
        <f>IF(E1619="Yes","",COUNTIFS($E$2:E1619,"No"))</f>
        <v/>
      </c>
      <c r="I1619">
        <f>IF(H1619="","",IF(H1619&lt;=128,"address",IF(H1619&lt;=600,"data1",IF(H1619&lt;=1264,"zero-run1",IF(H1619&lt;=1648,"data2",IF(H1619&lt;=2176,"zero-run2",IF(H1619&lt;=2192,"FCS","trailing")))))))</f>
        <v/>
      </c>
      <c r="J1619">
        <f>IFERROR(IF(AND(H1619&lt;&gt;"",H1619&gt;=129,H1619&lt;=2176),INDEX(Fields!$B$2:$B$206,MATCH(H1619-129,Fields!$D$2:$D$206,1)),""),"")</f>
        <v/>
      </c>
      <c r="K1619">
        <f>IFERROR(IF(AND(H1619&lt;&gt;"",H1619&gt;=129,H1619&lt;=2176),INDEX(Fields!$C$2:$C$206,MATCH(H1619-129,Fields!$D$2:$D$206,1)),""),"")</f>
        <v/>
      </c>
      <c r="L1619">
        <f>IFERROR(IF(AND(H1619&lt;&gt;"",H1619&gt;=129,H1619&lt;=2176),INDEX(Fields!$J$2:$J$206,MATCH(H1619-129,Fields!$D$2:$D$206,1)),""),"")</f>
        <v/>
      </c>
      <c r="M1619">
        <f>IFERROR(IF(AND(H1619&lt;&gt;"",H1619&gt;=129,H1619&lt;=2176),INDEX(Fields!$K$2:$K$206,MATCH(H1619-129,Fields!$D$2:$D$206,1)),""),"")</f>
        <v/>
      </c>
    </row>
    <row r="1620">
      <c r="A1620" t="n">
        <v>1618</v>
      </c>
      <c r="B1620" t="n">
        <v>1</v>
      </c>
      <c r="C1620" t="inlineStr">
        <is>
          <t>No</t>
        </is>
      </c>
      <c r="D1620">
        <f>IF(AND(B1615=1,B1616=1,B1617=1,B1618=1,B1619=1),"Yes","")</f>
        <v/>
      </c>
      <c r="E1620" t="inlineStr">
        <is>
          <t>No</t>
        </is>
      </c>
      <c r="F1620" t="inlineStr">
        <is>
          <t>No</t>
        </is>
      </c>
      <c r="G1620">
        <f>IF(F1620="Yes",1-B1620,B1620)</f>
        <v/>
      </c>
      <c r="H1620">
        <f>IF(E1620="Yes","",COUNTIFS($E$2:E1620,"No"))</f>
        <v/>
      </c>
      <c r="I1620">
        <f>IF(H1620="","",IF(H1620&lt;=128,"address",IF(H1620&lt;=600,"data1",IF(H1620&lt;=1264,"zero-run1",IF(H1620&lt;=1648,"data2",IF(H1620&lt;=2176,"zero-run2",IF(H1620&lt;=2192,"FCS","trailing")))))))</f>
        <v/>
      </c>
      <c r="J1620">
        <f>IFERROR(IF(AND(H1620&lt;&gt;"",H1620&gt;=129,H1620&lt;=2176),INDEX(Fields!$B$2:$B$206,MATCH(H1620-129,Fields!$D$2:$D$206,1)),""),"")</f>
        <v/>
      </c>
      <c r="K1620">
        <f>IFERROR(IF(AND(H1620&lt;&gt;"",H1620&gt;=129,H1620&lt;=2176),INDEX(Fields!$C$2:$C$206,MATCH(H1620-129,Fields!$D$2:$D$206,1)),""),"")</f>
        <v/>
      </c>
      <c r="L1620">
        <f>IFERROR(IF(AND(H1620&lt;&gt;"",H1620&gt;=129,H1620&lt;=2176),INDEX(Fields!$J$2:$J$206,MATCH(H1620-129,Fields!$D$2:$D$206,1)),""),"")</f>
        <v/>
      </c>
      <c r="M1620">
        <f>IFERROR(IF(AND(H1620&lt;&gt;"",H1620&gt;=129,H1620&lt;=2176),INDEX(Fields!$K$2:$K$206,MATCH(H1620-129,Fields!$D$2:$D$206,1)),""),"")</f>
        <v/>
      </c>
    </row>
    <row r="1621">
      <c r="A1621" t="n">
        <v>1619</v>
      </c>
      <c r="B1621" t="n">
        <v>0</v>
      </c>
      <c r="C1621" t="inlineStr">
        <is>
          <t>No</t>
        </is>
      </c>
      <c r="D1621">
        <f>IF(AND(B1616=1,B1617=1,B1618=1,B1619=1,B1620=1),"Yes","")</f>
        <v/>
      </c>
      <c r="E1621" t="inlineStr">
        <is>
          <t>No</t>
        </is>
      </c>
      <c r="F1621" t="inlineStr">
        <is>
          <t>No</t>
        </is>
      </c>
      <c r="G1621">
        <f>IF(F1621="Yes",1-B1621,B1621)</f>
        <v/>
      </c>
      <c r="H1621">
        <f>IF(E1621="Yes","",COUNTIFS($E$2:E1621,"No"))</f>
        <v/>
      </c>
      <c r="I1621">
        <f>IF(H1621="","",IF(H1621&lt;=128,"address",IF(H1621&lt;=600,"data1",IF(H1621&lt;=1264,"zero-run1",IF(H1621&lt;=1648,"data2",IF(H1621&lt;=2176,"zero-run2",IF(H1621&lt;=2192,"FCS","trailing")))))))</f>
        <v/>
      </c>
      <c r="J1621">
        <f>IFERROR(IF(AND(H1621&lt;&gt;"",H1621&gt;=129,H1621&lt;=2176),INDEX(Fields!$B$2:$B$206,MATCH(H1621-129,Fields!$D$2:$D$206,1)),""),"")</f>
        <v/>
      </c>
      <c r="K1621">
        <f>IFERROR(IF(AND(H1621&lt;&gt;"",H1621&gt;=129,H1621&lt;=2176),INDEX(Fields!$C$2:$C$206,MATCH(H1621-129,Fields!$D$2:$D$206,1)),""),"")</f>
        <v/>
      </c>
      <c r="L1621">
        <f>IFERROR(IF(AND(H1621&lt;&gt;"",H1621&gt;=129,H1621&lt;=2176),INDEX(Fields!$J$2:$J$206,MATCH(H1621-129,Fields!$D$2:$D$206,1)),""),"")</f>
        <v/>
      </c>
      <c r="M1621">
        <f>IFERROR(IF(AND(H1621&lt;&gt;"",H1621&gt;=129,H1621&lt;=2176),INDEX(Fields!$K$2:$K$206,MATCH(H1621-129,Fields!$D$2:$D$206,1)),""),"")</f>
        <v/>
      </c>
    </row>
    <row r="1622">
      <c r="A1622" t="n">
        <v>1620</v>
      </c>
      <c r="B1622" t="n">
        <v>1</v>
      </c>
      <c r="C1622" t="inlineStr">
        <is>
          <t>No</t>
        </is>
      </c>
      <c r="D1622">
        <f>IF(AND(B1617=1,B1618=1,B1619=1,B1620=1,B1621=1),"Yes","")</f>
        <v/>
      </c>
      <c r="E1622" t="inlineStr">
        <is>
          <t>No</t>
        </is>
      </c>
      <c r="F1622" t="inlineStr">
        <is>
          <t>No</t>
        </is>
      </c>
      <c r="G1622">
        <f>IF(F1622="Yes",1-B1622,B1622)</f>
        <v/>
      </c>
      <c r="H1622">
        <f>IF(E1622="Yes","",COUNTIFS($E$2:E1622,"No"))</f>
        <v/>
      </c>
      <c r="I1622">
        <f>IF(H1622="","",IF(H1622&lt;=128,"address",IF(H1622&lt;=600,"data1",IF(H1622&lt;=1264,"zero-run1",IF(H1622&lt;=1648,"data2",IF(H1622&lt;=2176,"zero-run2",IF(H1622&lt;=2192,"FCS","trailing")))))))</f>
        <v/>
      </c>
      <c r="J1622">
        <f>IFERROR(IF(AND(H1622&lt;&gt;"",H1622&gt;=129,H1622&lt;=2176),INDEX(Fields!$B$2:$B$206,MATCH(H1622-129,Fields!$D$2:$D$206,1)),""),"")</f>
        <v/>
      </c>
      <c r="K1622">
        <f>IFERROR(IF(AND(H1622&lt;&gt;"",H1622&gt;=129,H1622&lt;=2176),INDEX(Fields!$C$2:$C$206,MATCH(H1622-129,Fields!$D$2:$D$206,1)),""),"")</f>
        <v/>
      </c>
      <c r="L1622">
        <f>IFERROR(IF(AND(H1622&lt;&gt;"",H1622&gt;=129,H1622&lt;=2176),INDEX(Fields!$J$2:$J$206,MATCH(H1622-129,Fields!$D$2:$D$206,1)),""),"")</f>
        <v/>
      </c>
      <c r="M1622">
        <f>IFERROR(IF(AND(H1622&lt;&gt;"",H1622&gt;=129,H1622&lt;=2176),INDEX(Fields!$K$2:$K$206,MATCH(H1622-129,Fields!$D$2:$D$206,1)),""),"")</f>
        <v/>
      </c>
    </row>
    <row r="1623">
      <c r="A1623" t="n">
        <v>1621</v>
      </c>
      <c r="B1623" t="n">
        <v>0</v>
      </c>
      <c r="C1623" t="inlineStr">
        <is>
          <t>No</t>
        </is>
      </c>
      <c r="D1623">
        <f>IF(AND(B1618=1,B1619=1,B1620=1,B1621=1,B1622=1),"Yes","")</f>
        <v/>
      </c>
      <c r="E1623" t="inlineStr">
        <is>
          <t>No</t>
        </is>
      </c>
      <c r="F1623" t="inlineStr">
        <is>
          <t>No</t>
        </is>
      </c>
      <c r="G1623">
        <f>IF(F1623="Yes",1-B1623,B1623)</f>
        <v/>
      </c>
      <c r="H1623">
        <f>IF(E1623="Yes","",COUNTIFS($E$2:E1623,"No"))</f>
        <v/>
      </c>
      <c r="I1623">
        <f>IF(H1623="","",IF(H1623&lt;=128,"address",IF(H1623&lt;=600,"data1",IF(H1623&lt;=1264,"zero-run1",IF(H1623&lt;=1648,"data2",IF(H1623&lt;=2176,"zero-run2",IF(H1623&lt;=2192,"FCS","trailing")))))))</f>
        <v/>
      </c>
      <c r="J1623">
        <f>IFERROR(IF(AND(H1623&lt;&gt;"",H1623&gt;=129,H1623&lt;=2176),INDEX(Fields!$B$2:$B$206,MATCH(H1623-129,Fields!$D$2:$D$206,1)),""),"")</f>
        <v/>
      </c>
      <c r="K1623">
        <f>IFERROR(IF(AND(H1623&lt;&gt;"",H1623&gt;=129,H1623&lt;=2176),INDEX(Fields!$C$2:$C$206,MATCH(H1623-129,Fields!$D$2:$D$206,1)),""),"")</f>
        <v/>
      </c>
      <c r="L1623">
        <f>IFERROR(IF(AND(H1623&lt;&gt;"",H1623&gt;=129,H1623&lt;=2176),INDEX(Fields!$J$2:$J$206,MATCH(H1623-129,Fields!$D$2:$D$206,1)),""),"")</f>
        <v/>
      </c>
      <c r="M1623">
        <f>IFERROR(IF(AND(H1623&lt;&gt;"",H1623&gt;=129,H1623&lt;=2176),INDEX(Fields!$K$2:$K$206,MATCH(H1623-129,Fields!$D$2:$D$206,1)),""),"")</f>
        <v/>
      </c>
    </row>
    <row r="1624">
      <c r="A1624" t="n">
        <v>1622</v>
      </c>
      <c r="B1624" t="n">
        <v>0</v>
      </c>
      <c r="C1624" t="inlineStr">
        <is>
          <t>No</t>
        </is>
      </c>
      <c r="D1624">
        <f>IF(AND(B1619=1,B1620=1,B1621=1,B1622=1,B1623=1),"Yes","")</f>
        <v/>
      </c>
      <c r="E1624" t="inlineStr">
        <is>
          <t>No</t>
        </is>
      </c>
      <c r="F1624" t="inlineStr">
        <is>
          <t>No</t>
        </is>
      </c>
      <c r="G1624">
        <f>IF(F1624="Yes",1-B1624,B1624)</f>
        <v/>
      </c>
      <c r="H1624">
        <f>IF(E1624="Yes","",COUNTIFS($E$2:E1624,"No"))</f>
        <v/>
      </c>
      <c r="I1624">
        <f>IF(H1624="","",IF(H1624&lt;=128,"address",IF(H1624&lt;=600,"data1",IF(H1624&lt;=1264,"zero-run1",IF(H1624&lt;=1648,"data2",IF(H1624&lt;=2176,"zero-run2",IF(H1624&lt;=2192,"FCS","trailing")))))))</f>
        <v/>
      </c>
      <c r="J1624">
        <f>IFERROR(IF(AND(H1624&lt;&gt;"",H1624&gt;=129,H1624&lt;=2176),INDEX(Fields!$B$2:$B$206,MATCH(H1624-129,Fields!$D$2:$D$206,1)),""),"")</f>
        <v/>
      </c>
      <c r="K1624">
        <f>IFERROR(IF(AND(H1624&lt;&gt;"",H1624&gt;=129,H1624&lt;=2176),INDEX(Fields!$C$2:$C$206,MATCH(H1624-129,Fields!$D$2:$D$206,1)),""),"")</f>
        <v/>
      </c>
      <c r="L1624">
        <f>IFERROR(IF(AND(H1624&lt;&gt;"",H1624&gt;=129,H1624&lt;=2176),INDEX(Fields!$J$2:$J$206,MATCH(H1624-129,Fields!$D$2:$D$206,1)),""),"")</f>
        <v/>
      </c>
      <c r="M1624">
        <f>IFERROR(IF(AND(H1624&lt;&gt;"",H1624&gt;=129,H1624&lt;=2176),INDEX(Fields!$K$2:$K$206,MATCH(H1624-129,Fields!$D$2:$D$206,1)),""),"")</f>
        <v/>
      </c>
    </row>
    <row r="1625">
      <c r="A1625" t="n">
        <v>1623</v>
      </c>
      <c r="B1625" t="n">
        <v>0</v>
      </c>
      <c r="C1625" t="inlineStr">
        <is>
          <t>No</t>
        </is>
      </c>
      <c r="D1625">
        <f>IF(AND(B1620=1,B1621=1,B1622=1,B1623=1,B1624=1),"Yes","")</f>
        <v/>
      </c>
      <c r="E1625" t="inlineStr">
        <is>
          <t>No</t>
        </is>
      </c>
      <c r="F1625" t="inlineStr">
        <is>
          <t>No</t>
        </is>
      </c>
      <c r="G1625">
        <f>IF(F1625="Yes",1-B1625,B1625)</f>
        <v/>
      </c>
      <c r="H1625">
        <f>IF(E1625="Yes","",COUNTIFS($E$2:E1625,"No"))</f>
        <v/>
      </c>
      <c r="I1625">
        <f>IF(H1625="","",IF(H1625&lt;=128,"address",IF(H1625&lt;=600,"data1",IF(H1625&lt;=1264,"zero-run1",IF(H1625&lt;=1648,"data2",IF(H1625&lt;=2176,"zero-run2",IF(H1625&lt;=2192,"FCS","trailing")))))))</f>
        <v/>
      </c>
      <c r="J1625">
        <f>IFERROR(IF(AND(H1625&lt;&gt;"",H1625&gt;=129,H1625&lt;=2176),INDEX(Fields!$B$2:$B$206,MATCH(H1625-129,Fields!$D$2:$D$206,1)),""),"")</f>
        <v/>
      </c>
      <c r="K1625">
        <f>IFERROR(IF(AND(H1625&lt;&gt;"",H1625&gt;=129,H1625&lt;=2176),INDEX(Fields!$C$2:$C$206,MATCH(H1625-129,Fields!$D$2:$D$206,1)),""),"")</f>
        <v/>
      </c>
      <c r="L1625">
        <f>IFERROR(IF(AND(H1625&lt;&gt;"",H1625&gt;=129,H1625&lt;=2176),INDEX(Fields!$J$2:$J$206,MATCH(H1625-129,Fields!$D$2:$D$206,1)),""),"")</f>
        <v/>
      </c>
      <c r="M1625">
        <f>IFERROR(IF(AND(H1625&lt;&gt;"",H1625&gt;=129,H1625&lt;=2176),INDEX(Fields!$K$2:$K$206,MATCH(H1625-129,Fields!$D$2:$D$206,1)),""),"")</f>
        <v/>
      </c>
    </row>
    <row r="1626">
      <c r="A1626" t="n">
        <v>1624</v>
      </c>
      <c r="B1626" t="n">
        <v>0</v>
      </c>
      <c r="C1626" t="inlineStr">
        <is>
          <t>No</t>
        </is>
      </c>
      <c r="D1626">
        <f>IF(AND(B1621=1,B1622=1,B1623=1,B1624=1,B1625=1),"Yes","")</f>
        <v/>
      </c>
      <c r="E1626" t="inlineStr">
        <is>
          <t>No</t>
        </is>
      </c>
      <c r="F1626" t="inlineStr">
        <is>
          <t>No</t>
        </is>
      </c>
      <c r="G1626">
        <f>IF(F1626="Yes",1-B1626,B1626)</f>
        <v/>
      </c>
      <c r="H1626">
        <f>IF(E1626="Yes","",COUNTIFS($E$2:E1626,"No"))</f>
        <v/>
      </c>
      <c r="I1626">
        <f>IF(H1626="","",IF(H1626&lt;=128,"address",IF(H1626&lt;=600,"data1",IF(H1626&lt;=1264,"zero-run1",IF(H1626&lt;=1648,"data2",IF(H1626&lt;=2176,"zero-run2",IF(H1626&lt;=2192,"FCS","trailing")))))))</f>
        <v/>
      </c>
      <c r="J1626">
        <f>IFERROR(IF(AND(H1626&lt;&gt;"",H1626&gt;=129,H1626&lt;=2176),INDEX(Fields!$B$2:$B$206,MATCH(H1626-129,Fields!$D$2:$D$206,1)),""),"")</f>
        <v/>
      </c>
      <c r="K1626">
        <f>IFERROR(IF(AND(H1626&lt;&gt;"",H1626&gt;=129,H1626&lt;=2176),INDEX(Fields!$C$2:$C$206,MATCH(H1626-129,Fields!$D$2:$D$206,1)),""),"")</f>
        <v/>
      </c>
      <c r="L1626">
        <f>IFERROR(IF(AND(H1626&lt;&gt;"",H1626&gt;=129,H1626&lt;=2176),INDEX(Fields!$J$2:$J$206,MATCH(H1626-129,Fields!$D$2:$D$206,1)),""),"")</f>
        <v/>
      </c>
      <c r="M1626">
        <f>IFERROR(IF(AND(H1626&lt;&gt;"",H1626&gt;=129,H1626&lt;=2176),INDEX(Fields!$K$2:$K$206,MATCH(H1626-129,Fields!$D$2:$D$206,1)),""),"")</f>
        <v/>
      </c>
    </row>
    <row r="1627">
      <c r="A1627" t="n">
        <v>1625</v>
      </c>
      <c r="B1627" t="n">
        <v>0</v>
      </c>
      <c r="C1627" t="inlineStr">
        <is>
          <t>No</t>
        </is>
      </c>
      <c r="D1627">
        <f>IF(AND(B1622=1,B1623=1,B1624=1,B1625=1,B1626=1),"Yes","")</f>
        <v/>
      </c>
      <c r="E1627" t="inlineStr">
        <is>
          <t>No</t>
        </is>
      </c>
      <c r="F1627" t="inlineStr">
        <is>
          <t>No</t>
        </is>
      </c>
      <c r="G1627">
        <f>IF(F1627="Yes",1-B1627,B1627)</f>
        <v/>
      </c>
      <c r="H1627">
        <f>IF(E1627="Yes","",COUNTIFS($E$2:E1627,"No"))</f>
        <v/>
      </c>
      <c r="I1627">
        <f>IF(H1627="","",IF(H1627&lt;=128,"address",IF(H1627&lt;=600,"data1",IF(H1627&lt;=1264,"zero-run1",IF(H1627&lt;=1648,"data2",IF(H1627&lt;=2176,"zero-run2",IF(H1627&lt;=2192,"FCS","trailing")))))))</f>
        <v/>
      </c>
      <c r="J1627">
        <f>IFERROR(IF(AND(H1627&lt;&gt;"",H1627&gt;=129,H1627&lt;=2176),INDEX(Fields!$B$2:$B$206,MATCH(H1627-129,Fields!$D$2:$D$206,1)),""),"")</f>
        <v/>
      </c>
      <c r="K1627">
        <f>IFERROR(IF(AND(H1627&lt;&gt;"",H1627&gt;=129,H1627&lt;=2176),INDEX(Fields!$C$2:$C$206,MATCH(H1627-129,Fields!$D$2:$D$206,1)),""),"")</f>
        <v/>
      </c>
      <c r="L1627">
        <f>IFERROR(IF(AND(H1627&lt;&gt;"",H1627&gt;=129,H1627&lt;=2176),INDEX(Fields!$J$2:$J$206,MATCH(H1627-129,Fields!$D$2:$D$206,1)),""),"")</f>
        <v/>
      </c>
      <c r="M1627">
        <f>IFERROR(IF(AND(H1627&lt;&gt;"",H1627&gt;=129,H1627&lt;=2176),INDEX(Fields!$K$2:$K$206,MATCH(H1627-129,Fields!$D$2:$D$206,1)),""),"")</f>
        <v/>
      </c>
    </row>
    <row r="1628">
      <c r="A1628" t="n">
        <v>1626</v>
      </c>
      <c r="B1628" t="n">
        <v>0</v>
      </c>
      <c r="C1628" t="inlineStr">
        <is>
          <t>No</t>
        </is>
      </c>
      <c r="D1628">
        <f>IF(AND(B1623=1,B1624=1,B1625=1,B1626=1,B1627=1),"Yes","")</f>
        <v/>
      </c>
      <c r="E1628" t="inlineStr">
        <is>
          <t>No</t>
        </is>
      </c>
      <c r="F1628" t="inlineStr">
        <is>
          <t>No</t>
        </is>
      </c>
      <c r="G1628">
        <f>IF(F1628="Yes",1-B1628,B1628)</f>
        <v/>
      </c>
      <c r="H1628">
        <f>IF(E1628="Yes","",COUNTIFS($E$2:E1628,"No"))</f>
        <v/>
      </c>
      <c r="I1628">
        <f>IF(H1628="","",IF(H1628&lt;=128,"address",IF(H1628&lt;=600,"data1",IF(H1628&lt;=1264,"zero-run1",IF(H1628&lt;=1648,"data2",IF(H1628&lt;=2176,"zero-run2",IF(H1628&lt;=2192,"FCS","trailing")))))))</f>
        <v/>
      </c>
      <c r="J1628">
        <f>IFERROR(IF(AND(H1628&lt;&gt;"",H1628&gt;=129,H1628&lt;=2176),INDEX(Fields!$B$2:$B$206,MATCH(H1628-129,Fields!$D$2:$D$206,1)),""),"")</f>
        <v/>
      </c>
      <c r="K1628">
        <f>IFERROR(IF(AND(H1628&lt;&gt;"",H1628&gt;=129,H1628&lt;=2176),INDEX(Fields!$C$2:$C$206,MATCH(H1628-129,Fields!$D$2:$D$206,1)),""),"")</f>
        <v/>
      </c>
      <c r="L1628">
        <f>IFERROR(IF(AND(H1628&lt;&gt;"",H1628&gt;=129,H1628&lt;=2176),INDEX(Fields!$J$2:$J$206,MATCH(H1628-129,Fields!$D$2:$D$206,1)),""),"")</f>
        <v/>
      </c>
      <c r="M1628">
        <f>IFERROR(IF(AND(H1628&lt;&gt;"",H1628&gt;=129,H1628&lt;=2176),INDEX(Fields!$K$2:$K$206,MATCH(H1628-129,Fields!$D$2:$D$206,1)),""),"")</f>
        <v/>
      </c>
    </row>
    <row r="1629">
      <c r="A1629" t="n">
        <v>1627</v>
      </c>
      <c r="B1629" t="n">
        <v>0</v>
      </c>
      <c r="C1629" t="inlineStr">
        <is>
          <t>No</t>
        </is>
      </c>
      <c r="D1629">
        <f>IF(AND(B1624=1,B1625=1,B1626=1,B1627=1,B1628=1),"Yes","")</f>
        <v/>
      </c>
      <c r="E1629" t="inlineStr">
        <is>
          <t>No</t>
        </is>
      </c>
      <c r="F1629" t="inlineStr">
        <is>
          <t>No</t>
        </is>
      </c>
      <c r="G1629">
        <f>IF(F1629="Yes",1-B1629,B1629)</f>
        <v/>
      </c>
      <c r="H1629">
        <f>IF(E1629="Yes","",COUNTIFS($E$2:E1629,"No"))</f>
        <v/>
      </c>
      <c r="I1629">
        <f>IF(H1629="","",IF(H1629&lt;=128,"address",IF(H1629&lt;=600,"data1",IF(H1629&lt;=1264,"zero-run1",IF(H1629&lt;=1648,"data2",IF(H1629&lt;=2176,"zero-run2",IF(H1629&lt;=2192,"FCS","trailing")))))))</f>
        <v/>
      </c>
      <c r="J1629">
        <f>IFERROR(IF(AND(H1629&lt;&gt;"",H1629&gt;=129,H1629&lt;=2176),INDEX(Fields!$B$2:$B$206,MATCH(H1629-129,Fields!$D$2:$D$206,1)),""),"")</f>
        <v/>
      </c>
      <c r="K1629">
        <f>IFERROR(IF(AND(H1629&lt;&gt;"",H1629&gt;=129,H1629&lt;=2176),INDEX(Fields!$C$2:$C$206,MATCH(H1629-129,Fields!$D$2:$D$206,1)),""),"")</f>
        <v/>
      </c>
      <c r="L1629">
        <f>IFERROR(IF(AND(H1629&lt;&gt;"",H1629&gt;=129,H1629&lt;=2176),INDEX(Fields!$J$2:$J$206,MATCH(H1629-129,Fields!$D$2:$D$206,1)),""),"")</f>
        <v/>
      </c>
      <c r="M1629">
        <f>IFERROR(IF(AND(H1629&lt;&gt;"",H1629&gt;=129,H1629&lt;=2176),INDEX(Fields!$K$2:$K$206,MATCH(H1629-129,Fields!$D$2:$D$206,1)),""),"")</f>
        <v/>
      </c>
    </row>
    <row r="1630">
      <c r="A1630" t="n">
        <v>1628</v>
      </c>
      <c r="B1630" t="n">
        <v>0</v>
      </c>
      <c r="C1630" t="inlineStr">
        <is>
          <t>No</t>
        </is>
      </c>
      <c r="D1630">
        <f>IF(AND(B1625=1,B1626=1,B1627=1,B1628=1,B1629=1),"Yes","")</f>
        <v/>
      </c>
      <c r="E1630" t="inlineStr">
        <is>
          <t>No</t>
        </is>
      </c>
      <c r="F1630" t="inlineStr">
        <is>
          <t>No</t>
        </is>
      </c>
      <c r="G1630">
        <f>IF(F1630="Yes",1-B1630,B1630)</f>
        <v/>
      </c>
      <c r="H1630">
        <f>IF(E1630="Yes","",COUNTIFS($E$2:E1630,"No"))</f>
        <v/>
      </c>
      <c r="I1630">
        <f>IF(H1630="","",IF(H1630&lt;=128,"address",IF(H1630&lt;=600,"data1",IF(H1630&lt;=1264,"zero-run1",IF(H1630&lt;=1648,"data2",IF(H1630&lt;=2176,"zero-run2",IF(H1630&lt;=2192,"FCS","trailing")))))))</f>
        <v/>
      </c>
      <c r="J1630">
        <f>IFERROR(IF(AND(H1630&lt;&gt;"",H1630&gt;=129,H1630&lt;=2176),INDEX(Fields!$B$2:$B$206,MATCH(H1630-129,Fields!$D$2:$D$206,1)),""),"")</f>
        <v/>
      </c>
      <c r="K1630">
        <f>IFERROR(IF(AND(H1630&lt;&gt;"",H1630&gt;=129,H1630&lt;=2176),INDEX(Fields!$C$2:$C$206,MATCH(H1630-129,Fields!$D$2:$D$206,1)),""),"")</f>
        <v/>
      </c>
      <c r="L1630">
        <f>IFERROR(IF(AND(H1630&lt;&gt;"",H1630&gt;=129,H1630&lt;=2176),INDEX(Fields!$J$2:$J$206,MATCH(H1630-129,Fields!$D$2:$D$206,1)),""),"")</f>
        <v/>
      </c>
      <c r="M1630">
        <f>IFERROR(IF(AND(H1630&lt;&gt;"",H1630&gt;=129,H1630&lt;=2176),INDEX(Fields!$K$2:$K$206,MATCH(H1630-129,Fields!$D$2:$D$206,1)),""),"")</f>
        <v/>
      </c>
    </row>
    <row r="1631">
      <c r="A1631" t="n">
        <v>1629</v>
      </c>
      <c r="B1631" t="n">
        <v>0</v>
      </c>
      <c r="C1631" t="inlineStr">
        <is>
          <t>No</t>
        </is>
      </c>
      <c r="D1631">
        <f>IF(AND(B1626=1,B1627=1,B1628=1,B1629=1,B1630=1),"Yes","")</f>
        <v/>
      </c>
      <c r="E1631" t="inlineStr">
        <is>
          <t>No</t>
        </is>
      </c>
      <c r="F1631" t="inlineStr">
        <is>
          <t>No</t>
        </is>
      </c>
      <c r="G1631">
        <f>IF(F1631="Yes",1-B1631,B1631)</f>
        <v/>
      </c>
      <c r="H1631">
        <f>IF(E1631="Yes","",COUNTIFS($E$2:E1631,"No"))</f>
        <v/>
      </c>
      <c r="I1631">
        <f>IF(H1631="","",IF(H1631&lt;=128,"address",IF(H1631&lt;=600,"data1",IF(H1631&lt;=1264,"zero-run1",IF(H1631&lt;=1648,"data2",IF(H1631&lt;=2176,"zero-run2",IF(H1631&lt;=2192,"FCS","trailing")))))))</f>
        <v/>
      </c>
      <c r="J1631">
        <f>IFERROR(IF(AND(H1631&lt;&gt;"",H1631&gt;=129,H1631&lt;=2176),INDEX(Fields!$B$2:$B$206,MATCH(H1631-129,Fields!$D$2:$D$206,1)),""),"")</f>
        <v/>
      </c>
      <c r="K1631">
        <f>IFERROR(IF(AND(H1631&lt;&gt;"",H1631&gt;=129,H1631&lt;=2176),INDEX(Fields!$C$2:$C$206,MATCH(H1631-129,Fields!$D$2:$D$206,1)),""),"")</f>
        <v/>
      </c>
      <c r="L1631">
        <f>IFERROR(IF(AND(H1631&lt;&gt;"",H1631&gt;=129,H1631&lt;=2176),INDEX(Fields!$J$2:$J$206,MATCH(H1631-129,Fields!$D$2:$D$206,1)),""),"")</f>
        <v/>
      </c>
      <c r="M1631">
        <f>IFERROR(IF(AND(H1631&lt;&gt;"",H1631&gt;=129,H1631&lt;=2176),INDEX(Fields!$K$2:$K$206,MATCH(H1631-129,Fields!$D$2:$D$206,1)),""),"")</f>
        <v/>
      </c>
    </row>
    <row r="1632">
      <c r="A1632" t="n">
        <v>1630</v>
      </c>
      <c r="B1632" t="n">
        <v>0</v>
      </c>
      <c r="C1632" t="inlineStr">
        <is>
          <t>No</t>
        </is>
      </c>
      <c r="D1632">
        <f>IF(AND(B1627=1,B1628=1,B1629=1,B1630=1,B1631=1),"Yes","")</f>
        <v/>
      </c>
      <c r="E1632" t="inlineStr">
        <is>
          <t>No</t>
        </is>
      </c>
      <c r="F1632" t="inlineStr">
        <is>
          <t>No</t>
        </is>
      </c>
      <c r="G1632">
        <f>IF(F1632="Yes",1-B1632,B1632)</f>
        <v/>
      </c>
      <c r="H1632">
        <f>IF(E1632="Yes","",COUNTIFS($E$2:E1632,"No"))</f>
        <v/>
      </c>
      <c r="I1632">
        <f>IF(H1632="","",IF(H1632&lt;=128,"address",IF(H1632&lt;=600,"data1",IF(H1632&lt;=1264,"zero-run1",IF(H1632&lt;=1648,"data2",IF(H1632&lt;=2176,"zero-run2",IF(H1632&lt;=2192,"FCS","trailing")))))))</f>
        <v/>
      </c>
      <c r="J1632">
        <f>IFERROR(IF(AND(H1632&lt;&gt;"",H1632&gt;=129,H1632&lt;=2176),INDEX(Fields!$B$2:$B$206,MATCH(H1632-129,Fields!$D$2:$D$206,1)),""),"")</f>
        <v/>
      </c>
      <c r="K1632">
        <f>IFERROR(IF(AND(H1632&lt;&gt;"",H1632&gt;=129,H1632&lt;=2176),INDEX(Fields!$C$2:$C$206,MATCH(H1632-129,Fields!$D$2:$D$206,1)),""),"")</f>
        <v/>
      </c>
      <c r="L1632">
        <f>IFERROR(IF(AND(H1632&lt;&gt;"",H1632&gt;=129,H1632&lt;=2176),INDEX(Fields!$J$2:$J$206,MATCH(H1632-129,Fields!$D$2:$D$206,1)),""),"")</f>
        <v/>
      </c>
      <c r="M1632">
        <f>IFERROR(IF(AND(H1632&lt;&gt;"",H1632&gt;=129,H1632&lt;=2176),INDEX(Fields!$K$2:$K$206,MATCH(H1632-129,Fields!$D$2:$D$206,1)),""),"")</f>
        <v/>
      </c>
    </row>
    <row r="1633">
      <c r="A1633" t="n">
        <v>1631</v>
      </c>
      <c r="B1633" t="n">
        <v>0</v>
      </c>
      <c r="C1633" t="inlineStr">
        <is>
          <t>No</t>
        </is>
      </c>
      <c r="D1633">
        <f>IF(AND(B1628=1,B1629=1,B1630=1,B1631=1,B1632=1),"Yes","")</f>
        <v/>
      </c>
      <c r="E1633" t="inlineStr">
        <is>
          <t>No</t>
        </is>
      </c>
      <c r="F1633" t="inlineStr">
        <is>
          <t>No</t>
        </is>
      </c>
      <c r="G1633">
        <f>IF(F1633="Yes",1-B1633,B1633)</f>
        <v/>
      </c>
      <c r="H1633">
        <f>IF(E1633="Yes","",COUNTIFS($E$2:E1633,"No"))</f>
        <v/>
      </c>
      <c r="I1633">
        <f>IF(H1633="","",IF(H1633&lt;=128,"address",IF(H1633&lt;=600,"data1",IF(H1633&lt;=1264,"zero-run1",IF(H1633&lt;=1648,"data2",IF(H1633&lt;=2176,"zero-run2",IF(H1633&lt;=2192,"FCS","trailing")))))))</f>
        <v/>
      </c>
      <c r="J1633">
        <f>IFERROR(IF(AND(H1633&lt;&gt;"",H1633&gt;=129,H1633&lt;=2176),INDEX(Fields!$B$2:$B$206,MATCH(H1633-129,Fields!$D$2:$D$206,1)),""),"")</f>
        <v/>
      </c>
      <c r="K1633">
        <f>IFERROR(IF(AND(H1633&lt;&gt;"",H1633&gt;=129,H1633&lt;=2176),INDEX(Fields!$C$2:$C$206,MATCH(H1633-129,Fields!$D$2:$D$206,1)),""),"")</f>
        <v/>
      </c>
      <c r="L1633">
        <f>IFERROR(IF(AND(H1633&lt;&gt;"",H1633&gt;=129,H1633&lt;=2176),INDEX(Fields!$J$2:$J$206,MATCH(H1633-129,Fields!$D$2:$D$206,1)),""),"")</f>
        <v/>
      </c>
      <c r="M1633">
        <f>IFERROR(IF(AND(H1633&lt;&gt;"",H1633&gt;=129,H1633&lt;=2176),INDEX(Fields!$K$2:$K$206,MATCH(H1633-129,Fields!$D$2:$D$206,1)),""),"")</f>
        <v/>
      </c>
    </row>
    <row r="1634">
      <c r="A1634" t="n">
        <v>1632</v>
      </c>
      <c r="B1634" t="n">
        <v>0</v>
      </c>
      <c r="C1634" t="inlineStr">
        <is>
          <t>No</t>
        </is>
      </c>
      <c r="D1634">
        <f>IF(AND(B1629=1,B1630=1,B1631=1,B1632=1,B1633=1),"Yes","")</f>
        <v/>
      </c>
      <c r="E1634" t="inlineStr">
        <is>
          <t>No</t>
        </is>
      </c>
      <c r="F1634" t="inlineStr">
        <is>
          <t>No</t>
        </is>
      </c>
      <c r="G1634">
        <f>IF(F1634="Yes",1-B1634,B1634)</f>
        <v/>
      </c>
      <c r="H1634">
        <f>IF(E1634="Yes","",COUNTIFS($E$2:E1634,"No"))</f>
        <v/>
      </c>
      <c r="I1634">
        <f>IF(H1634="","",IF(H1634&lt;=128,"address",IF(H1634&lt;=600,"data1",IF(H1634&lt;=1264,"zero-run1",IF(H1634&lt;=1648,"data2",IF(H1634&lt;=2176,"zero-run2",IF(H1634&lt;=2192,"FCS","trailing")))))))</f>
        <v/>
      </c>
      <c r="J1634">
        <f>IFERROR(IF(AND(H1634&lt;&gt;"",H1634&gt;=129,H1634&lt;=2176),INDEX(Fields!$B$2:$B$206,MATCH(H1634-129,Fields!$D$2:$D$206,1)),""),"")</f>
        <v/>
      </c>
      <c r="K1634">
        <f>IFERROR(IF(AND(H1634&lt;&gt;"",H1634&gt;=129,H1634&lt;=2176),INDEX(Fields!$C$2:$C$206,MATCH(H1634-129,Fields!$D$2:$D$206,1)),""),"")</f>
        <v/>
      </c>
      <c r="L1634">
        <f>IFERROR(IF(AND(H1634&lt;&gt;"",H1634&gt;=129,H1634&lt;=2176),INDEX(Fields!$J$2:$J$206,MATCH(H1634-129,Fields!$D$2:$D$206,1)),""),"")</f>
        <v/>
      </c>
      <c r="M1634">
        <f>IFERROR(IF(AND(H1634&lt;&gt;"",H1634&gt;=129,H1634&lt;=2176),INDEX(Fields!$K$2:$K$206,MATCH(H1634-129,Fields!$D$2:$D$206,1)),""),"")</f>
        <v/>
      </c>
    </row>
    <row r="1635">
      <c r="A1635" t="n">
        <v>1633</v>
      </c>
      <c r="B1635" t="n">
        <v>0</v>
      </c>
      <c r="C1635" t="inlineStr">
        <is>
          <t>No</t>
        </is>
      </c>
      <c r="D1635">
        <f>IF(AND(B1630=1,B1631=1,B1632=1,B1633=1,B1634=1),"Yes","")</f>
        <v/>
      </c>
      <c r="E1635" t="inlineStr">
        <is>
          <t>No</t>
        </is>
      </c>
      <c r="F1635" t="inlineStr">
        <is>
          <t>No</t>
        </is>
      </c>
      <c r="G1635">
        <f>IF(F1635="Yes",1-B1635,B1635)</f>
        <v/>
      </c>
      <c r="H1635">
        <f>IF(E1635="Yes","",COUNTIFS($E$2:E1635,"No"))</f>
        <v/>
      </c>
      <c r="I1635">
        <f>IF(H1635="","",IF(H1635&lt;=128,"address",IF(H1635&lt;=600,"data1",IF(H1635&lt;=1264,"zero-run1",IF(H1635&lt;=1648,"data2",IF(H1635&lt;=2176,"zero-run2",IF(H1635&lt;=2192,"FCS","trailing")))))))</f>
        <v/>
      </c>
      <c r="J1635">
        <f>IFERROR(IF(AND(H1635&lt;&gt;"",H1635&gt;=129,H1635&lt;=2176),INDEX(Fields!$B$2:$B$206,MATCH(H1635-129,Fields!$D$2:$D$206,1)),""),"")</f>
        <v/>
      </c>
      <c r="K1635">
        <f>IFERROR(IF(AND(H1635&lt;&gt;"",H1635&gt;=129,H1635&lt;=2176),INDEX(Fields!$C$2:$C$206,MATCH(H1635-129,Fields!$D$2:$D$206,1)),""),"")</f>
        <v/>
      </c>
      <c r="L1635">
        <f>IFERROR(IF(AND(H1635&lt;&gt;"",H1635&gt;=129,H1635&lt;=2176),INDEX(Fields!$J$2:$J$206,MATCH(H1635-129,Fields!$D$2:$D$206,1)),""),"")</f>
        <v/>
      </c>
      <c r="M1635">
        <f>IFERROR(IF(AND(H1635&lt;&gt;"",H1635&gt;=129,H1635&lt;=2176),INDEX(Fields!$K$2:$K$206,MATCH(H1635-129,Fields!$D$2:$D$206,1)),""),"")</f>
        <v/>
      </c>
    </row>
    <row r="1636">
      <c r="A1636" t="n">
        <v>1634</v>
      </c>
      <c r="B1636" t="n">
        <v>1</v>
      </c>
      <c r="C1636" t="inlineStr">
        <is>
          <t>No</t>
        </is>
      </c>
      <c r="D1636">
        <f>IF(AND(B1631=1,B1632=1,B1633=1,B1634=1,B1635=1),"Yes","")</f>
        <v/>
      </c>
      <c r="E1636" t="inlineStr">
        <is>
          <t>No</t>
        </is>
      </c>
      <c r="F1636" t="inlineStr">
        <is>
          <t>No</t>
        </is>
      </c>
      <c r="G1636">
        <f>IF(F1636="Yes",1-B1636,B1636)</f>
        <v/>
      </c>
      <c r="H1636">
        <f>IF(E1636="Yes","",COUNTIFS($E$2:E1636,"No"))</f>
        <v/>
      </c>
      <c r="I1636">
        <f>IF(H1636="","",IF(H1636&lt;=128,"address",IF(H1636&lt;=600,"data1",IF(H1636&lt;=1264,"zero-run1",IF(H1636&lt;=1648,"data2",IF(H1636&lt;=2176,"zero-run2",IF(H1636&lt;=2192,"FCS","trailing")))))))</f>
        <v/>
      </c>
      <c r="J1636">
        <f>IFERROR(IF(AND(H1636&lt;&gt;"",H1636&gt;=129,H1636&lt;=2176),INDEX(Fields!$B$2:$B$206,MATCH(H1636-129,Fields!$D$2:$D$206,1)),""),"")</f>
        <v/>
      </c>
      <c r="K1636">
        <f>IFERROR(IF(AND(H1636&lt;&gt;"",H1636&gt;=129,H1636&lt;=2176),INDEX(Fields!$C$2:$C$206,MATCH(H1636-129,Fields!$D$2:$D$206,1)),""),"")</f>
        <v/>
      </c>
      <c r="L1636">
        <f>IFERROR(IF(AND(H1636&lt;&gt;"",H1636&gt;=129,H1636&lt;=2176),INDEX(Fields!$J$2:$J$206,MATCH(H1636-129,Fields!$D$2:$D$206,1)),""),"")</f>
        <v/>
      </c>
      <c r="M1636">
        <f>IFERROR(IF(AND(H1636&lt;&gt;"",H1636&gt;=129,H1636&lt;=2176),INDEX(Fields!$K$2:$K$206,MATCH(H1636-129,Fields!$D$2:$D$206,1)),""),"")</f>
        <v/>
      </c>
    </row>
    <row r="1637">
      <c r="A1637" t="n">
        <v>1635</v>
      </c>
      <c r="B1637" t="n">
        <v>0</v>
      </c>
      <c r="C1637" t="inlineStr">
        <is>
          <t>No</t>
        </is>
      </c>
      <c r="D1637">
        <f>IF(AND(B1632=1,B1633=1,B1634=1,B1635=1,B1636=1),"Yes","")</f>
        <v/>
      </c>
      <c r="E1637" t="inlineStr">
        <is>
          <t>No</t>
        </is>
      </c>
      <c r="F1637" t="inlineStr">
        <is>
          <t>No</t>
        </is>
      </c>
      <c r="G1637">
        <f>IF(F1637="Yes",1-B1637,B1637)</f>
        <v/>
      </c>
      <c r="H1637">
        <f>IF(E1637="Yes","",COUNTIFS($E$2:E1637,"No"))</f>
        <v/>
      </c>
      <c r="I1637">
        <f>IF(H1637="","",IF(H1637&lt;=128,"address",IF(H1637&lt;=600,"data1",IF(H1637&lt;=1264,"zero-run1",IF(H1637&lt;=1648,"data2",IF(H1637&lt;=2176,"zero-run2",IF(H1637&lt;=2192,"FCS","trailing")))))))</f>
        <v/>
      </c>
      <c r="J1637">
        <f>IFERROR(IF(AND(H1637&lt;&gt;"",H1637&gt;=129,H1637&lt;=2176),INDEX(Fields!$B$2:$B$206,MATCH(H1637-129,Fields!$D$2:$D$206,1)),""),"")</f>
        <v/>
      </c>
      <c r="K1637">
        <f>IFERROR(IF(AND(H1637&lt;&gt;"",H1637&gt;=129,H1637&lt;=2176),INDEX(Fields!$C$2:$C$206,MATCH(H1637-129,Fields!$D$2:$D$206,1)),""),"")</f>
        <v/>
      </c>
      <c r="L1637">
        <f>IFERROR(IF(AND(H1637&lt;&gt;"",H1637&gt;=129,H1637&lt;=2176),INDEX(Fields!$J$2:$J$206,MATCH(H1637-129,Fields!$D$2:$D$206,1)),""),"")</f>
        <v/>
      </c>
      <c r="M1637">
        <f>IFERROR(IF(AND(H1637&lt;&gt;"",H1637&gt;=129,H1637&lt;=2176),INDEX(Fields!$K$2:$K$206,MATCH(H1637-129,Fields!$D$2:$D$206,1)),""),"")</f>
        <v/>
      </c>
    </row>
    <row r="1638">
      <c r="A1638" t="n">
        <v>1636</v>
      </c>
      <c r="B1638" t="n">
        <v>1</v>
      </c>
      <c r="C1638" t="inlineStr">
        <is>
          <t>No</t>
        </is>
      </c>
      <c r="D1638">
        <f>IF(AND(B1633=1,B1634=1,B1635=1,B1636=1,B1637=1),"Yes","")</f>
        <v/>
      </c>
      <c r="E1638" t="inlineStr">
        <is>
          <t>No</t>
        </is>
      </c>
      <c r="F1638" t="inlineStr">
        <is>
          <t>No</t>
        </is>
      </c>
      <c r="G1638">
        <f>IF(F1638="Yes",1-B1638,B1638)</f>
        <v/>
      </c>
      <c r="H1638">
        <f>IF(E1638="Yes","",COUNTIFS($E$2:E1638,"No"))</f>
        <v/>
      </c>
      <c r="I1638">
        <f>IF(H1638="","",IF(H1638&lt;=128,"address",IF(H1638&lt;=600,"data1",IF(H1638&lt;=1264,"zero-run1",IF(H1638&lt;=1648,"data2",IF(H1638&lt;=2176,"zero-run2",IF(H1638&lt;=2192,"FCS","trailing")))))))</f>
        <v/>
      </c>
      <c r="J1638">
        <f>IFERROR(IF(AND(H1638&lt;&gt;"",H1638&gt;=129,H1638&lt;=2176),INDEX(Fields!$B$2:$B$206,MATCH(H1638-129,Fields!$D$2:$D$206,1)),""),"")</f>
        <v/>
      </c>
      <c r="K1638">
        <f>IFERROR(IF(AND(H1638&lt;&gt;"",H1638&gt;=129,H1638&lt;=2176),INDEX(Fields!$C$2:$C$206,MATCH(H1638-129,Fields!$D$2:$D$206,1)),""),"")</f>
        <v/>
      </c>
      <c r="L1638">
        <f>IFERROR(IF(AND(H1638&lt;&gt;"",H1638&gt;=129,H1638&lt;=2176),INDEX(Fields!$J$2:$J$206,MATCH(H1638-129,Fields!$D$2:$D$206,1)),""),"")</f>
        <v/>
      </c>
      <c r="M1638">
        <f>IFERROR(IF(AND(H1638&lt;&gt;"",H1638&gt;=129,H1638&lt;=2176),INDEX(Fields!$K$2:$K$206,MATCH(H1638-129,Fields!$D$2:$D$206,1)),""),"")</f>
        <v/>
      </c>
    </row>
    <row r="1639">
      <c r="A1639" t="n">
        <v>1637</v>
      </c>
      <c r="B1639" t="n">
        <v>1</v>
      </c>
      <c r="C1639" t="inlineStr">
        <is>
          <t>No</t>
        </is>
      </c>
      <c r="D1639">
        <f>IF(AND(B1634=1,B1635=1,B1636=1,B1637=1,B1638=1),"Yes","")</f>
        <v/>
      </c>
      <c r="E1639" t="inlineStr">
        <is>
          <t>No</t>
        </is>
      </c>
      <c r="F1639" t="inlineStr">
        <is>
          <t>No</t>
        </is>
      </c>
      <c r="G1639">
        <f>IF(F1639="Yes",1-B1639,B1639)</f>
        <v/>
      </c>
      <c r="H1639">
        <f>IF(E1639="Yes","",COUNTIFS($E$2:E1639,"No"))</f>
        <v/>
      </c>
      <c r="I1639">
        <f>IF(H1639="","",IF(H1639&lt;=128,"address",IF(H1639&lt;=600,"data1",IF(H1639&lt;=1264,"zero-run1",IF(H1639&lt;=1648,"data2",IF(H1639&lt;=2176,"zero-run2",IF(H1639&lt;=2192,"FCS","trailing")))))))</f>
        <v/>
      </c>
      <c r="J1639">
        <f>IFERROR(IF(AND(H1639&lt;&gt;"",H1639&gt;=129,H1639&lt;=2176),INDEX(Fields!$B$2:$B$206,MATCH(H1639-129,Fields!$D$2:$D$206,1)),""),"")</f>
        <v/>
      </c>
      <c r="K1639">
        <f>IFERROR(IF(AND(H1639&lt;&gt;"",H1639&gt;=129,H1639&lt;=2176),INDEX(Fields!$C$2:$C$206,MATCH(H1639-129,Fields!$D$2:$D$206,1)),""),"")</f>
        <v/>
      </c>
      <c r="L1639">
        <f>IFERROR(IF(AND(H1639&lt;&gt;"",H1639&gt;=129,H1639&lt;=2176),INDEX(Fields!$J$2:$J$206,MATCH(H1639-129,Fields!$D$2:$D$206,1)),""),"")</f>
        <v/>
      </c>
      <c r="M1639">
        <f>IFERROR(IF(AND(H1639&lt;&gt;"",H1639&gt;=129,H1639&lt;=2176),INDEX(Fields!$K$2:$K$206,MATCH(H1639-129,Fields!$D$2:$D$206,1)),""),"")</f>
        <v/>
      </c>
    </row>
    <row r="1640">
      <c r="A1640" t="n">
        <v>1638</v>
      </c>
      <c r="B1640" t="n">
        <v>0</v>
      </c>
      <c r="C1640" t="inlineStr">
        <is>
          <t>No</t>
        </is>
      </c>
      <c r="D1640">
        <f>IF(AND(B1635=1,B1636=1,B1637=1,B1638=1,B1639=1),"Yes","")</f>
        <v/>
      </c>
      <c r="E1640" t="inlineStr">
        <is>
          <t>No</t>
        </is>
      </c>
      <c r="F1640" t="inlineStr">
        <is>
          <t>No</t>
        </is>
      </c>
      <c r="G1640">
        <f>IF(F1640="Yes",1-B1640,B1640)</f>
        <v/>
      </c>
      <c r="H1640">
        <f>IF(E1640="Yes","",COUNTIFS($E$2:E1640,"No"))</f>
        <v/>
      </c>
      <c r="I1640">
        <f>IF(H1640="","",IF(H1640&lt;=128,"address",IF(H1640&lt;=600,"data1",IF(H1640&lt;=1264,"zero-run1",IF(H1640&lt;=1648,"data2",IF(H1640&lt;=2176,"zero-run2",IF(H1640&lt;=2192,"FCS","trailing")))))))</f>
        <v/>
      </c>
      <c r="J1640">
        <f>IFERROR(IF(AND(H1640&lt;&gt;"",H1640&gt;=129,H1640&lt;=2176),INDEX(Fields!$B$2:$B$206,MATCH(H1640-129,Fields!$D$2:$D$206,1)),""),"")</f>
        <v/>
      </c>
      <c r="K1640">
        <f>IFERROR(IF(AND(H1640&lt;&gt;"",H1640&gt;=129,H1640&lt;=2176),INDEX(Fields!$C$2:$C$206,MATCH(H1640-129,Fields!$D$2:$D$206,1)),""),"")</f>
        <v/>
      </c>
      <c r="L1640">
        <f>IFERROR(IF(AND(H1640&lt;&gt;"",H1640&gt;=129,H1640&lt;=2176),INDEX(Fields!$J$2:$J$206,MATCH(H1640-129,Fields!$D$2:$D$206,1)),""),"")</f>
        <v/>
      </c>
      <c r="M1640">
        <f>IFERROR(IF(AND(H1640&lt;&gt;"",H1640&gt;=129,H1640&lt;=2176),INDEX(Fields!$K$2:$K$206,MATCH(H1640-129,Fields!$D$2:$D$206,1)),""),"")</f>
        <v/>
      </c>
    </row>
    <row r="1641">
      <c r="A1641" t="n">
        <v>1639</v>
      </c>
      <c r="B1641" t="n">
        <v>1</v>
      </c>
      <c r="C1641" t="inlineStr">
        <is>
          <t>No</t>
        </is>
      </c>
      <c r="D1641">
        <f>IF(AND(B1636=1,B1637=1,B1638=1,B1639=1,B1640=1),"Yes","")</f>
        <v/>
      </c>
      <c r="E1641" t="inlineStr">
        <is>
          <t>No</t>
        </is>
      </c>
      <c r="F1641" t="inlineStr">
        <is>
          <t>No</t>
        </is>
      </c>
      <c r="G1641">
        <f>IF(F1641="Yes",1-B1641,B1641)</f>
        <v/>
      </c>
      <c r="H1641">
        <f>IF(E1641="Yes","",COUNTIFS($E$2:E1641,"No"))</f>
        <v/>
      </c>
      <c r="I1641">
        <f>IF(H1641="","",IF(H1641&lt;=128,"address",IF(H1641&lt;=600,"data1",IF(H1641&lt;=1264,"zero-run1",IF(H1641&lt;=1648,"data2",IF(H1641&lt;=2176,"zero-run2",IF(H1641&lt;=2192,"FCS","trailing")))))))</f>
        <v/>
      </c>
      <c r="J1641">
        <f>IFERROR(IF(AND(H1641&lt;&gt;"",H1641&gt;=129,H1641&lt;=2176),INDEX(Fields!$B$2:$B$206,MATCH(H1641-129,Fields!$D$2:$D$206,1)),""),"")</f>
        <v/>
      </c>
      <c r="K1641">
        <f>IFERROR(IF(AND(H1641&lt;&gt;"",H1641&gt;=129,H1641&lt;=2176),INDEX(Fields!$C$2:$C$206,MATCH(H1641-129,Fields!$D$2:$D$206,1)),""),"")</f>
        <v/>
      </c>
      <c r="L1641">
        <f>IFERROR(IF(AND(H1641&lt;&gt;"",H1641&gt;=129,H1641&lt;=2176),INDEX(Fields!$J$2:$J$206,MATCH(H1641-129,Fields!$D$2:$D$206,1)),""),"")</f>
        <v/>
      </c>
      <c r="M1641">
        <f>IFERROR(IF(AND(H1641&lt;&gt;"",H1641&gt;=129,H1641&lt;=2176),INDEX(Fields!$K$2:$K$206,MATCH(H1641-129,Fields!$D$2:$D$206,1)),""),"")</f>
        <v/>
      </c>
    </row>
    <row r="1642">
      <c r="A1642" t="n">
        <v>1640</v>
      </c>
      <c r="B1642" t="n">
        <v>1</v>
      </c>
      <c r="C1642" t="inlineStr">
        <is>
          <t>No</t>
        </is>
      </c>
      <c r="D1642">
        <f>IF(AND(B1637=1,B1638=1,B1639=1,B1640=1,B1641=1),"Yes","")</f>
        <v/>
      </c>
      <c r="E1642" t="inlineStr">
        <is>
          <t>No</t>
        </is>
      </c>
      <c r="F1642" t="inlineStr">
        <is>
          <t>No</t>
        </is>
      </c>
      <c r="G1642">
        <f>IF(F1642="Yes",1-B1642,B1642)</f>
        <v/>
      </c>
      <c r="H1642">
        <f>IF(E1642="Yes","",COUNTIFS($E$2:E1642,"No"))</f>
        <v/>
      </c>
      <c r="I1642">
        <f>IF(H1642="","",IF(H1642&lt;=128,"address",IF(H1642&lt;=600,"data1",IF(H1642&lt;=1264,"zero-run1",IF(H1642&lt;=1648,"data2",IF(H1642&lt;=2176,"zero-run2",IF(H1642&lt;=2192,"FCS","trailing")))))))</f>
        <v/>
      </c>
      <c r="J1642">
        <f>IFERROR(IF(AND(H1642&lt;&gt;"",H1642&gt;=129,H1642&lt;=2176),INDEX(Fields!$B$2:$B$206,MATCH(H1642-129,Fields!$D$2:$D$206,1)),""),"")</f>
        <v/>
      </c>
      <c r="K1642">
        <f>IFERROR(IF(AND(H1642&lt;&gt;"",H1642&gt;=129,H1642&lt;=2176),INDEX(Fields!$C$2:$C$206,MATCH(H1642-129,Fields!$D$2:$D$206,1)),""),"")</f>
        <v/>
      </c>
      <c r="L1642">
        <f>IFERROR(IF(AND(H1642&lt;&gt;"",H1642&gt;=129,H1642&lt;=2176),INDEX(Fields!$J$2:$J$206,MATCH(H1642-129,Fields!$D$2:$D$206,1)),""),"")</f>
        <v/>
      </c>
      <c r="M1642">
        <f>IFERROR(IF(AND(H1642&lt;&gt;"",H1642&gt;=129,H1642&lt;=2176),INDEX(Fields!$K$2:$K$206,MATCH(H1642-129,Fields!$D$2:$D$206,1)),""),"")</f>
        <v/>
      </c>
    </row>
    <row r="1643">
      <c r="A1643" t="n">
        <v>1641</v>
      </c>
      <c r="B1643" t="n">
        <v>0</v>
      </c>
      <c r="C1643" t="inlineStr">
        <is>
          <t>No</t>
        </is>
      </c>
      <c r="D1643">
        <f>IF(AND(B1638=1,B1639=1,B1640=1,B1641=1,B1642=1),"Yes","")</f>
        <v/>
      </c>
      <c r="E1643" t="inlineStr">
        <is>
          <t>No</t>
        </is>
      </c>
      <c r="F1643" t="inlineStr">
        <is>
          <t>No</t>
        </is>
      </c>
      <c r="G1643">
        <f>IF(F1643="Yes",1-B1643,B1643)</f>
        <v/>
      </c>
      <c r="H1643">
        <f>IF(E1643="Yes","",COUNTIFS($E$2:E1643,"No"))</f>
        <v/>
      </c>
      <c r="I1643">
        <f>IF(H1643="","",IF(H1643&lt;=128,"address",IF(H1643&lt;=600,"data1",IF(H1643&lt;=1264,"zero-run1",IF(H1643&lt;=1648,"data2",IF(H1643&lt;=2176,"zero-run2",IF(H1643&lt;=2192,"FCS","trailing")))))))</f>
        <v/>
      </c>
      <c r="J1643">
        <f>IFERROR(IF(AND(H1643&lt;&gt;"",H1643&gt;=129,H1643&lt;=2176),INDEX(Fields!$B$2:$B$206,MATCH(H1643-129,Fields!$D$2:$D$206,1)),""),"")</f>
        <v/>
      </c>
      <c r="K1643">
        <f>IFERROR(IF(AND(H1643&lt;&gt;"",H1643&gt;=129,H1643&lt;=2176),INDEX(Fields!$C$2:$C$206,MATCH(H1643-129,Fields!$D$2:$D$206,1)),""),"")</f>
        <v/>
      </c>
      <c r="L1643">
        <f>IFERROR(IF(AND(H1643&lt;&gt;"",H1643&gt;=129,H1643&lt;=2176),INDEX(Fields!$J$2:$J$206,MATCH(H1643-129,Fields!$D$2:$D$206,1)),""),"")</f>
        <v/>
      </c>
      <c r="M1643">
        <f>IFERROR(IF(AND(H1643&lt;&gt;"",H1643&gt;=129,H1643&lt;=2176),INDEX(Fields!$K$2:$K$206,MATCH(H1643-129,Fields!$D$2:$D$206,1)),""),"")</f>
        <v/>
      </c>
    </row>
    <row r="1644">
      <c r="A1644" t="n">
        <v>1642</v>
      </c>
      <c r="B1644" t="n">
        <v>0</v>
      </c>
      <c r="C1644" t="inlineStr">
        <is>
          <t>No</t>
        </is>
      </c>
      <c r="D1644">
        <f>IF(AND(B1639=1,B1640=1,B1641=1,B1642=1,B1643=1),"Yes","")</f>
        <v/>
      </c>
      <c r="E1644" t="inlineStr">
        <is>
          <t>No</t>
        </is>
      </c>
      <c r="F1644" t="inlineStr">
        <is>
          <t>No</t>
        </is>
      </c>
      <c r="G1644">
        <f>IF(F1644="Yes",1-B1644,B1644)</f>
        <v/>
      </c>
      <c r="H1644">
        <f>IF(E1644="Yes","",COUNTIFS($E$2:E1644,"No"))</f>
        <v/>
      </c>
      <c r="I1644">
        <f>IF(H1644="","",IF(H1644&lt;=128,"address",IF(H1644&lt;=600,"data1",IF(H1644&lt;=1264,"zero-run1",IF(H1644&lt;=1648,"data2",IF(H1644&lt;=2176,"zero-run2",IF(H1644&lt;=2192,"FCS","trailing")))))))</f>
        <v/>
      </c>
      <c r="J1644">
        <f>IFERROR(IF(AND(H1644&lt;&gt;"",H1644&gt;=129,H1644&lt;=2176),INDEX(Fields!$B$2:$B$206,MATCH(H1644-129,Fields!$D$2:$D$206,1)),""),"")</f>
        <v/>
      </c>
      <c r="K1644">
        <f>IFERROR(IF(AND(H1644&lt;&gt;"",H1644&gt;=129,H1644&lt;=2176),INDEX(Fields!$C$2:$C$206,MATCH(H1644-129,Fields!$D$2:$D$206,1)),""),"")</f>
        <v/>
      </c>
      <c r="L1644">
        <f>IFERROR(IF(AND(H1644&lt;&gt;"",H1644&gt;=129,H1644&lt;=2176),INDEX(Fields!$J$2:$J$206,MATCH(H1644-129,Fields!$D$2:$D$206,1)),""),"")</f>
        <v/>
      </c>
      <c r="M1644">
        <f>IFERROR(IF(AND(H1644&lt;&gt;"",H1644&gt;=129,H1644&lt;=2176),INDEX(Fields!$K$2:$K$206,MATCH(H1644-129,Fields!$D$2:$D$206,1)),""),"")</f>
        <v/>
      </c>
    </row>
    <row r="1645">
      <c r="A1645" t="n">
        <v>1643</v>
      </c>
      <c r="B1645" t="n">
        <v>0</v>
      </c>
      <c r="C1645" t="inlineStr">
        <is>
          <t>No</t>
        </is>
      </c>
      <c r="D1645">
        <f>IF(AND(B1640=1,B1641=1,B1642=1,B1643=1,B1644=1),"Yes","")</f>
        <v/>
      </c>
      <c r="E1645" t="inlineStr">
        <is>
          <t>No</t>
        </is>
      </c>
      <c r="F1645" t="inlineStr">
        <is>
          <t>No</t>
        </is>
      </c>
      <c r="G1645">
        <f>IF(F1645="Yes",1-B1645,B1645)</f>
        <v/>
      </c>
      <c r="H1645">
        <f>IF(E1645="Yes","",COUNTIFS($E$2:E1645,"No"))</f>
        <v/>
      </c>
      <c r="I1645">
        <f>IF(H1645="","",IF(H1645&lt;=128,"address",IF(H1645&lt;=600,"data1",IF(H1645&lt;=1264,"zero-run1",IF(H1645&lt;=1648,"data2",IF(H1645&lt;=2176,"zero-run2",IF(H1645&lt;=2192,"FCS","trailing")))))))</f>
        <v/>
      </c>
      <c r="J1645">
        <f>IFERROR(IF(AND(H1645&lt;&gt;"",H1645&gt;=129,H1645&lt;=2176),INDEX(Fields!$B$2:$B$206,MATCH(H1645-129,Fields!$D$2:$D$206,1)),""),"")</f>
        <v/>
      </c>
      <c r="K1645">
        <f>IFERROR(IF(AND(H1645&lt;&gt;"",H1645&gt;=129,H1645&lt;=2176),INDEX(Fields!$C$2:$C$206,MATCH(H1645-129,Fields!$D$2:$D$206,1)),""),"")</f>
        <v/>
      </c>
      <c r="L1645">
        <f>IFERROR(IF(AND(H1645&lt;&gt;"",H1645&gt;=129,H1645&lt;=2176),INDEX(Fields!$J$2:$J$206,MATCH(H1645-129,Fields!$D$2:$D$206,1)),""),"")</f>
        <v/>
      </c>
      <c r="M1645">
        <f>IFERROR(IF(AND(H1645&lt;&gt;"",H1645&gt;=129,H1645&lt;=2176),INDEX(Fields!$K$2:$K$206,MATCH(H1645-129,Fields!$D$2:$D$206,1)),""),"")</f>
        <v/>
      </c>
    </row>
    <row r="1646">
      <c r="A1646" t="n">
        <v>1644</v>
      </c>
      <c r="B1646" t="n">
        <v>0</v>
      </c>
      <c r="C1646" t="inlineStr">
        <is>
          <t>No</t>
        </is>
      </c>
      <c r="D1646">
        <f>IF(AND(B1641=1,B1642=1,B1643=1,B1644=1,B1645=1),"Yes","")</f>
        <v/>
      </c>
      <c r="E1646" t="inlineStr">
        <is>
          <t>No</t>
        </is>
      </c>
      <c r="F1646" t="inlineStr">
        <is>
          <t>No</t>
        </is>
      </c>
      <c r="G1646">
        <f>IF(F1646="Yes",1-B1646,B1646)</f>
        <v/>
      </c>
      <c r="H1646">
        <f>IF(E1646="Yes","",COUNTIFS($E$2:E1646,"No"))</f>
        <v/>
      </c>
      <c r="I1646">
        <f>IF(H1646="","",IF(H1646&lt;=128,"address",IF(H1646&lt;=600,"data1",IF(H1646&lt;=1264,"zero-run1",IF(H1646&lt;=1648,"data2",IF(H1646&lt;=2176,"zero-run2",IF(H1646&lt;=2192,"FCS","trailing")))))))</f>
        <v/>
      </c>
      <c r="J1646">
        <f>IFERROR(IF(AND(H1646&lt;&gt;"",H1646&gt;=129,H1646&lt;=2176),INDEX(Fields!$B$2:$B$206,MATCH(H1646-129,Fields!$D$2:$D$206,1)),""),"")</f>
        <v/>
      </c>
      <c r="K1646">
        <f>IFERROR(IF(AND(H1646&lt;&gt;"",H1646&gt;=129,H1646&lt;=2176),INDEX(Fields!$C$2:$C$206,MATCH(H1646-129,Fields!$D$2:$D$206,1)),""),"")</f>
        <v/>
      </c>
      <c r="L1646">
        <f>IFERROR(IF(AND(H1646&lt;&gt;"",H1646&gt;=129,H1646&lt;=2176),INDEX(Fields!$J$2:$J$206,MATCH(H1646-129,Fields!$D$2:$D$206,1)),""),"")</f>
        <v/>
      </c>
      <c r="M1646">
        <f>IFERROR(IF(AND(H1646&lt;&gt;"",H1646&gt;=129,H1646&lt;=2176),INDEX(Fields!$K$2:$K$206,MATCH(H1646-129,Fields!$D$2:$D$206,1)),""),"")</f>
        <v/>
      </c>
    </row>
    <row r="1647">
      <c r="A1647" t="n">
        <v>1645</v>
      </c>
      <c r="B1647" t="n">
        <v>0</v>
      </c>
      <c r="C1647" t="inlineStr">
        <is>
          <t>No</t>
        </is>
      </c>
      <c r="D1647">
        <f>IF(AND(B1642=1,B1643=1,B1644=1,B1645=1,B1646=1),"Yes","")</f>
        <v/>
      </c>
      <c r="E1647" t="inlineStr">
        <is>
          <t>No</t>
        </is>
      </c>
      <c r="F1647" t="inlineStr">
        <is>
          <t>No</t>
        </is>
      </c>
      <c r="G1647">
        <f>IF(F1647="Yes",1-B1647,B1647)</f>
        <v/>
      </c>
      <c r="H1647">
        <f>IF(E1647="Yes","",COUNTIFS($E$2:E1647,"No"))</f>
        <v/>
      </c>
      <c r="I1647">
        <f>IF(H1647="","",IF(H1647&lt;=128,"address",IF(H1647&lt;=600,"data1",IF(H1647&lt;=1264,"zero-run1",IF(H1647&lt;=1648,"data2",IF(H1647&lt;=2176,"zero-run2",IF(H1647&lt;=2192,"FCS","trailing")))))))</f>
        <v/>
      </c>
      <c r="J1647">
        <f>IFERROR(IF(AND(H1647&lt;&gt;"",H1647&gt;=129,H1647&lt;=2176),INDEX(Fields!$B$2:$B$206,MATCH(H1647-129,Fields!$D$2:$D$206,1)),""),"")</f>
        <v/>
      </c>
      <c r="K1647">
        <f>IFERROR(IF(AND(H1647&lt;&gt;"",H1647&gt;=129,H1647&lt;=2176),INDEX(Fields!$C$2:$C$206,MATCH(H1647-129,Fields!$D$2:$D$206,1)),""),"")</f>
        <v/>
      </c>
      <c r="L1647">
        <f>IFERROR(IF(AND(H1647&lt;&gt;"",H1647&gt;=129,H1647&lt;=2176),INDEX(Fields!$J$2:$J$206,MATCH(H1647-129,Fields!$D$2:$D$206,1)),""),"")</f>
        <v/>
      </c>
      <c r="M1647">
        <f>IFERROR(IF(AND(H1647&lt;&gt;"",H1647&gt;=129,H1647&lt;=2176),INDEX(Fields!$K$2:$K$206,MATCH(H1647-129,Fields!$D$2:$D$206,1)),""),"")</f>
        <v/>
      </c>
    </row>
    <row r="1648">
      <c r="A1648" t="n">
        <v>1646</v>
      </c>
      <c r="B1648" t="n">
        <v>0</v>
      </c>
      <c r="C1648" t="inlineStr">
        <is>
          <t>No</t>
        </is>
      </c>
      <c r="D1648">
        <f>IF(AND(B1643=1,B1644=1,B1645=1,B1646=1,B1647=1),"Yes","")</f>
        <v/>
      </c>
      <c r="E1648" t="inlineStr">
        <is>
          <t>No</t>
        </is>
      </c>
      <c r="F1648" t="inlineStr">
        <is>
          <t>No</t>
        </is>
      </c>
      <c r="G1648">
        <f>IF(F1648="Yes",1-B1648,B1648)</f>
        <v/>
      </c>
      <c r="H1648">
        <f>IF(E1648="Yes","",COUNTIFS($E$2:E1648,"No"))</f>
        <v/>
      </c>
      <c r="I1648">
        <f>IF(H1648="","",IF(H1648&lt;=128,"address",IF(H1648&lt;=600,"data1",IF(H1648&lt;=1264,"zero-run1",IF(H1648&lt;=1648,"data2",IF(H1648&lt;=2176,"zero-run2",IF(H1648&lt;=2192,"FCS","trailing")))))))</f>
        <v/>
      </c>
      <c r="J1648">
        <f>IFERROR(IF(AND(H1648&lt;&gt;"",H1648&gt;=129,H1648&lt;=2176),INDEX(Fields!$B$2:$B$206,MATCH(H1648-129,Fields!$D$2:$D$206,1)),""),"")</f>
        <v/>
      </c>
      <c r="K1648">
        <f>IFERROR(IF(AND(H1648&lt;&gt;"",H1648&gt;=129,H1648&lt;=2176),INDEX(Fields!$C$2:$C$206,MATCH(H1648-129,Fields!$D$2:$D$206,1)),""),"")</f>
        <v/>
      </c>
      <c r="L1648">
        <f>IFERROR(IF(AND(H1648&lt;&gt;"",H1648&gt;=129,H1648&lt;=2176),INDEX(Fields!$J$2:$J$206,MATCH(H1648-129,Fields!$D$2:$D$206,1)),""),"")</f>
        <v/>
      </c>
      <c r="M1648">
        <f>IFERROR(IF(AND(H1648&lt;&gt;"",H1648&gt;=129,H1648&lt;=2176),INDEX(Fields!$K$2:$K$206,MATCH(H1648-129,Fields!$D$2:$D$206,1)),""),"")</f>
        <v/>
      </c>
    </row>
    <row r="1649">
      <c r="A1649" t="n">
        <v>1647</v>
      </c>
      <c r="B1649" t="n">
        <v>0</v>
      </c>
      <c r="C1649" t="inlineStr">
        <is>
          <t>No</t>
        </is>
      </c>
      <c r="D1649">
        <f>IF(AND(B1644=1,B1645=1,B1646=1,B1647=1,B1648=1),"Yes","")</f>
        <v/>
      </c>
      <c r="E1649" t="inlineStr">
        <is>
          <t>No</t>
        </is>
      </c>
      <c r="F1649" t="inlineStr">
        <is>
          <t>No</t>
        </is>
      </c>
      <c r="G1649">
        <f>IF(F1649="Yes",1-B1649,B1649)</f>
        <v/>
      </c>
      <c r="H1649">
        <f>IF(E1649="Yes","",COUNTIFS($E$2:E1649,"No"))</f>
        <v/>
      </c>
      <c r="I1649">
        <f>IF(H1649="","",IF(H1649&lt;=128,"address",IF(H1649&lt;=600,"data1",IF(H1649&lt;=1264,"zero-run1",IF(H1649&lt;=1648,"data2",IF(H1649&lt;=2176,"zero-run2",IF(H1649&lt;=2192,"FCS","trailing")))))))</f>
        <v/>
      </c>
      <c r="J1649">
        <f>IFERROR(IF(AND(H1649&lt;&gt;"",H1649&gt;=129,H1649&lt;=2176),INDEX(Fields!$B$2:$B$206,MATCH(H1649-129,Fields!$D$2:$D$206,1)),""),"")</f>
        <v/>
      </c>
      <c r="K1649">
        <f>IFERROR(IF(AND(H1649&lt;&gt;"",H1649&gt;=129,H1649&lt;=2176),INDEX(Fields!$C$2:$C$206,MATCH(H1649-129,Fields!$D$2:$D$206,1)),""),"")</f>
        <v/>
      </c>
      <c r="L1649">
        <f>IFERROR(IF(AND(H1649&lt;&gt;"",H1649&gt;=129,H1649&lt;=2176),INDEX(Fields!$J$2:$J$206,MATCH(H1649-129,Fields!$D$2:$D$206,1)),""),"")</f>
        <v/>
      </c>
      <c r="M1649">
        <f>IFERROR(IF(AND(H1649&lt;&gt;"",H1649&gt;=129,H1649&lt;=2176),INDEX(Fields!$K$2:$K$206,MATCH(H1649-129,Fields!$D$2:$D$206,1)),""),"")</f>
        <v/>
      </c>
    </row>
    <row r="1650">
      <c r="A1650" t="n">
        <v>1648</v>
      </c>
      <c r="B1650" t="n">
        <v>1</v>
      </c>
      <c r="C1650" t="inlineStr">
        <is>
          <t>No</t>
        </is>
      </c>
      <c r="D1650">
        <f>IF(AND(B1645=1,B1646=1,B1647=1,B1648=1,B1649=1),"Yes","")</f>
        <v/>
      </c>
      <c r="E1650" t="inlineStr">
        <is>
          <t>No</t>
        </is>
      </c>
      <c r="F1650" t="inlineStr">
        <is>
          <t>No</t>
        </is>
      </c>
      <c r="G1650">
        <f>IF(F1650="Yes",1-B1650,B1650)</f>
        <v/>
      </c>
      <c r="H1650">
        <f>IF(E1650="Yes","",COUNTIFS($E$2:E1650,"No"))</f>
        <v/>
      </c>
      <c r="I1650">
        <f>IF(H1650="","",IF(H1650&lt;=128,"address",IF(H1650&lt;=600,"data1",IF(H1650&lt;=1264,"zero-run1",IF(H1650&lt;=1648,"data2",IF(H1650&lt;=2176,"zero-run2",IF(H1650&lt;=2192,"FCS","trailing")))))))</f>
        <v/>
      </c>
      <c r="J1650">
        <f>IFERROR(IF(AND(H1650&lt;&gt;"",H1650&gt;=129,H1650&lt;=2176),INDEX(Fields!$B$2:$B$206,MATCH(H1650-129,Fields!$D$2:$D$206,1)),""),"")</f>
        <v/>
      </c>
      <c r="K1650">
        <f>IFERROR(IF(AND(H1650&lt;&gt;"",H1650&gt;=129,H1650&lt;=2176),INDEX(Fields!$C$2:$C$206,MATCH(H1650-129,Fields!$D$2:$D$206,1)),""),"")</f>
        <v/>
      </c>
      <c r="L1650">
        <f>IFERROR(IF(AND(H1650&lt;&gt;"",H1650&gt;=129,H1650&lt;=2176),INDEX(Fields!$J$2:$J$206,MATCH(H1650-129,Fields!$D$2:$D$206,1)),""),"")</f>
        <v/>
      </c>
      <c r="M1650">
        <f>IFERROR(IF(AND(H1650&lt;&gt;"",H1650&gt;=129,H1650&lt;=2176),INDEX(Fields!$K$2:$K$206,MATCH(H1650-129,Fields!$D$2:$D$206,1)),""),"")</f>
        <v/>
      </c>
    </row>
    <row r="1651">
      <c r="A1651" t="n">
        <v>1649</v>
      </c>
      <c r="B1651" t="n">
        <v>1</v>
      </c>
      <c r="C1651" t="inlineStr">
        <is>
          <t>No</t>
        </is>
      </c>
      <c r="D1651">
        <f>IF(AND(B1646=1,B1647=1,B1648=1,B1649=1,B1650=1),"Yes","")</f>
        <v/>
      </c>
      <c r="E1651" t="inlineStr">
        <is>
          <t>No</t>
        </is>
      </c>
      <c r="F1651" t="inlineStr">
        <is>
          <t>No</t>
        </is>
      </c>
      <c r="G1651">
        <f>IF(F1651="Yes",1-B1651,B1651)</f>
        <v/>
      </c>
      <c r="H1651">
        <f>IF(E1651="Yes","",COUNTIFS($E$2:E1651,"No"))</f>
        <v/>
      </c>
      <c r="I1651">
        <f>IF(H1651="","",IF(H1651&lt;=128,"address",IF(H1651&lt;=600,"data1",IF(H1651&lt;=1264,"zero-run1",IF(H1651&lt;=1648,"data2",IF(H1651&lt;=2176,"zero-run2",IF(H1651&lt;=2192,"FCS","trailing")))))))</f>
        <v/>
      </c>
      <c r="J1651">
        <f>IFERROR(IF(AND(H1651&lt;&gt;"",H1651&gt;=129,H1651&lt;=2176),INDEX(Fields!$B$2:$B$206,MATCH(H1651-129,Fields!$D$2:$D$206,1)),""),"")</f>
        <v/>
      </c>
      <c r="K1651">
        <f>IFERROR(IF(AND(H1651&lt;&gt;"",H1651&gt;=129,H1651&lt;=2176),INDEX(Fields!$C$2:$C$206,MATCH(H1651-129,Fields!$D$2:$D$206,1)),""),"")</f>
        <v/>
      </c>
      <c r="L1651">
        <f>IFERROR(IF(AND(H1651&lt;&gt;"",H1651&gt;=129,H1651&lt;=2176),INDEX(Fields!$J$2:$J$206,MATCH(H1651-129,Fields!$D$2:$D$206,1)),""),"")</f>
        <v/>
      </c>
      <c r="M1651">
        <f>IFERROR(IF(AND(H1651&lt;&gt;"",H1651&gt;=129,H1651&lt;=2176),INDEX(Fields!$K$2:$K$206,MATCH(H1651-129,Fields!$D$2:$D$206,1)),""),"")</f>
        <v/>
      </c>
    </row>
    <row r="1652">
      <c r="A1652" t="n">
        <v>1650</v>
      </c>
      <c r="B1652" t="n">
        <v>1</v>
      </c>
      <c r="C1652" t="inlineStr">
        <is>
          <t>No</t>
        </is>
      </c>
      <c r="D1652">
        <f>IF(AND(B1647=1,B1648=1,B1649=1,B1650=1,B1651=1),"Yes","")</f>
        <v/>
      </c>
      <c r="E1652" t="inlineStr">
        <is>
          <t>No</t>
        </is>
      </c>
      <c r="F1652" t="inlineStr">
        <is>
          <t>No</t>
        </is>
      </c>
      <c r="G1652">
        <f>IF(F1652="Yes",1-B1652,B1652)</f>
        <v/>
      </c>
      <c r="H1652">
        <f>IF(E1652="Yes","",COUNTIFS($E$2:E1652,"No"))</f>
        <v/>
      </c>
      <c r="I1652">
        <f>IF(H1652="","",IF(H1652&lt;=128,"address",IF(H1652&lt;=600,"data1",IF(H1652&lt;=1264,"zero-run1",IF(H1652&lt;=1648,"data2",IF(H1652&lt;=2176,"zero-run2",IF(H1652&lt;=2192,"FCS","trailing")))))))</f>
        <v/>
      </c>
      <c r="J1652">
        <f>IFERROR(IF(AND(H1652&lt;&gt;"",H1652&gt;=129,H1652&lt;=2176),INDEX(Fields!$B$2:$B$206,MATCH(H1652-129,Fields!$D$2:$D$206,1)),""),"")</f>
        <v/>
      </c>
      <c r="K1652">
        <f>IFERROR(IF(AND(H1652&lt;&gt;"",H1652&gt;=129,H1652&lt;=2176),INDEX(Fields!$C$2:$C$206,MATCH(H1652-129,Fields!$D$2:$D$206,1)),""),"")</f>
        <v/>
      </c>
      <c r="L1652">
        <f>IFERROR(IF(AND(H1652&lt;&gt;"",H1652&gt;=129,H1652&lt;=2176),INDEX(Fields!$J$2:$J$206,MATCH(H1652-129,Fields!$D$2:$D$206,1)),""),"")</f>
        <v/>
      </c>
      <c r="M1652">
        <f>IFERROR(IF(AND(H1652&lt;&gt;"",H1652&gt;=129,H1652&lt;=2176),INDEX(Fields!$K$2:$K$206,MATCH(H1652-129,Fields!$D$2:$D$206,1)),""),"")</f>
        <v/>
      </c>
    </row>
    <row r="1653">
      <c r="A1653" t="n">
        <v>1651</v>
      </c>
      <c r="B1653" t="n">
        <v>0</v>
      </c>
      <c r="C1653" t="inlineStr">
        <is>
          <t>No</t>
        </is>
      </c>
      <c r="D1653">
        <f>IF(AND(B1648=1,B1649=1,B1650=1,B1651=1,B1652=1),"Yes","")</f>
        <v/>
      </c>
      <c r="E1653" t="inlineStr">
        <is>
          <t>No</t>
        </is>
      </c>
      <c r="F1653" t="inlineStr">
        <is>
          <t>No</t>
        </is>
      </c>
      <c r="G1653">
        <f>IF(F1653="Yes",1-B1653,B1653)</f>
        <v/>
      </c>
      <c r="H1653">
        <f>IF(E1653="Yes","",COUNTIFS($E$2:E1653,"No"))</f>
        <v/>
      </c>
      <c r="I1653">
        <f>IF(H1653="","",IF(H1653&lt;=128,"address",IF(H1653&lt;=600,"data1",IF(H1653&lt;=1264,"zero-run1",IF(H1653&lt;=1648,"data2",IF(H1653&lt;=2176,"zero-run2",IF(H1653&lt;=2192,"FCS","trailing")))))))</f>
        <v/>
      </c>
      <c r="J1653">
        <f>IFERROR(IF(AND(H1653&lt;&gt;"",H1653&gt;=129,H1653&lt;=2176),INDEX(Fields!$B$2:$B$206,MATCH(H1653-129,Fields!$D$2:$D$206,1)),""),"")</f>
        <v/>
      </c>
      <c r="K1653">
        <f>IFERROR(IF(AND(H1653&lt;&gt;"",H1653&gt;=129,H1653&lt;=2176),INDEX(Fields!$C$2:$C$206,MATCH(H1653-129,Fields!$D$2:$D$206,1)),""),"")</f>
        <v/>
      </c>
      <c r="L1653">
        <f>IFERROR(IF(AND(H1653&lt;&gt;"",H1653&gt;=129,H1653&lt;=2176),INDEX(Fields!$J$2:$J$206,MATCH(H1653-129,Fields!$D$2:$D$206,1)),""),"")</f>
        <v/>
      </c>
      <c r="M1653">
        <f>IFERROR(IF(AND(H1653&lt;&gt;"",H1653&gt;=129,H1653&lt;=2176),INDEX(Fields!$K$2:$K$206,MATCH(H1653-129,Fields!$D$2:$D$206,1)),""),"")</f>
        <v/>
      </c>
    </row>
    <row r="1654">
      <c r="A1654" t="n">
        <v>1652</v>
      </c>
      <c r="B1654" t="n">
        <v>0</v>
      </c>
      <c r="C1654" t="inlineStr">
        <is>
          <t>No</t>
        </is>
      </c>
      <c r="D1654">
        <f>IF(AND(B1649=1,B1650=1,B1651=1,B1652=1,B1653=1),"Yes","")</f>
        <v/>
      </c>
      <c r="E1654" t="inlineStr">
        <is>
          <t>No</t>
        </is>
      </c>
      <c r="F1654" t="inlineStr">
        <is>
          <t>No</t>
        </is>
      </c>
      <c r="G1654">
        <f>IF(F1654="Yes",1-B1654,B1654)</f>
        <v/>
      </c>
      <c r="H1654">
        <f>IF(E1654="Yes","",COUNTIFS($E$2:E1654,"No"))</f>
        <v/>
      </c>
      <c r="I1654">
        <f>IF(H1654="","",IF(H1654&lt;=128,"address",IF(H1654&lt;=600,"data1",IF(H1654&lt;=1264,"zero-run1",IF(H1654&lt;=1648,"data2",IF(H1654&lt;=2176,"zero-run2",IF(H1654&lt;=2192,"FCS","trailing")))))))</f>
        <v/>
      </c>
      <c r="J1654">
        <f>IFERROR(IF(AND(H1654&lt;&gt;"",H1654&gt;=129,H1654&lt;=2176),INDEX(Fields!$B$2:$B$206,MATCH(H1654-129,Fields!$D$2:$D$206,1)),""),"")</f>
        <v/>
      </c>
      <c r="K1654">
        <f>IFERROR(IF(AND(H1654&lt;&gt;"",H1654&gt;=129,H1654&lt;=2176),INDEX(Fields!$C$2:$C$206,MATCH(H1654-129,Fields!$D$2:$D$206,1)),""),"")</f>
        <v/>
      </c>
      <c r="L1654">
        <f>IFERROR(IF(AND(H1654&lt;&gt;"",H1654&gt;=129,H1654&lt;=2176),INDEX(Fields!$J$2:$J$206,MATCH(H1654-129,Fields!$D$2:$D$206,1)),""),"")</f>
        <v/>
      </c>
      <c r="M1654">
        <f>IFERROR(IF(AND(H1654&lt;&gt;"",H1654&gt;=129,H1654&lt;=2176),INDEX(Fields!$K$2:$K$206,MATCH(H1654-129,Fields!$D$2:$D$206,1)),""),"")</f>
        <v/>
      </c>
    </row>
    <row r="1655">
      <c r="A1655" t="n">
        <v>1653</v>
      </c>
      <c r="B1655" t="n">
        <v>0</v>
      </c>
      <c r="C1655" t="inlineStr">
        <is>
          <t>No</t>
        </is>
      </c>
      <c r="D1655">
        <f>IF(AND(B1650=1,B1651=1,B1652=1,B1653=1,B1654=1),"Yes","")</f>
        <v/>
      </c>
      <c r="E1655" t="inlineStr">
        <is>
          <t>No</t>
        </is>
      </c>
      <c r="F1655" t="inlineStr">
        <is>
          <t>No</t>
        </is>
      </c>
      <c r="G1655">
        <f>IF(F1655="Yes",1-B1655,B1655)</f>
        <v/>
      </c>
      <c r="H1655">
        <f>IF(E1655="Yes","",COUNTIFS($E$2:E1655,"No"))</f>
        <v/>
      </c>
      <c r="I1655">
        <f>IF(H1655="","",IF(H1655&lt;=128,"address",IF(H1655&lt;=600,"data1",IF(H1655&lt;=1264,"zero-run1",IF(H1655&lt;=1648,"data2",IF(H1655&lt;=2176,"zero-run2",IF(H1655&lt;=2192,"FCS","trailing")))))))</f>
        <v/>
      </c>
      <c r="J1655">
        <f>IFERROR(IF(AND(H1655&lt;&gt;"",H1655&gt;=129,H1655&lt;=2176),INDEX(Fields!$B$2:$B$206,MATCH(H1655-129,Fields!$D$2:$D$206,1)),""),"")</f>
        <v/>
      </c>
      <c r="K1655">
        <f>IFERROR(IF(AND(H1655&lt;&gt;"",H1655&gt;=129,H1655&lt;=2176),INDEX(Fields!$C$2:$C$206,MATCH(H1655-129,Fields!$D$2:$D$206,1)),""),"")</f>
        <v/>
      </c>
      <c r="L1655">
        <f>IFERROR(IF(AND(H1655&lt;&gt;"",H1655&gt;=129,H1655&lt;=2176),INDEX(Fields!$J$2:$J$206,MATCH(H1655-129,Fields!$D$2:$D$206,1)),""),"")</f>
        <v/>
      </c>
      <c r="M1655">
        <f>IFERROR(IF(AND(H1655&lt;&gt;"",H1655&gt;=129,H1655&lt;=2176),INDEX(Fields!$K$2:$K$206,MATCH(H1655-129,Fields!$D$2:$D$206,1)),""),"")</f>
        <v/>
      </c>
    </row>
    <row r="1656">
      <c r="A1656" t="n">
        <v>1654</v>
      </c>
      <c r="B1656" t="n">
        <v>0</v>
      </c>
      <c r="C1656" t="inlineStr">
        <is>
          <t>No</t>
        </is>
      </c>
      <c r="D1656">
        <f>IF(AND(B1651=1,B1652=1,B1653=1,B1654=1,B1655=1),"Yes","")</f>
        <v/>
      </c>
      <c r="E1656" t="inlineStr">
        <is>
          <t>No</t>
        </is>
      </c>
      <c r="F1656" t="inlineStr">
        <is>
          <t>No</t>
        </is>
      </c>
      <c r="G1656">
        <f>IF(F1656="Yes",1-B1656,B1656)</f>
        <v/>
      </c>
      <c r="H1656">
        <f>IF(E1656="Yes","",COUNTIFS($E$2:E1656,"No"))</f>
        <v/>
      </c>
      <c r="I1656">
        <f>IF(H1656="","",IF(H1656&lt;=128,"address",IF(H1656&lt;=600,"data1",IF(H1656&lt;=1264,"zero-run1",IF(H1656&lt;=1648,"data2",IF(H1656&lt;=2176,"zero-run2",IF(H1656&lt;=2192,"FCS","trailing")))))))</f>
        <v/>
      </c>
      <c r="J1656">
        <f>IFERROR(IF(AND(H1656&lt;&gt;"",H1656&gt;=129,H1656&lt;=2176),INDEX(Fields!$B$2:$B$206,MATCH(H1656-129,Fields!$D$2:$D$206,1)),""),"")</f>
        <v/>
      </c>
      <c r="K1656">
        <f>IFERROR(IF(AND(H1656&lt;&gt;"",H1656&gt;=129,H1656&lt;=2176),INDEX(Fields!$C$2:$C$206,MATCH(H1656-129,Fields!$D$2:$D$206,1)),""),"")</f>
        <v/>
      </c>
      <c r="L1656">
        <f>IFERROR(IF(AND(H1656&lt;&gt;"",H1656&gt;=129,H1656&lt;=2176),INDEX(Fields!$J$2:$J$206,MATCH(H1656-129,Fields!$D$2:$D$206,1)),""),"")</f>
        <v/>
      </c>
      <c r="M1656">
        <f>IFERROR(IF(AND(H1656&lt;&gt;"",H1656&gt;=129,H1656&lt;=2176),INDEX(Fields!$K$2:$K$206,MATCH(H1656-129,Fields!$D$2:$D$206,1)),""),"")</f>
        <v/>
      </c>
    </row>
    <row r="1657">
      <c r="A1657" t="n">
        <v>1655</v>
      </c>
      <c r="B1657" t="n">
        <v>0</v>
      </c>
      <c r="C1657" t="inlineStr">
        <is>
          <t>No</t>
        </is>
      </c>
      <c r="D1657">
        <f>IF(AND(B1652=1,B1653=1,B1654=1,B1655=1,B1656=1),"Yes","")</f>
        <v/>
      </c>
      <c r="E1657" t="inlineStr">
        <is>
          <t>No</t>
        </is>
      </c>
      <c r="F1657" t="inlineStr">
        <is>
          <t>No</t>
        </is>
      </c>
      <c r="G1657">
        <f>IF(F1657="Yes",1-B1657,B1657)</f>
        <v/>
      </c>
      <c r="H1657">
        <f>IF(E1657="Yes","",COUNTIFS($E$2:E1657,"No"))</f>
        <v/>
      </c>
      <c r="I1657">
        <f>IF(H1657="","",IF(H1657&lt;=128,"address",IF(H1657&lt;=600,"data1",IF(H1657&lt;=1264,"zero-run1",IF(H1657&lt;=1648,"data2",IF(H1657&lt;=2176,"zero-run2",IF(H1657&lt;=2192,"FCS","trailing")))))))</f>
        <v/>
      </c>
      <c r="J1657">
        <f>IFERROR(IF(AND(H1657&lt;&gt;"",H1657&gt;=129,H1657&lt;=2176),INDEX(Fields!$B$2:$B$206,MATCH(H1657-129,Fields!$D$2:$D$206,1)),""),"")</f>
        <v/>
      </c>
      <c r="K1657">
        <f>IFERROR(IF(AND(H1657&lt;&gt;"",H1657&gt;=129,H1657&lt;=2176),INDEX(Fields!$C$2:$C$206,MATCH(H1657-129,Fields!$D$2:$D$206,1)),""),"")</f>
        <v/>
      </c>
      <c r="L1657">
        <f>IFERROR(IF(AND(H1657&lt;&gt;"",H1657&gt;=129,H1657&lt;=2176),INDEX(Fields!$J$2:$J$206,MATCH(H1657-129,Fields!$D$2:$D$206,1)),""),"")</f>
        <v/>
      </c>
      <c r="M1657">
        <f>IFERROR(IF(AND(H1657&lt;&gt;"",H1657&gt;=129,H1657&lt;=2176),INDEX(Fields!$K$2:$K$206,MATCH(H1657-129,Fields!$D$2:$D$206,1)),""),"")</f>
        <v/>
      </c>
    </row>
    <row r="1658">
      <c r="A1658" t="n">
        <v>1656</v>
      </c>
      <c r="B1658" t="n">
        <v>0</v>
      </c>
      <c r="C1658" t="inlineStr">
        <is>
          <t>No</t>
        </is>
      </c>
      <c r="D1658">
        <f>IF(AND(B1653=1,B1654=1,B1655=1,B1656=1,B1657=1),"Yes","")</f>
        <v/>
      </c>
      <c r="E1658" t="inlineStr">
        <is>
          <t>No</t>
        </is>
      </c>
      <c r="F1658" t="inlineStr">
        <is>
          <t>No</t>
        </is>
      </c>
      <c r="G1658">
        <f>IF(F1658="Yes",1-B1658,B1658)</f>
        <v/>
      </c>
      <c r="H1658">
        <f>IF(E1658="Yes","",COUNTIFS($E$2:E1658,"No"))</f>
        <v/>
      </c>
      <c r="I1658">
        <f>IF(H1658="","",IF(H1658&lt;=128,"address",IF(H1658&lt;=600,"data1",IF(H1658&lt;=1264,"zero-run1",IF(H1658&lt;=1648,"data2",IF(H1658&lt;=2176,"zero-run2",IF(H1658&lt;=2192,"FCS","trailing")))))))</f>
        <v/>
      </c>
      <c r="J1658">
        <f>IFERROR(IF(AND(H1658&lt;&gt;"",H1658&gt;=129,H1658&lt;=2176),INDEX(Fields!$B$2:$B$206,MATCH(H1658-129,Fields!$D$2:$D$206,1)),""),"")</f>
        <v/>
      </c>
      <c r="K1658">
        <f>IFERROR(IF(AND(H1658&lt;&gt;"",H1658&gt;=129,H1658&lt;=2176),INDEX(Fields!$C$2:$C$206,MATCH(H1658-129,Fields!$D$2:$D$206,1)),""),"")</f>
        <v/>
      </c>
      <c r="L1658">
        <f>IFERROR(IF(AND(H1658&lt;&gt;"",H1658&gt;=129,H1658&lt;=2176),INDEX(Fields!$J$2:$J$206,MATCH(H1658-129,Fields!$D$2:$D$206,1)),""),"")</f>
        <v/>
      </c>
      <c r="M1658">
        <f>IFERROR(IF(AND(H1658&lt;&gt;"",H1658&gt;=129,H1658&lt;=2176),INDEX(Fields!$K$2:$K$206,MATCH(H1658-129,Fields!$D$2:$D$206,1)),""),"")</f>
        <v/>
      </c>
    </row>
    <row r="1659">
      <c r="A1659" t="n">
        <v>1657</v>
      </c>
      <c r="B1659" t="n">
        <v>0</v>
      </c>
      <c r="C1659" t="inlineStr">
        <is>
          <t>No</t>
        </is>
      </c>
      <c r="D1659">
        <f>IF(AND(B1654=1,B1655=1,B1656=1,B1657=1,B1658=1),"Yes","")</f>
        <v/>
      </c>
      <c r="E1659" t="inlineStr">
        <is>
          <t>No</t>
        </is>
      </c>
      <c r="F1659" t="inlineStr">
        <is>
          <t>No</t>
        </is>
      </c>
      <c r="G1659">
        <f>IF(F1659="Yes",1-B1659,B1659)</f>
        <v/>
      </c>
      <c r="H1659">
        <f>IF(E1659="Yes","",COUNTIFS($E$2:E1659,"No"))</f>
        <v/>
      </c>
      <c r="I1659">
        <f>IF(H1659="","",IF(H1659&lt;=128,"address",IF(H1659&lt;=600,"data1",IF(H1659&lt;=1264,"zero-run1",IF(H1659&lt;=1648,"data2",IF(H1659&lt;=2176,"zero-run2",IF(H1659&lt;=2192,"FCS","trailing")))))))</f>
        <v/>
      </c>
      <c r="J1659">
        <f>IFERROR(IF(AND(H1659&lt;&gt;"",H1659&gt;=129,H1659&lt;=2176),INDEX(Fields!$B$2:$B$206,MATCH(H1659-129,Fields!$D$2:$D$206,1)),""),"")</f>
        <v/>
      </c>
      <c r="K1659">
        <f>IFERROR(IF(AND(H1659&lt;&gt;"",H1659&gt;=129,H1659&lt;=2176),INDEX(Fields!$C$2:$C$206,MATCH(H1659-129,Fields!$D$2:$D$206,1)),""),"")</f>
        <v/>
      </c>
      <c r="L1659">
        <f>IFERROR(IF(AND(H1659&lt;&gt;"",H1659&gt;=129,H1659&lt;=2176),INDEX(Fields!$J$2:$J$206,MATCH(H1659-129,Fields!$D$2:$D$206,1)),""),"")</f>
        <v/>
      </c>
      <c r="M1659">
        <f>IFERROR(IF(AND(H1659&lt;&gt;"",H1659&gt;=129,H1659&lt;=2176),INDEX(Fields!$K$2:$K$206,MATCH(H1659-129,Fields!$D$2:$D$206,1)),""),"")</f>
        <v/>
      </c>
    </row>
    <row r="1660">
      <c r="A1660" t="n">
        <v>1658</v>
      </c>
      <c r="B1660" t="n">
        <v>0</v>
      </c>
      <c r="C1660" t="inlineStr">
        <is>
          <t>No</t>
        </is>
      </c>
      <c r="D1660">
        <f>IF(AND(B1655=1,B1656=1,B1657=1,B1658=1,B1659=1),"Yes","")</f>
        <v/>
      </c>
      <c r="E1660" t="inlineStr">
        <is>
          <t>No</t>
        </is>
      </c>
      <c r="F1660" t="inlineStr">
        <is>
          <t>No</t>
        </is>
      </c>
      <c r="G1660">
        <f>IF(F1660="Yes",1-B1660,B1660)</f>
        <v/>
      </c>
      <c r="H1660">
        <f>IF(E1660="Yes","",COUNTIFS($E$2:E1660,"No"))</f>
        <v/>
      </c>
      <c r="I1660">
        <f>IF(H1660="","",IF(H1660&lt;=128,"address",IF(H1660&lt;=600,"data1",IF(H1660&lt;=1264,"zero-run1",IF(H1660&lt;=1648,"data2",IF(H1660&lt;=2176,"zero-run2",IF(H1660&lt;=2192,"FCS","trailing")))))))</f>
        <v/>
      </c>
      <c r="J1660">
        <f>IFERROR(IF(AND(H1660&lt;&gt;"",H1660&gt;=129,H1660&lt;=2176),INDEX(Fields!$B$2:$B$206,MATCH(H1660-129,Fields!$D$2:$D$206,1)),""),"")</f>
        <v/>
      </c>
      <c r="K1660">
        <f>IFERROR(IF(AND(H1660&lt;&gt;"",H1660&gt;=129,H1660&lt;=2176),INDEX(Fields!$C$2:$C$206,MATCH(H1660-129,Fields!$D$2:$D$206,1)),""),"")</f>
        <v/>
      </c>
      <c r="L1660">
        <f>IFERROR(IF(AND(H1660&lt;&gt;"",H1660&gt;=129,H1660&lt;=2176),INDEX(Fields!$J$2:$J$206,MATCH(H1660-129,Fields!$D$2:$D$206,1)),""),"")</f>
        <v/>
      </c>
      <c r="M1660">
        <f>IFERROR(IF(AND(H1660&lt;&gt;"",H1660&gt;=129,H1660&lt;=2176),INDEX(Fields!$K$2:$K$206,MATCH(H1660-129,Fields!$D$2:$D$206,1)),""),"")</f>
        <v/>
      </c>
    </row>
    <row r="1661">
      <c r="A1661" t="n">
        <v>1659</v>
      </c>
      <c r="B1661" t="n">
        <v>0</v>
      </c>
      <c r="C1661" t="inlineStr">
        <is>
          <t>No</t>
        </is>
      </c>
      <c r="D1661">
        <f>IF(AND(B1656=1,B1657=1,B1658=1,B1659=1,B1660=1),"Yes","")</f>
        <v/>
      </c>
      <c r="E1661" t="inlineStr">
        <is>
          <t>No</t>
        </is>
      </c>
      <c r="F1661" t="inlineStr">
        <is>
          <t>No</t>
        </is>
      </c>
      <c r="G1661">
        <f>IF(F1661="Yes",1-B1661,B1661)</f>
        <v/>
      </c>
      <c r="H1661">
        <f>IF(E1661="Yes","",COUNTIFS($E$2:E1661,"No"))</f>
        <v/>
      </c>
      <c r="I1661">
        <f>IF(H1661="","",IF(H1661&lt;=128,"address",IF(H1661&lt;=600,"data1",IF(H1661&lt;=1264,"zero-run1",IF(H1661&lt;=1648,"data2",IF(H1661&lt;=2176,"zero-run2",IF(H1661&lt;=2192,"FCS","trailing")))))))</f>
        <v/>
      </c>
      <c r="J1661">
        <f>IFERROR(IF(AND(H1661&lt;&gt;"",H1661&gt;=129,H1661&lt;=2176),INDEX(Fields!$B$2:$B$206,MATCH(H1661-129,Fields!$D$2:$D$206,1)),""),"")</f>
        <v/>
      </c>
      <c r="K1661">
        <f>IFERROR(IF(AND(H1661&lt;&gt;"",H1661&gt;=129,H1661&lt;=2176),INDEX(Fields!$C$2:$C$206,MATCH(H1661-129,Fields!$D$2:$D$206,1)),""),"")</f>
        <v/>
      </c>
      <c r="L1661">
        <f>IFERROR(IF(AND(H1661&lt;&gt;"",H1661&gt;=129,H1661&lt;=2176),INDEX(Fields!$J$2:$J$206,MATCH(H1661-129,Fields!$D$2:$D$206,1)),""),"")</f>
        <v/>
      </c>
      <c r="M1661">
        <f>IFERROR(IF(AND(H1661&lt;&gt;"",H1661&gt;=129,H1661&lt;=2176),INDEX(Fields!$K$2:$K$206,MATCH(H1661-129,Fields!$D$2:$D$206,1)),""),"")</f>
        <v/>
      </c>
    </row>
    <row r="1662">
      <c r="A1662" t="n">
        <v>1660</v>
      </c>
      <c r="B1662" t="n">
        <v>0</v>
      </c>
      <c r="C1662" t="inlineStr">
        <is>
          <t>No</t>
        </is>
      </c>
      <c r="D1662">
        <f>IF(AND(B1657=1,B1658=1,B1659=1,B1660=1,B1661=1),"Yes","")</f>
        <v/>
      </c>
      <c r="E1662" t="inlineStr">
        <is>
          <t>No</t>
        </is>
      </c>
      <c r="F1662" t="inlineStr">
        <is>
          <t>No</t>
        </is>
      </c>
      <c r="G1662">
        <f>IF(F1662="Yes",1-B1662,B1662)</f>
        <v/>
      </c>
      <c r="H1662">
        <f>IF(E1662="Yes","",COUNTIFS($E$2:E1662,"No"))</f>
        <v/>
      </c>
      <c r="I1662">
        <f>IF(H1662="","",IF(H1662&lt;=128,"address",IF(H1662&lt;=600,"data1",IF(H1662&lt;=1264,"zero-run1",IF(H1662&lt;=1648,"data2",IF(H1662&lt;=2176,"zero-run2",IF(H1662&lt;=2192,"FCS","trailing")))))))</f>
        <v/>
      </c>
      <c r="J1662">
        <f>IFERROR(IF(AND(H1662&lt;&gt;"",H1662&gt;=129,H1662&lt;=2176),INDEX(Fields!$B$2:$B$206,MATCH(H1662-129,Fields!$D$2:$D$206,1)),""),"")</f>
        <v/>
      </c>
      <c r="K1662">
        <f>IFERROR(IF(AND(H1662&lt;&gt;"",H1662&gt;=129,H1662&lt;=2176),INDEX(Fields!$C$2:$C$206,MATCH(H1662-129,Fields!$D$2:$D$206,1)),""),"")</f>
        <v/>
      </c>
      <c r="L1662">
        <f>IFERROR(IF(AND(H1662&lt;&gt;"",H1662&gt;=129,H1662&lt;=2176),INDEX(Fields!$J$2:$J$206,MATCH(H1662-129,Fields!$D$2:$D$206,1)),""),"")</f>
        <v/>
      </c>
      <c r="M1662">
        <f>IFERROR(IF(AND(H1662&lt;&gt;"",H1662&gt;=129,H1662&lt;=2176),INDEX(Fields!$K$2:$K$206,MATCH(H1662-129,Fields!$D$2:$D$206,1)),""),"")</f>
        <v/>
      </c>
    </row>
    <row r="1663">
      <c r="A1663" t="n">
        <v>1661</v>
      </c>
      <c r="B1663" t="n">
        <v>0</v>
      </c>
      <c r="C1663" t="inlineStr">
        <is>
          <t>No</t>
        </is>
      </c>
      <c r="D1663">
        <f>IF(AND(B1658=1,B1659=1,B1660=1,B1661=1,B1662=1),"Yes","")</f>
        <v/>
      </c>
      <c r="E1663" t="inlineStr">
        <is>
          <t>No</t>
        </is>
      </c>
      <c r="F1663" t="inlineStr">
        <is>
          <t>No</t>
        </is>
      </c>
      <c r="G1663">
        <f>IF(F1663="Yes",1-B1663,B1663)</f>
        <v/>
      </c>
      <c r="H1663">
        <f>IF(E1663="Yes","",COUNTIFS($E$2:E1663,"No"))</f>
        <v/>
      </c>
      <c r="I1663">
        <f>IF(H1663="","",IF(H1663&lt;=128,"address",IF(H1663&lt;=600,"data1",IF(H1663&lt;=1264,"zero-run1",IF(H1663&lt;=1648,"data2",IF(H1663&lt;=2176,"zero-run2",IF(H1663&lt;=2192,"FCS","trailing")))))))</f>
        <v/>
      </c>
      <c r="J1663">
        <f>IFERROR(IF(AND(H1663&lt;&gt;"",H1663&gt;=129,H1663&lt;=2176),INDEX(Fields!$B$2:$B$206,MATCH(H1663-129,Fields!$D$2:$D$206,1)),""),"")</f>
        <v/>
      </c>
      <c r="K1663">
        <f>IFERROR(IF(AND(H1663&lt;&gt;"",H1663&gt;=129,H1663&lt;=2176),INDEX(Fields!$C$2:$C$206,MATCH(H1663-129,Fields!$D$2:$D$206,1)),""),"")</f>
        <v/>
      </c>
      <c r="L1663">
        <f>IFERROR(IF(AND(H1663&lt;&gt;"",H1663&gt;=129,H1663&lt;=2176),INDEX(Fields!$J$2:$J$206,MATCH(H1663-129,Fields!$D$2:$D$206,1)),""),"")</f>
        <v/>
      </c>
      <c r="M1663">
        <f>IFERROR(IF(AND(H1663&lt;&gt;"",H1663&gt;=129,H1663&lt;=2176),INDEX(Fields!$K$2:$K$206,MATCH(H1663-129,Fields!$D$2:$D$206,1)),""),"")</f>
        <v/>
      </c>
    </row>
    <row r="1664">
      <c r="A1664" t="n">
        <v>1662</v>
      </c>
      <c r="B1664" t="n">
        <v>0</v>
      </c>
      <c r="C1664" t="inlineStr">
        <is>
          <t>No</t>
        </is>
      </c>
      <c r="D1664">
        <f>IF(AND(B1659=1,B1660=1,B1661=1,B1662=1,B1663=1),"Yes","")</f>
        <v/>
      </c>
      <c r="E1664" t="inlineStr">
        <is>
          <t>No</t>
        </is>
      </c>
      <c r="F1664" t="inlineStr">
        <is>
          <t>No</t>
        </is>
      </c>
      <c r="G1664">
        <f>IF(F1664="Yes",1-B1664,B1664)</f>
        <v/>
      </c>
      <c r="H1664">
        <f>IF(E1664="Yes","",COUNTIFS($E$2:E1664,"No"))</f>
        <v/>
      </c>
      <c r="I1664">
        <f>IF(H1664="","",IF(H1664&lt;=128,"address",IF(H1664&lt;=600,"data1",IF(H1664&lt;=1264,"zero-run1",IF(H1664&lt;=1648,"data2",IF(H1664&lt;=2176,"zero-run2",IF(H1664&lt;=2192,"FCS","trailing")))))))</f>
        <v/>
      </c>
      <c r="J1664">
        <f>IFERROR(IF(AND(H1664&lt;&gt;"",H1664&gt;=129,H1664&lt;=2176),INDEX(Fields!$B$2:$B$206,MATCH(H1664-129,Fields!$D$2:$D$206,1)),""),"")</f>
        <v/>
      </c>
      <c r="K1664">
        <f>IFERROR(IF(AND(H1664&lt;&gt;"",H1664&gt;=129,H1664&lt;=2176),INDEX(Fields!$C$2:$C$206,MATCH(H1664-129,Fields!$D$2:$D$206,1)),""),"")</f>
        <v/>
      </c>
      <c r="L1664">
        <f>IFERROR(IF(AND(H1664&lt;&gt;"",H1664&gt;=129,H1664&lt;=2176),INDEX(Fields!$J$2:$J$206,MATCH(H1664-129,Fields!$D$2:$D$206,1)),""),"")</f>
        <v/>
      </c>
      <c r="M1664">
        <f>IFERROR(IF(AND(H1664&lt;&gt;"",H1664&gt;=129,H1664&lt;=2176),INDEX(Fields!$K$2:$K$206,MATCH(H1664-129,Fields!$D$2:$D$206,1)),""),"")</f>
        <v/>
      </c>
    </row>
    <row r="1665">
      <c r="A1665" t="n">
        <v>1663</v>
      </c>
      <c r="B1665" t="n">
        <v>0</v>
      </c>
      <c r="C1665" t="inlineStr">
        <is>
          <t>No</t>
        </is>
      </c>
      <c r="D1665">
        <f>IF(AND(B1660=1,B1661=1,B1662=1,B1663=1,B1664=1),"Yes","")</f>
        <v/>
      </c>
      <c r="E1665" t="inlineStr">
        <is>
          <t>No</t>
        </is>
      </c>
      <c r="F1665" t="inlineStr">
        <is>
          <t>No</t>
        </is>
      </c>
      <c r="G1665">
        <f>IF(F1665="Yes",1-B1665,B1665)</f>
        <v/>
      </c>
      <c r="H1665">
        <f>IF(E1665="Yes","",COUNTIFS($E$2:E1665,"No"))</f>
        <v/>
      </c>
      <c r="I1665">
        <f>IF(H1665="","",IF(H1665&lt;=128,"address",IF(H1665&lt;=600,"data1",IF(H1665&lt;=1264,"zero-run1",IF(H1665&lt;=1648,"data2",IF(H1665&lt;=2176,"zero-run2",IF(H1665&lt;=2192,"FCS","trailing")))))))</f>
        <v/>
      </c>
      <c r="J1665">
        <f>IFERROR(IF(AND(H1665&lt;&gt;"",H1665&gt;=129,H1665&lt;=2176),INDEX(Fields!$B$2:$B$206,MATCH(H1665-129,Fields!$D$2:$D$206,1)),""),"")</f>
        <v/>
      </c>
      <c r="K1665">
        <f>IFERROR(IF(AND(H1665&lt;&gt;"",H1665&gt;=129,H1665&lt;=2176),INDEX(Fields!$C$2:$C$206,MATCH(H1665-129,Fields!$D$2:$D$206,1)),""),"")</f>
        <v/>
      </c>
      <c r="L1665">
        <f>IFERROR(IF(AND(H1665&lt;&gt;"",H1665&gt;=129,H1665&lt;=2176),INDEX(Fields!$J$2:$J$206,MATCH(H1665-129,Fields!$D$2:$D$206,1)),""),"")</f>
        <v/>
      </c>
      <c r="M1665">
        <f>IFERROR(IF(AND(H1665&lt;&gt;"",H1665&gt;=129,H1665&lt;=2176),INDEX(Fields!$K$2:$K$206,MATCH(H1665-129,Fields!$D$2:$D$206,1)),""),"")</f>
        <v/>
      </c>
    </row>
    <row r="1666">
      <c r="A1666" t="n">
        <v>1664</v>
      </c>
      <c r="B1666" t="n">
        <v>0</v>
      </c>
      <c r="C1666" t="inlineStr">
        <is>
          <t>No</t>
        </is>
      </c>
      <c r="D1666">
        <f>IF(AND(B1661=1,B1662=1,B1663=1,B1664=1,B1665=1),"Yes","")</f>
        <v/>
      </c>
      <c r="E1666" t="inlineStr">
        <is>
          <t>No</t>
        </is>
      </c>
      <c r="F1666" t="inlineStr">
        <is>
          <t>No</t>
        </is>
      </c>
      <c r="G1666">
        <f>IF(F1666="Yes",1-B1666,B1666)</f>
        <v/>
      </c>
      <c r="H1666">
        <f>IF(E1666="Yes","",COUNTIFS($E$2:E1666,"No"))</f>
        <v/>
      </c>
      <c r="I1666">
        <f>IF(H1666="","",IF(H1666&lt;=128,"address",IF(H1666&lt;=600,"data1",IF(H1666&lt;=1264,"zero-run1",IF(H1666&lt;=1648,"data2",IF(H1666&lt;=2176,"zero-run2",IF(H1666&lt;=2192,"FCS","trailing")))))))</f>
        <v/>
      </c>
      <c r="J1666">
        <f>IFERROR(IF(AND(H1666&lt;&gt;"",H1666&gt;=129,H1666&lt;=2176),INDEX(Fields!$B$2:$B$206,MATCH(H1666-129,Fields!$D$2:$D$206,1)),""),"")</f>
        <v/>
      </c>
      <c r="K1666">
        <f>IFERROR(IF(AND(H1666&lt;&gt;"",H1666&gt;=129,H1666&lt;=2176),INDEX(Fields!$C$2:$C$206,MATCH(H1666-129,Fields!$D$2:$D$206,1)),""),"")</f>
        <v/>
      </c>
      <c r="L1666">
        <f>IFERROR(IF(AND(H1666&lt;&gt;"",H1666&gt;=129,H1666&lt;=2176),INDEX(Fields!$J$2:$J$206,MATCH(H1666-129,Fields!$D$2:$D$206,1)),""),"")</f>
        <v/>
      </c>
      <c r="M1666">
        <f>IFERROR(IF(AND(H1666&lt;&gt;"",H1666&gt;=129,H1666&lt;=2176),INDEX(Fields!$K$2:$K$206,MATCH(H1666-129,Fields!$D$2:$D$206,1)),""),"")</f>
        <v/>
      </c>
    </row>
    <row r="1667">
      <c r="A1667" t="n">
        <v>1665</v>
      </c>
      <c r="B1667" t="n">
        <v>0</v>
      </c>
      <c r="C1667" t="inlineStr">
        <is>
          <t>No</t>
        </is>
      </c>
      <c r="D1667">
        <f>IF(AND(B1662=1,B1663=1,B1664=1,B1665=1,B1666=1),"Yes","")</f>
        <v/>
      </c>
      <c r="E1667" t="inlineStr">
        <is>
          <t>No</t>
        </is>
      </c>
      <c r="F1667" t="inlineStr">
        <is>
          <t>No</t>
        </is>
      </c>
      <c r="G1667">
        <f>IF(F1667="Yes",1-B1667,B1667)</f>
        <v/>
      </c>
      <c r="H1667">
        <f>IF(E1667="Yes","",COUNTIFS($E$2:E1667,"No"))</f>
        <v/>
      </c>
      <c r="I1667">
        <f>IF(H1667="","",IF(H1667&lt;=128,"address",IF(H1667&lt;=600,"data1",IF(H1667&lt;=1264,"zero-run1",IF(H1667&lt;=1648,"data2",IF(H1667&lt;=2176,"zero-run2",IF(H1667&lt;=2192,"FCS","trailing")))))))</f>
        <v/>
      </c>
      <c r="J1667">
        <f>IFERROR(IF(AND(H1667&lt;&gt;"",H1667&gt;=129,H1667&lt;=2176),INDEX(Fields!$B$2:$B$206,MATCH(H1667-129,Fields!$D$2:$D$206,1)),""),"")</f>
        <v/>
      </c>
      <c r="K1667">
        <f>IFERROR(IF(AND(H1667&lt;&gt;"",H1667&gt;=129,H1667&lt;=2176),INDEX(Fields!$C$2:$C$206,MATCH(H1667-129,Fields!$D$2:$D$206,1)),""),"")</f>
        <v/>
      </c>
      <c r="L1667">
        <f>IFERROR(IF(AND(H1667&lt;&gt;"",H1667&gt;=129,H1667&lt;=2176),INDEX(Fields!$J$2:$J$206,MATCH(H1667-129,Fields!$D$2:$D$206,1)),""),"")</f>
        <v/>
      </c>
      <c r="M1667">
        <f>IFERROR(IF(AND(H1667&lt;&gt;"",H1667&gt;=129,H1667&lt;=2176),INDEX(Fields!$K$2:$K$206,MATCH(H1667-129,Fields!$D$2:$D$206,1)),""),"")</f>
        <v/>
      </c>
    </row>
    <row r="1668">
      <c r="A1668" t="n">
        <v>1666</v>
      </c>
      <c r="B1668" t="n">
        <v>0</v>
      </c>
      <c r="C1668" t="inlineStr">
        <is>
          <t>No</t>
        </is>
      </c>
      <c r="D1668">
        <f>IF(AND(B1663=1,B1664=1,B1665=1,B1666=1,B1667=1),"Yes","")</f>
        <v/>
      </c>
      <c r="E1668" t="inlineStr">
        <is>
          <t>No</t>
        </is>
      </c>
      <c r="F1668" t="inlineStr">
        <is>
          <t>No</t>
        </is>
      </c>
      <c r="G1668">
        <f>IF(F1668="Yes",1-B1668,B1668)</f>
        <v/>
      </c>
      <c r="H1668">
        <f>IF(E1668="Yes","",COUNTIFS($E$2:E1668,"No"))</f>
        <v/>
      </c>
      <c r="I1668">
        <f>IF(H1668="","",IF(H1668&lt;=128,"address",IF(H1668&lt;=600,"data1",IF(H1668&lt;=1264,"zero-run1",IF(H1668&lt;=1648,"data2",IF(H1668&lt;=2176,"zero-run2",IF(H1668&lt;=2192,"FCS","trailing")))))))</f>
        <v/>
      </c>
      <c r="J1668">
        <f>IFERROR(IF(AND(H1668&lt;&gt;"",H1668&gt;=129,H1668&lt;=2176),INDEX(Fields!$B$2:$B$206,MATCH(H1668-129,Fields!$D$2:$D$206,1)),""),"")</f>
        <v/>
      </c>
      <c r="K1668">
        <f>IFERROR(IF(AND(H1668&lt;&gt;"",H1668&gt;=129,H1668&lt;=2176),INDEX(Fields!$C$2:$C$206,MATCH(H1668-129,Fields!$D$2:$D$206,1)),""),"")</f>
        <v/>
      </c>
      <c r="L1668">
        <f>IFERROR(IF(AND(H1668&lt;&gt;"",H1668&gt;=129,H1668&lt;=2176),INDEX(Fields!$J$2:$J$206,MATCH(H1668-129,Fields!$D$2:$D$206,1)),""),"")</f>
        <v/>
      </c>
      <c r="M1668">
        <f>IFERROR(IF(AND(H1668&lt;&gt;"",H1668&gt;=129,H1668&lt;=2176),INDEX(Fields!$K$2:$K$206,MATCH(H1668-129,Fields!$D$2:$D$206,1)),""),"")</f>
        <v/>
      </c>
    </row>
    <row r="1669">
      <c r="A1669" t="n">
        <v>1667</v>
      </c>
      <c r="B1669" t="n">
        <v>0</v>
      </c>
      <c r="C1669" t="inlineStr">
        <is>
          <t>No</t>
        </is>
      </c>
      <c r="D1669">
        <f>IF(AND(B1664=1,B1665=1,B1666=1,B1667=1,B1668=1),"Yes","")</f>
        <v/>
      </c>
      <c r="E1669" t="inlineStr">
        <is>
          <t>No</t>
        </is>
      </c>
      <c r="F1669" t="inlineStr">
        <is>
          <t>No</t>
        </is>
      </c>
      <c r="G1669">
        <f>IF(F1669="Yes",1-B1669,B1669)</f>
        <v/>
      </c>
      <c r="H1669">
        <f>IF(E1669="Yes","",COUNTIFS($E$2:E1669,"No"))</f>
        <v/>
      </c>
      <c r="I1669">
        <f>IF(H1669="","",IF(H1669&lt;=128,"address",IF(H1669&lt;=600,"data1",IF(H1669&lt;=1264,"zero-run1",IF(H1669&lt;=1648,"data2",IF(H1669&lt;=2176,"zero-run2",IF(H1669&lt;=2192,"FCS","trailing")))))))</f>
        <v/>
      </c>
      <c r="J1669">
        <f>IFERROR(IF(AND(H1669&lt;&gt;"",H1669&gt;=129,H1669&lt;=2176),INDEX(Fields!$B$2:$B$206,MATCH(H1669-129,Fields!$D$2:$D$206,1)),""),"")</f>
        <v/>
      </c>
      <c r="K1669">
        <f>IFERROR(IF(AND(H1669&lt;&gt;"",H1669&gt;=129,H1669&lt;=2176),INDEX(Fields!$C$2:$C$206,MATCH(H1669-129,Fields!$D$2:$D$206,1)),""),"")</f>
        <v/>
      </c>
      <c r="L1669">
        <f>IFERROR(IF(AND(H1669&lt;&gt;"",H1669&gt;=129,H1669&lt;=2176),INDEX(Fields!$J$2:$J$206,MATCH(H1669-129,Fields!$D$2:$D$206,1)),""),"")</f>
        <v/>
      </c>
      <c r="M1669">
        <f>IFERROR(IF(AND(H1669&lt;&gt;"",H1669&gt;=129,H1669&lt;=2176),INDEX(Fields!$K$2:$K$206,MATCH(H1669-129,Fields!$D$2:$D$206,1)),""),"")</f>
        <v/>
      </c>
    </row>
    <row r="1670">
      <c r="A1670" t="n">
        <v>1668</v>
      </c>
      <c r="B1670" t="n">
        <v>0</v>
      </c>
      <c r="C1670" t="inlineStr">
        <is>
          <t>No</t>
        </is>
      </c>
      <c r="D1670">
        <f>IF(AND(B1665=1,B1666=1,B1667=1,B1668=1,B1669=1),"Yes","")</f>
        <v/>
      </c>
      <c r="E1670" t="inlineStr">
        <is>
          <t>No</t>
        </is>
      </c>
      <c r="F1670" t="inlineStr">
        <is>
          <t>No</t>
        </is>
      </c>
      <c r="G1670">
        <f>IF(F1670="Yes",1-B1670,B1670)</f>
        <v/>
      </c>
      <c r="H1670">
        <f>IF(E1670="Yes","",COUNTIFS($E$2:E1670,"No"))</f>
        <v/>
      </c>
      <c r="I1670">
        <f>IF(H1670="","",IF(H1670&lt;=128,"address",IF(H1670&lt;=600,"data1",IF(H1670&lt;=1264,"zero-run1",IF(H1670&lt;=1648,"data2",IF(H1670&lt;=2176,"zero-run2",IF(H1670&lt;=2192,"FCS","trailing")))))))</f>
        <v/>
      </c>
      <c r="J1670">
        <f>IFERROR(IF(AND(H1670&lt;&gt;"",H1670&gt;=129,H1670&lt;=2176),INDEX(Fields!$B$2:$B$206,MATCH(H1670-129,Fields!$D$2:$D$206,1)),""),"")</f>
        <v/>
      </c>
      <c r="K1670">
        <f>IFERROR(IF(AND(H1670&lt;&gt;"",H1670&gt;=129,H1670&lt;=2176),INDEX(Fields!$C$2:$C$206,MATCH(H1670-129,Fields!$D$2:$D$206,1)),""),"")</f>
        <v/>
      </c>
      <c r="L1670">
        <f>IFERROR(IF(AND(H1670&lt;&gt;"",H1670&gt;=129,H1670&lt;=2176),INDEX(Fields!$J$2:$J$206,MATCH(H1670-129,Fields!$D$2:$D$206,1)),""),"")</f>
        <v/>
      </c>
      <c r="M1670">
        <f>IFERROR(IF(AND(H1670&lt;&gt;"",H1670&gt;=129,H1670&lt;=2176),INDEX(Fields!$K$2:$K$206,MATCH(H1670-129,Fields!$D$2:$D$206,1)),""),"")</f>
        <v/>
      </c>
    </row>
    <row r="1671">
      <c r="A1671" t="n">
        <v>1669</v>
      </c>
      <c r="B1671" t="n">
        <v>0</v>
      </c>
      <c r="C1671" t="inlineStr">
        <is>
          <t>No</t>
        </is>
      </c>
      <c r="D1671">
        <f>IF(AND(B1666=1,B1667=1,B1668=1,B1669=1,B1670=1),"Yes","")</f>
        <v/>
      </c>
      <c r="E1671" t="inlineStr">
        <is>
          <t>No</t>
        </is>
      </c>
      <c r="F1671" t="inlineStr">
        <is>
          <t>No</t>
        </is>
      </c>
      <c r="G1671">
        <f>IF(F1671="Yes",1-B1671,B1671)</f>
        <v/>
      </c>
      <c r="H1671">
        <f>IF(E1671="Yes","",COUNTIFS($E$2:E1671,"No"))</f>
        <v/>
      </c>
      <c r="I1671">
        <f>IF(H1671="","",IF(H1671&lt;=128,"address",IF(H1671&lt;=600,"data1",IF(H1671&lt;=1264,"zero-run1",IF(H1671&lt;=1648,"data2",IF(H1671&lt;=2176,"zero-run2",IF(H1671&lt;=2192,"FCS","trailing")))))))</f>
        <v/>
      </c>
      <c r="J1671">
        <f>IFERROR(IF(AND(H1671&lt;&gt;"",H1671&gt;=129,H1671&lt;=2176),INDEX(Fields!$B$2:$B$206,MATCH(H1671-129,Fields!$D$2:$D$206,1)),""),"")</f>
        <v/>
      </c>
      <c r="K1671">
        <f>IFERROR(IF(AND(H1671&lt;&gt;"",H1671&gt;=129,H1671&lt;=2176),INDEX(Fields!$C$2:$C$206,MATCH(H1671-129,Fields!$D$2:$D$206,1)),""),"")</f>
        <v/>
      </c>
      <c r="L1671">
        <f>IFERROR(IF(AND(H1671&lt;&gt;"",H1671&gt;=129,H1671&lt;=2176),INDEX(Fields!$J$2:$J$206,MATCH(H1671-129,Fields!$D$2:$D$206,1)),""),"")</f>
        <v/>
      </c>
      <c r="M1671">
        <f>IFERROR(IF(AND(H1671&lt;&gt;"",H1671&gt;=129,H1671&lt;=2176),INDEX(Fields!$K$2:$K$206,MATCH(H1671-129,Fields!$D$2:$D$206,1)),""),"")</f>
        <v/>
      </c>
    </row>
    <row r="1672">
      <c r="A1672" t="n">
        <v>1670</v>
      </c>
      <c r="B1672" t="n">
        <v>0</v>
      </c>
      <c r="C1672" t="inlineStr">
        <is>
          <t>No</t>
        </is>
      </c>
      <c r="D1672">
        <f>IF(AND(B1667=1,B1668=1,B1669=1,B1670=1,B1671=1),"Yes","")</f>
        <v/>
      </c>
      <c r="E1672" t="inlineStr">
        <is>
          <t>No</t>
        </is>
      </c>
      <c r="F1672" t="inlineStr">
        <is>
          <t>No</t>
        </is>
      </c>
      <c r="G1672">
        <f>IF(F1672="Yes",1-B1672,B1672)</f>
        <v/>
      </c>
      <c r="H1672">
        <f>IF(E1672="Yes","",COUNTIFS($E$2:E1672,"No"))</f>
        <v/>
      </c>
      <c r="I1672">
        <f>IF(H1672="","",IF(H1672&lt;=128,"address",IF(H1672&lt;=600,"data1",IF(H1672&lt;=1264,"zero-run1",IF(H1672&lt;=1648,"data2",IF(H1672&lt;=2176,"zero-run2",IF(H1672&lt;=2192,"FCS","trailing")))))))</f>
        <v/>
      </c>
      <c r="J1672">
        <f>IFERROR(IF(AND(H1672&lt;&gt;"",H1672&gt;=129,H1672&lt;=2176),INDEX(Fields!$B$2:$B$206,MATCH(H1672-129,Fields!$D$2:$D$206,1)),""),"")</f>
        <v/>
      </c>
      <c r="K1672">
        <f>IFERROR(IF(AND(H1672&lt;&gt;"",H1672&gt;=129,H1672&lt;=2176),INDEX(Fields!$C$2:$C$206,MATCH(H1672-129,Fields!$D$2:$D$206,1)),""),"")</f>
        <v/>
      </c>
      <c r="L1672">
        <f>IFERROR(IF(AND(H1672&lt;&gt;"",H1672&gt;=129,H1672&lt;=2176),INDEX(Fields!$J$2:$J$206,MATCH(H1672-129,Fields!$D$2:$D$206,1)),""),"")</f>
        <v/>
      </c>
      <c r="M1672">
        <f>IFERROR(IF(AND(H1672&lt;&gt;"",H1672&gt;=129,H1672&lt;=2176),INDEX(Fields!$K$2:$K$206,MATCH(H1672-129,Fields!$D$2:$D$206,1)),""),"")</f>
        <v/>
      </c>
    </row>
    <row r="1673">
      <c r="A1673" t="n">
        <v>1671</v>
      </c>
      <c r="B1673" t="n">
        <v>0</v>
      </c>
      <c r="C1673" t="inlineStr">
        <is>
          <t>No</t>
        </is>
      </c>
      <c r="D1673">
        <f>IF(AND(B1668=1,B1669=1,B1670=1,B1671=1,B1672=1),"Yes","")</f>
        <v/>
      </c>
      <c r="E1673" t="inlineStr">
        <is>
          <t>No</t>
        </is>
      </c>
      <c r="F1673" t="inlineStr">
        <is>
          <t>No</t>
        </is>
      </c>
      <c r="G1673">
        <f>IF(F1673="Yes",1-B1673,B1673)</f>
        <v/>
      </c>
      <c r="H1673">
        <f>IF(E1673="Yes","",COUNTIFS($E$2:E1673,"No"))</f>
        <v/>
      </c>
      <c r="I1673">
        <f>IF(H1673="","",IF(H1673&lt;=128,"address",IF(H1673&lt;=600,"data1",IF(H1673&lt;=1264,"zero-run1",IF(H1673&lt;=1648,"data2",IF(H1673&lt;=2176,"zero-run2",IF(H1673&lt;=2192,"FCS","trailing")))))))</f>
        <v/>
      </c>
      <c r="J1673">
        <f>IFERROR(IF(AND(H1673&lt;&gt;"",H1673&gt;=129,H1673&lt;=2176),INDEX(Fields!$B$2:$B$206,MATCH(H1673-129,Fields!$D$2:$D$206,1)),""),"")</f>
        <v/>
      </c>
      <c r="K1673">
        <f>IFERROR(IF(AND(H1673&lt;&gt;"",H1673&gt;=129,H1673&lt;=2176),INDEX(Fields!$C$2:$C$206,MATCH(H1673-129,Fields!$D$2:$D$206,1)),""),"")</f>
        <v/>
      </c>
      <c r="L1673">
        <f>IFERROR(IF(AND(H1673&lt;&gt;"",H1673&gt;=129,H1673&lt;=2176),INDEX(Fields!$J$2:$J$206,MATCH(H1673-129,Fields!$D$2:$D$206,1)),""),"")</f>
        <v/>
      </c>
      <c r="M1673">
        <f>IFERROR(IF(AND(H1673&lt;&gt;"",H1673&gt;=129,H1673&lt;=2176),INDEX(Fields!$K$2:$K$206,MATCH(H1673-129,Fields!$D$2:$D$206,1)),""),"")</f>
        <v/>
      </c>
    </row>
    <row r="1674">
      <c r="A1674" t="n">
        <v>1672</v>
      </c>
      <c r="B1674" t="n">
        <v>0</v>
      </c>
      <c r="C1674" t="inlineStr">
        <is>
          <t>No</t>
        </is>
      </c>
      <c r="D1674">
        <f>IF(AND(B1669=1,B1670=1,B1671=1,B1672=1,B1673=1),"Yes","")</f>
        <v/>
      </c>
      <c r="E1674" t="inlineStr">
        <is>
          <t>No</t>
        </is>
      </c>
      <c r="F1674" t="inlineStr">
        <is>
          <t>No</t>
        </is>
      </c>
      <c r="G1674">
        <f>IF(F1674="Yes",1-B1674,B1674)</f>
        <v/>
      </c>
      <c r="H1674">
        <f>IF(E1674="Yes","",COUNTIFS($E$2:E1674,"No"))</f>
        <v/>
      </c>
      <c r="I1674">
        <f>IF(H1674="","",IF(H1674&lt;=128,"address",IF(H1674&lt;=600,"data1",IF(H1674&lt;=1264,"zero-run1",IF(H1674&lt;=1648,"data2",IF(H1674&lt;=2176,"zero-run2",IF(H1674&lt;=2192,"FCS","trailing")))))))</f>
        <v/>
      </c>
      <c r="J1674">
        <f>IFERROR(IF(AND(H1674&lt;&gt;"",H1674&gt;=129,H1674&lt;=2176),INDEX(Fields!$B$2:$B$206,MATCH(H1674-129,Fields!$D$2:$D$206,1)),""),"")</f>
        <v/>
      </c>
      <c r="K1674">
        <f>IFERROR(IF(AND(H1674&lt;&gt;"",H1674&gt;=129,H1674&lt;=2176),INDEX(Fields!$C$2:$C$206,MATCH(H1674-129,Fields!$D$2:$D$206,1)),""),"")</f>
        <v/>
      </c>
      <c r="L1674">
        <f>IFERROR(IF(AND(H1674&lt;&gt;"",H1674&gt;=129,H1674&lt;=2176),INDEX(Fields!$J$2:$J$206,MATCH(H1674-129,Fields!$D$2:$D$206,1)),""),"")</f>
        <v/>
      </c>
      <c r="M1674">
        <f>IFERROR(IF(AND(H1674&lt;&gt;"",H1674&gt;=129,H1674&lt;=2176),INDEX(Fields!$K$2:$K$206,MATCH(H1674-129,Fields!$D$2:$D$206,1)),""),"")</f>
        <v/>
      </c>
    </row>
    <row r="1675">
      <c r="A1675" t="n">
        <v>1673</v>
      </c>
      <c r="B1675" t="n">
        <v>0</v>
      </c>
      <c r="C1675" t="inlineStr">
        <is>
          <t>No</t>
        </is>
      </c>
      <c r="D1675">
        <f>IF(AND(B1670=1,B1671=1,B1672=1,B1673=1,B1674=1),"Yes","")</f>
        <v/>
      </c>
      <c r="E1675" t="inlineStr">
        <is>
          <t>No</t>
        </is>
      </c>
      <c r="F1675" t="inlineStr">
        <is>
          <t>No</t>
        </is>
      </c>
      <c r="G1675">
        <f>IF(F1675="Yes",1-B1675,B1675)</f>
        <v/>
      </c>
      <c r="H1675">
        <f>IF(E1675="Yes","",COUNTIFS($E$2:E1675,"No"))</f>
        <v/>
      </c>
      <c r="I1675">
        <f>IF(H1675="","",IF(H1675&lt;=128,"address",IF(H1675&lt;=600,"data1",IF(H1675&lt;=1264,"zero-run1",IF(H1675&lt;=1648,"data2",IF(H1675&lt;=2176,"zero-run2",IF(H1675&lt;=2192,"FCS","trailing")))))))</f>
        <v/>
      </c>
      <c r="J1675">
        <f>IFERROR(IF(AND(H1675&lt;&gt;"",H1675&gt;=129,H1675&lt;=2176),INDEX(Fields!$B$2:$B$206,MATCH(H1675-129,Fields!$D$2:$D$206,1)),""),"")</f>
        <v/>
      </c>
      <c r="K1675">
        <f>IFERROR(IF(AND(H1675&lt;&gt;"",H1675&gt;=129,H1675&lt;=2176),INDEX(Fields!$C$2:$C$206,MATCH(H1675-129,Fields!$D$2:$D$206,1)),""),"")</f>
        <v/>
      </c>
      <c r="L1675">
        <f>IFERROR(IF(AND(H1675&lt;&gt;"",H1675&gt;=129,H1675&lt;=2176),INDEX(Fields!$J$2:$J$206,MATCH(H1675-129,Fields!$D$2:$D$206,1)),""),"")</f>
        <v/>
      </c>
      <c r="M1675">
        <f>IFERROR(IF(AND(H1675&lt;&gt;"",H1675&gt;=129,H1675&lt;=2176),INDEX(Fields!$K$2:$K$206,MATCH(H1675-129,Fields!$D$2:$D$206,1)),""),"")</f>
        <v/>
      </c>
    </row>
    <row r="1676">
      <c r="A1676" t="n">
        <v>1674</v>
      </c>
      <c r="B1676" t="n">
        <v>0</v>
      </c>
      <c r="C1676" t="inlineStr">
        <is>
          <t>No</t>
        </is>
      </c>
      <c r="D1676">
        <f>IF(AND(B1671=1,B1672=1,B1673=1,B1674=1,B1675=1),"Yes","")</f>
        <v/>
      </c>
      <c r="E1676" t="inlineStr">
        <is>
          <t>No</t>
        </is>
      </c>
      <c r="F1676" t="inlineStr">
        <is>
          <t>No</t>
        </is>
      </c>
      <c r="G1676">
        <f>IF(F1676="Yes",1-B1676,B1676)</f>
        <v/>
      </c>
      <c r="H1676">
        <f>IF(E1676="Yes","",COUNTIFS($E$2:E1676,"No"))</f>
        <v/>
      </c>
      <c r="I1676">
        <f>IF(H1676="","",IF(H1676&lt;=128,"address",IF(H1676&lt;=600,"data1",IF(H1676&lt;=1264,"zero-run1",IF(H1676&lt;=1648,"data2",IF(H1676&lt;=2176,"zero-run2",IF(H1676&lt;=2192,"FCS","trailing")))))))</f>
        <v/>
      </c>
      <c r="J1676">
        <f>IFERROR(IF(AND(H1676&lt;&gt;"",H1676&gt;=129,H1676&lt;=2176),INDEX(Fields!$B$2:$B$206,MATCH(H1676-129,Fields!$D$2:$D$206,1)),""),"")</f>
        <v/>
      </c>
      <c r="K1676">
        <f>IFERROR(IF(AND(H1676&lt;&gt;"",H1676&gt;=129,H1676&lt;=2176),INDEX(Fields!$C$2:$C$206,MATCH(H1676-129,Fields!$D$2:$D$206,1)),""),"")</f>
        <v/>
      </c>
      <c r="L1676">
        <f>IFERROR(IF(AND(H1676&lt;&gt;"",H1676&gt;=129,H1676&lt;=2176),INDEX(Fields!$J$2:$J$206,MATCH(H1676-129,Fields!$D$2:$D$206,1)),""),"")</f>
        <v/>
      </c>
      <c r="M1676">
        <f>IFERROR(IF(AND(H1676&lt;&gt;"",H1676&gt;=129,H1676&lt;=2176),INDEX(Fields!$K$2:$K$206,MATCH(H1676-129,Fields!$D$2:$D$206,1)),""),"")</f>
        <v/>
      </c>
    </row>
    <row r="1677">
      <c r="A1677" t="n">
        <v>1675</v>
      </c>
      <c r="B1677" t="n">
        <v>0</v>
      </c>
      <c r="C1677" t="inlineStr">
        <is>
          <t>No</t>
        </is>
      </c>
      <c r="D1677">
        <f>IF(AND(B1672=1,B1673=1,B1674=1,B1675=1,B1676=1),"Yes","")</f>
        <v/>
      </c>
      <c r="E1677" t="inlineStr">
        <is>
          <t>No</t>
        </is>
      </c>
      <c r="F1677" t="inlineStr">
        <is>
          <t>No</t>
        </is>
      </c>
      <c r="G1677">
        <f>IF(F1677="Yes",1-B1677,B1677)</f>
        <v/>
      </c>
      <c r="H1677">
        <f>IF(E1677="Yes","",COUNTIFS($E$2:E1677,"No"))</f>
        <v/>
      </c>
      <c r="I1677">
        <f>IF(H1677="","",IF(H1677&lt;=128,"address",IF(H1677&lt;=600,"data1",IF(H1677&lt;=1264,"zero-run1",IF(H1677&lt;=1648,"data2",IF(H1677&lt;=2176,"zero-run2",IF(H1677&lt;=2192,"FCS","trailing")))))))</f>
        <v/>
      </c>
      <c r="J1677">
        <f>IFERROR(IF(AND(H1677&lt;&gt;"",H1677&gt;=129,H1677&lt;=2176),INDEX(Fields!$B$2:$B$206,MATCH(H1677-129,Fields!$D$2:$D$206,1)),""),"")</f>
        <v/>
      </c>
      <c r="K1677">
        <f>IFERROR(IF(AND(H1677&lt;&gt;"",H1677&gt;=129,H1677&lt;=2176),INDEX(Fields!$C$2:$C$206,MATCH(H1677-129,Fields!$D$2:$D$206,1)),""),"")</f>
        <v/>
      </c>
      <c r="L1677">
        <f>IFERROR(IF(AND(H1677&lt;&gt;"",H1677&gt;=129,H1677&lt;=2176),INDEX(Fields!$J$2:$J$206,MATCH(H1677-129,Fields!$D$2:$D$206,1)),""),"")</f>
        <v/>
      </c>
      <c r="M1677">
        <f>IFERROR(IF(AND(H1677&lt;&gt;"",H1677&gt;=129,H1677&lt;=2176),INDEX(Fields!$K$2:$K$206,MATCH(H1677-129,Fields!$D$2:$D$206,1)),""),"")</f>
        <v/>
      </c>
    </row>
    <row r="1678">
      <c r="A1678" t="n">
        <v>1676</v>
      </c>
      <c r="B1678" t="n">
        <v>0</v>
      </c>
      <c r="C1678" t="inlineStr">
        <is>
          <t>No</t>
        </is>
      </c>
      <c r="D1678">
        <f>IF(AND(B1673=1,B1674=1,B1675=1,B1676=1,B1677=1),"Yes","")</f>
        <v/>
      </c>
      <c r="E1678" t="inlineStr">
        <is>
          <t>No</t>
        </is>
      </c>
      <c r="F1678" t="inlineStr">
        <is>
          <t>No</t>
        </is>
      </c>
      <c r="G1678">
        <f>IF(F1678="Yes",1-B1678,B1678)</f>
        <v/>
      </c>
      <c r="H1678">
        <f>IF(E1678="Yes","",COUNTIFS($E$2:E1678,"No"))</f>
        <v/>
      </c>
      <c r="I1678">
        <f>IF(H1678="","",IF(H1678&lt;=128,"address",IF(H1678&lt;=600,"data1",IF(H1678&lt;=1264,"zero-run1",IF(H1678&lt;=1648,"data2",IF(H1678&lt;=2176,"zero-run2",IF(H1678&lt;=2192,"FCS","trailing")))))))</f>
        <v/>
      </c>
      <c r="J1678">
        <f>IFERROR(IF(AND(H1678&lt;&gt;"",H1678&gt;=129,H1678&lt;=2176),INDEX(Fields!$B$2:$B$206,MATCH(H1678-129,Fields!$D$2:$D$206,1)),""),"")</f>
        <v/>
      </c>
      <c r="K1678">
        <f>IFERROR(IF(AND(H1678&lt;&gt;"",H1678&gt;=129,H1678&lt;=2176),INDEX(Fields!$C$2:$C$206,MATCH(H1678-129,Fields!$D$2:$D$206,1)),""),"")</f>
        <v/>
      </c>
      <c r="L1678">
        <f>IFERROR(IF(AND(H1678&lt;&gt;"",H1678&gt;=129,H1678&lt;=2176),INDEX(Fields!$J$2:$J$206,MATCH(H1678-129,Fields!$D$2:$D$206,1)),""),"")</f>
        <v/>
      </c>
      <c r="M1678">
        <f>IFERROR(IF(AND(H1678&lt;&gt;"",H1678&gt;=129,H1678&lt;=2176),INDEX(Fields!$K$2:$K$206,MATCH(H1678-129,Fields!$D$2:$D$206,1)),""),"")</f>
        <v/>
      </c>
    </row>
    <row r="1679">
      <c r="A1679" t="n">
        <v>1677</v>
      </c>
      <c r="B1679" t="n">
        <v>0</v>
      </c>
      <c r="C1679" t="inlineStr">
        <is>
          <t>No</t>
        </is>
      </c>
      <c r="D1679">
        <f>IF(AND(B1674=1,B1675=1,B1676=1,B1677=1,B1678=1),"Yes","")</f>
        <v/>
      </c>
      <c r="E1679" t="inlineStr">
        <is>
          <t>No</t>
        </is>
      </c>
      <c r="F1679" t="inlineStr">
        <is>
          <t>No</t>
        </is>
      </c>
      <c r="G1679">
        <f>IF(F1679="Yes",1-B1679,B1679)</f>
        <v/>
      </c>
      <c r="H1679">
        <f>IF(E1679="Yes","",COUNTIFS($E$2:E1679,"No"))</f>
        <v/>
      </c>
      <c r="I1679">
        <f>IF(H1679="","",IF(H1679&lt;=128,"address",IF(H1679&lt;=600,"data1",IF(H1679&lt;=1264,"zero-run1",IF(H1679&lt;=1648,"data2",IF(H1679&lt;=2176,"zero-run2",IF(H1679&lt;=2192,"FCS","trailing")))))))</f>
        <v/>
      </c>
      <c r="J1679">
        <f>IFERROR(IF(AND(H1679&lt;&gt;"",H1679&gt;=129,H1679&lt;=2176),INDEX(Fields!$B$2:$B$206,MATCH(H1679-129,Fields!$D$2:$D$206,1)),""),"")</f>
        <v/>
      </c>
      <c r="K1679">
        <f>IFERROR(IF(AND(H1679&lt;&gt;"",H1679&gt;=129,H1679&lt;=2176),INDEX(Fields!$C$2:$C$206,MATCH(H1679-129,Fields!$D$2:$D$206,1)),""),"")</f>
        <v/>
      </c>
      <c r="L1679">
        <f>IFERROR(IF(AND(H1679&lt;&gt;"",H1679&gt;=129,H1679&lt;=2176),INDEX(Fields!$J$2:$J$206,MATCH(H1679-129,Fields!$D$2:$D$206,1)),""),"")</f>
        <v/>
      </c>
      <c r="M1679">
        <f>IFERROR(IF(AND(H1679&lt;&gt;"",H1679&gt;=129,H1679&lt;=2176),INDEX(Fields!$K$2:$K$206,MATCH(H1679-129,Fields!$D$2:$D$206,1)),""),"")</f>
        <v/>
      </c>
    </row>
    <row r="1680">
      <c r="A1680" t="n">
        <v>1678</v>
      </c>
      <c r="B1680" t="n">
        <v>0</v>
      </c>
      <c r="C1680" t="inlineStr">
        <is>
          <t>No</t>
        </is>
      </c>
      <c r="D1680">
        <f>IF(AND(B1675=1,B1676=1,B1677=1,B1678=1,B1679=1),"Yes","")</f>
        <v/>
      </c>
      <c r="E1680" t="inlineStr">
        <is>
          <t>No</t>
        </is>
      </c>
      <c r="F1680" t="inlineStr">
        <is>
          <t>No</t>
        </is>
      </c>
      <c r="G1680">
        <f>IF(F1680="Yes",1-B1680,B1680)</f>
        <v/>
      </c>
      <c r="H1680">
        <f>IF(E1680="Yes","",COUNTIFS($E$2:E1680,"No"))</f>
        <v/>
      </c>
      <c r="I1680">
        <f>IF(H1680="","",IF(H1680&lt;=128,"address",IF(H1680&lt;=600,"data1",IF(H1680&lt;=1264,"zero-run1",IF(H1680&lt;=1648,"data2",IF(H1680&lt;=2176,"zero-run2",IF(H1680&lt;=2192,"FCS","trailing")))))))</f>
        <v/>
      </c>
      <c r="J1680">
        <f>IFERROR(IF(AND(H1680&lt;&gt;"",H1680&gt;=129,H1680&lt;=2176),INDEX(Fields!$B$2:$B$206,MATCH(H1680-129,Fields!$D$2:$D$206,1)),""),"")</f>
        <v/>
      </c>
      <c r="K1680">
        <f>IFERROR(IF(AND(H1680&lt;&gt;"",H1680&gt;=129,H1680&lt;=2176),INDEX(Fields!$C$2:$C$206,MATCH(H1680-129,Fields!$D$2:$D$206,1)),""),"")</f>
        <v/>
      </c>
      <c r="L1680">
        <f>IFERROR(IF(AND(H1680&lt;&gt;"",H1680&gt;=129,H1680&lt;=2176),INDEX(Fields!$J$2:$J$206,MATCH(H1680-129,Fields!$D$2:$D$206,1)),""),"")</f>
        <v/>
      </c>
      <c r="M1680">
        <f>IFERROR(IF(AND(H1680&lt;&gt;"",H1680&gt;=129,H1680&lt;=2176),INDEX(Fields!$K$2:$K$206,MATCH(H1680-129,Fields!$D$2:$D$206,1)),""),"")</f>
        <v/>
      </c>
    </row>
    <row r="1681">
      <c r="A1681" t="n">
        <v>1679</v>
      </c>
      <c r="B1681" t="n">
        <v>0</v>
      </c>
      <c r="C1681" t="inlineStr">
        <is>
          <t>No</t>
        </is>
      </c>
      <c r="D1681">
        <f>IF(AND(B1676=1,B1677=1,B1678=1,B1679=1,B1680=1),"Yes","")</f>
        <v/>
      </c>
      <c r="E1681" t="inlineStr">
        <is>
          <t>No</t>
        </is>
      </c>
      <c r="F1681" t="inlineStr">
        <is>
          <t>No</t>
        </is>
      </c>
      <c r="G1681">
        <f>IF(F1681="Yes",1-B1681,B1681)</f>
        <v/>
      </c>
      <c r="H1681">
        <f>IF(E1681="Yes","",COUNTIFS($E$2:E1681,"No"))</f>
        <v/>
      </c>
      <c r="I1681">
        <f>IF(H1681="","",IF(H1681&lt;=128,"address",IF(H1681&lt;=600,"data1",IF(H1681&lt;=1264,"zero-run1",IF(H1681&lt;=1648,"data2",IF(H1681&lt;=2176,"zero-run2",IF(H1681&lt;=2192,"FCS","trailing")))))))</f>
        <v/>
      </c>
      <c r="J1681">
        <f>IFERROR(IF(AND(H1681&lt;&gt;"",H1681&gt;=129,H1681&lt;=2176),INDEX(Fields!$B$2:$B$206,MATCH(H1681-129,Fields!$D$2:$D$206,1)),""),"")</f>
        <v/>
      </c>
      <c r="K1681">
        <f>IFERROR(IF(AND(H1681&lt;&gt;"",H1681&gt;=129,H1681&lt;=2176),INDEX(Fields!$C$2:$C$206,MATCH(H1681-129,Fields!$D$2:$D$206,1)),""),"")</f>
        <v/>
      </c>
      <c r="L1681">
        <f>IFERROR(IF(AND(H1681&lt;&gt;"",H1681&gt;=129,H1681&lt;=2176),INDEX(Fields!$J$2:$J$206,MATCH(H1681-129,Fields!$D$2:$D$206,1)),""),"")</f>
        <v/>
      </c>
      <c r="M1681">
        <f>IFERROR(IF(AND(H1681&lt;&gt;"",H1681&gt;=129,H1681&lt;=2176),INDEX(Fields!$K$2:$K$206,MATCH(H1681-129,Fields!$D$2:$D$206,1)),""),"")</f>
        <v/>
      </c>
    </row>
    <row r="1682">
      <c r="A1682" t="n">
        <v>1680</v>
      </c>
      <c r="B1682" t="n">
        <v>0</v>
      </c>
      <c r="C1682" t="inlineStr">
        <is>
          <t>No</t>
        </is>
      </c>
      <c r="D1682">
        <f>IF(AND(B1677=1,B1678=1,B1679=1,B1680=1,B1681=1),"Yes","")</f>
        <v/>
      </c>
      <c r="E1682" t="inlineStr">
        <is>
          <t>No</t>
        </is>
      </c>
      <c r="F1682" t="inlineStr">
        <is>
          <t>No</t>
        </is>
      </c>
      <c r="G1682">
        <f>IF(F1682="Yes",1-B1682,B1682)</f>
        <v/>
      </c>
      <c r="H1682">
        <f>IF(E1682="Yes","",COUNTIFS($E$2:E1682,"No"))</f>
        <v/>
      </c>
      <c r="I1682">
        <f>IF(H1682="","",IF(H1682&lt;=128,"address",IF(H1682&lt;=600,"data1",IF(H1682&lt;=1264,"zero-run1",IF(H1682&lt;=1648,"data2",IF(H1682&lt;=2176,"zero-run2",IF(H1682&lt;=2192,"FCS","trailing")))))))</f>
        <v/>
      </c>
      <c r="J1682">
        <f>IFERROR(IF(AND(H1682&lt;&gt;"",H1682&gt;=129,H1682&lt;=2176),INDEX(Fields!$B$2:$B$206,MATCH(H1682-129,Fields!$D$2:$D$206,1)),""),"")</f>
        <v/>
      </c>
      <c r="K1682">
        <f>IFERROR(IF(AND(H1682&lt;&gt;"",H1682&gt;=129,H1682&lt;=2176),INDEX(Fields!$C$2:$C$206,MATCH(H1682-129,Fields!$D$2:$D$206,1)),""),"")</f>
        <v/>
      </c>
      <c r="L1682">
        <f>IFERROR(IF(AND(H1682&lt;&gt;"",H1682&gt;=129,H1682&lt;=2176),INDEX(Fields!$J$2:$J$206,MATCH(H1682-129,Fields!$D$2:$D$206,1)),""),"")</f>
        <v/>
      </c>
      <c r="M1682">
        <f>IFERROR(IF(AND(H1682&lt;&gt;"",H1682&gt;=129,H1682&lt;=2176),INDEX(Fields!$K$2:$K$206,MATCH(H1682-129,Fields!$D$2:$D$206,1)),""),"")</f>
        <v/>
      </c>
    </row>
    <row r="1683">
      <c r="A1683" t="n">
        <v>1681</v>
      </c>
      <c r="B1683" t="n">
        <v>0</v>
      </c>
      <c r="C1683" t="inlineStr">
        <is>
          <t>No</t>
        </is>
      </c>
      <c r="D1683">
        <f>IF(AND(B1678=1,B1679=1,B1680=1,B1681=1,B1682=1),"Yes","")</f>
        <v/>
      </c>
      <c r="E1683" t="inlineStr">
        <is>
          <t>No</t>
        </is>
      </c>
      <c r="F1683" t="inlineStr">
        <is>
          <t>No</t>
        </is>
      </c>
      <c r="G1683">
        <f>IF(F1683="Yes",1-B1683,B1683)</f>
        <v/>
      </c>
      <c r="H1683">
        <f>IF(E1683="Yes","",COUNTIFS($E$2:E1683,"No"))</f>
        <v/>
      </c>
      <c r="I1683">
        <f>IF(H1683="","",IF(H1683&lt;=128,"address",IF(H1683&lt;=600,"data1",IF(H1683&lt;=1264,"zero-run1",IF(H1683&lt;=1648,"data2",IF(H1683&lt;=2176,"zero-run2",IF(H1683&lt;=2192,"FCS","trailing")))))))</f>
        <v/>
      </c>
      <c r="J1683">
        <f>IFERROR(IF(AND(H1683&lt;&gt;"",H1683&gt;=129,H1683&lt;=2176),INDEX(Fields!$B$2:$B$206,MATCH(H1683-129,Fields!$D$2:$D$206,1)),""),"")</f>
        <v/>
      </c>
      <c r="K1683">
        <f>IFERROR(IF(AND(H1683&lt;&gt;"",H1683&gt;=129,H1683&lt;=2176),INDEX(Fields!$C$2:$C$206,MATCH(H1683-129,Fields!$D$2:$D$206,1)),""),"")</f>
        <v/>
      </c>
      <c r="L1683">
        <f>IFERROR(IF(AND(H1683&lt;&gt;"",H1683&gt;=129,H1683&lt;=2176),INDEX(Fields!$J$2:$J$206,MATCH(H1683-129,Fields!$D$2:$D$206,1)),""),"")</f>
        <v/>
      </c>
      <c r="M1683">
        <f>IFERROR(IF(AND(H1683&lt;&gt;"",H1683&gt;=129,H1683&lt;=2176),INDEX(Fields!$K$2:$K$206,MATCH(H1683-129,Fields!$D$2:$D$206,1)),""),"")</f>
        <v/>
      </c>
    </row>
    <row r="1684">
      <c r="A1684" t="n">
        <v>1682</v>
      </c>
      <c r="B1684" t="n">
        <v>0</v>
      </c>
      <c r="C1684" t="inlineStr">
        <is>
          <t>No</t>
        </is>
      </c>
      <c r="D1684">
        <f>IF(AND(B1679=1,B1680=1,B1681=1,B1682=1,B1683=1),"Yes","")</f>
        <v/>
      </c>
      <c r="E1684" t="inlineStr">
        <is>
          <t>No</t>
        </is>
      </c>
      <c r="F1684" t="inlineStr">
        <is>
          <t>No</t>
        </is>
      </c>
      <c r="G1684">
        <f>IF(F1684="Yes",1-B1684,B1684)</f>
        <v/>
      </c>
      <c r="H1684">
        <f>IF(E1684="Yes","",COUNTIFS($E$2:E1684,"No"))</f>
        <v/>
      </c>
      <c r="I1684">
        <f>IF(H1684="","",IF(H1684&lt;=128,"address",IF(H1684&lt;=600,"data1",IF(H1684&lt;=1264,"zero-run1",IF(H1684&lt;=1648,"data2",IF(H1684&lt;=2176,"zero-run2",IF(H1684&lt;=2192,"FCS","trailing")))))))</f>
        <v/>
      </c>
      <c r="J1684">
        <f>IFERROR(IF(AND(H1684&lt;&gt;"",H1684&gt;=129,H1684&lt;=2176),INDEX(Fields!$B$2:$B$206,MATCH(H1684-129,Fields!$D$2:$D$206,1)),""),"")</f>
        <v/>
      </c>
      <c r="K1684">
        <f>IFERROR(IF(AND(H1684&lt;&gt;"",H1684&gt;=129,H1684&lt;=2176),INDEX(Fields!$C$2:$C$206,MATCH(H1684-129,Fields!$D$2:$D$206,1)),""),"")</f>
        <v/>
      </c>
      <c r="L1684">
        <f>IFERROR(IF(AND(H1684&lt;&gt;"",H1684&gt;=129,H1684&lt;=2176),INDEX(Fields!$J$2:$J$206,MATCH(H1684-129,Fields!$D$2:$D$206,1)),""),"")</f>
        <v/>
      </c>
      <c r="M1684">
        <f>IFERROR(IF(AND(H1684&lt;&gt;"",H1684&gt;=129,H1684&lt;=2176),INDEX(Fields!$K$2:$K$206,MATCH(H1684-129,Fields!$D$2:$D$206,1)),""),"")</f>
        <v/>
      </c>
    </row>
    <row r="1685">
      <c r="A1685" t="n">
        <v>1683</v>
      </c>
      <c r="B1685" t="n">
        <v>0</v>
      </c>
      <c r="C1685" t="inlineStr">
        <is>
          <t>No</t>
        </is>
      </c>
      <c r="D1685">
        <f>IF(AND(B1680=1,B1681=1,B1682=1,B1683=1,B1684=1),"Yes","")</f>
        <v/>
      </c>
      <c r="E1685" t="inlineStr">
        <is>
          <t>No</t>
        </is>
      </c>
      <c r="F1685" t="inlineStr">
        <is>
          <t>No</t>
        </is>
      </c>
      <c r="G1685">
        <f>IF(F1685="Yes",1-B1685,B1685)</f>
        <v/>
      </c>
      <c r="H1685">
        <f>IF(E1685="Yes","",COUNTIFS($E$2:E1685,"No"))</f>
        <v/>
      </c>
      <c r="I1685">
        <f>IF(H1685="","",IF(H1685&lt;=128,"address",IF(H1685&lt;=600,"data1",IF(H1685&lt;=1264,"zero-run1",IF(H1685&lt;=1648,"data2",IF(H1685&lt;=2176,"zero-run2",IF(H1685&lt;=2192,"FCS","trailing")))))))</f>
        <v/>
      </c>
      <c r="J1685">
        <f>IFERROR(IF(AND(H1685&lt;&gt;"",H1685&gt;=129,H1685&lt;=2176),INDEX(Fields!$B$2:$B$206,MATCH(H1685-129,Fields!$D$2:$D$206,1)),""),"")</f>
        <v/>
      </c>
      <c r="K1685">
        <f>IFERROR(IF(AND(H1685&lt;&gt;"",H1685&gt;=129,H1685&lt;=2176),INDEX(Fields!$C$2:$C$206,MATCH(H1685-129,Fields!$D$2:$D$206,1)),""),"")</f>
        <v/>
      </c>
      <c r="L1685">
        <f>IFERROR(IF(AND(H1685&lt;&gt;"",H1685&gt;=129,H1685&lt;=2176),INDEX(Fields!$J$2:$J$206,MATCH(H1685-129,Fields!$D$2:$D$206,1)),""),"")</f>
        <v/>
      </c>
      <c r="M1685">
        <f>IFERROR(IF(AND(H1685&lt;&gt;"",H1685&gt;=129,H1685&lt;=2176),INDEX(Fields!$K$2:$K$206,MATCH(H1685-129,Fields!$D$2:$D$206,1)),""),"")</f>
        <v/>
      </c>
    </row>
    <row r="1686">
      <c r="A1686" t="n">
        <v>1684</v>
      </c>
      <c r="B1686" t="n">
        <v>0</v>
      </c>
      <c r="C1686" t="inlineStr">
        <is>
          <t>No</t>
        </is>
      </c>
      <c r="D1686">
        <f>IF(AND(B1681=1,B1682=1,B1683=1,B1684=1,B1685=1),"Yes","")</f>
        <v/>
      </c>
      <c r="E1686" t="inlineStr">
        <is>
          <t>No</t>
        </is>
      </c>
      <c r="F1686" t="inlineStr">
        <is>
          <t>No</t>
        </is>
      </c>
      <c r="G1686">
        <f>IF(F1686="Yes",1-B1686,B1686)</f>
        <v/>
      </c>
      <c r="H1686">
        <f>IF(E1686="Yes","",COUNTIFS($E$2:E1686,"No"))</f>
        <v/>
      </c>
      <c r="I1686">
        <f>IF(H1686="","",IF(H1686&lt;=128,"address",IF(H1686&lt;=600,"data1",IF(H1686&lt;=1264,"zero-run1",IF(H1686&lt;=1648,"data2",IF(H1686&lt;=2176,"zero-run2",IF(H1686&lt;=2192,"FCS","trailing")))))))</f>
        <v/>
      </c>
      <c r="J1686">
        <f>IFERROR(IF(AND(H1686&lt;&gt;"",H1686&gt;=129,H1686&lt;=2176),INDEX(Fields!$B$2:$B$206,MATCH(H1686-129,Fields!$D$2:$D$206,1)),""),"")</f>
        <v/>
      </c>
      <c r="K1686">
        <f>IFERROR(IF(AND(H1686&lt;&gt;"",H1686&gt;=129,H1686&lt;=2176),INDEX(Fields!$C$2:$C$206,MATCH(H1686-129,Fields!$D$2:$D$206,1)),""),"")</f>
        <v/>
      </c>
      <c r="L1686">
        <f>IFERROR(IF(AND(H1686&lt;&gt;"",H1686&gt;=129,H1686&lt;=2176),INDEX(Fields!$J$2:$J$206,MATCH(H1686-129,Fields!$D$2:$D$206,1)),""),"")</f>
        <v/>
      </c>
      <c r="M1686">
        <f>IFERROR(IF(AND(H1686&lt;&gt;"",H1686&gt;=129,H1686&lt;=2176),INDEX(Fields!$K$2:$K$206,MATCH(H1686-129,Fields!$D$2:$D$206,1)),""),"")</f>
        <v/>
      </c>
    </row>
    <row r="1687">
      <c r="A1687" t="n">
        <v>1685</v>
      </c>
      <c r="B1687" t="n">
        <v>0</v>
      </c>
      <c r="C1687" t="inlineStr">
        <is>
          <t>No</t>
        </is>
      </c>
      <c r="D1687">
        <f>IF(AND(B1682=1,B1683=1,B1684=1,B1685=1,B1686=1),"Yes","")</f>
        <v/>
      </c>
      <c r="E1687" t="inlineStr">
        <is>
          <t>No</t>
        </is>
      </c>
      <c r="F1687" t="inlineStr">
        <is>
          <t>No</t>
        </is>
      </c>
      <c r="G1687">
        <f>IF(F1687="Yes",1-B1687,B1687)</f>
        <v/>
      </c>
      <c r="H1687">
        <f>IF(E1687="Yes","",COUNTIFS($E$2:E1687,"No"))</f>
        <v/>
      </c>
      <c r="I1687">
        <f>IF(H1687="","",IF(H1687&lt;=128,"address",IF(H1687&lt;=600,"data1",IF(H1687&lt;=1264,"zero-run1",IF(H1687&lt;=1648,"data2",IF(H1687&lt;=2176,"zero-run2",IF(H1687&lt;=2192,"FCS","trailing")))))))</f>
        <v/>
      </c>
      <c r="J1687">
        <f>IFERROR(IF(AND(H1687&lt;&gt;"",H1687&gt;=129,H1687&lt;=2176),INDEX(Fields!$B$2:$B$206,MATCH(H1687-129,Fields!$D$2:$D$206,1)),""),"")</f>
        <v/>
      </c>
      <c r="K1687">
        <f>IFERROR(IF(AND(H1687&lt;&gt;"",H1687&gt;=129,H1687&lt;=2176),INDEX(Fields!$C$2:$C$206,MATCH(H1687-129,Fields!$D$2:$D$206,1)),""),"")</f>
        <v/>
      </c>
      <c r="L1687">
        <f>IFERROR(IF(AND(H1687&lt;&gt;"",H1687&gt;=129,H1687&lt;=2176),INDEX(Fields!$J$2:$J$206,MATCH(H1687-129,Fields!$D$2:$D$206,1)),""),"")</f>
        <v/>
      </c>
      <c r="M1687">
        <f>IFERROR(IF(AND(H1687&lt;&gt;"",H1687&gt;=129,H1687&lt;=2176),INDEX(Fields!$K$2:$K$206,MATCH(H1687-129,Fields!$D$2:$D$206,1)),""),"")</f>
        <v/>
      </c>
    </row>
    <row r="1688">
      <c r="A1688" t="n">
        <v>1686</v>
      </c>
      <c r="B1688" t="n">
        <v>0</v>
      </c>
      <c r="C1688" t="inlineStr">
        <is>
          <t>No</t>
        </is>
      </c>
      <c r="D1688">
        <f>IF(AND(B1683=1,B1684=1,B1685=1,B1686=1,B1687=1),"Yes","")</f>
        <v/>
      </c>
      <c r="E1688" t="inlineStr">
        <is>
          <t>No</t>
        </is>
      </c>
      <c r="F1688" t="inlineStr">
        <is>
          <t>No</t>
        </is>
      </c>
      <c r="G1688">
        <f>IF(F1688="Yes",1-B1688,B1688)</f>
        <v/>
      </c>
      <c r="H1688">
        <f>IF(E1688="Yes","",COUNTIFS($E$2:E1688,"No"))</f>
        <v/>
      </c>
      <c r="I1688">
        <f>IF(H1688="","",IF(H1688&lt;=128,"address",IF(H1688&lt;=600,"data1",IF(H1688&lt;=1264,"zero-run1",IF(H1688&lt;=1648,"data2",IF(H1688&lt;=2176,"zero-run2",IF(H1688&lt;=2192,"FCS","trailing")))))))</f>
        <v/>
      </c>
      <c r="J1688">
        <f>IFERROR(IF(AND(H1688&lt;&gt;"",H1688&gt;=129,H1688&lt;=2176),INDEX(Fields!$B$2:$B$206,MATCH(H1688-129,Fields!$D$2:$D$206,1)),""),"")</f>
        <v/>
      </c>
      <c r="K1688">
        <f>IFERROR(IF(AND(H1688&lt;&gt;"",H1688&gt;=129,H1688&lt;=2176),INDEX(Fields!$C$2:$C$206,MATCH(H1688-129,Fields!$D$2:$D$206,1)),""),"")</f>
        <v/>
      </c>
      <c r="L1688">
        <f>IFERROR(IF(AND(H1688&lt;&gt;"",H1688&gt;=129,H1688&lt;=2176),INDEX(Fields!$J$2:$J$206,MATCH(H1688-129,Fields!$D$2:$D$206,1)),""),"")</f>
        <v/>
      </c>
      <c r="M1688">
        <f>IFERROR(IF(AND(H1688&lt;&gt;"",H1688&gt;=129,H1688&lt;=2176),INDEX(Fields!$K$2:$K$206,MATCH(H1688-129,Fields!$D$2:$D$206,1)),""),"")</f>
        <v/>
      </c>
    </row>
    <row r="1689">
      <c r="A1689" t="n">
        <v>1687</v>
      </c>
      <c r="B1689" t="n">
        <v>0</v>
      </c>
      <c r="C1689" t="inlineStr">
        <is>
          <t>No</t>
        </is>
      </c>
      <c r="D1689">
        <f>IF(AND(B1684=1,B1685=1,B1686=1,B1687=1,B1688=1),"Yes","")</f>
        <v/>
      </c>
      <c r="E1689" t="inlineStr">
        <is>
          <t>No</t>
        </is>
      </c>
      <c r="F1689" t="inlineStr">
        <is>
          <t>No</t>
        </is>
      </c>
      <c r="G1689">
        <f>IF(F1689="Yes",1-B1689,B1689)</f>
        <v/>
      </c>
      <c r="H1689">
        <f>IF(E1689="Yes","",COUNTIFS($E$2:E1689,"No"))</f>
        <v/>
      </c>
      <c r="I1689">
        <f>IF(H1689="","",IF(H1689&lt;=128,"address",IF(H1689&lt;=600,"data1",IF(H1689&lt;=1264,"zero-run1",IF(H1689&lt;=1648,"data2",IF(H1689&lt;=2176,"zero-run2",IF(H1689&lt;=2192,"FCS","trailing")))))))</f>
        <v/>
      </c>
      <c r="J1689">
        <f>IFERROR(IF(AND(H1689&lt;&gt;"",H1689&gt;=129,H1689&lt;=2176),INDEX(Fields!$B$2:$B$206,MATCH(H1689-129,Fields!$D$2:$D$206,1)),""),"")</f>
        <v/>
      </c>
      <c r="K1689">
        <f>IFERROR(IF(AND(H1689&lt;&gt;"",H1689&gt;=129,H1689&lt;=2176),INDEX(Fields!$C$2:$C$206,MATCH(H1689-129,Fields!$D$2:$D$206,1)),""),"")</f>
        <v/>
      </c>
      <c r="L1689">
        <f>IFERROR(IF(AND(H1689&lt;&gt;"",H1689&gt;=129,H1689&lt;=2176),INDEX(Fields!$J$2:$J$206,MATCH(H1689-129,Fields!$D$2:$D$206,1)),""),"")</f>
        <v/>
      </c>
      <c r="M1689">
        <f>IFERROR(IF(AND(H1689&lt;&gt;"",H1689&gt;=129,H1689&lt;=2176),INDEX(Fields!$K$2:$K$206,MATCH(H1689-129,Fields!$D$2:$D$206,1)),""),"")</f>
        <v/>
      </c>
    </row>
    <row r="1690">
      <c r="A1690" t="n">
        <v>1688</v>
      </c>
      <c r="B1690" t="n">
        <v>0</v>
      </c>
      <c r="C1690" t="inlineStr">
        <is>
          <t>No</t>
        </is>
      </c>
      <c r="D1690">
        <f>IF(AND(B1685=1,B1686=1,B1687=1,B1688=1,B1689=1),"Yes","")</f>
        <v/>
      </c>
      <c r="E1690" t="inlineStr">
        <is>
          <t>No</t>
        </is>
      </c>
      <c r="F1690" t="inlineStr">
        <is>
          <t>No</t>
        </is>
      </c>
      <c r="G1690">
        <f>IF(F1690="Yes",1-B1690,B1690)</f>
        <v/>
      </c>
      <c r="H1690">
        <f>IF(E1690="Yes","",COUNTIFS($E$2:E1690,"No"))</f>
        <v/>
      </c>
      <c r="I1690">
        <f>IF(H1690="","",IF(H1690&lt;=128,"address",IF(H1690&lt;=600,"data1",IF(H1690&lt;=1264,"zero-run1",IF(H1690&lt;=1648,"data2",IF(H1690&lt;=2176,"zero-run2",IF(H1690&lt;=2192,"FCS","trailing")))))))</f>
        <v/>
      </c>
      <c r="J1690">
        <f>IFERROR(IF(AND(H1690&lt;&gt;"",H1690&gt;=129,H1690&lt;=2176),INDEX(Fields!$B$2:$B$206,MATCH(H1690-129,Fields!$D$2:$D$206,1)),""),"")</f>
        <v/>
      </c>
      <c r="K1690">
        <f>IFERROR(IF(AND(H1690&lt;&gt;"",H1690&gt;=129,H1690&lt;=2176),INDEX(Fields!$C$2:$C$206,MATCH(H1690-129,Fields!$D$2:$D$206,1)),""),"")</f>
        <v/>
      </c>
      <c r="L1690">
        <f>IFERROR(IF(AND(H1690&lt;&gt;"",H1690&gt;=129,H1690&lt;=2176),INDEX(Fields!$J$2:$J$206,MATCH(H1690-129,Fields!$D$2:$D$206,1)),""),"")</f>
        <v/>
      </c>
      <c r="M1690">
        <f>IFERROR(IF(AND(H1690&lt;&gt;"",H1690&gt;=129,H1690&lt;=2176),INDEX(Fields!$K$2:$K$206,MATCH(H1690-129,Fields!$D$2:$D$206,1)),""),"")</f>
        <v/>
      </c>
    </row>
    <row r="1691">
      <c r="A1691" t="n">
        <v>1689</v>
      </c>
      <c r="B1691" t="n">
        <v>0</v>
      </c>
      <c r="C1691" t="inlineStr">
        <is>
          <t>No</t>
        </is>
      </c>
      <c r="D1691">
        <f>IF(AND(B1686=1,B1687=1,B1688=1,B1689=1,B1690=1),"Yes","")</f>
        <v/>
      </c>
      <c r="E1691" t="inlineStr">
        <is>
          <t>No</t>
        </is>
      </c>
      <c r="F1691" t="inlineStr">
        <is>
          <t>No</t>
        </is>
      </c>
      <c r="G1691">
        <f>IF(F1691="Yes",1-B1691,B1691)</f>
        <v/>
      </c>
      <c r="H1691">
        <f>IF(E1691="Yes","",COUNTIFS($E$2:E1691,"No"))</f>
        <v/>
      </c>
      <c r="I1691">
        <f>IF(H1691="","",IF(H1691&lt;=128,"address",IF(H1691&lt;=600,"data1",IF(H1691&lt;=1264,"zero-run1",IF(H1691&lt;=1648,"data2",IF(H1691&lt;=2176,"zero-run2",IF(H1691&lt;=2192,"FCS","trailing")))))))</f>
        <v/>
      </c>
      <c r="J1691">
        <f>IFERROR(IF(AND(H1691&lt;&gt;"",H1691&gt;=129,H1691&lt;=2176),INDEX(Fields!$B$2:$B$206,MATCH(H1691-129,Fields!$D$2:$D$206,1)),""),"")</f>
        <v/>
      </c>
      <c r="K1691">
        <f>IFERROR(IF(AND(H1691&lt;&gt;"",H1691&gt;=129,H1691&lt;=2176),INDEX(Fields!$C$2:$C$206,MATCH(H1691-129,Fields!$D$2:$D$206,1)),""),"")</f>
        <v/>
      </c>
      <c r="L1691">
        <f>IFERROR(IF(AND(H1691&lt;&gt;"",H1691&gt;=129,H1691&lt;=2176),INDEX(Fields!$J$2:$J$206,MATCH(H1691-129,Fields!$D$2:$D$206,1)),""),"")</f>
        <v/>
      </c>
      <c r="M1691">
        <f>IFERROR(IF(AND(H1691&lt;&gt;"",H1691&gt;=129,H1691&lt;=2176),INDEX(Fields!$K$2:$K$206,MATCH(H1691-129,Fields!$D$2:$D$206,1)),""),"")</f>
        <v/>
      </c>
    </row>
    <row r="1692">
      <c r="A1692" t="n">
        <v>1690</v>
      </c>
      <c r="B1692" t="n">
        <v>0</v>
      </c>
      <c r="C1692" t="inlineStr">
        <is>
          <t>No</t>
        </is>
      </c>
      <c r="D1692">
        <f>IF(AND(B1687=1,B1688=1,B1689=1,B1690=1,B1691=1),"Yes","")</f>
        <v/>
      </c>
      <c r="E1692" t="inlineStr">
        <is>
          <t>No</t>
        </is>
      </c>
      <c r="F1692" t="inlineStr">
        <is>
          <t>No</t>
        </is>
      </c>
      <c r="G1692">
        <f>IF(F1692="Yes",1-B1692,B1692)</f>
        <v/>
      </c>
      <c r="H1692">
        <f>IF(E1692="Yes","",COUNTIFS($E$2:E1692,"No"))</f>
        <v/>
      </c>
      <c r="I1692">
        <f>IF(H1692="","",IF(H1692&lt;=128,"address",IF(H1692&lt;=600,"data1",IF(H1692&lt;=1264,"zero-run1",IF(H1692&lt;=1648,"data2",IF(H1692&lt;=2176,"zero-run2",IF(H1692&lt;=2192,"FCS","trailing")))))))</f>
        <v/>
      </c>
      <c r="J1692">
        <f>IFERROR(IF(AND(H1692&lt;&gt;"",H1692&gt;=129,H1692&lt;=2176),INDEX(Fields!$B$2:$B$206,MATCH(H1692-129,Fields!$D$2:$D$206,1)),""),"")</f>
        <v/>
      </c>
      <c r="K1692">
        <f>IFERROR(IF(AND(H1692&lt;&gt;"",H1692&gt;=129,H1692&lt;=2176),INDEX(Fields!$C$2:$C$206,MATCH(H1692-129,Fields!$D$2:$D$206,1)),""),"")</f>
        <v/>
      </c>
      <c r="L1692">
        <f>IFERROR(IF(AND(H1692&lt;&gt;"",H1692&gt;=129,H1692&lt;=2176),INDEX(Fields!$J$2:$J$206,MATCH(H1692-129,Fields!$D$2:$D$206,1)),""),"")</f>
        <v/>
      </c>
      <c r="M1692">
        <f>IFERROR(IF(AND(H1692&lt;&gt;"",H1692&gt;=129,H1692&lt;=2176),INDEX(Fields!$K$2:$K$206,MATCH(H1692-129,Fields!$D$2:$D$206,1)),""),"")</f>
        <v/>
      </c>
    </row>
    <row r="1693">
      <c r="A1693" t="n">
        <v>1691</v>
      </c>
      <c r="B1693" t="n">
        <v>0</v>
      </c>
      <c r="C1693" t="inlineStr">
        <is>
          <t>No</t>
        </is>
      </c>
      <c r="D1693">
        <f>IF(AND(B1688=1,B1689=1,B1690=1,B1691=1,B1692=1),"Yes","")</f>
        <v/>
      </c>
      <c r="E1693" t="inlineStr">
        <is>
          <t>No</t>
        </is>
      </c>
      <c r="F1693" t="inlineStr">
        <is>
          <t>No</t>
        </is>
      </c>
      <c r="G1693">
        <f>IF(F1693="Yes",1-B1693,B1693)</f>
        <v/>
      </c>
      <c r="H1693">
        <f>IF(E1693="Yes","",COUNTIFS($E$2:E1693,"No"))</f>
        <v/>
      </c>
      <c r="I1693">
        <f>IF(H1693="","",IF(H1693&lt;=128,"address",IF(H1693&lt;=600,"data1",IF(H1693&lt;=1264,"zero-run1",IF(H1693&lt;=1648,"data2",IF(H1693&lt;=2176,"zero-run2",IF(H1693&lt;=2192,"FCS","trailing")))))))</f>
        <v/>
      </c>
      <c r="J1693">
        <f>IFERROR(IF(AND(H1693&lt;&gt;"",H1693&gt;=129,H1693&lt;=2176),INDEX(Fields!$B$2:$B$206,MATCH(H1693-129,Fields!$D$2:$D$206,1)),""),"")</f>
        <v/>
      </c>
      <c r="K1693">
        <f>IFERROR(IF(AND(H1693&lt;&gt;"",H1693&gt;=129,H1693&lt;=2176),INDEX(Fields!$C$2:$C$206,MATCH(H1693-129,Fields!$D$2:$D$206,1)),""),"")</f>
        <v/>
      </c>
      <c r="L1693">
        <f>IFERROR(IF(AND(H1693&lt;&gt;"",H1693&gt;=129,H1693&lt;=2176),INDEX(Fields!$J$2:$J$206,MATCH(H1693-129,Fields!$D$2:$D$206,1)),""),"")</f>
        <v/>
      </c>
      <c r="M1693">
        <f>IFERROR(IF(AND(H1693&lt;&gt;"",H1693&gt;=129,H1693&lt;=2176),INDEX(Fields!$K$2:$K$206,MATCH(H1693-129,Fields!$D$2:$D$206,1)),""),"")</f>
        <v/>
      </c>
    </row>
    <row r="1694">
      <c r="A1694" t="n">
        <v>1692</v>
      </c>
      <c r="B1694" t="n">
        <v>0</v>
      </c>
      <c r="C1694" t="inlineStr">
        <is>
          <t>No</t>
        </is>
      </c>
      <c r="D1694">
        <f>IF(AND(B1689=1,B1690=1,B1691=1,B1692=1,B1693=1),"Yes","")</f>
        <v/>
      </c>
      <c r="E1694" t="inlineStr">
        <is>
          <t>No</t>
        </is>
      </c>
      <c r="F1694" t="inlineStr">
        <is>
          <t>No</t>
        </is>
      </c>
      <c r="G1694">
        <f>IF(F1694="Yes",1-B1694,B1694)</f>
        <v/>
      </c>
      <c r="H1694">
        <f>IF(E1694="Yes","",COUNTIFS($E$2:E1694,"No"))</f>
        <v/>
      </c>
      <c r="I1694">
        <f>IF(H1694="","",IF(H1694&lt;=128,"address",IF(H1694&lt;=600,"data1",IF(H1694&lt;=1264,"zero-run1",IF(H1694&lt;=1648,"data2",IF(H1694&lt;=2176,"zero-run2",IF(H1694&lt;=2192,"FCS","trailing")))))))</f>
        <v/>
      </c>
      <c r="J1694">
        <f>IFERROR(IF(AND(H1694&lt;&gt;"",H1694&gt;=129,H1694&lt;=2176),INDEX(Fields!$B$2:$B$206,MATCH(H1694-129,Fields!$D$2:$D$206,1)),""),"")</f>
        <v/>
      </c>
      <c r="K1694">
        <f>IFERROR(IF(AND(H1694&lt;&gt;"",H1694&gt;=129,H1694&lt;=2176),INDEX(Fields!$C$2:$C$206,MATCH(H1694-129,Fields!$D$2:$D$206,1)),""),"")</f>
        <v/>
      </c>
      <c r="L1694">
        <f>IFERROR(IF(AND(H1694&lt;&gt;"",H1694&gt;=129,H1694&lt;=2176),INDEX(Fields!$J$2:$J$206,MATCH(H1694-129,Fields!$D$2:$D$206,1)),""),"")</f>
        <v/>
      </c>
      <c r="M1694">
        <f>IFERROR(IF(AND(H1694&lt;&gt;"",H1694&gt;=129,H1694&lt;=2176),INDEX(Fields!$K$2:$K$206,MATCH(H1694-129,Fields!$D$2:$D$206,1)),""),"")</f>
        <v/>
      </c>
    </row>
    <row r="1695">
      <c r="A1695" t="n">
        <v>1693</v>
      </c>
      <c r="B1695" t="n">
        <v>0</v>
      </c>
      <c r="C1695" t="inlineStr">
        <is>
          <t>No</t>
        </is>
      </c>
      <c r="D1695">
        <f>IF(AND(B1690=1,B1691=1,B1692=1,B1693=1,B1694=1),"Yes","")</f>
        <v/>
      </c>
      <c r="E1695" t="inlineStr">
        <is>
          <t>No</t>
        </is>
      </c>
      <c r="F1695" t="inlineStr">
        <is>
          <t>No</t>
        </is>
      </c>
      <c r="G1695">
        <f>IF(F1695="Yes",1-B1695,B1695)</f>
        <v/>
      </c>
      <c r="H1695">
        <f>IF(E1695="Yes","",COUNTIFS($E$2:E1695,"No"))</f>
        <v/>
      </c>
      <c r="I1695">
        <f>IF(H1695="","",IF(H1695&lt;=128,"address",IF(H1695&lt;=600,"data1",IF(H1695&lt;=1264,"zero-run1",IF(H1695&lt;=1648,"data2",IF(H1695&lt;=2176,"zero-run2",IF(H1695&lt;=2192,"FCS","trailing")))))))</f>
        <v/>
      </c>
      <c r="J1695">
        <f>IFERROR(IF(AND(H1695&lt;&gt;"",H1695&gt;=129,H1695&lt;=2176),INDEX(Fields!$B$2:$B$206,MATCH(H1695-129,Fields!$D$2:$D$206,1)),""),"")</f>
        <v/>
      </c>
      <c r="K1695">
        <f>IFERROR(IF(AND(H1695&lt;&gt;"",H1695&gt;=129,H1695&lt;=2176),INDEX(Fields!$C$2:$C$206,MATCH(H1695-129,Fields!$D$2:$D$206,1)),""),"")</f>
        <v/>
      </c>
      <c r="L1695">
        <f>IFERROR(IF(AND(H1695&lt;&gt;"",H1695&gt;=129,H1695&lt;=2176),INDEX(Fields!$J$2:$J$206,MATCH(H1695-129,Fields!$D$2:$D$206,1)),""),"")</f>
        <v/>
      </c>
      <c r="M1695">
        <f>IFERROR(IF(AND(H1695&lt;&gt;"",H1695&gt;=129,H1695&lt;=2176),INDEX(Fields!$K$2:$K$206,MATCH(H1695-129,Fields!$D$2:$D$206,1)),""),"")</f>
        <v/>
      </c>
    </row>
    <row r="1696">
      <c r="A1696" t="n">
        <v>1694</v>
      </c>
      <c r="B1696" t="n">
        <v>0</v>
      </c>
      <c r="C1696" t="inlineStr">
        <is>
          <t>No</t>
        </is>
      </c>
      <c r="D1696">
        <f>IF(AND(B1691=1,B1692=1,B1693=1,B1694=1,B1695=1),"Yes","")</f>
        <v/>
      </c>
      <c r="E1696" t="inlineStr">
        <is>
          <t>No</t>
        </is>
      </c>
      <c r="F1696" t="inlineStr">
        <is>
          <t>No</t>
        </is>
      </c>
      <c r="G1696">
        <f>IF(F1696="Yes",1-B1696,B1696)</f>
        <v/>
      </c>
      <c r="H1696">
        <f>IF(E1696="Yes","",COUNTIFS($E$2:E1696,"No"))</f>
        <v/>
      </c>
      <c r="I1696">
        <f>IF(H1696="","",IF(H1696&lt;=128,"address",IF(H1696&lt;=600,"data1",IF(H1696&lt;=1264,"zero-run1",IF(H1696&lt;=1648,"data2",IF(H1696&lt;=2176,"zero-run2",IF(H1696&lt;=2192,"FCS","trailing")))))))</f>
        <v/>
      </c>
      <c r="J1696">
        <f>IFERROR(IF(AND(H1696&lt;&gt;"",H1696&gt;=129,H1696&lt;=2176),INDEX(Fields!$B$2:$B$206,MATCH(H1696-129,Fields!$D$2:$D$206,1)),""),"")</f>
        <v/>
      </c>
      <c r="K1696">
        <f>IFERROR(IF(AND(H1696&lt;&gt;"",H1696&gt;=129,H1696&lt;=2176),INDEX(Fields!$C$2:$C$206,MATCH(H1696-129,Fields!$D$2:$D$206,1)),""),"")</f>
        <v/>
      </c>
      <c r="L1696">
        <f>IFERROR(IF(AND(H1696&lt;&gt;"",H1696&gt;=129,H1696&lt;=2176),INDEX(Fields!$J$2:$J$206,MATCH(H1696-129,Fields!$D$2:$D$206,1)),""),"")</f>
        <v/>
      </c>
      <c r="M1696">
        <f>IFERROR(IF(AND(H1696&lt;&gt;"",H1696&gt;=129,H1696&lt;=2176),INDEX(Fields!$K$2:$K$206,MATCH(H1696-129,Fields!$D$2:$D$206,1)),""),"")</f>
        <v/>
      </c>
    </row>
    <row r="1697">
      <c r="A1697" t="n">
        <v>1695</v>
      </c>
      <c r="B1697" t="n">
        <v>0</v>
      </c>
      <c r="C1697" t="inlineStr">
        <is>
          <t>No</t>
        </is>
      </c>
      <c r="D1697">
        <f>IF(AND(B1692=1,B1693=1,B1694=1,B1695=1,B1696=1),"Yes","")</f>
        <v/>
      </c>
      <c r="E1697" t="inlineStr">
        <is>
          <t>No</t>
        </is>
      </c>
      <c r="F1697" t="inlineStr">
        <is>
          <t>No</t>
        </is>
      </c>
      <c r="G1697">
        <f>IF(F1697="Yes",1-B1697,B1697)</f>
        <v/>
      </c>
      <c r="H1697">
        <f>IF(E1697="Yes","",COUNTIFS($E$2:E1697,"No"))</f>
        <v/>
      </c>
      <c r="I1697">
        <f>IF(H1697="","",IF(H1697&lt;=128,"address",IF(H1697&lt;=600,"data1",IF(H1697&lt;=1264,"zero-run1",IF(H1697&lt;=1648,"data2",IF(H1697&lt;=2176,"zero-run2",IF(H1697&lt;=2192,"FCS","trailing")))))))</f>
        <v/>
      </c>
      <c r="J1697">
        <f>IFERROR(IF(AND(H1697&lt;&gt;"",H1697&gt;=129,H1697&lt;=2176),INDEX(Fields!$B$2:$B$206,MATCH(H1697-129,Fields!$D$2:$D$206,1)),""),"")</f>
        <v/>
      </c>
      <c r="K1697">
        <f>IFERROR(IF(AND(H1697&lt;&gt;"",H1697&gt;=129,H1697&lt;=2176),INDEX(Fields!$C$2:$C$206,MATCH(H1697-129,Fields!$D$2:$D$206,1)),""),"")</f>
        <v/>
      </c>
      <c r="L1697">
        <f>IFERROR(IF(AND(H1697&lt;&gt;"",H1697&gt;=129,H1697&lt;=2176),INDEX(Fields!$J$2:$J$206,MATCH(H1697-129,Fields!$D$2:$D$206,1)),""),"")</f>
        <v/>
      </c>
      <c r="M1697">
        <f>IFERROR(IF(AND(H1697&lt;&gt;"",H1697&gt;=129,H1697&lt;=2176),INDEX(Fields!$K$2:$K$206,MATCH(H1697-129,Fields!$D$2:$D$206,1)),""),"")</f>
        <v/>
      </c>
    </row>
    <row r="1698">
      <c r="A1698" t="n">
        <v>1696</v>
      </c>
      <c r="B1698" t="n">
        <v>0</v>
      </c>
      <c r="C1698" t="inlineStr">
        <is>
          <t>No</t>
        </is>
      </c>
      <c r="D1698">
        <f>IF(AND(B1693=1,B1694=1,B1695=1,B1696=1,B1697=1),"Yes","")</f>
        <v/>
      </c>
      <c r="E1698" t="inlineStr">
        <is>
          <t>No</t>
        </is>
      </c>
      <c r="F1698" t="inlineStr">
        <is>
          <t>No</t>
        </is>
      </c>
      <c r="G1698">
        <f>IF(F1698="Yes",1-B1698,B1698)</f>
        <v/>
      </c>
      <c r="H1698">
        <f>IF(E1698="Yes","",COUNTIFS($E$2:E1698,"No"))</f>
        <v/>
      </c>
      <c r="I1698">
        <f>IF(H1698="","",IF(H1698&lt;=128,"address",IF(H1698&lt;=600,"data1",IF(H1698&lt;=1264,"zero-run1",IF(H1698&lt;=1648,"data2",IF(H1698&lt;=2176,"zero-run2",IF(H1698&lt;=2192,"FCS","trailing")))))))</f>
        <v/>
      </c>
      <c r="J1698">
        <f>IFERROR(IF(AND(H1698&lt;&gt;"",H1698&gt;=129,H1698&lt;=2176),INDEX(Fields!$B$2:$B$206,MATCH(H1698-129,Fields!$D$2:$D$206,1)),""),"")</f>
        <v/>
      </c>
      <c r="K1698">
        <f>IFERROR(IF(AND(H1698&lt;&gt;"",H1698&gt;=129,H1698&lt;=2176),INDEX(Fields!$C$2:$C$206,MATCH(H1698-129,Fields!$D$2:$D$206,1)),""),"")</f>
        <v/>
      </c>
      <c r="L1698">
        <f>IFERROR(IF(AND(H1698&lt;&gt;"",H1698&gt;=129,H1698&lt;=2176),INDEX(Fields!$J$2:$J$206,MATCH(H1698-129,Fields!$D$2:$D$206,1)),""),"")</f>
        <v/>
      </c>
      <c r="M1698">
        <f>IFERROR(IF(AND(H1698&lt;&gt;"",H1698&gt;=129,H1698&lt;=2176),INDEX(Fields!$K$2:$K$206,MATCH(H1698-129,Fields!$D$2:$D$206,1)),""),"")</f>
        <v/>
      </c>
    </row>
    <row r="1699">
      <c r="A1699" t="n">
        <v>1697</v>
      </c>
      <c r="B1699" t="n">
        <v>0</v>
      </c>
      <c r="C1699" t="inlineStr">
        <is>
          <t>No</t>
        </is>
      </c>
      <c r="D1699">
        <f>IF(AND(B1694=1,B1695=1,B1696=1,B1697=1,B1698=1),"Yes","")</f>
        <v/>
      </c>
      <c r="E1699" t="inlineStr">
        <is>
          <t>No</t>
        </is>
      </c>
      <c r="F1699" t="inlineStr">
        <is>
          <t>No</t>
        </is>
      </c>
      <c r="G1699">
        <f>IF(F1699="Yes",1-B1699,B1699)</f>
        <v/>
      </c>
      <c r="H1699">
        <f>IF(E1699="Yes","",COUNTIFS($E$2:E1699,"No"))</f>
        <v/>
      </c>
      <c r="I1699">
        <f>IF(H1699="","",IF(H1699&lt;=128,"address",IF(H1699&lt;=600,"data1",IF(H1699&lt;=1264,"zero-run1",IF(H1699&lt;=1648,"data2",IF(H1699&lt;=2176,"zero-run2",IF(H1699&lt;=2192,"FCS","trailing")))))))</f>
        <v/>
      </c>
      <c r="J1699">
        <f>IFERROR(IF(AND(H1699&lt;&gt;"",H1699&gt;=129,H1699&lt;=2176),INDEX(Fields!$B$2:$B$206,MATCH(H1699-129,Fields!$D$2:$D$206,1)),""),"")</f>
        <v/>
      </c>
      <c r="K1699">
        <f>IFERROR(IF(AND(H1699&lt;&gt;"",H1699&gt;=129,H1699&lt;=2176),INDEX(Fields!$C$2:$C$206,MATCH(H1699-129,Fields!$D$2:$D$206,1)),""),"")</f>
        <v/>
      </c>
      <c r="L1699">
        <f>IFERROR(IF(AND(H1699&lt;&gt;"",H1699&gt;=129,H1699&lt;=2176),INDEX(Fields!$J$2:$J$206,MATCH(H1699-129,Fields!$D$2:$D$206,1)),""),"")</f>
        <v/>
      </c>
      <c r="M1699">
        <f>IFERROR(IF(AND(H1699&lt;&gt;"",H1699&gt;=129,H1699&lt;=2176),INDEX(Fields!$K$2:$K$206,MATCH(H1699-129,Fields!$D$2:$D$206,1)),""),"")</f>
        <v/>
      </c>
    </row>
    <row r="1700">
      <c r="A1700" t="n">
        <v>1698</v>
      </c>
      <c r="B1700" t="n">
        <v>0</v>
      </c>
      <c r="C1700" t="inlineStr">
        <is>
          <t>No</t>
        </is>
      </c>
      <c r="D1700">
        <f>IF(AND(B1695=1,B1696=1,B1697=1,B1698=1,B1699=1),"Yes","")</f>
        <v/>
      </c>
      <c r="E1700" t="inlineStr">
        <is>
          <t>No</t>
        </is>
      </c>
      <c r="F1700" t="inlineStr">
        <is>
          <t>No</t>
        </is>
      </c>
      <c r="G1700">
        <f>IF(F1700="Yes",1-B1700,B1700)</f>
        <v/>
      </c>
      <c r="H1700">
        <f>IF(E1700="Yes","",COUNTIFS($E$2:E1700,"No"))</f>
        <v/>
      </c>
      <c r="I1700">
        <f>IF(H1700="","",IF(H1700&lt;=128,"address",IF(H1700&lt;=600,"data1",IF(H1700&lt;=1264,"zero-run1",IF(H1700&lt;=1648,"data2",IF(H1700&lt;=2176,"zero-run2",IF(H1700&lt;=2192,"FCS","trailing")))))))</f>
        <v/>
      </c>
      <c r="J1700">
        <f>IFERROR(IF(AND(H1700&lt;&gt;"",H1700&gt;=129,H1700&lt;=2176),INDEX(Fields!$B$2:$B$206,MATCH(H1700-129,Fields!$D$2:$D$206,1)),""),"")</f>
        <v/>
      </c>
      <c r="K1700">
        <f>IFERROR(IF(AND(H1700&lt;&gt;"",H1700&gt;=129,H1700&lt;=2176),INDEX(Fields!$C$2:$C$206,MATCH(H1700-129,Fields!$D$2:$D$206,1)),""),"")</f>
        <v/>
      </c>
      <c r="L1700">
        <f>IFERROR(IF(AND(H1700&lt;&gt;"",H1700&gt;=129,H1700&lt;=2176),INDEX(Fields!$J$2:$J$206,MATCH(H1700-129,Fields!$D$2:$D$206,1)),""),"")</f>
        <v/>
      </c>
      <c r="M1700">
        <f>IFERROR(IF(AND(H1700&lt;&gt;"",H1700&gt;=129,H1700&lt;=2176),INDEX(Fields!$K$2:$K$206,MATCH(H1700-129,Fields!$D$2:$D$206,1)),""),"")</f>
        <v/>
      </c>
    </row>
    <row r="1701">
      <c r="A1701" t="n">
        <v>1699</v>
      </c>
      <c r="B1701" t="n">
        <v>0</v>
      </c>
      <c r="C1701" t="inlineStr">
        <is>
          <t>No</t>
        </is>
      </c>
      <c r="D1701">
        <f>IF(AND(B1696=1,B1697=1,B1698=1,B1699=1,B1700=1),"Yes","")</f>
        <v/>
      </c>
      <c r="E1701" t="inlineStr">
        <is>
          <t>No</t>
        </is>
      </c>
      <c r="F1701" t="inlineStr">
        <is>
          <t>No</t>
        </is>
      </c>
      <c r="G1701">
        <f>IF(F1701="Yes",1-B1701,B1701)</f>
        <v/>
      </c>
      <c r="H1701">
        <f>IF(E1701="Yes","",COUNTIFS($E$2:E1701,"No"))</f>
        <v/>
      </c>
      <c r="I1701">
        <f>IF(H1701="","",IF(H1701&lt;=128,"address",IF(H1701&lt;=600,"data1",IF(H1701&lt;=1264,"zero-run1",IF(H1701&lt;=1648,"data2",IF(H1701&lt;=2176,"zero-run2",IF(H1701&lt;=2192,"FCS","trailing")))))))</f>
        <v/>
      </c>
      <c r="J1701">
        <f>IFERROR(IF(AND(H1701&lt;&gt;"",H1701&gt;=129,H1701&lt;=2176),INDEX(Fields!$B$2:$B$206,MATCH(H1701-129,Fields!$D$2:$D$206,1)),""),"")</f>
        <v/>
      </c>
      <c r="K1701">
        <f>IFERROR(IF(AND(H1701&lt;&gt;"",H1701&gt;=129,H1701&lt;=2176),INDEX(Fields!$C$2:$C$206,MATCH(H1701-129,Fields!$D$2:$D$206,1)),""),"")</f>
        <v/>
      </c>
      <c r="L1701">
        <f>IFERROR(IF(AND(H1701&lt;&gt;"",H1701&gt;=129,H1701&lt;=2176),INDEX(Fields!$J$2:$J$206,MATCH(H1701-129,Fields!$D$2:$D$206,1)),""),"")</f>
        <v/>
      </c>
      <c r="M1701">
        <f>IFERROR(IF(AND(H1701&lt;&gt;"",H1701&gt;=129,H1701&lt;=2176),INDEX(Fields!$K$2:$K$206,MATCH(H1701-129,Fields!$D$2:$D$206,1)),""),"")</f>
        <v/>
      </c>
    </row>
    <row r="1702">
      <c r="A1702" t="n">
        <v>1700</v>
      </c>
      <c r="B1702" t="n">
        <v>0</v>
      </c>
      <c r="C1702" t="inlineStr">
        <is>
          <t>No</t>
        </is>
      </c>
      <c r="D1702">
        <f>IF(AND(B1697=1,B1698=1,B1699=1,B1700=1,B1701=1),"Yes","")</f>
        <v/>
      </c>
      <c r="E1702" t="inlineStr">
        <is>
          <t>No</t>
        </is>
      </c>
      <c r="F1702" t="inlineStr">
        <is>
          <t>No</t>
        </is>
      </c>
      <c r="G1702">
        <f>IF(F1702="Yes",1-B1702,B1702)</f>
        <v/>
      </c>
      <c r="H1702">
        <f>IF(E1702="Yes","",COUNTIFS($E$2:E1702,"No"))</f>
        <v/>
      </c>
      <c r="I1702">
        <f>IF(H1702="","",IF(H1702&lt;=128,"address",IF(H1702&lt;=600,"data1",IF(H1702&lt;=1264,"zero-run1",IF(H1702&lt;=1648,"data2",IF(H1702&lt;=2176,"zero-run2",IF(H1702&lt;=2192,"FCS","trailing")))))))</f>
        <v/>
      </c>
      <c r="J1702">
        <f>IFERROR(IF(AND(H1702&lt;&gt;"",H1702&gt;=129,H1702&lt;=2176),INDEX(Fields!$B$2:$B$206,MATCH(H1702-129,Fields!$D$2:$D$206,1)),""),"")</f>
        <v/>
      </c>
      <c r="K1702">
        <f>IFERROR(IF(AND(H1702&lt;&gt;"",H1702&gt;=129,H1702&lt;=2176),INDEX(Fields!$C$2:$C$206,MATCH(H1702-129,Fields!$D$2:$D$206,1)),""),"")</f>
        <v/>
      </c>
      <c r="L1702">
        <f>IFERROR(IF(AND(H1702&lt;&gt;"",H1702&gt;=129,H1702&lt;=2176),INDEX(Fields!$J$2:$J$206,MATCH(H1702-129,Fields!$D$2:$D$206,1)),""),"")</f>
        <v/>
      </c>
      <c r="M1702">
        <f>IFERROR(IF(AND(H1702&lt;&gt;"",H1702&gt;=129,H1702&lt;=2176),INDEX(Fields!$K$2:$K$206,MATCH(H1702-129,Fields!$D$2:$D$206,1)),""),"")</f>
        <v/>
      </c>
    </row>
    <row r="1703">
      <c r="A1703" t="n">
        <v>1701</v>
      </c>
      <c r="B1703" t="n">
        <v>0</v>
      </c>
      <c r="C1703" t="inlineStr">
        <is>
          <t>No</t>
        </is>
      </c>
      <c r="D1703">
        <f>IF(AND(B1698=1,B1699=1,B1700=1,B1701=1,B1702=1),"Yes","")</f>
        <v/>
      </c>
      <c r="E1703" t="inlineStr">
        <is>
          <t>No</t>
        </is>
      </c>
      <c r="F1703" t="inlineStr">
        <is>
          <t>No</t>
        </is>
      </c>
      <c r="G1703">
        <f>IF(F1703="Yes",1-B1703,B1703)</f>
        <v/>
      </c>
      <c r="H1703">
        <f>IF(E1703="Yes","",COUNTIFS($E$2:E1703,"No"))</f>
        <v/>
      </c>
      <c r="I1703">
        <f>IF(H1703="","",IF(H1703&lt;=128,"address",IF(H1703&lt;=600,"data1",IF(H1703&lt;=1264,"zero-run1",IF(H1703&lt;=1648,"data2",IF(H1703&lt;=2176,"zero-run2",IF(H1703&lt;=2192,"FCS","trailing")))))))</f>
        <v/>
      </c>
      <c r="J1703">
        <f>IFERROR(IF(AND(H1703&lt;&gt;"",H1703&gt;=129,H1703&lt;=2176),INDEX(Fields!$B$2:$B$206,MATCH(H1703-129,Fields!$D$2:$D$206,1)),""),"")</f>
        <v/>
      </c>
      <c r="K1703">
        <f>IFERROR(IF(AND(H1703&lt;&gt;"",H1703&gt;=129,H1703&lt;=2176),INDEX(Fields!$C$2:$C$206,MATCH(H1703-129,Fields!$D$2:$D$206,1)),""),"")</f>
        <v/>
      </c>
      <c r="L1703">
        <f>IFERROR(IF(AND(H1703&lt;&gt;"",H1703&gt;=129,H1703&lt;=2176),INDEX(Fields!$J$2:$J$206,MATCH(H1703-129,Fields!$D$2:$D$206,1)),""),"")</f>
        <v/>
      </c>
      <c r="M1703">
        <f>IFERROR(IF(AND(H1703&lt;&gt;"",H1703&gt;=129,H1703&lt;=2176),INDEX(Fields!$K$2:$K$206,MATCH(H1703-129,Fields!$D$2:$D$206,1)),""),"")</f>
        <v/>
      </c>
    </row>
    <row r="1704">
      <c r="A1704" t="n">
        <v>1702</v>
      </c>
      <c r="B1704" t="n">
        <v>0</v>
      </c>
      <c r="C1704" t="inlineStr">
        <is>
          <t>No</t>
        </is>
      </c>
      <c r="D1704">
        <f>IF(AND(B1699=1,B1700=1,B1701=1,B1702=1,B1703=1),"Yes","")</f>
        <v/>
      </c>
      <c r="E1704" t="inlineStr">
        <is>
          <t>No</t>
        </is>
      </c>
      <c r="F1704" t="inlineStr">
        <is>
          <t>No</t>
        </is>
      </c>
      <c r="G1704">
        <f>IF(F1704="Yes",1-B1704,B1704)</f>
        <v/>
      </c>
      <c r="H1704">
        <f>IF(E1704="Yes","",COUNTIFS($E$2:E1704,"No"))</f>
        <v/>
      </c>
      <c r="I1704">
        <f>IF(H1704="","",IF(H1704&lt;=128,"address",IF(H1704&lt;=600,"data1",IF(H1704&lt;=1264,"zero-run1",IF(H1704&lt;=1648,"data2",IF(H1704&lt;=2176,"zero-run2",IF(H1704&lt;=2192,"FCS","trailing")))))))</f>
        <v/>
      </c>
      <c r="J1704">
        <f>IFERROR(IF(AND(H1704&lt;&gt;"",H1704&gt;=129,H1704&lt;=2176),INDEX(Fields!$B$2:$B$206,MATCH(H1704-129,Fields!$D$2:$D$206,1)),""),"")</f>
        <v/>
      </c>
      <c r="K1704">
        <f>IFERROR(IF(AND(H1704&lt;&gt;"",H1704&gt;=129,H1704&lt;=2176),INDEX(Fields!$C$2:$C$206,MATCH(H1704-129,Fields!$D$2:$D$206,1)),""),"")</f>
        <v/>
      </c>
      <c r="L1704">
        <f>IFERROR(IF(AND(H1704&lt;&gt;"",H1704&gt;=129,H1704&lt;=2176),INDEX(Fields!$J$2:$J$206,MATCH(H1704-129,Fields!$D$2:$D$206,1)),""),"")</f>
        <v/>
      </c>
      <c r="M1704">
        <f>IFERROR(IF(AND(H1704&lt;&gt;"",H1704&gt;=129,H1704&lt;=2176),INDEX(Fields!$K$2:$K$206,MATCH(H1704-129,Fields!$D$2:$D$206,1)),""),"")</f>
        <v/>
      </c>
    </row>
    <row r="1705">
      <c r="A1705" t="n">
        <v>1703</v>
      </c>
      <c r="B1705" t="n">
        <v>0</v>
      </c>
      <c r="C1705" t="inlineStr">
        <is>
          <t>No</t>
        </is>
      </c>
      <c r="D1705">
        <f>IF(AND(B1700=1,B1701=1,B1702=1,B1703=1,B1704=1),"Yes","")</f>
        <v/>
      </c>
      <c r="E1705" t="inlineStr">
        <is>
          <t>No</t>
        </is>
      </c>
      <c r="F1705" t="inlineStr">
        <is>
          <t>No</t>
        </is>
      </c>
      <c r="G1705">
        <f>IF(F1705="Yes",1-B1705,B1705)</f>
        <v/>
      </c>
      <c r="H1705">
        <f>IF(E1705="Yes","",COUNTIFS($E$2:E1705,"No"))</f>
        <v/>
      </c>
      <c r="I1705">
        <f>IF(H1705="","",IF(H1705&lt;=128,"address",IF(H1705&lt;=600,"data1",IF(H1705&lt;=1264,"zero-run1",IF(H1705&lt;=1648,"data2",IF(H1705&lt;=2176,"zero-run2",IF(H1705&lt;=2192,"FCS","trailing")))))))</f>
        <v/>
      </c>
      <c r="J1705">
        <f>IFERROR(IF(AND(H1705&lt;&gt;"",H1705&gt;=129,H1705&lt;=2176),INDEX(Fields!$B$2:$B$206,MATCH(H1705-129,Fields!$D$2:$D$206,1)),""),"")</f>
        <v/>
      </c>
      <c r="K1705">
        <f>IFERROR(IF(AND(H1705&lt;&gt;"",H1705&gt;=129,H1705&lt;=2176),INDEX(Fields!$C$2:$C$206,MATCH(H1705-129,Fields!$D$2:$D$206,1)),""),"")</f>
        <v/>
      </c>
      <c r="L1705">
        <f>IFERROR(IF(AND(H1705&lt;&gt;"",H1705&gt;=129,H1705&lt;=2176),INDEX(Fields!$J$2:$J$206,MATCH(H1705-129,Fields!$D$2:$D$206,1)),""),"")</f>
        <v/>
      </c>
      <c r="M1705">
        <f>IFERROR(IF(AND(H1705&lt;&gt;"",H1705&gt;=129,H1705&lt;=2176),INDEX(Fields!$K$2:$K$206,MATCH(H1705-129,Fields!$D$2:$D$206,1)),""),"")</f>
        <v/>
      </c>
    </row>
    <row r="1706">
      <c r="A1706" t="n">
        <v>1704</v>
      </c>
      <c r="B1706" t="n">
        <v>0</v>
      </c>
      <c r="C1706" t="inlineStr">
        <is>
          <t>No</t>
        </is>
      </c>
      <c r="D1706">
        <f>IF(AND(B1701=1,B1702=1,B1703=1,B1704=1,B1705=1),"Yes","")</f>
        <v/>
      </c>
      <c r="E1706" t="inlineStr">
        <is>
          <t>No</t>
        </is>
      </c>
      <c r="F1706" t="inlineStr">
        <is>
          <t>No</t>
        </is>
      </c>
      <c r="G1706">
        <f>IF(F1706="Yes",1-B1706,B1706)</f>
        <v/>
      </c>
      <c r="H1706">
        <f>IF(E1706="Yes","",COUNTIFS($E$2:E1706,"No"))</f>
        <v/>
      </c>
      <c r="I1706">
        <f>IF(H1706="","",IF(H1706&lt;=128,"address",IF(H1706&lt;=600,"data1",IF(H1706&lt;=1264,"zero-run1",IF(H1706&lt;=1648,"data2",IF(H1706&lt;=2176,"zero-run2",IF(H1706&lt;=2192,"FCS","trailing")))))))</f>
        <v/>
      </c>
      <c r="J1706">
        <f>IFERROR(IF(AND(H1706&lt;&gt;"",H1706&gt;=129,H1706&lt;=2176),INDEX(Fields!$B$2:$B$206,MATCH(H1706-129,Fields!$D$2:$D$206,1)),""),"")</f>
        <v/>
      </c>
      <c r="K1706">
        <f>IFERROR(IF(AND(H1706&lt;&gt;"",H1706&gt;=129,H1706&lt;=2176),INDEX(Fields!$C$2:$C$206,MATCH(H1706-129,Fields!$D$2:$D$206,1)),""),"")</f>
        <v/>
      </c>
      <c r="L1706">
        <f>IFERROR(IF(AND(H1706&lt;&gt;"",H1706&gt;=129,H1706&lt;=2176),INDEX(Fields!$J$2:$J$206,MATCH(H1706-129,Fields!$D$2:$D$206,1)),""),"")</f>
        <v/>
      </c>
      <c r="M1706">
        <f>IFERROR(IF(AND(H1706&lt;&gt;"",H1706&gt;=129,H1706&lt;=2176),INDEX(Fields!$K$2:$K$206,MATCH(H1706-129,Fields!$D$2:$D$206,1)),""),"")</f>
        <v/>
      </c>
    </row>
    <row r="1707">
      <c r="A1707" t="n">
        <v>1705</v>
      </c>
      <c r="B1707" t="n">
        <v>0</v>
      </c>
      <c r="C1707" t="inlineStr">
        <is>
          <t>No</t>
        </is>
      </c>
      <c r="D1707">
        <f>IF(AND(B1702=1,B1703=1,B1704=1,B1705=1,B1706=1),"Yes","")</f>
        <v/>
      </c>
      <c r="E1707" t="inlineStr">
        <is>
          <t>No</t>
        </is>
      </c>
      <c r="F1707" t="inlineStr">
        <is>
          <t>No</t>
        </is>
      </c>
      <c r="G1707">
        <f>IF(F1707="Yes",1-B1707,B1707)</f>
        <v/>
      </c>
      <c r="H1707">
        <f>IF(E1707="Yes","",COUNTIFS($E$2:E1707,"No"))</f>
        <v/>
      </c>
      <c r="I1707">
        <f>IF(H1707="","",IF(H1707&lt;=128,"address",IF(H1707&lt;=600,"data1",IF(H1707&lt;=1264,"zero-run1",IF(H1707&lt;=1648,"data2",IF(H1707&lt;=2176,"zero-run2",IF(H1707&lt;=2192,"FCS","trailing")))))))</f>
        <v/>
      </c>
      <c r="J1707">
        <f>IFERROR(IF(AND(H1707&lt;&gt;"",H1707&gt;=129,H1707&lt;=2176),INDEX(Fields!$B$2:$B$206,MATCH(H1707-129,Fields!$D$2:$D$206,1)),""),"")</f>
        <v/>
      </c>
      <c r="K1707">
        <f>IFERROR(IF(AND(H1707&lt;&gt;"",H1707&gt;=129,H1707&lt;=2176),INDEX(Fields!$C$2:$C$206,MATCH(H1707-129,Fields!$D$2:$D$206,1)),""),"")</f>
        <v/>
      </c>
      <c r="L1707">
        <f>IFERROR(IF(AND(H1707&lt;&gt;"",H1707&gt;=129,H1707&lt;=2176),INDEX(Fields!$J$2:$J$206,MATCH(H1707-129,Fields!$D$2:$D$206,1)),""),"")</f>
        <v/>
      </c>
      <c r="M1707">
        <f>IFERROR(IF(AND(H1707&lt;&gt;"",H1707&gt;=129,H1707&lt;=2176),INDEX(Fields!$K$2:$K$206,MATCH(H1707-129,Fields!$D$2:$D$206,1)),""),"")</f>
        <v/>
      </c>
    </row>
    <row r="1708">
      <c r="A1708" t="n">
        <v>1706</v>
      </c>
      <c r="B1708" t="n">
        <v>0</v>
      </c>
      <c r="C1708" t="inlineStr">
        <is>
          <t>No</t>
        </is>
      </c>
      <c r="D1708">
        <f>IF(AND(B1703=1,B1704=1,B1705=1,B1706=1,B1707=1),"Yes","")</f>
        <v/>
      </c>
      <c r="E1708" t="inlineStr">
        <is>
          <t>No</t>
        </is>
      </c>
      <c r="F1708" t="inlineStr">
        <is>
          <t>No</t>
        </is>
      </c>
      <c r="G1708">
        <f>IF(F1708="Yes",1-B1708,B1708)</f>
        <v/>
      </c>
      <c r="H1708">
        <f>IF(E1708="Yes","",COUNTIFS($E$2:E1708,"No"))</f>
        <v/>
      </c>
      <c r="I1708">
        <f>IF(H1708="","",IF(H1708&lt;=128,"address",IF(H1708&lt;=600,"data1",IF(H1708&lt;=1264,"zero-run1",IF(H1708&lt;=1648,"data2",IF(H1708&lt;=2176,"zero-run2",IF(H1708&lt;=2192,"FCS","trailing")))))))</f>
        <v/>
      </c>
      <c r="J1708">
        <f>IFERROR(IF(AND(H1708&lt;&gt;"",H1708&gt;=129,H1708&lt;=2176),INDEX(Fields!$B$2:$B$206,MATCH(H1708-129,Fields!$D$2:$D$206,1)),""),"")</f>
        <v/>
      </c>
      <c r="K1708">
        <f>IFERROR(IF(AND(H1708&lt;&gt;"",H1708&gt;=129,H1708&lt;=2176),INDEX(Fields!$C$2:$C$206,MATCH(H1708-129,Fields!$D$2:$D$206,1)),""),"")</f>
        <v/>
      </c>
      <c r="L1708">
        <f>IFERROR(IF(AND(H1708&lt;&gt;"",H1708&gt;=129,H1708&lt;=2176),INDEX(Fields!$J$2:$J$206,MATCH(H1708-129,Fields!$D$2:$D$206,1)),""),"")</f>
        <v/>
      </c>
      <c r="M1708">
        <f>IFERROR(IF(AND(H1708&lt;&gt;"",H1708&gt;=129,H1708&lt;=2176),INDEX(Fields!$K$2:$K$206,MATCH(H1708-129,Fields!$D$2:$D$206,1)),""),"")</f>
        <v/>
      </c>
    </row>
    <row r="1709">
      <c r="A1709" t="n">
        <v>1707</v>
      </c>
      <c r="B1709" t="n">
        <v>0</v>
      </c>
      <c r="C1709" t="inlineStr">
        <is>
          <t>No</t>
        </is>
      </c>
      <c r="D1709">
        <f>IF(AND(B1704=1,B1705=1,B1706=1,B1707=1,B1708=1),"Yes","")</f>
        <v/>
      </c>
      <c r="E1709" t="inlineStr">
        <is>
          <t>No</t>
        </is>
      </c>
      <c r="F1709" t="inlineStr">
        <is>
          <t>No</t>
        </is>
      </c>
      <c r="G1709">
        <f>IF(F1709="Yes",1-B1709,B1709)</f>
        <v/>
      </c>
      <c r="H1709">
        <f>IF(E1709="Yes","",COUNTIFS($E$2:E1709,"No"))</f>
        <v/>
      </c>
      <c r="I1709">
        <f>IF(H1709="","",IF(H1709&lt;=128,"address",IF(H1709&lt;=600,"data1",IF(H1709&lt;=1264,"zero-run1",IF(H1709&lt;=1648,"data2",IF(H1709&lt;=2176,"zero-run2",IF(H1709&lt;=2192,"FCS","trailing")))))))</f>
        <v/>
      </c>
      <c r="J1709">
        <f>IFERROR(IF(AND(H1709&lt;&gt;"",H1709&gt;=129,H1709&lt;=2176),INDEX(Fields!$B$2:$B$206,MATCH(H1709-129,Fields!$D$2:$D$206,1)),""),"")</f>
        <v/>
      </c>
      <c r="K1709">
        <f>IFERROR(IF(AND(H1709&lt;&gt;"",H1709&gt;=129,H1709&lt;=2176),INDEX(Fields!$C$2:$C$206,MATCH(H1709-129,Fields!$D$2:$D$206,1)),""),"")</f>
        <v/>
      </c>
      <c r="L1709">
        <f>IFERROR(IF(AND(H1709&lt;&gt;"",H1709&gt;=129,H1709&lt;=2176),INDEX(Fields!$J$2:$J$206,MATCH(H1709-129,Fields!$D$2:$D$206,1)),""),"")</f>
        <v/>
      </c>
      <c r="M1709">
        <f>IFERROR(IF(AND(H1709&lt;&gt;"",H1709&gt;=129,H1709&lt;=2176),INDEX(Fields!$K$2:$K$206,MATCH(H1709-129,Fields!$D$2:$D$206,1)),""),"")</f>
        <v/>
      </c>
    </row>
    <row r="1710">
      <c r="A1710" t="n">
        <v>1708</v>
      </c>
      <c r="B1710" t="n">
        <v>0</v>
      </c>
      <c r="C1710" t="inlineStr">
        <is>
          <t>No</t>
        </is>
      </c>
      <c r="D1710">
        <f>IF(AND(B1705=1,B1706=1,B1707=1,B1708=1,B1709=1),"Yes","")</f>
        <v/>
      </c>
      <c r="E1710" t="inlineStr">
        <is>
          <t>No</t>
        </is>
      </c>
      <c r="F1710" t="inlineStr">
        <is>
          <t>No</t>
        </is>
      </c>
      <c r="G1710">
        <f>IF(F1710="Yes",1-B1710,B1710)</f>
        <v/>
      </c>
      <c r="H1710">
        <f>IF(E1710="Yes","",COUNTIFS($E$2:E1710,"No"))</f>
        <v/>
      </c>
      <c r="I1710">
        <f>IF(H1710="","",IF(H1710&lt;=128,"address",IF(H1710&lt;=600,"data1",IF(H1710&lt;=1264,"zero-run1",IF(H1710&lt;=1648,"data2",IF(H1710&lt;=2176,"zero-run2",IF(H1710&lt;=2192,"FCS","trailing")))))))</f>
        <v/>
      </c>
      <c r="J1710">
        <f>IFERROR(IF(AND(H1710&lt;&gt;"",H1710&gt;=129,H1710&lt;=2176),INDEX(Fields!$B$2:$B$206,MATCH(H1710-129,Fields!$D$2:$D$206,1)),""),"")</f>
        <v/>
      </c>
      <c r="K1710">
        <f>IFERROR(IF(AND(H1710&lt;&gt;"",H1710&gt;=129,H1710&lt;=2176),INDEX(Fields!$C$2:$C$206,MATCH(H1710-129,Fields!$D$2:$D$206,1)),""),"")</f>
        <v/>
      </c>
      <c r="L1710">
        <f>IFERROR(IF(AND(H1710&lt;&gt;"",H1710&gt;=129,H1710&lt;=2176),INDEX(Fields!$J$2:$J$206,MATCH(H1710-129,Fields!$D$2:$D$206,1)),""),"")</f>
        <v/>
      </c>
      <c r="M1710">
        <f>IFERROR(IF(AND(H1710&lt;&gt;"",H1710&gt;=129,H1710&lt;=2176),INDEX(Fields!$K$2:$K$206,MATCH(H1710-129,Fields!$D$2:$D$206,1)),""),"")</f>
        <v/>
      </c>
    </row>
    <row r="1711">
      <c r="A1711" t="n">
        <v>1709</v>
      </c>
      <c r="B1711" t="n">
        <v>0</v>
      </c>
      <c r="C1711" t="inlineStr">
        <is>
          <t>No</t>
        </is>
      </c>
      <c r="D1711">
        <f>IF(AND(B1706=1,B1707=1,B1708=1,B1709=1,B1710=1),"Yes","")</f>
        <v/>
      </c>
      <c r="E1711" t="inlineStr">
        <is>
          <t>No</t>
        </is>
      </c>
      <c r="F1711" t="inlineStr">
        <is>
          <t>No</t>
        </is>
      </c>
      <c r="G1711">
        <f>IF(F1711="Yes",1-B1711,B1711)</f>
        <v/>
      </c>
      <c r="H1711">
        <f>IF(E1711="Yes","",COUNTIFS($E$2:E1711,"No"))</f>
        <v/>
      </c>
      <c r="I1711">
        <f>IF(H1711="","",IF(H1711&lt;=128,"address",IF(H1711&lt;=600,"data1",IF(H1711&lt;=1264,"zero-run1",IF(H1711&lt;=1648,"data2",IF(H1711&lt;=2176,"zero-run2",IF(H1711&lt;=2192,"FCS","trailing")))))))</f>
        <v/>
      </c>
      <c r="J1711">
        <f>IFERROR(IF(AND(H1711&lt;&gt;"",H1711&gt;=129,H1711&lt;=2176),INDEX(Fields!$B$2:$B$206,MATCH(H1711-129,Fields!$D$2:$D$206,1)),""),"")</f>
        <v/>
      </c>
      <c r="K1711">
        <f>IFERROR(IF(AND(H1711&lt;&gt;"",H1711&gt;=129,H1711&lt;=2176),INDEX(Fields!$C$2:$C$206,MATCH(H1711-129,Fields!$D$2:$D$206,1)),""),"")</f>
        <v/>
      </c>
      <c r="L1711">
        <f>IFERROR(IF(AND(H1711&lt;&gt;"",H1711&gt;=129,H1711&lt;=2176),INDEX(Fields!$J$2:$J$206,MATCH(H1711-129,Fields!$D$2:$D$206,1)),""),"")</f>
        <v/>
      </c>
      <c r="M1711">
        <f>IFERROR(IF(AND(H1711&lt;&gt;"",H1711&gt;=129,H1711&lt;=2176),INDEX(Fields!$K$2:$K$206,MATCH(H1711-129,Fields!$D$2:$D$206,1)),""),"")</f>
        <v/>
      </c>
    </row>
    <row r="1712">
      <c r="A1712" t="n">
        <v>1710</v>
      </c>
      <c r="B1712" t="n">
        <v>0</v>
      </c>
      <c r="C1712" t="inlineStr">
        <is>
          <t>No</t>
        </is>
      </c>
      <c r="D1712">
        <f>IF(AND(B1707=1,B1708=1,B1709=1,B1710=1,B1711=1),"Yes","")</f>
        <v/>
      </c>
      <c r="E1712" t="inlineStr">
        <is>
          <t>No</t>
        </is>
      </c>
      <c r="F1712" t="inlineStr">
        <is>
          <t>No</t>
        </is>
      </c>
      <c r="G1712">
        <f>IF(F1712="Yes",1-B1712,B1712)</f>
        <v/>
      </c>
      <c r="H1712">
        <f>IF(E1712="Yes","",COUNTIFS($E$2:E1712,"No"))</f>
        <v/>
      </c>
      <c r="I1712">
        <f>IF(H1712="","",IF(H1712&lt;=128,"address",IF(H1712&lt;=600,"data1",IF(H1712&lt;=1264,"zero-run1",IF(H1712&lt;=1648,"data2",IF(H1712&lt;=2176,"zero-run2",IF(H1712&lt;=2192,"FCS","trailing")))))))</f>
        <v/>
      </c>
      <c r="J1712">
        <f>IFERROR(IF(AND(H1712&lt;&gt;"",H1712&gt;=129,H1712&lt;=2176),INDEX(Fields!$B$2:$B$206,MATCH(H1712-129,Fields!$D$2:$D$206,1)),""),"")</f>
        <v/>
      </c>
      <c r="K1712">
        <f>IFERROR(IF(AND(H1712&lt;&gt;"",H1712&gt;=129,H1712&lt;=2176),INDEX(Fields!$C$2:$C$206,MATCH(H1712-129,Fields!$D$2:$D$206,1)),""),"")</f>
        <v/>
      </c>
      <c r="L1712">
        <f>IFERROR(IF(AND(H1712&lt;&gt;"",H1712&gt;=129,H1712&lt;=2176),INDEX(Fields!$J$2:$J$206,MATCH(H1712-129,Fields!$D$2:$D$206,1)),""),"")</f>
        <v/>
      </c>
      <c r="M1712">
        <f>IFERROR(IF(AND(H1712&lt;&gt;"",H1712&gt;=129,H1712&lt;=2176),INDEX(Fields!$K$2:$K$206,MATCH(H1712-129,Fields!$D$2:$D$206,1)),""),"")</f>
        <v/>
      </c>
    </row>
    <row r="1713">
      <c r="A1713" t="n">
        <v>1711</v>
      </c>
      <c r="B1713" t="n">
        <v>0</v>
      </c>
      <c r="C1713" t="inlineStr">
        <is>
          <t>No</t>
        </is>
      </c>
      <c r="D1713">
        <f>IF(AND(B1708=1,B1709=1,B1710=1,B1711=1,B1712=1),"Yes","")</f>
        <v/>
      </c>
      <c r="E1713" t="inlineStr">
        <is>
          <t>No</t>
        </is>
      </c>
      <c r="F1713" t="inlineStr">
        <is>
          <t>No</t>
        </is>
      </c>
      <c r="G1713">
        <f>IF(F1713="Yes",1-B1713,B1713)</f>
        <v/>
      </c>
      <c r="H1713">
        <f>IF(E1713="Yes","",COUNTIFS($E$2:E1713,"No"))</f>
        <v/>
      </c>
      <c r="I1713">
        <f>IF(H1713="","",IF(H1713&lt;=128,"address",IF(H1713&lt;=600,"data1",IF(H1713&lt;=1264,"zero-run1",IF(H1713&lt;=1648,"data2",IF(H1713&lt;=2176,"zero-run2",IF(H1713&lt;=2192,"FCS","trailing")))))))</f>
        <v/>
      </c>
      <c r="J1713">
        <f>IFERROR(IF(AND(H1713&lt;&gt;"",H1713&gt;=129,H1713&lt;=2176),INDEX(Fields!$B$2:$B$206,MATCH(H1713-129,Fields!$D$2:$D$206,1)),""),"")</f>
        <v/>
      </c>
      <c r="K1713">
        <f>IFERROR(IF(AND(H1713&lt;&gt;"",H1713&gt;=129,H1713&lt;=2176),INDEX(Fields!$C$2:$C$206,MATCH(H1713-129,Fields!$D$2:$D$206,1)),""),"")</f>
        <v/>
      </c>
      <c r="L1713">
        <f>IFERROR(IF(AND(H1713&lt;&gt;"",H1713&gt;=129,H1713&lt;=2176),INDEX(Fields!$J$2:$J$206,MATCH(H1713-129,Fields!$D$2:$D$206,1)),""),"")</f>
        <v/>
      </c>
      <c r="M1713">
        <f>IFERROR(IF(AND(H1713&lt;&gt;"",H1713&gt;=129,H1713&lt;=2176),INDEX(Fields!$K$2:$K$206,MATCH(H1713-129,Fields!$D$2:$D$206,1)),""),"")</f>
        <v/>
      </c>
    </row>
    <row r="1714">
      <c r="A1714" t="n">
        <v>1712</v>
      </c>
      <c r="B1714" t="n">
        <v>0</v>
      </c>
      <c r="C1714" t="inlineStr">
        <is>
          <t>No</t>
        </is>
      </c>
      <c r="D1714">
        <f>IF(AND(B1709=1,B1710=1,B1711=1,B1712=1,B1713=1),"Yes","")</f>
        <v/>
      </c>
      <c r="E1714" t="inlineStr">
        <is>
          <t>No</t>
        </is>
      </c>
      <c r="F1714" t="inlineStr">
        <is>
          <t>No</t>
        </is>
      </c>
      <c r="G1714">
        <f>IF(F1714="Yes",1-B1714,B1714)</f>
        <v/>
      </c>
      <c r="H1714">
        <f>IF(E1714="Yes","",COUNTIFS($E$2:E1714,"No"))</f>
        <v/>
      </c>
      <c r="I1714">
        <f>IF(H1714="","",IF(H1714&lt;=128,"address",IF(H1714&lt;=600,"data1",IF(H1714&lt;=1264,"zero-run1",IF(H1714&lt;=1648,"data2",IF(H1714&lt;=2176,"zero-run2",IF(H1714&lt;=2192,"FCS","trailing")))))))</f>
        <v/>
      </c>
      <c r="J1714">
        <f>IFERROR(IF(AND(H1714&lt;&gt;"",H1714&gt;=129,H1714&lt;=2176),INDEX(Fields!$B$2:$B$206,MATCH(H1714-129,Fields!$D$2:$D$206,1)),""),"")</f>
        <v/>
      </c>
      <c r="K1714">
        <f>IFERROR(IF(AND(H1714&lt;&gt;"",H1714&gt;=129,H1714&lt;=2176),INDEX(Fields!$C$2:$C$206,MATCH(H1714-129,Fields!$D$2:$D$206,1)),""),"")</f>
        <v/>
      </c>
      <c r="L1714">
        <f>IFERROR(IF(AND(H1714&lt;&gt;"",H1714&gt;=129,H1714&lt;=2176),INDEX(Fields!$J$2:$J$206,MATCH(H1714-129,Fields!$D$2:$D$206,1)),""),"")</f>
        <v/>
      </c>
      <c r="M1714">
        <f>IFERROR(IF(AND(H1714&lt;&gt;"",H1714&gt;=129,H1714&lt;=2176),INDEX(Fields!$K$2:$K$206,MATCH(H1714-129,Fields!$D$2:$D$206,1)),""),"")</f>
        <v/>
      </c>
    </row>
    <row r="1715">
      <c r="A1715" t="n">
        <v>1713</v>
      </c>
      <c r="B1715" t="n">
        <v>0</v>
      </c>
      <c r="C1715" t="inlineStr">
        <is>
          <t>No</t>
        </is>
      </c>
      <c r="D1715">
        <f>IF(AND(B1710=1,B1711=1,B1712=1,B1713=1,B1714=1),"Yes","")</f>
        <v/>
      </c>
      <c r="E1715" t="inlineStr">
        <is>
          <t>No</t>
        </is>
      </c>
      <c r="F1715" t="inlineStr">
        <is>
          <t>No</t>
        </is>
      </c>
      <c r="G1715">
        <f>IF(F1715="Yes",1-B1715,B1715)</f>
        <v/>
      </c>
      <c r="H1715">
        <f>IF(E1715="Yes","",COUNTIFS($E$2:E1715,"No"))</f>
        <v/>
      </c>
      <c r="I1715">
        <f>IF(H1715="","",IF(H1715&lt;=128,"address",IF(H1715&lt;=600,"data1",IF(H1715&lt;=1264,"zero-run1",IF(H1715&lt;=1648,"data2",IF(H1715&lt;=2176,"zero-run2",IF(H1715&lt;=2192,"FCS","trailing")))))))</f>
        <v/>
      </c>
      <c r="J1715">
        <f>IFERROR(IF(AND(H1715&lt;&gt;"",H1715&gt;=129,H1715&lt;=2176),INDEX(Fields!$B$2:$B$206,MATCH(H1715-129,Fields!$D$2:$D$206,1)),""),"")</f>
        <v/>
      </c>
      <c r="K1715">
        <f>IFERROR(IF(AND(H1715&lt;&gt;"",H1715&gt;=129,H1715&lt;=2176),INDEX(Fields!$C$2:$C$206,MATCH(H1715-129,Fields!$D$2:$D$206,1)),""),"")</f>
        <v/>
      </c>
      <c r="L1715">
        <f>IFERROR(IF(AND(H1715&lt;&gt;"",H1715&gt;=129,H1715&lt;=2176),INDEX(Fields!$J$2:$J$206,MATCH(H1715-129,Fields!$D$2:$D$206,1)),""),"")</f>
        <v/>
      </c>
      <c r="M1715">
        <f>IFERROR(IF(AND(H1715&lt;&gt;"",H1715&gt;=129,H1715&lt;=2176),INDEX(Fields!$K$2:$K$206,MATCH(H1715-129,Fields!$D$2:$D$206,1)),""),"")</f>
        <v/>
      </c>
    </row>
    <row r="1716">
      <c r="A1716" t="n">
        <v>1714</v>
      </c>
      <c r="B1716" t="n">
        <v>0</v>
      </c>
      <c r="C1716" t="inlineStr">
        <is>
          <t>No</t>
        </is>
      </c>
      <c r="D1716">
        <f>IF(AND(B1711=1,B1712=1,B1713=1,B1714=1,B1715=1),"Yes","")</f>
        <v/>
      </c>
      <c r="E1716" t="inlineStr">
        <is>
          <t>No</t>
        </is>
      </c>
      <c r="F1716" t="inlineStr">
        <is>
          <t>No</t>
        </is>
      </c>
      <c r="G1716">
        <f>IF(F1716="Yes",1-B1716,B1716)</f>
        <v/>
      </c>
      <c r="H1716">
        <f>IF(E1716="Yes","",COUNTIFS($E$2:E1716,"No"))</f>
        <v/>
      </c>
      <c r="I1716">
        <f>IF(H1716="","",IF(H1716&lt;=128,"address",IF(H1716&lt;=600,"data1",IF(H1716&lt;=1264,"zero-run1",IF(H1716&lt;=1648,"data2",IF(H1716&lt;=2176,"zero-run2",IF(H1716&lt;=2192,"FCS","trailing")))))))</f>
        <v/>
      </c>
      <c r="J1716">
        <f>IFERROR(IF(AND(H1716&lt;&gt;"",H1716&gt;=129,H1716&lt;=2176),INDEX(Fields!$B$2:$B$206,MATCH(H1716-129,Fields!$D$2:$D$206,1)),""),"")</f>
        <v/>
      </c>
      <c r="K1716">
        <f>IFERROR(IF(AND(H1716&lt;&gt;"",H1716&gt;=129,H1716&lt;=2176),INDEX(Fields!$C$2:$C$206,MATCH(H1716-129,Fields!$D$2:$D$206,1)),""),"")</f>
        <v/>
      </c>
      <c r="L1716">
        <f>IFERROR(IF(AND(H1716&lt;&gt;"",H1716&gt;=129,H1716&lt;=2176),INDEX(Fields!$J$2:$J$206,MATCH(H1716-129,Fields!$D$2:$D$206,1)),""),"")</f>
        <v/>
      </c>
      <c r="M1716">
        <f>IFERROR(IF(AND(H1716&lt;&gt;"",H1716&gt;=129,H1716&lt;=2176),INDEX(Fields!$K$2:$K$206,MATCH(H1716-129,Fields!$D$2:$D$206,1)),""),"")</f>
        <v/>
      </c>
    </row>
    <row r="1717">
      <c r="A1717" t="n">
        <v>1715</v>
      </c>
      <c r="B1717" t="n">
        <v>0</v>
      </c>
      <c r="C1717" t="inlineStr">
        <is>
          <t>No</t>
        </is>
      </c>
      <c r="D1717">
        <f>IF(AND(B1712=1,B1713=1,B1714=1,B1715=1,B1716=1),"Yes","")</f>
        <v/>
      </c>
      <c r="E1717" t="inlineStr">
        <is>
          <t>No</t>
        </is>
      </c>
      <c r="F1717" t="inlineStr">
        <is>
          <t>No</t>
        </is>
      </c>
      <c r="G1717">
        <f>IF(F1717="Yes",1-B1717,B1717)</f>
        <v/>
      </c>
      <c r="H1717">
        <f>IF(E1717="Yes","",COUNTIFS($E$2:E1717,"No"))</f>
        <v/>
      </c>
      <c r="I1717">
        <f>IF(H1717="","",IF(H1717&lt;=128,"address",IF(H1717&lt;=600,"data1",IF(H1717&lt;=1264,"zero-run1",IF(H1717&lt;=1648,"data2",IF(H1717&lt;=2176,"zero-run2",IF(H1717&lt;=2192,"FCS","trailing")))))))</f>
        <v/>
      </c>
      <c r="J1717">
        <f>IFERROR(IF(AND(H1717&lt;&gt;"",H1717&gt;=129,H1717&lt;=2176),INDEX(Fields!$B$2:$B$206,MATCH(H1717-129,Fields!$D$2:$D$206,1)),""),"")</f>
        <v/>
      </c>
      <c r="K1717">
        <f>IFERROR(IF(AND(H1717&lt;&gt;"",H1717&gt;=129,H1717&lt;=2176),INDEX(Fields!$C$2:$C$206,MATCH(H1717-129,Fields!$D$2:$D$206,1)),""),"")</f>
        <v/>
      </c>
      <c r="L1717">
        <f>IFERROR(IF(AND(H1717&lt;&gt;"",H1717&gt;=129,H1717&lt;=2176),INDEX(Fields!$J$2:$J$206,MATCH(H1717-129,Fields!$D$2:$D$206,1)),""),"")</f>
        <v/>
      </c>
      <c r="M1717">
        <f>IFERROR(IF(AND(H1717&lt;&gt;"",H1717&gt;=129,H1717&lt;=2176),INDEX(Fields!$K$2:$K$206,MATCH(H1717-129,Fields!$D$2:$D$206,1)),""),"")</f>
        <v/>
      </c>
    </row>
    <row r="1718">
      <c r="A1718" t="n">
        <v>1716</v>
      </c>
      <c r="B1718" t="n">
        <v>0</v>
      </c>
      <c r="C1718" t="inlineStr">
        <is>
          <t>No</t>
        </is>
      </c>
      <c r="D1718">
        <f>IF(AND(B1713=1,B1714=1,B1715=1,B1716=1,B1717=1),"Yes","")</f>
        <v/>
      </c>
      <c r="E1718" t="inlineStr">
        <is>
          <t>No</t>
        </is>
      </c>
      <c r="F1718" t="inlineStr">
        <is>
          <t>No</t>
        </is>
      </c>
      <c r="G1718">
        <f>IF(F1718="Yes",1-B1718,B1718)</f>
        <v/>
      </c>
      <c r="H1718">
        <f>IF(E1718="Yes","",COUNTIFS($E$2:E1718,"No"))</f>
        <v/>
      </c>
      <c r="I1718">
        <f>IF(H1718="","",IF(H1718&lt;=128,"address",IF(H1718&lt;=600,"data1",IF(H1718&lt;=1264,"zero-run1",IF(H1718&lt;=1648,"data2",IF(H1718&lt;=2176,"zero-run2",IF(H1718&lt;=2192,"FCS","trailing")))))))</f>
        <v/>
      </c>
      <c r="J1718">
        <f>IFERROR(IF(AND(H1718&lt;&gt;"",H1718&gt;=129,H1718&lt;=2176),INDEX(Fields!$B$2:$B$206,MATCH(H1718-129,Fields!$D$2:$D$206,1)),""),"")</f>
        <v/>
      </c>
      <c r="K1718">
        <f>IFERROR(IF(AND(H1718&lt;&gt;"",H1718&gt;=129,H1718&lt;=2176),INDEX(Fields!$C$2:$C$206,MATCH(H1718-129,Fields!$D$2:$D$206,1)),""),"")</f>
        <v/>
      </c>
      <c r="L1718">
        <f>IFERROR(IF(AND(H1718&lt;&gt;"",H1718&gt;=129,H1718&lt;=2176),INDEX(Fields!$J$2:$J$206,MATCH(H1718-129,Fields!$D$2:$D$206,1)),""),"")</f>
        <v/>
      </c>
      <c r="M1718">
        <f>IFERROR(IF(AND(H1718&lt;&gt;"",H1718&gt;=129,H1718&lt;=2176),INDEX(Fields!$K$2:$K$206,MATCH(H1718-129,Fields!$D$2:$D$206,1)),""),"")</f>
        <v/>
      </c>
    </row>
    <row r="1719">
      <c r="A1719" t="n">
        <v>1717</v>
      </c>
      <c r="B1719" t="n">
        <v>0</v>
      </c>
      <c r="C1719" t="inlineStr">
        <is>
          <t>No</t>
        </is>
      </c>
      <c r="D1719">
        <f>IF(AND(B1714=1,B1715=1,B1716=1,B1717=1,B1718=1),"Yes","")</f>
        <v/>
      </c>
      <c r="E1719" t="inlineStr">
        <is>
          <t>No</t>
        </is>
      </c>
      <c r="F1719" t="inlineStr">
        <is>
          <t>No</t>
        </is>
      </c>
      <c r="G1719">
        <f>IF(F1719="Yes",1-B1719,B1719)</f>
        <v/>
      </c>
      <c r="H1719">
        <f>IF(E1719="Yes","",COUNTIFS($E$2:E1719,"No"))</f>
        <v/>
      </c>
      <c r="I1719">
        <f>IF(H1719="","",IF(H1719&lt;=128,"address",IF(H1719&lt;=600,"data1",IF(H1719&lt;=1264,"zero-run1",IF(H1719&lt;=1648,"data2",IF(H1719&lt;=2176,"zero-run2",IF(H1719&lt;=2192,"FCS","trailing")))))))</f>
        <v/>
      </c>
      <c r="J1719">
        <f>IFERROR(IF(AND(H1719&lt;&gt;"",H1719&gt;=129,H1719&lt;=2176),INDEX(Fields!$B$2:$B$206,MATCH(H1719-129,Fields!$D$2:$D$206,1)),""),"")</f>
        <v/>
      </c>
      <c r="K1719">
        <f>IFERROR(IF(AND(H1719&lt;&gt;"",H1719&gt;=129,H1719&lt;=2176),INDEX(Fields!$C$2:$C$206,MATCH(H1719-129,Fields!$D$2:$D$206,1)),""),"")</f>
        <v/>
      </c>
      <c r="L1719">
        <f>IFERROR(IF(AND(H1719&lt;&gt;"",H1719&gt;=129,H1719&lt;=2176),INDEX(Fields!$J$2:$J$206,MATCH(H1719-129,Fields!$D$2:$D$206,1)),""),"")</f>
        <v/>
      </c>
      <c r="M1719">
        <f>IFERROR(IF(AND(H1719&lt;&gt;"",H1719&gt;=129,H1719&lt;=2176),INDEX(Fields!$K$2:$K$206,MATCH(H1719-129,Fields!$D$2:$D$206,1)),""),"")</f>
        <v/>
      </c>
    </row>
    <row r="1720">
      <c r="A1720" t="n">
        <v>1718</v>
      </c>
      <c r="B1720" t="n">
        <v>0</v>
      </c>
      <c r="C1720" t="inlineStr">
        <is>
          <t>No</t>
        </is>
      </c>
      <c r="D1720">
        <f>IF(AND(B1715=1,B1716=1,B1717=1,B1718=1,B1719=1),"Yes","")</f>
        <v/>
      </c>
      <c r="E1720" t="inlineStr">
        <is>
          <t>No</t>
        </is>
      </c>
      <c r="F1720" t="inlineStr">
        <is>
          <t>No</t>
        </is>
      </c>
      <c r="G1720">
        <f>IF(F1720="Yes",1-B1720,B1720)</f>
        <v/>
      </c>
      <c r="H1720">
        <f>IF(E1720="Yes","",COUNTIFS($E$2:E1720,"No"))</f>
        <v/>
      </c>
      <c r="I1720">
        <f>IF(H1720="","",IF(H1720&lt;=128,"address",IF(H1720&lt;=600,"data1",IF(H1720&lt;=1264,"zero-run1",IF(H1720&lt;=1648,"data2",IF(H1720&lt;=2176,"zero-run2",IF(H1720&lt;=2192,"FCS","trailing")))))))</f>
        <v/>
      </c>
      <c r="J1720">
        <f>IFERROR(IF(AND(H1720&lt;&gt;"",H1720&gt;=129,H1720&lt;=2176),INDEX(Fields!$B$2:$B$206,MATCH(H1720-129,Fields!$D$2:$D$206,1)),""),"")</f>
        <v/>
      </c>
      <c r="K1720">
        <f>IFERROR(IF(AND(H1720&lt;&gt;"",H1720&gt;=129,H1720&lt;=2176),INDEX(Fields!$C$2:$C$206,MATCH(H1720-129,Fields!$D$2:$D$206,1)),""),"")</f>
        <v/>
      </c>
      <c r="L1720">
        <f>IFERROR(IF(AND(H1720&lt;&gt;"",H1720&gt;=129,H1720&lt;=2176),INDEX(Fields!$J$2:$J$206,MATCH(H1720-129,Fields!$D$2:$D$206,1)),""),"")</f>
        <v/>
      </c>
      <c r="M1720">
        <f>IFERROR(IF(AND(H1720&lt;&gt;"",H1720&gt;=129,H1720&lt;=2176),INDEX(Fields!$K$2:$K$206,MATCH(H1720-129,Fields!$D$2:$D$206,1)),""),"")</f>
        <v/>
      </c>
    </row>
    <row r="1721">
      <c r="A1721" t="n">
        <v>1719</v>
      </c>
      <c r="B1721" t="n">
        <v>0</v>
      </c>
      <c r="C1721" t="inlineStr">
        <is>
          <t>No</t>
        </is>
      </c>
      <c r="D1721">
        <f>IF(AND(B1716=1,B1717=1,B1718=1,B1719=1,B1720=1),"Yes","")</f>
        <v/>
      </c>
      <c r="E1721" t="inlineStr">
        <is>
          <t>No</t>
        </is>
      </c>
      <c r="F1721" t="inlineStr">
        <is>
          <t>No</t>
        </is>
      </c>
      <c r="G1721">
        <f>IF(F1721="Yes",1-B1721,B1721)</f>
        <v/>
      </c>
      <c r="H1721">
        <f>IF(E1721="Yes","",COUNTIFS($E$2:E1721,"No"))</f>
        <v/>
      </c>
      <c r="I1721">
        <f>IF(H1721="","",IF(H1721&lt;=128,"address",IF(H1721&lt;=600,"data1",IF(H1721&lt;=1264,"zero-run1",IF(H1721&lt;=1648,"data2",IF(H1721&lt;=2176,"zero-run2",IF(H1721&lt;=2192,"FCS","trailing")))))))</f>
        <v/>
      </c>
      <c r="J1721">
        <f>IFERROR(IF(AND(H1721&lt;&gt;"",H1721&gt;=129,H1721&lt;=2176),INDEX(Fields!$B$2:$B$206,MATCH(H1721-129,Fields!$D$2:$D$206,1)),""),"")</f>
        <v/>
      </c>
      <c r="K1721">
        <f>IFERROR(IF(AND(H1721&lt;&gt;"",H1721&gt;=129,H1721&lt;=2176),INDEX(Fields!$C$2:$C$206,MATCH(H1721-129,Fields!$D$2:$D$206,1)),""),"")</f>
        <v/>
      </c>
      <c r="L1721">
        <f>IFERROR(IF(AND(H1721&lt;&gt;"",H1721&gt;=129,H1721&lt;=2176),INDEX(Fields!$J$2:$J$206,MATCH(H1721-129,Fields!$D$2:$D$206,1)),""),"")</f>
        <v/>
      </c>
      <c r="M1721">
        <f>IFERROR(IF(AND(H1721&lt;&gt;"",H1721&gt;=129,H1721&lt;=2176),INDEX(Fields!$K$2:$K$206,MATCH(H1721-129,Fields!$D$2:$D$206,1)),""),"")</f>
        <v/>
      </c>
    </row>
    <row r="1722">
      <c r="A1722" t="n">
        <v>1720</v>
      </c>
      <c r="B1722" t="n">
        <v>0</v>
      </c>
      <c r="C1722" t="inlineStr">
        <is>
          <t>No</t>
        </is>
      </c>
      <c r="D1722">
        <f>IF(AND(B1717=1,B1718=1,B1719=1,B1720=1,B1721=1),"Yes","")</f>
        <v/>
      </c>
      <c r="E1722" t="inlineStr">
        <is>
          <t>No</t>
        </is>
      </c>
      <c r="F1722" t="inlineStr">
        <is>
          <t>No</t>
        </is>
      </c>
      <c r="G1722">
        <f>IF(F1722="Yes",1-B1722,B1722)</f>
        <v/>
      </c>
      <c r="H1722">
        <f>IF(E1722="Yes","",COUNTIFS($E$2:E1722,"No"))</f>
        <v/>
      </c>
      <c r="I1722">
        <f>IF(H1722="","",IF(H1722&lt;=128,"address",IF(H1722&lt;=600,"data1",IF(H1722&lt;=1264,"zero-run1",IF(H1722&lt;=1648,"data2",IF(H1722&lt;=2176,"zero-run2",IF(H1722&lt;=2192,"FCS","trailing")))))))</f>
        <v/>
      </c>
      <c r="J1722">
        <f>IFERROR(IF(AND(H1722&lt;&gt;"",H1722&gt;=129,H1722&lt;=2176),INDEX(Fields!$B$2:$B$206,MATCH(H1722-129,Fields!$D$2:$D$206,1)),""),"")</f>
        <v/>
      </c>
      <c r="K1722">
        <f>IFERROR(IF(AND(H1722&lt;&gt;"",H1722&gt;=129,H1722&lt;=2176),INDEX(Fields!$C$2:$C$206,MATCH(H1722-129,Fields!$D$2:$D$206,1)),""),"")</f>
        <v/>
      </c>
      <c r="L1722">
        <f>IFERROR(IF(AND(H1722&lt;&gt;"",H1722&gt;=129,H1722&lt;=2176),INDEX(Fields!$J$2:$J$206,MATCH(H1722-129,Fields!$D$2:$D$206,1)),""),"")</f>
        <v/>
      </c>
      <c r="M1722">
        <f>IFERROR(IF(AND(H1722&lt;&gt;"",H1722&gt;=129,H1722&lt;=2176),INDEX(Fields!$K$2:$K$206,MATCH(H1722-129,Fields!$D$2:$D$206,1)),""),"")</f>
        <v/>
      </c>
    </row>
    <row r="1723">
      <c r="A1723" t="n">
        <v>1721</v>
      </c>
      <c r="B1723" t="n">
        <v>0</v>
      </c>
      <c r="C1723" t="inlineStr">
        <is>
          <t>No</t>
        </is>
      </c>
      <c r="D1723">
        <f>IF(AND(B1718=1,B1719=1,B1720=1,B1721=1,B1722=1),"Yes","")</f>
        <v/>
      </c>
      <c r="E1723" t="inlineStr">
        <is>
          <t>No</t>
        </is>
      </c>
      <c r="F1723" t="inlineStr">
        <is>
          <t>No</t>
        </is>
      </c>
      <c r="G1723">
        <f>IF(F1723="Yes",1-B1723,B1723)</f>
        <v/>
      </c>
      <c r="H1723">
        <f>IF(E1723="Yes","",COUNTIFS($E$2:E1723,"No"))</f>
        <v/>
      </c>
      <c r="I1723">
        <f>IF(H1723="","",IF(H1723&lt;=128,"address",IF(H1723&lt;=600,"data1",IF(H1723&lt;=1264,"zero-run1",IF(H1723&lt;=1648,"data2",IF(H1723&lt;=2176,"zero-run2",IF(H1723&lt;=2192,"FCS","trailing")))))))</f>
        <v/>
      </c>
      <c r="J1723">
        <f>IFERROR(IF(AND(H1723&lt;&gt;"",H1723&gt;=129,H1723&lt;=2176),INDEX(Fields!$B$2:$B$206,MATCH(H1723-129,Fields!$D$2:$D$206,1)),""),"")</f>
        <v/>
      </c>
      <c r="K1723">
        <f>IFERROR(IF(AND(H1723&lt;&gt;"",H1723&gt;=129,H1723&lt;=2176),INDEX(Fields!$C$2:$C$206,MATCH(H1723-129,Fields!$D$2:$D$206,1)),""),"")</f>
        <v/>
      </c>
      <c r="L1723">
        <f>IFERROR(IF(AND(H1723&lt;&gt;"",H1723&gt;=129,H1723&lt;=2176),INDEX(Fields!$J$2:$J$206,MATCH(H1723-129,Fields!$D$2:$D$206,1)),""),"")</f>
        <v/>
      </c>
      <c r="M1723">
        <f>IFERROR(IF(AND(H1723&lt;&gt;"",H1723&gt;=129,H1723&lt;=2176),INDEX(Fields!$K$2:$K$206,MATCH(H1723-129,Fields!$D$2:$D$206,1)),""),"")</f>
        <v/>
      </c>
    </row>
    <row r="1724">
      <c r="A1724" t="n">
        <v>1722</v>
      </c>
      <c r="B1724" t="n">
        <v>0</v>
      </c>
      <c r="C1724" t="inlineStr">
        <is>
          <t>No</t>
        </is>
      </c>
      <c r="D1724">
        <f>IF(AND(B1719=1,B1720=1,B1721=1,B1722=1,B1723=1),"Yes","")</f>
        <v/>
      </c>
      <c r="E1724" t="inlineStr">
        <is>
          <t>No</t>
        </is>
      </c>
      <c r="F1724" t="inlineStr">
        <is>
          <t>No</t>
        </is>
      </c>
      <c r="G1724">
        <f>IF(F1724="Yes",1-B1724,B1724)</f>
        <v/>
      </c>
      <c r="H1724">
        <f>IF(E1724="Yes","",COUNTIFS($E$2:E1724,"No"))</f>
        <v/>
      </c>
      <c r="I1724">
        <f>IF(H1724="","",IF(H1724&lt;=128,"address",IF(H1724&lt;=600,"data1",IF(H1724&lt;=1264,"zero-run1",IF(H1724&lt;=1648,"data2",IF(H1724&lt;=2176,"zero-run2",IF(H1724&lt;=2192,"FCS","trailing")))))))</f>
        <v/>
      </c>
      <c r="J1724">
        <f>IFERROR(IF(AND(H1724&lt;&gt;"",H1724&gt;=129,H1724&lt;=2176),INDEX(Fields!$B$2:$B$206,MATCH(H1724-129,Fields!$D$2:$D$206,1)),""),"")</f>
        <v/>
      </c>
      <c r="K1724">
        <f>IFERROR(IF(AND(H1724&lt;&gt;"",H1724&gt;=129,H1724&lt;=2176),INDEX(Fields!$C$2:$C$206,MATCH(H1724-129,Fields!$D$2:$D$206,1)),""),"")</f>
        <v/>
      </c>
      <c r="L1724">
        <f>IFERROR(IF(AND(H1724&lt;&gt;"",H1724&gt;=129,H1724&lt;=2176),INDEX(Fields!$J$2:$J$206,MATCH(H1724-129,Fields!$D$2:$D$206,1)),""),"")</f>
        <v/>
      </c>
      <c r="M1724">
        <f>IFERROR(IF(AND(H1724&lt;&gt;"",H1724&gt;=129,H1724&lt;=2176),INDEX(Fields!$K$2:$K$206,MATCH(H1724-129,Fields!$D$2:$D$206,1)),""),"")</f>
        <v/>
      </c>
    </row>
    <row r="1725">
      <c r="A1725" t="n">
        <v>1723</v>
      </c>
      <c r="B1725" t="n">
        <v>0</v>
      </c>
      <c r="C1725" t="inlineStr">
        <is>
          <t>No</t>
        </is>
      </c>
      <c r="D1725">
        <f>IF(AND(B1720=1,B1721=1,B1722=1,B1723=1,B1724=1),"Yes","")</f>
        <v/>
      </c>
      <c r="E1725" t="inlineStr">
        <is>
          <t>No</t>
        </is>
      </c>
      <c r="F1725" t="inlineStr">
        <is>
          <t>No</t>
        </is>
      </c>
      <c r="G1725">
        <f>IF(F1725="Yes",1-B1725,B1725)</f>
        <v/>
      </c>
      <c r="H1725">
        <f>IF(E1725="Yes","",COUNTIFS($E$2:E1725,"No"))</f>
        <v/>
      </c>
      <c r="I1725">
        <f>IF(H1725="","",IF(H1725&lt;=128,"address",IF(H1725&lt;=600,"data1",IF(H1725&lt;=1264,"zero-run1",IF(H1725&lt;=1648,"data2",IF(H1725&lt;=2176,"zero-run2",IF(H1725&lt;=2192,"FCS","trailing")))))))</f>
        <v/>
      </c>
      <c r="J1725">
        <f>IFERROR(IF(AND(H1725&lt;&gt;"",H1725&gt;=129,H1725&lt;=2176),INDEX(Fields!$B$2:$B$206,MATCH(H1725-129,Fields!$D$2:$D$206,1)),""),"")</f>
        <v/>
      </c>
      <c r="K1725">
        <f>IFERROR(IF(AND(H1725&lt;&gt;"",H1725&gt;=129,H1725&lt;=2176),INDEX(Fields!$C$2:$C$206,MATCH(H1725-129,Fields!$D$2:$D$206,1)),""),"")</f>
        <v/>
      </c>
      <c r="L1725">
        <f>IFERROR(IF(AND(H1725&lt;&gt;"",H1725&gt;=129,H1725&lt;=2176),INDEX(Fields!$J$2:$J$206,MATCH(H1725-129,Fields!$D$2:$D$206,1)),""),"")</f>
        <v/>
      </c>
      <c r="M1725">
        <f>IFERROR(IF(AND(H1725&lt;&gt;"",H1725&gt;=129,H1725&lt;=2176),INDEX(Fields!$K$2:$K$206,MATCH(H1725-129,Fields!$D$2:$D$206,1)),""),"")</f>
        <v/>
      </c>
    </row>
    <row r="1726">
      <c r="A1726" t="n">
        <v>1724</v>
      </c>
      <c r="B1726" t="n">
        <v>0</v>
      </c>
      <c r="C1726" t="inlineStr">
        <is>
          <t>No</t>
        </is>
      </c>
      <c r="D1726">
        <f>IF(AND(B1721=1,B1722=1,B1723=1,B1724=1,B1725=1),"Yes","")</f>
        <v/>
      </c>
      <c r="E1726" t="inlineStr">
        <is>
          <t>No</t>
        </is>
      </c>
      <c r="F1726" t="inlineStr">
        <is>
          <t>No</t>
        </is>
      </c>
      <c r="G1726">
        <f>IF(F1726="Yes",1-B1726,B1726)</f>
        <v/>
      </c>
      <c r="H1726">
        <f>IF(E1726="Yes","",COUNTIFS($E$2:E1726,"No"))</f>
        <v/>
      </c>
      <c r="I1726">
        <f>IF(H1726="","",IF(H1726&lt;=128,"address",IF(H1726&lt;=600,"data1",IF(H1726&lt;=1264,"zero-run1",IF(H1726&lt;=1648,"data2",IF(H1726&lt;=2176,"zero-run2",IF(H1726&lt;=2192,"FCS","trailing")))))))</f>
        <v/>
      </c>
      <c r="J1726">
        <f>IFERROR(IF(AND(H1726&lt;&gt;"",H1726&gt;=129,H1726&lt;=2176),INDEX(Fields!$B$2:$B$206,MATCH(H1726-129,Fields!$D$2:$D$206,1)),""),"")</f>
        <v/>
      </c>
      <c r="K1726">
        <f>IFERROR(IF(AND(H1726&lt;&gt;"",H1726&gt;=129,H1726&lt;=2176),INDEX(Fields!$C$2:$C$206,MATCH(H1726-129,Fields!$D$2:$D$206,1)),""),"")</f>
        <v/>
      </c>
      <c r="L1726">
        <f>IFERROR(IF(AND(H1726&lt;&gt;"",H1726&gt;=129,H1726&lt;=2176),INDEX(Fields!$J$2:$J$206,MATCH(H1726-129,Fields!$D$2:$D$206,1)),""),"")</f>
        <v/>
      </c>
      <c r="M1726">
        <f>IFERROR(IF(AND(H1726&lt;&gt;"",H1726&gt;=129,H1726&lt;=2176),INDEX(Fields!$K$2:$K$206,MATCH(H1726-129,Fields!$D$2:$D$206,1)),""),"")</f>
        <v/>
      </c>
    </row>
    <row r="1727">
      <c r="A1727" t="n">
        <v>1725</v>
      </c>
      <c r="B1727" t="n">
        <v>0</v>
      </c>
      <c r="C1727" t="inlineStr">
        <is>
          <t>No</t>
        </is>
      </c>
      <c r="D1727">
        <f>IF(AND(B1722=1,B1723=1,B1724=1,B1725=1,B1726=1),"Yes","")</f>
        <v/>
      </c>
      <c r="E1727" t="inlineStr">
        <is>
          <t>No</t>
        </is>
      </c>
      <c r="F1727" t="inlineStr">
        <is>
          <t>No</t>
        </is>
      </c>
      <c r="G1727">
        <f>IF(F1727="Yes",1-B1727,B1727)</f>
        <v/>
      </c>
      <c r="H1727">
        <f>IF(E1727="Yes","",COUNTIFS($E$2:E1727,"No"))</f>
        <v/>
      </c>
      <c r="I1727">
        <f>IF(H1727="","",IF(H1727&lt;=128,"address",IF(H1727&lt;=600,"data1",IF(H1727&lt;=1264,"zero-run1",IF(H1727&lt;=1648,"data2",IF(H1727&lt;=2176,"zero-run2",IF(H1727&lt;=2192,"FCS","trailing")))))))</f>
        <v/>
      </c>
      <c r="J1727">
        <f>IFERROR(IF(AND(H1727&lt;&gt;"",H1727&gt;=129,H1727&lt;=2176),INDEX(Fields!$B$2:$B$206,MATCH(H1727-129,Fields!$D$2:$D$206,1)),""),"")</f>
        <v/>
      </c>
      <c r="K1727">
        <f>IFERROR(IF(AND(H1727&lt;&gt;"",H1727&gt;=129,H1727&lt;=2176),INDEX(Fields!$C$2:$C$206,MATCH(H1727-129,Fields!$D$2:$D$206,1)),""),"")</f>
        <v/>
      </c>
      <c r="L1727">
        <f>IFERROR(IF(AND(H1727&lt;&gt;"",H1727&gt;=129,H1727&lt;=2176),INDEX(Fields!$J$2:$J$206,MATCH(H1727-129,Fields!$D$2:$D$206,1)),""),"")</f>
        <v/>
      </c>
      <c r="M1727">
        <f>IFERROR(IF(AND(H1727&lt;&gt;"",H1727&gt;=129,H1727&lt;=2176),INDEX(Fields!$K$2:$K$206,MATCH(H1727-129,Fields!$D$2:$D$206,1)),""),"")</f>
        <v/>
      </c>
    </row>
    <row r="1728">
      <c r="A1728" t="n">
        <v>1726</v>
      </c>
      <c r="B1728" t="n">
        <v>0</v>
      </c>
      <c r="C1728" t="inlineStr">
        <is>
          <t>No</t>
        </is>
      </c>
      <c r="D1728">
        <f>IF(AND(B1723=1,B1724=1,B1725=1,B1726=1,B1727=1),"Yes","")</f>
        <v/>
      </c>
      <c r="E1728" t="inlineStr">
        <is>
          <t>No</t>
        </is>
      </c>
      <c r="F1728" t="inlineStr">
        <is>
          <t>No</t>
        </is>
      </c>
      <c r="G1728">
        <f>IF(F1728="Yes",1-B1728,B1728)</f>
        <v/>
      </c>
      <c r="H1728">
        <f>IF(E1728="Yes","",COUNTIFS($E$2:E1728,"No"))</f>
        <v/>
      </c>
      <c r="I1728">
        <f>IF(H1728="","",IF(H1728&lt;=128,"address",IF(H1728&lt;=600,"data1",IF(H1728&lt;=1264,"zero-run1",IF(H1728&lt;=1648,"data2",IF(H1728&lt;=2176,"zero-run2",IF(H1728&lt;=2192,"FCS","trailing")))))))</f>
        <v/>
      </c>
      <c r="J1728">
        <f>IFERROR(IF(AND(H1728&lt;&gt;"",H1728&gt;=129,H1728&lt;=2176),INDEX(Fields!$B$2:$B$206,MATCH(H1728-129,Fields!$D$2:$D$206,1)),""),"")</f>
        <v/>
      </c>
      <c r="K1728">
        <f>IFERROR(IF(AND(H1728&lt;&gt;"",H1728&gt;=129,H1728&lt;=2176),INDEX(Fields!$C$2:$C$206,MATCH(H1728-129,Fields!$D$2:$D$206,1)),""),"")</f>
        <v/>
      </c>
      <c r="L1728">
        <f>IFERROR(IF(AND(H1728&lt;&gt;"",H1728&gt;=129,H1728&lt;=2176),INDEX(Fields!$J$2:$J$206,MATCH(H1728-129,Fields!$D$2:$D$206,1)),""),"")</f>
        <v/>
      </c>
      <c r="M1728">
        <f>IFERROR(IF(AND(H1728&lt;&gt;"",H1728&gt;=129,H1728&lt;=2176),INDEX(Fields!$K$2:$K$206,MATCH(H1728-129,Fields!$D$2:$D$206,1)),""),"")</f>
        <v/>
      </c>
    </row>
    <row r="1729">
      <c r="A1729" t="n">
        <v>1727</v>
      </c>
      <c r="B1729" t="n">
        <v>0</v>
      </c>
      <c r="C1729" t="inlineStr">
        <is>
          <t>No</t>
        </is>
      </c>
      <c r="D1729">
        <f>IF(AND(B1724=1,B1725=1,B1726=1,B1727=1,B1728=1),"Yes","")</f>
        <v/>
      </c>
      <c r="E1729" t="inlineStr">
        <is>
          <t>No</t>
        </is>
      </c>
      <c r="F1729" t="inlineStr">
        <is>
          <t>No</t>
        </is>
      </c>
      <c r="G1729">
        <f>IF(F1729="Yes",1-B1729,B1729)</f>
        <v/>
      </c>
      <c r="H1729">
        <f>IF(E1729="Yes","",COUNTIFS($E$2:E1729,"No"))</f>
        <v/>
      </c>
      <c r="I1729">
        <f>IF(H1729="","",IF(H1729&lt;=128,"address",IF(H1729&lt;=600,"data1",IF(H1729&lt;=1264,"zero-run1",IF(H1729&lt;=1648,"data2",IF(H1729&lt;=2176,"zero-run2",IF(H1729&lt;=2192,"FCS","trailing")))))))</f>
        <v/>
      </c>
      <c r="J1729">
        <f>IFERROR(IF(AND(H1729&lt;&gt;"",H1729&gt;=129,H1729&lt;=2176),INDEX(Fields!$B$2:$B$206,MATCH(H1729-129,Fields!$D$2:$D$206,1)),""),"")</f>
        <v/>
      </c>
      <c r="K1729">
        <f>IFERROR(IF(AND(H1729&lt;&gt;"",H1729&gt;=129,H1729&lt;=2176),INDEX(Fields!$C$2:$C$206,MATCH(H1729-129,Fields!$D$2:$D$206,1)),""),"")</f>
        <v/>
      </c>
      <c r="L1729">
        <f>IFERROR(IF(AND(H1729&lt;&gt;"",H1729&gt;=129,H1729&lt;=2176),INDEX(Fields!$J$2:$J$206,MATCH(H1729-129,Fields!$D$2:$D$206,1)),""),"")</f>
        <v/>
      </c>
      <c r="M1729">
        <f>IFERROR(IF(AND(H1729&lt;&gt;"",H1729&gt;=129,H1729&lt;=2176),INDEX(Fields!$K$2:$K$206,MATCH(H1729-129,Fields!$D$2:$D$206,1)),""),"")</f>
        <v/>
      </c>
    </row>
    <row r="1730">
      <c r="A1730" t="n">
        <v>1728</v>
      </c>
      <c r="B1730" t="n">
        <v>0</v>
      </c>
      <c r="C1730" t="inlineStr">
        <is>
          <t>No</t>
        </is>
      </c>
      <c r="D1730">
        <f>IF(AND(B1725=1,B1726=1,B1727=1,B1728=1,B1729=1),"Yes","")</f>
        <v/>
      </c>
      <c r="E1730" t="inlineStr">
        <is>
          <t>No</t>
        </is>
      </c>
      <c r="F1730" t="inlineStr">
        <is>
          <t>No</t>
        </is>
      </c>
      <c r="G1730">
        <f>IF(F1730="Yes",1-B1730,B1730)</f>
        <v/>
      </c>
      <c r="H1730">
        <f>IF(E1730="Yes","",COUNTIFS($E$2:E1730,"No"))</f>
        <v/>
      </c>
      <c r="I1730">
        <f>IF(H1730="","",IF(H1730&lt;=128,"address",IF(H1730&lt;=600,"data1",IF(H1730&lt;=1264,"zero-run1",IF(H1730&lt;=1648,"data2",IF(H1730&lt;=2176,"zero-run2",IF(H1730&lt;=2192,"FCS","trailing")))))))</f>
        <v/>
      </c>
      <c r="J1730">
        <f>IFERROR(IF(AND(H1730&lt;&gt;"",H1730&gt;=129,H1730&lt;=2176),INDEX(Fields!$B$2:$B$206,MATCH(H1730-129,Fields!$D$2:$D$206,1)),""),"")</f>
        <v/>
      </c>
      <c r="K1730">
        <f>IFERROR(IF(AND(H1730&lt;&gt;"",H1730&gt;=129,H1730&lt;=2176),INDEX(Fields!$C$2:$C$206,MATCH(H1730-129,Fields!$D$2:$D$206,1)),""),"")</f>
        <v/>
      </c>
      <c r="L1730">
        <f>IFERROR(IF(AND(H1730&lt;&gt;"",H1730&gt;=129,H1730&lt;=2176),INDEX(Fields!$J$2:$J$206,MATCH(H1730-129,Fields!$D$2:$D$206,1)),""),"")</f>
        <v/>
      </c>
      <c r="M1730">
        <f>IFERROR(IF(AND(H1730&lt;&gt;"",H1730&gt;=129,H1730&lt;=2176),INDEX(Fields!$K$2:$K$206,MATCH(H1730-129,Fields!$D$2:$D$206,1)),""),"")</f>
        <v/>
      </c>
    </row>
    <row r="1731">
      <c r="A1731" t="n">
        <v>1729</v>
      </c>
      <c r="B1731" t="n">
        <v>0</v>
      </c>
      <c r="C1731" t="inlineStr">
        <is>
          <t>No</t>
        </is>
      </c>
      <c r="D1731">
        <f>IF(AND(B1726=1,B1727=1,B1728=1,B1729=1,B1730=1),"Yes","")</f>
        <v/>
      </c>
      <c r="E1731" t="inlineStr">
        <is>
          <t>No</t>
        </is>
      </c>
      <c r="F1731" t="inlineStr">
        <is>
          <t>No</t>
        </is>
      </c>
      <c r="G1731">
        <f>IF(F1731="Yes",1-B1731,B1731)</f>
        <v/>
      </c>
      <c r="H1731">
        <f>IF(E1731="Yes","",COUNTIFS($E$2:E1731,"No"))</f>
        <v/>
      </c>
      <c r="I1731">
        <f>IF(H1731="","",IF(H1731&lt;=128,"address",IF(H1731&lt;=600,"data1",IF(H1731&lt;=1264,"zero-run1",IF(H1731&lt;=1648,"data2",IF(H1731&lt;=2176,"zero-run2",IF(H1731&lt;=2192,"FCS","trailing")))))))</f>
        <v/>
      </c>
      <c r="J1731">
        <f>IFERROR(IF(AND(H1731&lt;&gt;"",H1731&gt;=129,H1731&lt;=2176),INDEX(Fields!$B$2:$B$206,MATCH(H1731-129,Fields!$D$2:$D$206,1)),""),"")</f>
        <v/>
      </c>
      <c r="K1731">
        <f>IFERROR(IF(AND(H1731&lt;&gt;"",H1731&gt;=129,H1731&lt;=2176),INDEX(Fields!$C$2:$C$206,MATCH(H1731-129,Fields!$D$2:$D$206,1)),""),"")</f>
        <v/>
      </c>
      <c r="L1731">
        <f>IFERROR(IF(AND(H1731&lt;&gt;"",H1731&gt;=129,H1731&lt;=2176),INDEX(Fields!$J$2:$J$206,MATCH(H1731-129,Fields!$D$2:$D$206,1)),""),"")</f>
        <v/>
      </c>
      <c r="M1731">
        <f>IFERROR(IF(AND(H1731&lt;&gt;"",H1731&gt;=129,H1731&lt;=2176),INDEX(Fields!$K$2:$K$206,MATCH(H1731-129,Fields!$D$2:$D$206,1)),""),"")</f>
        <v/>
      </c>
    </row>
    <row r="1732">
      <c r="A1732" t="n">
        <v>1730</v>
      </c>
      <c r="B1732" t="n">
        <v>0</v>
      </c>
      <c r="C1732" t="inlineStr">
        <is>
          <t>No</t>
        </is>
      </c>
      <c r="D1732">
        <f>IF(AND(B1727=1,B1728=1,B1729=1,B1730=1,B1731=1),"Yes","")</f>
        <v/>
      </c>
      <c r="E1732" t="inlineStr">
        <is>
          <t>No</t>
        </is>
      </c>
      <c r="F1732" t="inlineStr">
        <is>
          <t>No</t>
        </is>
      </c>
      <c r="G1732">
        <f>IF(F1732="Yes",1-B1732,B1732)</f>
        <v/>
      </c>
      <c r="H1732">
        <f>IF(E1732="Yes","",COUNTIFS($E$2:E1732,"No"))</f>
        <v/>
      </c>
      <c r="I1732">
        <f>IF(H1732="","",IF(H1732&lt;=128,"address",IF(H1732&lt;=600,"data1",IF(H1732&lt;=1264,"zero-run1",IF(H1732&lt;=1648,"data2",IF(H1732&lt;=2176,"zero-run2",IF(H1732&lt;=2192,"FCS","trailing")))))))</f>
        <v/>
      </c>
      <c r="J1732">
        <f>IFERROR(IF(AND(H1732&lt;&gt;"",H1732&gt;=129,H1732&lt;=2176),INDEX(Fields!$B$2:$B$206,MATCH(H1732-129,Fields!$D$2:$D$206,1)),""),"")</f>
        <v/>
      </c>
      <c r="K1732">
        <f>IFERROR(IF(AND(H1732&lt;&gt;"",H1732&gt;=129,H1732&lt;=2176),INDEX(Fields!$C$2:$C$206,MATCH(H1732-129,Fields!$D$2:$D$206,1)),""),"")</f>
        <v/>
      </c>
      <c r="L1732">
        <f>IFERROR(IF(AND(H1732&lt;&gt;"",H1732&gt;=129,H1732&lt;=2176),INDEX(Fields!$J$2:$J$206,MATCH(H1732-129,Fields!$D$2:$D$206,1)),""),"")</f>
        <v/>
      </c>
      <c r="M1732">
        <f>IFERROR(IF(AND(H1732&lt;&gt;"",H1732&gt;=129,H1732&lt;=2176),INDEX(Fields!$K$2:$K$206,MATCH(H1732-129,Fields!$D$2:$D$206,1)),""),"")</f>
        <v/>
      </c>
    </row>
    <row r="1733">
      <c r="A1733" t="n">
        <v>1731</v>
      </c>
      <c r="B1733" t="n">
        <v>0</v>
      </c>
      <c r="C1733" t="inlineStr">
        <is>
          <t>No</t>
        </is>
      </c>
      <c r="D1733">
        <f>IF(AND(B1728=1,B1729=1,B1730=1,B1731=1,B1732=1),"Yes","")</f>
        <v/>
      </c>
      <c r="E1733" t="inlineStr">
        <is>
          <t>No</t>
        </is>
      </c>
      <c r="F1733" t="inlineStr">
        <is>
          <t>No</t>
        </is>
      </c>
      <c r="G1733">
        <f>IF(F1733="Yes",1-B1733,B1733)</f>
        <v/>
      </c>
      <c r="H1733">
        <f>IF(E1733="Yes","",COUNTIFS($E$2:E1733,"No"))</f>
        <v/>
      </c>
      <c r="I1733">
        <f>IF(H1733="","",IF(H1733&lt;=128,"address",IF(H1733&lt;=600,"data1",IF(H1733&lt;=1264,"zero-run1",IF(H1733&lt;=1648,"data2",IF(H1733&lt;=2176,"zero-run2",IF(H1733&lt;=2192,"FCS","trailing")))))))</f>
        <v/>
      </c>
      <c r="J1733">
        <f>IFERROR(IF(AND(H1733&lt;&gt;"",H1733&gt;=129,H1733&lt;=2176),INDEX(Fields!$B$2:$B$206,MATCH(H1733-129,Fields!$D$2:$D$206,1)),""),"")</f>
        <v/>
      </c>
      <c r="K1733">
        <f>IFERROR(IF(AND(H1733&lt;&gt;"",H1733&gt;=129,H1733&lt;=2176),INDEX(Fields!$C$2:$C$206,MATCH(H1733-129,Fields!$D$2:$D$206,1)),""),"")</f>
        <v/>
      </c>
      <c r="L1733">
        <f>IFERROR(IF(AND(H1733&lt;&gt;"",H1733&gt;=129,H1733&lt;=2176),INDEX(Fields!$J$2:$J$206,MATCH(H1733-129,Fields!$D$2:$D$206,1)),""),"")</f>
        <v/>
      </c>
      <c r="M1733">
        <f>IFERROR(IF(AND(H1733&lt;&gt;"",H1733&gt;=129,H1733&lt;=2176),INDEX(Fields!$K$2:$K$206,MATCH(H1733-129,Fields!$D$2:$D$206,1)),""),"")</f>
        <v/>
      </c>
    </row>
    <row r="1734">
      <c r="A1734" t="n">
        <v>1732</v>
      </c>
      <c r="B1734" t="n">
        <v>0</v>
      </c>
      <c r="C1734" t="inlineStr">
        <is>
          <t>No</t>
        </is>
      </c>
      <c r="D1734">
        <f>IF(AND(B1729=1,B1730=1,B1731=1,B1732=1,B1733=1),"Yes","")</f>
        <v/>
      </c>
      <c r="E1734" t="inlineStr">
        <is>
          <t>No</t>
        </is>
      </c>
      <c r="F1734" t="inlineStr">
        <is>
          <t>No</t>
        </is>
      </c>
      <c r="G1734">
        <f>IF(F1734="Yes",1-B1734,B1734)</f>
        <v/>
      </c>
      <c r="H1734">
        <f>IF(E1734="Yes","",COUNTIFS($E$2:E1734,"No"))</f>
        <v/>
      </c>
      <c r="I1734">
        <f>IF(H1734="","",IF(H1734&lt;=128,"address",IF(H1734&lt;=600,"data1",IF(H1734&lt;=1264,"zero-run1",IF(H1734&lt;=1648,"data2",IF(H1734&lt;=2176,"zero-run2",IF(H1734&lt;=2192,"FCS","trailing")))))))</f>
        <v/>
      </c>
      <c r="J1734">
        <f>IFERROR(IF(AND(H1734&lt;&gt;"",H1734&gt;=129,H1734&lt;=2176),INDEX(Fields!$B$2:$B$206,MATCH(H1734-129,Fields!$D$2:$D$206,1)),""),"")</f>
        <v/>
      </c>
      <c r="K1734">
        <f>IFERROR(IF(AND(H1734&lt;&gt;"",H1734&gt;=129,H1734&lt;=2176),INDEX(Fields!$C$2:$C$206,MATCH(H1734-129,Fields!$D$2:$D$206,1)),""),"")</f>
        <v/>
      </c>
      <c r="L1734">
        <f>IFERROR(IF(AND(H1734&lt;&gt;"",H1734&gt;=129,H1734&lt;=2176),INDEX(Fields!$J$2:$J$206,MATCH(H1734-129,Fields!$D$2:$D$206,1)),""),"")</f>
        <v/>
      </c>
      <c r="M1734">
        <f>IFERROR(IF(AND(H1734&lt;&gt;"",H1734&gt;=129,H1734&lt;=2176),INDEX(Fields!$K$2:$K$206,MATCH(H1734-129,Fields!$D$2:$D$206,1)),""),"")</f>
        <v/>
      </c>
    </row>
    <row r="1735">
      <c r="A1735" t="n">
        <v>1733</v>
      </c>
      <c r="B1735" t="n">
        <v>0</v>
      </c>
      <c r="C1735" t="inlineStr">
        <is>
          <t>No</t>
        </is>
      </c>
      <c r="D1735">
        <f>IF(AND(B1730=1,B1731=1,B1732=1,B1733=1,B1734=1),"Yes","")</f>
        <v/>
      </c>
      <c r="E1735" t="inlineStr">
        <is>
          <t>No</t>
        </is>
      </c>
      <c r="F1735" t="inlineStr">
        <is>
          <t>No</t>
        </is>
      </c>
      <c r="G1735">
        <f>IF(F1735="Yes",1-B1735,B1735)</f>
        <v/>
      </c>
      <c r="H1735">
        <f>IF(E1735="Yes","",COUNTIFS($E$2:E1735,"No"))</f>
        <v/>
      </c>
      <c r="I1735">
        <f>IF(H1735="","",IF(H1735&lt;=128,"address",IF(H1735&lt;=600,"data1",IF(H1735&lt;=1264,"zero-run1",IF(H1735&lt;=1648,"data2",IF(H1735&lt;=2176,"zero-run2",IF(H1735&lt;=2192,"FCS","trailing")))))))</f>
        <v/>
      </c>
      <c r="J1735">
        <f>IFERROR(IF(AND(H1735&lt;&gt;"",H1735&gt;=129,H1735&lt;=2176),INDEX(Fields!$B$2:$B$206,MATCH(H1735-129,Fields!$D$2:$D$206,1)),""),"")</f>
        <v/>
      </c>
      <c r="K1735">
        <f>IFERROR(IF(AND(H1735&lt;&gt;"",H1735&gt;=129,H1735&lt;=2176),INDEX(Fields!$C$2:$C$206,MATCH(H1735-129,Fields!$D$2:$D$206,1)),""),"")</f>
        <v/>
      </c>
      <c r="L1735">
        <f>IFERROR(IF(AND(H1735&lt;&gt;"",H1735&gt;=129,H1735&lt;=2176),INDEX(Fields!$J$2:$J$206,MATCH(H1735-129,Fields!$D$2:$D$206,1)),""),"")</f>
        <v/>
      </c>
      <c r="M1735">
        <f>IFERROR(IF(AND(H1735&lt;&gt;"",H1735&gt;=129,H1735&lt;=2176),INDEX(Fields!$K$2:$K$206,MATCH(H1735-129,Fields!$D$2:$D$206,1)),""),"")</f>
        <v/>
      </c>
    </row>
    <row r="1736">
      <c r="A1736" t="n">
        <v>1734</v>
      </c>
      <c r="B1736" t="n">
        <v>0</v>
      </c>
      <c r="C1736" t="inlineStr">
        <is>
          <t>No</t>
        </is>
      </c>
      <c r="D1736">
        <f>IF(AND(B1731=1,B1732=1,B1733=1,B1734=1,B1735=1),"Yes","")</f>
        <v/>
      </c>
      <c r="E1736" t="inlineStr">
        <is>
          <t>No</t>
        </is>
      </c>
      <c r="F1736" t="inlineStr">
        <is>
          <t>No</t>
        </is>
      </c>
      <c r="G1736">
        <f>IF(F1736="Yes",1-B1736,B1736)</f>
        <v/>
      </c>
      <c r="H1736">
        <f>IF(E1736="Yes","",COUNTIFS($E$2:E1736,"No"))</f>
        <v/>
      </c>
      <c r="I1736">
        <f>IF(H1736="","",IF(H1736&lt;=128,"address",IF(H1736&lt;=600,"data1",IF(H1736&lt;=1264,"zero-run1",IF(H1736&lt;=1648,"data2",IF(H1736&lt;=2176,"zero-run2",IF(H1736&lt;=2192,"FCS","trailing")))))))</f>
        <v/>
      </c>
      <c r="J1736">
        <f>IFERROR(IF(AND(H1736&lt;&gt;"",H1736&gt;=129,H1736&lt;=2176),INDEX(Fields!$B$2:$B$206,MATCH(H1736-129,Fields!$D$2:$D$206,1)),""),"")</f>
        <v/>
      </c>
      <c r="K1736">
        <f>IFERROR(IF(AND(H1736&lt;&gt;"",H1736&gt;=129,H1736&lt;=2176),INDEX(Fields!$C$2:$C$206,MATCH(H1736-129,Fields!$D$2:$D$206,1)),""),"")</f>
        <v/>
      </c>
      <c r="L1736">
        <f>IFERROR(IF(AND(H1736&lt;&gt;"",H1736&gt;=129,H1736&lt;=2176),INDEX(Fields!$J$2:$J$206,MATCH(H1736-129,Fields!$D$2:$D$206,1)),""),"")</f>
        <v/>
      </c>
      <c r="M1736">
        <f>IFERROR(IF(AND(H1736&lt;&gt;"",H1736&gt;=129,H1736&lt;=2176),INDEX(Fields!$K$2:$K$206,MATCH(H1736-129,Fields!$D$2:$D$206,1)),""),"")</f>
        <v/>
      </c>
    </row>
    <row r="1737">
      <c r="A1737" t="n">
        <v>1735</v>
      </c>
      <c r="B1737" t="n">
        <v>0</v>
      </c>
      <c r="C1737" t="inlineStr">
        <is>
          <t>No</t>
        </is>
      </c>
      <c r="D1737">
        <f>IF(AND(B1732=1,B1733=1,B1734=1,B1735=1,B1736=1),"Yes","")</f>
        <v/>
      </c>
      <c r="E1737" t="inlineStr">
        <is>
          <t>No</t>
        </is>
      </c>
      <c r="F1737" t="inlineStr">
        <is>
          <t>No</t>
        </is>
      </c>
      <c r="G1737">
        <f>IF(F1737="Yes",1-B1737,B1737)</f>
        <v/>
      </c>
      <c r="H1737">
        <f>IF(E1737="Yes","",COUNTIFS($E$2:E1737,"No"))</f>
        <v/>
      </c>
      <c r="I1737">
        <f>IF(H1737="","",IF(H1737&lt;=128,"address",IF(H1737&lt;=600,"data1",IF(H1737&lt;=1264,"zero-run1",IF(H1737&lt;=1648,"data2",IF(H1737&lt;=2176,"zero-run2",IF(H1737&lt;=2192,"FCS","trailing")))))))</f>
        <v/>
      </c>
      <c r="J1737">
        <f>IFERROR(IF(AND(H1737&lt;&gt;"",H1737&gt;=129,H1737&lt;=2176),INDEX(Fields!$B$2:$B$206,MATCH(H1737-129,Fields!$D$2:$D$206,1)),""),"")</f>
        <v/>
      </c>
      <c r="K1737">
        <f>IFERROR(IF(AND(H1737&lt;&gt;"",H1737&gt;=129,H1737&lt;=2176),INDEX(Fields!$C$2:$C$206,MATCH(H1737-129,Fields!$D$2:$D$206,1)),""),"")</f>
        <v/>
      </c>
      <c r="L1737">
        <f>IFERROR(IF(AND(H1737&lt;&gt;"",H1737&gt;=129,H1737&lt;=2176),INDEX(Fields!$J$2:$J$206,MATCH(H1737-129,Fields!$D$2:$D$206,1)),""),"")</f>
        <v/>
      </c>
      <c r="M1737">
        <f>IFERROR(IF(AND(H1737&lt;&gt;"",H1737&gt;=129,H1737&lt;=2176),INDEX(Fields!$K$2:$K$206,MATCH(H1737-129,Fields!$D$2:$D$206,1)),""),"")</f>
        <v/>
      </c>
    </row>
    <row r="1738">
      <c r="A1738" t="n">
        <v>1736</v>
      </c>
      <c r="B1738" t="n">
        <v>0</v>
      </c>
      <c r="C1738" t="inlineStr">
        <is>
          <t>No</t>
        </is>
      </c>
      <c r="D1738">
        <f>IF(AND(B1733=1,B1734=1,B1735=1,B1736=1,B1737=1),"Yes","")</f>
        <v/>
      </c>
      <c r="E1738" t="inlineStr">
        <is>
          <t>No</t>
        </is>
      </c>
      <c r="F1738" t="inlineStr">
        <is>
          <t>No</t>
        </is>
      </c>
      <c r="G1738">
        <f>IF(F1738="Yes",1-B1738,B1738)</f>
        <v/>
      </c>
      <c r="H1738">
        <f>IF(E1738="Yes","",COUNTIFS($E$2:E1738,"No"))</f>
        <v/>
      </c>
      <c r="I1738">
        <f>IF(H1738="","",IF(H1738&lt;=128,"address",IF(H1738&lt;=600,"data1",IF(H1738&lt;=1264,"zero-run1",IF(H1738&lt;=1648,"data2",IF(H1738&lt;=2176,"zero-run2",IF(H1738&lt;=2192,"FCS","trailing")))))))</f>
        <v/>
      </c>
      <c r="J1738">
        <f>IFERROR(IF(AND(H1738&lt;&gt;"",H1738&gt;=129,H1738&lt;=2176),INDEX(Fields!$B$2:$B$206,MATCH(H1738-129,Fields!$D$2:$D$206,1)),""),"")</f>
        <v/>
      </c>
      <c r="K1738">
        <f>IFERROR(IF(AND(H1738&lt;&gt;"",H1738&gt;=129,H1738&lt;=2176),INDEX(Fields!$C$2:$C$206,MATCH(H1738-129,Fields!$D$2:$D$206,1)),""),"")</f>
        <v/>
      </c>
      <c r="L1738">
        <f>IFERROR(IF(AND(H1738&lt;&gt;"",H1738&gt;=129,H1738&lt;=2176),INDEX(Fields!$J$2:$J$206,MATCH(H1738-129,Fields!$D$2:$D$206,1)),""),"")</f>
        <v/>
      </c>
      <c r="M1738">
        <f>IFERROR(IF(AND(H1738&lt;&gt;"",H1738&gt;=129,H1738&lt;=2176),INDEX(Fields!$K$2:$K$206,MATCH(H1738-129,Fields!$D$2:$D$206,1)),""),"")</f>
        <v/>
      </c>
    </row>
    <row r="1739">
      <c r="A1739" t="n">
        <v>1737</v>
      </c>
      <c r="B1739" t="n">
        <v>0</v>
      </c>
      <c r="C1739" t="inlineStr">
        <is>
          <t>No</t>
        </is>
      </c>
      <c r="D1739">
        <f>IF(AND(B1734=1,B1735=1,B1736=1,B1737=1,B1738=1),"Yes","")</f>
        <v/>
      </c>
      <c r="E1739" t="inlineStr">
        <is>
          <t>No</t>
        </is>
      </c>
      <c r="F1739" t="inlineStr">
        <is>
          <t>No</t>
        </is>
      </c>
      <c r="G1739">
        <f>IF(F1739="Yes",1-B1739,B1739)</f>
        <v/>
      </c>
      <c r="H1739">
        <f>IF(E1739="Yes","",COUNTIFS($E$2:E1739,"No"))</f>
        <v/>
      </c>
      <c r="I1739">
        <f>IF(H1739="","",IF(H1739&lt;=128,"address",IF(H1739&lt;=600,"data1",IF(H1739&lt;=1264,"zero-run1",IF(H1739&lt;=1648,"data2",IF(H1739&lt;=2176,"zero-run2",IF(H1739&lt;=2192,"FCS","trailing")))))))</f>
        <v/>
      </c>
      <c r="J1739">
        <f>IFERROR(IF(AND(H1739&lt;&gt;"",H1739&gt;=129,H1739&lt;=2176),INDEX(Fields!$B$2:$B$206,MATCH(H1739-129,Fields!$D$2:$D$206,1)),""),"")</f>
        <v/>
      </c>
      <c r="K1739">
        <f>IFERROR(IF(AND(H1739&lt;&gt;"",H1739&gt;=129,H1739&lt;=2176),INDEX(Fields!$C$2:$C$206,MATCH(H1739-129,Fields!$D$2:$D$206,1)),""),"")</f>
        <v/>
      </c>
      <c r="L1739">
        <f>IFERROR(IF(AND(H1739&lt;&gt;"",H1739&gt;=129,H1739&lt;=2176),INDEX(Fields!$J$2:$J$206,MATCH(H1739-129,Fields!$D$2:$D$206,1)),""),"")</f>
        <v/>
      </c>
      <c r="M1739">
        <f>IFERROR(IF(AND(H1739&lt;&gt;"",H1739&gt;=129,H1739&lt;=2176),INDEX(Fields!$K$2:$K$206,MATCH(H1739-129,Fields!$D$2:$D$206,1)),""),"")</f>
        <v/>
      </c>
    </row>
    <row r="1740">
      <c r="A1740" t="n">
        <v>1738</v>
      </c>
      <c r="B1740" t="n">
        <v>0</v>
      </c>
      <c r="C1740" t="inlineStr">
        <is>
          <t>No</t>
        </is>
      </c>
      <c r="D1740">
        <f>IF(AND(B1735=1,B1736=1,B1737=1,B1738=1,B1739=1),"Yes","")</f>
        <v/>
      </c>
      <c r="E1740" t="inlineStr">
        <is>
          <t>No</t>
        </is>
      </c>
      <c r="F1740" t="inlineStr">
        <is>
          <t>No</t>
        </is>
      </c>
      <c r="G1740">
        <f>IF(F1740="Yes",1-B1740,B1740)</f>
        <v/>
      </c>
      <c r="H1740">
        <f>IF(E1740="Yes","",COUNTIFS($E$2:E1740,"No"))</f>
        <v/>
      </c>
      <c r="I1740">
        <f>IF(H1740="","",IF(H1740&lt;=128,"address",IF(H1740&lt;=600,"data1",IF(H1740&lt;=1264,"zero-run1",IF(H1740&lt;=1648,"data2",IF(H1740&lt;=2176,"zero-run2",IF(H1740&lt;=2192,"FCS","trailing")))))))</f>
        <v/>
      </c>
      <c r="J1740">
        <f>IFERROR(IF(AND(H1740&lt;&gt;"",H1740&gt;=129,H1740&lt;=2176),INDEX(Fields!$B$2:$B$206,MATCH(H1740-129,Fields!$D$2:$D$206,1)),""),"")</f>
        <v/>
      </c>
      <c r="K1740">
        <f>IFERROR(IF(AND(H1740&lt;&gt;"",H1740&gt;=129,H1740&lt;=2176),INDEX(Fields!$C$2:$C$206,MATCH(H1740-129,Fields!$D$2:$D$206,1)),""),"")</f>
        <v/>
      </c>
      <c r="L1740">
        <f>IFERROR(IF(AND(H1740&lt;&gt;"",H1740&gt;=129,H1740&lt;=2176),INDEX(Fields!$J$2:$J$206,MATCH(H1740-129,Fields!$D$2:$D$206,1)),""),"")</f>
        <v/>
      </c>
      <c r="M1740">
        <f>IFERROR(IF(AND(H1740&lt;&gt;"",H1740&gt;=129,H1740&lt;=2176),INDEX(Fields!$K$2:$K$206,MATCH(H1740-129,Fields!$D$2:$D$206,1)),""),"")</f>
        <v/>
      </c>
    </row>
    <row r="1741">
      <c r="A1741" t="n">
        <v>1739</v>
      </c>
      <c r="B1741" t="n">
        <v>0</v>
      </c>
      <c r="C1741" t="inlineStr">
        <is>
          <t>No</t>
        </is>
      </c>
      <c r="D1741">
        <f>IF(AND(B1736=1,B1737=1,B1738=1,B1739=1,B1740=1),"Yes","")</f>
        <v/>
      </c>
      <c r="E1741" t="inlineStr">
        <is>
          <t>No</t>
        </is>
      </c>
      <c r="F1741" t="inlineStr">
        <is>
          <t>No</t>
        </is>
      </c>
      <c r="G1741">
        <f>IF(F1741="Yes",1-B1741,B1741)</f>
        <v/>
      </c>
      <c r="H1741">
        <f>IF(E1741="Yes","",COUNTIFS($E$2:E1741,"No"))</f>
        <v/>
      </c>
      <c r="I1741">
        <f>IF(H1741="","",IF(H1741&lt;=128,"address",IF(H1741&lt;=600,"data1",IF(H1741&lt;=1264,"zero-run1",IF(H1741&lt;=1648,"data2",IF(H1741&lt;=2176,"zero-run2",IF(H1741&lt;=2192,"FCS","trailing")))))))</f>
        <v/>
      </c>
      <c r="J1741">
        <f>IFERROR(IF(AND(H1741&lt;&gt;"",H1741&gt;=129,H1741&lt;=2176),INDEX(Fields!$B$2:$B$206,MATCH(H1741-129,Fields!$D$2:$D$206,1)),""),"")</f>
        <v/>
      </c>
      <c r="K1741">
        <f>IFERROR(IF(AND(H1741&lt;&gt;"",H1741&gt;=129,H1741&lt;=2176),INDEX(Fields!$C$2:$C$206,MATCH(H1741-129,Fields!$D$2:$D$206,1)),""),"")</f>
        <v/>
      </c>
      <c r="L1741">
        <f>IFERROR(IF(AND(H1741&lt;&gt;"",H1741&gt;=129,H1741&lt;=2176),INDEX(Fields!$J$2:$J$206,MATCH(H1741-129,Fields!$D$2:$D$206,1)),""),"")</f>
        <v/>
      </c>
      <c r="M1741">
        <f>IFERROR(IF(AND(H1741&lt;&gt;"",H1741&gt;=129,H1741&lt;=2176),INDEX(Fields!$K$2:$K$206,MATCH(H1741-129,Fields!$D$2:$D$206,1)),""),"")</f>
        <v/>
      </c>
    </row>
    <row r="1742">
      <c r="A1742" t="n">
        <v>1740</v>
      </c>
      <c r="B1742" t="n">
        <v>0</v>
      </c>
      <c r="C1742" t="inlineStr">
        <is>
          <t>No</t>
        </is>
      </c>
      <c r="D1742">
        <f>IF(AND(B1737=1,B1738=1,B1739=1,B1740=1,B1741=1),"Yes","")</f>
        <v/>
      </c>
      <c r="E1742" t="inlineStr">
        <is>
          <t>No</t>
        </is>
      </c>
      <c r="F1742" t="inlineStr">
        <is>
          <t>No</t>
        </is>
      </c>
      <c r="G1742">
        <f>IF(F1742="Yes",1-B1742,B1742)</f>
        <v/>
      </c>
      <c r="H1742">
        <f>IF(E1742="Yes","",COUNTIFS($E$2:E1742,"No"))</f>
        <v/>
      </c>
      <c r="I1742">
        <f>IF(H1742="","",IF(H1742&lt;=128,"address",IF(H1742&lt;=600,"data1",IF(H1742&lt;=1264,"zero-run1",IF(H1742&lt;=1648,"data2",IF(H1742&lt;=2176,"zero-run2",IF(H1742&lt;=2192,"FCS","trailing")))))))</f>
        <v/>
      </c>
      <c r="J1742">
        <f>IFERROR(IF(AND(H1742&lt;&gt;"",H1742&gt;=129,H1742&lt;=2176),INDEX(Fields!$B$2:$B$206,MATCH(H1742-129,Fields!$D$2:$D$206,1)),""),"")</f>
        <v/>
      </c>
      <c r="K1742">
        <f>IFERROR(IF(AND(H1742&lt;&gt;"",H1742&gt;=129,H1742&lt;=2176),INDEX(Fields!$C$2:$C$206,MATCH(H1742-129,Fields!$D$2:$D$206,1)),""),"")</f>
        <v/>
      </c>
      <c r="L1742">
        <f>IFERROR(IF(AND(H1742&lt;&gt;"",H1742&gt;=129,H1742&lt;=2176),INDEX(Fields!$J$2:$J$206,MATCH(H1742-129,Fields!$D$2:$D$206,1)),""),"")</f>
        <v/>
      </c>
      <c r="M1742">
        <f>IFERROR(IF(AND(H1742&lt;&gt;"",H1742&gt;=129,H1742&lt;=2176),INDEX(Fields!$K$2:$K$206,MATCH(H1742-129,Fields!$D$2:$D$206,1)),""),"")</f>
        <v/>
      </c>
    </row>
    <row r="1743">
      <c r="A1743" t="n">
        <v>1741</v>
      </c>
      <c r="B1743" t="n">
        <v>0</v>
      </c>
      <c r="C1743" t="inlineStr">
        <is>
          <t>No</t>
        </is>
      </c>
      <c r="D1743">
        <f>IF(AND(B1738=1,B1739=1,B1740=1,B1741=1,B1742=1),"Yes","")</f>
        <v/>
      </c>
      <c r="E1743" t="inlineStr">
        <is>
          <t>No</t>
        </is>
      </c>
      <c r="F1743" t="inlineStr">
        <is>
          <t>No</t>
        </is>
      </c>
      <c r="G1743">
        <f>IF(F1743="Yes",1-B1743,B1743)</f>
        <v/>
      </c>
      <c r="H1743">
        <f>IF(E1743="Yes","",COUNTIFS($E$2:E1743,"No"))</f>
        <v/>
      </c>
      <c r="I1743">
        <f>IF(H1743="","",IF(H1743&lt;=128,"address",IF(H1743&lt;=600,"data1",IF(H1743&lt;=1264,"zero-run1",IF(H1743&lt;=1648,"data2",IF(H1743&lt;=2176,"zero-run2",IF(H1743&lt;=2192,"FCS","trailing")))))))</f>
        <v/>
      </c>
      <c r="J1743">
        <f>IFERROR(IF(AND(H1743&lt;&gt;"",H1743&gt;=129,H1743&lt;=2176),INDEX(Fields!$B$2:$B$206,MATCH(H1743-129,Fields!$D$2:$D$206,1)),""),"")</f>
        <v/>
      </c>
      <c r="K1743">
        <f>IFERROR(IF(AND(H1743&lt;&gt;"",H1743&gt;=129,H1743&lt;=2176),INDEX(Fields!$C$2:$C$206,MATCH(H1743-129,Fields!$D$2:$D$206,1)),""),"")</f>
        <v/>
      </c>
      <c r="L1743">
        <f>IFERROR(IF(AND(H1743&lt;&gt;"",H1743&gt;=129,H1743&lt;=2176),INDEX(Fields!$J$2:$J$206,MATCH(H1743-129,Fields!$D$2:$D$206,1)),""),"")</f>
        <v/>
      </c>
      <c r="M1743">
        <f>IFERROR(IF(AND(H1743&lt;&gt;"",H1743&gt;=129,H1743&lt;=2176),INDEX(Fields!$K$2:$K$206,MATCH(H1743-129,Fields!$D$2:$D$206,1)),""),"")</f>
        <v/>
      </c>
    </row>
    <row r="1744">
      <c r="A1744" t="n">
        <v>1742</v>
      </c>
      <c r="B1744" t="n">
        <v>0</v>
      </c>
      <c r="C1744" t="inlineStr">
        <is>
          <t>No</t>
        </is>
      </c>
      <c r="D1744">
        <f>IF(AND(B1739=1,B1740=1,B1741=1,B1742=1,B1743=1),"Yes","")</f>
        <v/>
      </c>
      <c r="E1744" t="inlineStr">
        <is>
          <t>No</t>
        </is>
      </c>
      <c r="F1744" t="inlineStr">
        <is>
          <t>No</t>
        </is>
      </c>
      <c r="G1744">
        <f>IF(F1744="Yes",1-B1744,B1744)</f>
        <v/>
      </c>
      <c r="H1744">
        <f>IF(E1744="Yes","",COUNTIFS($E$2:E1744,"No"))</f>
        <v/>
      </c>
      <c r="I1744">
        <f>IF(H1744="","",IF(H1744&lt;=128,"address",IF(H1744&lt;=600,"data1",IF(H1744&lt;=1264,"zero-run1",IF(H1744&lt;=1648,"data2",IF(H1744&lt;=2176,"zero-run2",IF(H1744&lt;=2192,"FCS","trailing")))))))</f>
        <v/>
      </c>
      <c r="J1744">
        <f>IFERROR(IF(AND(H1744&lt;&gt;"",H1744&gt;=129,H1744&lt;=2176),INDEX(Fields!$B$2:$B$206,MATCH(H1744-129,Fields!$D$2:$D$206,1)),""),"")</f>
        <v/>
      </c>
      <c r="K1744">
        <f>IFERROR(IF(AND(H1744&lt;&gt;"",H1744&gt;=129,H1744&lt;=2176),INDEX(Fields!$C$2:$C$206,MATCH(H1744-129,Fields!$D$2:$D$206,1)),""),"")</f>
        <v/>
      </c>
      <c r="L1744">
        <f>IFERROR(IF(AND(H1744&lt;&gt;"",H1744&gt;=129,H1744&lt;=2176),INDEX(Fields!$J$2:$J$206,MATCH(H1744-129,Fields!$D$2:$D$206,1)),""),"")</f>
        <v/>
      </c>
      <c r="M1744">
        <f>IFERROR(IF(AND(H1744&lt;&gt;"",H1744&gt;=129,H1744&lt;=2176),INDEX(Fields!$K$2:$K$206,MATCH(H1744-129,Fields!$D$2:$D$206,1)),""),"")</f>
        <v/>
      </c>
    </row>
    <row r="1745">
      <c r="A1745" t="n">
        <v>1743</v>
      </c>
      <c r="B1745" t="n">
        <v>0</v>
      </c>
      <c r="C1745" t="inlineStr">
        <is>
          <t>No</t>
        </is>
      </c>
      <c r="D1745">
        <f>IF(AND(B1740=1,B1741=1,B1742=1,B1743=1,B1744=1),"Yes","")</f>
        <v/>
      </c>
      <c r="E1745" t="inlineStr">
        <is>
          <t>No</t>
        </is>
      </c>
      <c r="F1745" t="inlineStr">
        <is>
          <t>No</t>
        </is>
      </c>
      <c r="G1745">
        <f>IF(F1745="Yes",1-B1745,B1745)</f>
        <v/>
      </c>
      <c r="H1745">
        <f>IF(E1745="Yes","",COUNTIFS($E$2:E1745,"No"))</f>
        <v/>
      </c>
      <c r="I1745">
        <f>IF(H1745="","",IF(H1745&lt;=128,"address",IF(H1745&lt;=600,"data1",IF(H1745&lt;=1264,"zero-run1",IF(H1745&lt;=1648,"data2",IF(H1745&lt;=2176,"zero-run2",IF(H1745&lt;=2192,"FCS","trailing")))))))</f>
        <v/>
      </c>
      <c r="J1745">
        <f>IFERROR(IF(AND(H1745&lt;&gt;"",H1745&gt;=129,H1745&lt;=2176),INDEX(Fields!$B$2:$B$206,MATCH(H1745-129,Fields!$D$2:$D$206,1)),""),"")</f>
        <v/>
      </c>
      <c r="K1745">
        <f>IFERROR(IF(AND(H1745&lt;&gt;"",H1745&gt;=129,H1745&lt;=2176),INDEX(Fields!$C$2:$C$206,MATCH(H1745-129,Fields!$D$2:$D$206,1)),""),"")</f>
        <v/>
      </c>
      <c r="L1745">
        <f>IFERROR(IF(AND(H1745&lt;&gt;"",H1745&gt;=129,H1745&lt;=2176),INDEX(Fields!$J$2:$J$206,MATCH(H1745-129,Fields!$D$2:$D$206,1)),""),"")</f>
        <v/>
      </c>
      <c r="M1745">
        <f>IFERROR(IF(AND(H1745&lt;&gt;"",H1745&gt;=129,H1745&lt;=2176),INDEX(Fields!$K$2:$K$206,MATCH(H1745-129,Fields!$D$2:$D$206,1)),""),"")</f>
        <v/>
      </c>
    </row>
    <row r="1746">
      <c r="A1746" t="n">
        <v>1744</v>
      </c>
      <c r="B1746" t="n">
        <v>0</v>
      </c>
      <c r="C1746" t="inlineStr">
        <is>
          <t>No</t>
        </is>
      </c>
      <c r="D1746">
        <f>IF(AND(B1741=1,B1742=1,B1743=1,B1744=1,B1745=1),"Yes","")</f>
        <v/>
      </c>
      <c r="E1746" t="inlineStr">
        <is>
          <t>No</t>
        </is>
      </c>
      <c r="F1746" t="inlineStr">
        <is>
          <t>No</t>
        </is>
      </c>
      <c r="G1746">
        <f>IF(F1746="Yes",1-B1746,B1746)</f>
        <v/>
      </c>
      <c r="H1746">
        <f>IF(E1746="Yes","",COUNTIFS($E$2:E1746,"No"))</f>
        <v/>
      </c>
      <c r="I1746">
        <f>IF(H1746="","",IF(H1746&lt;=128,"address",IF(H1746&lt;=600,"data1",IF(H1746&lt;=1264,"zero-run1",IF(H1746&lt;=1648,"data2",IF(H1746&lt;=2176,"zero-run2",IF(H1746&lt;=2192,"FCS","trailing")))))))</f>
        <v/>
      </c>
      <c r="J1746">
        <f>IFERROR(IF(AND(H1746&lt;&gt;"",H1746&gt;=129,H1746&lt;=2176),INDEX(Fields!$B$2:$B$206,MATCH(H1746-129,Fields!$D$2:$D$206,1)),""),"")</f>
        <v/>
      </c>
      <c r="K1746">
        <f>IFERROR(IF(AND(H1746&lt;&gt;"",H1746&gt;=129,H1746&lt;=2176),INDEX(Fields!$C$2:$C$206,MATCH(H1746-129,Fields!$D$2:$D$206,1)),""),"")</f>
        <v/>
      </c>
      <c r="L1746">
        <f>IFERROR(IF(AND(H1746&lt;&gt;"",H1746&gt;=129,H1746&lt;=2176),INDEX(Fields!$J$2:$J$206,MATCH(H1746-129,Fields!$D$2:$D$206,1)),""),"")</f>
        <v/>
      </c>
      <c r="M1746">
        <f>IFERROR(IF(AND(H1746&lt;&gt;"",H1746&gt;=129,H1746&lt;=2176),INDEX(Fields!$K$2:$K$206,MATCH(H1746-129,Fields!$D$2:$D$206,1)),""),"")</f>
        <v/>
      </c>
    </row>
    <row r="1747">
      <c r="A1747" t="n">
        <v>1745</v>
      </c>
      <c r="B1747" t="n">
        <v>0</v>
      </c>
      <c r="C1747" t="inlineStr">
        <is>
          <t>No</t>
        </is>
      </c>
      <c r="D1747">
        <f>IF(AND(B1742=1,B1743=1,B1744=1,B1745=1,B1746=1),"Yes","")</f>
        <v/>
      </c>
      <c r="E1747" t="inlineStr">
        <is>
          <t>No</t>
        </is>
      </c>
      <c r="F1747" t="inlineStr">
        <is>
          <t>No</t>
        </is>
      </c>
      <c r="G1747">
        <f>IF(F1747="Yes",1-B1747,B1747)</f>
        <v/>
      </c>
      <c r="H1747">
        <f>IF(E1747="Yes","",COUNTIFS($E$2:E1747,"No"))</f>
        <v/>
      </c>
      <c r="I1747">
        <f>IF(H1747="","",IF(H1747&lt;=128,"address",IF(H1747&lt;=600,"data1",IF(H1747&lt;=1264,"zero-run1",IF(H1747&lt;=1648,"data2",IF(H1747&lt;=2176,"zero-run2",IF(H1747&lt;=2192,"FCS","trailing")))))))</f>
        <v/>
      </c>
      <c r="J1747">
        <f>IFERROR(IF(AND(H1747&lt;&gt;"",H1747&gt;=129,H1747&lt;=2176),INDEX(Fields!$B$2:$B$206,MATCH(H1747-129,Fields!$D$2:$D$206,1)),""),"")</f>
        <v/>
      </c>
      <c r="K1747">
        <f>IFERROR(IF(AND(H1747&lt;&gt;"",H1747&gt;=129,H1747&lt;=2176),INDEX(Fields!$C$2:$C$206,MATCH(H1747-129,Fields!$D$2:$D$206,1)),""),"")</f>
        <v/>
      </c>
      <c r="L1747">
        <f>IFERROR(IF(AND(H1747&lt;&gt;"",H1747&gt;=129,H1747&lt;=2176),INDEX(Fields!$J$2:$J$206,MATCH(H1747-129,Fields!$D$2:$D$206,1)),""),"")</f>
        <v/>
      </c>
      <c r="M1747">
        <f>IFERROR(IF(AND(H1747&lt;&gt;"",H1747&gt;=129,H1747&lt;=2176),INDEX(Fields!$K$2:$K$206,MATCH(H1747-129,Fields!$D$2:$D$206,1)),""),"")</f>
        <v/>
      </c>
    </row>
    <row r="1748">
      <c r="A1748" t="n">
        <v>1746</v>
      </c>
      <c r="B1748" t="n">
        <v>0</v>
      </c>
      <c r="C1748" t="inlineStr">
        <is>
          <t>No</t>
        </is>
      </c>
      <c r="D1748">
        <f>IF(AND(B1743=1,B1744=1,B1745=1,B1746=1,B1747=1),"Yes","")</f>
        <v/>
      </c>
      <c r="E1748" t="inlineStr">
        <is>
          <t>No</t>
        </is>
      </c>
      <c r="F1748" t="inlineStr">
        <is>
          <t>No</t>
        </is>
      </c>
      <c r="G1748">
        <f>IF(F1748="Yes",1-B1748,B1748)</f>
        <v/>
      </c>
      <c r="H1748">
        <f>IF(E1748="Yes","",COUNTIFS($E$2:E1748,"No"))</f>
        <v/>
      </c>
      <c r="I1748">
        <f>IF(H1748="","",IF(H1748&lt;=128,"address",IF(H1748&lt;=600,"data1",IF(H1748&lt;=1264,"zero-run1",IF(H1748&lt;=1648,"data2",IF(H1748&lt;=2176,"zero-run2",IF(H1748&lt;=2192,"FCS","trailing")))))))</f>
        <v/>
      </c>
      <c r="J1748">
        <f>IFERROR(IF(AND(H1748&lt;&gt;"",H1748&gt;=129,H1748&lt;=2176),INDEX(Fields!$B$2:$B$206,MATCH(H1748-129,Fields!$D$2:$D$206,1)),""),"")</f>
        <v/>
      </c>
      <c r="K1748">
        <f>IFERROR(IF(AND(H1748&lt;&gt;"",H1748&gt;=129,H1748&lt;=2176),INDEX(Fields!$C$2:$C$206,MATCH(H1748-129,Fields!$D$2:$D$206,1)),""),"")</f>
        <v/>
      </c>
      <c r="L1748">
        <f>IFERROR(IF(AND(H1748&lt;&gt;"",H1748&gt;=129,H1748&lt;=2176),INDEX(Fields!$J$2:$J$206,MATCH(H1748-129,Fields!$D$2:$D$206,1)),""),"")</f>
        <v/>
      </c>
      <c r="M1748">
        <f>IFERROR(IF(AND(H1748&lt;&gt;"",H1748&gt;=129,H1748&lt;=2176),INDEX(Fields!$K$2:$K$206,MATCH(H1748-129,Fields!$D$2:$D$206,1)),""),"")</f>
        <v/>
      </c>
    </row>
    <row r="1749">
      <c r="A1749" t="n">
        <v>1747</v>
      </c>
      <c r="B1749" t="n">
        <v>0</v>
      </c>
      <c r="C1749" t="inlineStr">
        <is>
          <t>No</t>
        </is>
      </c>
      <c r="D1749">
        <f>IF(AND(B1744=1,B1745=1,B1746=1,B1747=1,B1748=1),"Yes","")</f>
        <v/>
      </c>
      <c r="E1749" t="inlineStr">
        <is>
          <t>No</t>
        </is>
      </c>
      <c r="F1749" t="inlineStr">
        <is>
          <t>No</t>
        </is>
      </c>
      <c r="G1749">
        <f>IF(F1749="Yes",1-B1749,B1749)</f>
        <v/>
      </c>
      <c r="H1749">
        <f>IF(E1749="Yes","",COUNTIFS($E$2:E1749,"No"))</f>
        <v/>
      </c>
      <c r="I1749">
        <f>IF(H1749="","",IF(H1749&lt;=128,"address",IF(H1749&lt;=600,"data1",IF(H1749&lt;=1264,"zero-run1",IF(H1749&lt;=1648,"data2",IF(H1749&lt;=2176,"zero-run2",IF(H1749&lt;=2192,"FCS","trailing")))))))</f>
        <v/>
      </c>
      <c r="J1749">
        <f>IFERROR(IF(AND(H1749&lt;&gt;"",H1749&gt;=129,H1749&lt;=2176),INDEX(Fields!$B$2:$B$206,MATCH(H1749-129,Fields!$D$2:$D$206,1)),""),"")</f>
        <v/>
      </c>
      <c r="K1749">
        <f>IFERROR(IF(AND(H1749&lt;&gt;"",H1749&gt;=129,H1749&lt;=2176),INDEX(Fields!$C$2:$C$206,MATCH(H1749-129,Fields!$D$2:$D$206,1)),""),"")</f>
        <v/>
      </c>
      <c r="L1749">
        <f>IFERROR(IF(AND(H1749&lt;&gt;"",H1749&gt;=129,H1749&lt;=2176),INDEX(Fields!$J$2:$J$206,MATCH(H1749-129,Fields!$D$2:$D$206,1)),""),"")</f>
        <v/>
      </c>
      <c r="M1749">
        <f>IFERROR(IF(AND(H1749&lt;&gt;"",H1749&gt;=129,H1749&lt;=2176),INDEX(Fields!$K$2:$K$206,MATCH(H1749-129,Fields!$D$2:$D$206,1)),""),"")</f>
        <v/>
      </c>
    </row>
    <row r="1750">
      <c r="A1750" t="n">
        <v>1748</v>
      </c>
      <c r="B1750" t="n">
        <v>0</v>
      </c>
      <c r="C1750" t="inlineStr">
        <is>
          <t>No</t>
        </is>
      </c>
      <c r="D1750">
        <f>IF(AND(B1745=1,B1746=1,B1747=1,B1748=1,B1749=1),"Yes","")</f>
        <v/>
      </c>
      <c r="E1750" t="inlineStr">
        <is>
          <t>No</t>
        </is>
      </c>
      <c r="F1750" t="inlineStr">
        <is>
          <t>No</t>
        </is>
      </c>
      <c r="G1750">
        <f>IF(F1750="Yes",1-B1750,B1750)</f>
        <v/>
      </c>
      <c r="H1750">
        <f>IF(E1750="Yes","",COUNTIFS($E$2:E1750,"No"))</f>
        <v/>
      </c>
      <c r="I1750">
        <f>IF(H1750="","",IF(H1750&lt;=128,"address",IF(H1750&lt;=600,"data1",IF(H1750&lt;=1264,"zero-run1",IF(H1750&lt;=1648,"data2",IF(H1750&lt;=2176,"zero-run2",IF(H1750&lt;=2192,"FCS","trailing")))))))</f>
        <v/>
      </c>
      <c r="J1750">
        <f>IFERROR(IF(AND(H1750&lt;&gt;"",H1750&gt;=129,H1750&lt;=2176),INDEX(Fields!$B$2:$B$206,MATCH(H1750-129,Fields!$D$2:$D$206,1)),""),"")</f>
        <v/>
      </c>
      <c r="K1750">
        <f>IFERROR(IF(AND(H1750&lt;&gt;"",H1750&gt;=129,H1750&lt;=2176),INDEX(Fields!$C$2:$C$206,MATCH(H1750-129,Fields!$D$2:$D$206,1)),""),"")</f>
        <v/>
      </c>
      <c r="L1750">
        <f>IFERROR(IF(AND(H1750&lt;&gt;"",H1750&gt;=129,H1750&lt;=2176),INDEX(Fields!$J$2:$J$206,MATCH(H1750-129,Fields!$D$2:$D$206,1)),""),"")</f>
        <v/>
      </c>
      <c r="M1750">
        <f>IFERROR(IF(AND(H1750&lt;&gt;"",H1750&gt;=129,H1750&lt;=2176),INDEX(Fields!$K$2:$K$206,MATCH(H1750-129,Fields!$D$2:$D$206,1)),""),"")</f>
        <v/>
      </c>
    </row>
    <row r="1751">
      <c r="A1751" t="n">
        <v>1749</v>
      </c>
      <c r="B1751" t="n">
        <v>0</v>
      </c>
      <c r="C1751" t="inlineStr">
        <is>
          <t>No</t>
        </is>
      </c>
      <c r="D1751">
        <f>IF(AND(B1746=1,B1747=1,B1748=1,B1749=1,B1750=1),"Yes","")</f>
        <v/>
      </c>
      <c r="E1751" t="inlineStr">
        <is>
          <t>No</t>
        </is>
      </c>
      <c r="F1751" t="inlineStr">
        <is>
          <t>No</t>
        </is>
      </c>
      <c r="G1751">
        <f>IF(F1751="Yes",1-B1751,B1751)</f>
        <v/>
      </c>
      <c r="H1751">
        <f>IF(E1751="Yes","",COUNTIFS($E$2:E1751,"No"))</f>
        <v/>
      </c>
      <c r="I1751">
        <f>IF(H1751="","",IF(H1751&lt;=128,"address",IF(H1751&lt;=600,"data1",IF(H1751&lt;=1264,"zero-run1",IF(H1751&lt;=1648,"data2",IF(H1751&lt;=2176,"zero-run2",IF(H1751&lt;=2192,"FCS","trailing")))))))</f>
        <v/>
      </c>
      <c r="J1751">
        <f>IFERROR(IF(AND(H1751&lt;&gt;"",H1751&gt;=129,H1751&lt;=2176),INDEX(Fields!$B$2:$B$206,MATCH(H1751-129,Fields!$D$2:$D$206,1)),""),"")</f>
        <v/>
      </c>
      <c r="K1751">
        <f>IFERROR(IF(AND(H1751&lt;&gt;"",H1751&gt;=129,H1751&lt;=2176),INDEX(Fields!$C$2:$C$206,MATCH(H1751-129,Fields!$D$2:$D$206,1)),""),"")</f>
        <v/>
      </c>
      <c r="L1751">
        <f>IFERROR(IF(AND(H1751&lt;&gt;"",H1751&gt;=129,H1751&lt;=2176),INDEX(Fields!$J$2:$J$206,MATCH(H1751-129,Fields!$D$2:$D$206,1)),""),"")</f>
        <v/>
      </c>
      <c r="M1751">
        <f>IFERROR(IF(AND(H1751&lt;&gt;"",H1751&gt;=129,H1751&lt;=2176),INDEX(Fields!$K$2:$K$206,MATCH(H1751-129,Fields!$D$2:$D$206,1)),""),"")</f>
        <v/>
      </c>
    </row>
    <row r="1752">
      <c r="A1752" t="n">
        <v>1750</v>
      </c>
      <c r="B1752" t="n">
        <v>0</v>
      </c>
      <c r="C1752" t="inlineStr">
        <is>
          <t>No</t>
        </is>
      </c>
      <c r="D1752">
        <f>IF(AND(B1747=1,B1748=1,B1749=1,B1750=1,B1751=1),"Yes","")</f>
        <v/>
      </c>
      <c r="E1752" t="inlineStr">
        <is>
          <t>No</t>
        </is>
      </c>
      <c r="F1752" t="inlineStr">
        <is>
          <t>No</t>
        </is>
      </c>
      <c r="G1752">
        <f>IF(F1752="Yes",1-B1752,B1752)</f>
        <v/>
      </c>
      <c r="H1752">
        <f>IF(E1752="Yes","",COUNTIFS($E$2:E1752,"No"))</f>
        <v/>
      </c>
      <c r="I1752">
        <f>IF(H1752="","",IF(H1752&lt;=128,"address",IF(H1752&lt;=600,"data1",IF(H1752&lt;=1264,"zero-run1",IF(H1752&lt;=1648,"data2",IF(H1752&lt;=2176,"zero-run2",IF(H1752&lt;=2192,"FCS","trailing")))))))</f>
        <v/>
      </c>
      <c r="J1752">
        <f>IFERROR(IF(AND(H1752&lt;&gt;"",H1752&gt;=129,H1752&lt;=2176),INDEX(Fields!$B$2:$B$206,MATCH(H1752-129,Fields!$D$2:$D$206,1)),""),"")</f>
        <v/>
      </c>
      <c r="K1752">
        <f>IFERROR(IF(AND(H1752&lt;&gt;"",H1752&gt;=129,H1752&lt;=2176),INDEX(Fields!$C$2:$C$206,MATCH(H1752-129,Fields!$D$2:$D$206,1)),""),"")</f>
        <v/>
      </c>
      <c r="L1752">
        <f>IFERROR(IF(AND(H1752&lt;&gt;"",H1752&gt;=129,H1752&lt;=2176),INDEX(Fields!$J$2:$J$206,MATCH(H1752-129,Fields!$D$2:$D$206,1)),""),"")</f>
        <v/>
      </c>
      <c r="M1752">
        <f>IFERROR(IF(AND(H1752&lt;&gt;"",H1752&gt;=129,H1752&lt;=2176),INDEX(Fields!$K$2:$K$206,MATCH(H1752-129,Fields!$D$2:$D$206,1)),""),"")</f>
        <v/>
      </c>
    </row>
    <row r="1753">
      <c r="A1753" t="n">
        <v>1751</v>
      </c>
      <c r="B1753" t="n">
        <v>0</v>
      </c>
      <c r="C1753" t="inlineStr">
        <is>
          <t>No</t>
        </is>
      </c>
      <c r="D1753">
        <f>IF(AND(B1748=1,B1749=1,B1750=1,B1751=1,B1752=1),"Yes","")</f>
        <v/>
      </c>
      <c r="E1753" t="inlineStr">
        <is>
          <t>No</t>
        </is>
      </c>
      <c r="F1753" t="inlineStr">
        <is>
          <t>No</t>
        </is>
      </c>
      <c r="G1753">
        <f>IF(F1753="Yes",1-B1753,B1753)</f>
        <v/>
      </c>
      <c r="H1753">
        <f>IF(E1753="Yes","",COUNTIFS($E$2:E1753,"No"))</f>
        <v/>
      </c>
      <c r="I1753">
        <f>IF(H1753="","",IF(H1753&lt;=128,"address",IF(H1753&lt;=600,"data1",IF(H1753&lt;=1264,"zero-run1",IF(H1753&lt;=1648,"data2",IF(H1753&lt;=2176,"zero-run2",IF(H1753&lt;=2192,"FCS","trailing")))))))</f>
        <v/>
      </c>
      <c r="J1753">
        <f>IFERROR(IF(AND(H1753&lt;&gt;"",H1753&gt;=129,H1753&lt;=2176),INDEX(Fields!$B$2:$B$206,MATCH(H1753-129,Fields!$D$2:$D$206,1)),""),"")</f>
        <v/>
      </c>
      <c r="K1753">
        <f>IFERROR(IF(AND(H1753&lt;&gt;"",H1753&gt;=129,H1753&lt;=2176),INDEX(Fields!$C$2:$C$206,MATCH(H1753-129,Fields!$D$2:$D$206,1)),""),"")</f>
        <v/>
      </c>
      <c r="L1753">
        <f>IFERROR(IF(AND(H1753&lt;&gt;"",H1753&gt;=129,H1753&lt;=2176),INDEX(Fields!$J$2:$J$206,MATCH(H1753-129,Fields!$D$2:$D$206,1)),""),"")</f>
        <v/>
      </c>
      <c r="M1753">
        <f>IFERROR(IF(AND(H1753&lt;&gt;"",H1753&gt;=129,H1753&lt;=2176),INDEX(Fields!$K$2:$K$206,MATCH(H1753-129,Fields!$D$2:$D$206,1)),""),"")</f>
        <v/>
      </c>
    </row>
    <row r="1754">
      <c r="A1754" t="n">
        <v>1752</v>
      </c>
      <c r="B1754" t="n">
        <v>0</v>
      </c>
      <c r="C1754" t="inlineStr">
        <is>
          <t>No</t>
        </is>
      </c>
      <c r="D1754">
        <f>IF(AND(B1749=1,B1750=1,B1751=1,B1752=1,B1753=1),"Yes","")</f>
        <v/>
      </c>
      <c r="E1754" t="inlineStr">
        <is>
          <t>No</t>
        </is>
      </c>
      <c r="F1754" t="inlineStr">
        <is>
          <t>No</t>
        </is>
      </c>
      <c r="G1754">
        <f>IF(F1754="Yes",1-B1754,B1754)</f>
        <v/>
      </c>
      <c r="H1754">
        <f>IF(E1754="Yes","",COUNTIFS($E$2:E1754,"No"))</f>
        <v/>
      </c>
      <c r="I1754">
        <f>IF(H1754="","",IF(H1754&lt;=128,"address",IF(H1754&lt;=600,"data1",IF(H1754&lt;=1264,"zero-run1",IF(H1754&lt;=1648,"data2",IF(H1754&lt;=2176,"zero-run2",IF(H1754&lt;=2192,"FCS","trailing")))))))</f>
        <v/>
      </c>
      <c r="J1754">
        <f>IFERROR(IF(AND(H1754&lt;&gt;"",H1754&gt;=129,H1754&lt;=2176),INDEX(Fields!$B$2:$B$206,MATCH(H1754-129,Fields!$D$2:$D$206,1)),""),"")</f>
        <v/>
      </c>
      <c r="K1754">
        <f>IFERROR(IF(AND(H1754&lt;&gt;"",H1754&gt;=129,H1754&lt;=2176),INDEX(Fields!$C$2:$C$206,MATCH(H1754-129,Fields!$D$2:$D$206,1)),""),"")</f>
        <v/>
      </c>
      <c r="L1754">
        <f>IFERROR(IF(AND(H1754&lt;&gt;"",H1754&gt;=129,H1754&lt;=2176),INDEX(Fields!$J$2:$J$206,MATCH(H1754-129,Fields!$D$2:$D$206,1)),""),"")</f>
        <v/>
      </c>
      <c r="M1754">
        <f>IFERROR(IF(AND(H1754&lt;&gt;"",H1754&gt;=129,H1754&lt;=2176),INDEX(Fields!$K$2:$K$206,MATCH(H1754-129,Fields!$D$2:$D$206,1)),""),"")</f>
        <v/>
      </c>
    </row>
    <row r="1755">
      <c r="A1755" t="n">
        <v>1753</v>
      </c>
      <c r="B1755" t="n">
        <v>0</v>
      </c>
      <c r="C1755" t="inlineStr">
        <is>
          <t>No</t>
        </is>
      </c>
      <c r="D1755">
        <f>IF(AND(B1750=1,B1751=1,B1752=1,B1753=1,B1754=1),"Yes","")</f>
        <v/>
      </c>
      <c r="E1755" t="inlineStr">
        <is>
          <t>No</t>
        </is>
      </c>
      <c r="F1755" t="inlineStr">
        <is>
          <t>No</t>
        </is>
      </c>
      <c r="G1755">
        <f>IF(F1755="Yes",1-B1755,B1755)</f>
        <v/>
      </c>
      <c r="H1755">
        <f>IF(E1755="Yes","",COUNTIFS($E$2:E1755,"No"))</f>
        <v/>
      </c>
      <c r="I1755">
        <f>IF(H1755="","",IF(H1755&lt;=128,"address",IF(H1755&lt;=600,"data1",IF(H1755&lt;=1264,"zero-run1",IF(H1755&lt;=1648,"data2",IF(H1755&lt;=2176,"zero-run2",IF(H1755&lt;=2192,"FCS","trailing")))))))</f>
        <v/>
      </c>
      <c r="J1755">
        <f>IFERROR(IF(AND(H1755&lt;&gt;"",H1755&gt;=129,H1755&lt;=2176),INDEX(Fields!$B$2:$B$206,MATCH(H1755-129,Fields!$D$2:$D$206,1)),""),"")</f>
        <v/>
      </c>
      <c r="K1755">
        <f>IFERROR(IF(AND(H1755&lt;&gt;"",H1755&gt;=129,H1755&lt;=2176),INDEX(Fields!$C$2:$C$206,MATCH(H1755-129,Fields!$D$2:$D$206,1)),""),"")</f>
        <v/>
      </c>
      <c r="L1755">
        <f>IFERROR(IF(AND(H1755&lt;&gt;"",H1755&gt;=129,H1755&lt;=2176),INDEX(Fields!$J$2:$J$206,MATCH(H1755-129,Fields!$D$2:$D$206,1)),""),"")</f>
        <v/>
      </c>
      <c r="M1755">
        <f>IFERROR(IF(AND(H1755&lt;&gt;"",H1755&gt;=129,H1755&lt;=2176),INDEX(Fields!$K$2:$K$206,MATCH(H1755-129,Fields!$D$2:$D$206,1)),""),"")</f>
        <v/>
      </c>
    </row>
    <row r="1756">
      <c r="A1756" t="n">
        <v>1754</v>
      </c>
      <c r="B1756" t="n">
        <v>0</v>
      </c>
      <c r="C1756" t="inlineStr">
        <is>
          <t>No</t>
        </is>
      </c>
      <c r="D1756">
        <f>IF(AND(B1751=1,B1752=1,B1753=1,B1754=1,B1755=1),"Yes","")</f>
        <v/>
      </c>
      <c r="E1756" t="inlineStr">
        <is>
          <t>No</t>
        </is>
      </c>
      <c r="F1756" t="inlineStr">
        <is>
          <t>No</t>
        </is>
      </c>
      <c r="G1756">
        <f>IF(F1756="Yes",1-B1756,B1756)</f>
        <v/>
      </c>
      <c r="H1756">
        <f>IF(E1756="Yes","",COUNTIFS($E$2:E1756,"No"))</f>
        <v/>
      </c>
      <c r="I1756">
        <f>IF(H1756="","",IF(H1756&lt;=128,"address",IF(H1756&lt;=600,"data1",IF(H1756&lt;=1264,"zero-run1",IF(H1756&lt;=1648,"data2",IF(H1756&lt;=2176,"zero-run2",IF(H1756&lt;=2192,"FCS","trailing")))))))</f>
        <v/>
      </c>
      <c r="J1756">
        <f>IFERROR(IF(AND(H1756&lt;&gt;"",H1756&gt;=129,H1756&lt;=2176),INDEX(Fields!$B$2:$B$206,MATCH(H1756-129,Fields!$D$2:$D$206,1)),""),"")</f>
        <v/>
      </c>
      <c r="K1756">
        <f>IFERROR(IF(AND(H1756&lt;&gt;"",H1756&gt;=129,H1756&lt;=2176),INDEX(Fields!$C$2:$C$206,MATCH(H1756-129,Fields!$D$2:$D$206,1)),""),"")</f>
        <v/>
      </c>
      <c r="L1756">
        <f>IFERROR(IF(AND(H1756&lt;&gt;"",H1756&gt;=129,H1756&lt;=2176),INDEX(Fields!$J$2:$J$206,MATCH(H1756-129,Fields!$D$2:$D$206,1)),""),"")</f>
        <v/>
      </c>
      <c r="M1756">
        <f>IFERROR(IF(AND(H1756&lt;&gt;"",H1756&gt;=129,H1756&lt;=2176),INDEX(Fields!$K$2:$K$206,MATCH(H1756-129,Fields!$D$2:$D$206,1)),""),"")</f>
        <v/>
      </c>
    </row>
    <row r="1757">
      <c r="A1757" t="n">
        <v>1755</v>
      </c>
      <c r="B1757" t="n">
        <v>0</v>
      </c>
      <c r="C1757" t="inlineStr">
        <is>
          <t>No</t>
        </is>
      </c>
      <c r="D1757">
        <f>IF(AND(B1752=1,B1753=1,B1754=1,B1755=1,B1756=1),"Yes","")</f>
        <v/>
      </c>
      <c r="E1757" t="inlineStr">
        <is>
          <t>No</t>
        </is>
      </c>
      <c r="F1757" t="inlineStr">
        <is>
          <t>No</t>
        </is>
      </c>
      <c r="G1757">
        <f>IF(F1757="Yes",1-B1757,B1757)</f>
        <v/>
      </c>
      <c r="H1757">
        <f>IF(E1757="Yes","",COUNTIFS($E$2:E1757,"No"))</f>
        <v/>
      </c>
      <c r="I1757">
        <f>IF(H1757="","",IF(H1757&lt;=128,"address",IF(H1757&lt;=600,"data1",IF(H1757&lt;=1264,"zero-run1",IF(H1757&lt;=1648,"data2",IF(H1757&lt;=2176,"zero-run2",IF(H1757&lt;=2192,"FCS","trailing")))))))</f>
        <v/>
      </c>
      <c r="J1757">
        <f>IFERROR(IF(AND(H1757&lt;&gt;"",H1757&gt;=129,H1757&lt;=2176),INDEX(Fields!$B$2:$B$206,MATCH(H1757-129,Fields!$D$2:$D$206,1)),""),"")</f>
        <v/>
      </c>
      <c r="K1757">
        <f>IFERROR(IF(AND(H1757&lt;&gt;"",H1757&gt;=129,H1757&lt;=2176),INDEX(Fields!$C$2:$C$206,MATCH(H1757-129,Fields!$D$2:$D$206,1)),""),"")</f>
        <v/>
      </c>
      <c r="L1757">
        <f>IFERROR(IF(AND(H1757&lt;&gt;"",H1757&gt;=129,H1757&lt;=2176),INDEX(Fields!$J$2:$J$206,MATCH(H1757-129,Fields!$D$2:$D$206,1)),""),"")</f>
        <v/>
      </c>
      <c r="M1757">
        <f>IFERROR(IF(AND(H1757&lt;&gt;"",H1757&gt;=129,H1757&lt;=2176),INDEX(Fields!$K$2:$K$206,MATCH(H1757-129,Fields!$D$2:$D$206,1)),""),"")</f>
        <v/>
      </c>
    </row>
    <row r="1758">
      <c r="A1758" t="n">
        <v>1756</v>
      </c>
      <c r="B1758" t="n">
        <v>0</v>
      </c>
      <c r="C1758" t="inlineStr">
        <is>
          <t>No</t>
        </is>
      </c>
      <c r="D1758">
        <f>IF(AND(B1753=1,B1754=1,B1755=1,B1756=1,B1757=1),"Yes","")</f>
        <v/>
      </c>
      <c r="E1758" t="inlineStr">
        <is>
          <t>No</t>
        </is>
      </c>
      <c r="F1758" t="inlineStr">
        <is>
          <t>No</t>
        </is>
      </c>
      <c r="G1758">
        <f>IF(F1758="Yes",1-B1758,B1758)</f>
        <v/>
      </c>
      <c r="H1758">
        <f>IF(E1758="Yes","",COUNTIFS($E$2:E1758,"No"))</f>
        <v/>
      </c>
      <c r="I1758">
        <f>IF(H1758="","",IF(H1758&lt;=128,"address",IF(H1758&lt;=600,"data1",IF(H1758&lt;=1264,"zero-run1",IF(H1758&lt;=1648,"data2",IF(H1758&lt;=2176,"zero-run2",IF(H1758&lt;=2192,"FCS","trailing")))))))</f>
        <v/>
      </c>
      <c r="J1758">
        <f>IFERROR(IF(AND(H1758&lt;&gt;"",H1758&gt;=129,H1758&lt;=2176),INDEX(Fields!$B$2:$B$206,MATCH(H1758-129,Fields!$D$2:$D$206,1)),""),"")</f>
        <v/>
      </c>
      <c r="K1758">
        <f>IFERROR(IF(AND(H1758&lt;&gt;"",H1758&gt;=129,H1758&lt;=2176),INDEX(Fields!$C$2:$C$206,MATCH(H1758-129,Fields!$D$2:$D$206,1)),""),"")</f>
        <v/>
      </c>
      <c r="L1758">
        <f>IFERROR(IF(AND(H1758&lt;&gt;"",H1758&gt;=129,H1758&lt;=2176),INDEX(Fields!$J$2:$J$206,MATCH(H1758-129,Fields!$D$2:$D$206,1)),""),"")</f>
        <v/>
      </c>
      <c r="M1758">
        <f>IFERROR(IF(AND(H1758&lt;&gt;"",H1758&gt;=129,H1758&lt;=2176),INDEX(Fields!$K$2:$K$206,MATCH(H1758-129,Fields!$D$2:$D$206,1)),""),"")</f>
        <v/>
      </c>
    </row>
    <row r="1759">
      <c r="A1759" t="n">
        <v>1757</v>
      </c>
      <c r="B1759" t="n">
        <v>0</v>
      </c>
      <c r="C1759" t="inlineStr">
        <is>
          <t>No</t>
        </is>
      </c>
      <c r="D1759">
        <f>IF(AND(B1754=1,B1755=1,B1756=1,B1757=1,B1758=1),"Yes","")</f>
        <v/>
      </c>
      <c r="E1759" t="inlineStr">
        <is>
          <t>No</t>
        </is>
      </c>
      <c r="F1759" t="inlineStr">
        <is>
          <t>No</t>
        </is>
      </c>
      <c r="G1759">
        <f>IF(F1759="Yes",1-B1759,B1759)</f>
        <v/>
      </c>
      <c r="H1759">
        <f>IF(E1759="Yes","",COUNTIFS($E$2:E1759,"No"))</f>
        <v/>
      </c>
      <c r="I1759">
        <f>IF(H1759="","",IF(H1759&lt;=128,"address",IF(H1759&lt;=600,"data1",IF(H1759&lt;=1264,"zero-run1",IF(H1759&lt;=1648,"data2",IF(H1759&lt;=2176,"zero-run2",IF(H1759&lt;=2192,"FCS","trailing")))))))</f>
        <v/>
      </c>
      <c r="J1759">
        <f>IFERROR(IF(AND(H1759&lt;&gt;"",H1759&gt;=129,H1759&lt;=2176),INDEX(Fields!$B$2:$B$206,MATCH(H1759-129,Fields!$D$2:$D$206,1)),""),"")</f>
        <v/>
      </c>
      <c r="K1759">
        <f>IFERROR(IF(AND(H1759&lt;&gt;"",H1759&gt;=129,H1759&lt;=2176),INDEX(Fields!$C$2:$C$206,MATCH(H1759-129,Fields!$D$2:$D$206,1)),""),"")</f>
        <v/>
      </c>
      <c r="L1759">
        <f>IFERROR(IF(AND(H1759&lt;&gt;"",H1759&gt;=129,H1759&lt;=2176),INDEX(Fields!$J$2:$J$206,MATCH(H1759-129,Fields!$D$2:$D$206,1)),""),"")</f>
        <v/>
      </c>
      <c r="M1759">
        <f>IFERROR(IF(AND(H1759&lt;&gt;"",H1759&gt;=129,H1759&lt;=2176),INDEX(Fields!$K$2:$K$206,MATCH(H1759-129,Fields!$D$2:$D$206,1)),""),"")</f>
        <v/>
      </c>
    </row>
    <row r="1760">
      <c r="A1760" t="n">
        <v>1758</v>
      </c>
      <c r="B1760" t="n">
        <v>0</v>
      </c>
      <c r="C1760" t="inlineStr">
        <is>
          <t>No</t>
        </is>
      </c>
      <c r="D1760">
        <f>IF(AND(B1755=1,B1756=1,B1757=1,B1758=1,B1759=1),"Yes","")</f>
        <v/>
      </c>
      <c r="E1760" t="inlineStr">
        <is>
          <t>No</t>
        </is>
      </c>
      <c r="F1760" t="inlineStr">
        <is>
          <t>No</t>
        </is>
      </c>
      <c r="G1760">
        <f>IF(F1760="Yes",1-B1760,B1760)</f>
        <v/>
      </c>
      <c r="H1760">
        <f>IF(E1760="Yes","",COUNTIFS($E$2:E1760,"No"))</f>
        <v/>
      </c>
      <c r="I1760">
        <f>IF(H1760="","",IF(H1760&lt;=128,"address",IF(H1760&lt;=600,"data1",IF(H1760&lt;=1264,"zero-run1",IF(H1760&lt;=1648,"data2",IF(H1760&lt;=2176,"zero-run2",IF(H1760&lt;=2192,"FCS","trailing")))))))</f>
        <v/>
      </c>
      <c r="J1760">
        <f>IFERROR(IF(AND(H1760&lt;&gt;"",H1760&gt;=129,H1760&lt;=2176),INDEX(Fields!$B$2:$B$206,MATCH(H1760-129,Fields!$D$2:$D$206,1)),""),"")</f>
        <v/>
      </c>
      <c r="K1760">
        <f>IFERROR(IF(AND(H1760&lt;&gt;"",H1760&gt;=129,H1760&lt;=2176),INDEX(Fields!$C$2:$C$206,MATCH(H1760-129,Fields!$D$2:$D$206,1)),""),"")</f>
        <v/>
      </c>
      <c r="L1760">
        <f>IFERROR(IF(AND(H1760&lt;&gt;"",H1760&gt;=129,H1760&lt;=2176),INDEX(Fields!$J$2:$J$206,MATCH(H1760-129,Fields!$D$2:$D$206,1)),""),"")</f>
        <v/>
      </c>
      <c r="M1760">
        <f>IFERROR(IF(AND(H1760&lt;&gt;"",H1760&gt;=129,H1760&lt;=2176),INDEX(Fields!$K$2:$K$206,MATCH(H1760-129,Fields!$D$2:$D$206,1)),""),"")</f>
        <v/>
      </c>
    </row>
    <row r="1761">
      <c r="A1761" t="n">
        <v>1759</v>
      </c>
      <c r="B1761" t="n">
        <v>1</v>
      </c>
      <c r="C1761" s="4" t="inlineStr">
        <is>
          <t>Yes</t>
        </is>
      </c>
      <c r="D1761">
        <f>IF(AND(B1756=1,B1757=1,B1758=1,B1759=1,B1760=1),"Yes","")</f>
        <v/>
      </c>
      <c r="E1761" t="inlineStr">
        <is>
          <t>No</t>
        </is>
      </c>
      <c r="F1761" t="inlineStr">
        <is>
          <t>No</t>
        </is>
      </c>
      <c r="G1761">
        <f>IF(F1761="Yes",1-B1761,B1761)</f>
        <v/>
      </c>
      <c r="H1761">
        <f>IF(E1761="Yes","",COUNTIFS($E$2:E1761,"No"))</f>
        <v/>
      </c>
      <c r="I1761">
        <f>IF(H1761="","",IF(H1761&lt;=128,"address",IF(H1761&lt;=600,"data1",IF(H1761&lt;=1264,"zero-run1",IF(H1761&lt;=1648,"data2",IF(H1761&lt;=2176,"zero-run2",IF(H1761&lt;=2192,"FCS","trailing")))))))</f>
        <v/>
      </c>
      <c r="J1761">
        <f>IFERROR(IF(AND(H1761&lt;&gt;"",H1761&gt;=129,H1761&lt;=2176),INDEX(Fields!$B$2:$B$206,MATCH(H1761-129,Fields!$D$2:$D$206,1)),""),"")</f>
        <v/>
      </c>
      <c r="K1761">
        <f>IFERROR(IF(AND(H1761&lt;&gt;"",H1761&gt;=129,H1761&lt;=2176),INDEX(Fields!$C$2:$C$206,MATCH(H1761-129,Fields!$D$2:$D$206,1)),""),"")</f>
        <v/>
      </c>
      <c r="L1761">
        <f>IFERROR(IF(AND(H1761&lt;&gt;"",H1761&gt;=129,H1761&lt;=2176),INDEX(Fields!$J$2:$J$206,MATCH(H1761-129,Fields!$D$2:$D$206,1)),""),"")</f>
        <v/>
      </c>
      <c r="M1761">
        <f>IFERROR(IF(AND(H1761&lt;&gt;"",H1761&gt;=129,H1761&lt;=2176),INDEX(Fields!$K$2:$K$206,MATCH(H1761-129,Fields!$D$2:$D$206,1)),""),"")</f>
        <v/>
      </c>
    </row>
    <row r="1762">
      <c r="A1762" t="n">
        <v>1760</v>
      </c>
      <c r="B1762" t="n">
        <v>1</v>
      </c>
      <c r="C1762" s="4" t="inlineStr">
        <is>
          <t>Yes</t>
        </is>
      </c>
      <c r="D1762">
        <f>IF(AND(B1757=1,B1758=1,B1759=1,B1760=1,B1761=1),"Yes","")</f>
        <v/>
      </c>
      <c r="E1762" t="inlineStr">
        <is>
          <t>No</t>
        </is>
      </c>
      <c r="F1762" t="inlineStr">
        <is>
          <t>No</t>
        </is>
      </c>
      <c r="G1762">
        <f>IF(F1762="Yes",1-B1762,B1762)</f>
        <v/>
      </c>
      <c r="H1762">
        <f>IF(E1762="Yes","",COUNTIFS($E$2:E1762,"No"))</f>
        <v/>
      </c>
      <c r="I1762">
        <f>IF(H1762="","",IF(H1762&lt;=128,"address",IF(H1762&lt;=600,"data1",IF(H1762&lt;=1264,"zero-run1",IF(H1762&lt;=1648,"data2",IF(H1762&lt;=2176,"zero-run2",IF(H1762&lt;=2192,"FCS","trailing")))))))</f>
        <v/>
      </c>
      <c r="J1762">
        <f>IFERROR(IF(AND(H1762&lt;&gt;"",H1762&gt;=129,H1762&lt;=2176),INDEX(Fields!$B$2:$B$206,MATCH(H1762-129,Fields!$D$2:$D$206,1)),""),"")</f>
        <v/>
      </c>
      <c r="K1762">
        <f>IFERROR(IF(AND(H1762&lt;&gt;"",H1762&gt;=129,H1762&lt;=2176),INDEX(Fields!$C$2:$C$206,MATCH(H1762-129,Fields!$D$2:$D$206,1)),""),"")</f>
        <v/>
      </c>
      <c r="L1762">
        <f>IFERROR(IF(AND(H1762&lt;&gt;"",H1762&gt;=129,H1762&lt;=2176),INDEX(Fields!$J$2:$J$206,MATCH(H1762-129,Fields!$D$2:$D$206,1)),""),"")</f>
        <v/>
      </c>
      <c r="M1762">
        <f>IFERROR(IF(AND(H1762&lt;&gt;"",H1762&gt;=129,H1762&lt;=2176),INDEX(Fields!$K$2:$K$206,MATCH(H1762-129,Fields!$D$2:$D$206,1)),""),"")</f>
        <v/>
      </c>
    </row>
    <row r="1763">
      <c r="A1763" t="n">
        <v>1761</v>
      </c>
      <c r="B1763" t="n">
        <v>0</v>
      </c>
      <c r="C1763" t="inlineStr">
        <is>
          <t>No</t>
        </is>
      </c>
      <c r="D1763">
        <f>IF(AND(B1758=1,B1759=1,B1760=1,B1761=1,B1762=1),"Yes","")</f>
        <v/>
      </c>
      <c r="E1763" t="inlineStr">
        <is>
          <t>No</t>
        </is>
      </c>
      <c r="F1763" t="inlineStr">
        <is>
          <t>No</t>
        </is>
      </c>
      <c r="G1763">
        <f>IF(F1763="Yes",1-B1763,B1763)</f>
        <v/>
      </c>
      <c r="H1763">
        <f>IF(E1763="Yes","",COUNTIFS($E$2:E1763,"No"))</f>
        <v/>
      </c>
      <c r="I1763">
        <f>IF(H1763="","",IF(H1763&lt;=128,"address",IF(H1763&lt;=600,"data1",IF(H1763&lt;=1264,"zero-run1",IF(H1763&lt;=1648,"data2",IF(H1763&lt;=2176,"zero-run2",IF(H1763&lt;=2192,"FCS","trailing")))))))</f>
        <v/>
      </c>
      <c r="J1763">
        <f>IFERROR(IF(AND(H1763&lt;&gt;"",H1763&gt;=129,H1763&lt;=2176),INDEX(Fields!$B$2:$B$206,MATCH(H1763-129,Fields!$D$2:$D$206,1)),""),"")</f>
        <v/>
      </c>
      <c r="K1763">
        <f>IFERROR(IF(AND(H1763&lt;&gt;"",H1763&gt;=129,H1763&lt;=2176),INDEX(Fields!$C$2:$C$206,MATCH(H1763-129,Fields!$D$2:$D$206,1)),""),"")</f>
        <v/>
      </c>
      <c r="L1763">
        <f>IFERROR(IF(AND(H1763&lt;&gt;"",H1763&gt;=129,H1763&lt;=2176),INDEX(Fields!$J$2:$J$206,MATCH(H1763-129,Fields!$D$2:$D$206,1)),""),"")</f>
        <v/>
      </c>
      <c r="M1763">
        <f>IFERROR(IF(AND(H1763&lt;&gt;"",H1763&gt;=129,H1763&lt;=2176),INDEX(Fields!$K$2:$K$206,MATCH(H1763-129,Fields!$D$2:$D$206,1)),""),"")</f>
        <v/>
      </c>
    </row>
    <row r="1764">
      <c r="A1764" t="n">
        <v>1762</v>
      </c>
      <c r="B1764" t="n">
        <v>0</v>
      </c>
      <c r="C1764" t="inlineStr">
        <is>
          <t>No</t>
        </is>
      </c>
      <c r="D1764">
        <f>IF(AND(B1759=1,B1760=1,B1761=1,B1762=1,B1763=1),"Yes","")</f>
        <v/>
      </c>
      <c r="E1764" t="inlineStr">
        <is>
          <t>No</t>
        </is>
      </c>
      <c r="F1764" t="inlineStr">
        <is>
          <t>No</t>
        </is>
      </c>
      <c r="G1764">
        <f>IF(F1764="Yes",1-B1764,B1764)</f>
        <v/>
      </c>
      <c r="H1764">
        <f>IF(E1764="Yes","",COUNTIFS($E$2:E1764,"No"))</f>
        <v/>
      </c>
      <c r="I1764">
        <f>IF(H1764="","",IF(H1764&lt;=128,"address",IF(H1764&lt;=600,"data1",IF(H1764&lt;=1264,"zero-run1",IF(H1764&lt;=1648,"data2",IF(H1764&lt;=2176,"zero-run2",IF(H1764&lt;=2192,"FCS","trailing")))))))</f>
        <v/>
      </c>
      <c r="J1764">
        <f>IFERROR(IF(AND(H1764&lt;&gt;"",H1764&gt;=129,H1764&lt;=2176),INDEX(Fields!$B$2:$B$206,MATCH(H1764-129,Fields!$D$2:$D$206,1)),""),"")</f>
        <v/>
      </c>
      <c r="K1764">
        <f>IFERROR(IF(AND(H1764&lt;&gt;"",H1764&gt;=129,H1764&lt;=2176),INDEX(Fields!$C$2:$C$206,MATCH(H1764-129,Fields!$D$2:$D$206,1)),""),"")</f>
        <v/>
      </c>
      <c r="L1764">
        <f>IFERROR(IF(AND(H1764&lt;&gt;"",H1764&gt;=129,H1764&lt;=2176),INDEX(Fields!$J$2:$J$206,MATCH(H1764-129,Fields!$D$2:$D$206,1)),""),"")</f>
        <v/>
      </c>
      <c r="M1764">
        <f>IFERROR(IF(AND(H1764&lt;&gt;"",H1764&gt;=129,H1764&lt;=2176),INDEX(Fields!$K$2:$K$206,MATCH(H1764-129,Fields!$D$2:$D$206,1)),""),"")</f>
        <v/>
      </c>
    </row>
    <row r="1765">
      <c r="A1765" t="n">
        <v>1763</v>
      </c>
      <c r="B1765" t="n">
        <v>0</v>
      </c>
      <c r="C1765" t="inlineStr">
        <is>
          <t>No</t>
        </is>
      </c>
      <c r="D1765">
        <f>IF(AND(B1760=1,B1761=1,B1762=1,B1763=1,B1764=1),"Yes","")</f>
        <v/>
      </c>
      <c r="E1765" t="inlineStr">
        <is>
          <t>No</t>
        </is>
      </c>
      <c r="F1765" t="inlineStr">
        <is>
          <t>No</t>
        </is>
      </c>
      <c r="G1765">
        <f>IF(F1765="Yes",1-B1765,B1765)</f>
        <v/>
      </c>
      <c r="H1765">
        <f>IF(E1765="Yes","",COUNTIFS($E$2:E1765,"No"))</f>
        <v/>
      </c>
      <c r="I1765">
        <f>IF(H1765="","",IF(H1765&lt;=128,"address",IF(H1765&lt;=600,"data1",IF(H1765&lt;=1264,"zero-run1",IF(H1765&lt;=1648,"data2",IF(H1765&lt;=2176,"zero-run2",IF(H1765&lt;=2192,"FCS","trailing")))))))</f>
        <v/>
      </c>
      <c r="J1765">
        <f>IFERROR(IF(AND(H1765&lt;&gt;"",H1765&gt;=129,H1765&lt;=2176),INDEX(Fields!$B$2:$B$206,MATCH(H1765-129,Fields!$D$2:$D$206,1)),""),"")</f>
        <v/>
      </c>
      <c r="K1765">
        <f>IFERROR(IF(AND(H1765&lt;&gt;"",H1765&gt;=129,H1765&lt;=2176),INDEX(Fields!$C$2:$C$206,MATCH(H1765-129,Fields!$D$2:$D$206,1)),""),"")</f>
        <v/>
      </c>
      <c r="L1765">
        <f>IFERROR(IF(AND(H1765&lt;&gt;"",H1765&gt;=129,H1765&lt;=2176),INDEX(Fields!$J$2:$J$206,MATCH(H1765-129,Fields!$D$2:$D$206,1)),""),"")</f>
        <v/>
      </c>
      <c r="M1765">
        <f>IFERROR(IF(AND(H1765&lt;&gt;"",H1765&gt;=129,H1765&lt;=2176),INDEX(Fields!$K$2:$K$206,MATCH(H1765-129,Fields!$D$2:$D$206,1)),""),"")</f>
        <v/>
      </c>
    </row>
    <row r="1766">
      <c r="A1766" t="n">
        <v>1764</v>
      </c>
      <c r="B1766" t="n">
        <v>0</v>
      </c>
      <c r="C1766" t="inlineStr">
        <is>
          <t>No</t>
        </is>
      </c>
      <c r="D1766">
        <f>IF(AND(B1761=1,B1762=1,B1763=1,B1764=1,B1765=1),"Yes","")</f>
        <v/>
      </c>
      <c r="E1766" t="inlineStr">
        <is>
          <t>No</t>
        </is>
      </c>
      <c r="F1766" t="inlineStr">
        <is>
          <t>No</t>
        </is>
      </c>
      <c r="G1766">
        <f>IF(F1766="Yes",1-B1766,B1766)</f>
        <v/>
      </c>
      <c r="H1766">
        <f>IF(E1766="Yes","",COUNTIFS($E$2:E1766,"No"))</f>
        <v/>
      </c>
      <c r="I1766">
        <f>IF(H1766="","",IF(H1766&lt;=128,"address",IF(H1766&lt;=600,"data1",IF(H1766&lt;=1264,"zero-run1",IF(H1766&lt;=1648,"data2",IF(H1766&lt;=2176,"zero-run2",IF(H1766&lt;=2192,"FCS","trailing")))))))</f>
        <v/>
      </c>
      <c r="J1766">
        <f>IFERROR(IF(AND(H1766&lt;&gt;"",H1766&gt;=129,H1766&lt;=2176),INDEX(Fields!$B$2:$B$206,MATCH(H1766-129,Fields!$D$2:$D$206,1)),""),"")</f>
        <v/>
      </c>
      <c r="K1766">
        <f>IFERROR(IF(AND(H1766&lt;&gt;"",H1766&gt;=129,H1766&lt;=2176),INDEX(Fields!$C$2:$C$206,MATCH(H1766-129,Fields!$D$2:$D$206,1)),""),"")</f>
        <v/>
      </c>
      <c r="L1766">
        <f>IFERROR(IF(AND(H1766&lt;&gt;"",H1766&gt;=129,H1766&lt;=2176),INDEX(Fields!$J$2:$J$206,MATCH(H1766-129,Fields!$D$2:$D$206,1)),""),"")</f>
        <v/>
      </c>
      <c r="M1766">
        <f>IFERROR(IF(AND(H1766&lt;&gt;"",H1766&gt;=129,H1766&lt;=2176),INDEX(Fields!$K$2:$K$206,MATCH(H1766-129,Fields!$D$2:$D$206,1)),""),"")</f>
        <v/>
      </c>
    </row>
    <row r="1767">
      <c r="A1767" t="n">
        <v>1765</v>
      </c>
      <c r="B1767" t="n">
        <v>0</v>
      </c>
      <c r="C1767" t="inlineStr">
        <is>
          <t>No</t>
        </is>
      </c>
      <c r="D1767">
        <f>IF(AND(B1762=1,B1763=1,B1764=1,B1765=1,B1766=1),"Yes","")</f>
        <v/>
      </c>
      <c r="E1767" t="inlineStr">
        <is>
          <t>No</t>
        </is>
      </c>
      <c r="F1767" t="inlineStr">
        <is>
          <t>No</t>
        </is>
      </c>
      <c r="G1767">
        <f>IF(F1767="Yes",1-B1767,B1767)</f>
        <v/>
      </c>
      <c r="H1767">
        <f>IF(E1767="Yes","",COUNTIFS($E$2:E1767,"No"))</f>
        <v/>
      </c>
      <c r="I1767">
        <f>IF(H1767="","",IF(H1767&lt;=128,"address",IF(H1767&lt;=600,"data1",IF(H1767&lt;=1264,"zero-run1",IF(H1767&lt;=1648,"data2",IF(H1767&lt;=2176,"zero-run2",IF(H1767&lt;=2192,"FCS","trailing")))))))</f>
        <v/>
      </c>
      <c r="J1767">
        <f>IFERROR(IF(AND(H1767&lt;&gt;"",H1767&gt;=129,H1767&lt;=2176),INDEX(Fields!$B$2:$B$206,MATCH(H1767-129,Fields!$D$2:$D$206,1)),""),"")</f>
        <v/>
      </c>
      <c r="K1767">
        <f>IFERROR(IF(AND(H1767&lt;&gt;"",H1767&gt;=129,H1767&lt;=2176),INDEX(Fields!$C$2:$C$206,MATCH(H1767-129,Fields!$D$2:$D$206,1)),""),"")</f>
        <v/>
      </c>
      <c r="L1767">
        <f>IFERROR(IF(AND(H1767&lt;&gt;"",H1767&gt;=129,H1767&lt;=2176),INDEX(Fields!$J$2:$J$206,MATCH(H1767-129,Fields!$D$2:$D$206,1)),""),"")</f>
        <v/>
      </c>
      <c r="M1767">
        <f>IFERROR(IF(AND(H1767&lt;&gt;"",H1767&gt;=129,H1767&lt;=2176),INDEX(Fields!$K$2:$K$206,MATCH(H1767-129,Fields!$D$2:$D$206,1)),""),"")</f>
        <v/>
      </c>
    </row>
    <row r="1768">
      <c r="A1768" t="n">
        <v>1766</v>
      </c>
      <c r="B1768" t="n">
        <v>0</v>
      </c>
      <c r="C1768" t="inlineStr">
        <is>
          <t>No</t>
        </is>
      </c>
      <c r="D1768">
        <f>IF(AND(B1763=1,B1764=1,B1765=1,B1766=1,B1767=1),"Yes","")</f>
        <v/>
      </c>
      <c r="E1768" t="inlineStr">
        <is>
          <t>No</t>
        </is>
      </c>
      <c r="F1768" t="inlineStr">
        <is>
          <t>No</t>
        </is>
      </c>
      <c r="G1768">
        <f>IF(F1768="Yes",1-B1768,B1768)</f>
        <v/>
      </c>
      <c r="H1768">
        <f>IF(E1768="Yes","",COUNTIFS($E$2:E1768,"No"))</f>
        <v/>
      </c>
      <c r="I1768">
        <f>IF(H1768="","",IF(H1768&lt;=128,"address",IF(H1768&lt;=600,"data1",IF(H1768&lt;=1264,"zero-run1",IF(H1768&lt;=1648,"data2",IF(H1768&lt;=2176,"zero-run2",IF(H1768&lt;=2192,"FCS","trailing")))))))</f>
        <v/>
      </c>
      <c r="J1768">
        <f>IFERROR(IF(AND(H1768&lt;&gt;"",H1768&gt;=129,H1768&lt;=2176),INDEX(Fields!$B$2:$B$206,MATCH(H1768-129,Fields!$D$2:$D$206,1)),""),"")</f>
        <v/>
      </c>
      <c r="K1768">
        <f>IFERROR(IF(AND(H1768&lt;&gt;"",H1768&gt;=129,H1768&lt;=2176),INDEX(Fields!$C$2:$C$206,MATCH(H1768-129,Fields!$D$2:$D$206,1)),""),"")</f>
        <v/>
      </c>
      <c r="L1768">
        <f>IFERROR(IF(AND(H1768&lt;&gt;"",H1768&gt;=129,H1768&lt;=2176),INDEX(Fields!$J$2:$J$206,MATCH(H1768-129,Fields!$D$2:$D$206,1)),""),"")</f>
        <v/>
      </c>
      <c r="M1768">
        <f>IFERROR(IF(AND(H1768&lt;&gt;"",H1768&gt;=129,H1768&lt;=2176),INDEX(Fields!$K$2:$K$206,MATCH(H1768-129,Fields!$D$2:$D$206,1)),""),"")</f>
        <v/>
      </c>
    </row>
    <row r="1769">
      <c r="A1769" t="n">
        <v>1767</v>
      </c>
      <c r="B1769" t="n">
        <v>0</v>
      </c>
      <c r="C1769" t="inlineStr">
        <is>
          <t>No</t>
        </is>
      </c>
      <c r="D1769">
        <f>IF(AND(B1764=1,B1765=1,B1766=1,B1767=1,B1768=1),"Yes","")</f>
        <v/>
      </c>
      <c r="E1769" t="inlineStr">
        <is>
          <t>No</t>
        </is>
      </c>
      <c r="F1769" t="inlineStr">
        <is>
          <t>No</t>
        </is>
      </c>
      <c r="G1769">
        <f>IF(F1769="Yes",1-B1769,B1769)</f>
        <v/>
      </c>
      <c r="H1769">
        <f>IF(E1769="Yes","",COUNTIFS($E$2:E1769,"No"))</f>
        <v/>
      </c>
      <c r="I1769">
        <f>IF(H1769="","",IF(H1769&lt;=128,"address",IF(H1769&lt;=600,"data1",IF(H1769&lt;=1264,"zero-run1",IF(H1769&lt;=1648,"data2",IF(H1769&lt;=2176,"zero-run2",IF(H1769&lt;=2192,"FCS","trailing")))))))</f>
        <v/>
      </c>
      <c r="J1769">
        <f>IFERROR(IF(AND(H1769&lt;&gt;"",H1769&gt;=129,H1769&lt;=2176),INDEX(Fields!$B$2:$B$206,MATCH(H1769-129,Fields!$D$2:$D$206,1)),""),"")</f>
        <v/>
      </c>
      <c r="K1769">
        <f>IFERROR(IF(AND(H1769&lt;&gt;"",H1769&gt;=129,H1769&lt;=2176),INDEX(Fields!$C$2:$C$206,MATCH(H1769-129,Fields!$D$2:$D$206,1)),""),"")</f>
        <v/>
      </c>
      <c r="L1769">
        <f>IFERROR(IF(AND(H1769&lt;&gt;"",H1769&gt;=129,H1769&lt;=2176),INDEX(Fields!$J$2:$J$206,MATCH(H1769-129,Fields!$D$2:$D$206,1)),""),"")</f>
        <v/>
      </c>
      <c r="M1769">
        <f>IFERROR(IF(AND(H1769&lt;&gt;"",H1769&gt;=129,H1769&lt;=2176),INDEX(Fields!$K$2:$K$206,MATCH(H1769-129,Fields!$D$2:$D$206,1)),""),"")</f>
        <v/>
      </c>
    </row>
    <row r="1770">
      <c r="A1770" t="n">
        <v>1768</v>
      </c>
      <c r="B1770" t="n">
        <v>0</v>
      </c>
      <c r="C1770" t="inlineStr">
        <is>
          <t>No</t>
        </is>
      </c>
      <c r="D1770">
        <f>IF(AND(B1765=1,B1766=1,B1767=1,B1768=1,B1769=1),"Yes","")</f>
        <v/>
      </c>
      <c r="E1770" t="inlineStr">
        <is>
          <t>No</t>
        </is>
      </c>
      <c r="F1770" t="inlineStr">
        <is>
          <t>No</t>
        </is>
      </c>
      <c r="G1770">
        <f>IF(F1770="Yes",1-B1770,B1770)</f>
        <v/>
      </c>
      <c r="H1770">
        <f>IF(E1770="Yes","",COUNTIFS($E$2:E1770,"No"))</f>
        <v/>
      </c>
      <c r="I1770">
        <f>IF(H1770="","",IF(H1770&lt;=128,"address",IF(H1770&lt;=600,"data1",IF(H1770&lt;=1264,"zero-run1",IF(H1770&lt;=1648,"data2",IF(H1770&lt;=2176,"zero-run2",IF(H1770&lt;=2192,"FCS","trailing")))))))</f>
        <v/>
      </c>
      <c r="J1770">
        <f>IFERROR(IF(AND(H1770&lt;&gt;"",H1770&gt;=129,H1770&lt;=2176),INDEX(Fields!$B$2:$B$206,MATCH(H1770-129,Fields!$D$2:$D$206,1)),""),"")</f>
        <v/>
      </c>
      <c r="K1770">
        <f>IFERROR(IF(AND(H1770&lt;&gt;"",H1770&gt;=129,H1770&lt;=2176),INDEX(Fields!$C$2:$C$206,MATCH(H1770-129,Fields!$D$2:$D$206,1)),""),"")</f>
        <v/>
      </c>
      <c r="L1770">
        <f>IFERROR(IF(AND(H1770&lt;&gt;"",H1770&gt;=129,H1770&lt;=2176),INDEX(Fields!$J$2:$J$206,MATCH(H1770-129,Fields!$D$2:$D$206,1)),""),"")</f>
        <v/>
      </c>
      <c r="M1770">
        <f>IFERROR(IF(AND(H1770&lt;&gt;"",H1770&gt;=129,H1770&lt;=2176),INDEX(Fields!$K$2:$K$206,MATCH(H1770-129,Fields!$D$2:$D$206,1)),""),"")</f>
        <v/>
      </c>
    </row>
    <row r="1771">
      <c r="A1771" t="n">
        <v>1769</v>
      </c>
      <c r="B1771" t="n">
        <v>0</v>
      </c>
      <c r="C1771" t="inlineStr">
        <is>
          <t>No</t>
        </is>
      </c>
      <c r="D1771">
        <f>IF(AND(B1766=1,B1767=1,B1768=1,B1769=1,B1770=1),"Yes","")</f>
        <v/>
      </c>
      <c r="E1771" t="inlineStr">
        <is>
          <t>No</t>
        </is>
      </c>
      <c r="F1771" t="inlineStr">
        <is>
          <t>No</t>
        </is>
      </c>
      <c r="G1771">
        <f>IF(F1771="Yes",1-B1771,B1771)</f>
        <v/>
      </c>
      <c r="H1771">
        <f>IF(E1771="Yes","",COUNTIFS($E$2:E1771,"No"))</f>
        <v/>
      </c>
      <c r="I1771">
        <f>IF(H1771="","",IF(H1771&lt;=128,"address",IF(H1771&lt;=600,"data1",IF(H1771&lt;=1264,"zero-run1",IF(H1771&lt;=1648,"data2",IF(H1771&lt;=2176,"zero-run2",IF(H1771&lt;=2192,"FCS","trailing")))))))</f>
        <v/>
      </c>
      <c r="J1771">
        <f>IFERROR(IF(AND(H1771&lt;&gt;"",H1771&gt;=129,H1771&lt;=2176),INDEX(Fields!$B$2:$B$206,MATCH(H1771-129,Fields!$D$2:$D$206,1)),""),"")</f>
        <v/>
      </c>
      <c r="K1771">
        <f>IFERROR(IF(AND(H1771&lt;&gt;"",H1771&gt;=129,H1771&lt;=2176),INDEX(Fields!$C$2:$C$206,MATCH(H1771-129,Fields!$D$2:$D$206,1)),""),"")</f>
        <v/>
      </c>
      <c r="L1771">
        <f>IFERROR(IF(AND(H1771&lt;&gt;"",H1771&gt;=129,H1771&lt;=2176),INDEX(Fields!$J$2:$J$206,MATCH(H1771-129,Fields!$D$2:$D$206,1)),""),"")</f>
        <v/>
      </c>
      <c r="M1771">
        <f>IFERROR(IF(AND(H1771&lt;&gt;"",H1771&gt;=129,H1771&lt;=2176),INDEX(Fields!$K$2:$K$206,MATCH(H1771-129,Fields!$D$2:$D$206,1)),""),"")</f>
        <v/>
      </c>
    </row>
    <row r="1772">
      <c r="A1772" t="n">
        <v>1770</v>
      </c>
      <c r="B1772" t="n">
        <v>0</v>
      </c>
      <c r="C1772" t="inlineStr">
        <is>
          <t>No</t>
        </is>
      </c>
      <c r="D1772">
        <f>IF(AND(B1767=1,B1768=1,B1769=1,B1770=1,B1771=1),"Yes","")</f>
        <v/>
      </c>
      <c r="E1772" t="inlineStr">
        <is>
          <t>No</t>
        </is>
      </c>
      <c r="F1772" t="inlineStr">
        <is>
          <t>No</t>
        </is>
      </c>
      <c r="G1772">
        <f>IF(F1772="Yes",1-B1772,B1772)</f>
        <v/>
      </c>
      <c r="H1772">
        <f>IF(E1772="Yes","",COUNTIFS($E$2:E1772,"No"))</f>
        <v/>
      </c>
      <c r="I1772">
        <f>IF(H1772="","",IF(H1772&lt;=128,"address",IF(H1772&lt;=600,"data1",IF(H1772&lt;=1264,"zero-run1",IF(H1772&lt;=1648,"data2",IF(H1772&lt;=2176,"zero-run2",IF(H1772&lt;=2192,"FCS","trailing")))))))</f>
        <v/>
      </c>
      <c r="J1772">
        <f>IFERROR(IF(AND(H1772&lt;&gt;"",H1772&gt;=129,H1772&lt;=2176),INDEX(Fields!$B$2:$B$206,MATCH(H1772-129,Fields!$D$2:$D$206,1)),""),"")</f>
        <v/>
      </c>
      <c r="K1772">
        <f>IFERROR(IF(AND(H1772&lt;&gt;"",H1772&gt;=129,H1772&lt;=2176),INDEX(Fields!$C$2:$C$206,MATCH(H1772-129,Fields!$D$2:$D$206,1)),""),"")</f>
        <v/>
      </c>
      <c r="L1772">
        <f>IFERROR(IF(AND(H1772&lt;&gt;"",H1772&gt;=129,H1772&lt;=2176),INDEX(Fields!$J$2:$J$206,MATCH(H1772-129,Fields!$D$2:$D$206,1)),""),"")</f>
        <v/>
      </c>
      <c r="M1772">
        <f>IFERROR(IF(AND(H1772&lt;&gt;"",H1772&gt;=129,H1772&lt;=2176),INDEX(Fields!$K$2:$K$206,MATCH(H1772-129,Fields!$D$2:$D$206,1)),""),"")</f>
        <v/>
      </c>
    </row>
    <row r="1773">
      <c r="A1773" t="n">
        <v>1771</v>
      </c>
      <c r="B1773" t="n">
        <v>0</v>
      </c>
      <c r="C1773" t="inlineStr">
        <is>
          <t>No</t>
        </is>
      </c>
      <c r="D1773">
        <f>IF(AND(B1768=1,B1769=1,B1770=1,B1771=1,B1772=1),"Yes","")</f>
        <v/>
      </c>
      <c r="E1773" t="inlineStr">
        <is>
          <t>No</t>
        </is>
      </c>
      <c r="F1773" t="inlineStr">
        <is>
          <t>No</t>
        </is>
      </c>
      <c r="G1773">
        <f>IF(F1773="Yes",1-B1773,B1773)</f>
        <v/>
      </c>
      <c r="H1773">
        <f>IF(E1773="Yes","",COUNTIFS($E$2:E1773,"No"))</f>
        <v/>
      </c>
      <c r="I1773">
        <f>IF(H1773="","",IF(H1773&lt;=128,"address",IF(H1773&lt;=600,"data1",IF(H1773&lt;=1264,"zero-run1",IF(H1773&lt;=1648,"data2",IF(H1773&lt;=2176,"zero-run2",IF(H1773&lt;=2192,"FCS","trailing")))))))</f>
        <v/>
      </c>
      <c r="J1773">
        <f>IFERROR(IF(AND(H1773&lt;&gt;"",H1773&gt;=129,H1773&lt;=2176),INDEX(Fields!$B$2:$B$206,MATCH(H1773-129,Fields!$D$2:$D$206,1)),""),"")</f>
        <v/>
      </c>
      <c r="K1773">
        <f>IFERROR(IF(AND(H1773&lt;&gt;"",H1773&gt;=129,H1773&lt;=2176),INDEX(Fields!$C$2:$C$206,MATCH(H1773-129,Fields!$D$2:$D$206,1)),""),"")</f>
        <v/>
      </c>
      <c r="L1773">
        <f>IFERROR(IF(AND(H1773&lt;&gt;"",H1773&gt;=129,H1773&lt;=2176),INDEX(Fields!$J$2:$J$206,MATCH(H1773-129,Fields!$D$2:$D$206,1)),""),"")</f>
        <v/>
      </c>
      <c r="M1773">
        <f>IFERROR(IF(AND(H1773&lt;&gt;"",H1773&gt;=129,H1773&lt;=2176),INDEX(Fields!$K$2:$K$206,MATCH(H1773-129,Fields!$D$2:$D$206,1)),""),"")</f>
        <v/>
      </c>
    </row>
    <row r="1774">
      <c r="A1774" t="n">
        <v>1772</v>
      </c>
      <c r="B1774" t="n">
        <v>0</v>
      </c>
      <c r="C1774" t="inlineStr">
        <is>
          <t>No</t>
        </is>
      </c>
      <c r="D1774">
        <f>IF(AND(B1769=1,B1770=1,B1771=1,B1772=1,B1773=1),"Yes","")</f>
        <v/>
      </c>
      <c r="E1774" t="inlineStr">
        <is>
          <t>No</t>
        </is>
      </c>
      <c r="F1774" t="inlineStr">
        <is>
          <t>No</t>
        </is>
      </c>
      <c r="G1774">
        <f>IF(F1774="Yes",1-B1774,B1774)</f>
        <v/>
      </c>
      <c r="H1774">
        <f>IF(E1774="Yes","",COUNTIFS($E$2:E1774,"No"))</f>
        <v/>
      </c>
      <c r="I1774">
        <f>IF(H1774="","",IF(H1774&lt;=128,"address",IF(H1774&lt;=600,"data1",IF(H1774&lt;=1264,"zero-run1",IF(H1774&lt;=1648,"data2",IF(H1774&lt;=2176,"zero-run2",IF(H1774&lt;=2192,"FCS","trailing")))))))</f>
        <v/>
      </c>
      <c r="J1774">
        <f>IFERROR(IF(AND(H1774&lt;&gt;"",H1774&gt;=129,H1774&lt;=2176),INDEX(Fields!$B$2:$B$206,MATCH(H1774-129,Fields!$D$2:$D$206,1)),""),"")</f>
        <v/>
      </c>
      <c r="K1774">
        <f>IFERROR(IF(AND(H1774&lt;&gt;"",H1774&gt;=129,H1774&lt;=2176),INDEX(Fields!$C$2:$C$206,MATCH(H1774-129,Fields!$D$2:$D$206,1)),""),"")</f>
        <v/>
      </c>
      <c r="L1774">
        <f>IFERROR(IF(AND(H1774&lt;&gt;"",H1774&gt;=129,H1774&lt;=2176),INDEX(Fields!$J$2:$J$206,MATCH(H1774-129,Fields!$D$2:$D$206,1)),""),"")</f>
        <v/>
      </c>
      <c r="M1774">
        <f>IFERROR(IF(AND(H1774&lt;&gt;"",H1774&gt;=129,H1774&lt;=2176),INDEX(Fields!$K$2:$K$206,MATCH(H1774-129,Fields!$D$2:$D$206,1)),""),"")</f>
        <v/>
      </c>
    </row>
    <row r="1775">
      <c r="A1775" t="n">
        <v>1773</v>
      </c>
      <c r="B1775" t="n">
        <v>0</v>
      </c>
      <c r="C1775" t="inlineStr">
        <is>
          <t>No</t>
        </is>
      </c>
      <c r="D1775">
        <f>IF(AND(B1770=1,B1771=1,B1772=1,B1773=1,B1774=1),"Yes","")</f>
        <v/>
      </c>
      <c r="E1775" t="inlineStr">
        <is>
          <t>No</t>
        </is>
      </c>
      <c r="F1775" t="inlineStr">
        <is>
          <t>No</t>
        </is>
      </c>
      <c r="G1775">
        <f>IF(F1775="Yes",1-B1775,B1775)</f>
        <v/>
      </c>
      <c r="H1775">
        <f>IF(E1775="Yes","",COUNTIFS($E$2:E1775,"No"))</f>
        <v/>
      </c>
      <c r="I1775">
        <f>IF(H1775="","",IF(H1775&lt;=128,"address",IF(H1775&lt;=600,"data1",IF(H1775&lt;=1264,"zero-run1",IF(H1775&lt;=1648,"data2",IF(H1775&lt;=2176,"zero-run2",IF(H1775&lt;=2192,"FCS","trailing")))))))</f>
        <v/>
      </c>
      <c r="J1775">
        <f>IFERROR(IF(AND(H1775&lt;&gt;"",H1775&gt;=129,H1775&lt;=2176),INDEX(Fields!$B$2:$B$206,MATCH(H1775-129,Fields!$D$2:$D$206,1)),""),"")</f>
        <v/>
      </c>
      <c r="K1775">
        <f>IFERROR(IF(AND(H1775&lt;&gt;"",H1775&gt;=129,H1775&lt;=2176),INDEX(Fields!$C$2:$C$206,MATCH(H1775-129,Fields!$D$2:$D$206,1)),""),"")</f>
        <v/>
      </c>
      <c r="L1775">
        <f>IFERROR(IF(AND(H1775&lt;&gt;"",H1775&gt;=129,H1775&lt;=2176),INDEX(Fields!$J$2:$J$206,MATCH(H1775-129,Fields!$D$2:$D$206,1)),""),"")</f>
        <v/>
      </c>
      <c r="M1775">
        <f>IFERROR(IF(AND(H1775&lt;&gt;"",H1775&gt;=129,H1775&lt;=2176),INDEX(Fields!$K$2:$K$206,MATCH(H1775-129,Fields!$D$2:$D$206,1)),""),"")</f>
        <v/>
      </c>
    </row>
    <row r="1776">
      <c r="A1776" t="n">
        <v>1774</v>
      </c>
      <c r="B1776" t="n">
        <v>0</v>
      </c>
      <c r="C1776" t="inlineStr">
        <is>
          <t>No</t>
        </is>
      </c>
      <c r="D1776">
        <f>IF(AND(B1771=1,B1772=1,B1773=1,B1774=1,B1775=1),"Yes","")</f>
        <v/>
      </c>
      <c r="E1776" t="inlineStr">
        <is>
          <t>No</t>
        </is>
      </c>
      <c r="F1776" t="inlineStr">
        <is>
          <t>No</t>
        </is>
      </c>
      <c r="G1776">
        <f>IF(F1776="Yes",1-B1776,B1776)</f>
        <v/>
      </c>
      <c r="H1776">
        <f>IF(E1776="Yes","",COUNTIFS($E$2:E1776,"No"))</f>
        <v/>
      </c>
      <c r="I1776">
        <f>IF(H1776="","",IF(H1776&lt;=128,"address",IF(H1776&lt;=600,"data1",IF(H1776&lt;=1264,"zero-run1",IF(H1776&lt;=1648,"data2",IF(H1776&lt;=2176,"zero-run2",IF(H1776&lt;=2192,"FCS","trailing")))))))</f>
        <v/>
      </c>
      <c r="J1776">
        <f>IFERROR(IF(AND(H1776&lt;&gt;"",H1776&gt;=129,H1776&lt;=2176),INDEX(Fields!$B$2:$B$206,MATCH(H1776-129,Fields!$D$2:$D$206,1)),""),"")</f>
        <v/>
      </c>
      <c r="K1776">
        <f>IFERROR(IF(AND(H1776&lt;&gt;"",H1776&gt;=129,H1776&lt;=2176),INDEX(Fields!$C$2:$C$206,MATCH(H1776-129,Fields!$D$2:$D$206,1)),""),"")</f>
        <v/>
      </c>
      <c r="L1776">
        <f>IFERROR(IF(AND(H1776&lt;&gt;"",H1776&gt;=129,H1776&lt;=2176),INDEX(Fields!$J$2:$J$206,MATCH(H1776-129,Fields!$D$2:$D$206,1)),""),"")</f>
        <v/>
      </c>
      <c r="M1776">
        <f>IFERROR(IF(AND(H1776&lt;&gt;"",H1776&gt;=129,H1776&lt;=2176),INDEX(Fields!$K$2:$K$206,MATCH(H1776-129,Fields!$D$2:$D$206,1)),""),"")</f>
        <v/>
      </c>
    </row>
    <row r="1777">
      <c r="A1777" t="n">
        <v>1775</v>
      </c>
      <c r="B1777" t="n">
        <v>0</v>
      </c>
      <c r="C1777" t="inlineStr">
        <is>
          <t>No</t>
        </is>
      </c>
      <c r="D1777">
        <f>IF(AND(B1772=1,B1773=1,B1774=1,B1775=1,B1776=1),"Yes","")</f>
        <v/>
      </c>
      <c r="E1777" t="inlineStr">
        <is>
          <t>No</t>
        </is>
      </c>
      <c r="F1777" t="inlineStr">
        <is>
          <t>No</t>
        </is>
      </c>
      <c r="G1777">
        <f>IF(F1777="Yes",1-B1777,B1777)</f>
        <v/>
      </c>
      <c r="H1777">
        <f>IF(E1777="Yes","",COUNTIFS($E$2:E1777,"No"))</f>
        <v/>
      </c>
      <c r="I1777">
        <f>IF(H1777="","",IF(H1777&lt;=128,"address",IF(H1777&lt;=600,"data1",IF(H1777&lt;=1264,"zero-run1",IF(H1777&lt;=1648,"data2",IF(H1777&lt;=2176,"zero-run2",IF(H1777&lt;=2192,"FCS","trailing")))))))</f>
        <v/>
      </c>
      <c r="J1777">
        <f>IFERROR(IF(AND(H1777&lt;&gt;"",H1777&gt;=129,H1777&lt;=2176),INDEX(Fields!$B$2:$B$206,MATCH(H1777-129,Fields!$D$2:$D$206,1)),""),"")</f>
        <v/>
      </c>
      <c r="K1777">
        <f>IFERROR(IF(AND(H1777&lt;&gt;"",H1777&gt;=129,H1777&lt;=2176),INDEX(Fields!$C$2:$C$206,MATCH(H1777-129,Fields!$D$2:$D$206,1)),""),"")</f>
        <v/>
      </c>
      <c r="L1777">
        <f>IFERROR(IF(AND(H1777&lt;&gt;"",H1777&gt;=129,H1777&lt;=2176),INDEX(Fields!$J$2:$J$206,MATCH(H1777-129,Fields!$D$2:$D$206,1)),""),"")</f>
        <v/>
      </c>
      <c r="M1777">
        <f>IFERROR(IF(AND(H1777&lt;&gt;"",H1777&gt;=129,H1777&lt;=2176),INDEX(Fields!$K$2:$K$206,MATCH(H1777-129,Fields!$D$2:$D$206,1)),""),"")</f>
        <v/>
      </c>
    </row>
    <row r="1778">
      <c r="A1778" t="n">
        <v>1776</v>
      </c>
      <c r="B1778" t="n">
        <v>0</v>
      </c>
      <c r="C1778" t="inlineStr">
        <is>
          <t>No</t>
        </is>
      </c>
      <c r="D1778">
        <f>IF(AND(B1773=1,B1774=1,B1775=1,B1776=1,B1777=1),"Yes","")</f>
        <v/>
      </c>
      <c r="E1778" t="inlineStr">
        <is>
          <t>No</t>
        </is>
      </c>
      <c r="F1778" t="inlineStr">
        <is>
          <t>No</t>
        </is>
      </c>
      <c r="G1778">
        <f>IF(F1778="Yes",1-B1778,B1778)</f>
        <v/>
      </c>
      <c r="H1778">
        <f>IF(E1778="Yes","",COUNTIFS($E$2:E1778,"No"))</f>
        <v/>
      </c>
      <c r="I1778">
        <f>IF(H1778="","",IF(H1778&lt;=128,"address",IF(H1778&lt;=600,"data1",IF(H1778&lt;=1264,"zero-run1",IF(H1778&lt;=1648,"data2",IF(H1778&lt;=2176,"zero-run2",IF(H1778&lt;=2192,"FCS","trailing")))))))</f>
        <v/>
      </c>
      <c r="J1778">
        <f>IFERROR(IF(AND(H1778&lt;&gt;"",H1778&gt;=129,H1778&lt;=2176),INDEX(Fields!$B$2:$B$206,MATCH(H1778-129,Fields!$D$2:$D$206,1)),""),"")</f>
        <v/>
      </c>
      <c r="K1778">
        <f>IFERROR(IF(AND(H1778&lt;&gt;"",H1778&gt;=129,H1778&lt;=2176),INDEX(Fields!$C$2:$C$206,MATCH(H1778-129,Fields!$D$2:$D$206,1)),""),"")</f>
        <v/>
      </c>
      <c r="L1778">
        <f>IFERROR(IF(AND(H1778&lt;&gt;"",H1778&gt;=129,H1778&lt;=2176),INDEX(Fields!$J$2:$J$206,MATCH(H1778-129,Fields!$D$2:$D$206,1)),""),"")</f>
        <v/>
      </c>
      <c r="M1778">
        <f>IFERROR(IF(AND(H1778&lt;&gt;"",H1778&gt;=129,H1778&lt;=2176),INDEX(Fields!$K$2:$K$206,MATCH(H1778-129,Fields!$D$2:$D$206,1)),""),"")</f>
        <v/>
      </c>
    </row>
    <row r="1779">
      <c r="A1779" t="n">
        <v>1777</v>
      </c>
      <c r="B1779" t="n">
        <v>0</v>
      </c>
      <c r="C1779" t="inlineStr">
        <is>
          <t>No</t>
        </is>
      </c>
      <c r="D1779">
        <f>IF(AND(B1774=1,B1775=1,B1776=1,B1777=1,B1778=1),"Yes","")</f>
        <v/>
      </c>
      <c r="E1779" t="inlineStr">
        <is>
          <t>No</t>
        </is>
      </c>
      <c r="F1779" t="inlineStr">
        <is>
          <t>No</t>
        </is>
      </c>
      <c r="G1779">
        <f>IF(F1779="Yes",1-B1779,B1779)</f>
        <v/>
      </c>
      <c r="H1779">
        <f>IF(E1779="Yes","",COUNTIFS($E$2:E1779,"No"))</f>
        <v/>
      </c>
      <c r="I1779">
        <f>IF(H1779="","",IF(H1779&lt;=128,"address",IF(H1779&lt;=600,"data1",IF(H1779&lt;=1264,"zero-run1",IF(H1779&lt;=1648,"data2",IF(H1779&lt;=2176,"zero-run2",IF(H1779&lt;=2192,"FCS","trailing")))))))</f>
        <v/>
      </c>
      <c r="J1779">
        <f>IFERROR(IF(AND(H1779&lt;&gt;"",H1779&gt;=129,H1779&lt;=2176),INDEX(Fields!$B$2:$B$206,MATCH(H1779-129,Fields!$D$2:$D$206,1)),""),"")</f>
        <v/>
      </c>
      <c r="K1779">
        <f>IFERROR(IF(AND(H1779&lt;&gt;"",H1779&gt;=129,H1779&lt;=2176),INDEX(Fields!$C$2:$C$206,MATCH(H1779-129,Fields!$D$2:$D$206,1)),""),"")</f>
        <v/>
      </c>
      <c r="L1779">
        <f>IFERROR(IF(AND(H1779&lt;&gt;"",H1779&gt;=129,H1779&lt;=2176),INDEX(Fields!$J$2:$J$206,MATCH(H1779-129,Fields!$D$2:$D$206,1)),""),"")</f>
        <v/>
      </c>
      <c r="M1779">
        <f>IFERROR(IF(AND(H1779&lt;&gt;"",H1779&gt;=129,H1779&lt;=2176),INDEX(Fields!$K$2:$K$206,MATCH(H1779-129,Fields!$D$2:$D$206,1)),""),"")</f>
        <v/>
      </c>
    </row>
    <row r="1780">
      <c r="A1780" t="n">
        <v>1778</v>
      </c>
      <c r="B1780" t="n">
        <v>0</v>
      </c>
      <c r="C1780" t="inlineStr">
        <is>
          <t>No</t>
        </is>
      </c>
      <c r="D1780">
        <f>IF(AND(B1775=1,B1776=1,B1777=1,B1778=1,B1779=1),"Yes","")</f>
        <v/>
      </c>
      <c r="E1780" t="inlineStr">
        <is>
          <t>No</t>
        </is>
      </c>
      <c r="F1780" t="inlineStr">
        <is>
          <t>No</t>
        </is>
      </c>
      <c r="G1780">
        <f>IF(F1780="Yes",1-B1780,B1780)</f>
        <v/>
      </c>
      <c r="H1780">
        <f>IF(E1780="Yes","",COUNTIFS($E$2:E1780,"No"))</f>
        <v/>
      </c>
      <c r="I1780">
        <f>IF(H1780="","",IF(H1780&lt;=128,"address",IF(H1780&lt;=600,"data1",IF(H1780&lt;=1264,"zero-run1",IF(H1780&lt;=1648,"data2",IF(H1780&lt;=2176,"zero-run2",IF(H1780&lt;=2192,"FCS","trailing")))))))</f>
        <v/>
      </c>
      <c r="J1780">
        <f>IFERROR(IF(AND(H1780&lt;&gt;"",H1780&gt;=129,H1780&lt;=2176),INDEX(Fields!$B$2:$B$206,MATCH(H1780-129,Fields!$D$2:$D$206,1)),""),"")</f>
        <v/>
      </c>
      <c r="K1780">
        <f>IFERROR(IF(AND(H1780&lt;&gt;"",H1780&gt;=129,H1780&lt;=2176),INDEX(Fields!$C$2:$C$206,MATCH(H1780-129,Fields!$D$2:$D$206,1)),""),"")</f>
        <v/>
      </c>
      <c r="L1780">
        <f>IFERROR(IF(AND(H1780&lt;&gt;"",H1780&gt;=129,H1780&lt;=2176),INDEX(Fields!$J$2:$J$206,MATCH(H1780-129,Fields!$D$2:$D$206,1)),""),"")</f>
        <v/>
      </c>
      <c r="M1780">
        <f>IFERROR(IF(AND(H1780&lt;&gt;"",H1780&gt;=129,H1780&lt;=2176),INDEX(Fields!$K$2:$K$206,MATCH(H1780-129,Fields!$D$2:$D$206,1)),""),"")</f>
        <v/>
      </c>
    </row>
    <row r="1781">
      <c r="A1781" t="n">
        <v>1779</v>
      </c>
      <c r="B1781" t="n">
        <v>0</v>
      </c>
      <c r="C1781" t="inlineStr">
        <is>
          <t>No</t>
        </is>
      </c>
      <c r="D1781">
        <f>IF(AND(B1776=1,B1777=1,B1778=1,B1779=1,B1780=1),"Yes","")</f>
        <v/>
      </c>
      <c r="E1781" t="inlineStr">
        <is>
          <t>No</t>
        </is>
      </c>
      <c r="F1781" t="inlineStr">
        <is>
          <t>No</t>
        </is>
      </c>
      <c r="G1781">
        <f>IF(F1781="Yes",1-B1781,B1781)</f>
        <v/>
      </c>
      <c r="H1781">
        <f>IF(E1781="Yes","",COUNTIFS($E$2:E1781,"No"))</f>
        <v/>
      </c>
      <c r="I1781">
        <f>IF(H1781="","",IF(H1781&lt;=128,"address",IF(H1781&lt;=600,"data1",IF(H1781&lt;=1264,"zero-run1",IF(H1781&lt;=1648,"data2",IF(H1781&lt;=2176,"zero-run2",IF(H1781&lt;=2192,"FCS","trailing")))))))</f>
        <v/>
      </c>
      <c r="J1781">
        <f>IFERROR(IF(AND(H1781&lt;&gt;"",H1781&gt;=129,H1781&lt;=2176),INDEX(Fields!$B$2:$B$206,MATCH(H1781-129,Fields!$D$2:$D$206,1)),""),"")</f>
        <v/>
      </c>
      <c r="K1781">
        <f>IFERROR(IF(AND(H1781&lt;&gt;"",H1781&gt;=129,H1781&lt;=2176),INDEX(Fields!$C$2:$C$206,MATCH(H1781-129,Fields!$D$2:$D$206,1)),""),"")</f>
        <v/>
      </c>
      <c r="L1781">
        <f>IFERROR(IF(AND(H1781&lt;&gt;"",H1781&gt;=129,H1781&lt;=2176),INDEX(Fields!$J$2:$J$206,MATCH(H1781-129,Fields!$D$2:$D$206,1)),""),"")</f>
        <v/>
      </c>
      <c r="M1781">
        <f>IFERROR(IF(AND(H1781&lt;&gt;"",H1781&gt;=129,H1781&lt;=2176),INDEX(Fields!$K$2:$K$206,MATCH(H1781-129,Fields!$D$2:$D$206,1)),""),"")</f>
        <v/>
      </c>
    </row>
    <row r="1782">
      <c r="A1782" t="n">
        <v>1780</v>
      </c>
      <c r="B1782" t="n">
        <v>0</v>
      </c>
      <c r="C1782" t="inlineStr">
        <is>
          <t>No</t>
        </is>
      </c>
      <c r="D1782">
        <f>IF(AND(B1777=1,B1778=1,B1779=1,B1780=1,B1781=1),"Yes","")</f>
        <v/>
      </c>
      <c r="E1782" t="inlineStr">
        <is>
          <t>No</t>
        </is>
      </c>
      <c r="F1782" t="inlineStr">
        <is>
          <t>No</t>
        </is>
      </c>
      <c r="G1782">
        <f>IF(F1782="Yes",1-B1782,B1782)</f>
        <v/>
      </c>
      <c r="H1782">
        <f>IF(E1782="Yes","",COUNTIFS($E$2:E1782,"No"))</f>
        <v/>
      </c>
      <c r="I1782">
        <f>IF(H1782="","",IF(H1782&lt;=128,"address",IF(H1782&lt;=600,"data1",IF(H1782&lt;=1264,"zero-run1",IF(H1782&lt;=1648,"data2",IF(H1782&lt;=2176,"zero-run2",IF(H1782&lt;=2192,"FCS","trailing")))))))</f>
        <v/>
      </c>
      <c r="J1782">
        <f>IFERROR(IF(AND(H1782&lt;&gt;"",H1782&gt;=129,H1782&lt;=2176),INDEX(Fields!$B$2:$B$206,MATCH(H1782-129,Fields!$D$2:$D$206,1)),""),"")</f>
        <v/>
      </c>
      <c r="K1782">
        <f>IFERROR(IF(AND(H1782&lt;&gt;"",H1782&gt;=129,H1782&lt;=2176),INDEX(Fields!$C$2:$C$206,MATCH(H1782-129,Fields!$D$2:$D$206,1)),""),"")</f>
        <v/>
      </c>
      <c r="L1782">
        <f>IFERROR(IF(AND(H1782&lt;&gt;"",H1782&gt;=129,H1782&lt;=2176),INDEX(Fields!$J$2:$J$206,MATCH(H1782-129,Fields!$D$2:$D$206,1)),""),"")</f>
        <v/>
      </c>
      <c r="M1782">
        <f>IFERROR(IF(AND(H1782&lt;&gt;"",H1782&gt;=129,H1782&lt;=2176),INDEX(Fields!$K$2:$K$206,MATCH(H1782-129,Fields!$D$2:$D$206,1)),""),"")</f>
        <v/>
      </c>
    </row>
    <row r="1783">
      <c r="A1783" t="n">
        <v>1781</v>
      </c>
      <c r="B1783" t="n">
        <v>0</v>
      </c>
      <c r="C1783" t="inlineStr">
        <is>
          <t>No</t>
        </is>
      </c>
      <c r="D1783">
        <f>IF(AND(B1778=1,B1779=1,B1780=1,B1781=1,B1782=1),"Yes","")</f>
        <v/>
      </c>
      <c r="E1783" t="inlineStr">
        <is>
          <t>No</t>
        </is>
      </c>
      <c r="F1783" t="inlineStr">
        <is>
          <t>No</t>
        </is>
      </c>
      <c r="G1783">
        <f>IF(F1783="Yes",1-B1783,B1783)</f>
        <v/>
      </c>
      <c r="H1783">
        <f>IF(E1783="Yes","",COUNTIFS($E$2:E1783,"No"))</f>
        <v/>
      </c>
      <c r="I1783">
        <f>IF(H1783="","",IF(H1783&lt;=128,"address",IF(H1783&lt;=600,"data1",IF(H1783&lt;=1264,"zero-run1",IF(H1783&lt;=1648,"data2",IF(H1783&lt;=2176,"zero-run2",IF(H1783&lt;=2192,"FCS","trailing")))))))</f>
        <v/>
      </c>
      <c r="J1783">
        <f>IFERROR(IF(AND(H1783&lt;&gt;"",H1783&gt;=129,H1783&lt;=2176),INDEX(Fields!$B$2:$B$206,MATCH(H1783-129,Fields!$D$2:$D$206,1)),""),"")</f>
        <v/>
      </c>
      <c r="K1783">
        <f>IFERROR(IF(AND(H1783&lt;&gt;"",H1783&gt;=129,H1783&lt;=2176),INDEX(Fields!$C$2:$C$206,MATCH(H1783-129,Fields!$D$2:$D$206,1)),""),"")</f>
        <v/>
      </c>
      <c r="L1783">
        <f>IFERROR(IF(AND(H1783&lt;&gt;"",H1783&gt;=129,H1783&lt;=2176),INDEX(Fields!$J$2:$J$206,MATCH(H1783-129,Fields!$D$2:$D$206,1)),""),"")</f>
        <v/>
      </c>
      <c r="M1783">
        <f>IFERROR(IF(AND(H1783&lt;&gt;"",H1783&gt;=129,H1783&lt;=2176),INDEX(Fields!$K$2:$K$206,MATCH(H1783-129,Fields!$D$2:$D$206,1)),""),"")</f>
        <v/>
      </c>
    </row>
    <row r="1784">
      <c r="A1784" t="n">
        <v>1782</v>
      </c>
      <c r="B1784" t="n">
        <v>0</v>
      </c>
      <c r="C1784" t="inlineStr">
        <is>
          <t>No</t>
        </is>
      </c>
      <c r="D1784">
        <f>IF(AND(B1779=1,B1780=1,B1781=1,B1782=1,B1783=1),"Yes","")</f>
        <v/>
      </c>
      <c r="E1784" t="inlineStr">
        <is>
          <t>No</t>
        </is>
      </c>
      <c r="F1784" t="inlineStr">
        <is>
          <t>No</t>
        </is>
      </c>
      <c r="G1784">
        <f>IF(F1784="Yes",1-B1784,B1784)</f>
        <v/>
      </c>
      <c r="H1784">
        <f>IF(E1784="Yes","",COUNTIFS($E$2:E1784,"No"))</f>
        <v/>
      </c>
      <c r="I1784">
        <f>IF(H1784="","",IF(H1784&lt;=128,"address",IF(H1784&lt;=600,"data1",IF(H1784&lt;=1264,"zero-run1",IF(H1784&lt;=1648,"data2",IF(H1784&lt;=2176,"zero-run2",IF(H1784&lt;=2192,"FCS","trailing")))))))</f>
        <v/>
      </c>
      <c r="J1784">
        <f>IFERROR(IF(AND(H1784&lt;&gt;"",H1784&gt;=129,H1784&lt;=2176),INDEX(Fields!$B$2:$B$206,MATCH(H1784-129,Fields!$D$2:$D$206,1)),""),"")</f>
        <v/>
      </c>
      <c r="K1784">
        <f>IFERROR(IF(AND(H1784&lt;&gt;"",H1784&gt;=129,H1784&lt;=2176),INDEX(Fields!$C$2:$C$206,MATCH(H1784-129,Fields!$D$2:$D$206,1)),""),"")</f>
        <v/>
      </c>
      <c r="L1784">
        <f>IFERROR(IF(AND(H1784&lt;&gt;"",H1784&gt;=129,H1784&lt;=2176),INDEX(Fields!$J$2:$J$206,MATCH(H1784-129,Fields!$D$2:$D$206,1)),""),"")</f>
        <v/>
      </c>
      <c r="M1784">
        <f>IFERROR(IF(AND(H1784&lt;&gt;"",H1784&gt;=129,H1784&lt;=2176),INDEX(Fields!$K$2:$K$206,MATCH(H1784-129,Fields!$D$2:$D$206,1)),""),"")</f>
        <v/>
      </c>
    </row>
    <row r="1785">
      <c r="A1785" t="n">
        <v>1783</v>
      </c>
      <c r="B1785" t="n">
        <v>0</v>
      </c>
      <c r="C1785" t="inlineStr">
        <is>
          <t>No</t>
        </is>
      </c>
      <c r="D1785">
        <f>IF(AND(B1780=1,B1781=1,B1782=1,B1783=1,B1784=1),"Yes","")</f>
        <v/>
      </c>
      <c r="E1785" t="inlineStr">
        <is>
          <t>No</t>
        </is>
      </c>
      <c r="F1785" t="inlineStr">
        <is>
          <t>No</t>
        </is>
      </c>
      <c r="G1785">
        <f>IF(F1785="Yes",1-B1785,B1785)</f>
        <v/>
      </c>
      <c r="H1785">
        <f>IF(E1785="Yes","",COUNTIFS($E$2:E1785,"No"))</f>
        <v/>
      </c>
      <c r="I1785">
        <f>IF(H1785="","",IF(H1785&lt;=128,"address",IF(H1785&lt;=600,"data1",IF(H1785&lt;=1264,"zero-run1",IF(H1785&lt;=1648,"data2",IF(H1785&lt;=2176,"zero-run2",IF(H1785&lt;=2192,"FCS","trailing")))))))</f>
        <v/>
      </c>
      <c r="J1785">
        <f>IFERROR(IF(AND(H1785&lt;&gt;"",H1785&gt;=129,H1785&lt;=2176),INDEX(Fields!$B$2:$B$206,MATCH(H1785-129,Fields!$D$2:$D$206,1)),""),"")</f>
        <v/>
      </c>
      <c r="K1785">
        <f>IFERROR(IF(AND(H1785&lt;&gt;"",H1785&gt;=129,H1785&lt;=2176),INDEX(Fields!$C$2:$C$206,MATCH(H1785-129,Fields!$D$2:$D$206,1)),""),"")</f>
        <v/>
      </c>
      <c r="L1785">
        <f>IFERROR(IF(AND(H1785&lt;&gt;"",H1785&gt;=129,H1785&lt;=2176),INDEX(Fields!$J$2:$J$206,MATCH(H1785-129,Fields!$D$2:$D$206,1)),""),"")</f>
        <v/>
      </c>
      <c r="M1785">
        <f>IFERROR(IF(AND(H1785&lt;&gt;"",H1785&gt;=129,H1785&lt;=2176),INDEX(Fields!$K$2:$K$206,MATCH(H1785-129,Fields!$D$2:$D$206,1)),""),"")</f>
        <v/>
      </c>
    </row>
    <row r="1786">
      <c r="A1786" t="n">
        <v>1784</v>
      </c>
      <c r="B1786" t="n">
        <v>0</v>
      </c>
      <c r="C1786" t="inlineStr">
        <is>
          <t>No</t>
        </is>
      </c>
      <c r="D1786">
        <f>IF(AND(B1781=1,B1782=1,B1783=1,B1784=1,B1785=1),"Yes","")</f>
        <v/>
      </c>
      <c r="E1786" t="inlineStr">
        <is>
          <t>No</t>
        </is>
      </c>
      <c r="F1786" t="inlineStr">
        <is>
          <t>No</t>
        </is>
      </c>
      <c r="G1786">
        <f>IF(F1786="Yes",1-B1786,B1786)</f>
        <v/>
      </c>
      <c r="H1786">
        <f>IF(E1786="Yes","",COUNTIFS($E$2:E1786,"No"))</f>
        <v/>
      </c>
      <c r="I1786">
        <f>IF(H1786="","",IF(H1786&lt;=128,"address",IF(H1786&lt;=600,"data1",IF(H1786&lt;=1264,"zero-run1",IF(H1786&lt;=1648,"data2",IF(H1786&lt;=2176,"zero-run2",IF(H1786&lt;=2192,"FCS","trailing")))))))</f>
        <v/>
      </c>
      <c r="J1786">
        <f>IFERROR(IF(AND(H1786&lt;&gt;"",H1786&gt;=129,H1786&lt;=2176),INDEX(Fields!$B$2:$B$206,MATCH(H1786-129,Fields!$D$2:$D$206,1)),""),"")</f>
        <v/>
      </c>
      <c r="K1786">
        <f>IFERROR(IF(AND(H1786&lt;&gt;"",H1786&gt;=129,H1786&lt;=2176),INDEX(Fields!$C$2:$C$206,MATCH(H1786-129,Fields!$D$2:$D$206,1)),""),"")</f>
        <v/>
      </c>
      <c r="L1786">
        <f>IFERROR(IF(AND(H1786&lt;&gt;"",H1786&gt;=129,H1786&lt;=2176),INDEX(Fields!$J$2:$J$206,MATCH(H1786-129,Fields!$D$2:$D$206,1)),""),"")</f>
        <v/>
      </c>
      <c r="M1786">
        <f>IFERROR(IF(AND(H1786&lt;&gt;"",H1786&gt;=129,H1786&lt;=2176),INDEX(Fields!$K$2:$K$206,MATCH(H1786-129,Fields!$D$2:$D$206,1)),""),"")</f>
        <v/>
      </c>
    </row>
    <row r="1787">
      <c r="A1787" t="n">
        <v>1785</v>
      </c>
      <c r="B1787" t="n">
        <v>0</v>
      </c>
      <c r="C1787" t="inlineStr">
        <is>
          <t>No</t>
        </is>
      </c>
      <c r="D1787">
        <f>IF(AND(B1782=1,B1783=1,B1784=1,B1785=1,B1786=1),"Yes","")</f>
        <v/>
      </c>
      <c r="E1787" t="inlineStr">
        <is>
          <t>No</t>
        </is>
      </c>
      <c r="F1787" t="inlineStr">
        <is>
          <t>No</t>
        </is>
      </c>
      <c r="G1787">
        <f>IF(F1787="Yes",1-B1787,B1787)</f>
        <v/>
      </c>
      <c r="H1787">
        <f>IF(E1787="Yes","",COUNTIFS($E$2:E1787,"No"))</f>
        <v/>
      </c>
      <c r="I1787">
        <f>IF(H1787="","",IF(H1787&lt;=128,"address",IF(H1787&lt;=600,"data1",IF(H1787&lt;=1264,"zero-run1",IF(H1787&lt;=1648,"data2",IF(H1787&lt;=2176,"zero-run2",IF(H1787&lt;=2192,"FCS","trailing")))))))</f>
        <v/>
      </c>
      <c r="J1787">
        <f>IFERROR(IF(AND(H1787&lt;&gt;"",H1787&gt;=129,H1787&lt;=2176),INDEX(Fields!$B$2:$B$206,MATCH(H1787-129,Fields!$D$2:$D$206,1)),""),"")</f>
        <v/>
      </c>
      <c r="K1787">
        <f>IFERROR(IF(AND(H1787&lt;&gt;"",H1787&gt;=129,H1787&lt;=2176),INDEX(Fields!$C$2:$C$206,MATCH(H1787-129,Fields!$D$2:$D$206,1)),""),"")</f>
        <v/>
      </c>
      <c r="L1787">
        <f>IFERROR(IF(AND(H1787&lt;&gt;"",H1787&gt;=129,H1787&lt;=2176),INDEX(Fields!$J$2:$J$206,MATCH(H1787-129,Fields!$D$2:$D$206,1)),""),"")</f>
        <v/>
      </c>
      <c r="M1787">
        <f>IFERROR(IF(AND(H1787&lt;&gt;"",H1787&gt;=129,H1787&lt;=2176),INDEX(Fields!$K$2:$K$206,MATCH(H1787-129,Fields!$D$2:$D$206,1)),""),"")</f>
        <v/>
      </c>
    </row>
    <row r="1788">
      <c r="A1788" t="n">
        <v>1786</v>
      </c>
      <c r="B1788" t="n">
        <v>0</v>
      </c>
      <c r="C1788" t="inlineStr">
        <is>
          <t>No</t>
        </is>
      </c>
      <c r="D1788">
        <f>IF(AND(B1783=1,B1784=1,B1785=1,B1786=1,B1787=1),"Yes","")</f>
        <v/>
      </c>
      <c r="E1788" t="inlineStr">
        <is>
          <t>No</t>
        </is>
      </c>
      <c r="F1788" t="inlineStr">
        <is>
          <t>No</t>
        </is>
      </c>
      <c r="G1788">
        <f>IF(F1788="Yes",1-B1788,B1788)</f>
        <v/>
      </c>
      <c r="H1788">
        <f>IF(E1788="Yes","",COUNTIFS($E$2:E1788,"No"))</f>
        <v/>
      </c>
      <c r="I1788">
        <f>IF(H1788="","",IF(H1788&lt;=128,"address",IF(H1788&lt;=600,"data1",IF(H1788&lt;=1264,"zero-run1",IF(H1788&lt;=1648,"data2",IF(H1788&lt;=2176,"zero-run2",IF(H1788&lt;=2192,"FCS","trailing")))))))</f>
        <v/>
      </c>
      <c r="J1788">
        <f>IFERROR(IF(AND(H1788&lt;&gt;"",H1788&gt;=129,H1788&lt;=2176),INDEX(Fields!$B$2:$B$206,MATCH(H1788-129,Fields!$D$2:$D$206,1)),""),"")</f>
        <v/>
      </c>
      <c r="K1788">
        <f>IFERROR(IF(AND(H1788&lt;&gt;"",H1788&gt;=129,H1788&lt;=2176),INDEX(Fields!$C$2:$C$206,MATCH(H1788-129,Fields!$D$2:$D$206,1)),""),"")</f>
        <v/>
      </c>
      <c r="L1788">
        <f>IFERROR(IF(AND(H1788&lt;&gt;"",H1788&gt;=129,H1788&lt;=2176),INDEX(Fields!$J$2:$J$206,MATCH(H1788-129,Fields!$D$2:$D$206,1)),""),"")</f>
        <v/>
      </c>
      <c r="M1788">
        <f>IFERROR(IF(AND(H1788&lt;&gt;"",H1788&gt;=129,H1788&lt;=2176),INDEX(Fields!$K$2:$K$206,MATCH(H1788-129,Fields!$D$2:$D$206,1)),""),"")</f>
        <v/>
      </c>
    </row>
    <row r="1789">
      <c r="A1789" t="n">
        <v>1787</v>
      </c>
      <c r="B1789" t="n">
        <v>0</v>
      </c>
      <c r="C1789" t="inlineStr">
        <is>
          <t>No</t>
        </is>
      </c>
      <c r="D1789">
        <f>IF(AND(B1784=1,B1785=1,B1786=1,B1787=1,B1788=1),"Yes","")</f>
        <v/>
      </c>
      <c r="E1789" t="inlineStr">
        <is>
          <t>No</t>
        </is>
      </c>
      <c r="F1789" t="inlineStr">
        <is>
          <t>No</t>
        </is>
      </c>
      <c r="G1789">
        <f>IF(F1789="Yes",1-B1789,B1789)</f>
        <v/>
      </c>
      <c r="H1789">
        <f>IF(E1789="Yes","",COUNTIFS($E$2:E1789,"No"))</f>
        <v/>
      </c>
      <c r="I1789">
        <f>IF(H1789="","",IF(H1789&lt;=128,"address",IF(H1789&lt;=600,"data1",IF(H1789&lt;=1264,"zero-run1",IF(H1789&lt;=1648,"data2",IF(H1789&lt;=2176,"zero-run2",IF(H1789&lt;=2192,"FCS","trailing")))))))</f>
        <v/>
      </c>
      <c r="J1789">
        <f>IFERROR(IF(AND(H1789&lt;&gt;"",H1789&gt;=129,H1789&lt;=2176),INDEX(Fields!$B$2:$B$206,MATCH(H1789-129,Fields!$D$2:$D$206,1)),""),"")</f>
        <v/>
      </c>
      <c r="K1789">
        <f>IFERROR(IF(AND(H1789&lt;&gt;"",H1789&gt;=129,H1789&lt;=2176),INDEX(Fields!$C$2:$C$206,MATCH(H1789-129,Fields!$D$2:$D$206,1)),""),"")</f>
        <v/>
      </c>
      <c r="L1789">
        <f>IFERROR(IF(AND(H1789&lt;&gt;"",H1789&gt;=129,H1789&lt;=2176),INDEX(Fields!$J$2:$J$206,MATCH(H1789-129,Fields!$D$2:$D$206,1)),""),"")</f>
        <v/>
      </c>
      <c r="M1789">
        <f>IFERROR(IF(AND(H1789&lt;&gt;"",H1789&gt;=129,H1789&lt;=2176),INDEX(Fields!$K$2:$K$206,MATCH(H1789-129,Fields!$D$2:$D$206,1)),""),"")</f>
        <v/>
      </c>
    </row>
    <row r="1790">
      <c r="A1790" t="n">
        <v>1788</v>
      </c>
      <c r="B1790" t="n">
        <v>0</v>
      </c>
      <c r="C1790" t="inlineStr">
        <is>
          <t>No</t>
        </is>
      </c>
      <c r="D1790">
        <f>IF(AND(B1785=1,B1786=1,B1787=1,B1788=1,B1789=1),"Yes","")</f>
        <v/>
      </c>
      <c r="E1790" t="inlineStr">
        <is>
          <t>No</t>
        </is>
      </c>
      <c r="F1790" t="inlineStr">
        <is>
          <t>No</t>
        </is>
      </c>
      <c r="G1790">
        <f>IF(F1790="Yes",1-B1790,B1790)</f>
        <v/>
      </c>
      <c r="H1790">
        <f>IF(E1790="Yes","",COUNTIFS($E$2:E1790,"No"))</f>
        <v/>
      </c>
      <c r="I1790">
        <f>IF(H1790="","",IF(H1790&lt;=128,"address",IF(H1790&lt;=600,"data1",IF(H1790&lt;=1264,"zero-run1",IF(H1790&lt;=1648,"data2",IF(H1790&lt;=2176,"zero-run2",IF(H1790&lt;=2192,"FCS","trailing")))))))</f>
        <v/>
      </c>
      <c r="J1790">
        <f>IFERROR(IF(AND(H1790&lt;&gt;"",H1790&gt;=129,H1790&lt;=2176),INDEX(Fields!$B$2:$B$206,MATCH(H1790-129,Fields!$D$2:$D$206,1)),""),"")</f>
        <v/>
      </c>
      <c r="K1790">
        <f>IFERROR(IF(AND(H1790&lt;&gt;"",H1790&gt;=129,H1790&lt;=2176),INDEX(Fields!$C$2:$C$206,MATCH(H1790-129,Fields!$D$2:$D$206,1)),""),"")</f>
        <v/>
      </c>
      <c r="L1790">
        <f>IFERROR(IF(AND(H1790&lt;&gt;"",H1790&gt;=129,H1790&lt;=2176),INDEX(Fields!$J$2:$J$206,MATCH(H1790-129,Fields!$D$2:$D$206,1)),""),"")</f>
        <v/>
      </c>
      <c r="M1790">
        <f>IFERROR(IF(AND(H1790&lt;&gt;"",H1790&gt;=129,H1790&lt;=2176),INDEX(Fields!$K$2:$K$206,MATCH(H1790-129,Fields!$D$2:$D$206,1)),""),"")</f>
        <v/>
      </c>
    </row>
    <row r="1791">
      <c r="A1791" t="n">
        <v>1789</v>
      </c>
      <c r="B1791" t="n">
        <v>0</v>
      </c>
      <c r="C1791" t="inlineStr">
        <is>
          <t>No</t>
        </is>
      </c>
      <c r="D1791">
        <f>IF(AND(B1786=1,B1787=1,B1788=1,B1789=1,B1790=1),"Yes","")</f>
        <v/>
      </c>
      <c r="E1791" t="inlineStr">
        <is>
          <t>No</t>
        </is>
      </c>
      <c r="F1791" t="inlineStr">
        <is>
          <t>No</t>
        </is>
      </c>
      <c r="G1791">
        <f>IF(F1791="Yes",1-B1791,B1791)</f>
        <v/>
      </c>
      <c r="H1791">
        <f>IF(E1791="Yes","",COUNTIFS($E$2:E1791,"No"))</f>
        <v/>
      </c>
      <c r="I1791">
        <f>IF(H1791="","",IF(H1791&lt;=128,"address",IF(H1791&lt;=600,"data1",IF(H1791&lt;=1264,"zero-run1",IF(H1791&lt;=1648,"data2",IF(H1791&lt;=2176,"zero-run2",IF(H1791&lt;=2192,"FCS","trailing")))))))</f>
        <v/>
      </c>
      <c r="J1791">
        <f>IFERROR(IF(AND(H1791&lt;&gt;"",H1791&gt;=129,H1791&lt;=2176),INDEX(Fields!$B$2:$B$206,MATCH(H1791-129,Fields!$D$2:$D$206,1)),""),"")</f>
        <v/>
      </c>
      <c r="K1791">
        <f>IFERROR(IF(AND(H1791&lt;&gt;"",H1791&gt;=129,H1791&lt;=2176),INDEX(Fields!$C$2:$C$206,MATCH(H1791-129,Fields!$D$2:$D$206,1)),""),"")</f>
        <v/>
      </c>
      <c r="L1791">
        <f>IFERROR(IF(AND(H1791&lt;&gt;"",H1791&gt;=129,H1791&lt;=2176),INDEX(Fields!$J$2:$J$206,MATCH(H1791-129,Fields!$D$2:$D$206,1)),""),"")</f>
        <v/>
      </c>
      <c r="M1791">
        <f>IFERROR(IF(AND(H1791&lt;&gt;"",H1791&gt;=129,H1791&lt;=2176),INDEX(Fields!$K$2:$K$206,MATCH(H1791-129,Fields!$D$2:$D$206,1)),""),"")</f>
        <v/>
      </c>
    </row>
    <row r="1792">
      <c r="A1792" t="n">
        <v>1790</v>
      </c>
      <c r="B1792" t="n">
        <v>0</v>
      </c>
      <c r="C1792" t="inlineStr">
        <is>
          <t>No</t>
        </is>
      </c>
      <c r="D1792">
        <f>IF(AND(B1787=1,B1788=1,B1789=1,B1790=1,B1791=1),"Yes","")</f>
        <v/>
      </c>
      <c r="E1792" t="inlineStr">
        <is>
          <t>No</t>
        </is>
      </c>
      <c r="F1792" t="inlineStr">
        <is>
          <t>No</t>
        </is>
      </c>
      <c r="G1792">
        <f>IF(F1792="Yes",1-B1792,B1792)</f>
        <v/>
      </c>
      <c r="H1792">
        <f>IF(E1792="Yes","",COUNTIFS($E$2:E1792,"No"))</f>
        <v/>
      </c>
      <c r="I1792">
        <f>IF(H1792="","",IF(H1792&lt;=128,"address",IF(H1792&lt;=600,"data1",IF(H1792&lt;=1264,"zero-run1",IF(H1792&lt;=1648,"data2",IF(H1792&lt;=2176,"zero-run2",IF(H1792&lt;=2192,"FCS","trailing")))))))</f>
        <v/>
      </c>
      <c r="J1792">
        <f>IFERROR(IF(AND(H1792&lt;&gt;"",H1792&gt;=129,H1792&lt;=2176),INDEX(Fields!$B$2:$B$206,MATCH(H1792-129,Fields!$D$2:$D$206,1)),""),"")</f>
        <v/>
      </c>
      <c r="K1792">
        <f>IFERROR(IF(AND(H1792&lt;&gt;"",H1792&gt;=129,H1792&lt;=2176),INDEX(Fields!$C$2:$C$206,MATCH(H1792-129,Fields!$D$2:$D$206,1)),""),"")</f>
        <v/>
      </c>
      <c r="L1792">
        <f>IFERROR(IF(AND(H1792&lt;&gt;"",H1792&gt;=129,H1792&lt;=2176),INDEX(Fields!$J$2:$J$206,MATCH(H1792-129,Fields!$D$2:$D$206,1)),""),"")</f>
        <v/>
      </c>
      <c r="M1792">
        <f>IFERROR(IF(AND(H1792&lt;&gt;"",H1792&gt;=129,H1792&lt;=2176),INDEX(Fields!$K$2:$K$206,MATCH(H1792-129,Fields!$D$2:$D$206,1)),""),"")</f>
        <v/>
      </c>
    </row>
    <row r="1793">
      <c r="A1793" t="n">
        <v>1791</v>
      </c>
      <c r="B1793" t="n">
        <v>0</v>
      </c>
      <c r="C1793" t="inlineStr">
        <is>
          <t>No</t>
        </is>
      </c>
      <c r="D1793">
        <f>IF(AND(B1788=1,B1789=1,B1790=1,B1791=1,B1792=1),"Yes","")</f>
        <v/>
      </c>
      <c r="E1793" t="inlineStr">
        <is>
          <t>No</t>
        </is>
      </c>
      <c r="F1793" t="inlineStr">
        <is>
          <t>No</t>
        </is>
      </c>
      <c r="G1793">
        <f>IF(F1793="Yes",1-B1793,B1793)</f>
        <v/>
      </c>
      <c r="H1793">
        <f>IF(E1793="Yes","",COUNTIFS($E$2:E1793,"No"))</f>
        <v/>
      </c>
      <c r="I1793">
        <f>IF(H1793="","",IF(H1793&lt;=128,"address",IF(H1793&lt;=600,"data1",IF(H1793&lt;=1264,"zero-run1",IF(H1793&lt;=1648,"data2",IF(H1793&lt;=2176,"zero-run2",IF(H1793&lt;=2192,"FCS","trailing")))))))</f>
        <v/>
      </c>
      <c r="J1793">
        <f>IFERROR(IF(AND(H1793&lt;&gt;"",H1793&gt;=129,H1793&lt;=2176),INDEX(Fields!$B$2:$B$206,MATCH(H1793-129,Fields!$D$2:$D$206,1)),""),"")</f>
        <v/>
      </c>
      <c r="K1793">
        <f>IFERROR(IF(AND(H1793&lt;&gt;"",H1793&gt;=129,H1793&lt;=2176),INDEX(Fields!$C$2:$C$206,MATCH(H1793-129,Fields!$D$2:$D$206,1)),""),"")</f>
        <v/>
      </c>
      <c r="L1793">
        <f>IFERROR(IF(AND(H1793&lt;&gt;"",H1793&gt;=129,H1793&lt;=2176),INDEX(Fields!$J$2:$J$206,MATCH(H1793-129,Fields!$D$2:$D$206,1)),""),"")</f>
        <v/>
      </c>
      <c r="M1793">
        <f>IFERROR(IF(AND(H1793&lt;&gt;"",H1793&gt;=129,H1793&lt;=2176),INDEX(Fields!$K$2:$K$206,MATCH(H1793-129,Fields!$D$2:$D$206,1)),""),"")</f>
        <v/>
      </c>
    </row>
    <row r="1794">
      <c r="A1794" t="n">
        <v>1792</v>
      </c>
      <c r="B1794" t="n">
        <v>0</v>
      </c>
      <c r="C1794" t="inlineStr">
        <is>
          <t>No</t>
        </is>
      </c>
      <c r="D1794">
        <f>IF(AND(B1789=1,B1790=1,B1791=1,B1792=1,B1793=1),"Yes","")</f>
        <v/>
      </c>
      <c r="E1794" t="inlineStr">
        <is>
          <t>No</t>
        </is>
      </c>
      <c r="F1794" t="inlineStr">
        <is>
          <t>No</t>
        </is>
      </c>
      <c r="G1794">
        <f>IF(F1794="Yes",1-B1794,B1794)</f>
        <v/>
      </c>
      <c r="H1794">
        <f>IF(E1794="Yes","",COUNTIFS($E$2:E1794,"No"))</f>
        <v/>
      </c>
      <c r="I1794">
        <f>IF(H1794="","",IF(H1794&lt;=128,"address",IF(H1794&lt;=600,"data1",IF(H1794&lt;=1264,"zero-run1",IF(H1794&lt;=1648,"data2",IF(H1794&lt;=2176,"zero-run2",IF(H1794&lt;=2192,"FCS","trailing")))))))</f>
        <v/>
      </c>
      <c r="J1794">
        <f>IFERROR(IF(AND(H1794&lt;&gt;"",H1794&gt;=129,H1794&lt;=2176),INDEX(Fields!$B$2:$B$206,MATCH(H1794-129,Fields!$D$2:$D$206,1)),""),"")</f>
        <v/>
      </c>
      <c r="K1794">
        <f>IFERROR(IF(AND(H1794&lt;&gt;"",H1794&gt;=129,H1794&lt;=2176),INDEX(Fields!$C$2:$C$206,MATCH(H1794-129,Fields!$D$2:$D$206,1)),""),"")</f>
        <v/>
      </c>
      <c r="L1794">
        <f>IFERROR(IF(AND(H1794&lt;&gt;"",H1794&gt;=129,H1794&lt;=2176),INDEX(Fields!$J$2:$J$206,MATCH(H1794-129,Fields!$D$2:$D$206,1)),""),"")</f>
        <v/>
      </c>
      <c r="M1794">
        <f>IFERROR(IF(AND(H1794&lt;&gt;"",H1794&gt;=129,H1794&lt;=2176),INDEX(Fields!$K$2:$K$206,MATCH(H1794-129,Fields!$D$2:$D$206,1)),""),"")</f>
        <v/>
      </c>
    </row>
    <row r="1795">
      <c r="A1795" t="n">
        <v>1793</v>
      </c>
      <c r="B1795" t="n">
        <v>0</v>
      </c>
      <c r="C1795" t="inlineStr">
        <is>
          <t>No</t>
        </is>
      </c>
      <c r="D1795">
        <f>IF(AND(B1790=1,B1791=1,B1792=1,B1793=1,B1794=1),"Yes","")</f>
        <v/>
      </c>
      <c r="E1795" t="inlineStr">
        <is>
          <t>No</t>
        </is>
      </c>
      <c r="F1795" t="inlineStr">
        <is>
          <t>No</t>
        </is>
      </c>
      <c r="G1795">
        <f>IF(F1795="Yes",1-B1795,B1795)</f>
        <v/>
      </c>
      <c r="H1795">
        <f>IF(E1795="Yes","",COUNTIFS($E$2:E1795,"No"))</f>
        <v/>
      </c>
      <c r="I1795">
        <f>IF(H1795="","",IF(H1795&lt;=128,"address",IF(H1795&lt;=600,"data1",IF(H1795&lt;=1264,"zero-run1",IF(H1795&lt;=1648,"data2",IF(H1795&lt;=2176,"zero-run2",IF(H1795&lt;=2192,"FCS","trailing")))))))</f>
        <v/>
      </c>
      <c r="J1795">
        <f>IFERROR(IF(AND(H1795&lt;&gt;"",H1795&gt;=129,H1795&lt;=2176),INDEX(Fields!$B$2:$B$206,MATCH(H1795-129,Fields!$D$2:$D$206,1)),""),"")</f>
        <v/>
      </c>
      <c r="K1795">
        <f>IFERROR(IF(AND(H1795&lt;&gt;"",H1795&gt;=129,H1795&lt;=2176),INDEX(Fields!$C$2:$C$206,MATCH(H1795-129,Fields!$D$2:$D$206,1)),""),"")</f>
        <v/>
      </c>
      <c r="L1795">
        <f>IFERROR(IF(AND(H1795&lt;&gt;"",H1795&gt;=129,H1795&lt;=2176),INDEX(Fields!$J$2:$J$206,MATCH(H1795-129,Fields!$D$2:$D$206,1)),""),"")</f>
        <v/>
      </c>
      <c r="M1795">
        <f>IFERROR(IF(AND(H1795&lt;&gt;"",H1795&gt;=129,H1795&lt;=2176),INDEX(Fields!$K$2:$K$206,MATCH(H1795-129,Fields!$D$2:$D$206,1)),""),"")</f>
        <v/>
      </c>
    </row>
    <row r="1796">
      <c r="A1796" t="n">
        <v>1794</v>
      </c>
      <c r="B1796" t="n">
        <v>0</v>
      </c>
      <c r="C1796" t="inlineStr">
        <is>
          <t>No</t>
        </is>
      </c>
      <c r="D1796">
        <f>IF(AND(B1791=1,B1792=1,B1793=1,B1794=1,B1795=1),"Yes","")</f>
        <v/>
      </c>
      <c r="E1796" t="inlineStr">
        <is>
          <t>No</t>
        </is>
      </c>
      <c r="F1796" t="inlineStr">
        <is>
          <t>No</t>
        </is>
      </c>
      <c r="G1796">
        <f>IF(F1796="Yes",1-B1796,B1796)</f>
        <v/>
      </c>
      <c r="H1796">
        <f>IF(E1796="Yes","",COUNTIFS($E$2:E1796,"No"))</f>
        <v/>
      </c>
      <c r="I1796">
        <f>IF(H1796="","",IF(H1796&lt;=128,"address",IF(H1796&lt;=600,"data1",IF(H1796&lt;=1264,"zero-run1",IF(H1796&lt;=1648,"data2",IF(H1796&lt;=2176,"zero-run2",IF(H1796&lt;=2192,"FCS","trailing")))))))</f>
        <v/>
      </c>
      <c r="J1796">
        <f>IFERROR(IF(AND(H1796&lt;&gt;"",H1796&gt;=129,H1796&lt;=2176),INDEX(Fields!$B$2:$B$206,MATCH(H1796-129,Fields!$D$2:$D$206,1)),""),"")</f>
        <v/>
      </c>
      <c r="K1796">
        <f>IFERROR(IF(AND(H1796&lt;&gt;"",H1796&gt;=129,H1796&lt;=2176),INDEX(Fields!$C$2:$C$206,MATCH(H1796-129,Fields!$D$2:$D$206,1)),""),"")</f>
        <v/>
      </c>
      <c r="L1796">
        <f>IFERROR(IF(AND(H1796&lt;&gt;"",H1796&gt;=129,H1796&lt;=2176),INDEX(Fields!$J$2:$J$206,MATCH(H1796-129,Fields!$D$2:$D$206,1)),""),"")</f>
        <v/>
      </c>
      <c r="M1796">
        <f>IFERROR(IF(AND(H1796&lt;&gt;"",H1796&gt;=129,H1796&lt;=2176),INDEX(Fields!$K$2:$K$206,MATCH(H1796-129,Fields!$D$2:$D$206,1)),""),"")</f>
        <v/>
      </c>
    </row>
    <row r="1797">
      <c r="A1797" t="n">
        <v>1795</v>
      </c>
      <c r="B1797" t="n">
        <v>0</v>
      </c>
      <c r="C1797" t="inlineStr">
        <is>
          <t>No</t>
        </is>
      </c>
      <c r="D1797">
        <f>IF(AND(B1792=1,B1793=1,B1794=1,B1795=1,B1796=1),"Yes","")</f>
        <v/>
      </c>
      <c r="E1797" t="inlineStr">
        <is>
          <t>No</t>
        </is>
      </c>
      <c r="F1797" t="inlineStr">
        <is>
          <t>No</t>
        </is>
      </c>
      <c r="G1797">
        <f>IF(F1797="Yes",1-B1797,B1797)</f>
        <v/>
      </c>
      <c r="H1797">
        <f>IF(E1797="Yes","",COUNTIFS($E$2:E1797,"No"))</f>
        <v/>
      </c>
      <c r="I1797">
        <f>IF(H1797="","",IF(H1797&lt;=128,"address",IF(H1797&lt;=600,"data1",IF(H1797&lt;=1264,"zero-run1",IF(H1797&lt;=1648,"data2",IF(H1797&lt;=2176,"zero-run2",IF(H1797&lt;=2192,"FCS","trailing")))))))</f>
        <v/>
      </c>
      <c r="J1797">
        <f>IFERROR(IF(AND(H1797&lt;&gt;"",H1797&gt;=129,H1797&lt;=2176),INDEX(Fields!$B$2:$B$206,MATCH(H1797-129,Fields!$D$2:$D$206,1)),""),"")</f>
        <v/>
      </c>
      <c r="K1797">
        <f>IFERROR(IF(AND(H1797&lt;&gt;"",H1797&gt;=129,H1797&lt;=2176),INDEX(Fields!$C$2:$C$206,MATCH(H1797-129,Fields!$D$2:$D$206,1)),""),"")</f>
        <v/>
      </c>
      <c r="L1797">
        <f>IFERROR(IF(AND(H1797&lt;&gt;"",H1797&gt;=129,H1797&lt;=2176),INDEX(Fields!$J$2:$J$206,MATCH(H1797-129,Fields!$D$2:$D$206,1)),""),"")</f>
        <v/>
      </c>
      <c r="M1797">
        <f>IFERROR(IF(AND(H1797&lt;&gt;"",H1797&gt;=129,H1797&lt;=2176),INDEX(Fields!$K$2:$K$206,MATCH(H1797-129,Fields!$D$2:$D$206,1)),""),"")</f>
        <v/>
      </c>
    </row>
    <row r="1798">
      <c r="A1798" t="n">
        <v>1796</v>
      </c>
      <c r="B1798" t="n">
        <v>0</v>
      </c>
      <c r="C1798" t="inlineStr">
        <is>
          <t>No</t>
        </is>
      </c>
      <c r="D1798">
        <f>IF(AND(B1793=1,B1794=1,B1795=1,B1796=1,B1797=1),"Yes","")</f>
        <v/>
      </c>
      <c r="E1798" t="inlineStr">
        <is>
          <t>No</t>
        </is>
      </c>
      <c r="F1798" t="inlineStr">
        <is>
          <t>No</t>
        </is>
      </c>
      <c r="G1798">
        <f>IF(F1798="Yes",1-B1798,B1798)</f>
        <v/>
      </c>
      <c r="H1798">
        <f>IF(E1798="Yes","",COUNTIFS($E$2:E1798,"No"))</f>
        <v/>
      </c>
      <c r="I1798">
        <f>IF(H1798="","",IF(H1798&lt;=128,"address",IF(H1798&lt;=600,"data1",IF(H1798&lt;=1264,"zero-run1",IF(H1798&lt;=1648,"data2",IF(H1798&lt;=2176,"zero-run2",IF(H1798&lt;=2192,"FCS","trailing")))))))</f>
        <v/>
      </c>
      <c r="J1798">
        <f>IFERROR(IF(AND(H1798&lt;&gt;"",H1798&gt;=129,H1798&lt;=2176),INDEX(Fields!$B$2:$B$206,MATCH(H1798-129,Fields!$D$2:$D$206,1)),""),"")</f>
        <v/>
      </c>
      <c r="K1798">
        <f>IFERROR(IF(AND(H1798&lt;&gt;"",H1798&gt;=129,H1798&lt;=2176),INDEX(Fields!$C$2:$C$206,MATCH(H1798-129,Fields!$D$2:$D$206,1)),""),"")</f>
        <v/>
      </c>
      <c r="L1798">
        <f>IFERROR(IF(AND(H1798&lt;&gt;"",H1798&gt;=129,H1798&lt;=2176),INDEX(Fields!$J$2:$J$206,MATCH(H1798-129,Fields!$D$2:$D$206,1)),""),"")</f>
        <v/>
      </c>
      <c r="M1798">
        <f>IFERROR(IF(AND(H1798&lt;&gt;"",H1798&gt;=129,H1798&lt;=2176),INDEX(Fields!$K$2:$K$206,MATCH(H1798-129,Fields!$D$2:$D$206,1)),""),"")</f>
        <v/>
      </c>
    </row>
    <row r="1799">
      <c r="A1799" t="n">
        <v>1797</v>
      </c>
      <c r="B1799" t="n">
        <v>0</v>
      </c>
      <c r="C1799" t="inlineStr">
        <is>
          <t>No</t>
        </is>
      </c>
      <c r="D1799">
        <f>IF(AND(B1794=1,B1795=1,B1796=1,B1797=1,B1798=1),"Yes","")</f>
        <v/>
      </c>
      <c r="E1799" t="inlineStr">
        <is>
          <t>No</t>
        </is>
      </c>
      <c r="F1799" t="inlineStr">
        <is>
          <t>No</t>
        </is>
      </c>
      <c r="G1799">
        <f>IF(F1799="Yes",1-B1799,B1799)</f>
        <v/>
      </c>
      <c r="H1799">
        <f>IF(E1799="Yes","",COUNTIFS($E$2:E1799,"No"))</f>
        <v/>
      </c>
      <c r="I1799">
        <f>IF(H1799="","",IF(H1799&lt;=128,"address",IF(H1799&lt;=600,"data1",IF(H1799&lt;=1264,"zero-run1",IF(H1799&lt;=1648,"data2",IF(H1799&lt;=2176,"zero-run2",IF(H1799&lt;=2192,"FCS","trailing")))))))</f>
        <v/>
      </c>
      <c r="J1799">
        <f>IFERROR(IF(AND(H1799&lt;&gt;"",H1799&gt;=129,H1799&lt;=2176),INDEX(Fields!$B$2:$B$206,MATCH(H1799-129,Fields!$D$2:$D$206,1)),""),"")</f>
        <v/>
      </c>
      <c r="K1799">
        <f>IFERROR(IF(AND(H1799&lt;&gt;"",H1799&gt;=129,H1799&lt;=2176),INDEX(Fields!$C$2:$C$206,MATCH(H1799-129,Fields!$D$2:$D$206,1)),""),"")</f>
        <v/>
      </c>
      <c r="L1799">
        <f>IFERROR(IF(AND(H1799&lt;&gt;"",H1799&gt;=129,H1799&lt;=2176),INDEX(Fields!$J$2:$J$206,MATCH(H1799-129,Fields!$D$2:$D$206,1)),""),"")</f>
        <v/>
      </c>
      <c r="M1799">
        <f>IFERROR(IF(AND(H1799&lt;&gt;"",H1799&gt;=129,H1799&lt;=2176),INDEX(Fields!$K$2:$K$206,MATCH(H1799-129,Fields!$D$2:$D$206,1)),""),"")</f>
        <v/>
      </c>
    </row>
    <row r="1800">
      <c r="A1800" t="n">
        <v>1798</v>
      </c>
      <c r="B1800" t="n">
        <v>0</v>
      </c>
      <c r="C1800" t="inlineStr">
        <is>
          <t>No</t>
        </is>
      </c>
      <c r="D1800">
        <f>IF(AND(B1795=1,B1796=1,B1797=1,B1798=1,B1799=1),"Yes","")</f>
        <v/>
      </c>
      <c r="E1800" t="inlineStr">
        <is>
          <t>No</t>
        </is>
      </c>
      <c r="F1800" t="inlineStr">
        <is>
          <t>No</t>
        </is>
      </c>
      <c r="G1800">
        <f>IF(F1800="Yes",1-B1800,B1800)</f>
        <v/>
      </c>
      <c r="H1800">
        <f>IF(E1800="Yes","",COUNTIFS($E$2:E1800,"No"))</f>
        <v/>
      </c>
      <c r="I1800">
        <f>IF(H1800="","",IF(H1800&lt;=128,"address",IF(H1800&lt;=600,"data1",IF(H1800&lt;=1264,"zero-run1",IF(H1800&lt;=1648,"data2",IF(H1800&lt;=2176,"zero-run2",IF(H1800&lt;=2192,"FCS","trailing")))))))</f>
        <v/>
      </c>
      <c r="J1800">
        <f>IFERROR(IF(AND(H1800&lt;&gt;"",H1800&gt;=129,H1800&lt;=2176),INDEX(Fields!$B$2:$B$206,MATCH(H1800-129,Fields!$D$2:$D$206,1)),""),"")</f>
        <v/>
      </c>
      <c r="K1800">
        <f>IFERROR(IF(AND(H1800&lt;&gt;"",H1800&gt;=129,H1800&lt;=2176),INDEX(Fields!$C$2:$C$206,MATCH(H1800-129,Fields!$D$2:$D$206,1)),""),"")</f>
        <v/>
      </c>
      <c r="L1800">
        <f>IFERROR(IF(AND(H1800&lt;&gt;"",H1800&gt;=129,H1800&lt;=2176),INDEX(Fields!$J$2:$J$206,MATCH(H1800-129,Fields!$D$2:$D$206,1)),""),"")</f>
        <v/>
      </c>
      <c r="M1800">
        <f>IFERROR(IF(AND(H1800&lt;&gt;"",H1800&gt;=129,H1800&lt;=2176),INDEX(Fields!$K$2:$K$206,MATCH(H1800-129,Fields!$D$2:$D$206,1)),""),"")</f>
        <v/>
      </c>
    </row>
    <row r="1801">
      <c r="A1801" t="n">
        <v>1799</v>
      </c>
      <c r="B1801" t="n">
        <v>0</v>
      </c>
      <c r="C1801" t="inlineStr">
        <is>
          <t>No</t>
        </is>
      </c>
      <c r="D1801">
        <f>IF(AND(B1796=1,B1797=1,B1798=1,B1799=1,B1800=1),"Yes","")</f>
        <v/>
      </c>
      <c r="E1801" t="inlineStr">
        <is>
          <t>No</t>
        </is>
      </c>
      <c r="F1801" t="inlineStr">
        <is>
          <t>No</t>
        </is>
      </c>
      <c r="G1801">
        <f>IF(F1801="Yes",1-B1801,B1801)</f>
        <v/>
      </c>
      <c r="H1801">
        <f>IF(E1801="Yes","",COUNTIFS($E$2:E1801,"No"))</f>
        <v/>
      </c>
      <c r="I1801">
        <f>IF(H1801="","",IF(H1801&lt;=128,"address",IF(H1801&lt;=600,"data1",IF(H1801&lt;=1264,"zero-run1",IF(H1801&lt;=1648,"data2",IF(H1801&lt;=2176,"zero-run2",IF(H1801&lt;=2192,"FCS","trailing")))))))</f>
        <v/>
      </c>
      <c r="J1801">
        <f>IFERROR(IF(AND(H1801&lt;&gt;"",H1801&gt;=129,H1801&lt;=2176),INDEX(Fields!$B$2:$B$206,MATCH(H1801-129,Fields!$D$2:$D$206,1)),""),"")</f>
        <v/>
      </c>
      <c r="K1801">
        <f>IFERROR(IF(AND(H1801&lt;&gt;"",H1801&gt;=129,H1801&lt;=2176),INDEX(Fields!$C$2:$C$206,MATCH(H1801-129,Fields!$D$2:$D$206,1)),""),"")</f>
        <v/>
      </c>
      <c r="L1801">
        <f>IFERROR(IF(AND(H1801&lt;&gt;"",H1801&gt;=129,H1801&lt;=2176),INDEX(Fields!$J$2:$J$206,MATCH(H1801-129,Fields!$D$2:$D$206,1)),""),"")</f>
        <v/>
      </c>
      <c r="M1801">
        <f>IFERROR(IF(AND(H1801&lt;&gt;"",H1801&gt;=129,H1801&lt;=2176),INDEX(Fields!$K$2:$K$206,MATCH(H1801-129,Fields!$D$2:$D$206,1)),""),"")</f>
        <v/>
      </c>
    </row>
    <row r="1802">
      <c r="A1802" t="n">
        <v>1800</v>
      </c>
      <c r="B1802" t="n">
        <v>0</v>
      </c>
      <c r="C1802" t="inlineStr">
        <is>
          <t>No</t>
        </is>
      </c>
      <c r="D1802">
        <f>IF(AND(B1797=1,B1798=1,B1799=1,B1800=1,B1801=1),"Yes","")</f>
        <v/>
      </c>
      <c r="E1802" t="inlineStr">
        <is>
          <t>No</t>
        </is>
      </c>
      <c r="F1802" t="inlineStr">
        <is>
          <t>No</t>
        </is>
      </c>
      <c r="G1802">
        <f>IF(F1802="Yes",1-B1802,B1802)</f>
        <v/>
      </c>
      <c r="H1802">
        <f>IF(E1802="Yes","",COUNTIFS($E$2:E1802,"No"))</f>
        <v/>
      </c>
      <c r="I1802">
        <f>IF(H1802="","",IF(H1802&lt;=128,"address",IF(H1802&lt;=600,"data1",IF(H1802&lt;=1264,"zero-run1",IF(H1802&lt;=1648,"data2",IF(H1802&lt;=2176,"zero-run2",IF(H1802&lt;=2192,"FCS","trailing")))))))</f>
        <v/>
      </c>
      <c r="J1802">
        <f>IFERROR(IF(AND(H1802&lt;&gt;"",H1802&gt;=129,H1802&lt;=2176),INDEX(Fields!$B$2:$B$206,MATCH(H1802-129,Fields!$D$2:$D$206,1)),""),"")</f>
        <v/>
      </c>
      <c r="K1802">
        <f>IFERROR(IF(AND(H1802&lt;&gt;"",H1802&gt;=129,H1802&lt;=2176),INDEX(Fields!$C$2:$C$206,MATCH(H1802-129,Fields!$D$2:$D$206,1)),""),"")</f>
        <v/>
      </c>
      <c r="L1802">
        <f>IFERROR(IF(AND(H1802&lt;&gt;"",H1802&gt;=129,H1802&lt;=2176),INDEX(Fields!$J$2:$J$206,MATCH(H1802-129,Fields!$D$2:$D$206,1)),""),"")</f>
        <v/>
      </c>
      <c r="M1802">
        <f>IFERROR(IF(AND(H1802&lt;&gt;"",H1802&gt;=129,H1802&lt;=2176),INDEX(Fields!$K$2:$K$206,MATCH(H1802-129,Fields!$D$2:$D$206,1)),""),"")</f>
        <v/>
      </c>
    </row>
    <row r="1803">
      <c r="A1803" t="n">
        <v>1801</v>
      </c>
      <c r="B1803" t="n">
        <v>0</v>
      </c>
      <c r="C1803" t="inlineStr">
        <is>
          <t>No</t>
        </is>
      </c>
      <c r="D1803">
        <f>IF(AND(B1798=1,B1799=1,B1800=1,B1801=1,B1802=1),"Yes","")</f>
        <v/>
      </c>
      <c r="E1803" t="inlineStr">
        <is>
          <t>No</t>
        </is>
      </c>
      <c r="F1803" t="inlineStr">
        <is>
          <t>No</t>
        </is>
      </c>
      <c r="G1803">
        <f>IF(F1803="Yes",1-B1803,B1803)</f>
        <v/>
      </c>
      <c r="H1803">
        <f>IF(E1803="Yes","",COUNTIFS($E$2:E1803,"No"))</f>
        <v/>
      </c>
      <c r="I1803">
        <f>IF(H1803="","",IF(H1803&lt;=128,"address",IF(H1803&lt;=600,"data1",IF(H1803&lt;=1264,"zero-run1",IF(H1803&lt;=1648,"data2",IF(H1803&lt;=2176,"zero-run2",IF(H1803&lt;=2192,"FCS","trailing")))))))</f>
        <v/>
      </c>
      <c r="J1803">
        <f>IFERROR(IF(AND(H1803&lt;&gt;"",H1803&gt;=129,H1803&lt;=2176),INDEX(Fields!$B$2:$B$206,MATCH(H1803-129,Fields!$D$2:$D$206,1)),""),"")</f>
        <v/>
      </c>
      <c r="K1803">
        <f>IFERROR(IF(AND(H1803&lt;&gt;"",H1803&gt;=129,H1803&lt;=2176),INDEX(Fields!$C$2:$C$206,MATCH(H1803-129,Fields!$D$2:$D$206,1)),""),"")</f>
        <v/>
      </c>
      <c r="L1803">
        <f>IFERROR(IF(AND(H1803&lt;&gt;"",H1803&gt;=129,H1803&lt;=2176),INDEX(Fields!$J$2:$J$206,MATCH(H1803-129,Fields!$D$2:$D$206,1)),""),"")</f>
        <v/>
      </c>
      <c r="M1803">
        <f>IFERROR(IF(AND(H1803&lt;&gt;"",H1803&gt;=129,H1803&lt;=2176),INDEX(Fields!$K$2:$K$206,MATCH(H1803-129,Fields!$D$2:$D$206,1)),""),"")</f>
        <v/>
      </c>
    </row>
    <row r="1804">
      <c r="A1804" t="n">
        <v>1802</v>
      </c>
      <c r="B1804" t="n">
        <v>0</v>
      </c>
      <c r="C1804" t="inlineStr">
        <is>
          <t>No</t>
        </is>
      </c>
      <c r="D1804">
        <f>IF(AND(B1799=1,B1800=1,B1801=1,B1802=1,B1803=1),"Yes","")</f>
        <v/>
      </c>
      <c r="E1804" t="inlineStr">
        <is>
          <t>No</t>
        </is>
      </c>
      <c r="F1804" t="inlineStr">
        <is>
          <t>No</t>
        </is>
      </c>
      <c r="G1804">
        <f>IF(F1804="Yes",1-B1804,B1804)</f>
        <v/>
      </c>
      <c r="H1804">
        <f>IF(E1804="Yes","",COUNTIFS($E$2:E1804,"No"))</f>
        <v/>
      </c>
      <c r="I1804">
        <f>IF(H1804="","",IF(H1804&lt;=128,"address",IF(H1804&lt;=600,"data1",IF(H1804&lt;=1264,"zero-run1",IF(H1804&lt;=1648,"data2",IF(H1804&lt;=2176,"zero-run2",IF(H1804&lt;=2192,"FCS","trailing")))))))</f>
        <v/>
      </c>
      <c r="J1804">
        <f>IFERROR(IF(AND(H1804&lt;&gt;"",H1804&gt;=129,H1804&lt;=2176),INDEX(Fields!$B$2:$B$206,MATCH(H1804-129,Fields!$D$2:$D$206,1)),""),"")</f>
        <v/>
      </c>
      <c r="K1804">
        <f>IFERROR(IF(AND(H1804&lt;&gt;"",H1804&gt;=129,H1804&lt;=2176),INDEX(Fields!$C$2:$C$206,MATCH(H1804-129,Fields!$D$2:$D$206,1)),""),"")</f>
        <v/>
      </c>
      <c r="L1804">
        <f>IFERROR(IF(AND(H1804&lt;&gt;"",H1804&gt;=129,H1804&lt;=2176),INDEX(Fields!$J$2:$J$206,MATCH(H1804-129,Fields!$D$2:$D$206,1)),""),"")</f>
        <v/>
      </c>
      <c r="M1804">
        <f>IFERROR(IF(AND(H1804&lt;&gt;"",H1804&gt;=129,H1804&lt;=2176),INDEX(Fields!$K$2:$K$206,MATCH(H1804-129,Fields!$D$2:$D$206,1)),""),"")</f>
        <v/>
      </c>
    </row>
    <row r="1805">
      <c r="A1805" t="n">
        <v>1803</v>
      </c>
      <c r="B1805" t="n">
        <v>0</v>
      </c>
      <c r="C1805" t="inlineStr">
        <is>
          <t>No</t>
        </is>
      </c>
      <c r="D1805">
        <f>IF(AND(B1800=1,B1801=1,B1802=1,B1803=1,B1804=1),"Yes","")</f>
        <v/>
      </c>
      <c r="E1805" t="inlineStr">
        <is>
          <t>No</t>
        </is>
      </c>
      <c r="F1805" t="inlineStr">
        <is>
          <t>No</t>
        </is>
      </c>
      <c r="G1805">
        <f>IF(F1805="Yes",1-B1805,B1805)</f>
        <v/>
      </c>
      <c r="H1805">
        <f>IF(E1805="Yes","",COUNTIFS($E$2:E1805,"No"))</f>
        <v/>
      </c>
      <c r="I1805">
        <f>IF(H1805="","",IF(H1805&lt;=128,"address",IF(H1805&lt;=600,"data1",IF(H1805&lt;=1264,"zero-run1",IF(H1805&lt;=1648,"data2",IF(H1805&lt;=2176,"zero-run2",IF(H1805&lt;=2192,"FCS","trailing")))))))</f>
        <v/>
      </c>
      <c r="J1805">
        <f>IFERROR(IF(AND(H1805&lt;&gt;"",H1805&gt;=129,H1805&lt;=2176),INDEX(Fields!$B$2:$B$206,MATCH(H1805-129,Fields!$D$2:$D$206,1)),""),"")</f>
        <v/>
      </c>
      <c r="K1805">
        <f>IFERROR(IF(AND(H1805&lt;&gt;"",H1805&gt;=129,H1805&lt;=2176),INDEX(Fields!$C$2:$C$206,MATCH(H1805-129,Fields!$D$2:$D$206,1)),""),"")</f>
        <v/>
      </c>
      <c r="L1805">
        <f>IFERROR(IF(AND(H1805&lt;&gt;"",H1805&gt;=129,H1805&lt;=2176),INDEX(Fields!$J$2:$J$206,MATCH(H1805-129,Fields!$D$2:$D$206,1)),""),"")</f>
        <v/>
      </c>
      <c r="M1805">
        <f>IFERROR(IF(AND(H1805&lt;&gt;"",H1805&gt;=129,H1805&lt;=2176),INDEX(Fields!$K$2:$K$206,MATCH(H1805-129,Fields!$D$2:$D$206,1)),""),"")</f>
        <v/>
      </c>
    </row>
    <row r="1806">
      <c r="A1806" t="n">
        <v>1804</v>
      </c>
      <c r="B1806" t="n">
        <v>0</v>
      </c>
      <c r="C1806" t="inlineStr">
        <is>
          <t>No</t>
        </is>
      </c>
      <c r="D1806">
        <f>IF(AND(B1801=1,B1802=1,B1803=1,B1804=1,B1805=1),"Yes","")</f>
        <v/>
      </c>
      <c r="E1806" t="inlineStr">
        <is>
          <t>No</t>
        </is>
      </c>
      <c r="F1806" t="inlineStr">
        <is>
          <t>No</t>
        </is>
      </c>
      <c r="G1806">
        <f>IF(F1806="Yes",1-B1806,B1806)</f>
        <v/>
      </c>
      <c r="H1806">
        <f>IF(E1806="Yes","",COUNTIFS($E$2:E1806,"No"))</f>
        <v/>
      </c>
      <c r="I1806">
        <f>IF(H1806="","",IF(H1806&lt;=128,"address",IF(H1806&lt;=600,"data1",IF(H1806&lt;=1264,"zero-run1",IF(H1806&lt;=1648,"data2",IF(H1806&lt;=2176,"zero-run2",IF(H1806&lt;=2192,"FCS","trailing")))))))</f>
        <v/>
      </c>
      <c r="J1806">
        <f>IFERROR(IF(AND(H1806&lt;&gt;"",H1806&gt;=129,H1806&lt;=2176),INDEX(Fields!$B$2:$B$206,MATCH(H1806-129,Fields!$D$2:$D$206,1)),""),"")</f>
        <v/>
      </c>
      <c r="K1806">
        <f>IFERROR(IF(AND(H1806&lt;&gt;"",H1806&gt;=129,H1806&lt;=2176),INDEX(Fields!$C$2:$C$206,MATCH(H1806-129,Fields!$D$2:$D$206,1)),""),"")</f>
        <v/>
      </c>
      <c r="L1806">
        <f>IFERROR(IF(AND(H1806&lt;&gt;"",H1806&gt;=129,H1806&lt;=2176),INDEX(Fields!$J$2:$J$206,MATCH(H1806-129,Fields!$D$2:$D$206,1)),""),"")</f>
        <v/>
      </c>
      <c r="M1806">
        <f>IFERROR(IF(AND(H1806&lt;&gt;"",H1806&gt;=129,H1806&lt;=2176),INDEX(Fields!$K$2:$K$206,MATCH(H1806-129,Fields!$D$2:$D$206,1)),""),"")</f>
        <v/>
      </c>
    </row>
    <row r="1807">
      <c r="A1807" t="n">
        <v>1805</v>
      </c>
      <c r="B1807" t="n">
        <v>0</v>
      </c>
      <c r="C1807" t="inlineStr">
        <is>
          <t>No</t>
        </is>
      </c>
      <c r="D1807">
        <f>IF(AND(B1802=1,B1803=1,B1804=1,B1805=1,B1806=1),"Yes","")</f>
        <v/>
      </c>
      <c r="E1807" t="inlineStr">
        <is>
          <t>No</t>
        </is>
      </c>
      <c r="F1807" t="inlineStr">
        <is>
          <t>No</t>
        </is>
      </c>
      <c r="G1807">
        <f>IF(F1807="Yes",1-B1807,B1807)</f>
        <v/>
      </c>
      <c r="H1807">
        <f>IF(E1807="Yes","",COUNTIFS($E$2:E1807,"No"))</f>
        <v/>
      </c>
      <c r="I1807">
        <f>IF(H1807="","",IF(H1807&lt;=128,"address",IF(H1807&lt;=600,"data1",IF(H1807&lt;=1264,"zero-run1",IF(H1807&lt;=1648,"data2",IF(H1807&lt;=2176,"zero-run2",IF(H1807&lt;=2192,"FCS","trailing")))))))</f>
        <v/>
      </c>
      <c r="J1807">
        <f>IFERROR(IF(AND(H1807&lt;&gt;"",H1807&gt;=129,H1807&lt;=2176),INDEX(Fields!$B$2:$B$206,MATCH(H1807-129,Fields!$D$2:$D$206,1)),""),"")</f>
        <v/>
      </c>
      <c r="K1807">
        <f>IFERROR(IF(AND(H1807&lt;&gt;"",H1807&gt;=129,H1807&lt;=2176),INDEX(Fields!$C$2:$C$206,MATCH(H1807-129,Fields!$D$2:$D$206,1)),""),"")</f>
        <v/>
      </c>
      <c r="L1807">
        <f>IFERROR(IF(AND(H1807&lt;&gt;"",H1807&gt;=129,H1807&lt;=2176),INDEX(Fields!$J$2:$J$206,MATCH(H1807-129,Fields!$D$2:$D$206,1)),""),"")</f>
        <v/>
      </c>
      <c r="M1807">
        <f>IFERROR(IF(AND(H1807&lt;&gt;"",H1807&gt;=129,H1807&lt;=2176),INDEX(Fields!$K$2:$K$206,MATCH(H1807-129,Fields!$D$2:$D$206,1)),""),"")</f>
        <v/>
      </c>
    </row>
    <row r="1808">
      <c r="A1808" t="n">
        <v>1806</v>
      </c>
      <c r="B1808" t="n">
        <v>0</v>
      </c>
      <c r="C1808" t="inlineStr">
        <is>
          <t>No</t>
        </is>
      </c>
      <c r="D1808">
        <f>IF(AND(B1803=1,B1804=1,B1805=1,B1806=1,B1807=1),"Yes","")</f>
        <v/>
      </c>
      <c r="E1808" t="inlineStr">
        <is>
          <t>No</t>
        </is>
      </c>
      <c r="F1808" t="inlineStr">
        <is>
          <t>No</t>
        </is>
      </c>
      <c r="G1808">
        <f>IF(F1808="Yes",1-B1808,B1808)</f>
        <v/>
      </c>
      <c r="H1808">
        <f>IF(E1808="Yes","",COUNTIFS($E$2:E1808,"No"))</f>
        <v/>
      </c>
      <c r="I1808">
        <f>IF(H1808="","",IF(H1808&lt;=128,"address",IF(H1808&lt;=600,"data1",IF(H1808&lt;=1264,"zero-run1",IF(H1808&lt;=1648,"data2",IF(H1808&lt;=2176,"zero-run2",IF(H1808&lt;=2192,"FCS","trailing")))))))</f>
        <v/>
      </c>
      <c r="J1808">
        <f>IFERROR(IF(AND(H1808&lt;&gt;"",H1808&gt;=129,H1808&lt;=2176),INDEX(Fields!$B$2:$B$206,MATCH(H1808-129,Fields!$D$2:$D$206,1)),""),"")</f>
        <v/>
      </c>
      <c r="K1808">
        <f>IFERROR(IF(AND(H1808&lt;&gt;"",H1808&gt;=129,H1808&lt;=2176),INDEX(Fields!$C$2:$C$206,MATCH(H1808-129,Fields!$D$2:$D$206,1)),""),"")</f>
        <v/>
      </c>
      <c r="L1808">
        <f>IFERROR(IF(AND(H1808&lt;&gt;"",H1808&gt;=129,H1808&lt;=2176),INDEX(Fields!$J$2:$J$206,MATCH(H1808-129,Fields!$D$2:$D$206,1)),""),"")</f>
        <v/>
      </c>
      <c r="M1808">
        <f>IFERROR(IF(AND(H1808&lt;&gt;"",H1808&gt;=129,H1808&lt;=2176),INDEX(Fields!$K$2:$K$206,MATCH(H1808-129,Fields!$D$2:$D$206,1)),""),"")</f>
        <v/>
      </c>
    </row>
    <row r="1809">
      <c r="A1809" t="n">
        <v>1807</v>
      </c>
      <c r="B1809" t="n">
        <v>0</v>
      </c>
      <c r="C1809" t="inlineStr">
        <is>
          <t>No</t>
        </is>
      </c>
      <c r="D1809">
        <f>IF(AND(B1804=1,B1805=1,B1806=1,B1807=1,B1808=1),"Yes","")</f>
        <v/>
      </c>
      <c r="E1809" t="inlineStr">
        <is>
          <t>No</t>
        </is>
      </c>
      <c r="F1809" t="inlineStr">
        <is>
          <t>No</t>
        </is>
      </c>
      <c r="G1809">
        <f>IF(F1809="Yes",1-B1809,B1809)</f>
        <v/>
      </c>
      <c r="H1809">
        <f>IF(E1809="Yes","",COUNTIFS($E$2:E1809,"No"))</f>
        <v/>
      </c>
      <c r="I1809">
        <f>IF(H1809="","",IF(H1809&lt;=128,"address",IF(H1809&lt;=600,"data1",IF(H1809&lt;=1264,"zero-run1",IF(H1809&lt;=1648,"data2",IF(H1809&lt;=2176,"zero-run2",IF(H1809&lt;=2192,"FCS","trailing")))))))</f>
        <v/>
      </c>
      <c r="J1809">
        <f>IFERROR(IF(AND(H1809&lt;&gt;"",H1809&gt;=129,H1809&lt;=2176),INDEX(Fields!$B$2:$B$206,MATCH(H1809-129,Fields!$D$2:$D$206,1)),""),"")</f>
        <v/>
      </c>
      <c r="K1809">
        <f>IFERROR(IF(AND(H1809&lt;&gt;"",H1809&gt;=129,H1809&lt;=2176),INDEX(Fields!$C$2:$C$206,MATCH(H1809-129,Fields!$D$2:$D$206,1)),""),"")</f>
        <v/>
      </c>
      <c r="L1809">
        <f>IFERROR(IF(AND(H1809&lt;&gt;"",H1809&gt;=129,H1809&lt;=2176),INDEX(Fields!$J$2:$J$206,MATCH(H1809-129,Fields!$D$2:$D$206,1)),""),"")</f>
        <v/>
      </c>
      <c r="M1809">
        <f>IFERROR(IF(AND(H1809&lt;&gt;"",H1809&gt;=129,H1809&lt;=2176),INDEX(Fields!$K$2:$K$206,MATCH(H1809-129,Fields!$D$2:$D$206,1)),""),"")</f>
        <v/>
      </c>
    </row>
    <row r="1810">
      <c r="A1810" t="n">
        <v>1808</v>
      </c>
      <c r="B1810" t="n">
        <v>0</v>
      </c>
      <c r="C1810" t="inlineStr">
        <is>
          <t>No</t>
        </is>
      </c>
      <c r="D1810">
        <f>IF(AND(B1805=1,B1806=1,B1807=1,B1808=1,B1809=1),"Yes","")</f>
        <v/>
      </c>
      <c r="E1810" t="inlineStr">
        <is>
          <t>No</t>
        </is>
      </c>
      <c r="F1810" t="inlineStr">
        <is>
          <t>No</t>
        </is>
      </c>
      <c r="G1810">
        <f>IF(F1810="Yes",1-B1810,B1810)</f>
        <v/>
      </c>
      <c r="H1810">
        <f>IF(E1810="Yes","",COUNTIFS($E$2:E1810,"No"))</f>
        <v/>
      </c>
      <c r="I1810">
        <f>IF(H1810="","",IF(H1810&lt;=128,"address",IF(H1810&lt;=600,"data1",IF(H1810&lt;=1264,"zero-run1",IF(H1810&lt;=1648,"data2",IF(H1810&lt;=2176,"zero-run2",IF(H1810&lt;=2192,"FCS","trailing")))))))</f>
        <v/>
      </c>
      <c r="J1810">
        <f>IFERROR(IF(AND(H1810&lt;&gt;"",H1810&gt;=129,H1810&lt;=2176),INDEX(Fields!$B$2:$B$206,MATCH(H1810-129,Fields!$D$2:$D$206,1)),""),"")</f>
        <v/>
      </c>
      <c r="K1810">
        <f>IFERROR(IF(AND(H1810&lt;&gt;"",H1810&gt;=129,H1810&lt;=2176),INDEX(Fields!$C$2:$C$206,MATCH(H1810-129,Fields!$D$2:$D$206,1)),""),"")</f>
        <v/>
      </c>
      <c r="L1810">
        <f>IFERROR(IF(AND(H1810&lt;&gt;"",H1810&gt;=129,H1810&lt;=2176),INDEX(Fields!$J$2:$J$206,MATCH(H1810-129,Fields!$D$2:$D$206,1)),""),"")</f>
        <v/>
      </c>
      <c r="M1810">
        <f>IFERROR(IF(AND(H1810&lt;&gt;"",H1810&gt;=129,H1810&lt;=2176),INDEX(Fields!$K$2:$K$206,MATCH(H1810-129,Fields!$D$2:$D$206,1)),""),"")</f>
        <v/>
      </c>
    </row>
    <row r="1811">
      <c r="A1811" t="n">
        <v>1809</v>
      </c>
      <c r="B1811" t="n">
        <v>0</v>
      </c>
      <c r="C1811" t="inlineStr">
        <is>
          <t>No</t>
        </is>
      </c>
      <c r="D1811">
        <f>IF(AND(B1806=1,B1807=1,B1808=1,B1809=1,B1810=1),"Yes","")</f>
        <v/>
      </c>
      <c r="E1811" t="inlineStr">
        <is>
          <t>No</t>
        </is>
      </c>
      <c r="F1811" t="inlineStr">
        <is>
          <t>No</t>
        </is>
      </c>
      <c r="G1811">
        <f>IF(F1811="Yes",1-B1811,B1811)</f>
        <v/>
      </c>
      <c r="H1811">
        <f>IF(E1811="Yes","",COUNTIFS($E$2:E1811,"No"))</f>
        <v/>
      </c>
      <c r="I1811">
        <f>IF(H1811="","",IF(H1811&lt;=128,"address",IF(H1811&lt;=600,"data1",IF(H1811&lt;=1264,"zero-run1",IF(H1811&lt;=1648,"data2",IF(H1811&lt;=2176,"zero-run2",IF(H1811&lt;=2192,"FCS","trailing")))))))</f>
        <v/>
      </c>
      <c r="J1811">
        <f>IFERROR(IF(AND(H1811&lt;&gt;"",H1811&gt;=129,H1811&lt;=2176),INDEX(Fields!$B$2:$B$206,MATCH(H1811-129,Fields!$D$2:$D$206,1)),""),"")</f>
        <v/>
      </c>
      <c r="K1811">
        <f>IFERROR(IF(AND(H1811&lt;&gt;"",H1811&gt;=129,H1811&lt;=2176),INDEX(Fields!$C$2:$C$206,MATCH(H1811-129,Fields!$D$2:$D$206,1)),""),"")</f>
        <v/>
      </c>
      <c r="L1811">
        <f>IFERROR(IF(AND(H1811&lt;&gt;"",H1811&gt;=129,H1811&lt;=2176),INDEX(Fields!$J$2:$J$206,MATCH(H1811-129,Fields!$D$2:$D$206,1)),""),"")</f>
        <v/>
      </c>
      <c r="M1811">
        <f>IFERROR(IF(AND(H1811&lt;&gt;"",H1811&gt;=129,H1811&lt;=2176),INDEX(Fields!$K$2:$K$206,MATCH(H1811-129,Fields!$D$2:$D$206,1)),""),"")</f>
        <v/>
      </c>
    </row>
    <row r="1812">
      <c r="A1812" t="n">
        <v>1810</v>
      </c>
      <c r="B1812" t="n">
        <v>0</v>
      </c>
      <c r="C1812" t="inlineStr">
        <is>
          <t>No</t>
        </is>
      </c>
      <c r="D1812">
        <f>IF(AND(B1807=1,B1808=1,B1809=1,B1810=1,B1811=1),"Yes","")</f>
        <v/>
      </c>
      <c r="E1812" t="inlineStr">
        <is>
          <t>No</t>
        </is>
      </c>
      <c r="F1812" t="inlineStr">
        <is>
          <t>No</t>
        </is>
      </c>
      <c r="G1812">
        <f>IF(F1812="Yes",1-B1812,B1812)</f>
        <v/>
      </c>
      <c r="H1812">
        <f>IF(E1812="Yes","",COUNTIFS($E$2:E1812,"No"))</f>
        <v/>
      </c>
      <c r="I1812">
        <f>IF(H1812="","",IF(H1812&lt;=128,"address",IF(H1812&lt;=600,"data1",IF(H1812&lt;=1264,"zero-run1",IF(H1812&lt;=1648,"data2",IF(H1812&lt;=2176,"zero-run2",IF(H1812&lt;=2192,"FCS","trailing")))))))</f>
        <v/>
      </c>
      <c r="J1812">
        <f>IFERROR(IF(AND(H1812&lt;&gt;"",H1812&gt;=129,H1812&lt;=2176),INDEX(Fields!$B$2:$B$206,MATCH(H1812-129,Fields!$D$2:$D$206,1)),""),"")</f>
        <v/>
      </c>
      <c r="K1812">
        <f>IFERROR(IF(AND(H1812&lt;&gt;"",H1812&gt;=129,H1812&lt;=2176),INDEX(Fields!$C$2:$C$206,MATCH(H1812-129,Fields!$D$2:$D$206,1)),""),"")</f>
        <v/>
      </c>
      <c r="L1812">
        <f>IFERROR(IF(AND(H1812&lt;&gt;"",H1812&gt;=129,H1812&lt;=2176),INDEX(Fields!$J$2:$J$206,MATCH(H1812-129,Fields!$D$2:$D$206,1)),""),"")</f>
        <v/>
      </c>
      <c r="M1812">
        <f>IFERROR(IF(AND(H1812&lt;&gt;"",H1812&gt;=129,H1812&lt;=2176),INDEX(Fields!$K$2:$K$206,MATCH(H1812-129,Fields!$D$2:$D$206,1)),""),"")</f>
        <v/>
      </c>
    </row>
    <row r="1813">
      <c r="A1813" t="n">
        <v>1811</v>
      </c>
      <c r="B1813" t="n">
        <v>0</v>
      </c>
      <c r="C1813" t="inlineStr">
        <is>
          <t>No</t>
        </is>
      </c>
      <c r="D1813">
        <f>IF(AND(B1808=1,B1809=1,B1810=1,B1811=1,B1812=1),"Yes","")</f>
        <v/>
      </c>
      <c r="E1813" t="inlineStr">
        <is>
          <t>No</t>
        </is>
      </c>
      <c r="F1813" t="inlineStr">
        <is>
          <t>No</t>
        </is>
      </c>
      <c r="G1813">
        <f>IF(F1813="Yes",1-B1813,B1813)</f>
        <v/>
      </c>
      <c r="H1813">
        <f>IF(E1813="Yes","",COUNTIFS($E$2:E1813,"No"))</f>
        <v/>
      </c>
      <c r="I1813">
        <f>IF(H1813="","",IF(H1813&lt;=128,"address",IF(H1813&lt;=600,"data1",IF(H1813&lt;=1264,"zero-run1",IF(H1813&lt;=1648,"data2",IF(H1813&lt;=2176,"zero-run2",IF(H1813&lt;=2192,"FCS","trailing")))))))</f>
        <v/>
      </c>
      <c r="J1813">
        <f>IFERROR(IF(AND(H1813&lt;&gt;"",H1813&gt;=129,H1813&lt;=2176),INDEX(Fields!$B$2:$B$206,MATCH(H1813-129,Fields!$D$2:$D$206,1)),""),"")</f>
        <v/>
      </c>
      <c r="K1813">
        <f>IFERROR(IF(AND(H1813&lt;&gt;"",H1813&gt;=129,H1813&lt;=2176),INDEX(Fields!$C$2:$C$206,MATCH(H1813-129,Fields!$D$2:$D$206,1)),""),"")</f>
        <v/>
      </c>
      <c r="L1813">
        <f>IFERROR(IF(AND(H1813&lt;&gt;"",H1813&gt;=129,H1813&lt;=2176),INDEX(Fields!$J$2:$J$206,MATCH(H1813-129,Fields!$D$2:$D$206,1)),""),"")</f>
        <v/>
      </c>
      <c r="M1813">
        <f>IFERROR(IF(AND(H1813&lt;&gt;"",H1813&gt;=129,H1813&lt;=2176),INDEX(Fields!$K$2:$K$206,MATCH(H1813-129,Fields!$D$2:$D$206,1)),""),"")</f>
        <v/>
      </c>
    </row>
    <row r="1814">
      <c r="A1814" t="n">
        <v>1812</v>
      </c>
      <c r="B1814" t="n">
        <v>0</v>
      </c>
      <c r="C1814" t="inlineStr">
        <is>
          <t>No</t>
        </is>
      </c>
      <c r="D1814">
        <f>IF(AND(B1809=1,B1810=1,B1811=1,B1812=1,B1813=1),"Yes","")</f>
        <v/>
      </c>
      <c r="E1814" t="inlineStr">
        <is>
          <t>No</t>
        </is>
      </c>
      <c r="F1814" t="inlineStr">
        <is>
          <t>No</t>
        </is>
      </c>
      <c r="G1814">
        <f>IF(F1814="Yes",1-B1814,B1814)</f>
        <v/>
      </c>
      <c r="H1814">
        <f>IF(E1814="Yes","",COUNTIFS($E$2:E1814,"No"))</f>
        <v/>
      </c>
      <c r="I1814">
        <f>IF(H1814="","",IF(H1814&lt;=128,"address",IF(H1814&lt;=600,"data1",IF(H1814&lt;=1264,"zero-run1",IF(H1814&lt;=1648,"data2",IF(H1814&lt;=2176,"zero-run2",IF(H1814&lt;=2192,"FCS","trailing")))))))</f>
        <v/>
      </c>
      <c r="J1814">
        <f>IFERROR(IF(AND(H1814&lt;&gt;"",H1814&gt;=129,H1814&lt;=2176),INDEX(Fields!$B$2:$B$206,MATCH(H1814-129,Fields!$D$2:$D$206,1)),""),"")</f>
        <v/>
      </c>
      <c r="K1814">
        <f>IFERROR(IF(AND(H1814&lt;&gt;"",H1814&gt;=129,H1814&lt;=2176),INDEX(Fields!$C$2:$C$206,MATCH(H1814-129,Fields!$D$2:$D$206,1)),""),"")</f>
        <v/>
      </c>
      <c r="L1814">
        <f>IFERROR(IF(AND(H1814&lt;&gt;"",H1814&gt;=129,H1814&lt;=2176),INDEX(Fields!$J$2:$J$206,MATCH(H1814-129,Fields!$D$2:$D$206,1)),""),"")</f>
        <v/>
      </c>
      <c r="M1814">
        <f>IFERROR(IF(AND(H1814&lt;&gt;"",H1814&gt;=129,H1814&lt;=2176),INDEX(Fields!$K$2:$K$206,MATCH(H1814-129,Fields!$D$2:$D$206,1)),""),"")</f>
        <v/>
      </c>
    </row>
    <row r="1815">
      <c r="A1815" t="n">
        <v>1813</v>
      </c>
      <c r="B1815" t="n">
        <v>0</v>
      </c>
      <c r="C1815" t="inlineStr">
        <is>
          <t>No</t>
        </is>
      </c>
      <c r="D1815">
        <f>IF(AND(B1810=1,B1811=1,B1812=1,B1813=1,B1814=1),"Yes","")</f>
        <v/>
      </c>
      <c r="E1815" t="inlineStr">
        <is>
          <t>No</t>
        </is>
      </c>
      <c r="F1815" t="inlineStr">
        <is>
          <t>No</t>
        </is>
      </c>
      <c r="G1815">
        <f>IF(F1815="Yes",1-B1815,B1815)</f>
        <v/>
      </c>
      <c r="H1815">
        <f>IF(E1815="Yes","",COUNTIFS($E$2:E1815,"No"))</f>
        <v/>
      </c>
      <c r="I1815">
        <f>IF(H1815="","",IF(H1815&lt;=128,"address",IF(H1815&lt;=600,"data1",IF(H1815&lt;=1264,"zero-run1",IF(H1815&lt;=1648,"data2",IF(H1815&lt;=2176,"zero-run2",IF(H1815&lt;=2192,"FCS","trailing")))))))</f>
        <v/>
      </c>
      <c r="J1815">
        <f>IFERROR(IF(AND(H1815&lt;&gt;"",H1815&gt;=129,H1815&lt;=2176),INDEX(Fields!$B$2:$B$206,MATCH(H1815-129,Fields!$D$2:$D$206,1)),""),"")</f>
        <v/>
      </c>
      <c r="K1815">
        <f>IFERROR(IF(AND(H1815&lt;&gt;"",H1815&gt;=129,H1815&lt;=2176),INDEX(Fields!$C$2:$C$206,MATCH(H1815-129,Fields!$D$2:$D$206,1)),""),"")</f>
        <v/>
      </c>
      <c r="L1815">
        <f>IFERROR(IF(AND(H1815&lt;&gt;"",H1815&gt;=129,H1815&lt;=2176),INDEX(Fields!$J$2:$J$206,MATCH(H1815-129,Fields!$D$2:$D$206,1)),""),"")</f>
        <v/>
      </c>
      <c r="M1815">
        <f>IFERROR(IF(AND(H1815&lt;&gt;"",H1815&gt;=129,H1815&lt;=2176),INDEX(Fields!$K$2:$K$206,MATCH(H1815-129,Fields!$D$2:$D$206,1)),""),"")</f>
        <v/>
      </c>
    </row>
    <row r="1816">
      <c r="A1816" t="n">
        <v>1814</v>
      </c>
      <c r="B1816" t="n">
        <v>0</v>
      </c>
      <c r="C1816" t="inlineStr">
        <is>
          <t>No</t>
        </is>
      </c>
      <c r="D1816">
        <f>IF(AND(B1811=1,B1812=1,B1813=1,B1814=1,B1815=1),"Yes","")</f>
        <v/>
      </c>
      <c r="E1816" t="inlineStr">
        <is>
          <t>No</t>
        </is>
      </c>
      <c r="F1816" t="inlineStr">
        <is>
          <t>No</t>
        </is>
      </c>
      <c r="G1816">
        <f>IF(F1816="Yes",1-B1816,B1816)</f>
        <v/>
      </c>
      <c r="H1816">
        <f>IF(E1816="Yes","",COUNTIFS($E$2:E1816,"No"))</f>
        <v/>
      </c>
      <c r="I1816">
        <f>IF(H1816="","",IF(H1816&lt;=128,"address",IF(H1816&lt;=600,"data1",IF(H1816&lt;=1264,"zero-run1",IF(H1816&lt;=1648,"data2",IF(H1816&lt;=2176,"zero-run2",IF(H1816&lt;=2192,"FCS","trailing")))))))</f>
        <v/>
      </c>
      <c r="J1816">
        <f>IFERROR(IF(AND(H1816&lt;&gt;"",H1816&gt;=129,H1816&lt;=2176),INDEX(Fields!$B$2:$B$206,MATCH(H1816-129,Fields!$D$2:$D$206,1)),""),"")</f>
        <v/>
      </c>
      <c r="K1816">
        <f>IFERROR(IF(AND(H1816&lt;&gt;"",H1816&gt;=129,H1816&lt;=2176),INDEX(Fields!$C$2:$C$206,MATCH(H1816-129,Fields!$D$2:$D$206,1)),""),"")</f>
        <v/>
      </c>
      <c r="L1816">
        <f>IFERROR(IF(AND(H1816&lt;&gt;"",H1816&gt;=129,H1816&lt;=2176),INDEX(Fields!$J$2:$J$206,MATCH(H1816-129,Fields!$D$2:$D$206,1)),""),"")</f>
        <v/>
      </c>
      <c r="M1816">
        <f>IFERROR(IF(AND(H1816&lt;&gt;"",H1816&gt;=129,H1816&lt;=2176),INDEX(Fields!$K$2:$K$206,MATCH(H1816-129,Fields!$D$2:$D$206,1)),""),"")</f>
        <v/>
      </c>
    </row>
    <row r="1817">
      <c r="A1817" t="n">
        <v>1815</v>
      </c>
      <c r="B1817" t="n">
        <v>0</v>
      </c>
      <c r="C1817" t="inlineStr">
        <is>
          <t>No</t>
        </is>
      </c>
      <c r="D1817">
        <f>IF(AND(B1812=1,B1813=1,B1814=1,B1815=1,B1816=1),"Yes","")</f>
        <v/>
      </c>
      <c r="E1817" t="inlineStr">
        <is>
          <t>No</t>
        </is>
      </c>
      <c r="F1817" t="inlineStr">
        <is>
          <t>No</t>
        </is>
      </c>
      <c r="G1817">
        <f>IF(F1817="Yes",1-B1817,B1817)</f>
        <v/>
      </c>
      <c r="H1817">
        <f>IF(E1817="Yes","",COUNTIFS($E$2:E1817,"No"))</f>
        <v/>
      </c>
      <c r="I1817">
        <f>IF(H1817="","",IF(H1817&lt;=128,"address",IF(H1817&lt;=600,"data1",IF(H1817&lt;=1264,"zero-run1",IF(H1817&lt;=1648,"data2",IF(H1817&lt;=2176,"zero-run2",IF(H1817&lt;=2192,"FCS","trailing")))))))</f>
        <v/>
      </c>
      <c r="J1817">
        <f>IFERROR(IF(AND(H1817&lt;&gt;"",H1817&gt;=129,H1817&lt;=2176),INDEX(Fields!$B$2:$B$206,MATCH(H1817-129,Fields!$D$2:$D$206,1)),""),"")</f>
        <v/>
      </c>
      <c r="K1817">
        <f>IFERROR(IF(AND(H1817&lt;&gt;"",H1817&gt;=129,H1817&lt;=2176),INDEX(Fields!$C$2:$C$206,MATCH(H1817-129,Fields!$D$2:$D$206,1)),""),"")</f>
        <v/>
      </c>
      <c r="L1817">
        <f>IFERROR(IF(AND(H1817&lt;&gt;"",H1817&gt;=129,H1817&lt;=2176),INDEX(Fields!$J$2:$J$206,MATCH(H1817-129,Fields!$D$2:$D$206,1)),""),"")</f>
        <v/>
      </c>
      <c r="M1817">
        <f>IFERROR(IF(AND(H1817&lt;&gt;"",H1817&gt;=129,H1817&lt;=2176),INDEX(Fields!$K$2:$K$206,MATCH(H1817-129,Fields!$D$2:$D$206,1)),""),"")</f>
        <v/>
      </c>
    </row>
    <row r="1818">
      <c r="A1818" t="n">
        <v>1816</v>
      </c>
      <c r="B1818" t="n">
        <v>0</v>
      </c>
      <c r="C1818" t="inlineStr">
        <is>
          <t>No</t>
        </is>
      </c>
      <c r="D1818">
        <f>IF(AND(B1813=1,B1814=1,B1815=1,B1816=1,B1817=1),"Yes","")</f>
        <v/>
      </c>
      <c r="E1818" t="inlineStr">
        <is>
          <t>No</t>
        </is>
      </c>
      <c r="F1818" t="inlineStr">
        <is>
          <t>No</t>
        </is>
      </c>
      <c r="G1818">
        <f>IF(F1818="Yes",1-B1818,B1818)</f>
        <v/>
      </c>
      <c r="H1818">
        <f>IF(E1818="Yes","",COUNTIFS($E$2:E1818,"No"))</f>
        <v/>
      </c>
      <c r="I1818">
        <f>IF(H1818="","",IF(H1818&lt;=128,"address",IF(H1818&lt;=600,"data1",IF(H1818&lt;=1264,"zero-run1",IF(H1818&lt;=1648,"data2",IF(H1818&lt;=2176,"zero-run2",IF(H1818&lt;=2192,"FCS","trailing")))))))</f>
        <v/>
      </c>
      <c r="J1818">
        <f>IFERROR(IF(AND(H1818&lt;&gt;"",H1818&gt;=129,H1818&lt;=2176),INDEX(Fields!$B$2:$B$206,MATCH(H1818-129,Fields!$D$2:$D$206,1)),""),"")</f>
        <v/>
      </c>
      <c r="K1818">
        <f>IFERROR(IF(AND(H1818&lt;&gt;"",H1818&gt;=129,H1818&lt;=2176),INDEX(Fields!$C$2:$C$206,MATCH(H1818-129,Fields!$D$2:$D$206,1)),""),"")</f>
        <v/>
      </c>
      <c r="L1818">
        <f>IFERROR(IF(AND(H1818&lt;&gt;"",H1818&gt;=129,H1818&lt;=2176),INDEX(Fields!$J$2:$J$206,MATCH(H1818-129,Fields!$D$2:$D$206,1)),""),"")</f>
        <v/>
      </c>
      <c r="M1818">
        <f>IFERROR(IF(AND(H1818&lt;&gt;"",H1818&gt;=129,H1818&lt;=2176),INDEX(Fields!$K$2:$K$206,MATCH(H1818-129,Fields!$D$2:$D$206,1)),""),"")</f>
        <v/>
      </c>
    </row>
    <row r="1819">
      <c r="A1819" t="n">
        <v>1817</v>
      </c>
      <c r="B1819" t="n">
        <v>0</v>
      </c>
      <c r="C1819" t="inlineStr">
        <is>
          <t>No</t>
        </is>
      </c>
      <c r="D1819">
        <f>IF(AND(B1814=1,B1815=1,B1816=1,B1817=1,B1818=1),"Yes","")</f>
        <v/>
      </c>
      <c r="E1819" t="inlineStr">
        <is>
          <t>No</t>
        </is>
      </c>
      <c r="F1819" t="inlineStr">
        <is>
          <t>No</t>
        </is>
      </c>
      <c r="G1819">
        <f>IF(F1819="Yes",1-B1819,B1819)</f>
        <v/>
      </c>
      <c r="H1819">
        <f>IF(E1819="Yes","",COUNTIFS($E$2:E1819,"No"))</f>
        <v/>
      </c>
      <c r="I1819">
        <f>IF(H1819="","",IF(H1819&lt;=128,"address",IF(H1819&lt;=600,"data1",IF(H1819&lt;=1264,"zero-run1",IF(H1819&lt;=1648,"data2",IF(H1819&lt;=2176,"zero-run2",IF(H1819&lt;=2192,"FCS","trailing")))))))</f>
        <v/>
      </c>
      <c r="J1819">
        <f>IFERROR(IF(AND(H1819&lt;&gt;"",H1819&gt;=129,H1819&lt;=2176),INDEX(Fields!$B$2:$B$206,MATCH(H1819-129,Fields!$D$2:$D$206,1)),""),"")</f>
        <v/>
      </c>
      <c r="K1819">
        <f>IFERROR(IF(AND(H1819&lt;&gt;"",H1819&gt;=129,H1819&lt;=2176),INDEX(Fields!$C$2:$C$206,MATCH(H1819-129,Fields!$D$2:$D$206,1)),""),"")</f>
        <v/>
      </c>
      <c r="L1819">
        <f>IFERROR(IF(AND(H1819&lt;&gt;"",H1819&gt;=129,H1819&lt;=2176),INDEX(Fields!$J$2:$J$206,MATCH(H1819-129,Fields!$D$2:$D$206,1)),""),"")</f>
        <v/>
      </c>
      <c r="M1819">
        <f>IFERROR(IF(AND(H1819&lt;&gt;"",H1819&gt;=129,H1819&lt;=2176),INDEX(Fields!$K$2:$K$206,MATCH(H1819-129,Fields!$D$2:$D$206,1)),""),"")</f>
        <v/>
      </c>
    </row>
    <row r="1820">
      <c r="A1820" t="n">
        <v>1818</v>
      </c>
      <c r="B1820" t="n">
        <v>0</v>
      </c>
      <c r="C1820" t="inlineStr">
        <is>
          <t>No</t>
        </is>
      </c>
      <c r="D1820">
        <f>IF(AND(B1815=1,B1816=1,B1817=1,B1818=1,B1819=1),"Yes","")</f>
        <v/>
      </c>
      <c r="E1820" t="inlineStr">
        <is>
          <t>No</t>
        </is>
      </c>
      <c r="F1820" t="inlineStr">
        <is>
          <t>No</t>
        </is>
      </c>
      <c r="G1820">
        <f>IF(F1820="Yes",1-B1820,B1820)</f>
        <v/>
      </c>
      <c r="H1820">
        <f>IF(E1820="Yes","",COUNTIFS($E$2:E1820,"No"))</f>
        <v/>
      </c>
      <c r="I1820">
        <f>IF(H1820="","",IF(H1820&lt;=128,"address",IF(H1820&lt;=600,"data1",IF(H1820&lt;=1264,"zero-run1",IF(H1820&lt;=1648,"data2",IF(H1820&lt;=2176,"zero-run2",IF(H1820&lt;=2192,"FCS","trailing")))))))</f>
        <v/>
      </c>
      <c r="J1820">
        <f>IFERROR(IF(AND(H1820&lt;&gt;"",H1820&gt;=129,H1820&lt;=2176),INDEX(Fields!$B$2:$B$206,MATCH(H1820-129,Fields!$D$2:$D$206,1)),""),"")</f>
        <v/>
      </c>
      <c r="K1820">
        <f>IFERROR(IF(AND(H1820&lt;&gt;"",H1820&gt;=129,H1820&lt;=2176),INDEX(Fields!$C$2:$C$206,MATCH(H1820-129,Fields!$D$2:$D$206,1)),""),"")</f>
        <v/>
      </c>
      <c r="L1820">
        <f>IFERROR(IF(AND(H1820&lt;&gt;"",H1820&gt;=129,H1820&lt;=2176),INDEX(Fields!$J$2:$J$206,MATCH(H1820-129,Fields!$D$2:$D$206,1)),""),"")</f>
        <v/>
      </c>
      <c r="M1820">
        <f>IFERROR(IF(AND(H1820&lt;&gt;"",H1820&gt;=129,H1820&lt;=2176),INDEX(Fields!$K$2:$K$206,MATCH(H1820-129,Fields!$D$2:$D$206,1)),""),"")</f>
        <v/>
      </c>
    </row>
    <row r="1821">
      <c r="A1821" t="n">
        <v>1819</v>
      </c>
      <c r="B1821" t="n">
        <v>0</v>
      </c>
      <c r="C1821" t="inlineStr">
        <is>
          <t>No</t>
        </is>
      </c>
      <c r="D1821">
        <f>IF(AND(B1816=1,B1817=1,B1818=1,B1819=1,B1820=1),"Yes","")</f>
        <v/>
      </c>
      <c r="E1821" t="inlineStr">
        <is>
          <t>No</t>
        </is>
      </c>
      <c r="F1821" t="inlineStr">
        <is>
          <t>No</t>
        </is>
      </c>
      <c r="G1821">
        <f>IF(F1821="Yes",1-B1821,B1821)</f>
        <v/>
      </c>
      <c r="H1821">
        <f>IF(E1821="Yes","",COUNTIFS($E$2:E1821,"No"))</f>
        <v/>
      </c>
      <c r="I1821">
        <f>IF(H1821="","",IF(H1821&lt;=128,"address",IF(H1821&lt;=600,"data1",IF(H1821&lt;=1264,"zero-run1",IF(H1821&lt;=1648,"data2",IF(H1821&lt;=2176,"zero-run2",IF(H1821&lt;=2192,"FCS","trailing")))))))</f>
        <v/>
      </c>
      <c r="J1821">
        <f>IFERROR(IF(AND(H1821&lt;&gt;"",H1821&gt;=129,H1821&lt;=2176),INDEX(Fields!$B$2:$B$206,MATCH(H1821-129,Fields!$D$2:$D$206,1)),""),"")</f>
        <v/>
      </c>
      <c r="K1821">
        <f>IFERROR(IF(AND(H1821&lt;&gt;"",H1821&gt;=129,H1821&lt;=2176),INDEX(Fields!$C$2:$C$206,MATCH(H1821-129,Fields!$D$2:$D$206,1)),""),"")</f>
        <v/>
      </c>
      <c r="L1821">
        <f>IFERROR(IF(AND(H1821&lt;&gt;"",H1821&gt;=129,H1821&lt;=2176),INDEX(Fields!$J$2:$J$206,MATCH(H1821-129,Fields!$D$2:$D$206,1)),""),"")</f>
        <v/>
      </c>
      <c r="M1821">
        <f>IFERROR(IF(AND(H1821&lt;&gt;"",H1821&gt;=129,H1821&lt;=2176),INDEX(Fields!$K$2:$K$206,MATCH(H1821-129,Fields!$D$2:$D$206,1)),""),"")</f>
        <v/>
      </c>
    </row>
    <row r="1822">
      <c r="A1822" t="n">
        <v>1820</v>
      </c>
      <c r="B1822" t="n">
        <v>0</v>
      </c>
      <c r="C1822" t="inlineStr">
        <is>
          <t>No</t>
        </is>
      </c>
      <c r="D1822">
        <f>IF(AND(B1817=1,B1818=1,B1819=1,B1820=1,B1821=1),"Yes","")</f>
        <v/>
      </c>
      <c r="E1822" t="inlineStr">
        <is>
          <t>No</t>
        </is>
      </c>
      <c r="F1822" t="inlineStr">
        <is>
          <t>No</t>
        </is>
      </c>
      <c r="G1822">
        <f>IF(F1822="Yes",1-B1822,B1822)</f>
        <v/>
      </c>
      <c r="H1822">
        <f>IF(E1822="Yes","",COUNTIFS($E$2:E1822,"No"))</f>
        <v/>
      </c>
      <c r="I1822">
        <f>IF(H1822="","",IF(H1822&lt;=128,"address",IF(H1822&lt;=600,"data1",IF(H1822&lt;=1264,"zero-run1",IF(H1822&lt;=1648,"data2",IF(H1822&lt;=2176,"zero-run2",IF(H1822&lt;=2192,"FCS","trailing")))))))</f>
        <v/>
      </c>
      <c r="J1822">
        <f>IFERROR(IF(AND(H1822&lt;&gt;"",H1822&gt;=129,H1822&lt;=2176),INDEX(Fields!$B$2:$B$206,MATCH(H1822-129,Fields!$D$2:$D$206,1)),""),"")</f>
        <v/>
      </c>
      <c r="K1822">
        <f>IFERROR(IF(AND(H1822&lt;&gt;"",H1822&gt;=129,H1822&lt;=2176),INDEX(Fields!$C$2:$C$206,MATCH(H1822-129,Fields!$D$2:$D$206,1)),""),"")</f>
        <v/>
      </c>
      <c r="L1822">
        <f>IFERROR(IF(AND(H1822&lt;&gt;"",H1822&gt;=129,H1822&lt;=2176),INDEX(Fields!$J$2:$J$206,MATCH(H1822-129,Fields!$D$2:$D$206,1)),""),"")</f>
        <v/>
      </c>
      <c r="M1822">
        <f>IFERROR(IF(AND(H1822&lt;&gt;"",H1822&gt;=129,H1822&lt;=2176),INDEX(Fields!$K$2:$K$206,MATCH(H1822-129,Fields!$D$2:$D$206,1)),""),"")</f>
        <v/>
      </c>
    </row>
    <row r="1823">
      <c r="A1823" t="n">
        <v>1821</v>
      </c>
      <c r="B1823" t="n">
        <v>0</v>
      </c>
      <c r="C1823" t="inlineStr">
        <is>
          <t>No</t>
        </is>
      </c>
      <c r="D1823">
        <f>IF(AND(B1818=1,B1819=1,B1820=1,B1821=1,B1822=1),"Yes","")</f>
        <v/>
      </c>
      <c r="E1823" t="inlineStr">
        <is>
          <t>No</t>
        </is>
      </c>
      <c r="F1823" t="inlineStr">
        <is>
          <t>No</t>
        </is>
      </c>
      <c r="G1823">
        <f>IF(F1823="Yes",1-B1823,B1823)</f>
        <v/>
      </c>
      <c r="H1823">
        <f>IF(E1823="Yes","",COUNTIFS($E$2:E1823,"No"))</f>
        <v/>
      </c>
      <c r="I1823">
        <f>IF(H1823="","",IF(H1823&lt;=128,"address",IF(H1823&lt;=600,"data1",IF(H1823&lt;=1264,"zero-run1",IF(H1823&lt;=1648,"data2",IF(H1823&lt;=2176,"zero-run2",IF(H1823&lt;=2192,"FCS","trailing")))))))</f>
        <v/>
      </c>
      <c r="J1823">
        <f>IFERROR(IF(AND(H1823&lt;&gt;"",H1823&gt;=129,H1823&lt;=2176),INDEX(Fields!$B$2:$B$206,MATCH(H1823-129,Fields!$D$2:$D$206,1)),""),"")</f>
        <v/>
      </c>
      <c r="K1823">
        <f>IFERROR(IF(AND(H1823&lt;&gt;"",H1823&gt;=129,H1823&lt;=2176),INDEX(Fields!$C$2:$C$206,MATCH(H1823-129,Fields!$D$2:$D$206,1)),""),"")</f>
        <v/>
      </c>
      <c r="L1823">
        <f>IFERROR(IF(AND(H1823&lt;&gt;"",H1823&gt;=129,H1823&lt;=2176),INDEX(Fields!$J$2:$J$206,MATCH(H1823-129,Fields!$D$2:$D$206,1)),""),"")</f>
        <v/>
      </c>
      <c r="M1823">
        <f>IFERROR(IF(AND(H1823&lt;&gt;"",H1823&gt;=129,H1823&lt;=2176),INDEX(Fields!$K$2:$K$206,MATCH(H1823-129,Fields!$D$2:$D$206,1)),""),"")</f>
        <v/>
      </c>
    </row>
    <row r="1824">
      <c r="A1824" t="n">
        <v>1822</v>
      </c>
      <c r="B1824" t="n">
        <v>0</v>
      </c>
      <c r="C1824" t="inlineStr">
        <is>
          <t>No</t>
        </is>
      </c>
      <c r="D1824">
        <f>IF(AND(B1819=1,B1820=1,B1821=1,B1822=1,B1823=1),"Yes","")</f>
        <v/>
      </c>
      <c r="E1824" t="inlineStr">
        <is>
          <t>No</t>
        </is>
      </c>
      <c r="F1824" t="inlineStr">
        <is>
          <t>No</t>
        </is>
      </c>
      <c r="G1824">
        <f>IF(F1824="Yes",1-B1824,B1824)</f>
        <v/>
      </c>
      <c r="H1824">
        <f>IF(E1824="Yes","",COUNTIFS($E$2:E1824,"No"))</f>
        <v/>
      </c>
      <c r="I1824">
        <f>IF(H1824="","",IF(H1824&lt;=128,"address",IF(H1824&lt;=600,"data1",IF(H1824&lt;=1264,"zero-run1",IF(H1824&lt;=1648,"data2",IF(H1824&lt;=2176,"zero-run2",IF(H1824&lt;=2192,"FCS","trailing")))))))</f>
        <v/>
      </c>
      <c r="J1824">
        <f>IFERROR(IF(AND(H1824&lt;&gt;"",H1824&gt;=129,H1824&lt;=2176),INDEX(Fields!$B$2:$B$206,MATCH(H1824-129,Fields!$D$2:$D$206,1)),""),"")</f>
        <v/>
      </c>
      <c r="K1824">
        <f>IFERROR(IF(AND(H1824&lt;&gt;"",H1824&gt;=129,H1824&lt;=2176),INDEX(Fields!$C$2:$C$206,MATCH(H1824-129,Fields!$D$2:$D$206,1)),""),"")</f>
        <v/>
      </c>
      <c r="L1824">
        <f>IFERROR(IF(AND(H1824&lt;&gt;"",H1824&gt;=129,H1824&lt;=2176),INDEX(Fields!$J$2:$J$206,MATCH(H1824-129,Fields!$D$2:$D$206,1)),""),"")</f>
        <v/>
      </c>
      <c r="M1824">
        <f>IFERROR(IF(AND(H1824&lt;&gt;"",H1824&gt;=129,H1824&lt;=2176),INDEX(Fields!$K$2:$K$206,MATCH(H1824-129,Fields!$D$2:$D$206,1)),""),"")</f>
        <v/>
      </c>
    </row>
    <row r="1825">
      <c r="A1825" t="n">
        <v>1823</v>
      </c>
      <c r="B1825" t="n">
        <v>0</v>
      </c>
      <c r="C1825" t="inlineStr">
        <is>
          <t>No</t>
        </is>
      </c>
      <c r="D1825">
        <f>IF(AND(B1820=1,B1821=1,B1822=1,B1823=1,B1824=1),"Yes","")</f>
        <v/>
      </c>
      <c r="E1825" t="inlineStr">
        <is>
          <t>No</t>
        </is>
      </c>
      <c r="F1825" t="inlineStr">
        <is>
          <t>No</t>
        </is>
      </c>
      <c r="G1825">
        <f>IF(F1825="Yes",1-B1825,B1825)</f>
        <v/>
      </c>
      <c r="H1825">
        <f>IF(E1825="Yes","",COUNTIFS($E$2:E1825,"No"))</f>
        <v/>
      </c>
      <c r="I1825">
        <f>IF(H1825="","",IF(H1825&lt;=128,"address",IF(H1825&lt;=600,"data1",IF(H1825&lt;=1264,"zero-run1",IF(H1825&lt;=1648,"data2",IF(H1825&lt;=2176,"zero-run2",IF(H1825&lt;=2192,"FCS","trailing")))))))</f>
        <v/>
      </c>
      <c r="J1825">
        <f>IFERROR(IF(AND(H1825&lt;&gt;"",H1825&gt;=129,H1825&lt;=2176),INDEX(Fields!$B$2:$B$206,MATCH(H1825-129,Fields!$D$2:$D$206,1)),""),"")</f>
        <v/>
      </c>
      <c r="K1825">
        <f>IFERROR(IF(AND(H1825&lt;&gt;"",H1825&gt;=129,H1825&lt;=2176),INDEX(Fields!$C$2:$C$206,MATCH(H1825-129,Fields!$D$2:$D$206,1)),""),"")</f>
        <v/>
      </c>
      <c r="L1825">
        <f>IFERROR(IF(AND(H1825&lt;&gt;"",H1825&gt;=129,H1825&lt;=2176),INDEX(Fields!$J$2:$J$206,MATCH(H1825-129,Fields!$D$2:$D$206,1)),""),"")</f>
        <v/>
      </c>
      <c r="M1825">
        <f>IFERROR(IF(AND(H1825&lt;&gt;"",H1825&gt;=129,H1825&lt;=2176),INDEX(Fields!$K$2:$K$206,MATCH(H1825-129,Fields!$D$2:$D$206,1)),""),"")</f>
        <v/>
      </c>
    </row>
    <row r="1826">
      <c r="A1826" t="n">
        <v>1824</v>
      </c>
      <c r="B1826" t="n">
        <v>0</v>
      </c>
      <c r="C1826" t="inlineStr">
        <is>
          <t>No</t>
        </is>
      </c>
      <c r="D1826">
        <f>IF(AND(B1821=1,B1822=1,B1823=1,B1824=1,B1825=1),"Yes","")</f>
        <v/>
      </c>
      <c r="E1826" t="inlineStr">
        <is>
          <t>No</t>
        </is>
      </c>
      <c r="F1826" t="inlineStr">
        <is>
          <t>No</t>
        </is>
      </c>
      <c r="G1826">
        <f>IF(F1826="Yes",1-B1826,B1826)</f>
        <v/>
      </c>
      <c r="H1826">
        <f>IF(E1826="Yes","",COUNTIFS($E$2:E1826,"No"))</f>
        <v/>
      </c>
      <c r="I1826">
        <f>IF(H1826="","",IF(H1826&lt;=128,"address",IF(H1826&lt;=600,"data1",IF(H1826&lt;=1264,"zero-run1",IF(H1826&lt;=1648,"data2",IF(H1826&lt;=2176,"zero-run2",IF(H1826&lt;=2192,"FCS","trailing")))))))</f>
        <v/>
      </c>
      <c r="J1826">
        <f>IFERROR(IF(AND(H1826&lt;&gt;"",H1826&gt;=129,H1826&lt;=2176),INDEX(Fields!$B$2:$B$206,MATCH(H1826-129,Fields!$D$2:$D$206,1)),""),"")</f>
        <v/>
      </c>
      <c r="K1826">
        <f>IFERROR(IF(AND(H1826&lt;&gt;"",H1826&gt;=129,H1826&lt;=2176),INDEX(Fields!$C$2:$C$206,MATCH(H1826-129,Fields!$D$2:$D$206,1)),""),"")</f>
        <v/>
      </c>
      <c r="L1826">
        <f>IFERROR(IF(AND(H1826&lt;&gt;"",H1826&gt;=129,H1826&lt;=2176),INDEX(Fields!$J$2:$J$206,MATCH(H1826-129,Fields!$D$2:$D$206,1)),""),"")</f>
        <v/>
      </c>
      <c r="M1826">
        <f>IFERROR(IF(AND(H1826&lt;&gt;"",H1826&gt;=129,H1826&lt;=2176),INDEX(Fields!$K$2:$K$206,MATCH(H1826-129,Fields!$D$2:$D$206,1)),""),"")</f>
        <v/>
      </c>
    </row>
    <row r="1827">
      <c r="A1827" t="n">
        <v>1825</v>
      </c>
      <c r="B1827" t="n">
        <v>0</v>
      </c>
      <c r="C1827" t="inlineStr">
        <is>
          <t>No</t>
        </is>
      </c>
      <c r="D1827">
        <f>IF(AND(B1822=1,B1823=1,B1824=1,B1825=1,B1826=1),"Yes","")</f>
        <v/>
      </c>
      <c r="E1827" t="inlineStr">
        <is>
          <t>No</t>
        </is>
      </c>
      <c r="F1827" t="inlineStr">
        <is>
          <t>No</t>
        </is>
      </c>
      <c r="G1827">
        <f>IF(F1827="Yes",1-B1827,B1827)</f>
        <v/>
      </c>
      <c r="H1827">
        <f>IF(E1827="Yes","",COUNTIFS($E$2:E1827,"No"))</f>
        <v/>
      </c>
      <c r="I1827">
        <f>IF(H1827="","",IF(H1827&lt;=128,"address",IF(H1827&lt;=600,"data1",IF(H1827&lt;=1264,"zero-run1",IF(H1827&lt;=1648,"data2",IF(H1827&lt;=2176,"zero-run2",IF(H1827&lt;=2192,"FCS","trailing")))))))</f>
        <v/>
      </c>
      <c r="J1827">
        <f>IFERROR(IF(AND(H1827&lt;&gt;"",H1827&gt;=129,H1827&lt;=2176),INDEX(Fields!$B$2:$B$206,MATCH(H1827-129,Fields!$D$2:$D$206,1)),""),"")</f>
        <v/>
      </c>
      <c r="K1827">
        <f>IFERROR(IF(AND(H1827&lt;&gt;"",H1827&gt;=129,H1827&lt;=2176),INDEX(Fields!$C$2:$C$206,MATCH(H1827-129,Fields!$D$2:$D$206,1)),""),"")</f>
        <v/>
      </c>
      <c r="L1827">
        <f>IFERROR(IF(AND(H1827&lt;&gt;"",H1827&gt;=129,H1827&lt;=2176),INDEX(Fields!$J$2:$J$206,MATCH(H1827-129,Fields!$D$2:$D$206,1)),""),"")</f>
        <v/>
      </c>
      <c r="M1827">
        <f>IFERROR(IF(AND(H1827&lt;&gt;"",H1827&gt;=129,H1827&lt;=2176),INDEX(Fields!$K$2:$K$206,MATCH(H1827-129,Fields!$D$2:$D$206,1)),""),"")</f>
        <v/>
      </c>
    </row>
    <row r="1828">
      <c r="A1828" t="n">
        <v>1826</v>
      </c>
      <c r="B1828" t="n">
        <v>0</v>
      </c>
      <c r="C1828" t="inlineStr">
        <is>
          <t>No</t>
        </is>
      </c>
      <c r="D1828">
        <f>IF(AND(B1823=1,B1824=1,B1825=1,B1826=1,B1827=1),"Yes","")</f>
        <v/>
      </c>
      <c r="E1828" t="inlineStr">
        <is>
          <t>No</t>
        </is>
      </c>
      <c r="F1828" t="inlineStr">
        <is>
          <t>No</t>
        </is>
      </c>
      <c r="G1828">
        <f>IF(F1828="Yes",1-B1828,B1828)</f>
        <v/>
      </c>
      <c r="H1828">
        <f>IF(E1828="Yes","",COUNTIFS($E$2:E1828,"No"))</f>
        <v/>
      </c>
      <c r="I1828">
        <f>IF(H1828="","",IF(H1828&lt;=128,"address",IF(H1828&lt;=600,"data1",IF(H1828&lt;=1264,"zero-run1",IF(H1828&lt;=1648,"data2",IF(H1828&lt;=2176,"zero-run2",IF(H1828&lt;=2192,"FCS","trailing")))))))</f>
        <v/>
      </c>
      <c r="J1828">
        <f>IFERROR(IF(AND(H1828&lt;&gt;"",H1828&gt;=129,H1828&lt;=2176),INDEX(Fields!$B$2:$B$206,MATCH(H1828-129,Fields!$D$2:$D$206,1)),""),"")</f>
        <v/>
      </c>
      <c r="K1828">
        <f>IFERROR(IF(AND(H1828&lt;&gt;"",H1828&gt;=129,H1828&lt;=2176),INDEX(Fields!$C$2:$C$206,MATCH(H1828-129,Fields!$D$2:$D$206,1)),""),"")</f>
        <v/>
      </c>
      <c r="L1828">
        <f>IFERROR(IF(AND(H1828&lt;&gt;"",H1828&gt;=129,H1828&lt;=2176),INDEX(Fields!$J$2:$J$206,MATCH(H1828-129,Fields!$D$2:$D$206,1)),""),"")</f>
        <v/>
      </c>
      <c r="M1828">
        <f>IFERROR(IF(AND(H1828&lt;&gt;"",H1828&gt;=129,H1828&lt;=2176),INDEX(Fields!$K$2:$K$206,MATCH(H1828-129,Fields!$D$2:$D$206,1)),""),"")</f>
        <v/>
      </c>
    </row>
    <row r="1829">
      <c r="A1829" t="n">
        <v>1827</v>
      </c>
      <c r="B1829" t="n">
        <v>0</v>
      </c>
      <c r="C1829" t="inlineStr">
        <is>
          <t>No</t>
        </is>
      </c>
      <c r="D1829">
        <f>IF(AND(B1824=1,B1825=1,B1826=1,B1827=1,B1828=1),"Yes","")</f>
        <v/>
      </c>
      <c r="E1829" t="inlineStr">
        <is>
          <t>No</t>
        </is>
      </c>
      <c r="F1829" t="inlineStr">
        <is>
          <t>No</t>
        </is>
      </c>
      <c r="G1829">
        <f>IF(F1829="Yes",1-B1829,B1829)</f>
        <v/>
      </c>
      <c r="H1829">
        <f>IF(E1829="Yes","",COUNTIFS($E$2:E1829,"No"))</f>
        <v/>
      </c>
      <c r="I1829">
        <f>IF(H1829="","",IF(H1829&lt;=128,"address",IF(H1829&lt;=600,"data1",IF(H1829&lt;=1264,"zero-run1",IF(H1829&lt;=1648,"data2",IF(H1829&lt;=2176,"zero-run2",IF(H1829&lt;=2192,"FCS","trailing")))))))</f>
        <v/>
      </c>
      <c r="J1829">
        <f>IFERROR(IF(AND(H1829&lt;&gt;"",H1829&gt;=129,H1829&lt;=2176),INDEX(Fields!$B$2:$B$206,MATCH(H1829-129,Fields!$D$2:$D$206,1)),""),"")</f>
        <v/>
      </c>
      <c r="K1829">
        <f>IFERROR(IF(AND(H1829&lt;&gt;"",H1829&gt;=129,H1829&lt;=2176),INDEX(Fields!$C$2:$C$206,MATCH(H1829-129,Fields!$D$2:$D$206,1)),""),"")</f>
        <v/>
      </c>
      <c r="L1829">
        <f>IFERROR(IF(AND(H1829&lt;&gt;"",H1829&gt;=129,H1829&lt;=2176),INDEX(Fields!$J$2:$J$206,MATCH(H1829-129,Fields!$D$2:$D$206,1)),""),"")</f>
        <v/>
      </c>
      <c r="M1829">
        <f>IFERROR(IF(AND(H1829&lt;&gt;"",H1829&gt;=129,H1829&lt;=2176),INDEX(Fields!$K$2:$K$206,MATCH(H1829-129,Fields!$D$2:$D$206,1)),""),"")</f>
        <v/>
      </c>
    </row>
    <row r="1830">
      <c r="A1830" t="n">
        <v>1828</v>
      </c>
      <c r="B1830" t="n">
        <v>0</v>
      </c>
      <c r="C1830" t="inlineStr">
        <is>
          <t>No</t>
        </is>
      </c>
      <c r="D1830">
        <f>IF(AND(B1825=1,B1826=1,B1827=1,B1828=1,B1829=1),"Yes","")</f>
        <v/>
      </c>
      <c r="E1830" t="inlineStr">
        <is>
          <t>No</t>
        </is>
      </c>
      <c r="F1830" t="inlineStr">
        <is>
          <t>No</t>
        </is>
      </c>
      <c r="G1830">
        <f>IF(F1830="Yes",1-B1830,B1830)</f>
        <v/>
      </c>
      <c r="H1830">
        <f>IF(E1830="Yes","",COUNTIFS($E$2:E1830,"No"))</f>
        <v/>
      </c>
      <c r="I1830">
        <f>IF(H1830="","",IF(H1830&lt;=128,"address",IF(H1830&lt;=600,"data1",IF(H1830&lt;=1264,"zero-run1",IF(H1830&lt;=1648,"data2",IF(H1830&lt;=2176,"zero-run2",IF(H1830&lt;=2192,"FCS","trailing")))))))</f>
        <v/>
      </c>
      <c r="J1830">
        <f>IFERROR(IF(AND(H1830&lt;&gt;"",H1830&gt;=129,H1830&lt;=2176),INDEX(Fields!$B$2:$B$206,MATCH(H1830-129,Fields!$D$2:$D$206,1)),""),"")</f>
        <v/>
      </c>
      <c r="K1830">
        <f>IFERROR(IF(AND(H1830&lt;&gt;"",H1830&gt;=129,H1830&lt;=2176),INDEX(Fields!$C$2:$C$206,MATCH(H1830-129,Fields!$D$2:$D$206,1)),""),"")</f>
        <v/>
      </c>
      <c r="L1830">
        <f>IFERROR(IF(AND(H1830&lt;&gt;"",H1830&gt;=129,H1830&lt;=2176),INDEX(Fields!$J$2:$J$206,MATCH(H1830-129,Fields!$D$2:$D$206,1)),""),"")</f>
        <v/>
      </c>
      <c r="M1830">
        <f>IFERROR(IF(AND(H1830&lt;&gt;"",H1830&gt;=129,H1830&lt;=2176),INDEX(Fields!$K$2:$K$206,MATCH(H1830-129,Fields!$D$2:$D$206,1)),""),"")</f>
        <v/>
      </c>
    </row>
    <row r="1831">
      <c r="A1831" t="n">
        <v>1829</v>
      </c>
      <c r="B1831" t="n">
        <v>0</v>
      </c>
      <c r="C1831" t="inlineStr">
        <is>
          <t>No</t>
        </is>
      </c>
      <c r="D1831">
        <f>IF(AND(B1826=1,B1827=1,B1828=1,B1829=1,B1830=1),"Yes","")</f>
        <v/>
      </c>
      <c r="E1831" t="inlineStr">
        <is>
          <t>No</t>
        </is>
      </c>
      <c r="F1831" t="inlineStr">
        <is>
          <t>No</t>
        </is>
      </c>
      <c r="G1831">
        <f>IF(F1831="Yes",1-B1831,B1831)</f>
        <v/>
      </c>
      <c r="H1831">
        <f>IF(E1831="Yes","",COUNTIFS($E$2:E1831,"No"))</f>
        <v/>
      </c>
      <c r="I1831">
        <f>IF(H1831="","",IF(H1831&lt;=128,"address",IF(H1831&lt;=600,"data1",IF(H1831&lt;=1264,"zero-run1",IF(H1831&lt;=1648,"data2",IF(H1831&lt;=2176,"zero-run2",IF(H1831&lt;=2192,"FCS","trailing")))))))</f>
        <v/>
      </c>
      <c r="J1831">
        <f>IFERROR(IF(AND(H1831&lt;&gt;"",H1831&gt;=129,H1831&lt;=2176),INDEX(Fields!$B$2:$B$206,MATCH(H1831-129,Fields!$D$2:$D$206,1)),""),"")</f>
        <v/>
      </c>
      <c r="K1831">
        <f>IFERROR(IF(AND(H1831&lt;&gt;"",H1831&gt;=129,H1831&lt;=2176),INDEX(Fields!$C$2:$C$206,MATCH(H1831-129,Fields!$D$2:$D$206,1)),""),"")</f>
        <v/>
      </c>
      <c r="L1831">
        <f>IFERROR(IF(AND(H1831&lt;&gt;"",H1831&gt;=129,H1831&lt;=2176),INDEX(Fields!$J$2:$J$206,MATCH(H1831-129,Fields!$D$2:$D$206,1)),""),"")</f>
        <v/>
      </c>
      <c r="M1831">
        <f>IFERROR(IF(AND(H1831&lt;&gt;"",H1831&gt;=129,H1831&lt;=2176),INDEX(Fields!$K$2:$K$206,MATCH(H1831-129,Fields!$D$2:$D$206,1)),""),"")</f>
        <v/>
      </c>
    </row>
    <row r="1832">
      <c r="A1832" t="n">
        <v>1830</v>
      </c>
      <c r="B1832" t="n">
        <v>0</v>
      </c>
      <c r="C1832" t="inlineStr">
        <is>
          <t>No</t>
        </is>
      </c>
      <c r="D1832">
        <f>IF(AND(B1827=1,B1828=1,B1829=1,B1830=1,B1831=1),"Yes","")</f>
        <v/>
      </c>
      <c r="E1832" t="inlineStr">
        <is>
          <t>No</t>
        </is>
      </c>
      <c r="F1832" t="inlineStr">
        <is>
          <t>No</t>
        </is>
      </c>
      <c r="G1832">
        <f>IF(F1832="Yes",1-B1832,B1832)</f>
        <v/>
      </c>
      <c r="H1832">
        <f>IF(E1832="Yes","",COUNTIFS($E$2:E1832,"No"))</f>
        <v/>
      </c>
      <c r="I1832">
        <f>IF(H1832="","",IF(H1832&lt;=128,"address",IF(H1832&lt;=600,"data1",IF(H1832&lt;=1264,"zero-run1",IF(H1832&lt;=1648,"data2",IF(H1832&lt;=2176,"zero-run2",IF(H1832&lt;=2192,"FCS","trailing")))))))</f>
        <v/>
      </c>
      <c r="J1832">
        <f>IFERROR(IF(AND(H1832&lt;&gt;"",H1832&gt;=129,H1832&lt;=2176),INDEX(Fields!$B$2:$B$206,MATCH(H1832-129,Fields!$D$2:$D$206,1)),""),"")</f>
        <v/>
      </c>
      <c r="K1832">
        <f>IFERROR(IF(AND(H1832&lt;&gt;"",H1832&gt;=129,H1832&lt;=2176),INDEX(Fields!$C$2:$C$206,MATCH(H1832-129,Fields!$D$2:$D$206,1)),""),"")</f>
        <v/>
      </c>
      <c r="L1832">
        <f>IFERROR(IF(AND(H1832&lt;&gt;"",H1832&gt;=129,H1832&lt;=2176),INDEX(Fields!$J$2:$J$206,MATCH(H1832-129,Fields!$D$2:$D$206,1)),""),"")</f>
        <v/>
      </c>
      <c r="M1832">
        <f>IFERROR(IF(AND(H1832&lt;&gt;"",H1832&gt;=129,H1832&lt;=2176),INDEX(Fields!$K$2:$K$206,MATCH(H1832-129,Fields!$D$2:$D$206,1)),""),"")</f>
        <v/>
      </c>
    </row>
    <row r="1833">
      <c r="A1833" t="n">
        <v>1831</v>
      </c>
      <c r="B1833" t="n">
        <v>0</v>
      </c>
      <c r="C1833" t="inlineStr">
        <is>
          <t>No</t>
        </is>
      </c>
      <c r="D1833">
        <f>IF(AND(B1828=1,B1829=1,B1830=1,B1831=1,B1832=1),"Yes","")</f>
        <v/>
      </c>
      <c r="E1833" t="inlineStr">
        <is>
          <t>No</t>
        </is>
      </c>
      <c r="F1833" t="inlineStr">
        <is>
          <t>No</t>
        </is>
      </c>
      <c r="G1833">
        <f>IF(F1833="Yes",1-B1833,B1833)</f>
        <v/>
      </c>
      <c r="H1833">
        <f>IF(E1833="Yes","",COUNTIFS($E$2:E1833,"No"))</f>
        <v/>
      </c>
      <c r="I1833">
        <f>IF(H1833="","",IF(H1833&lt;=128,"address",IF(H1833&lt;=600,"data1",IF(H1833&lt;=1264,"zero-run1",IF(H1833&lt;=1648,"data2",IF(H1833&lt;=2176,"zero-run2",IF(H1833&lt;=2192,"FCS","trailing")))))))</f>
        <v/>
      </c>
      <c r="J1833">
        <f>IFERROR(IF(AND(H1833&lt;&gt;"",H1833&gt;=129,H1833&lt;=2176),INDEX(Fields!$B$2:$B$206,MATCH(H1833-129,Fields!$D$2:$D$206,1)),""),"")</f>
        <v/>
      </c>
      <c r="K1833">
        <f>IFERROR(IF(AND(H1833&lt;&gt;"",H1833&gt;=129,H1833&lt;=2176),INDEX(Fields!$C$2:$C$206,MATCH(H1833-129,Fields!$D$2:$D$206,1)),""),"")</f>
        <v/>
      </c>
      <c r="L1833">
        <f>IFERROR(IF(AND(H1833&lt;&gt;"",H1833&gt;=129,H1833&lt;=2176),INDEX(Fields!$J$2:$J$206,MATCH(H1833-129,Fields!$D$2:$D$206,1)),""),"")</f>
        <v/>
      </c>
      <c r="M1833">
        <f>IFERROR(IF(AND(H1833&lt;&gt;"",H1833&gt;=129,H1833&lt;=2176),INDEX(Fields!$K$2:$K$206,MATCH(H1833-129,Fields!$D$2:$D$206,1)),""),"")</f>
        <v/>
      </c>
    </row>
    <row r="1834">
      <c r="A1834" t="n">
        <v>1832</v>
      </c>
      <c r="B1834" t="n">
        <v>0</v>
      </c>
      <c r="C1834" t="inlineStr">
        <is>
          <t>No</t>
        </is>
      </c>
      <c r="D1834">
        <f>IF(AND(B1829=1,B1830=1,B1831=1,B1832=1,B1833=1),"Yes","")</f>
        <v/>
      </c>
      <c r="E1834" t="inlineStr">
        <is>
          <t>No</t>
        </is>
      </c>
      <c r="F1834" t="inlineStr">
        <is>
          <t>No</t>
        </is>
      </c>
      <c r="G1834">
        <f>IF(F1834="Yes",1-B1834,B1834)</f>
        <v/>
      </c>
      <c r="H1834">
        <f>IF(E1834="Yes","",COUNTIFS($E$2:E1834,"No"))</f>
        <v/>
      </c>
      <c r="I1834">
        <f>IF(H1834="","",IF(H1834&lt;=128,"address",IF(H1834&lt;=600,"data1",IF(H1834&lt;=1264,"zero-run1",IF(H1834&lt;=1648,"data2",IF(H1834&lt;=2176,"zero-run2",IF(H1834&lt;=2192,"FCS","trailing")))))))</f>
        <v/>
      </c>
      <c r="J1834">
        <f>IFERROR(IF(AND(H1834&lt;&gt;"",H1834&gt;=129,H1834&lt;=2176),INDEX(Fields!$B$2:$B$206,MATCH(H1834-129,Fields!$D$2:$D$206,1)),""),"")</f>
        <v/>
      </c>
      <c r="K1834">
        <f>IFERROR(IF(AND(H1834&lt;&gt;"",H1834&gt;=129,H1834&lt;=2176),INDEX(Fields!$C$2:$C$206,MATCH(H1834-129,Fields!$D$2:$D$206,1)),""),"")</f>
        <v/>
      </c>
      <c r="L1834">
        <f>IFERROR(IF(AND(H1834&lt;&gt;"",H1834&gt;=129,H1834&lt;=2176),INDEX(Fields!$J$2:$J$206,MATCH(H1834-129,Fields!$D$2:$D$206,1)),""),"")</f>
        <v/>
      </c>
      <c r="M1834">
        <f>IFERROR(IF(AND(H1834&lt;&gt;"",H1834&gt;=129,H1834&lt;=2176),INDEX(Fields!$K$2:$K$206,MATCH(H1834-129,Fields!$D$2:$D$206,1)),""),"")</f>
        <v/>
      </c>
    </row>
    <row r="1835">
      <c r="A1835" t="n">
        <v>1833</v>
      </c>
      <c r="B1835" t="n">
        <v>0</v>
      </c>
      <c r="C1835" t="inlineStr">
        <is>
          <t>No</t>
        </is>
      </c>
      <c r="D1835">
        <f>IF(AND(B1830=1,B1831=1,B1832=1,B1833=1,B1834=1),"Yes","")</f>
        <v/>
      </c>
      <c r="E1835" t="inlineStr">
        <is>
          <t>No</t>
        </is>
      </c>
      <c r="F1835" t="inlineStr">
        <is>
          <t>No</t>
        </is>
      </c>
      <c r="G1835">
        <f>IF(F1835="Yes",1-B1835,B1835)</f>
        <v/>
      </c>
      <c r="H1835">
        <f>IF(E1835="Yes","",COUNTIFS($E$2:E1835,"No"))</f>
        <v/>
      </c>
      <c r="I1835">
        <f>IF(H1835="","",IF(H1835&lt;=128,"address",IF(H1835&lt;=600,"data1",IF(H1835&lt;=1264,"zero-run1",IF(H1835&lt;=1648,"data2",IF(H1835&lt;=2176,"zero-run2",IF(H1835&lt;=2192,"FCS","trailing")))))))</f>
        <v/>
      </c>
      <c r="J1835">
        <f>IFERROR(IF(AND(H1835&lt;&gt;"",H1835&gt;=129,H1835&lt;=2176),INDEX(Fields!$B$2:$B$206,MATCH(H1835-129,Fields!$D$2:$D$206,1)),""),"")</f>
        <v/>
      </c>
      <c r="K1835">
        <f>IFERROR(IF(AND(H1835&lt;&gt;"",H1835&gt;=129,H1835&lt;=2176),INDEX(Fields!$C$2:$C$206,MATCH(H1835-129,Fields!$D$2:$D$206,1)),""),"")</f>
        <v/>
      </c>
      <c r="L1835">
        <f>IFERROR(IF(AND(H1835&lt;&gt;"",H1835&gt;=129,H1835&lt;=2176),INDEX(Fields!$J$2:$J$206,MATCH(H1835-129,Fields!$D$2:$D$206,1)),""),"")</f>
        <v/>
      </c>
      <c r="M1835">
        <f>IFERROR(IF(AND(H1835&lt;&gt;"",H1835&gt;=129,H1835&lt;=2176),INDEX(Fields!$K$2:$K$206,MATCH(H1835-129,Fields!$D$2:$D$206,1)),""),"")</f>
        <v/>
      </c>
    </row>
    <row r="1836">
      <c r="A1836" t="n">
        <v>1834</v>
      </c>
      <c r="B1836" t="n">
        <v>0</v>
      </c>
      <c r="C1836" t="inlineStr">
        <is>
          <t>No</t>
        </is>
      </c>
      <c r="D1836">
        <f>IF(AND(B1831=1,B1832=1,B1833=1,B1834=1,B1835=1),"Yes","")</f>
        <v/>
      </c>
      <c r="E1836" t="inlineStr">
        <is>
          <t>No</t>
        </is>
      </c>
      <c r="F1836" t="inlineStr">
        <is>
          <t>No</t>
        </is>
      </c>
      <c r="G1836">
        <f>IF(F1836="Yes",1-B1836,B1836)</f>
        <v/>
      </c>
      <c r="H1836">
        <f>IF(E1836="Yes","",COUNTIFS($E$2:E1836,"No"))</f>
        <v/>
      </c>
      <c r="I1836">
        <f>IF(H1836="","",IF(H1836&lt;=128,"address",IF(H1836&lt;=600,"data1",IF(H1836&lt;=1264,"zero-run1",IF(H1836&lt;=1648,"data2",IF(H1836&lt;=2176,"zero-run2",IF(H1836&lt;=2192,"FCS","trailing")))))))</f>
        <v/>
      </c>
      <c r="J1836">
        <f>IFERROR(IF(AND(H1836&lt;&gt;"",H1836&gt;=129,H1836&lt;=2176),INDEX(Fields!$B$2:$B$206,MATCH(H1836-129,Fields!$D$2:$D$206,1)),""),"")</f>
        <v/>
      </c>
      <c r="K1836">
        <f>IFERROR(IF(AND(H1836&lt;&gt;"",H1836&gt;=129,H1836&lt;=2176),INDEX(Fields!$C$2:$C$206,MATCH(H1836-129,Fields!$D$2:$D$206,1)),""),"")</f>
        <v/>
      </c>
      <c r="L1836">
        <f>IFERROR(IF(AND(H1836&lt;&gt;"",H1836&gt;=129,H1836&lt;=2176),INDEX(Fields!$J$2:$J$206,MATCH(H1836-129,Fields!$D$2:$D$206,1)),""),"")</f>
        <v/>
      </c>
      <c r="M1836">
        <f>IFERROR(IF(AND(H1836&lt;&gt;"",H1836&gt;=129,H1836&lt;=2176),INDEX(Fields!$K$2:$K$206,MATCH(H1836-129,Fields!$D$2:$D$206,1)),""),"")</f>
        <v/>
      </c>
    </row>
    <row r="1837">
      <c r="A1837" t="n">
        <v>1835</v>
      </c>
      <c r="B1837" t="n">
        <v>0</v>
      </c>
      <c r="C1837" t="inlineStr">
        <is>
          <t>No</t>
        </is>
      </c>
      <c r="D1837">
        <f>IF(AND(B1832=1,B1833=1,B1834=1,B1835=1,B1836=1),"Yes","")</f>
        <v/>
      </c>
      <c r="E1837" t="inlineStr">
        <is>
          <t>No</t>
        </is>
      </c>
      <c r="F1837" t="inlineStr">
        <is>
          <t>No</t>
        </is>
      </c>
      <c r="G1837">
        <f>IF(F1837="Yes",1-B1837,B1837)</f>
        <v/>
      </c>
      <c r="H1837">
        <f>IF(E1837="Yes","",COUNTIFS($E$2:E1837,"No"))</f>
        <v/>
      </c>
      <c r="I1837">
        <f>IF(H1837="","",IF(H1837&lt;=128,"address",IF(H1837&lt;=600,"data1",IF(H1837&lt;=1264,"zero-run1",IF(H1837&lt;=1648,"data2",IF(H1837&lt;=2176,"zero-run2",IF(H1837&lt;=2192,"FCS","trailing")))))))</f>
        <v/>
      </c>
      <c r="J1837">
        <f>IFERROR(IF(AND(H1837&lt;&gt;"",H1837&gt;=129,H1837&lt;=2176),INDEX(Fields!$B$2:$B$206,MATCH(H1837-129,Fields!$D$2:$D$206,1)),""),"")</f>
        <v/>
      </c>
      <c r="K1837">
        <f>IFERROR(IF(AND(H1837&lt;&gt;"",H1837&gt;=129,H1837&lt;=2176),INDEX(Fields!$C$2:$C$206,MATCH(H1837-129,Fields!$D$2:$D$206,1)),""),"")</f>
        <v/>
      </c>
      <c r="L1837">
        <f>IFERROR(IF(AND(H1837&lt;&gt;"",H1837&gt;=129,H1837&lt;=2176),INDEX(Fields!$J$2:$J$206,MATCH(H1837-129,Fields!$D$2:$D$206,1)),""),"")</f>
        <v/>
      </c>
      <c r="M1837">
        <f>IFERROR(IF(AND(H1837&lt;&gt;"",H1837&gt;=129,H1837&lt;=2176),INDEX(Fields!$K$2:$K$206,MATCH(H1837-129,Fields!$D$2:$D$206,1)),""),"")</f>
        <v/>
      </c>
    </row>
    <row r="1838">
      <c r="A1838" t="n">
        <v>1836</v>
      </c>
      <c r="B1838" t="n">
        <v>0</v>
      </c>
      <c r="C1838" t="inlineStr">
        <is>
          <t>No</t>
        </is>
      </c>
      <c r="D1838">
        <f>IF(AND(B1833=1,B1834=1,B1835=1,B1836=1,B1837=1),"Yes","")</f>
        <v/>
      </c>
      <c r="E1838" t="inlineStr">
        <is>
          <t>No</t>
        </is>
      </c>
      <c r="F1838" t="inlineStr">
        <is>
          <t>No</t>
        </is>
      </c>
      <c r="G1838">
        <f>IF(F1838="Yes",1-B1838,B1838)</f>
        <v/>
      </c>
      <c r="H1838">
        <f>IF(E1838="Yes","",COUNTIFS($E$2:E1838,"No"))</f>
        <v/>
      </c>
      <c r="I1838">
        <f>IF(H1838="","",IF(H1838&lt;=128,"address",IF(H1838&lt;=600,"data1",IF(H1838&lt;=1264,"zero-run1",IF(H1838&lt;=1648,"data2",IF(H1838&lt;=2176,"zero-run2",IF(H1838&lt;=2192,"FCS","trailing")))))))</f>
        <v/>
      </c>
      <c r="J1838">
        <f>IFERROR(IF(AND(H1838&lt;&gt;"",H1838&gt;=129,H1838&lt;=2176),INDEX(Fields!$B$2:$B$206,MATCH(H1838-129,Fields!$D$2:$D$206,1)),""),"")</f>
        <v/>
      </c>
      <c r="K1838">
        <f>IFERROR(IF(AND(H1838&lt;&gt;"",H1838&gt;=129,H1838&lt;=2176),INDEX(Fields!$C$2:$C$206,MATCH(H1838-129,Fields!$D$2:$D$206,1)),""),"")</f>
        <v/>
      </c>
      <c r="L1838">
        <f>IFERROR(IF(AND(H1838&lt;&gt;"",H1838&gt;=129,H1838&lt;=2176),INDEX(Fields!$J$2:$J$206,MATCH(H1838-129,Fields!$D$2:$D$206,1)),""),"")</f>
        <v/>
      </c>
      <c r="M1838">
        <f>IFERROR(IF(AND(H1838&lt;&gt;"",H1838&gt;=129,H1838&lt;=2176),INDEX(Fields!$K$2:$K$206,MATCH(H1838-129,Fields!$D$2:$D$206,1)),""),"")</f>
        <v/>
      </c>
    </row>
    <row r="1839">
      <c r="A1839" t="n">
        <v>1837</v>
      </c>
      <c r="B1839" t="n">
        <v>0</v>
      </c>
      <c r="C1839" t="inlineStr">
        <is>
          <t>No</t>
        </is>
      </c>
      <c r="D1839">
        <f>IF(AND(B1834=1,B1835=1,B1836=1,B1837=1,B1838=1),"Yes","")</f>
        <v/>
      </c>
      <c r="E1839" t="inlineStr">
        <is>
          <t>No</t>
        </is>
      </c>
      <c r="F1839" t="inlineStr">
        <is>
          <t>No</t>
        </is>
      </c>
      <c r="G1839">
        <f>IF(F1839="Yes",1-B1839,B1839)</f>
        <v/>
      </c>
      <c r="H1839">
        <f>IF(E1839="Yes","",COUNTIFS($E$2:E1839,"No"))</f>
        <v/>
      </c>
      <c r="I1839">
        <f>IF(H1839="","",IF(H1839&lt;=128,"address",IF(H1839&lt;=600,"data1",IF(H1839&lt;=1264,"zero-run1",IF(H1839&lt;=1648,"data2",IF(H1839&lt;=2176,"zero-run2",IF(H1839&lt;=2192,"FCS","trailing")))))))</f>
        <v/>
      </c>
      <c r="J1839">
        <f>IFERROR(IF(AND(H1839&lt;&gt;"",H1839&gt;=129,H1839&lt;=2176),INDEX(Fields!$B$2:$B$206,MATCH(H1839-129,Fields!$D$2:$D$206,1)),""),"")</f>
        <v/>
      </c>
      <c r="K1839">
        <f>IFERROR(IF(AND(H1839&lt;&gt;"",H1839&gt;=129,H1839&lt;=2176),INDEX(Fields!$C$2:$C$206,MATCH(H1839-129,Fields!$D$2:$D$206,1)),""),"")</f>
        <v/>
      </c>
      <c r="L1839">
        <f>IFERROR(IF(AND(H1839&lt;&gt;"",H1839&gt;=129,H1839&lt;=2176),INDEX(Fields!$J$2:$J$206,MATCH(H1839-129,Fields!$D$2:$D$206,1)),""),"")</f>
        <v/>
      </c>
      <c r="M1839">
        <f>IFERROR(IF(AND(H1839&lt;&gt;"",H1839&gt;=129,H1839&lt;=2176),INDEX(Fields!$K$2:$K$206,MATCH(H1839-129,Fields!$D$2:$D$206,1)),""),"")</f>
        <v/>
      </c>
    </row>
    <row r="1840">
      <c r="A1840" t="n">
        <v>1838</v>
      </c>
      <c r="B1840" t="n">
        <v>0</v>
      </c>
      <c r="C1840" t="inlineStr">
        <is>
          <t>No</t>
        </is>
      </c>
      <c r="D1840">
        <f>IF(AND(B1835=1,B1836=1,B1837=1,B1838=1,B1839=1),"Yes","")</f>
        <v/>
      </c>
      <c r="E1840" t="inlineStr">
        <is>
          <t>No</t>
        </is>
      </c>
      <c r="F1840" t="inlineStr">
        <is>
          <t>No</t>
        </is>
      </c>
      <c r="G1840">
        <f>IF(F1840="Yes",1-B1840,B1840)</f>
        <v/>
      </c>
      <c r="H1840">
        <f>IF(E1840="Yes","",COUNTIFS($E$2:E1840,"No"))</f>
        <v/>
      </c>
      <c r="I1840">
        <f>IF(H1840="","",IF(H1840&lt;=128,"address",IF(H1840&lt;=600,"data1",IF(H1840&lt;=1264,"zero-run1",IF(H1840&lt;=1648,"data2",IF(H1840&lt;=2176,"zero-run2",IF(H1840&lt;=2192,"FCS","trailing")))))))</f>
        <v/>
      </c>
      <c r="J1840">
        <f>IFERROR(IF(AND(H1840&lt;&gt;"",H1840&gt;=129,H1840&lt;=2176),INDEX(Fields!$B$2:$B$206,MATCH(H1840-129,Fields!$D$2:$D$206,1)),""),"")</f>
        <v/>
      </c>
      <c r="K1840">
        <f>IFERROR(IF(AND(H1840&lt;&gt;"",H1840&gt;=129,H1840&lt;=2176),INDEX(Fields!$C$2:$C$206,MATCH(H1840-129,Fields!$D$2:$D$206,1)),""),"")</f>
        <v/>
      </c>
      <c r="L1840">
        <f>IFERROR(IF(AND(H1840&lt;&gt;"",H1840&gt;=129,H1840&lt;=2176),INDEX(Fields!$J$2:$J$206,MATCH(H1840-129,Fields!$D$2:$D$206,1)),""),"")</f>
        <v/>
      </c>
      <c r="M1840">
        <f>IFERROR(IF(AND(H1840&lt;&gt;"",H1840&gt;=129,H1840&lt;=2176),INDEX(Fields!$K$2:$K$206,MATCH(H1840-129,Fields!$D$2:$D$206,1)),""),"")</f>
        <v/>
      </c>
    </row>
    <row r="1841">
      <c r="A1841" t="n">
        <v>1839</v>
      </c>
      <c r="B1841" t="n">
        <v>0</v>
      </c>
      <c r="C1841" t="inlineStr">
        <is>
          <t>No</t>
        </is>
      </c>
      <c r="D1841">
        <f>IF(AND(B1836=1,B1837=1,B1838=1,B1839=1,B1840=1),"Yes","")</f>
        <v/>
      </c>
      <c r="E1841" t="inlineStr">
        <is>
          <t>No</t>
        </is>
      </c>
      <c r="F1841" t="inlineStr">
        <is>
          <t>No</t>
        </is>
      </c>
      <c r="G1841">
        <f>IF(F1841="Yes",1-B1841,B1841)</f>
        <v/>
      </c>
      <c r="H1841">
        <f>IF(E1841="Yes","",COUNTIFS($E$2:E1841,"No"))</f>
        <v/>
      </c>
      <c r="I1841">
        <f>IF(H1841="","",IF(H1841&lt;=128,"address",IF(H1841&lt;=600,"data1",IF(H1841&lt;=1264,"zero-run1",IF(H1841&lt;=1648,"data2",IF(H1841&lt;=2176,"zero-run2",IF(H1841&lt;=2192,"FCS","trailing")))))))</f>
        <v/>
      </c>
      <c r="J1841">
        <f>IFERROR(IF(AND(H1841&lt;&gt;"",H1841&gt;=129,H1841&lt;=2176),INDEX(Fields!$B$2:$B$206,MATCH(H1841-129,Fields!$D$2:$D$206,1)),""),"")</f>
        <v/>
      </c>
      <c r="K1841">
        <f>IFERROR(IF(AND(H1841&lt;&gt;"",H1841&gt;=129,H1841&lt;=2176),INDEX(Fields!$C$2:$C$206,MATCH(H1841-129,Fields!$D$2:$D$206,1)),""),"")</f>
        <v/>
      </c>
      <c r="L1841">
        <f>IFERROR(IF(AND(H1841&lt;&gt;"",H1841&gt;=129,H1841&lt;=2176),INDEX(Fields!$J$2:$J$206,MATCH(H1841-129,Fields!$D$2:$D$206,1)),""),"")</f>
        <v/>
      </c>
      <c r="M1841">
        <f>IFERROR(IF(AND(H1841&lt;&gt;"",H1841&gt;=129,H1841&lt;=2176),INDEX(Fields!$K$2:$K$206,MATCH(H1841-129,Fields!$D$2:$D$206,1)),""),"")</f>
        <v/>
      </c>
    </row>
    <row r="1842">
      <c r="A1842" t="n">
        <v>1840</v>
      </c>
      <c r="B1842" t="n">
        <v>0</v>
      </c>
      <c r="C1842" t="inlineStr">
        <is>
          <t>No</t>
        </is>
      </c>
      <c r="D1842">
        <f>IF(AND(B1837=1,B1838=1,B1839=1,B1840=1,B1841=1),"Yes","")</f>
        <v/>
      </c>
      <c r="E1842" t="inlineStr">
        <is>
          <t>No</t>
        </is>
      </c>
      <c r="F1842" t="inlineStr">
        <is>
          <t>No</t>
        </is>
      </c>
      <c r="G1842">
        <f>IF(F1842="Yes",1-B1842,B1842)</f>
        <v/>
      </c>
      <c r="H1842">
        <f>IF(E1842="Yes","",COUNTIFS($E$2:E1842,"No"))</f>
        <v/>
      </c>
      <c r="I1842">
        <f>IF(H1842="","",IF(H1842&lt;=128,"address",IF(H1842&lt;=600,"data1",IF(H1842&lt;=1264,"zero-run1",IF(H1842&lt;=1648,"data2",IF(H1842&lt;=2176,"zero-run2",IF(H1842&lt;=2192,"FCS","trailing")))))))</f>
        <v/>
      </c>
      <c r="J1842">
        <f>IFERROR(IF(AND(H1842&lt;&gt;"",H1842&gt;=129,H1842&lt;=2176),INDEX(Fields!$B$2:$B$206,MATCH(H1842-129,Fields!$D$2:$D$206,1)),""),"")</f>
        <v/>
      </c>
      <c r="K1842">
        <f>IFERROR(IF(AND(H1842&lt;&gt;"",H1842&gt;=129,H1842&lt;=2176),INDEX(Fields!$C$2:$C$206,MATCH(H1842-129,Fields!$D$2:$D$206,1)),""),"")</f>
        <v/>
      </c>
      <c r="L1842">
        <f>IFERROR(IF(AND(H1842&lt;&gt;"",H1842&gt;=129,H1842&lt;=2176),INDEX(Fields!$J$2:$J$206,MATCH(H1842-129,Fields!$D$2:$D$206,1)),""),"")</f>
        <v/>
      </c>
      <c r="M1842">
        <f>IFERROR(IF(AND(H1842&lt;&gt;"",H1842&gt;=129,H1842&lt;=2176),INDEX(Fields!$K$2:$K$206,MATCH(H1842-129,Fields!$D$2:$D$206,1)),""),"")</f>
        <v/>
      </c>
    </row>
    <row r="1843">
      <c r="A1843" t="n">
        <v>1841</v>
      </c>
      <c r="B1843" t="n">
        <v>0</v>
      </c>
      <c r="C1843" t="inlineStr">
        <is>
          <t>No</t>
        </is>
      </c>
      <c r="D1843">
        <f>IF(AND(B1838=1,B1839=1,B1840=1,B1841=1,B1842=1),"Yes","")</f>
        <v/>
      </c>
      <c r="E1843" t="inlineStr">
        <is>
          <t>No</t>
        </is>
      </c>
      <c r="F1843" t="inlineStr">
        <is>
          <t>No</t>
        </is>
      </c>
      <c r="G1843">
        <f>IF(F1843="Yes",1-B1843,B1843)</f>
        <v/>
      </c>
      <c r="H1843">
        <f>IF(E1843="Yes","",COUNTIFS($E$2:E1843,"No"))</f>
        <v/>
      </c>
      <c r="I1843">
        <f>IF(H1843="","",IF(H1843&lt;=128,"address",IF(H1843&lt;=600,"data1",IF(H1843&lt;=1264,"zero-run1",IF(H1843&lt;=1648,"data2",IF(H1843&lt;=2176,"zero-run2",IF(H1843&lt;=2192,"FCS","trailing")))))))</f>
        <v/>
      </c>
      <c r="J1843">
        <f>IFERROR(IF(AND(H1843&lt;&gt;"",H1843&gt;=129,H1843&lt;=2176),INDEX(Fields!$B$2:$B$206,MATCH(H1843-129,Fields!$D$2:$D$206,1)),""),"")</f>
        <v/>
      </c>
      <c r="K1843">
        <f>IFERROR(IF(AND(H1843&lt;&gt;"",H1843&gt;=129,H1843&lt;=2176),INDEX(Fields!$C$2:$C$206,MATCH(H1843-129,Fields!$D$2:$D$206,1)),""),"")</f>
        <v/>
      </c>
      <c r="L1843">
        <f>IFERROR(IF(AND(H1843&lt;&gt;"",H1843&gt;=129,H1843&lt;=2176),INDEX(Fields!$J$2:$J$206,MATCH(H1843-129,Fields!$D$2:$D$206,1)),""),"")</f>
        <v/>
      </c>
      <c r="M1843">
        <f>IFERROR(IF(AND(H1843&lt;&gt;"",H1843&gt;=129,H1843&lt;=2176),INDEX(Fields!$K$2:$K$206,MATCH(H1843-129,Fields!$D$2:$D$206,1)),""),"")</f>
        <v/>
      </c>
    </row>
    <row r="1844">
      <c r="A1844" t="n">
        <v>1842</v>
      </c>
      <c r="B1844" t="n">
        <v>0</v>
      </c>
      <c r="C1844" t="inlineStr">
        <is>
          <t>No</t>
        </is>
      </c>
      <c r="D1844">
        <f>IF(AND(B1839=1,B1840=1,B1841=1,B1842=1,B1843=1),"Yes","")</f>
        <v/>
      </c>
      <c r="E1844" t="inlineStr">
        <is>
          <t>No</t>
        </is>
      </c>
      <c r="F1844" t="inlineStr">
        <is>
          <t>No</t>
        </is>
      </c>
      <c r="G1844">
        <f>IF(F1844="Yes",1-B1844,B1844)</f>
        <v/>
      </c>
      <c r="H1844">
        <f>IF(E1844="Yes","",COUNTIFS($E$2:E1844,"No"))</f>
        <v/>
      </c>
      <c r="I1844">
        <f>IF(H1844="","",IF(H1844&lt;=128,"address",IF(H1844&lt;=600,"data1",IF(H1844&lt;=1264,"zero-run1",IF(H1844&lt;=1648,"data2",IF(H1844&lt;=2176,"zero-run2",IF(H1844&lt;=2192,"FCS","trailing")))))))</f>
        <v/>
      </c>
      <c r="J1844">
        <f>IFERROR(IF(AND(H1844&lt;&gt;"",H1844&gt;=129,H1844&lt;=2176),INDEX(Fields!$B$2:$B$206,MATCH(H1844-129,Fields!$D$2:$D$206,1)),""),"")</f>
        <v/>
      </c>
      <c r="K1844">
        <f>IFERROR(IF(AND(H1844&lt;&gt;"",H1844&gt;=129,H1844&lt;=2176),INDEX(Fields!$C$2:$C$206,MATCH(H1844-129,Fields!$D$2:$D$206,1)),""),"")</f>
        <v/>
      </c>
      <c r="L1844">
        <f>IFERROR(IF(AND(H1844&lt;&gt;"",H1844&gt;=129,H1844&lt;=2176),INDEX(Fields!$J$2:$J$206,MATCH(H1844-129,Fields!$D$2:$D$206,1)),""),"")</f>
        <v/>
      </c>
      <c r="M1844">
        <f>IFERROR(IF(AND(H1844&lt;&gt;"",H1844&gt;=129,H1844&lt;=2176),INDEX(Fields!$K$2:$K$206,MATCH(H1844-129,Fields!$D$2:$D$206,1)),""),"")</f>
        <v/>
      </c>
    </row>
    <row r="1845">
      <c r="A1845" t="n">
        <v>1843</v>
      </c>
      <c r="B1845" t="n">
        <v>0</v>
      </c>
      <c r="C1845" t="inlineStr">
        <is>
          <t>No</t>
        </is>
      </c>
      <c r="D1845">
        <f>IF(AND(B1840=1,B1841=1,B1842=1,B1843=1,B1844=1),"Yes","")</f>
        <v/>
      </c>
      <c r="E1845" t="inlineStr">
        <is>
          <t>No</t>
        </is>
      </c>
      <c r="F1845" t="inlineStr">
        <is>
          <t>No</t>
        </is>
      </c>
      <c r="G1845">
        <f>IF(F1845="Yes",1-B1845,B1845)</f>
        <v/>
      </c>
      <c r="H1845">
        <f>IF(E1845="Yes","",COUNTIFS($E$2:E1845,"No"))</f>
        <v/>
      </c>
      <c r="I1845">
        <f>IF(H1845="","",IF(H1845&lt;=128,"address",IF(H1845&lt;=600,"data1",IF(H1845&lt;=1264,"zero-run1",IF(H1845&lt;=1648,"data2",IF(H1845&lt;=2176,"zero-run2",IF(H1845&lt;=2192,"FCS","trailing")))))))</f>
        <v/>
      </c>
      <c r="J1845">
        <f>IFERROR(IF(AND(H1845&lt;&gt;"",H1845&gt;=129,H1845&lt;=2176),INDEX(Fields!$B$2:$B$206,MATCH(H1845-129,Fields!$D$2:$D$206,1)),""),"")</f>
        <v/>
      </c>
      <c r="K1845">
        <f>IFERROR(IF(AND(H1845&lt;&gt;"",H1845&gt;=129,H1845&lt;=2176),INDEX(Fields!$C$2:$C$206,MATCH(H1845-129,Fields!$D$2:$D$206,1)),""),"")</f>
        <v/>
      </c>
      <c r="L1845">
        <f>IFERROR(IF(AND(H1845&lt;&gt;"",H1845&gt;=129,H1845&lt;=2176),INDEX(Fields!$J$2:$J$206,MATCH(H1845-129,Fields!$D$2:$D$206,1)),""),"")</f>
        <v/>
      </c>
      <c r="M1845">
        <f>IFERROR(IF(AND(H1845&lt;&gt;"",H1845&gt;=129,H1845&lt;=2176),INDEX(Fields!$K$2:$K$206,MATCH(H1845-129,Fields!$D$2:$D$206,1)),""),"")</f>
        <v/>
      </c>
    </row>
    <row r="1846">
      <c r="A1846" t="n">
        <v>1844</v>
      </c>
      <c r="B1846" t="n">
        <v>0</v>
      </c>
      <c r="C1846" t="inlineStr">
        <is>
          <t>No</t>
        </is>
      </c>
      <c r="D1846">
        <f>IF(AND(B1841=1,B1842=1,B1843=1,B1844=1,B1845=1),"Yes","")</f>
        <v/>
      </c>
      <c r="E1846" t="inlineStr">
        <is>
          <t>No</t>
        </is>
      </c>
      <c r="F1846" t="inlineStr">
        <is>
          <t>No</t>
        </is>
      </c>
      <c r="G1846">
        <f>IF(F1846="Yes",1-B1846,B1846)</f>
        <v/>
      </c>
      <c r="H1846">
        <f>IF(E1846="Yes","",COUNTIFS($E$2:E1846,"No"))</f>
        <v/>
      </c>
      <c r="I1846">
        <f>IF(H1846="","",IF(H1846&lt;=128,"address",IF(H1846&lt;=600,"data1",IF(H1846&lt;=1264,"zero-run1",IF(H1846&lt;=1648,"data2",IF(H1846&lt;=2176,"zero-run2",IF(H1846&lt;=2192,"FCS","trailing")))))))</f>
        <v/>
      </c>
      <c r="J1846">
        <f>IFERROR(IF(AND(H1846&lt;&gt;"",H1846&gt;=129,H1846&lt;=2176),INDEX(Fields!$B$2:$B$206,MATCH(H1846-129,Fields!$D$2:$D$206,1)),""),"")</f>
        <v/>
      </c>
      <c r="K1846">
        <f>IFERROR(IF(AND(H1846&lt;&gt;"",H1846&gt;=129,H1846&lt;=2176),INDEX(Fields!$C$2:$C$206,MATCH(H1846-129,Fields!$D$2:$D$206,1)),""),"")</f>
        <v/>
      </c>
      <c r="L1846">
        <f>IFERROR(IF(AND(H1846&lt;&gt;"",H1846&gt;=129,H1846&lt;=2176),INDEX(Fields!$J$2:$J$206,MATCH(H1846-129,Fields!$D$2:$D$206,1)),""),"")</f>
        <v/>
      </c>
      <c r="M1846">
        <f>IFERROR(IF(AND(H1846&lt;&gt;"",H1846&gt;=129,H1846&lt;=2176),INDEX(Fields!$K$2:$K$206,MATCH(H1846-129,Fields!$D$2:$D$206,1)),""),"")</f>
        <v/>
      </c>
    </row>
    <row r="1847">
      <c r="A1847" t="n">
        <v>1845</v>
      </c>
      <c r="B1847" t="n">
        <v>0</v>
      </c>
      <c r="C1847" t="inlineStr">
        <is>
          <t>No</t>
        </is>
      </c>
      <c r="D1847">
        <f>IF(AND(B1842=1,B1843=1,B1844=1,B1845=1,B1846=1),"Yes","")</f>
        <v/>
      </c>
      <c r="E1847" t="inlineStr">
        <is>
          <t>No</t>
        </is>
      </c>
      <c r="F1847" t="inlineStr">
        <is>
          <t>No</t>
        </is>
      </c>
      <c r="G1847">
        <f>IF(F1847="Yes",1-B1847,B1847)</f>
        <v/>
      </c>
      <c r="H1847">
        <f>IF(E1847="Yes","",COUNTIFS($E$2:E1847,"No"))</f>
        <v/>
      </c>
      <c r="I1847">
        <f>IF(H1847="","",IF(H1847&lt;=128,"address",IF(H1847&lt;=600,"data1",IF(H1847&lt;=1264,"zero-run1",IF(H1847&lt;=1648,"data2",IF(H1847&lt;=2176,"zero-run2",IF(H1847&lt;=2192,"FCS","trailing")))))))</f>
        <v/>
      </c>
      <c r="J1847">
        <f>IFERROR(IF(AND(H1847&lt;&gt;"",H1847&gt;=129,H1847&lt;=2176),INDEX(Fields!$B$2:$B$206,MATCH(H1847-129,Fields!$D$2:$D$206,1)),""),"")</f>
        <v/>
      </c>
      <c r="K1847">
        <f>IFERROR(IF(AND(H1847&lt;&gt;"",H1847&gt;=129,H1847&lt;=2176),INDEX(Fields!$C$2:$C$206,MATCH(H1847-129,Fields!$D$2:$D$206,1)),""),"")</f>
        <v/>
      </c>
      <c r="L1847">
        <f>IFERROR(IF(AND(H1847&lt;&gt;"",H1847&gt;=129,H1847&lt;=2176),INDEX(Fields!$J$2:$J$206,MATCH(H1847-129,Fields!$D$2:$D$206,1)),""),"")</f>
        <v/>
      </c>
      <c r="M1847">
        <f>IFERROR(IF(AND(H1847&lt;&gt;"",H1847&gt;=129,H1847&lt;=2176),INDEX(Fields!$K$2:$K$206,MATCH(H1847-129,Fields!$D$2:$D$206,1)),""),"")</f>
        <v/>
      </c>
    </row>
    <row r="1848">
      <c r="A1848" t="n">
        <v>1846</v>
      </c>
      <c r="B1848" t="n">
        <v>0</v>
      </c>
      <c r="C1848" t="inlineStr">
        <is>
          <t>No</t>
        </is>
      </c>
      <c r="D1848">
        <f>IF(AND(B1843=1,B1844=1,B1845=1,B1846=1,B1847=1),"Yes","")</f>
        <v/>
      </c>
      <c r="E1848" t="inlineStr">
        <is>
          <t>No</t>
        </is>
      </c>
      <c r="F1848" t="inlineStr">
        <is>
          <t>No</t>
        </is>
      </c>
      <c r="G1848">
        <f>IF(F1848="Yes",1-B1848,B1848)</f>
        <v/>
      </c>
      <c r="H1848">
        <f>IF(E1848="Yes","",COUNTIFS($E$2:E1848,"No"))</f>
        <v/>
      </c>
      <c r="I1848">
        <f>IF(H1848="","",IF(H1848&lt;=128,"address",IF(H1848&lt;=600,"data1",IF(H1848&lt;=1264,"zero-run1",IF(H1848&lt;=1648,"data2",IF(H1848&lt;=2176,"zero-run2",IF(H1848&lt;=2192,"FCS","trailing")))))))</f>
        <v/>
      </c>
      <c r="J1848">
        <f>IFERROR(IF(AND(H1848&lt;&gt;"",H1848&gt;=129,H1848&lt;=2176),INDEX(Fields!$B$2:$B$206,MATCH(H1848-129,Fields!$D$2:$D$206,1)),""),"")</f>
        <v/>
      </c>
      <c r="K1848">
        <f>IFERROR(IF(AND(H1848&lt;&gt;"",H1848&gt;=129,H1848&lt;=2176),INDEX(Fields!$C$2:$C$206,MATCH(H1848-129,Fields!$D$2:$D$206,1)),""),"")</f>
        <v/>
      </c>
      <c r="L1848">
        <f>IFERROR(IF(AND(H1848&lt;&gt;"",H1848&gt;=129,H1848&lt;=2176),INDEX(Fields!$J$2:$J$206,MATCH(H1848-129,Fields!$D$2:$D$206,1)),""),"")</f>
        <v/>
      </c>
      <c r="M1848">
        <f>IFERROR(IF(AND(H1848&lt;&gt;"",H1848&gt;=129,H1848&lt;=2176),INDEX(Fields!$K$2:$K$206,MATCH(H1848-129,Fields!$D$2:$D$206,1)),""),"")</f>
        <v/>
      </c>
    </row>
    <row r="1849">
      <c r="A1849" t="n">
        <v>1847</v>
      </c>
      <c r="B1849" t="n">
        <v>0</v>
      </c>
      <c r="C1849" t="inlineStr">
        <is>
          <t>No</t>
        </is>
      </c>
      <c r="D1849">
        <f>IF(AND(B1844=1,B1845=1,B1846=1,B1847=1,B1848=1),"Yes","")</f>
        <v/>
      </c>
      <c r="E1849" t="inlineStr">
        <is>
          <t>No</t>
        </is>
      </c>
      <c r="F1849" t="inlineStr">
        <is>
          <t>No</t>
        </is>
      </c>
      <c r="G1849">
        <f>IF(F1849="Yes",1-B1849,B1849)</f>
        <v/>
      </c>
      <c r="H1849">
        <f>IF(E1849="Yes","",COUNTIFS($E$2:E1849,"No"))</f>
        <v/>
      </c>
      <c r="I1849">
        <f>IF(H1849="","",IF(H1849&lt;=128,"address",IF(H1849&lt;=600,"data1",IF(H1849&lt;=1264,"zero-run1",IF(H1849&lt;=1648,"data2",IF(H1849&lt;=2176,"zero-run2",IF(H1849&lt;=2192,"FCS","trailing")))))))</f>
        <v/>
      </c>
      <c r="J1849">
        <f>IFERROR(IF(AND(H1849&lt;&gt;"",H1849&gt;=129,H1849&lt;=2176),INDEX(Fields!$B$2:$B$206,MATCH(H1849-129,Fields!$D$2:$D$206,1)),""),"")</f>
        <v/>
      </c>
      <c r="K1849">
        <f>IFERROR(IF(AND(H1849&lt;&gt;"",H1849&gt;=129,H1849&lt;=2176),INDEX(Fields!$C$2:$C$206,MATCH(H1849-129,Fields!$D$2:$D$206,1)),""),"")</f>
        <v/>
      </c>
      <c r="L1849">
        <f>IFERROR(IF(AND(H1849&lt;&gt;"",H1849&gt;=129,H1849&lt;=2176),INDEX(Fields!$J$2:$J$206,MATCH(H1849-129,Fields!$D$2:$D$206,1)),""),"")</f>
        <v/>
      </c>
      <c r="M1849">
        <f>IFERROR(IF(AND(H1849&lt;&gt;"",H1849&gt;=129,H1849&lt;=2176),INDEX(Fields!$K$2:$K$206,MATCH(H1849-129,Fields!$D$2:$D$206,1)),""),"")</f>
        <v/>
      </c>
    </row>
    <row r="1850">
      <c r="A1850" t="n">
        <v>1848</v>
      </c>
      <c r="B1850" t="n">
        <v>0</v>
      </c>
      <c r="C1850" t="inlineStr">
        <is>
          <t>No</t>
        </is>
      </c>
      <c r="D1850">
        <f>IF(AND(B1845=1,B1846=1,B1847=1,B1848=1,B1849=1),"Yes","")</f>
        <v/>
      </c>
      <c r="E1850" t="inlineStr">
        <is>
          <t>No</t>
        </is>
      </c>
      <c r="F1850" t="inlineStr">
        <is>
          <t>No</t>
        </is>
      </c>
      <c r="G1850">
        <f>IF(F1850="Yes",1-B1850,B1850)</f>
        <v/>
      </c>
      <c r="H1850">
        <f>IF(E1850="Yes","",COUNTIFS($E$2:E1850,"No"))</f>
        <v/>
      </c>
      <c r="I1850">
        <f>IF(H1850="","",IF(H1850&lt;=128,"address",IF(H1850&lt;=600,"data1",IF(H1850&lt;=1264,"zero-run1",IF(H1850&lt;=1648,"data2",IF(H1850&lt;=2176,"zero-run2",IF(H1850&lt;=2192,"FCS","trailing")))))))</f>
        <v/>
      </c>
      <c r="J1850">
        <f>IFERROR(IF(AND(H1850&lt;&gt;"",H1850&gt;=129,H1850&lt;=2176),INDEX(Fields!$B$2:$B$206,MATCH(H1850-129,Fields!$D$2:$D$206,1)),""),"")</f>
        <v/>
      </c>
      <c r="K1850">
        <f>IFERROR(IF(AND(H1850&lt;&gt;"",H1850&gt;=129,H1850&lt;=2176),INDEX(Fields!$C$2:$C$206,MATCH(H1850-129,Fields!$D$2:$D$206,1)),""),"")</f>
        <v/>
      </c>
      <c r="L1850">
        <f>IFERROR(IF(AND(H1850&lt;&gt;"",H1850&gt;=129,H1850&lt;=2176),INDEX(Fields!$J$2:$J$206,MATCH(H1850-129,Fields!$D$2:$D$206,1)),""),"")</f>
        <v/>
      </c>
      <c r="M1850">
        <f>IFERROR(IF(AND(H1850&lt;&gt;"",H1850&gt;=129,H1850&lt;=2176),INDEX(Fields!$K$2:$K$206,MATCH(H1850-129,Fields!$D$2:$D$206,1)),""),"")</f>
        <v/>
      </c>
    </row>
    <row r="1851">
      <c r="A1851" t="n">
        <v>1849</v>
      </c>
      <c r="B1851" t="n">
        <v>0</v>
      </c>
      <c r="C1851" t="inlineStr">
        <is>
          <t>No</t>
        </is>
      </c>
      <c r="D1851">
        <f>IF(AND(B1846=1,B1847=1,B1848=1,B1849=1,B1850=1),"Yes","")</f>
        <v/>
      </c>
      <c r="E1851" t="inlineStr">
        <is>
          <t>No</t>
        </is>
      </c>
      <c r="F1851" t="inlineStr">
        <is>
          <t>No</t>
        </is>
      </c>
      <c r="G1851">
        <f>IF(F1851="Yes",1-B1851,B1851)</f>
        <v/>
      </c>
      <c r="H1851">
        <f>IF(E1851="Yes","",COUNTIFS($E$2:E1851,"No"))</f>
        <v/>
      </c>
      <c r="I1851">
        <f>IF(H1851="","",IF(H1851&lt;=128,"address",IF(H1851&lt;=600,"data1",IF(H1851&lt;=1264,"zero-run1",IF(H1851&lt;=1648,"data2",IF(H1851&lt;=2176,"zero-run2",IF(H1851&lt;=2192,"FCS","trailing")))))))</f>
        <v/>
      </c>
      <c r="J1851">
        <f>IFERROR(IF(AND(H1851&lt;&gt;"",H1851&gt;=129,H1851&lt;=2176),INDEX(Fields!$B$2:$B$206,MATCH(H1851-129,Fields!$D$2:$D$206,1)),""),"")</f>
        <v/>
      </c>
      <c r="K1851">
        <f>IFERROR(IF(AND(H1851&lt;&gt;"",H1851&gt;=129,H1851&lt;=2176),INDEX(Fields!$C$2:$C$206,MATCH(H1851-129,Fields!$D$2:$D$206,1)),""),"")</f>
        <v/>
      </c>
      <c r="L1851">
        <f>IFERROR(IF(AND(H1851&lt;&gt;"",H1851&gt;=129,H1851&lt;=2176),INDEX(Fields!$J$2:$J$206,MATCH(H1851-129,Fields!$D$2:$D$206,1)),""),"")</f>
        <v/>
      </c>
      <c r="M1851">
        <f>IFERROR(IF(AND(H1851&lt;&gt;"",H1851&gt;=129,H1851&lt;=2176),INDEX(Fields!$K$2:$K$206,MATCH(H1851-129,Fields!$D$2:$D$206,1)),""),"")</f>
        <v/>
      </c>
    </row>
    <row r="1852">
      <c r="A1852" t="n">
        <v>1850</v>
      </c>
      <c r="B1852" t="n">
        <v>0</v>
      </c>
      <c r="C1852" t="inlineStr">
        <is>
          <t>No</t>
        </is>
      </c>
      <c r="D1852">
        <f>IF(AND(B1847=1,B1848=1,B1849=1,B1850=1,B1851=1),"Yes","")</f>
        <v/>
      </c>
      <c r="E1852" t="inlineStr">
        <is>
          <t>No</t>
        </is>
      </c>
      <c r="F1852" t="inlineStr">
        <is>
          <t>No</t>
        </is>
      </c>
      <c r="G1852">
        <f>IF(F1852="Yes",1-B1852,B1852)</f>
        <v/>
      </c>
      <c r="H1852">
        <f>IF(E1852="Yes","",COUNTIFS($E$2:E1852,"No"))</f>
        <v/>
      </c>
      <c r="I1852">
        <f>IF(H1852="","",IF(H1852&lt;=128,"address",IF(H1852&lt;=600,"data1",IF(H1852&lt;=1264,"zero-run1",IF(H1852&lt;=1648,"data2",IF(H1852&lt;=2176,"zero-run2",IF(H1852&lt;=2192,"FCS","trailing")))))))</f>
        <v/>
      </c>
      <c r="J1852">
        <f>IFERROR(IF(AND(H1852&lt;&gt;"",H1852&gt;=129,H1852&lt;=2176),INDEX(Fields!$B$2:$B$206,MATCH(H1852-129,Fields!$D$2:$D$206,1)),""),"")</f>
        <v/>
      </c>
      <c r="K1852">
        <f>IFERROR(IF(AND(H1852&lt;&gt;"",H1852&gt;=129,H1852&lt;=2176),INDEX(Fields!$C$2:$C$206,MATCH(H1852-129,Fields!$D$2:$D$206,1)),""),"")</f>
        <v/>
      </c>
      <c r="L1852">
        <f>IFERROR(IF(AND(H1852&lt;&gt;"",H1852&gt;=129,H1852&lt;=2176),INDEX(Fields!$J$2:$J$206,MATCH(H1852-129,Fields!$D$2:$D$206,1)),""),"")</f>
        <v/>
      </c>
      <c r="M1852">
        <f>IFERROR(IF(AND(H1852&lt;&gt;"",H1852&gt;=129,H1852&lt;=2176),INDEX(Fields!$K$2:$K$206,MATCH(H1852-129,Fields!$D$2:$D$206,1)),""),"")</f>
        <v/>
      </c>
    </row>
    <row r="1853">
      <c r="A1853" t="n">
        <v>1851</v>
      </c>
      <c r="B1853" t="n">
        <v>0</v>
      </c>
      <c r="C1853" t="inlineStr">
        <is>
          <t>No</t>
        </is>
      </c>
      <c r="D1853">
        <f>IF(AND(B1848=1,B1849=1,B1850=1,B1851=1,B1852=1),"Yes","")</f>
        <v/>
      </c>
      <c r="E1853" t="inlineStr">
        <is>
          <t>No</t>
        </is>
      </c>
      <c r="F1853" t="inlineStr">
        <is>
          <t>No</t>
        </is>
      </c>
      <c r="G1853">
        <f>IF(F1853="Yes",1-B1853,B1853)</f>
        <v/>
      </c>
      <c r="H1853">
        <f>IF(E1853="Yes","",COUNTIFS($E$2:E1853,"No"))</f>
        <v/>
      </c>
      <c r="I1853">
        <f>IF(H1853="","",IF(H1853&lt;=128,"address",IF(H1853&lt;=600,"data1",IF(H1853&lt;=1264,"zero-run1",IF(H1853&lt;=1648,"data2",IF(H1853&lt;=2176,"zero-run2",IF(H1853&lt;=2192,"FCS","trailing")))))))</f>
        <v/>
      </c>
      <c r="J1853">
        <f>IFERROR(IF(AND(H1853&lt;&gt;"",H1853&gt;=129,H1853&lt;=2176),INDEX(Fields!$B$2:$B$206,MATCH(H1853-129,Fields!$D$2:$D$206,1)),""),"")</f>
        <v/>
      </c>
      <c r="K1853">
        <f>IFERROR(IF(AND(H1853&lt;&gt;"",H1853&gt;=129,H1853&lt;=2176),INDEX(Fields!$C$2:$C$206,MATCH(H1853-129,Fields!$D$2:$D$206,1)),""),"")</f>
        <v/>
      </c>
      <c r="L1853">
        <f>IFERROR(IF(AND(H1853&lt;&gt;"",H1853&gt;=129,H1853&lt;=2176),INDEX(Fields!$J$2:$J$206,MATCH(H1853-129,Fields!$D$2:$D$206,1)),""),"")</f>
        <v/>
      </c>
      <c r="M1853">
        <f>IFERROR(IF(AND(H1853&lt;&gt;"",H1853&gt;=129,H1853&lt;=2176),INDEX(Fields!$K$2:$K$206,MATCH(H1853-129,Fields!$D$2:$D$206,1)),""),"")</f>
        <v/>
      </c>
    </row>
    <row r="1854">
      <c r="A1854" t="n">
        <v>1852</v>
      </c>
      <c r="B1854" t="n">
        <v>0</v>
      </c>
      <c r="C1854" t="inlineStr">
        <is>
          <t>No</t>
        </is>
      </c>
      <c r="D1854">
        <f>IF(AND(B1849=1,B1850=1,B1851=1,B1852=1,B1853=1),"Yes","")</f>
        <v/>
      </c>
      <c r="E1854" t="inlineStr">
        <is>
          <t>No</t>
        </is>
      </c>
      <c r="F1854" t="inlineStr">
        <is>
          <t>No</t>
        </is>
      </c>
      <c r="G1854">
        <f>IF(F1854="Yes",1-B1854,B1854)</f>
        <v/>
      </c>
      <c r="H1854">
        <f>IF(E1854="Yes","",COUNTIFS($E$2:E1854,"No"))</f>
        <v/>
      </c>
      <c r="I1854">
        <f>IF(H1854="","",IF(H1854&lt;=128,"address",IF(H1854&lt;=600,"data1",IF(H1854&lt;=1264,"zero-run1",IF(H1854&lt;=1648,"data2",IF(H1854&lt;=2176,"zero-run2",IF(H1854&lt;=2192,"FCS","trailing")))))))</f>
        <v/>
      </c>
      <c r="J1854">
        <f>IFERROR(IF(AND(H1854&lt;&gt;"",H1854&gt;=129,H1854&lt;=2176),INDEX(Fields!$B$2:$B$206,MATCH(H1854-129,Fields!$D$2:$D$206,1)),""),"")</f>
        <v/>
      </c>
      <c r="K1854">
        <f>IFERROR(IF(AND(H1854&lt;&gt;"",H1854&gt;=129,H1854&lt;=2176),INDEX(Fields!$C$2:$C$206,MATCH(H1854-129,Fields!$D$2:$D$206,1)),""),"")</f>
        <v/>
      </c>
      <c r="L1854">
        <f>IFERROR(IF(AND(H1854&lt;&gt;"",H1854&gt;=129,H1854&lt;=2176),INDEX(Fields!$J$2:$J$206,MATCH(H1854-129,Fields!$D$2:$D$206,1)),""),"")</f>
        <v/>
      </c>
      <c r="M1854">
        <f>IFERROR(IF(AND(H1854&lt;&gt;"",H1854&gt;=129,H1854&lt;=2176),INDEX(Fields!$K$2:$K$206,MATCH(H1854-129,Fields!$D$2:$D$206,1)),""),"")</f>
        <v/>
      </c>
    </row>
    <row r="1855">
      <c r="A1855" t="n">
        <v>1853</v>
      </c>
      <c r="B1855" t="n">
        <v>0</v>
      </c>
      <c r="C1855" t="inlineStr">
        <is>
          <t>No</t>
        </is>
      </c>
      <c r="D1855">
        <f>IF(AND(B1850=1,B1851=1,B1852=1,B1853=1,B1854=1),"Yes","")</f>
        <v/>
      </c>
      <c r="E1855" t="inlineStr">
        <is>
          <t>No</t>
        </is>
      </c>
      <c r="F1855" t="inlineStr">
        <is>
          <t>No</t>
        </is>
      </c>
      <c r="G1855">
        <f>IF(F1855="Yes",1-B1855,B1855)</f>
        <v/>
      </c>
      <c r="H1855">
        <f>IF(E1855="Yes","",COUNTIFS($E$2:E1855,"No"))</f>
        <v/>
      </c>
      <c r="I1855">
        <f>IF(H1855="","",IF(H1855&lt;=128,"address",IF(H1855&lt;=600,"data1",IF(H1855&lt;=1264,"zero-run1",IF(H1855&lt;=1648,"data2",IF(H1855&lt;=2176,"zero-run2",IF(H1855&lt;=2192,"FCS","trailing")))))))</f>
        <v/>
      </c>
      <c r="J1855">
        <f>IFERROR(IF(AND(H1855&lt;&gt;"",H1855&gt;=129,H1855&lt;=2176),INDEX(Fields!$B$2:$B$206,MATCH(H1855-129,Fields!$D$2:$D$206,1)),""),"")</f>
        <v/>
      </c>
      <c r="K1855">
        <f>IFERROR(IF(AND(H1855&lt;&gt;"",H1855&gt;=129,H1855&lt;=2176),INDEX(Fields!$C$2:$C$206,MATCH(H1855-129,Fields!$D$2:$D$206,1)),""),"")</f>
        <v/>
      </c>
      <c r="L1855">
        <f>IFERROR(IF(AND(H1855&lt;&gt;"",H1855&gt;=129,H1855&lt;=2176),INDEX(Fields!$J$2:$J$206,MATCH(H1855-129,Fields!$D$2:$D$206,1)),""),"")</f>
        <v/>
      </c>
      <c r="M1855">
        <f>IFERROR(IF(AND(H1855&lt;&gt;"",H1855&gt;=129,H1855&lt;=2176),INDEX(Fields!$K$2:$K$206,MATCH(H1855-129,Fields!$D$2:$D$206,1)),""),"")</f>
        <v/>
      </c>
    </row>
    <row r="1856">
      <c r="A1856" t="n">
        <v>1854</v>
      </c>
      <c r="B1856" t="n">
        <v>0</v>
      </c>
      <c r="C1856" t="inlineStr">
        <is>
          <t>No</t>
        </is>
      </c>
      <c r="D1856">
        <f>IF(AND(B1851=1,B1852=1,B1853=1,B1854=1,B1855=1),"Yes","")</f>
        <v/>
      </c>
      <c r="E1856" t="inlineStr">
        <is>
          <t>No</t>
        </is>
      </c>
      <c r="F1856" t="inlineStr">
        <is>
          <t>No</t>
        </is>
      </c>
      <c r="G1856">
        <f>IF(F1856="Yes",1-B1856,B1856)</f>
        <v/>
      </c>
      <c r="H1856">
        <f>IF(E1856="Yes","",COUNTIFS($E$2:E1856,"No"))</f>
        <v/>
      </c>
      <c r="I1856">
        <f>IF(H1856="","",IF(H1856&lt;=128,"address",IF(H1856&lt;=600,"data1",IF(H1856&lt;=1264,"zero-run1",IF(H1856&lt;=1648,"data2",IF(H1856&lt;=2176,"zero-run2",IF(H1856&lt;=2192,"FCS","trailing")))))))</f>
        <v/>
      </c>
      <c r="J1856">
        <f>IFERROR(IF(AND(H1856&lt;&gt;"",H1856&gt;=129,H1856&lt;=2176),INDEX(Fields!$B$2:$B$206,MATCH(H1856-129,Fields!$D$2:$D$206,1)),""),"")</f>
        <v/>
      </c>
      <c r="K1856">
        <f>IFERROR(IF(AND(H1856&lt;&gt;"",H1856&gt;=129,H1856&lt;=2176),INDEX(Fields!$C$2:$C$206,MATCH(H1856-129,Fields!$D$2:$D$206,1)),""),"")</f>
        <v/>
      </c>
      <c r="L1856">
        <f>IFERROR(IF(AND(H1856&lt;&gt;"",H1856&gt;=129,H1856&lt;=2176),INDEX(Fields!$J$2:$J$206,MATCH(H1856-129,Fields!$D$2:$D$206,1)),""),"")</f>
        <v/>
      </c>
      <c r="M1856">
        <f>IFERROR(IF(AND(H1856&lt;&gt;"",H1856&gt;=129,H1856&lt;=2176),INDEX(Fields!$K$2:$K$206,MATCH(H1856-129,Fields!$D$2:$D$206,1)),""),"")</f>
        <v/>
      </c>
    </row>
    <row r="1857">
      <c r="A1857" t="n">
        <v>1855</v>
      </c>
      <c r="B1857" t="n">
        <v>0</v>
      </c>
      <c r="C1857" t="inlineStr">
        <is>
          <t>No</t>
        </is>
      </c>
      <c r="D1857">
        <f>IF(AND(B1852=1,B1853=1,B1854=1,B1855=1,B1856=1),"Yes","")</f>
        <v/>
      </c>
      <c r="E1857" t="inlineStr">
        <is>
          <t>No</t>
        </is>
      </c>
      <c r="F1857" t="inlineStr">
        <is>
          <t>No</t>
        </is>
      </c>
      <c r="G1857">
        <f>IF(F1857="Yes",1-B1857,B1857)</f>
        <v/>
      </c>
      <c r="H1857">
        <f>IF(E1857="Yes","",COUNTIFS($E$2:E1857,"No"))</f>
        <v/>
      </c>
      <c r="I1857">
        <f>IF(H1857="","",IF(H1857&lt;=128,"address",IF(H1857&lt;=600,"data1",IF(H1857&lt;=1264,"zero-run1",IF(H1857&lt;=1648,"data2",IF(H1857&lt;=2176,"zero-run2",IF(H1857&lt;=2192,"FCS","trailing")))))))</f>
        <v/>
      </c>
      <c r="J1857">
        <f>IFERROR(IF(AND(H1857&lt;&gt;"",H1857&gt;=129,H1857&lt;=2176),INDEX(Fields!$B$2:$B$206,MATCH(H1857-129,Fields!$D$2:$D$206,1)),""),"")</f>
        <v/>
      </c>
      <c r="K1857">
        <f>IFERROR(IF(AND(H1857&lt;&gt;"",H1857&gt;=129,H1857&lt;=2176),INDEX(Fields!$C$2:$C$206,MATCH(H1857-129,Fields!$D$2:$D$206,1)),""),"")</f>
        <v/>
      </c>
      <c r="L1857">
        <f>IFERROR(IF(AND(H1857&lt;&gt;"",H1857&gt;=129,H1857&lt;=2176),INDEX(Fields!$J$2:$J$206,MATCH(H1857-129,Fields!$D$2:$D$206,1)),""),"")</f>
        <v/>
      </c>
      <c r="M1857">
        <f>IFERROR(IF(AND(H1857&lt;&gt;"",H1857&gt;=129,H1857&lt;=2176),INDEX(Fields!$K$2:$K$206,MATCH(H1857-129,Fields!$D$2:$D$206,1)),""),"")</f>
        <v/>
      </c>
    </row>
    <row r="1858">
      <c r="A1858" t="n">
        <v>1856</v>
      </c>
      <c r="B1858" t="n">
        <v>0</v>
      </c>
      <c r="C1858" t="inlineStr">
        <is>
          <t>No</t>
        </is>
      </c>
      <c r="D1858">
        <f>IF(AND(B1853=1,B1854=1,B1855=1,B1856=1,B1857=1),"Yes","")</f>
        <v/>
      </c>
      <c r="E1858" t="inlineStr">
        <is>
          <t>No</t>
        </is>
      </c>
      <c r="F1858" t="inlineStr">
        <is>
          <t>No</t>
        </is>
      </c>
      <c r="G1858">
        <f>IF(F1858="Yes",1-B1858,B1858)</f>
        <v/>
      </c>
      <c r="H1858">
        <f>IF(E1858="Yes","",COUNTIFS($E$2:E1858,"No"))</f>
        <v/>
      </c>
      <c r="I1858">
        <f>IF(H1858="","",IF(H1858&lt;=128,"address",IF(H1858&lt;=600,"data1",IF(H1858&lt;=1264,"zero-run1",IF(H1858&lt;=1648,"data2",IF(H1858&lt;=2176,"zero-run2",IF(H1858&lt;=2192,"FCS","trailing")))))))</f>
        <v/>
      </c>
      <c r="J1858">
        <f>IFERROR(IF(AND(H1858&lt;&gt;"",H1858&gt;=129,H1858&lt;=2176),INDEX(Fields!$B$2:$B$206,MATCH(H1858-129,Fields!$D$2:$D$206,1)),""),"")</f>
        <v/>
      </c>
      <c r="K1858">
        <f>IFERROR(IF(AND(H1858&lt;&gt;"",H1858&gt;=129,H1858&lt;=2176),INDEX(Fields!$C$2:$C$206,MATCH(H1858-129,Fields!$D$2:$D$206,1)),""),"")</f>
        <v/>
      </c>
      <c r="L1858">
        <f>IFERROR(IF(AND(H1858&lt;&gt;"",H1858&gt;=129,H1858&lt;=2176),INDEX(Fields!$J$2:$J$206,MATCH(H1858-129,Fields!$D$2:$D$206,1)),""),"")</f>
        <v/>
      </c>
      <c r="M1858">
        <f>IFERROR(IF(AND(H1858&lt;&gt;"",H1858&gt;=129,H1858&lt;=2176),INDEX(Fields!$K$2:$K$206,MATCH(H1858-129,Fields!$D$2:$D$206,1)),""),"")</f>
        <v/>
      </c>
    </row>
    <row r="1859">
      <c r="A1859" t="n">
        <v>1857</v>
      </c>
      <c r="B1859" t="n">
        <v>0</v>
      </c>
      <c r="C1859" t="inlineStr">
        <is>
          <t>No</t>
        </is>
      </c>
      <c r="D1859">
        <f>IF(AND(B1854=1,B1855=1,B1856=1,B1857=1,B1858=1),"Yes","")</f>
        <v/>
      </c>
      <c r="E1859" t="inlineStr">
        <is>
          <t>No</t>
        </is>
      </c>
      <c r="F1859" t="inlineStr">
        <is>
          <t>No</t>
        </is>
      </c>
      <c r="G1859">
        <f>IF(F1859="Yes",1-B1859,B1859)</f>
        <v/>
      </c>
      <c r="H1859">
        <f>IF(E1859="Yes","",COUNTIFS($E$2:E1859,"No"))</f>
        <v/>
      </c>
      <c r="I1859">
        <f>IF(H1859="","",IF(H1859&lt;=128,"address",IF(H1859&lt;=600,"data1",IF(H1859&lt;=1264,"zero-run1",IF(H1859&lt;=1648,"data2",IF(H1859&lt;=2176,"zero-run2",IF(H1859&lt;=2192,"FCS","trailing")))))))</f>
        <v/>
      </c>
      <c r="J1859">
        <f>IFERROR(IF(AND(H1859&lt;&gt;"",H1859&gt;=129,H1859&lt;=2176),INDEX(Fields!$B$2:$B$206,MATCH(H1859-129,Fields!$D$2:$D$206,1)),""),"")</f>
        <v/>
      </c>
      <c r="K1859">
        <f>IFERROR(IF(AND(H1859&lt;&gt;"",H1859&gt;=129,H1859&lt;=2176),INDEX(Fields!$C$2:$C$206,MATCH(H1859-129,Fields!$D$2:$D$206,1)),""),"")</f>
        <v/>
      </c>
      <c r="L1859">
        <f>IFERROR(IF(AND(H1859&lt;&gt;"",H1859&gt;=129,H1859&lt;=2176),INDEX(Fields!$J$2:$J$206,MATCH(H1859-129,Fields!$D$2:$D$206,1)),""),"")</f>
        <v/>
      </c>
      <c r="M1859">
        <f>IFERROR(IF(AND(H1859&lt;&gt;"",H1859&gt;=129,H1859&lt;=2176),INDEX(Fields!$K$2:$K$206,MATCH(H1859-129,Fields!$D$2:$D$206,1)),""),"")</f>
        <v/>
      </c>
    </row>
    <row r="1860">
      <c r="A1860" t="n">
        <v>1858</v>
      </c>
      <c r="B1860" t="n">
        <v>0</v>
      </c>
      <c r="C1860" t="inlineStr">
        <is>
          <t>No</t>
        </is>
      </c>
      <c r="D1860">
        <f>IF(AND(B1855=1,B1856=1,B1857=1,B1858=1,B1859=1),"Yes","")</f>
        <v/>
      </c>
      <c r="E1860" t="inlineStr">
        <is>
          <t>No</t>
        </is>
      </c>
      <c r="F1860" t="inlineStr">
        <is>
          <t>No</t>
        </is>
      </c>
      <c r="G1860">
        <f>IF(F1860="Yes",1-B1860,B1860)</f>
        <v/>
      </c>
      <c r="H1860">
        <f>IF(E1860="Yes","",COUNTIFS($E$2:E1860,"No"))</f>
        <v/>
      </c>
      <c r="I1860">
        <f>IF(H1860="","",IF(H1860&lt;=128,"address",IF(H1860&lt;=600,"data1",IF(H1860&lt;=1264,"zero-run1",IF(H1860&lt;=1648,"data2",IF(H1860&lt;=2176,"zero-run2",IF(H1860&lt;=2192,"FCS","trailing")))))))</f>
        <v/>
      </c>
      <c r="J1860">
        <f>IFERROR(IF(AND(H1860&lt;&gt;"",H1860&gt;=129,H1860&lt;=2176),INDEX(Fields!$B$2:$B$206,MATCH(H1860-129,Fields!$D$2:$D$206,1)),""),"")</f>
        <v/>
      </c>
      <c r="K1860">
        <f>IFERROR(IF(AND(H1860&lt;&gt;"",H1860&gt;=129,H1860&lt;=2176),INDEX(Fields!$C$2:$C$206,MATCH(H1860-129,Fields!$D$2:$D$206,1)),""),"")</f>
        <v/>
      </c>
      <c r="L1860">
        <f>IFERROR(IF(AND(H1860&lt;&gt;"",H1860&gt;=129,H1860&lt;=2176),INDEX(Fields!$J$2:$J$206,MATCH(H1860-129,Fields!$D$2:$D$206,1)),""),"")</f>
        <v/>
      </c>
      <c r="M1860">
        <f>IFERROR(IF(AND(H1860&lt;&gt;"",H1860&gt;=129,H1860&lt;=2176),INDEX(Fields!$K$2:$K$206,MATCH(H1860-129,Fields!$D$2:$D$206,1)),""),"")</f>
        <v/>
      </c>
    </row>
    <row r="1861">
      <c r="A1861" t="n">
        <v>1859</v>
      </c>
      <c r="B1861" t="n">
        <v>0</v>
      </c>
      <c r="C1861" t="inlineStr">
        <is>
          <t>No</t>
        </is>
      </c>
      <c r="D1861">
        <f>IF(AND(B1856=1,B1857=1,B1858=1,B1859=1,B1860=1),"Yes","")</f>
        <v/>
      </c>
      <c r="E1861" t="inlineStr">
        <is>
          <t>No</t>
        </is>
      </c>
      <c r="F1861" t="inlineStr">
        <is>
          <t>No</t>
        </is>
      </c>
      <c r="G1861">
        <f>IF(F1861="Yes",1-B1861,B1861)</f>
        <v/>
      </c>
      <c r="H1861">
        <f>IF(E1861="Yes","",COUNTIFS($E$2:E1861,"No"))</f>
        <v/>
      </c>
      <c r="I1861">
        <f>IF(H1861="","",IF(H1861&lt;=128,"address",IF(H1861&lt;=600,"data1",IF(H1861&lt;=1264,"zero-run1",IF(H1861&lt;=1648,"data2",IF(H1861&lt;=2176,"zero-run2",IF(H1861&lt;=2192,"FCS","trailing")))))))</f>
        <v/>
      </c>
      <c r="J1861">
        <f>IFERROR(IF(AND(H1861&lt;&gt;"",H1861&gt;=129,H1861&lt;=2176),INDEX(Fields!$B$2:$B$206,MATCH(H1861-129,Fields!$D$2:$D$206,1)),""),"")</f>
        <v/>
      </c>
      <c r="K1861">
        <f>IFERROR(IF(AND(H1861&lt;&gt;"",H1861&gt;=129,H1861&lt;=2176),INDEX(Fields!$C$2:$C$206,MATCH(H1861-129,Fields!$D$2:$D$206,1)),""),"")</f>
        <v/>
      </c>
      <c r="L1861">
        <f>IFERROR(IF(AND(H1861&lt;&gt;"",H1861&gt;=129,H1861&lt;=2176),INDEX(Fields!$J$2:$J$206,MATCH(H1861-129,Fields!$D$2:$D$206,1)),""),"")</f>
        <v/>
      </c>
      <c r="M1861">
        <f>IFERROR(IF(AND(H1861&lt;&gt;"",H1861&gt;=129,H1861&lt;=2176),INDEX(Fields!$K$2:$K$206,MATCH(H1861-129,Fields!$D$2:$D$206,1)),""),"")</f>
        <v/>
      </c>
    </row>
    <row r="1862">
      <c r="A1862" t="n">
        <v>1860</v>
      </c>
      <c r="B1862" t="n">
        <v>0</v>
      </c>
      <c r="C1862" t="inlineStr">
        <is>
          <t>No</t>
        </is>
      </c>
      <c r="D1862">
        <f>IF(AND(B1857=1,B1858=1,B1859=1,B1860=1,B1861=1),"Yes","")</f>
        <v/>
      </c>
      <c r="E1862" t="inlineStr">
        <is>
          <t>No</t>
        </is>
      </c>
      <c r="F1862" t="inlineStr">
        <is>
          <t>No</t>
        </is>
      </c>
      <c r="G1862">
        <f>IF(F1862="Yes",1-B1862,B1862)</f>
        <v/>
      </c>
      <c r="H1862">
        <f>IF(E1862="Yes","",COUNTIFS($E$2:E1862,"No"))</f>
        <v/>
      </c>
      <c r="I1862">
        <f>IF(H1862="","",IF(H1862&lt;=128,"address",IF(H1862&lt;=600,"data1",IF(H1862&lt;=1264,"zero-run1",IF(H1862&lt;=1648,"data2",IF(H1862&lt;=2176,"zero-run2",IF(H1862&lt;=2192,"FCS","trailing")))))))</f>
        <v/>
      </c>
      <c r="J1862">
        <f>IFERROR(IF(AND(H1862&lt;&gt;"",H1862&gt;=129,H1862&lt;=2176),INDEX(Fields!$B$2:$B$206,MATCH(H1862-129,Fields!$D$2:$D$206,1)),""),"")</f>
        <v/>
      </c>
      <c r="K1862">
        <f>IFERROR(IF(AND(H1862&lt;&gt;"",H1862&gt;=129,H1862&lt;=2176),INDEX(Fields!$C$2:$C$206,MATCH(H1862-129,Fields!$D$2:$D$206,1)),""),"")</f>
        <v/>
      </c>
      <c r="L1862">
        <f>IFERROR(IF(AND(H1862&lt;&gt;"",H1862&gt;=129,H1862&lt;=2176),INDEX(Fields!$J$2:$J$206,MATCH(H1862-129,Fields!$D$2:$D$206,1)),""),"")</f>
        <v/>
      </c>
      <c r="M1862">
        <f>IFERROR(IF(AND(H1862&lt;&gt;"",H1862&gt;=129,H1862&lt;=2176),INDEX(Fields!$K$2:$K$206,MATCH(H1862-129,Fields!$D$2:$D$206,1)),""),"")</f>
        <v/>
      </c>
    </row>
    <row r="1863">
      <c r="A1863" t="n">
        <v>1861</v>
      </c>
      <c r="B1863" t="n">
        <v>0</v>
      </c>
      <c r="C1863" t="inlineStr">
        <is>
          <t>No</t>
        </is>
      </c>
      <c r="D1863">
        <f>IF(AND(B1858=1,B1859=1,B1860=1,B1861=1,B1862=1),"Yes","")</f>
        <v/>
      </c>
      <c r="E1863" t="inlineStr">
        <is>
          <t>No</t>
        </is>
      </c>
      <c r="F1863" t="inlineStr">
        <is>
          <t>No</t>
        </is>
      </c>
      <c r="G1863">
        <f>IF(F1863="Yes",1-B1863,B1863)</f>
        <v/>
      </c>
      <c r="H1863">
        <f>IF(E1863="Yes","",COUNTIFS($E$2:E1863,"No"))</f>
        <v/>
      </c>
      <c r="I1863">
        <f>IF(H1863="","",IF(H1863&lt;=128,"address",IF(H1863&lt;=600,"data1",IF(H1863&lt;=1264,"zero-run1",IF(H1863&lt;=1648,"data2",IF(H1863&lt;=2176,"zero-run2",IF(H1863&lt;=2192,"FCS","trailing")))))))</f>
        <v/>
      </c>
      <c r="J1863">
        <f>IFERROR(IF(AND(H1863&lt;&gt;"",H1863&gt;=129,H1863&lt;=2176),INDEX(Fields!$B$2:$B$206,MATCH(H1863-129,Fields!$D$2:$D$206,1)),""),"")</f>
        <v/>
      </c>
      <c r="K1863">
        <f>IFERROR(IF(AND(H1863&lt;&gt;"",H1863&gt;=129,H1863&lt;=2176),INDEX(Fields!$C$2:$C$206,MATCH(H1863-129,Fields!$D$2:$D$206,1)),""),"")</f>
        <v/>
      </c>
      <c r="L1863">
        <f>IFERROR(IF(AND(H1863&lt;&gt;"",H1863&gt;=129,H1863&lt;=2176),INDEX(Fields!$J$2:$J$206,MATCH(H1863-129,Fields!$D$2:$D$206,1)),""),"")</f>
        <v/>
      </c>
      <c r="M1863">
        <f>IFERROR(IF(AND(H1863&lt;&gt;"",H1863&gt;=129,H1863&lt;=2176),INDEX(Fields!$K$2:$K$206,MATCH(H1863-129,Fields!$D$2:$D$206,1)),""),"")</f>
        <v/>
      </c>
    </row>
    <row r="1864">
      <c r="A1864" t="n">
        <v>1862</v>
      </c>
      <c r="B1864" t="n">
        <v>0</v>
      </c>
      <c r="C1864" t="inlineStr">
        <is>
          <t>No</t>
        </is>
      </c>
      <c r="D1864">
        <f>IF(AND(B1859=1,B1860=1,B1861=1,B1862=1,B1863=1),"Yes","")</f>
        <v/>
      </c>
      <c r="E1864" t="inlineStr">
        <is>
          <t>No</t>
        </is>
      </c>
      <c r="F1864" t="inlineStr">
        <is>
          <t>No</t>
        </is>
      </c>
      <c r="G1864">
        <f>IF(F1864="Yes",1-B1864,B1864)</f>
        <v/>
      </c>
      <c r="H1864">
        <f>IF(E1864="Yes","",COUNTIFS($E$2:E1864,"No"))</f>
        <v/>
      </c>
      <c r="I1864">
        <f>IF(H1864="","",IF(H1864&lt;=128,"address",IF(H1864&lt;=600,"data1",IF(H1864&lt;=1264,"zero-run1",IF(H1864&lt;=1648,"data2",IF(H1864&lt;=2176,"zero-run2",IF(H1864&lt;=2192,"FCS","trailing")))))))</f>
        <v/>
      </c>
      <c r="J1864">
        <f>IFERROR(IF(AND(H1864&lt;&gt;"",H1864&gt;=129,H1864&lt;=2176),INDEX(Fields!$B$2:$B$206,MATCH(H1864-129,Fields!$D$2:$D$206,1)),""),"")</f>
        <v/>
      </c>
      <c r="K1864">
        <f>IFERROR(IF(AND(H1864&lt;&gt;"",H1864&gt;=129,H1864&lt;=2176),INDEX(Fields!$C$2:$C$206,MATCH(H1864-129,Fields!$D$2:$D$206,1)),""),"")</f>
        <v/>
      </c>
      <c r="L1864">
        <f>IFERROR(IF(AND(H1864&lt;&gt;"",H1864&gt;=129,H1864&lt;=2176),INDEX(Fields!$J$2:$J$206,MATCH(H1864-129,Fields!$D$2:$D$206,1)),""),"")</f>
        <v/>
      </c>
      <c r="M1864">
        <f>IFERROR(IF(AND(H1864&lt;&gt;"",H1864&gt;=129,H1864&lt;=2176),INDEX(Fields!$K$2:$K$206,MATCH(H1864-129,Fields!$D$2:$D$206,1)),""),"")</f>
        <v/>
      </c>
    </row>
    <row r="1865">
      <c r="A1865" t="n">
        <v>1863</v>
      </c>
      <c r="B1865" t="n">
        <v>0</v>
      </c>
      <c r="C1865" t="inlineStr">
        <is>
          <t>No</t>
        </is>
      </c>
      <c r="D1865">
        <f>IF(AND(B1860=1,B1861=1,B1862=1,B1863=1,B1864=1),"Yes","")</f>
        <v/>
      </c>
      <c r="E1865" t="inlineStr">
        <is>
          <t>No</t>
        </is>
      </c>
      <c r="F1865" t="inlineStr">
        <is>
          <t>No</t>
        </is>
      </c>
      <c r="G1865">
        <f>IF(F1865="Yes",1-B1865,B1865)</f>
        <v/>
      </c>
      <c r="H1865">
        <f>IF(E1865="Yes","",COUNTIFS($E$2:E1865,"No"))</f>
        <v/>
      </c>
      <c r="I1865">
        <f>IF(H1865="","",IF(H1865&lt;=128,"address",IF(H1865&lt;=600,"data1",IF(H1865&lt;=1264,"zero-run1",IF(H1865&lt;=1648,"data2",IF(H1865&lt;=2176,"zero-run2",IF(H1865&lt;=2192,"FCS","trailing")))))))</f>
        <v/>
      </c>
      <c r="J1865">
        <f>IFERROR(IF(AND(H1865&lt;&gt;"",H1865&gt;=129,H1865&lt;=2176),INDEX(Fields!$B$2:$B$206,MATCH(H1865-129,Fields!$D$2:$D$206,1)),""),"")</f>
        <v/>
      </c>
      <c r="K1865">
        <f>IFERROR(IF(AND(H1865&lt;&gt;"",H1865&gt;=129,H1865&lt;=2176),INDEX(Fields!$C$2:$C$206,MATCH(H1865-129,Fields!$D$2:$D$206,1)),""),"")</f>
        <v/>
      </c>
      <c r="L1865">
        <f>IFERROR(IF(AND(H1865&lt;&gt;"",H1865&gt;=129,H1865&lt;=2176),INDEX(Fields!$J$2:$J$206,MATCH(H1865-129,Fields!$D$2:$D$206,1)),""),"")</f>
        <v/>
      </c>
      <c r="M1865">
        <f>IFERROR(IF(AND(H1865&lt;&gt;"",H1865&gt;=129,H1865&lt;=2176),INDEX(Fields!$K$2:$K$206,MATCH(H1865-129,Fields!$D$2:$D$206,1)),""),"")</f>
        <v/>
      </c>
    </row>
    <row r="1866">
      <c r="A1866" t="n">
        <v>1864</v>
      </c>
      <c r="B1866" t="n">
        <v>0</v>
      </c>
      <c r="C1866" t="inlineStr">
        <is>
          <t>No</t>
        </is>
      </c>
      <c r="D1866">
        <f>IF(AND(B1861=1,B1862=1,B1863=1,B1864=1,B1865=1),"Yes","")</f>
        <v/>
      </c>
      <c r="E1866" t="inlineStr">
        <is>
          <t>No</t>
        </is>
      </c>
      <c r="F1866" t="inlineStr">
        <is>
          <t>No</t>
        </is>
      </c>
      <c r="G1866">
        <f>IF(F1866="Yes",1-B1866,B1866)</f>
        <v/>
      </c>
      <c r="H1866">
        <f>IF(E1866="Yes","",COUNTIFS($E$2:E1866,"No"))</f>
        <v/>
      </c>
      <c r="I1866">
        <f>IF(H1866="","",IF(H1866&lt;=128,"address",IF(H1866&lt;=600,"data1",IF(H1866&lt;=1264,"zero-run1",IF(H1866&lt;=1648,"data2",IF(H1866&lt;=2176,"zero-run2",IF(H1866&lt;=2192,"FCS","trailing")))))))</f>
        <v/>
      </c>
      <c r="J1866">
        <f>IFERROR(IF(AND(H1866&lt;&gt;"",H1866&gt;=129,H1866&lt;=2176),INDEX(Fields!$B$2:$B$206,MATCH(H1866-129,Fields!$D$2:$D$206,1)),""),"")</f>
        <v/>
      </c>
      <c r="K1866">
        <f>IFERROR(IF(AND(H1866&lt;&gt;"",H1866&gt;=129,H1866&lt;=2176),INDEX(Fields!$C$2:$C$206,MATCH(H1866-129,Fields!$D$2:$D$206,1)),""),"")</f>
        <v/>
      </c>
      <c r="L1866">
        <f>IFERROR(IF(AND(H1866&lt;&gt;"",H1866&gt;=129,H1866&lt;=2176),INDEX(Fields!$J$2:$J$206,MATCH(H1866-129,Fields!$D$2:$D$206,1)),""),"")</f>
        <v/>
      </c>
      <c r="M1866">
        <f>IFERROR(IF(AND(H1866&lt;&gt;"",H1866&gt;=129,H1866&lt;=2176),INDEX(Fields!$K$2:$K$206,MATCH(H1866-129,Fields!$D$2:$D$206,1)),""),"")</f>
        <v/>
      </c>
    </row>
    <row r="1867">
      <c r="A1867" t="n">
        <v>1865</v>
      </c>
      <c r="B1867" t="n">
        <v>0</v>
      </c>
      <c r="C1867" t="inlineStr">
        <is>
          <t>No</t>
        </is>
      </c>
      <c r="D1867">
        <f>IF(AND(B1862=1,B1863=1,B1864=1,B1865=1,B1866=1),"Yes","")</f>
        <v/>
      </c>
      <c r="E1867" t="inlineStr">
        <is>
          <t>No</t>
        </is>
      </c>
      <c r="F1867" t="inlineStr">
        <is>
          <t>No</t>
        </is>
      </c>
      <c r="G1867">
        <f>IF(F1867="Yes",1-B1867,B1867)</f>
        <v/>
      </c>
      <c r="H1867">
        <f>IF(E1867="Yes","",COUNTIFS($E$2:E1867,"No"))</f>
        <v/>
      </c>
      <c r="I1867">
        <f>IF(H1867="","",IF(H1867&lt;=128,"address",IF(H1867&lt;=600,"data1",IF(H1867&lt;=1264,"zero-run1",IF(H1867&lt;=1648,"data2",IF(H1867&lt;=2176,"zero-run2",IF(H1867&lt;=2192,"FCS","trailing")))))))</f>
        <v/>
      </c>
      <c r="J1867">
        <f>IFERROR(IF(AND(H1867&lt;&gt;"",H1867&gt;=129,H1867&lt;=2176),INDEX(Fields!$B$2:$B$206,MATCH(H1867-129,Fields!$D$2:$D$206,1)),""),"")</f>
        <v/>
      </c>
      <c r="K1867">
        <f>IFERROR(IF(AND(H1867&lt;&gt;"",H1867&gt;=129,H1867&lt;=2176),INDEX(Fields!$C$2:$C$206,MATCH(H1867-129,Fields!$D$2:$D$206,1)),""),"")</f>
        <v/>
      </c>
      <c r="L1867">
        <f>IFERROR(IF(AND(H1867&lt;&gt;"",H1867&gt;=129,H1867&lt;=2176),INDEX(Fields!$J$2:$J$206,MATCH(H1867-129,Fields!$D$2:$D$206,1)),""),"")</f>
        <v/>
      </c>
      <c r="M1867">
        <f>IFERROR(IF(AND(H1867&lt;&gt;"",H1867&gt;=129,H1867&lt;=2176),INDEX(Fields!$K$2:$K$206,MATCH(H1867-129,Fields!$D$2:$D$206,1)),""),"")</f>
        <v/>
      </c>
    </row>
    <row r="1868">
      <c r="A1868" t="n">
        <v>1866</v>
      </c>
      <c r="B1868" t="n">
        <v>0</v>
      </c>
      <c r="C1868" t="inlineStr">
        <is>
          <t>No</t>
        </is>
      </c>
      <c r="D1868">
        <f>IF(AND(B1863=1,B1864=1,B1865=1,B1866=1,B1867=1),"Yes","")</f>
        <v/>
      </c>
      <c r="E1868" t="inlineStr">
        <is>
          <t>No</t>
        </is>
      </c>
      <c r="F1868" t="inlineStr">
        <is>
          <t>No</t>
        </is>
      </c>
      <c r="G1868">
        <f>IF(F1868="Yes",1-B1868,B1868)</f>
        <v/>
      </c>
      <c r="H1868">
        <f>IF(E1868="Yes","",COUNTIFS($E$2:E1868,"No"))</f>
        <v/>
      </c>
      <c r="I1868">
        <f>IF(H1868="","",IF(H1868&lt;=128,"address",IF(H1868&lt;=600,"data1",IF(H1868&lt;=1264,"zero-run1",IF(H1868&lt;=1648,"data2",IF(H1868&lt;=2176,"zero-run2",IF(H1868&lt;=2192,"FCS","trailing")))))))</f>
        <v/>
      </c>
      <c r="J1868">
        <f>IFERROR(IF(AND(H1868&lt;&gt;"",H1868&gt;=129,H1868&lt;=2176),INDEX(Fields!$B$2:$B$206,MATCH(H1868-129,Fields!$D$2:$D$206,1)),""),"")</f>
        <v/>
      </c>
      <c r="K1868">
        <f>IFERROR(IF(AND(H1868&lt;&gt;"",H1868&gt;=129,H1868&lt;=2176),INDEX(Fields!$C$2:$C$206,MATCH(H1868-129,Fields!$D$2:$D$206,1)),""),"")</f>
        <v/>
      </c>
      <c r="L1868">
        <f>IFERROR(IF(AND(H1868&lt;&gt;"",H1868&gt;=129,H1868&lt;=2176),INDEX(Fields!$J$2:$J$206,MATCH(H1868-129,Fields!$D$2:$D$206,1)),""),"")</f>
        <v/>
      </c>
      <c r="M1868">
        <f>IFERROR(IF(AND(H1868&lt;&gt;"",H1868&gt;=129,H1868&lt;=2176),INDEX(Fields!$K$2:$K$206,MATCH(H1868-129,Fields!$D$2:$D$206,1)),""),"")</f>
        <v/>
      </c>
    </row>
    <row r="1869">
      <c r="A1869" t="n">
        <v>1867</v>
      </c>
      <c r="B1869" t="n">
        <v>0</v>
      </c>
      <c r="C1869" t="inlineStr">
        <is>
          <t>No</t>
        </is>
      </c>
      <c r="D1869">
        <f>IF(AND(B1864=1,B1865=1,B1866=1,B1867=1,B1868=1),"Yes","")</f>
        <v/>
      </c>
      <c r="E1869" t="inlineStr">
        <is>
          <t>No</t>
        </is>
      </c>
      <c r="F1869" t="inlineStr">
        <is>
          <t>No</t>
        </is>
      </c>
      <c r="G1869">
        <f>IF(F1869="Yes",1-B1869,B1869)</f>
        <v/>
      </c>
      <c r="H1869">
        <f>IF(E1869="Yes","",COUNTIFS($E$2:E1869,"No"))</f>
        <v/>
      </c>
      <c r="I1869">
        <f>IF(H1869="","",IF(H1869&lt;=128,"address",IF(H1869&lt;=600,"data1",IF(H1869&lt;=1264,"zero-run1",IF(H1869&lt;=1648,"data2",IF(H1869&lt;=2176,"zero-run2",IF(H1869&lt;=2192,"FCS","trailing")))))))</f>
        <v/>
      </c>
      <c r="J1869">
        <f>IFERROR(IF(AND(H1869&lt;&gt;"",H1869&gt;=129,H1869&lt;=2176),INDEX(Fields!$B$2:$B$206,MATCH(H1869-129,Fields!$D$2:$D$206,1)),""),"")</f>
        <v/>
      </c>
      <c r="K1869">
        <f>IFERROR(IF(AND(H1869&lt;&gt;"",H1869&gt;=129,H1869&lt;=2176),INDEX(Fields!$C$2:$C$206,MATCH(H1869-129,Fields!$D$2:$D$206,1)),""),"")</f>
        <v/>
      </c>
      <c r="L1869">
        <f>IFERROR(IF(AND(H1869&lt;&gt;"",H1869&gt;=129,H1869&lt;=2176),INDEX(Fields!$J$2:$J$206,MATCH(H1869-129,Fields!$D$2:$D$206,1)),""),"")</f>
        <v/>
      </c>
      <c r="M1869">
        <f>IFERROR(IF(AND(H1869&lt;&gt;"",H1869&gt;=129,H1869&lt;=2176),INDEX(Fields!$K$2:$K$206,MATCH(H1869-129,Fields!$D$2:$D$206,1)),""),"")</f>
        <v/>
      </c>
    </row>
    <row r="1870">
      <c r="A1870" t="n">
        <v>1868</v>
      </c>
      <c r="B1870" t="n">
        <v>0</v>
      </c>
      <c r="C1870" t="inlineStr">
        <is>
          <t>No</t>
        </is>
      </c>
      <c r="D1870">
        <f>IF(AND(B1865=1,B1866=1,B1867=1,B1868=1,B1869=1),"Yes","")</f>
        <v/>
      </c>
      <c r="E1870" t="inlineStr">
        <is>
          <t>No</t>
        </is>
      </c>
      <c r="F1870" t="inlineStr">
        <is>
          <t>No</t>
        </is>
      </c>
      <c r="G1870">
        <f>IF(F1870="Yes",1-B1870,B1870)</f>
        <v/>
      </c>
      <c r="H1870">
        <f>IF(E1870="Yes","",COUNTIFS($E$2:E1870,"No"))</f>
        <v/>
      </c>
      <c r="I1870">
        <f>IF(H1870="","",IF(H1870&lt;=128,"address",IF(H1870&lt;=600,"data1",IF(H1870&lt;=1264,"zero-run1",IF(H1870&lt;=1648,"data2",IF(H1870&lt;=2176,"zero-run2",IF(H1870&lt;=2192,"FCS","trailing")))))))</f>
        <v/>
      </c>
      <c r="J1870">
        <f>IFERROR(IF(AND(H1870&lt;&gt;"",H1870&gt;=129,H1870&lt;=2176),INDEX(Fields!$B$2:$B$206,MATCH(H1870-129,Fields!$D$2:$D$206,1)),""),"")</f>
        <v/>
      </c>
      <c r="K1870">
        <f>IFERROR(IF(AND(H1870&lt;&gt;"",H1870&gt;=129,H1870&lt;=2176),INDEX(Fields!$C$2:$C$206,MATCH(H1870-129,Fields!$D$2:$D$206,1)),""),"")</f>
        <v/>
      </c>
      <c r="L1870">
        <f>IFERROR(IF(AND(H1870&lt;&gt;"",H1870&gt;=129,H1870&lt;=2176),INDEX(Fields!$J$2:$J$206,MATCH(H1870-129,Fields!$D$2:$D$206,1)),""),"")</f>
        <v/>
      </c>
      <c r="M1870">
        <f>IFERROR(IF(AND(H1870&lt;&gt;"",H1870&gt;=129,H1870&lt;=2176),INDEX(Fields!$K$2:$K$206,MATCH(H1870-129,Fields!$D$2:$D$206,1)),""),"")</f>
        <v/>
      </c>
    </row>
    <row r="1871">
      <c r="A1871" t="n">
        <v>1869</v>
      </c>
      <c r="B1871" t="n">
        <v>0</v>
      </c>
      <c r="C1871" t="inlineStr">
        <is>
          <t>No</t>
        </is>
      </c>
      <c r="D1871">
        <f>IF(AND(B1866=1,B1867=1,B1868=1,B1869=1,B1870=1),"Yes","")</f>
        <v/>
      </c>
      <c r="E1871" t="inlineStr">
        <is>
          <t>No</t>
        </is>
      </c>
      <c r="F1871" t="inlineStr">
        <is>
          <t>No</t>
        </is>
      </c>
      <c r="G1871">
        <f>IF(F1871="Yes",1-B1871,B1871)</f>
        <v/>
      </c>
      <c r="H1871">
        <f>IF(E1871="Yes","",COUNTIFS($E$2:E1871,"No"))</f>
        <v/>
      </c>
      <c r="I1871">
        <f>IF(H1871="","",IF(H1871&lt;=128,"address",IF(H1871&lt;=600,"data1",IF(H1871&lt;=1264,"zero-run1",IF(H1871&lt;=1648,"data2",IF(H1871&lt;=2176,"zero-run2",IF(H1871&lt;=2192,"FCS","trailing")))))))</f>
        <v/>
      </c>
      <c r="J1871">
        <f>IFERROR(IF(AND(H1871&lt;&gt;"",H1871&gt;=129,H1871&lt;=2176),INDEX(Fields!$B$2:$B$206,MATCH(H1871-129,Fields!$D$2:$D$206,1)),""),"")</f>
        <v/>
      </c>
      <c r="K1871">
        <f>IFERROR(IF(AND(H1871&lt;&gt;"",H1871&gt;=129,H1871&lt;=2176),INDEX(Fields!$C$2:$C$206,MATCH(H1871-129,Fields!$D$2:$D$206,1)),""),"")</f>
        <v/>
      </c>
      <c r="L1871">
        <f>IFERROR(IF(AND(H1871&lt;&gt;"",H1871&gt;=129,H1871&lt;=2176),INDEX(Fields!$J$2:$J$206,MATCH(H1871-129,Fields!$D$2:$D$206,1)),""),"")</f>
        <v/>
      </c>
      <c r="M1871">
        <f>IFERROR(IF(AND(H1871&lt;&gt;"",H1871&gt;=129,H1871&lt;=2176),INDEX(Fields!$K$2:$K$206,MATCH(H1871-129,Fields!$D$2:$D$206,1)),""),"")</f>
        <v/>
      </c>
    </row>
    <row r="1872">
      <c r="A1872" t="n">
        <v>1870</v>
      </c>
      <c r="B1872" t="n">
        <v>0</v>
      </c>
      <c r="C1872" t="inlineStr">
        <is>
          <t>No</t>
        </is>
      </c>
      <c r="D1872">
        <f>IF(AND(B1867=1,B1868=1,B1869=1,B1870=1,B1871=1),"Yes","")</f>
        <v/>
      </c>
      <c r="E1872" t="inlineStr">
        <is>
          <t>No</t>
        </is>
      </c>
      <c r="F1872" t="inlineStr">
        <is>
          <t>No</t>
        </is>
      </c>
      <c r="G1872">
        <f>IF(F1872="Yes",1-B1872,B1872)</f>
        <v/>
      </c>
      <c r="H1872">
        <f>IF(E1872="Yes","",COUNTIFS($E$2:E1872,"No"))</f>
        <v/>
      </c>
      <c r="I1872">
        <f>IF(H1872="","",IF(H1872&lt;=128,"address",IF(H1872&lt;=600,"data1",IF(H1872&lt;=1264,"zero-run1",IF(H1872&lt;=1648,"data2",IF(H1872&lt;=2176,"zero-run2",IF(H1872&lt;=2192,"FCS","trailing")))))))</f>
        <v/>
      </c>
      <c r="J1872">
        <f>IFERROR(IF(AND(H1872&lt;&gt;"",H1872&gt;=129,H1872&lt;=2176),INDEX(Fields!$B$2:$B$206,MATCH(H1872-129,Fields!$D$2:$D$206,1)),""),"")</f>
        <v/>
      </c>
      <c r="K1872">
        <f>IFERROR(IF(AND(H1872&lt;&gt;"",H1872&gt;=129,H1872&lt;=2176),INDEX(Fields!$C$2:$C$206,MATCH(H1872-129,Fields!$D$2:$D$206,1)),""),"")</f>
        <v/>
      </c>
      <c r="L1872">
        <f>IFERROR(IF(AND(H1872&lt;&gt;"",H1872&gt;=129,H1872&lt;=2176),INDEX(Fields!$J$2:$J$206,MATCH(H1872-129,Fields!$D$2:$D$206,1)),""),"")</f>
        <v/>
      </c>
      <c r="M1872">
        <f>IFERROR(IF(AND(H1872&lt;&gt;"",H1872&gt;=129,H1872&lt;=2176),INDEX(Fields!$K$2:$K$206,MATCH(H1872-129,Fields!$D$2:$D$206,1)),""),"")</f>
        <v/>
      </c>
    </row>
    <row r="1873">
      <c r="A1873" t="n">
        <v>1871</v>
      </c>
      <c r="B1873" t="n">
        <v>0</v>
      </c>
      <c r="C1873" t="inlineStr">
        <is>
          <t>No</t>
        </is>
      </c>
      <c r="D1873">
        <f>IF(AND(B1868=1,B1869=1,B1870=1,B1871=1,B1872=1),"Yes","")</f>
        <v/>
      </c>
      <c r="E1873" t="inlineStr">
        <is>
          <t>No</t>
        </is>
      </c>
      <c r="F1873" t="inlineStr">
        <is>
          <t>No</t>
        </is>
      </c>
      <c r="G1873">
        <f>IF(F1873="Yes",1-B1873,B1873)</f>
        <v/>
      </c>
      <c r="H1873">
        <f>IF(E1873="Yes","",COUNTIFS($E$2:E1873,"No"))</f>
        <v/>
      </c>
      <c r="I1873">
        <f>IF(H1873="","",IF(H1873&lt;=128,"address",IF(H1873&lt;=600,"data1",IF(H1873&lt;=1264,"zero-run1",IF(H1873&lt;=1648,"data2",IF(H1873&lt;=2176,"zero-run2",IF(H1873&lt;=2192,"FCS","trailing")))))))</f>
        <v/>
      </c>
      <c r="J1873">
        <f>IFERROR(IF(AND(H1873&lt;&gt;"",H1873&gt;=129,H1873&lt;=2176),INDEX(Fields!$B$2:$B$206,MATCH(H1873-129,Fields!$D$2:$D$206,1)),""),"")</f>
        <v/>
      </c>
      <c r="K1873">
        <f>IFERROR(IF(AND(H1873&lt;&gt;"",H1873&gt;=129,H1873&lt;=2176),INDEX(Fields!$C$2:$C$206,MATCH(H1873-129,Fields!$D$2:$D$206,1)),""),"")</f>
        <v/>
      </c>
      <c r="L1873">
        <f>IFERROR(IF(AND(H1873&lt;&gt;"",H1873&gt;=129,H1873&lt;=2176),INDEX(Fields!$J$2:$J$206,MATCH(H1873-129,Fields!$D$2:$D$206,1)),""),"")</f>
        <v/>
      </c>
      <c r="M1873">
        <f>IFERROR(IF(AND(H1873&lt;&gt;"",H1873&gt;=129,H1873&lt;=2176),INDEX(Fields!$K$2:$K$206,MATCH(H1873-129,Fields!$D$2:$D$206,1)),""),"")</f>
        <v/>
      </c>
    </row>
    <row r="1874">
      <c r="A1874" t="n">
        <v>1872</v>
      </c>
      <c r="B1874" t="n">
        <v>0</v>
      </c>
      <c r="C1874" t="inlineStr">
        <is>
          <t>No</t>
        </is>
      </c>
      <c r="D1874">
        <f>IF(AND(B1869=1,B1870=1,B1871=1,B1872=1,B1873=1),"Yes","")</f>
        <v/>
      </c>
      <c r="E1874" t="inlineStr">
        <is>
          <t>No</t>
        </is>
      </c>
      <c r="F1874" t="inlineStr">
        <is>
          <t>No</t>
        </is>
      </c>
      <c r="G1874">
        <f>IF(F1874="Yes",1-B1874,B1874)</f>
        <v/>
      </c>
      <c r="H1874">
        <f>IF(E1874="Yes","",COUNTIFS($E$2:E1874,"No"))</f>
        <v/>
      </c>
      <c r="I1874">
        <f>IF(H1874="","",IF(H1874&lt;=128,"address",IF(H1874&lt;=600,"data1",IF(H1874&lt;=1264,"zero-run1",IF(H1874&lt;=1648,"data2",IF(H1874&lt;=2176,"zero-run2",IF(H1874&lt;=2192,"FCS","trailing")))))))</f>
        <v/>
      </c>
      <c r="J1874">
        <f>IFERROR(IF(AND(H1874&lt;&gt;"",H1874&gt;=129,H1874&lt;=2176),INDEX(Fields!$B$2:$B$206,MATCH(H1874-129,Fields!$D$2:$D$206,1)),""),"")</f>
        <v/>
      </c>
      <c r="K1874">
        <f>IFERROR(IF(AND(H1874&lt;&gt;"",H1874&gt;=129,H1874&lt;=2176),INDEX(Fields!$C$2:$C$206,MATCH(H1874-129,Fields!$D$2:$D$206,1)),""),"")</f>
        <v/>
      </c>
      <c r="L1874">
        <f>IFERROR(IF(AND(H1874&lt;&gt;"",H1874&gt;=129,H1874&lt;=2176),INDEX(Fields!$J$2:$J$206,MATCH(H1874-129,Fields!$D$2:$D$206,1)),""),"")</f>
        <v/>
      </c>
      <c r="M1874">
        <f>IFERROR(IF(AND(H1874&lt;&gt;"",H1874&gt;=129,H1874&lt;=2176),INDEX(Fields!$K$2:$K$206,MATCH(H1874-129,Fields!$D$2:$D$206,1)),""),"")</f>
        <v/>
      </c>
    </row>
    <row r="1875">
      <c r="A1875" t="n">
        <v>1873</v>
      </c>
      <c r="B1875" t="n">
        <v>0</v>
      </c>
      <c r="C1875" t="inlineStr">
        <is>
          <t>No</t>
        </is>
      </c>
      <c r="D1875">
        <f>IF(AND(B1870=1,B1871=1,B1872=1,B1873=1,B1874=1),"Yes","")</f>
        <v/>
      </c>
      <c r="E1875" t="inlineStr">
        <is>
          <t>No</t>
        </is>
      </c>
      <c r="F1875" t="inlineStr">
        <is>
          <t>No</t>
        </is>
      </c>
      <c r="G1875">
        <f>IF(F1875="Yes",1-B1875,B1875)</f>
        <v/>
      </c>
      <c r="H1875">
        <f>IF(E1875="Yes","",COUNTIFS($E$2:E1875,"No"))</f>
        <v/>
      </c>
      <c r="I1875">
        <f>IF(H1875="","",IF(H1875&lt;=128,"address",IF(H1875&lt;=600,"data1",IF(H1875&lt;=1264,"zero-run1",IF(H1875&lt;=1648,"data2",IF(H1875&lt;=2176,"zero-run2",IF(H1875&lt;=2192,"FCS","trailing")))))))</f>
        <v/>
      </c>
      <c r="J1875">
        <f>IFERROR(IF(AND(H1875&lt;&gt;"",H1875&gt;=129,H1875&lt;=2176),INDEX(Fields!$B$2:$B$206,MATCH(H1875-129,Fields!$D$2:$D$206,1)),""),"")</f>
        <v/>
      </c>
      <c r="K1875">
        <f>IFERROR(IF(AND(H1875&lt;&gt;"",H1875&gt;=129,H1875&lt;=2176),INDEX(Fields!$C$2:$C$206,MATCH(H1875-129,Fields!$D$2:$D$206,1)),""),"")</f>
        <v/>
      </c>
      <c r="L1875">
        <f>IFERROR(IF(AND(H1875&lt;&gt;"",H1875&gt;=129,H1875&lt;=2176),INDEX(Fields!$J$2:$J$206,MATCH(H1875-129,Fields!$D$2:$D$206,1)),""),"")</f>
        <v/>
      </c>
      <c r="M1875">
        <f>IFERROR(IF(AND(H1875&lt;&gt;"",H1875&gt;=129,H1875&lt;=2176),INDEX(Fields!$K$2:$K$206,MATCH(H1875-129,Fields!$D$2:$D$206,1)),""),"")</f>
        <v/>
      </c>
    </row>
    <row r="1876">
      <c r="A1876" t="n">
        <v>1874</v>
      </c>
      <c r="B1876" t="n">
        <v>0</v>
      </c>
      <c r="C1876" t="inlineStr">
        <is>
          <t>No</t>
        </is>
      </c>
      <c r="D1876">
        <f>IF(AND(B1871=1,B1872=1,B1873=1,B1874=1,B1875=1),"Yes","")</f>
        <v/>
      </c>
      <c r="E1876" t="inlineStr">
        <is>
          <t>No</t>
        </is>
      </c>
      <c r="F1876" t="inlineStr">
        <is>
          <t>No</t>
        </is>
      </c>
      <c r="G1876">
        <f>IF(F1876="Yes",1-B1876,B1876)</f>
        <v/>
      </c>
      <c r="H1876">
        <f>IF(E1876="Yes","",COUNTIFS($E$2:E1876,"No"))</f>
        <v/>
      </c>
      <c r="I1876">
        <f>IF(H1876="","",IF(H1876&lt;=128,"address",IF(H1876&lt;=600,"data1",IF(H1876&lt;=1264,"zero-run1",IF(H1876&lt;=1648,"data2",IF(H1876&lt;=2176,"zero-run2",IF(H1876&lt;=2192,"FCS","trailing")))))))</f>
        <v/>
      </c>
      <c r="J1876">
        <f>IFERROR(IF(AND(H1876&lt;&gt;"",H1876&gt;=129,H1876&lt;=2176),INDEX(Fields!$B$2:$B$206,MATCH(H1876-129,Fields!$D$2:$D$206,1)),""),"")</f>
        <v/>
      </c>
      <c r="K1876">
        <f>IFERROR(IF(AND(H1876&lt;&gt;"",H1876&gt;=129,H1876&lt;=2176),INDEX(Fields!$C$2:$C$206,MATCH(H1876-129,Fields!$D$2:$D$206,1)),""),"")</f>
        <v/>
      </c>
      <c r="L1876">
        <f>IFERROR(IF(AND(H1876&lt;&gt;"",H1876&gt;=129,H1876&lt;=2176),INDEX(Fields!$J$2:$J$206,MATCH(H1876-129,Fields!$D$2:$D$206,1)),""),"")</f>
        <v/>
      </c>
      <c r="M1876">
        <f>IFERROR(IF(AND(H1876&lt;&gt;"",H1876&gt;=129,H1876&lt;=2176),INDEX(Fields!$K$2:$K$206,MATCH(H1876-129,Fields!$D$2:$D$206,1)),""),"")</f>
        <v/>
      </c>
    </row>
    <row r="1877">
      <c r="A1877" t="n">
        <v>1875</v>
      </c>
      <c r="B1877" t="n">
        <v>0</v>
      </c>
      <c r="C1877" t="inlineStr">
        <is>
          <t>No</t>
        </is>
      </c>
      <c r="D1877">
        <f>IF(AND(B1872=1,B1873=1,B1874=1,B1875=1,B1876=1),"Yes","")</f>
        <v/>
      </c>
      <c r="E1877" t="inlineStr">
        <is>
          <t>No</t>
        </is>
      </c>
      <c r="F1877" t="inlineStr">
        <is>
          <t>No</t>
        </is>
      </c>
      <c r="G1877">
        <f>IF(F1877="Yes",1-B1877,B1877)</f>
        <v/>
      </c>
      <c r="H1877">
        <f>IF(E1877="Yes","",COUNTIFS($E$2:E1877,"No"))</f>
        <v/>
      </c>
      <c r="I1877">
        <f>IF(H1877="","",IF(H1877&lt;=128,"address",IF(H1877&lt;=600,"data1",IF(H1877&lt;=1264,"zero-run1",IF(H1877&lt;=1648,"data2",IF(H1877&lt;=2176,"zero-run2",IF(H1877&lt;=2192,"FCS","trailing")))))))</f>
        <v/>
      </c>
      <c r="J1877">
        <f>IFERROR(IF(AND(H1877&lt;&gt;"",H1877&gt;=129,H1877&lt;=2176),INDEX(Fields!$B$2:$B$206,MATCH(H1877-129,Fields!$D$2:$D$206,1)),""),"")</f>
        <v/>
      </c>
      <c r="K1877">
        <f>IFERROR(IF(AND(H1877&lt;&gt;"",H1877&gt;=129,H1877&lt;=2176),INDEX(Fields!$C$2:$C$206,MATCH(H1877-129,Fields!$D$2:$D$206,1)),""),"")</f>
        <v/>
      </c>
      <c r="L1877">
        <f>IFERROR(IF(AND(H1877&lt;&gt;"",H1877&gt;=129,H1877&lt;=2176),INDEX(Fields!$J$2:$J$206,MATCH(H1877-129,Fields!$D$2:$D$206,1)),""),"")</f>
        <v/>
      </c>
      <c r="M1877">
        <f>IFERROR(IF(AND(H1877&lt;&gt;"",H1877&gt;=129,H1877&lt;=2176),INDEX(Fields!$K$2:$K$206,MATCH(H1877-129,Fields!$D$2:$D$206,1)),""),"")</f>
        <v/>
      </c>
    </row>
    <row r="1878">
      <c r="A1878" t="n">
        <v>1876</v>
      </c>
      <c r="B1878" t="n">
        <v>0</v>
      </c>
      <c r="C1878" t="inlineStr">
        <is>
          <t>No</t>
        </is>
      </c>
      <c r="D1878">
        <f>IF(AND(B1873=1,B1874=1,B1875=1,B1876=1,B1877=1),"Yes","")</f>
        <v/>
      </c>
      <c r="E1878" t="inlineStr">
        <is>
          <t>No</t>
        </is>
      </c>
      <c r="F1878" t="inlineStr">
        <is>
          <t>No</t>
        </is>
      </c>
      <c r="G1878">
        <f>IF(F1878="Yes",1-B1878,B1878)</f>
        <v/>
      </c>
      <c r="H1878">
        <f>IF(E1878="Yes","",COUNTIFS($E$2:E1878,"No"))</f>
        <v/>
      </c>
      <c r="I1878">
        <f>IF(H1878="","",IF(H1878&lt;=128,"address",IF(H1878&lt;=600,"data1",IF(H1878&lt;=1264,"zero-run1",IF(H1878&lt;=1648,"data2",IF(H1878&lt;=2176,"zero-run2",IF(H1878&lt;=2192,"FCS","trailing")))))))</f>
        <v/>
      </c>
      <c r="J1878">
        <f>IFERROR(IF(AND(H1878&lt;&gt;"",H1878&gt;=129,H1878&lt;=2176),INDEX(Fields!$B$2:$B$206,MATCH(H1878-129,Fields!$D$2:$D$206,1)),""),"")</f>
        <v/>
      </c>
      <c r="K1878">
        <f>IFERROR(IF(AND(H1878&lt;&gt;"",H1878&gt;=129,H1878&lt;=2176),INDEX(Fields!$C$2:$C$206,MATCH(H1878-129,Fields!$D$2:$D$206,1)),""),"")</f>
        <v/>
      </c>
      <c r="L1878">
        <f>IFERROR(IF(AND(H1878&lt;&gt;"",H1878&gt;=129,H1878&lt;=2176),INDEX(Fields!$J$2:$J$206,MATCH(H1878-129,Fields!$D$2:$D$206,1)),""),"")</f>
        <v/>
      </c>
      <c r="M1878">
        <f>IFERROR(IF(AND(H1878&lt;&gt;"",H1878&gt;=129,H1878&lt;=2176),INDEX(Fields!$K$2:$K$206,MATCH(H1878-129,Fields!$D$2:$D$206,1)),""),"")</f>
        <v/>
      </c>
    </row>
    <row r="1879">
      <c r="A1879" t="n">
        <v>1877</v>
      </c>
      <c r="B1879" t="n">
        <v>0</v>
      </c>
      <c r="C1879" t="inlineStr">
        <is>
          <t>No</t>
        </is>
      </c>
      <c r="D1879">
        <f>IF(AND(B1874=1,B1875=1,B1876=1,B1877=1,B1878=1),"Yes","")</f>
        <v/>
      </c>
      <c r="E1879" t="inlineStr">
        <is>
          <t>No</t>
        </is>
      </c>
      <c r="F1879" t="inlineStr">
        <is>
          <t>No</t>
        </is>
      </c>
      <c r="G1879">
        <f>IF(F1879="Yes",1-B1879,B1879)</f>
        <v/>
      </c>
      <c r="H1879">
        <f>IF(E1879="Yes","",COUNTIFS($E$2:E1879,"No"))</f>
        <v/>
      </c>
      <c r="I1879">
        <f>IF(H1879="","",IF(H1879&lt;=128,"address",IF(H1879&lt;=600,"data1",IF(H1879&lt;=1264,"zero-run1",IF(H1879&lt;=1648,"data2",IF(H1879&lt;=2176,"zero-run2",IF(H1879&lt;=2192,"FCS","trailing")))))))</f>
        <v/>
      </c>
      <c r="J1879">
        <f>IFERROR(IF(AND(H1879&lt;&gt;"",H1879&gt;=129,H1879&lt;=2176),INDEX(Fields!$B$2:$B$206,MATCH(H1879-129,Fields!$D$2:$D$206,1)),""),"")</f>
        <v/>
      </c>
      <c r="K1879">
        <f>IFERROR(IF(AND(H1879&lt;&gt;"",H1879&gt;=129,H1879&lt;=2176),INDEX(Fields!$C$2:$C$206,MATCH(H1879-129,Fields!$D$2:$D$206,1)),""),"")</f>
        <v/>
      </c>
      <c r="L1879">
        <f>IFERROR(IF(AND(H1879&lt;&gt;"",H1879&gt;=129,H1879&lt;=2176),INDEX(Fields!$J$2:$J$206,MATCH(H1879-129,Fields!$D$2:$D$206,1)),""),"")</f>
        <v/>
      </c>
      <c r="M1879">
        <f>IFERROR(IF(AND(H1879&lt;&gt;"",H1879&gt;=129,H1879&lt;=2176),INDEX(Fields!$K$2:$K$206,MATCH(H1879-129,Fields!$D$2:$D$206,1)),""),"")</f>
        <v/>
      </c>
    </row>
    <row r="1880">
      <c r="A1880" t="n">
        <v>1878</v>
      </c>
      <c r="B1880" t="n">
        <v>0</v>
      </c>
      <c r="C1880" t="inlineStr">
        <is>
          <t>No</t>
        </is>
      </c>
      <c r="D1880">
        <f>IF(AND(B1875=1,B1876=1,B1877=1,B1878=1,B1879=1),"Yes","")</f>
        <v/>
      </c>
      <c r="E1880" t="inlineStr">
        <is>
          <t>No</t>
        </is>
      </c>
      <c r="F1880" t="inlineStr">
        <is>
          <t>No</t>
        </is>
      </c>
      <c r="G1880">
        <f>IF(F1880="Yes",1-B1880,B1880)</f>
        <v/>
      </c>
      <c r="H1880">
        <f>IF(E1880="Yes","",COUNTIFS($E$2:E1880,"No"))</f>
        <v/>
      </c>
      <c r="I1880">
        <f>IF(H1880="","",IF(H1880&lt;=128,"address",IF(H1880&lt;=600,"data1",IF(H1880&lt;=1264,"zero-run1",IF(H1880&lt;=1648,"data2",IF(H1880&lt;=2176,"zero-run2",IF(H1880&lt;=2192,"FCS","trailing")))))))</f>
        <v/>
      </c>
      <c r="J1880">
        <f>IFERROR(IF(AND(H1880&lt;&gt;"",H1880&gt;=129,H1880&lt;=2176),INDEX(Fields!$B$2:$B$206,MATCH(H1880-129,Fields!$D$2:$D$206,1)),""),"")</f>
        <v/>
      </c>
      <c r="K1880">
        <f>IFERROR(IF(AND(H1880&lt;&gt;"",H1880&gt;=129,H1880&lt;=2176),INDEX(Fields!$C$2:$C$206,MATCH(H1880-129,Fields!$D$2:$D$206,1)),""),"")</f>
        <v/>
      </c>
      <c r="L1880">
        <f>IFERROR(IF(AND(H1880&lt;&gt;"",H1880&gt;=129,H1880&lt;=2176),INDEX(Fields!$J$2:$J$206,MATCH(H1880-129,Fields!$D$2:$D$206,1)),""),"")</f>
        <v/>
      </c>
      <c r="M1880">
        <f>IFERROR(IF(AND(H1880&lt;&gt;"",H1880&gt;=129,H1880&lt;=2176),INDEX(Fields!$K$2:$K$206,MATCH(H1880-129,Fields!$D$2:$D$206,1)),""),"")</f>
        <v/>
      </c>
    </row>
    <row r="1881">
      <c r="A1881" t="n">
        <v>1879</v>
      </c>
      <c r="B1881" t="n">
        <v>0</v>
      </c>
      <c r="C1881" t="inlineStr">
        <is>
          <t>No</t>
        </is>
      </c>
      <c r="D1881">
        <f>IF(AND(B1876=1,B1877=1,B1878=1,B1879=1,B1880=1),"Yes","")</f>
        <v/>
      </c>
      <c r="E1881" t="inlineStr">
        <is>
          <t>No</t>
        </is>
      </c>
      <c r="F1881" t="inlineStr">
        <is>
          <t>No</t>
        </is>
      </c>
      <c r="G1881">
        <f>IF(F1881="Yes",1-B1881,B1881)</f>
        <v/>
      </c>
      <c r="H1881">
        <f>IF(E1881="Yes","",COUNTIFS($E$2:E1881,"No"))</f>
        <v/>
      </c>
      <c r="I1881">
        <f>IF(H1881="","",IF(H1881&lt;=128,"address",IF(H1881&lt;=600,"data1",IF(H1881&lt;=1264,"zero-run1",IF(H1881&lt;=1648,"data2",IF(H1881&lt;=2176,"zero-run2",IF(H1881&lt;=2192,"FCS","trailing")))))))</f>
        <v/>
      </c>
      <c r="J1881">
        <f>IFERROR(IF(AND(H1881&lt;&gt;"",H1881&gt;=129,H1881&lt;=2176),INDEX(Fields!$B$2:$B$206,MATCH(H1881-129,Fields!$D$2:$D$206,1)),""),"")</f>
        <v/>
      </c>
      <c r="K1881">
        <f>IFERROR(IF(AND(H1881&lt;&gt;"",H1881&gt;=129,H1881&lt;=2176),INDEX(Fields!$C$2:$C$206,MATCH(H1881-129,Fields!$D$2:$D$206,1)),""),"")</f>
        <v/>
      </c>
      <c r="L1881">
        <f>IFERROR(IF(AND(H1881&lt;&gt;"",H1881&gt;=129,H1881&lt;=2176),INDEX(Fields!$J$2:$J$206,MATCH(H1881-129,Fields!$D$2:$D$206,1)),""),"")</f>
        <v/>
      </c>
      <c r="M1881">
        <f>IFERROR(IF(AND(H1881&lt;&gt;"",H1881&gt;=129,H1881&lt;=2176),INDEX(Fields!$K$2:$K$206,MATCH(H1881-129,Fields!$D$2:$D$206,1)),""),"")</f>
        <v/>
      </c>
    </row>
    <row r="1882">
      <c r="A1882" t="n">
        <v>1880</v>
      </c>
      <c r="B1882" t="n">
        <v>0</v>
      </c>
      <c r="C1882" t="inlineStr">
        <is>
          <t>No</t>
        </is>
      </c>
      <c r="D1882">
        <f>IF(AND(B1877=1,B1878=1,B1879=1,B1880=1,B1881=1),"Yes","")</f>
        <v/>
      </c>
      <c r="E1882" t="inlineStr">
        <is>
          <t>No</t>
        </is>
      </c>
      <c r="F1882" t="inlineStr">
        <is>
          <t>No</t>
        </is>
      </c>
      <c r="G1882">
        <f>IF(F1882="Yes",1-B1882,B1882)</f>
        <v/>
      </c>
      <c r="H1882">
        <f>IF(E1882="Yes","",COUNTIFS($E$2:E1882,"No"))</f>
        <v/>
      </c>
      <c r="I1882">
        <f>IF(H1882="","",IF(H1882&lt;=128,"address",IF(H1882&lt;=600,"data1",IF(H1882&lt;=1264,"zero-run1",IF(H1882&lt;=1648,"data2",IF(H1882&lt;=2176,"zero-run2",IF(H1882&lt;=2192,"FCS","trailing")))))))</f>
        <v/>
      </c>
      <c r="J1882">
        <f>IFERROR(IF(AND(H1882&lt;&gt;"",H1882&gt;=129,H1882&lt;=2176),INDEX(Fields!$B$2:$B$206,MATCH(H1882-129,Fields!$D$2:$D$206,1)),""),"")</f>
        <v/>
      </c>
      <c r="K1882">
        <f>IFERROR(IF(AND(H1882&lt;&gt;"",H1882&gt;=129,H1882&lt;=2176),INDEX(Fields!$C$2:$C$206,MATCH(H1882-129,Fields!$D$2:$D$206,1)),""),"")</f>
        <v/>
      </c>
      <c r="L1882">
        <f>IFERROR(IF(AND(H1882&lt;&gt;"",H1882&gt;=129,H1882&lt;=2176),INDEX(Fields!$J$2:$J$206,MATCH(H1882-129,Fields!$D$2:$D$206,1)),""),"")</f>
        <v/>
      </c>
      <c r="M1882">
        <f>IFERROR(IF(AND(H1882&lt;&gt;"",H1882&gt;=129,H1882&lt;=2176),INDEX(Fields!$K$2:$K$206,MATCH(H1882-129,Fields!$D$2:$D$206,1)),""),"")</f>
        <v/>
      </c>
    </row>
    <row r="1883">
      <c r="A1883" t="n">
        <v>1881</v>
      </c>
      <c r="B1883" t="n">
        <v>0</v>
      </c>
      <c r="C1883" t="inlineStr">
        <is>
          <t>No</t>
        </is>
      </c>
      <c r="D1883">
        <f>IF(AND(B1878=1,B1879=1,B1880=1,B1881=1,B1882=1),"Yes","")</f>
        <v/>
      </c>
      <c r="E1883" t="inlineStr">
        <is>
          <t>No</t>
        </is>
      </c>
      <c r="F1883" t="inlineStr">
        <is>
          <t>No</t>
        </is>
      </c>
      <c r="G1883">
        <f>IF(F1883="Yes",1-B1883,B1883)</f>
        <v/>
      </c>
      <c r="H1883">
        <f>IF(E1883="Yes","",COUNTIFS($E$2:E1883,"No"))</f>
        <v/>
      </c>
      <c r="I1883">
        <f>IF(H1883="","",IF(H1883&lt;=128,"address",IF(H1883&lt;=600,"data1",IF(H1883&lt;=1264,"zero-run1",IF(H1883&lt;=1648,"data2",IF(H1883&lt;=2176,"zero-run2",IF(H1883&lt;=2192,"FCS","trailing")))))))</f>
        <v/>
      </c>
      <c r="J1883">
        <f>IFERROR(IF(AND(H1883&lt;&gt;"",H1883&gt;=129,H1883&lt;=2176),INDEX(Fields!$B$2:$B$206,MATCH(H1883-129,Fields!$D$2:$D$206,1)),""),"")</f>
        <v/>
      </c>
      <c r="K1883">
        <f>IFERROR(IF(AND(H1883&lt;&gt;"",H1883&gt;=129,H1883&lt;=2176),INDEX(Fields!$C$2:$C$206,MATCH(H1883-129,Fields!$D$2:$D$206,1)),""),"")</f>
        <v/>
      </c>
      <c r="L1883">
        <f>IFERROR(IF(AND(H1883&lt;&gt;"",H1883&gt;=129,H1883&lt;=2176),INDEX(Fields!$J$2:$J$206,MATCH(H1883-129,Fields!$D$2:$D$206,1)),""),"")</f>
        <v/>
      </c>
      <c r="M1883">
        <f>IFERROR(IF(AND(H1883&lt;&gt;"",H1883&gt;=129,H1883&lt;=2176),INDEX(Fields!$K$2:$K$206,MATCH(H1883-129,Fields!$D$2:$D$206,1)),""),"")</f>
        <v/>
      </c>
    </row>
    <row r="1884">
      <c r="A1884" t="n">
        <v>1882</v>
      </c>
      <c r="B1884" t="n">
        <v>0</v>
      </c>
      <c r="C1884" t="inlineStr">
        <is>
          <t>No</t>
        </is>
      </c>
      <c r="D1884">
        <f>IF(AND(B1879=1,B1880=1,B1881=1,B1882=1,B1883=1),"Yes","")</f>
        <v/>
      </c>
      <c r="E1884" t="inlineStr">
        <is>
          <t>No</t>
        </is>
      </c>
      <c r="F1884" t="inlineStr">
        <is>
          <t>No</t>
        </is>
      </c>
      <c r="G1884">
        <f>IF(F1884="Yes",1-B1884,B1884)</f>
        <v/>
      </c>
      <c r="H1884">
        <f>IF(E1884="Yes","",COUNTIFS($E$2:E1884,"No"))</f>
        <v/>
      </c>
      <c r="I1884">
        <f>IF(H1884="","",IF(H1884&lt;=128,"address",IF(H1884&lt;=600,"data1",IF(H1884&lt;=1264,"zero-run1",IF(H1884&lt;=1648,"data2",IF(H1884&lt;=2176,"zero-run2",IF(H1884&lt;=2192,"FCS","trailing")))))))</f>
        <v/>
      </c>
      <c r="J1884">
        <f>IFERROR(IF(AND(H1884&lt;&gt;"",H1884&gt;=129,H1884&lt;=2176),INDEX(Fields!$B$2:$B$206,MATCH(H1884-129,Fields!$D$2:$D$206,1)),""),"")</f>
        <v/>
      </c>
      <c r="K1884">
        <f>IFERROR(IF(AND(H1884&lt;&gt;"",H1884&gt;=129,H1884&lt;=2176),INDEX(Fields!$C$2:$C$206,MATCH(H1884-129,Fields!$D$2:$D$206,1)),""),"")</f>
        <v/>
      </c>
      <c r="L1884">
        <f>IFERROR(IF(AND(H1884&lt;&gt;"",H1884&gt;=129,H1884&lt;=2176),INDEX(Fields!$J$2:$J$206,MATCH(H1884-129,Fields!$D$2:$D$206,1)),""),"")</f>
        <v/>
      </c>
      <c r="M1884">
        <f>IFERROR(IF(AND(H1884&lt;&gt;"",H1884&gt;=129,H1884&lt;=2176),INDEX(Fields!$K$2:$K$206,MATCH(H1884-129,Fields!$D$2:$D$206,1)),""),"")</f>
        <v/>
      </c>
    </row>
    <row r="1885">
      <c r="A1885" t="n">
        <v>1883</v>
      </c>
      <c r="B1885" t="n">
        <v>0</v>
      </c>
      <c r="C1885" t="inlineStr">
        <is>
          <t>No</t>
        </is>
      </c>
      <c r="D1885">
        <f>IF(AND(B1880=1,B1881=1,B1882=1,B1883=1,B1884=1),"Yes","")</f>
        <v/>
      </c>
      <c r="E1885" t="inlineStr">
        <is>
          <t>No</t>
        </is>
      </c>
      <c r="F1885" t="inlineStr">
        <is>
          <t>No</t>
        </is>
      </c>
      <c r="G1885">
        <f>IF(F1885="Yes",1-B1885,B1885)</f>
        <v/>
      </c>
      <c r="H1885">
        <f>IF(E1885="Yes","",COUNTIFS($E$2:E1885,"No"))</f>
        <v/>
      </c>
      <c r="I1885">
        <f>IF(H1885="","",IF(H1885&lt;=128,"address",IF(H1885&lt;=600,"data1",IF(H1885&lt;=1264,"zero-run1",IF(H1885&lt;=1648,"data2",IF(H1885&lt;=2176,"zero-run2",IF(H1885&lt;=2192,"FCS","trailing")))))))</f>
        <v/>
      </c>
      <c r="J1885">
        <f>IFERROR(IF(AND(H1885&lt;&gt;"",H1885&gt;=129,H1885&lt;=2176),INDEX(Fields!$B$2:$B$206,MATCH(H1885-129,Fields!$D$2:$D$206,1)),""),"")</f>
        <v/>
      </c>
      <c r="K1885">
        <f>IFERROR(IF(AND(H1885&lt;&gt;"",H1885&gt;=129,H1885&lt;=2176),INDEX(Fields!$C$2:$C$206,MATCH(H1885-129,Fields!$D$2:$D$206,1)),""),"")</f>
        <v/>
      </c>
      <c r="L1885">
        <f>IFERROR(IF(AND(H1885&lt;&gt;"",H1885&gt;=129,H1885&lt;=2176),INDEX(Fields!$J$2:$J$206,MATCH(H1885-129,Fields!$D$2:$D$206,1)),""),"")</f>
        <v/>
      </c>
      <c r="M1885">
        <f>IFERROR(IF(AND(H1885&lt;&gt;"",H1885&gt;=129,H1885&lt;=2176),INDEX(Fields!$K$2:$K$206,MATCH(H1885-129,Fields!$D$2:$D$206,1)),""),"")</f>
        <v/>
      </c>
    </row>
    <row r="1886">
      <c r="A1886" t="n">
        <v>1884</v>
      </c>
      <c r="B1886" t="n">
        <v>0</v>
      </c>
      <c r="C1886" t="inlineStr">
        <is>
          <t>No</t>
        </is>
      </c>
      <c r="D1886">
        <f>IF(AND(B1881=1,B1882=1,B1883=1,B1884=1,B1885=1),"Yes","")</f>
        <v/>
      </c>
      <c r="E1886" t="inlineStr">
        <is>
          <t>No</t>
        </is>
      </c>
      <c r="F1886" t="inlineStr">
        <is>
          <t>No</t>
        </is>
      </c>
      <c r="G1886">
        <f>IF(F1886="Yes",1-B1886,B1886)</f>
        <v/>
      </c>
      <c r="H1886">
        <f>IF(E1886="Yes","",COUNTIFS($E$2:E1886,"No"))</f>
        <v/>
      </c>
      <c r="I1886">
        <f>IF(H1886="","",IF(H1886&lt;=128,"address",IF(H1886&lt;=600,"data1",IF(H1886&lt;=1264,"zero-run1",IF(H1886&lt;=1648,"data2",IF(H1886&lt;=2176,"zero-run2",IF(H1886&lt;=2192,"FCS","trailing")))))))</f>
        <v/>
      </c>
      <c r="J1886">
        <f>IFERROR(IF(AND(H1886&lt;&gt;"",H1886&gt;=129,H1886&lt;=2176),INDEX(Fields!$B$2:$B$206,MATCH(H1886-129,Fields!$D$2:$D$206,1)),""),"")</f>
        <v/>
      </c>
      <c r="K1886">
        <f>IFERROR(IF(AND(H1886&lt;&gt;"",H1886&gt;=129,H1886&lt;=2176),INDEX(Fields!$C$2:$C$206,MATCH(H1886-129,Fields!$D$2:$D$206,1)),""),"")</f>
        <v/>
      </c>
      <c r="L1886">
        <f>IFERROR(IF(AND(H1886&lt;&gt;"",H1886&gt;=129,H1886&lt;=2176),INDEX(Fields!$J$2:$J$206,MATCH(H1886-129,Fields!$D$2:$D$206,1)),""),"")</f>
        <v/>
      </c>
      <c r="M1886">
        <f>IFERROR(IF(AND(H1886&lt;&gt;"",H1886&gt;=129,H1886&lt;=2176),INDEX(Fields!$K$2:$K$206,MATCH(H1886-129,Fields!$D$2:$D$206,1)),""),"")</f>
        <v/>
      </c>
    </row>
    <row r="1887">
      <c r="A1887" t="n">
        <v>1885</v>
      </c>
      <c r="B1887" t="n">
        <v>0</v>
      </c>
      <c r="C1887" t="inlineStr">
        <is>
          <t>No</t>
        </is>
      </c>
      <c r="D1887">
        <f>IF(AND(B1882=1,B1883=1,B1884=1,B1885=1,B1886=1),"Yes","")</f>
        <v/>
      </c>
      <c r="E1887" t="inlineStr">
        <is>
          <t>No</t>
        </is>
      </c>
      <c r="F1887" t="inlineStr">
        <is>
          <t>No</t>
        </is>
      </c>
      <c r="G1887">
        <f>IF(F1887="Yes",1-B1887,B1887)</f>
        <v/>
      </c>
      <c r="H1887">
        <f>IF(E1887="Yes","",COUNTIFS($E$2:E1887,"No"))</f>
        <v/>
      </c>
      <c r="I1887">
        <f>IF(H1887="","",IF(H1887&lt;=128,"address",IF(H1887&lt;=600,"data1",IF(H1887&lt;=1264,"zero-run1",IF(H1887&lt;=1648,"data2",IF(H1887&lt;=2176,"zero-run2",IF(H1887&lt;=2192,"FCS","trailing")))))))</f>
        <v/>
      </c>
      <c r="J1887">
        <f>IFERROR(IF(AND(H1887&lt;&gt;"",H1887&gt;=129,H1887&lt;=2176),INDEX(Fields!$B$2:$B$206,MATCH(H1887-129,Fields!$D$2:$D$206,1)),""),"")</f>
        <v/>
      </c>
      <c r="K1887">
        <f>IFERROR(IF(AND(H1887&lt;&gt;"",H1887&gt;=129,H1887&lt;=2176),INDEX(Fields!$C$2:$C$206,MATCH(H1887-129,Fields!$D$2:$D$206,1)),""),"")</f>
        <v/>
      </c>
      <c r="L1887">
        <f>IFERROR(IF(AND(H1887&lt;&gt;"",H1887&gt;=129,H1887&lt;=2176),INDEX(Fields!$J$2:$J$206,MATCH(H1887-129,Fields!$D$2:$D$206,1)),""),"")</f>
        <v/>
      </c>
      <c r="M1887">
        <f>IFERROR(IF(AND(H1887&lt;&gt;"",H1887&gt;=129,H1887&lt;=2176),INDEX(Fields!$K$2:$K$206,MATCH(H1887-129,Fields!$D$2:$D$206,1)),""),"")</f>
        <v/>
      </c>
    </row>
    <row r="1888">
      <c r="A1888" t="n">
        <v>1886</v>
      </c>
      <c r="B1888" t="n">
        <v>0</v>
      </c>
      <c r="C1888" t="inlineStr">
        <is>
          <t>No</t>
        </is>
      </c>
      <c r="D1888">
        <f>IF(AND(B1883=1,B1884=1,B1885=1,B1886=1,B1887=1),"Yes","")</f>
        <v/>
      </c>
      <c r="E1888" t="inlineStr">
        <is>
          <t>No</t>
        </is>
      </c>
      <c r="F1888" t="inlineStr">
        <is>
          <t>No</t>
        </is>
      </c>
      <c r="G1888">
        <f>IF(F1888="Yes",1-B1888,B1888)</f>
        <v/>
      </c>
      <c r="H1888">
        <f>IF(E1888="Yes","",COUNTIFS($E$2:E1888,"No"))</f>
        <v/>
      </c>
      <c r="I1888">
        <f>IF(H1888="","",IF(H1888&lt;=128,"address",IF(H1888&lt;=600,"data1",IF(H1888&lt;=1264,"zero-run1",IF(H1888&lt;=1648,"data2",IF(H1888&lt;=2176,"zero-run2",IF(H1888&lt;=2192,"FCS","trailing")))))))</f>
        <v/>
      </c>
      <c r="J1888">
        <f>IFERROR(IF(AND(H1888&lt;&gt;"",H1888&gt;=129,H1888&lt;=2176),INDEX(Fields!$B$2:$B$206,MATCH(H1888-129,Fields!$D$2:$D$206,1)),""),"")</f>
        <v/>
      </c>
      <c r="K1888">
        <f>IFERROR(IF(AND(H1888&lt;&gt;"",H1888&gt;=129,H1888&lt;=2176),INDEX(Fields!$C$2:$C$206,MATCH(H1888-129,Fields!$D$2:$D$206,1)),""),"")</f>
        <v/>
      </c>
      <c r="L1888">
        <f>IFERROR(IF(AND(H1888&lt;&gt;"",H1888&gt;=129,H1888&lt;=2176),INDEX(Fields!$J$2:$J$206,MATCH(H1888-129,Fields!$D$2:$D$206,1)),""),"")</f>
        <v/>
      </c>
      <c r="M1888">
        <f>IFERROR(IF(AND(H1888&lt;&gt;"",H1888&gt;=129,H1888&lt;=2176),INDEX(Fields!$K$2:$K$206,MATCH(H1888-129,Fields!$D$2:$D$206,1)),""),"")</f>
        <v/>
      </c>
    </row>
    <row r="1889">
      <c r="A1889" t="n">
        <v>1887</v>
      </c>
      <c r="B1889" t="n">
        <v>0</v>
      </c>
      <c r="C1889" t="inlineStr">
        <is>
          <t>No</t>
        </is>
      </c>
      <c r="D1889">
        <f>IF(AND(B1884=1,B1885=1,B1886=1,B1887=1,B1888=1),"Yes","")</f>
        <v/>
      </c>
      <c r="E1889" t="inlineStr">
        <is>
          <t>No</t>
        </is>
      </c>
      <c r="F1889" t="inlineStr">
        <is>
          <t>No</t>
        </is>
      </c>
      <c r="G1889">
        <f>IF(F1889="Yes",1-B1889,B1889)</f>
        <v/>
      </c>
      <c r="H1889">
        <f>IF(E1889="Yes","",COUNTIFS($E$2:E1889,"No"))</f>
        <v/>
      </c>
      <c r="I1889">
        <f>IF(H1889="","",IF(H1889&lt;=128,"address",IF(H1889&lt;=600,"data1",IF(H1889&lt;=1264,"zero-run1",IF(H1889&lt;=1648,"data2",IF(H1889&lt;=2176,"zero-run2",IF(H1889&lt;=2192,"FCS","trailing")))))))</f>
        <v/>
      </c>
      <c r="J1889">
        <f>IFERROR(IF(AND(H1889&lt;&gt;"",H1889&gt;=129,H1889&lt;=2176),INDEX(Fields!$B$2:$B$206,MATCH(H1889-129,Fields!$D$2:$D$206,1)),""),"")</f>
        <v/>
      </c>
      <c r="K1889">
        <f>IFERROR(IF(AND(H1889&lt;&gt;"",H1889&gt;=129,H1889&lt;=2176),INDEX(Fields!$C$2:$C$206,MATCH(H1889-129,Fields!$D$2:$D$206,1)),""),"")</f>
        <v/>
      </c>
      <c r="L1889">
        <f>IFERROR(IF(AND(H1889&lt;&gt;"",H1889&gt;=129,H1889&lt;=2176),INDEX(Fields!$J$2:$J$206,MATCH(H1889-129,Fields!$D$2:$D$206,1)),""),"")</f>
        <v/>
      </c>
      <c r="M1889">
        <f>IFERROR(IF(AND(H1889&lt;&gt;"",H1889&gt;=129,H1889&lt;=2176),INDEX(Fields!$K$2:$K$206,MATCH(H1889-129,Fields!$D$2:$D$206,1)),""),"")</f>
        <v/>
      </c>
    </row>
    <row r="1890">
      <c r="A1890" t="n">
        <v>1888</v>
      </c>
      <c r="B1890" t="n">
        <v>0</v>
      </c>
      <c r="C1890" t="inlineStr">
        <is>
          <t>No</t>
        </is>
      </c>
      <c r="D1890">
        <f>IF(AND(B1885=1,B1886=1,B1887=1,B1888=1,B1889=1),"Yes","")</f>
        <v/>
      </c>
      <c r="E1890" t="inlineStr">
        <is>
          <t>No</t>
        </is>
      </c>
      <c r="F1890" t="inlineStr">
        <is>
          <t>No</t>
        </is>
      </c>
      <c r="G1890">
        <f>IF(F1890="Yes",1-B1890,B1890)</f>
        <v/>
      </c>
      <c r="H1890">
        <f>IF(E1890="Yes","",COUNTIFS($E$2:E1890,"No"))</f>
        <v/>
      </c>
      <c r="I1890">
        <f>IF(H1890="","",IF(H1890&lt;=128,"address",IF(H1890&lt;=600,"data1",IF(H1890&lt;=1264,"zero-run1",IF(H1890&lt;=1648,"data2",IF(H1890&lt;=2176,"zero-run2",IF(H1890&lt;=2192,"FCS","trailing")))))))</f>
        <v/>
      </c>
      <c r="J1890">
        <f>IFERROR(IF(AND(H1890&lt;&gt;"",H1890&gt;=129,H1890&lt;=2176),INDEX(Fields!$B$2:$B$206,MATCH(H1890-129,Fields!$D$2:$D$206,1)),""),"")</f>
        <v/>
      </c>
      <c r="K1890">
        <f>IFERROR(IF(AND(H1890&lt;&gt;"",H1890&gt;=129,H1890&lt;=2176),INDEX(Fields!$C$2:$C$206,MATCH(H1890-129,Fields!$D$2:$D$206,1)),""),"")</f>
        <v/>
      </c>
      <c r="L1890">
        <f>IFERROR(IF(AND(H1890&lt;&gt;"",H1890&gt;=129,H1890&lt;=2176),INDEX(Fields!$J$2:$J$206,MATCH(H1890-129,Fields!$D$2:$D$206,1)),""),"")</f>
        <v/>
      </c>
      <c r="M1890">
        <f>IFERROR(IF(AND(H1890&lt;&gt;"",H1890&gt;=129,H1890&lt;=2176),INDEX(Fields!$K$2:$K$206,MATCH(H1890-129,Fields!$D$2:$D$206,1)),""),"")</f>
        <v/>
      </c>
    </row>
    <row r="1891">
      <c r="A1891" t="n">
        <v>1889</v>
      </c>
      <c r="B1891" t="n">
        <v>0</v>
      </c>
      <c r="C1891" t="inlineStr">
        <is>
          <t>No</t>
        </is>
      </c>
      <c r="D1891">
        <f>IF(AND(B1886=1,B1887=1,B1888=1,B1889=1,B1890=1),"Yes","")</f>
        <v/>
      </c>
      <c r="E1891" t="inlineStr">
        <is>
          <t>No</t>
        </is>
      </c>
      <c r="F1891" t="inlineStr">
        <is>
          <t>No</t>
        </is>
      </c>
      <c r="G1891">
        <f>IF(F1891="Yes",1-B1891,B1891)</f>
        <v/>
      </c>
      <c r="H1891">
        <f>IF(E1891="Yes","",COUNTIFS($E$2:E1891,"No"))</f>
        <v/>
      </c>
      <c r="I1891">
        <f>IF(H1891="","",IF(H1891&lt;=128,"address",IF(H1891&lt;=600,"data1",IF(H1891&lt;=1264,"zero-run1",IF(H1891&lt;=1648,"data2",IF(H1891&lt;=2176,"zero-run2",IF(H1891&lt;=2192,"FCS","trailing")))))))</f>
        <v/>
      </c>
      <c r="J1891">
        <f>IFERROR(IF(AND(H1891&lt;&gt;"",H1891&gt;=129,H1891&lt;=2176),INDEX(Fields!$B$2:$B$206,MATCH(H1891-129,Fields!$D$2:$D$206,1)),""),"")</f>
        <v/>
      </c>
      <c r="K1891">
        <f>IFERROR(IF(AND(H1891&lt;&gt;"",H1891&gt;=129,H1891&lt;=2176),INDEX(Fields!$C$2:$C$206,MATCH(H1891-129,Fields!$D$2:$D$206,1)),""),"")</f>
        <v/>
      </c>
      <c r="L1891">
        <f>IFERROR(IF(AND(H1891&lt;&gt;"",H1891&gt;=129,H1891&lt;=2176),INDEX(Fields!$J$2:$J$206,MATCH(H1891-129,Fields!$D$2:$D$206,1)),""),"")</f>
        <v/>
      </c>
      <c r="M1891">
        <f>IFERROR(IF(AND(H1891&lt;&gt;"",H1891&gt;=129,H1891&lt;=2176),INDEX(Fields!$K$2:$K$206,MATCH(H1891-129,Fields!$D$2:$D$206,1)),""),"")</f>
        <v/>
      </c>
    </row>
    <row r="1892">
      <c r="A1892" t="n">
        <v>1890</v>
      </c>
      <c r="B1892" t="n">
        <v>0</v>
      </c>
      <c r="C1892" t="inlineStr">
        <is>
          <t>No</t>
        </is>
      </c>
      <c r="D1892">
        <f>IF(AND(B1887=1,B1888=1,B1889=1,B1890=1,B1891=1),"Yes","")</f>
        <v/>
      </c>
      <c r="E1892" t="inlineStr">
        <is>
          <t>No</t>
        </is>
      </c>
      <c r="F1892" t="inlineStr">
        <is>
          <t>No</t>
        </is>
      </c>
      <c r="G1892">
        <f>IF(F1892="Yes",1-B1892,B1892)</f>
        <v/>
      </c>
      <c r="H1892">
        <f>IF(E1892="Yes","",COUNTIFS($E$2:E1892,"No"))</f>
        <v/>
      </c>
      <c r="I1892">
        <f>IF(H1892="","",IF(H1892&lt;=128,"address",IF(H1892&lt;=600,"data1",IF(H1892&lt;=1264,"zero-run1",IF(H1892&lt;=1648,"data2",IF(H1892&lt;=2176,"zero-run2",IF(H1892&lt;=2192,"FCS","trailing")))))))</f>
        <v/>
      </c>
      <c r="J1892">
        <f>IFERROR(IF(AND(H1892&lt;&gt;"",H1892&gt;=129,H1892&lt;=2176),INDEX(Fields!$B$2:$B$206,MATCH(H1892-129,Fields!$D$2:$D$206,1)),""),"")</f>
        <v/>
      </c>
      <c r="K1892">
        <f>IFERROR(IF(AND(H1892&lt;&gt;"",H1892&gt;=129,H1892&lt;=2176),INDEX(Fields!$C$2:$C$206,MATCH(H1892-129,Fields!$D$2:$D$206,1)),""),"")</f>
        <v/>
      </c>
      <c r="L1892">
        <f>IFERROR(IF(AND(H1892&lt;&gt;"",H1892&gt;=129,H1892&lt;=2176),INDEX(Fields!$J$2:$J$206,MATCH(H1892-129,Fields!$D$2:$D$206,1)),""),"")</f>
        <v/>
      </c>
      <c r="M1892">
        <f>IFERROR(IF(AND(H1892&lt;&gt;"",H1892&gt;=129,H1892&lt;=2176),INDEX(Fields!$K$2:$K$206,MATCH(H1892-129,Fields!$D$2:$D$206,1)),""),"")</f>
        <v/>
      </c>
    </row>
    <row r="1893">
      <c r="A1893" t="n">
        <v>1891</v>
      </c>
      <c r="B1893" t="n">
        <v>0</v>
      </c>
      <c r="C1893" t="inlineStr">
        <is>
          <t>No</t>
        </is>
      </c>
      <c r="D1893">
        <f>IF(AND(B1888=1,B1889=1,B1890=1,B1891=1,B1892=1),"Yes","")</f>
        <v/>
      </c>
      <c r="E1893" t="inlineStr">
        <is>
          <t>No</t>
        </is>
      </c>
      <c r="F1893" t="inlineStr">
        <is>
          <t>No</t>
        </is>
      </c>
      <c r="G1893">
        <f>IF(F1893="Yes",1-B1893,B1893)</f>
        <v/>
      </c>
      <c r="H1893">
        <f>IF(E1893="Yes","",COUNTIFS($E$2:E1893,"No"))</f>
        <v/>
      </c>
      <c r="I1893">
        <f>IF(H1893="","",IF(H1893&lt;=128,"address",IF(H1893&lt;=600,"data1",IF(H1893&lt;=1264,"zero-run1",IF(H1893&lt;=1648,"data2",IF(H1893&lt;=2176,"zero-run2",IF(H1893&lt;=2192,"FCS","trailing")))))))</f>
        <v/>
      </c>
      <c r="J1893">
        <f>IFERROR(IF(AND(H1893&lt;&gt;"",H1893&gt;=129,H1893&lt;=2176),INDEX(Fields!$B$2:$B$206,MATCH(H1893-129,Fields!$D$2:$D$206,1)),""),"")</f>
        <v/>
      </c>
      <c r="K1893">
        <f>IFERROR(IF(AND(H1893&lt;&gt;"",H1893&gt;=129,H1893&lt;=2176),INDEX(Fields!$C$2:$C$206,MATCH(H1893-129,Fields!$D$2:$D$206,1)),""),"")</f>
        <v/>
      </c>
      <c r="L1893">
        <f>IFERROR(IF(AND(H1893&lt;&gt;"",H1893&gt;=129,H1893&lt;=2176),INDEX(Fields!$J$2:$J$206,MATCH(H1893-129,Fields!$D$2:$D$206,1)),""),"")</f>
        <v/>
      </c>
      <c r="M1893">
        <f>IFERROR(IF(AND(H1893&lt;&gt;"",H1893&gt;=129,H1893&lt;=2176),INDEX(Fields!$K$2:$K$206,MATCH(H1893-129,Fields!$D$2:$D$206,1)),""),"")</f>
        <v/>
      </c>
    </row>
    <row r="1894">
      <c r="A1894" t="n">
        <v>1892</v>
      </c>
      <c r="B1894" t="n">
        <v>0</v>
      </c>
      <c r="C1894" t="inlineStr">
        <is>
          <t>No</t>
        </is>
      </c>
      <c r="D1894">
        <f>IF(AND(B1889=1,B1890=1,B1891=1,B1892=1,B1893=1),"Yes","")</f>
        <v/>
      </c>
      <c r="E1894" t="inlineStr">
        <is>
          <t>No</t>
        </is>
      </c>
      <c r="F1894" t="inlineStr">
        <is>
          <t>No</t>
        </is>
      </c>
      <c r="G1894">
        <f>IF(F1894="Yes",1-B1894,B1894)</f>
        <v/>
      </c>
      <c r="H1894">
        <f>IF(E1894="Yes","",COUNTIFS($E$2:E1894,"No"))</f>
        <v/>
      </c>
      <c r="I1894">
        <f>IF(H1894="","",IF(H1894&lt;=128,"address",IF(H1894&lt;=600,"data1",IF(H1894&lt;=1264,"zero-run1",IF(H1894&lt;=1648,"data2",IF(H1894&lt;=2176,"zero-run2",IF(H1894&lt;=2192,"FCS","trailing")))))))</f>
        <v/>
      </c>
      <c r="J1894">
        <f>IFERROR(IF(AND(H1894&lt;&gt;"",H1894&gt;=129,H1894&lt;=2176),INDEX(Fields!$B$2:$B$206,MATCH(H1894-129,Fields!$D$2:$D$206,1)),""),"")</f>
        <v/>
      </c>
      <c r="K1894">
        <f>IFERROR(IF(AND(H1894&lt;&gt;"",H1894&gt;=129,H1894&lt;=2176),INDEX(Fields!$C$2:$C$206,MATCH(H1894-129,Fields!$D$2:$D$206,1)),""),"")</f>
        <v/>
      </c>
      <c r="L1894">
        <f>IFERROR(IF(AND(H1894&lt;&gt;"",H1894&gt;=129,H1894&lt;=2176),INDEX(Fields!$J$2:$J$206,MATCH(H1894-129,Fields!$D$2:$D$206,1)),""),"")</f>
        <v/>
      </c>
      <c r="M1894">
        <f>IFERROR(IF(AND(H1894&lt;&gt;"",H1894&gt;=129,H1894&lt;=2176),INDEX(Fields!$K$2:$K$206,MATCH(H1894-129,Fields!$D$2:$D$206,1)),""),"")</f>
        <v/>
      </c>
    </row>
    <row r="1895">
      <c r="A1895" t="n">
        <v>1893</v>
      </c>
      <c r="B1895" t="n">
        <v>0</v>
      </c>
      <c r="C1895" t="inlineStr">
        <is>
          <t>No</t>
        </is>
      </c>
      <c r="D1895">
        <f>IF(AND(B1890=1,B1891=1,B1892=1,B1893=1,B1894=1),"Yes","")</f>
        <v/>
      </c>
      <c r="E1895" t="inlineStr">
        <is>
          <t>No</t>
        </is>
      </c>
      <c r="F1895" t="inlineStr">
        <is>
          <t>No</t>
        </is>
      </c>
      <c r="G1895">
        <f>IF(F1895="Yes",1-B1895,B1895)</f>
        <v/>
      </c>
      <c r="H1895">
        <f>IF(E1895="Yes","",COUNTIFS($E$2:E1895,"No"))</f>
        <v/>
      </c>
      <c r="I1895">
        <f>IF(H1895="","",IF(H1895&lt;=128,"address",IF(H1895&lt;=600,"data1",IF(H1895&lt;=1264,"zero-run1",IF(H1895&lt;=1648,"data2",IF(H1895&lt;=2176,"zero-run2",IF(H1895&lt;=2192,"FCS","trailing")))))))</f>
        <v/>
      </c>
      <c r="J1895">
        <f>IFERROR(IF(AND(H1895&lt;&gt;"",H1895&gt;=129,H1895&lt;=2176),INDEX(Fields!$B$2:$B$206,MATCH(H1895-129,Fields!$D$2:$D$206,1)),""),"")</f>
        <v/>
      </c>
      <c r="K1895">
        <f>IFERROR(IF(AND(H1895&lt;&gt;"",H1895&gt;=129,H1895&lt;=2176),INDEX(Fields!$C$2:$C$206,MATCH(H1895-129,Fields!$D$2:$D$206,1)),""),"")</f>
        <v/>
      </c>
      <c r="L1895">
        <f>IFERROR(IF(AND(H1895&lt;&gt;"",H1895&gt;=129,H1895&lt;=2176),INDEX(Fields!$J$2:$J$206,MATCH(H1895-129,Fields!$D$2:$D$206,1)),""),"")</f>
        <v/>
      </c>
      <c r="M1895">
        <f>IFERROR(IF(AND(H1895&lt;&gt;"",H1895&gt;=129,H1895&lt;=2176),INDEX(Fields!$K$2:$K$206,MATCH(H1895-129,Fields!$D$2:$D$206,1)),""),"")</f>
        <v/>
      </c>
    </row>
    <row r="1896">
      <c r="A1896" t="n">
        <v>1894</v>
      </c>
      <c r="B1896" t="n">
        <v>0</v>
      </c>
      <c r="C1896" t="inlineStr">
        <is>
          <t>No</t>
        </is>
      </c>
      <c r="D1896">
        <f>IF(AND(B1891=1,B1892=1,B1893=1,B1894=1,B1895=1),"Yes","")</f>
        <v/>
      </c>
      <c r="E1896" t="inlineStr">
        <is>
          <t>No</t>
        </is>
      </c>
      <c r="F1896" t="inlineStr">
        <is>
          <t>No</t>
        </is>
      </c>
      <c r="G1896">
        <f>IF(F1896="Yes",1-B1896,B1896)</f>
        <v/>
      </c>
      <c r="H1896">
        <f>IF(E1896="Yes","",COUNTIFS($E$2:E1896,"No"))</f>
        <v/>
      </c>
      <c r="I1896">
        <f>IF(H1896="","",IF(H1896&lt;=128,"address",IF(H1896&lt;=600,"data1",IF(H1896&lt;=1264,"zero-run1",IF(H1896&lt;=1648,"data2",IF(H1896&lt;=2176,"zero-run2",IF(H1896&lt;=2192,"FCS","trailing")))))))</f>
        <v/>
      </c>
      <c r="J1896">
        <f>IFERROR(IF(AND(H1896&lt;&gt;"",H1896&gt;=129,H1896&lt;=2176),INDEX(Fields!$B$2:$B$206,MATCH(H1896-129,Fields!$D$2:$D$206,1)),""),"")</f>
        <v/>
      </c>
      <c r="K1896">
        <f>IFERROR(IF(AND(H1896&lt;&gt;"",H1896&gt;=129,H1896&lt;=2176),INDEX(Fields!$C$2:$C$206,MATCH(H1896-129,Fields!$D$2:$D$206,1)),""),"")</f>
        <v/>
      </c>
      <c r="L1896">
        <f>IFERROR(IF(AND(H1896&lt;&gt;"",H1896&gt;=129,H1896&lt;=2176),INDEX(Fields!$J$2:$J$206,MATCH(H1896-129,Fields!$D$2:$D$206,1)),""),"")</f>
        <v/>
      </c>
      <c r="M1896">
        <f>IFERROR(IF(AND(H1896&lt;&gt;"",H1896&gt;=129,H1896&lt;=2176),INDEX(Fields!$K$2:$K$206,MATCH(H1896-129,Fields!$D$2:$D$206,1)),""),"")</f>
        <v/>
      </c>
    </row>
    <row r="1897">
      <c r="A1897" t="n">
        <v>1895</v>
      </c>
      <c r="B1897" t="n">
        <v>0</v>
      </c>
      <c r="C1897" t="inlineStr">
        <is>
          <t>No</t>
        </is>
      </c>
      <c r="D1897">
        <f>IF(AND(B1892=1,B1893=1,B1894=1,B1895=1,B1896=1),"Yes","")</f>
        <v/>
      </c>
      <c r="E1897" t="inlineStr">
        <is>
          <t>No</t>
        </is>
      </c>
      <c r="F1897" t="inlineStr">
        <is>
          <t>No</t>
        </is>
      </c>
      <c r="G1897">
        <f>IF(F1897="Yes",1-B1897,B1897)</f>
        <v/>
      </c>
      <c r="H1897">
        <f>IF(E1897="Yes","",COUNTIFS($E$2:E1897,"No"))</f>
        <v/>
      </c>
      <c r="I1897">
        <f>IF(H1897="","",IF(H1897&lt;=128,"address",IF(H1897&lt;=600,"data1",IF(H1897&lt;=1264,"zero-run1",IF(H1897&lt;=1648,"data2",IF(H1897&lt;=2176,"zero-run2",IF(H1897&lt;=2192,"FCS","trailing")))))))</f>
        <v/>
      </c>
      <c r="J1897">
        <f>IFERROR(IF(AND(H1897&lt;&gt;"",H1897&gt;=129,H1897&lt;=2176),INDEX(Fields!$B$2:$B$206,MATCH(H1897-129,Fields!$D$2:$D$206,1)),""),"")</f>
        <v/>
      </c>
      <c r="K1897">
        <f>IFERROR(IF(AND(H1897&lt;&gt;"",H1897&gt;=129,H1897&lt;=2176),INDEX(Fields!$C$2:$C$206,MATCH(H1897-129,Fields!$D$2:$D$206,1)),""),"")</f>
        <v/>
      </c>
      <c r="L1897">
        <f>IFERROR(IF(AND(H1897&lt;&gt;"",H1897&gt;=129,H1897&lt;=2176),INDEX(Fields!$J$2:$J$206,MATCH(H1897-129,Fields!$D$2:$D$206,1)),""),"")</f>
        <v/>
      </c>
      <c r="M1897">
        <f>IFERROR(IF(AND(H1897&lt;&gt;"",H1897&gt;=129,H1897&lt;=2176),INDEX(Fields!$K$2:$K$206,MATCH(H1897-129,Fields!$D$2:$D$206,1)),""),"")</f>
        <v/>
      </c>
    </row>
    <row r="1898">
      <c r="A1898" t="n">
        <v>1896</v>
      </c>
      <c r="B1898" t="n">
        <v>0</v>
      </c>
      <c r="C1898" t="inlineStr">
        <is>
          <t>No</t>
        </is>
      </c>
      <c r="D1898">
        <f>IF(AND(B1893=1,B1894=1,B1895=1,B1896=1,B1897=1),"Yes","")</f>
        <v/>
      </c>
      <c r="E1898" t="inlineStr">
        <is>
          <t>No</t>
        </is>
      </c>
      <c r="F1898" t="inlineStr">
        <is>
          <t>No</t>
        </is>
      </c>
      <c r="G1898">
        <f>IF(F1898="Yes",1-B1898,B1898)</f>
        <v/>
      </c>
      <c r="H1898">
        <f>IF(E1898="Yes","",COUNTIFS($E$2:E1898,"No"))</f>
        <v/>
      </c>
      <c r="I1898">
        <f>IF(H1898="","",IF(H1898&lt;=128,"address",IF(H1898&lt;=600,"data1",IF(H1898&lt;=1264,"zero-run1",IF(H1898&lt;=1648,"data2",IF(H1898&lt;=2176,"zero-run2",IF(H1898&lt;=2192,"FCS","trailing")))))))</f>
        <v/>
      </c>
      <c r="J1898">
        <f>IFERROR(IF(AND(H1898&lt;&gt;"",H1898&gt;=129,H1898&lt;=2176),INDEX(Fields!$B$2:$B$206,MATCH(H1898-129,Fields!$D$2:$D$206,1)),""),"")</f>
        <v/>
      </c>
      <c r="K1898">
        <f>IFERROR(IF(AND(H1898&lt;&gt;"",H1898&gt;=129,H1898&lt;=2176),INDEX(Fields!$C$2:$C$206,MATCH(H1898-129,Fields!$D$2:$D$206,1)),""),"")</f>
        <v/>
      </c>
      <c r="L1898">
        <f>IFERROR(IF(AND(H1898&lt;&gt;"",H1898&gt;=129,H1898&lt;=2176),INDEX(Fields!$J$2:$J$206,MATCH(H1898-129,Fields!$D$2:$D$206,1)),""),"")</f>
        <v/>
      </c>
      <c r="M1898">
        <f>IFERROR(IF(AND(H1898&lt;&gt;"",H1898&gt;=129,H1898&lt;=2176),INDEX(Fields!$K$2:$K$206,MATCH(H1898-129,Fields!$D$2:$D$206,1)),""),"")</f>
        <v/>
      </c>
    </row>
    <row r="1899">
      <c r="A1899" t="n">
        <v>1897</v>
      </c>
      <c r="B1899" t="n">
        <v>0</v>
      </c>
      <c r="C1899" t="inlineStr">
        <is>
          <t>No</t>
        </is>
      </c>
      <c r="D1899">
        <f>IF(AND(B1894=1,B1895=1,B1896=1,B1897=1,B1898=1),"Yes","")</f>
        <v/>
      </c>
      <c r="E1899" t="inlineStr">
        <is>
          <t>No</t>
        </is>
      </c>
      <c r="F1899" t="inlineStr">
        <is>
          <t>No</t>
        </is>
      </c>
      <c r="G1899">
        <f>IF(F1899="Yes",1-B1899,B1899)</f>
        <v/>
      </c>
      <c r="H1899">
        <f>IF(E1899="Yes","",COUNTIFS($E$2:E1899,"No"))</f>
        <v/>
      </c>
      <c r="I1899">
        <f>IF(H1899="","",IF(H1899&lt;=128,"address",IF(H1899&lt;=600,"data1",IF(H1899&lt;=1264,"zero-run1",IF(H1899&lt;=1648,"data2",IF(H1899&lt;=2176,"zero-run2",IF(H1899&lt;=2192,"FCS","trailing")))))))</f>
        <v/>
      </c>
      <c r="J1899">
        <f>IFERROR(IF(AND(H1899&lt;&gt;"",H1899&gt;=129,H1899&lt;=2176),INDEX(Fields!$B$2:$B$206,MATCH(H1899-129,Fields!$D$2:$D$206,1)),""),"")</f>
        <v/>
      </c>
      <c r="K1899">
        <f>IFERROR(IF(AND(H1899&lt;&gt;"",H1899&gt;=129,H1899&lt;=2176),INDEX(Fields!$C$2:$C$206,MATCH(H1899-129,Fields!$D$2:$D$206,1)),""),"")</f>
        <v/>
      </c>
      <c r="L1899">
        <f>IFERROR(IF(AND(H1899&lt;&gt;"",H1899&gt;=129,H1899&lt;=2176),INDEX(Fields!$J$2:$J$206,MATCH(H1899-129,Fields!$D$2:$D$206,1)),""),"")</f>
        <v/>
      </c>
      <c r="M1899">
        <f>IFERROR(IF(AND(H1899&lt;&gt;"",H1899&gt;=129,H1899&lt;=2176),INDEX(Fields!$K$2:$K$206,MATCH(H1899-129,Fields!$D$2:$D$206,1)),""),"")</f>
        <v/>
      </c>
    </row>
    <row r="1900">
      <c r="A1900" t="n">
        <v>1898</v>
      </c>
      <c r="B1900" t="n">
        <v>0</v>
      </c>
      <c r="C1900" t="inlineStr">
        <is>
          <t>No</t>
        </is>
      </c>
      <c r="D1900">
        <f>IF(AND(B1895=1,B1896=1,B1897=1,B1898=1,B1899=1),"Yes","")</f>
        <v/>
      </c>
      <c r="E1900" t="inlineStr">
        <is>
          <t>No</t>
        </is>
      </c>
      <c r="F1900" t="inlineStr">
        <is>
          <t>No</t>
        </is>
      </c>
      <c r="G1900">
        <f>IF(F1900="Yes",1-B1900,B1900)</f>
        <v/>
      </c>
      <c r="H1900">
        <f>IF(E1900="Yes","",COUNTIFS($E$2:E1900,"No"))</f>
        <v/>
      </c>
      <c r="I1900">
        <f>IF(H1900="","",IF(H1900&lt;=128,"address",IF(H1900&lt;=600,"data1",IF(H1900&lt;=1264,"zero-run1",IF(H1900&lt;=1648,"data2",IF(H1900&lt;=2176,"zero-run2",IF(H1900&lt;=2192,"FCS","trailing")))))))</f>
        <v/>
      </c>
      <c r="J1900">
        <f>IFERROR(IF(AND(H1900&lt;&gt;"",H1900&gt;=129,H1900&lt;=2176),INDEX(Fields!$B$2:$B$206,MATCH(H1900-129,Fields!$D$2:$D$206,1)),""),"")</f>
        <v/>
      </c>
      <c r="K1900">
        <f>IFERROR(IF(AND(H1900&lt;&gt;"",H1900&gt;=129,H1900&lt;=2176),INDEX(Fields!$C$2:$C$206,MATCH(H1900-129,Fields!$D$2:$D$206,1)),""),"")</f>
        <v/>
      </c>
      <c r="L1900">
        <f>IFERROR(IF(AND(H1900&lt;&gt;"",H1900&gt;=129,H1900&lt;=2176),INDEX(Fields!$J$2:$J$206,MATCH(H1900-129,Fields!$D$2:$D$206,1)),""),"")</f>
        <v/>
      </c>
      <c r="M1900">
        <f>IFERROR(IF(AND(H1900&lt;&gt;"",H1900&gt;=129,H1900&lt;=2176),INDEX(Fields!$K$2:$K$206,MATCH(H1900-129,Fields!$D$2:$D$206,1)),""),"")</f>
        <v/>
      </c>
    </row>
    <row r="1901">
      <c r="A1901" t="n">
        <v>1899</v>
      </c>
      <c r="B1901" t="n">
        <v>0</v>
      </c>
      <c r="C1901" t="inlineStr">
        <is>
          <t>No</t>
        </is>
      </c>
      <c r="D1901">
        <f>IF(AND(B1896=1,B1897=1,B1898=1,B1899=1,B1900=1),"Yes","")</f>
        <v/>
      </c>
      <c r="E1901" t="inlineStr">
        <is>
          <t>No</t>
        </is>
      </c>
      <c r="F1901" t="inlineStr">
        <is>
          <t>No</t>
        </is>
      </c>
      <c r="G1901">
        <f>IF(F1901="Yes",1-B1901,B1901)</f>
        <v/>
      </c>
      <c r="H1901">
        <f>IF(E1901="Yes","",COUNTIFS($E$2:E1901,"No"))</f>
        <v/>
      </c>
      <c r="I1901">
        <f>IF(H1901="","",IF(H1901&lt;=128,"address",IF(H1901&lt;=600,"data1",IF(H1901&lt;=1264,"zero-run1",IF(H1901&lt;=1648,"data2",IF(H1901&lt;=2176,"zero-run2",IF(H1901&lt;=2192,"FCS","trailing")))))))</f>
        <v/>
      </c>
      <c r="J1901">
        <f>IFERROR(IF(AND(H1901&lt;&gt;"",H1901&gt;=129,H1901&lt;=2176),INDEX(Fields!$B$2:$B$206,MATCH(H1901-129,Fields!$D$2:$D$206,1)),""),"")</f>
        <v/>
      </c>
      <c r="K1901">
        <f>IFERROR(IF(AND(H1901&lt;&gt;"",H1901&gt;=129,H1901&lt;=2176),INDEX(Fields!$C$2:$C$206,MATCH(H1901-129,Fields!$D$2:$D$206,1)),""),"")</f>
        <v/>
      </c>
      <c r="L1901">
        <f>IFERROR(IF(AND(H1901&lt;&gt;"",H1901&gt;=129,H1901&lt;=2176),INDEX(Fields!$J$2:$J$206,MATCH(H1901-129,Fields!$D$2:$D$206,1)),""),"")</f>
        <v/>
      </c>
      <c r="M1901">
        <f>IFERROR(IF(AND(H1901&lt;&gt;"",H1901&gt;=129,H1901&lt;=2176),INDEX(Fields!$K$2:$K$206,MATCH(H1901-129,Fields!$D$2:$D$206,1)),""),"")</f>
        <v/>
      </c>
    </row>
    <row r="1902">
      <c r="A1902" t="n">
        <v>1900</v>
      </c>
      <c r="B1902" t="n">
        <v>0</v>
      </c>
      <c r="C1902" t="inlineStr">
        <is>
          <t>No</t>
        </is>
      </c>
      <c r="D1902">
        <f>IF(AND(B1897=1,B1898=1,B1899=1,B1900=1,B1901=1),"Yes","")</f>
        <v/>
      </c>
      <c r="E1902" t="inlineStr">
        <is>
          <t>No</t>
        </is>
      </c>
      <c r="F1902" t="inlineStr">
        <is>
          <t>No</t>
        </is>
      </c>
      <c r="G1902">
        <f>IF(F1902="Yes",1-B1902,B1902)</f>
        <v/>
      </c>
      <c r="H1902">
        <f>IF(E1902="Yes","",COUNTIFS($E$2:E1902,"No"))</f>
        <v/>
      </c>
      <c r="I1902">
        <f>IF(H1902="","",IF(H1902&lt;=128,"address",IF(H1902&lt;=600,"data1",IF(H1902&lt;=1264,"zero-run1",IF(H1902&lt;=1648,"data2",IF(H1902&lt;=2176,"zero-run2",IF(H1902&lt;=2192,"FCS","trailing")))))))</f>
        <v/>
      </c>
      <c r="J1902">
        <f>IFERROR(IF(AND(H1902&lt;&gt;"",H1902&gt;=129,H1902&lt;=2176),INDEX(Fields!$B$2:$B$206,MATCH(H1902-129,Fields!$D$2:$D$206,1)),""),"")</f>
        <v/>
      </c>
      <c r="K1902">
        <f>IFERROR(IF(AND(H1902&lt;&gt;"",H1902&gt;=129,H1902&lt;=2176),INDEX(Fields!$C$2:$C$206,MATCH(H1902-129,Fields!$D$2:$D$206,1)),""),"")</f>
        <v/>
      </c>
      <c r="L1902">
        <f>IFERROR(IF(AND(H1902&lt;&gt;"",H1902&gt;=129,H1902&lt;=2176),INDEX(Fields!$J$2:$J$206,MATCH(H1902-129,Fields!$D$2:$D$206,1)),""),"")</f>
        <v/>
      </c>
      <c r="M1902">
        <f>IFERROR(IF(AND(H1902&lt;&gt;"",H1902&gt;=129,H1902&lt;=2176),INDEX(Fields!$K$2:$K$206,MATCH(H1902-129,Fields!$D$2:$D$206,1)),""),"")</f>
        <v/>
      </c>
    </row>
    <row r="1903">
      <c r="A1903" t="n">
        <v>1901</v>
      </c>
      <c r="B1903" t="n">
        <v>0</v>
      </c>
      <c r="C1903" t="inlineStr">
        <is>
          <t>No</t>
        </is>
      </c>
      <c r="D1903">
        <f>IF(AND(B1898=1,B1899=1,B1900=1,B1901=1,B1902=1),"Yes","")</f>
        <v/>
      </c>
      <c r="E1903" t="inlineStr">
        <is>
          <t>No</t>
        </is>
      </c>
      <c r="F1903" t="inlineStr">
        <is>
          <t>No</t>
        </is>
      </c>
      <c r="G1903">
        <f>IF(F1903="Yes",1-B1903,B1903)</f>
        <v/>
      </c>
      <c r="H1903">
        <f>IF(E1903="Yes","",COUNTIFS($E$2:E1903,"No"))</f>
        <v/>
      </c>
      <c r="I1903">
        <f>IF(H1903="","",IF(H1903&lt;=128,"address",IF(H1903&lt;=600,"data1",IF(H1903&lt;=1264,"zero-run1",IF(H1903&lt;=1648,"data2",IF(H1903&lt;=2176,"zero-run2",IF(H1903&lt;=2192,"FCS","trailing")))))))</f>
        <v/>
      </c>
      <c r="J1903">
        <f>IFERROR(IF(AND(H1903&lt;&gt;"",H1903&gt;=129,H1903&lt;=2176),INDEX(Fields!$B$2:$B$206,MATCH(H1903-129,Fields!$D$2:$D$206,1)),""),"")</f>
        <v/>
      </c>
      <c r="K1903">
        <f>IFERROR(IF(AND(H1903&lt;&gt;"",H1903&gt;=129,H1903&lt;=2176),INDEX(Fields!$C$2:$C$206,MATCH(H1903-129,Fields!$D$2:$D$206,1)),""),"")</f>
        <v/>
      </c>
      <c r="L1903">
        <f>IFERROR(IF(AND(H1903&lt;&gt;"",H1903&gt;=129,H1903&lt;=2176),INDEX(Fields!$J$2:$J$206,MATCH(H1903-129,Fields!$D$2:$D$206,1)),""),"")</f>
        <v/>
      </c>
      <c r="M1903">
        <f>IFERROR(IF(AND(H1903&lt;&gt;"",H1903&gt;=129,H1903&lt;=2176),INDEX(Fields!$K$2:$K$206,MATCH(H1903-129,Fields!$D$2:$D$206,1)),""),"")</f>
        <v/>
      </c>
    </row>
    <row r="1904">
      <c r="A1904" t="n">
        <v>1902</v>
      </c>
      <c r="B1904" t="n">
        <v>0</v>
      </c>
      <c r="C1904" t="inlineStr">
        <is>
          <t>No</t>
        </is>
      </c>
      <c r="D1904">
        <f>IF(AND(B1899=1,B1900=1,B1901=1,B1902=1,B1903=1),"Yes","")</f>
        <v/>
      </c>
      <c r="E1904" t="inlineStr">
        <is>
          <t>No</t>
        </is>
      </c>
      <c r="F1904" t="inlineStr">
        <is>
          <t>No</t>
        </is>
      </c>
      <c r="G1904">
        <f>IF(F1904="Yes",1-B1904,B1904)</f>
        <v/>
      </c>
      <c r="H1904">
        <f>IF(E1904="Yes","",COUNTIFS($E$2:E1904,"No"))</f>
        <v/>
      </c>
      <c r="I1904">
        <f>IF(H1904="","",IF(H1904&lt;=128,"address",IF(H1904&lt;=600,"data1",IF(H1904&lt;=1264,"zero-run1",IF(H1904&lt;=1648,"data2",IF(H1904&lt;=2176,"zero-run2",IF(H1904&lt;=2192,"FCS","trailing")))))))</f>
        <v/>
      </c>
      <c r="J1904">
        <f>IFERROR(IF(AND(H1904&lt;&gt;"",H1904&gt;=129,H1904&lt;=2176),INDEX(Fields!$B$2:$B$206,MATCH(H1904-129,Fields!$D$2:$D$206,1)),""),"")</f>
        <v/>
      </c>
      <c r="K1904">
        <f>IFERROR(IF(AND(H1904&lt;&gt;"",H1904&gt;=129,H1904&lt;=2176),INDEX(Fields!$C$2:$C$206,MATCH(H1904-129,Fields!$D$2:$D$206,1)),""),"")</f>
        <v/>
      </c>
      <c r="L1904">
        <f>IFERROR(IF(AND(H1904&lt;&gt;"",H1904&gt;=129,H1904&lt;=2176),INDEX(Fields!$J$2:$J$206,MATCH(H1904-129,Fields!$D$2:$D$206,1)),""),"")</f>
        <v/>
      </c>
      <c r="M1904">
        <f>IFERROR(IF(AND(H1904&lt;&gt;"",H1904&gt;=129,H1904&lt;=2176),INDEX(Fields!$K$2:$K$206,MATCH(H1904-129,Fields!$D$2:$D$206,1)),""),"")</f>
        <v/>
      </c>
    </row>
    <row r="1905">
      <c r="A1905" t="n">
        <v>1903</v>
      </c>
      <c r="B1905" t="n">
        <v>0</v>
      </c>
      <c r="C1905" t="inlineStr">
        <is>
          <t>No</t>
        </is>
      </c>
      <c r="D1905">
        <f>IF(AND(B1900=1,B1901=1,B1902=1,B1903=1,B1904=1),"Yes","")</f>
        <v/>
      </c>
      <c r="E1905" t="inlineStr">
        <is>
          <t>No</t>
        </is>
      </c>
      <c r="F1905" t="inlineStr">
        <is>
          <t>No</t>
        </is>
      </c>
      <c r="G1905">
        <f>IF(F1905="Yes",1-B1905,B1905)</f>
        <v/>
      </c>
      <c r="H1905">
        <f>IF(E1905="Yes","",COUNTIFS($E$2:E1905,"No"))</f>
        <v/>
      </c>
      <c r="I1905">
        <f>IF(H1905="","",IF(H1905&lt;=128,"address",IF(H1905&lt;=600,"data1",IF(H1905&lt;=1264,"zero-run1",IF(H1905&lt;=1648,"data2",IF(H1905&lt;=2176,"zero-run2",IF(H1905&lt;=2192,"FCS","trailing")))))))</f>
        <v/>
      </c>
      <c r="J1905">
        <f>IFERROR(IF(AND(H1905&lt;&gt;"",H1905&gt;=129,H1905&lt;=2176),INDEX(Fields!$B$2:$B$206,MATCH(H1905-129,Fields!$D$2:$D$206,1)),""),"")</f>
        <v/>
      </c>
      <c r="K1905">
        <f>IFERROR(IF(AND(H1905&lt;&gt;"",H1905&gt;=129,H1905&lt;=2176),INDEX(Fields!$C$2:$C$206,MATCH(H1905-129,Fields!$D$2:$D$206,1)),""),"")</f>
        <v/>
      </c>
      <c r="L1905">
        <f>IFERROR(IF(AND(H1905&lt;&gt;"",H1905&gt;=129,H1905&lt;=2176),INDEX(Fields!$J$2:$J$206,MATCH(H1905-129,Fields!$D$2:$D$206,1)),""),"")</f>
        <v/>
      </c>
      <c r="M1905">
        <f>IFERROR(IF(AND(H1905&lt;&gt;"",H1905&gt;=129,H1905&lt;=2176),INDEX(Fields!$K$2:$K$206,MATCH(H1905-129,Fields!$D$2:$D$206,1)),""),"")</f>
        <v/>
      </c>
    </row>
    <row r="1906">
      <c r="A1906" t="n">
        <v>1904</v>
      </c>
      <c r="B1906" t="n">
        <v>0</v>
      </c>
      <c r="C1906" t="inlineStr">
        <is>
          <t>No</t>
        </is>
      </c>
      <c r="D1906">
        <f>IF(AND(B1901=1,B1902=1,B1903=1,B1904=1,B1905=1),"Yes","")</f>
        <v/>
      </c>
      <c r="E1906" t="inlineStr">
        <is>
          <t>No</t>
        </is>
      </c>
      <c r="F1906" t="inlineStr">
        <is>
          <t>No</t>
        </is>
      </c>
      <c r="G1906">
        <f>IF(F1906="Yes",1-B1906,B1906)</f>
        <v/>
      </c>
      <c r="H1906">
        <f>IF(E1906="Yes","",COUNTIFS($E$2:E1906,"No"))</f>
        <v/>
      </c>
      <c r="I1906">
        <f>IF(H1906="","",IF(H1906&lt;=128,"address",IF(H1906&lt;=600,"data1",IF(H1906&lt;=1264,"zero-run1",IF(H1906&lt;=1648,"data2",IF(H1906&lt;=2176,"zero-run2",IF(H1906&lt;=2192,"FCS","trailing")))))))</f>
        <v/>
      </c>
      <c r="J1906">
        <f>IFERROR(IF(AND(H1906&lt;&gt;"",H1906&gt;=129,H1906&lt;=2176),INDEX(Fields!$B$2:$B$206,MATCH(H1906-129,Fields!$D$2:$D$206,1)),""),"")</f>
        <v/>
      </c>
      <c r="K1906">
        <f>IFERROR(IF(AND(H1906&lt;&gt;"",H1906&gt;=129,H1906&lt;=2176),INDEX(Fields!$C$2:$C$206,MATCH(H1906-129,Fields!$D$2:$D$206,1)),""),"")</f>
        <v/>
      </c>
      <c r="L1906">
        <f>IFERROR(IF(AND(H1906&lt;&gt;"",H1906&gt;=129,H1906&lt;=2176),INDEX(Fields!$J$2:$J$206,MATCH(H1906-129,Fields!$D$2:$D$206,1)),""),"")</f>
        <v/>
      </c>
      <c r="M1906">
        <f>IFERROR(IF(AND(H1906&lt;&gt;"",H1906&gt;=129,H1906&lt;=2176),INDEX(Fields!$K$2:$K$206,MATCH(H1906-129,Fields!$D$2:$D$206,1)),""),"")</f>
        <v/>
      </c>
    </row>
    <row r="1907">
      <c r="A1907" t="n">
        <v>1905</v>
      </c>
      <c r="B1907" t="n">
        <v>0</v>
      </c>
      <c r="C1907" t="inlineStr">
        <is>
          <t>No</t>
        </is>
      </c>
      <c r="D1907">
        <f>IF(AND(B1902=1,B1903=1,B1904=1,B1905=1,B1906=1),"Yes","")</f>
        <v/>
      </c>
      <c r="E1907" t="inlineStr">
        <is>
          <t>No</t>
        </is>
      </c>
      <c r="F1907" t="inlineStr">
        <is>
          <t>No</t>
        </is>
      </c>
      <c r="G1907">
        <f>IF(F1907="Yes",1-B1907,B1907)</f>
        <v/>
      </c>
      <c r="H1907">
        <f>IF(E1907="Yes","",COUNTIFS($E$2:E1907,"No"))</f>
        <v/>
      </c>
      <c r="I1907">
        <f>IF(H1907="","",IF(H1907&lt;=128,"address",IF(H1907&lt;=600,"data1",IF(H1907&lt;=1264,"zero-run1",IF(H1907&lt;=1648,"data2",IF(H1907&lt;=2176,"zero-run2",IF(H1907&lt;=2192,"FCS","trailing")))))))</f>
        <v/>
      </c>
      <c r="J1907">
        <f>IFERROR(IF(AND(H1907&lt;&gt;"",H1907&gt;=129,H1907&lt;=2176),INDEX(Fields!$B$2:$B$206,MATCH(H1907-129,Fields!$D$2:$D$206,1)),""),"")</f>
        <v/>
      </c>
      <c r="K1907">
        <f>IFERROR(IF(AND(H1907&lt;&gt;"",H1907&gt;=129,H1907&lt;=2176),INDEX(Fields!$C$2:$C$206,MATCH(H1907-129,Fields!$D$2:$D$206,1)),""),"")</f>
        <v/>
      </c>
      <c r="L1907">
        <f>IFERROR(IF(AND(H1907&lt;&gt;"",H1907&gt;=129,H1907&lt;=2176),INDEX(Fields!$J$2:$J$206,MATCH(H1907-129,Fields!$D$2:$D$206,1)),""),"")</f>
        <v/>
      </c>
      <c r="M1907">
        <f>IFERROR(IF(AND(H1907&lt;&gt;"",H1907&gt;=129,H1907&lt;=2176),INDEX(Fields!$K$2:$K$206,MATCH(H1907-129,Fields!$D$2:$D$206,1)),""),"")</f>
        <v/>
      </c>
    </row>
    <row r="1908">
      <c r="A1908" t="n">
        <v>1906</v>
      </c>
      <c r="B1908" t="n">
        <v>0</v>
      </c>
      <c r="C1908" t="inlineStr">
        <is>
          <t>No</t>
        </is>
      </c>
      <c r="D1908">
        <f>IF(AND(B1903=1,B1904=1,B1905=1,B1906=1,B1907=1),"Yes","")</f>
        <v/>
      </c>
      <c r="E1908" t="inlineStr">
        <is>
          <t>No</t>
        </is>
      </c>
      <c r="F1908" t="inlineStr">
        <is>
          <t>No</t>
        </is>
      </c>
      <c r="G1908">
        <f>IF(F1908="Yes",1-B1908,B1908)</f>
        <v/>
      </c>
      <c r="H1908">
        <f>IF(E1908="Yes","",COUNTIFS($E$2:E1908,"No"))</f>
        <v/>
      </c>
      <c r="I1908">
        <f>IF(H1908="","",IF(H1908&lt;=128,"address",IF(H1908&lt;=600,"data1",IF(H1908&lt;=1264,"zero-run1",IF(H1908&lt;=1648,"data2",IF(H1908&lt;=2176,"zero-run2",IF(H1908&lt;=2192,"FCS","trailing")))))))</f>
        <v/>
      </c>
      <c r="J1908">
        <f>IFERROR(IF(AND(H1908&lt;&gt;"",H1908&gt;=129,H1908&lt;=2176),INDEX(Fields!$B$2:$B$206,MATCH(H1908-129,Fields!$D$2:$D$206,1)),""),"")</f>
        <v/>
      </c>
      <c r="K1908">
        <f>IFERROR(IF(AND(H1908&lt;&gt;"",H1908&gt;=129,H1908&lt;=2176),INDEX(Fields!$C$2:$C$206,MATCH(H1908-129,Fields!$D$2:$D$206,1)),""),"")</f>
        <v/>
      </c>
      <c r="L1908">
        <f>IFERROR(IF(AND(H1908&lt;&gt;"",H1908&gt;=129,H1908&lt;=2176),INDEX(Fields!$J$2:$J$206,MATCH(H1908-129,Fields!$D$2:$D$206,1)),""),"")</f>
        <v/>
      </c>
      <c r="M1908">
        <f>IFERROR(IF(AND(H1908&lt;&gt;"",H1908&gt;=129,H1908&lt;=2176),INDEX(Fields!$K$2:$K$206,MATCH(H1908-129,Fields!$D$2:$D$206,1)),""),"")</f>
        <v/>
      </c>
    </row>
    <row r="1909">
      <c r="A1909" t="n">
        <v>1907</v>
      </c>
      <c r="B1909" t="n">
        <v>0</v>
      </c>
      <c r="C1909" t="inlineStr">
        <is>
          <t>No</t>
        </is>
      </c>
      <c r="D1909">
        <f>IF(AND(B1904=1,B1905=1,B1906=1,B1907=1,B1908=1),"Yes","")</f>
        <v/>
      </c>
      <c r="E1909" t="inlineStr">
        <is>
          <t>No</t>
        </is>
      </c>
      <c r="F1909" t="inlineStr">
        <is>
          <t>No</t>
        </is>
      </c>
      <c r="G1909">
        <f>IF(F1909="Yes",1-B1909,B1909)</f>
        <v/>
      </c>
      <c r="H1909">
        <f>IF(E1909="Yes","",COUNTIFS($E$2:E1909,"No"))</f>
        <v/>
      </c>
      <c r="I1909">
        <f>IF(H1909="","",IF(H1909&lt;=128,"address",IF(H1909&lt;=600,"data1",IF(H1909&lt;=1264,"zero-run1",IF(H1909&lt;=1648,"data2",IF(H1909&lt;=2176,"zero-run2",IF(H1909&lt;=2192,"FCS","trailing")))))))</f>
        <v/>
      </c>
      <c r="J1909">
        <f>IFERROR(IF(AND(H1909&lt;&gt;"",H1909&gt;=129,H1909&lt;=2176),INDEX(Fields!$B$2:$B$206,MATCH(H1909-129,Fields!$D$2:$D$206,1)),""),"")</f>
        <v/>
      </c>
      <c r="K1909">
        <f>IFERROR(IF(AND(H1909&lt;&gt;"",H1909&gt;=129,H1909&lt;=2176),INDEX(Fields!$C$2:$C$206,MATCH(H1909-129,Fields!$D$2:$D$206,1)),""),"")</f>
        <v/>
      </c>
      <c r="L1909">
        <f>IFERROR(IF(AND(H1909&lt;&gt;"",H1909&gt;=129,H1909&lt;=2176),INDEX(Fields!$J$2:$J$206,MATCH(H1909-129,Fields!$D$2:$D$206,1)),""),"")</f>
        <v/>
      </c>
      <c r="M1909">
        <f>IFERROR(IF(AND(H1909&lt;&gt;"",H1909&gt;=129,H1909&lt;=2176),INDEX(Fields!$K$2:$K$206,MATCH(H1909-129,Fields!$D$2:$D$206,1)),""),"")</f>
        <v/>
      </c>
    </row>
    <row r="1910">
      <c r="A1910" t="n">
        <v>1908</v>
      </c>
      <c r="B1910" t="n">
        <v>0</v>
      </c>
      <c r="C1910" t="inlineStr">
        <is>
          <t>No</t>
        </is>
      </c>
      <c r="D1910">
        <f>IF(AND(B1905=1,B1906=1,B1907=1,B1908=1,B1909=1),"Yes","")</f>
        <v/>
      </c>
      <c r="E1910" t="inlineStr">
        <is>
          <t>No</t>
        </is>
      </c>
      <c r="F1910" t="inlineStr">
        <is>
          <t>No</t>
        </is>
      </c>
      <c r="G1910">
        <f>IF(F1910="Yes",1-B1910,B1910)</f>
        <v/>
      </c>
      <c r="H1910">
        <f>IF(E1910="Yes","",COUNTIFS($E$2:E1910,"No"))</f>
        <v/>
      </c>
      <c r="I1910">
        <f>IF(H1910="","",IF(H1910&lt;=128,"address",IF(H1910&lt;=600,"data1",IF(H1910&lt;=1264,"zero-run1",IF(H1910&lt;=1648,"data2",IF(H1910&lt;=2176,"zero-run2",IF(H1910&lt;=2192,"FCS","trailing")))))))</f>
        <v/>
      </c>
      <c r="J1910">
        <f>IFERROR(IF(AND(H1910&lt;&gt;"",H1910&gt;=129,H1910&lt;=2176),INDEX(Fields!$B$2:$B$206,MATCH(H1910-129,Fields!$D$2:$D$206,1)),""),"")</f>
        <v/>
      </c>
      <c r="K1910">
        <f>IFERROR(IF(AND(H1910&lt;&gt;"",H1910&gt;=129,H1910&lt;=2176),INDEX(Fields!$C$2:$C$206,MATCH(H1910-129,Fields!$D$2:$D$206,1)),""),"")</f>
        <v/>
      </c>
      <c r="L1910">
        <f>IFERROR(IF(AND(H1910&lt;&gt;"",H1910&gt;=129,H1910&lt;=2176),INDEX(Fields!$J$2:$J$206,MATCH(H1910-129,Fields!$D$2:$D$206,1)),""),"")</f>
        <v/>
      </c>
      <c r="M1910">
        <f>IFERROR(IF(AND(H1910&lt;&gt;"",H1910&gt;=129,H1910&lt;=2176),INDEX(Fields!$K$2:$K$206,MATCH(H1910-129,Fields!$D$2:$D$206,1)),""),"")</f>
        <v/>
      </c>
    </row>
    <row r="1911">
      <c r="A1911" t="n">
        <v>1909</v>
      </c>
      <c r="B1911" t="n">
        <v>0</v>
      </c>
      <c r="C1911" t="inlineStr">
        <is>
          <t>No</t>
        </is>
      </c>
      <c r="D1911">
        <f>IF(AND(B1906=1,B1907=1,B1908=1,B1909=1,B1910=1),"Yes","")</f>
        <v/>
      </c>
      <c r="E1911" t="inlineStr">
        <is>
          <t>No</t>
        </is>
      </c>
      <c r="F1911" t="inlineStr">
        <is>
          <t>No</t>
        </is>
      </c>
      <c r="G1911">
        <f>IF(F1911="Yes",1-B1911,B1911)</f>
        <v/>
      </c>
      <c r="H1911">
        <f>IF(E1911="Yes","",COUNTIFS($E$2:E1911,"No"))</f>
        <v/>
      </c>
      <c r="I1911">
        <f>IF(H1911="","",IF(H1911&lt;=128,"address",IF(H1911&lt;=600,"data1",IF(H1911&lt;=1264,"zero-run1",IF(H1911&lt;=1648,"data2",IF(H1911&lt;=2176,"zero-run2",IF(H1911&lt;=2192,"FCS","trailing")))))))</f>
        <v/>
      </c>
      <c r="J1911">
        <f>IFERROR(IF(AND(H1911&lt;&gt;"",H1911&gt;=129,H1911&lt;=2176),INDEX(Fields!$B$2:$B$206,MATCH(H1911-129,Fields!$D$2:$D$206,1)),""),"")</f>
        <v/>
      </c>
      <c r="K1911">
        <f>IFERROR(IF(AND(H1911&lt;&gt;"",H1911&gt;=129,H1911&lt;=2176),INDEX(Fields!$C$2:$C$206,MATCH(H1911-129,Fields!$D$2:$D$206,1)),""),"")</f>
        <v/>
      </c>
      <c r="L1911">
        <f>IFERROR(IF(AND(H1911&lt;&gt;"",H1911&gt;=129,H1911&lt;=2176),INDEX(Fields!$J$2:$J$206,MATCH(H1911-129,Fields!$D$2:$D$206,1)),""),"")</f>
        <v/>
      </c>
      <c r="M1911">
        <f>IFERROR(IF(AND(H1911&lt;&gt;"",H1911&gt;=129,H1911&lt;=2176),INDEX(Fields!$K$2:$K$206,MATCH(H1911-129,Fields!$D$2:$D$206,1)),""),"")</f>
        <v/>
      </c>
    </row>
    <row r="1912">
      <c r="A1912" t="n">
        <v>1910</v>
      </c>
      <c r="B1912" t="n">
        <v>0</v>
      </c>
      <c r="C1912" t="inlineStr">
        <is>
          <t>No</t>
        </is>
      </c>
      <c r="D1912">
        <f>IF(AND(B1907=1,B1908=1,B1909=1,B1910=1,B1911=1),"Yes","")</f>
        <v/>
      </c>
      <c r="E1912" t="inlineStr">
        <is>
          <t>No</t>
        </is>
      </c>
      <c r="F1912" t="inlineStr">
        <is>
          <t>No</t>
        </is>
      </c>
      <c r="G1912">
        <f>IF(F1912="Yes",1-B1912,B1912)</f>
        <v/>
      </c>
      <c r="H1912">
        <f>IF(E1912="Yes","",COUNTIFS($E$2:E1912,"No"))</f>
        <v/>
      </c>
      <c r="I1912">
        <f>IF(H1912="","",IF(H1912&lt;=128,"address",IF(H1912&lt;=600,"data1",IF(H1912&lt;=1264,"zero-run1",IF(H1912&lt;=1648,"data2",IF(H1912&lt;=2176,"zero-run2",IF(H1912&lt;=2192,"FCS","trailing")))))))</f>
        <v/>
      </c>
      <c r="J1912">
        <f>IFERROR(IF(AND(H1912&lt;&gt;"",H1912&gt;=129,H1912&lt;=2176),INDEX(Fields!$B$2:$B$206,MATCH(H1912-129,Fields!$D$2:$D$206,1)),""),"")</f>
        <v/>
      </c>
      <c r="K1912">
        <f>IFERROR(IF(AND(H1912&lt;&gt;"",H1912&gt;=129,H1912&lt;=2176),INDEX(Fields!$C$2:$C$206,MATCH(H1912-129,Fields!$D$2:$D$206,1)),""),"")</f>
        <v/>
      </c>
      <c r="L1912">
        <f>IFERROR(IF(AND(H1912&lt;&gt;"",H1912&gt;=129,H1912&lt;=2176),INDEX(Fields!$J$2:$J$206,MATCH(H1912-129,Fields!$D$2:$D$206,1)),""),"")</f>
        <v/>
      </c>
      <c r="M1912">
        <f>IFERROR(IF(AND(H1912&lt;&gt;"",H1912&gt;=129,H1912&lt;=2176),INDEX(Fields!$K$2:$K$206,MATCH(H1912-129,Fields!$D$2:$D$206,1)),""),"")</f>
        <v/>
      </c>
    </row>
    <row r="1913">
      <c r="A1913" t="n">
        <v>1911</v>
      </c>
      <c r="B1913" t="n">
        <v>0</v>
      </c>
      <c r="C1913" t="inlineStr">
        <is>
          <t>No</t>
        </is>
      </c>
      <c r="D1913">
        <f>IF(AND(B1908=1,B1909=1,B1910=1,B1911=1,B1912=1),"Yes","")</f>
        <v/>
      </c>
      <c r="E1913" t="inlineStr">
        <is>
          <t>No</t>
        </is>
      </c>
      <c r="F1913" t="inlineStr">
        <is>
          <t>No</t>
        </is>
      </c>
      <c r="G1913">
        <f>IF(F1913="Yes",1-B1913,B1913)</f>
        <v/>
      </c>
      <c r="H1913">
        <f>IF(E1913="Yes","",COUNTIFS($E$2:E1913,"No"))</f>
        <v/>
      </c>
      <c r="I1913">
        <f>IF(H1913="","",IF(H1913&lt;=128,"address",IF(H1913&lt;=600,"data1",IF(H1913&lt;=1264,"zero-run1",IF(H1913&lt;=1648,"data2",IF(H1913&lt;=2176,"zero-run2",IF(H1913&lt;=2192,"FCS","trailing")))))))</f>
        <v/>
      </c>
      <c r="J1913">
        <f>IFERROR(IF(AND(H1913&lt;&gt;"",H1913&gt;=129,H1913&lt;=2176),INDEX(Fields!$B$2:$B$206,MATCH(H1913-129,Fields!$D$2:$D$206,1)),""),"")</f>
        <v/>
      </c>
      <c r="K1913">
        <f>IFERROR(IF(AND(H1913&lt;&gt;"",H1913&gt;=129,H1913&lt;=2176),INDEX(Fields!$C$2:$C$206,MATCH(H1913-129,Fields!$D$2:$D$206,1)),""),"")</f>
        <v/>
      </c>
      <c r="L1913">
        <f>IFERROR(IF(AND(H1913&lt;&gt;"",H1913&gt;=129,H1913&lt;=2176),INDEX(Fields!$J$2:$J$206,MATCH(H1913-129,Fields!$D$2:$D$206,1)),""),"")</f>
        <v/>
      </c>
      <c r="M1913">
        <f>IFERROR(IF(AND(H1913&lt;&gt;"",H1913&gt;=129,H1913&lt;=2176),INDEX(Fields!$K$2:$K$206,MATCH(H1913-129,Fields!$D$2:$D$206,1)),""),"")</f>
        <v/>
      </c>
    </row>
    <row r="1914">
      <c r="A1914" t="n">
        <v>1912</v>
      </c>
      <c r="B1914" t="n">
        <v>0</v>
      </c>
      <c r="C1914" t="inlineStr">
        <is>
          <t>No</t>
        </is>
      </c>
      <c r="D1914">
        <f>IF(AND(B1909=1,B1910=1,B1911=1,B1912=1,B1913=1),"Yes","")</f>
        <v/>
      </c>
      <c r="E1914" t="inlineStr">
        <is>
          <t>No</t>
        </is>
      </c>
      <c r="F1914" t="inlineStr">
        <is>
          <t>No</t>
        </is>
      </c>
      <c r="G1914">
        <f>IF(F1914="Yes",1-B1914,B1914)</f>
        <v/>
      </c>
      <c r="H1914">
        <f>IF(E1914="Yes","",COUNTIFS($E$2:E1914,"No"))</f>
        <v/>
      </c>
      <c r="I1914">
        <f>IF(H1914="","",IF(H1914&lt;=128,"address",IF(H1914&lt;=600,"data1",IF(H1914&lt;=1264,"zero-run1",IF(H1914&lt;=1648,"data2",IF(H1914&lt;=2176,"zero-run2",IF(H1914&lt;=2192,"FCS","trailing")))))))</f>
        <v/>
      </c>
      <c r="J1914">
        <f>IFERROR(IF(AND(H1914&lt;&gt;"",H1914&gt;=129,H1914&lt;=2176),INDEX(Fields!$B$2:$B$206,MATCH(H1914-129,Fields!$D$2:$D$206,1)),""),"")</f>
        <v/>
      </c>
      <c r="K1914">
        <f>IFERROR(IF(AND(H1914&lt;&gt;"",H1914&gt;=129,H1914&lt;=2176),INDEX(Fields!$C$2:$C$206,MATCH(H1914-129,Fields!$D$2:$D$206,1)),""),"")</f>
        <v/>
      </c>
      <c r="L1914">
        <f>IFERROR(IF(AND(H1914&lt;&gt;"",H1914&gt;=129,H1914&lt;=2176),INDEX(Fields!$J$2:$J$206,MATCH(H1914-129,Fields!$D$2:$D$206,1)),""),"")</f>
        <v/>
      </c>
      <c r="M1914">
        <f>IFERROR(IF(AND(H1914&lt;&gt;"",H1914&gt;=129,H1914&lt;=2176),INDEX(Fields!$K$2:$K$206,MATCH(H1914-129,Fields!$D$2:$D$206,1)),""),"")</f>
        <v/>
      </c>
    </row>
    <row r="1915">
      <c r="A1915" t="n">
        <v>1913</v>
      </c>
      <c r="B1915" t="n">
        <v>0</v>
      </c>
      <c r="C1915" t="inlineStr">
        <is>
          <t>No</t>
        </is>
      </c>
      <c r="D1915">
        <f>IF(AND(B1910=1,B1911=1,B1912=1,B1913=1,B1914=1),"Yes","")</f>
        <v/>
      </c>
      <c r="E1915" t="inlineStr">
        <is>
          <t>No</t>
        </is>
      </c>
      <c r="F1915" t="inlineStr">
        <is>
          <t>No</t>
        </is>
      </c>
      <c r="G1915">
        <f>IF(F1915="Yes",1-B1915,B1915)</f>
        <v/>
      </c>
      <c r="H1915">
        <f>IF(E1915="Yes","",COUNTIFS($E$2:E1915,"No"))</f>
        <v/>
      </c>
      <c r="I1915">
        <f>IF(H1915="","",IF(H1915&lt;=128,"address",IF(H1915&lt;=600,"data1",IF(H1915&lt;=1264,"zero-run1",IF(H1915&lt;=1648,"data2",IF(H1915&lt;=2176,"zero-run2",IF(H1915&lt;=2192,"FCS","trailing")))))))</f>
        <v/>
      </c>
      <c r="J1915">
        <f>IFERROR(IF(AND(H1915&lt;&gt;"",H1915&gt;=129,H1915&lt;=2176),INDEX(Fields!$B$2:$B$206,MATCH(H1915-129,Fields!$D$2:$D$206,1)),""),"")</f>
        <v/>
      </c>
      <c r="K1915">
        <f>IFERROR(IF(AND(H1915&lt;&gt;"",H1915&gt;=129,H1915&lt;=2176),INDEX(Fields!$C$2:$C$206,MATCH(H1915-129,Fields!$D$2:$D$206,1)),""),"")</f>
        <v/>
      </c>
      <c r="L1915">
        <f>IFERROR(IF(AND(H1915&lt;&gt;"",H1915&gt;=129,H1915&lt;=2176),INDEX(Fields!$J$2:$J$206,MATCH(H1915-129,Fields!$D$2:$D$206,1)),""),"")</f>
        <v/>
      </c>
      <c r="M1915">
        <f>IFERROR(IF(AND(H1915&lt;&gt;"",H1915&gt;=129,H1915&lt;=2176),INDEX(Fields!$K$2:$K$206,MATCH(H1915-129,Fields!$D$2:$D$206,1)),""),"")</f>
        <v/>
      </c>
    </row>
    <row r="1916">
      <c r="A1916" t="n">
        <v>1914</v>
      </c>
      <c r="B1916" t="n">
        <v>0</v>
      </c>
      <c r="C1916" t="inlineStr">
        <is>
          <t>No</t>
        </is>
      </c>
      <c r="D1916">
        <f>IF(AND(B1911=1,B1912=1,B1913=1,B1914=1,B1915=1),"Yes","")</f>
        <v/>
      </c>
      <c r="E1916" t="inlineStr">
        <is>
          <t>No</t>
        </is>
      </c>
      <c r="F1916" t="inlineStr">
        <is>
          <t>No</t>
        </is>
      </c>
      <c r="G1916">
        <f>IF(F1916="Yes",1-B1916,B1916)</f>
        <v/>
      </c>
      <c r="H1916">
        <f>IF(E1916="Yes","",COUNTIFS($E$2:E1916,"No"))</f>
        <v/>
      </c>
      <c r="I1916">
        <f>IF(H1916="","",IF(H1916&lt;=128,"address",IF(H1916&lt;=600,"data1",IF(H1916&lt;=1264,"zero-run1",IF(H1916&lt;=1648,"data2",IF(H1916&lt;=2176,"zero-run2",IF(H1916&lt;=2192,"FCS","trailing")))))))</f>
        <v/>
      </c>
      <c r="J1916">
        <f>IFERROR(IF(AND(H1916&lt;&gt;"",H1916&gt;=129,H1916&lt;=2176),INDEX(Fields!$B$2:$B$206,MATCH(H1916-129,Fields!$D$2:$D$206,1)),""),"")</f>
        <v/>
      </c>
      <c r="K1916">
        <f>IFERROR(IF(AND(H1916&lt;&gt;"",H1916&gt;=129,H1916&lt;=2176),INDEX(Fields!$C$2:$C$206,MATCH(H1916-129,Fields!$D$2:$D$206,1)),""),"")</f>
        <v/>
      </c>
      <c r="L1916">
        <f>IFERROR(IF(AND(H1916&lt;&gt;"",H1916&gt;=129,H1916&lt;=2176),INDEX(Fields!$J$2:$J$206,MATCH(H1916-129,Fields!$D$2:$D$206,1)),""),"")</f>
        <v/>
      </c>
      <c r="M1916">
        <f>IFERROR(IF(AND(H1916&lt;&gt;"",H1916&gt;=129,H1916&lt;=2176),INDEX(Fields!$K$2:$K$206,MATCH(H1916-129,Fields!$D$2:$D$206,1)),""),"")</f>
        <v/>
      </c>
    </row>
    <row r="1917">
      <c r="A1917" t="n">
        <v>1915</v>
      </c>
      <c r="B1917" t="n">
        <v>0</v>
      </c>
      <c r="C1917" t="inlineStr">
        <is>
          <t>No</t>
        </is>
      </c>
      <c r="D1917">
        <f>IF(AND(B1912=1,B1913=1,B1914=1,B1915=1,B1916=1),"Yes","")</f>
        <v/>
      </c>
      <c r="E1917" t="inlineStr">
        <is>
          <t>No</t>
        </is>
      </c>
      <c r="F1917" t="inlineStr">
        <is>
          <t>No</t>
        </is>
      </c>
      <c r="G1917">
        <f>IF(F1917="Yes",1-B1917,B1917)</f>
        <v/>
      </c>
      <c r="H1917">
        <f>IF(E1917="Yes","",COUNTIFS($E$2:E1917,"No"))</f>
        <v/>
      </c>
      <c r="I1917">
        <f>IF(H1917="","",IF(H1917&lt;=128,"address",IF(H1917&lt;=600,"data1",IF(H1917&lt;=1264,"zero-run1",IF(H1917&lt;=1648,"data2",IF(H1917&lt;=2176,"zero-run2",IF(H1917&lt;=2192,"FCS","trailing")))))))</f>
        <v/>
      </c>
      <c r="J1917">
        <f>IFERROR(IF(AND(H1917&lt;&gt;"",H1917&gt;=129,H1917&lt;=2176),INDEX(Fields!$B$2:$B$206,MATCH(H1917-129,Fields!$D$2:$D$206,1)),""),"")</f>
        <v/>
      </c>
      <c r="K1917">
        <f>IFERROR(IF(AND(H1917&lt;&gt;"",H1917&gt;=129,H1917&lt;=2176),INDEX(Fields!$C$2:$C$206,MATCH(H1917-129,Fields!$D$2:$D$206,1)),""),"")</f>
        <v/>
      </c>
      <c r="L1917">
        <f>IFERROR(IF(AND(H1917&lt;&gt;"",H1917&gt;=129,H1917&lt;=2176),INDEX(Fields!$J$2:$J$206,MATCH(H1917-129,Fields!$D$2:$D$206,1)),""),"")</f>
        <v/>
      </c>
      <c r="M1917">
        <f>IFERROR(IF(AND(H1917&lt;&gt;"",H1917&gt;=129,H1917&lt;=2176),INDEX(Fields!$K$2:$K$206,MATCH(H1917-129,Fields!$D$2:$D$206,1)),""),"")</f>
        <v/>
      </c>
    </row>
    <row r="1918">
      <c r="A1918" t="n">
        <v>1916</v>
      </c>
      <c r="B1918" t="n">
        <v>0</v>
      </c>
      <c r="C1918" t="inlineStr">
        <is>
          <t>No</t>
        </is>
      </c>
      <c r="D1918">
        <f>IF(AND(B1913=1,B1914=1,B1915=1,B1916=1,B1917=1),"Yes","")</f>
        <v/>
      </c>
      <c r="E1918" t="inlineStr">
        <is>
          <t>No</t>
        </is>
      </c>
      <c r="F1918" t="inlineStr">
        <is>
          <t>No</t>
        </is>
      </c>
      <c r="G1918">
        <f>IF(F1918="Yes",1-B1918,B1918)</f>
        <v/>
      </c>
      <c r="H1918">
        <f>IF(E1918="Yes","",COUNTIFS($E$2:E1918,"No"))</f>
        <v/>
      </c>
      <c r="I1918">
        <f>IF(H1918="","",IF(H1918&lt;=128,"address",IF(H1918&lt;=600,"data1",IF(H1918&lt;=1264,"zero-run1",IF(H1918&lt;=1648,"data2",IF(H1918&lt;=2176,"zero-run2",IF(H1918&lt;=2192,"FCS","trailing")))))))</f>
        <v/>
      </c>
      <c r="J1918">
        <f>IFERROR(IF(AND(H1918&lt;&gt;"",H1918&gt;=129,H1918&lt;=2176),INDEX(Fields!$B$2:$B$206,MATCH(H1918-129,Fields!$D$2:$D$206,1)),""),"")</f>
        <v/>
      </c>
      <c r="K1918">
        <f>IFERROR(IF(AND(H1918&lt;&gt;"",H1918&gt;=129,H1918&lt;=2176),INDEX(Fields!$C$2:$C$206,MATCH(H1918-129,Fields!$D$2:$D$206,1)),""),"")</f>
        <v/>
      </c>
      <c r="L1918">
        <f>IFERROR(IF(AND(H1918&lt;&gt;"",H1918&gt;=129,H1918&lt;=2176),INDEX(Fields!$J$2:$J$206,MATCH(H1918-129,Fields!$D$2:$D$206,1)),""),"")</f>
        <v/>
      </c>
      <c r="M1918">
        <f>IFERROR(IF(AND(H1918&lt;&gt;"",H1918&gt;=129,H1918&lt;=2176),INDEX(Fields!$K$2:$K$206,MATCH(H1918-129,Fields!$D$2:$D$206,1)),""),"")</f>
        <v/>
      </c>
    </row>
    <row r="1919">
      <c r="A1919" t="n">
        <v>1917</v>
      </c>
      <c r="B1919" t="n">
        <v>0</v>
      </c>
      <c r="C1919" t="inlineStr">
        <is>
          <t>No</t>
        </is>
      </c>
      <c r="D1919">
        <f>IF(AND(B1914=1,B1915=1,B1916=1,B1917=1,B1918=1),"Yes","")</f>
        <v/>
      </c>
      <c r="E1919" t="inlineStr">
        <is>
          <t>No</t>
        </is>
      </c>
      <c r="F1919" t="inlineStr">
        <is>
          <t>No</t>
        </is>
      </c>
      <c r="G1919">
        <f>IF(F1919="Yes",1-B1919,B1919)</f>
        <v/>
      </c>
      <c r="H1919">
        <f>IF(E1919="Yes","",COUNTIFS($E$2:E1919,"No"))</f>
        <v/>
      </c>
      <c r="I1919">
        <f>IF(H1919="","",IF(H1919&lt;=128,"address",IF(H1919&lt;=600,"data1",IF(H1919&lt;=1264,"zero-run1",IF(H1919&lt;=1648,"data2",IF(H1919&lt;=2176,"zero-run2",IF(H1919&lt;=2192,"FCS","trailing")))))))</f>
        <v/>
      </c>
      <c r="J1919">
        <f>IFERROR(IF(AND(H1919&lt;&gt;"",H1919&gt;=129,H1919&lt;=2176),INDEX(Fields!$B$2:$B$206,MATCH(H1919-129,Fields!$D$2:$D$206,1)),""),"")</f>
        <v/>
      </c>
      <c r="K1919">
        <f>IFERROR(IF(AND(H1919&lt;&gt;"",H1919&gt;=129,H1919&lt;=2176),INDEX(Fields!$C$2:$C$206,MATCH(H1919-129,Fields!$D$2:$D$206,1)),""),"")</f>
        <v/>
      </c>
      <c r="L1919">
        <f>IFERROR(IF(AND(H1919&lt;&gt;"",H1919&gt;=129,H1919&lt;=2176),INDEX(Fields!$J$2:$J$206,MATCH(H1919-129,Fields!$D$2:$D$206,1)),""),"")</f>
        <v/>
      </c>
      <c r="M1919">
        <f>IFERROR(IF(AND(H1919&lt;&gt;"",H1919&gt;=129,H1919&lt;=2176),INDEX(Fields!$K$2:$K$206,MATCH(H1919-129,Fields!$D$2:$D$206,1)),""),"")</f>
        <v/>
      </c>
    </row>
    <row r="1920">
      <c r="A1920" t="n">
        <v>1918</v>
      </c>
      <c r="B1920" t="n">
        <v>0</v>
      </c>
      <c r="C1920" t="inlineStr">
        <is>
          <t>No</t>
        </is>
      </c>
      <c r="D1920">
        <f>IF(AND(B1915=1,B1916=1,B1917=1,B1918=1,B1919=1),"Yes","")</f>
        <v/>
      </c>
      <c r="E1920" t="inlineStr">
        <is>
          <t>No</t>
        </is>
      </c>
      <c r="F1920" t="inlineStr">
        <is>
          <t>No</t>
        </is>
      </c>
      <c r="G1920">
        <f>IF(F1920="Yes",1-B1920,B1920)</f>
        <v/>
      </c>
      <c r="H1920">
        <f>IF(E1920="Yes","",COUNTIFS($E$2:E1920,"No"))</f>
        <v/>
      </c>
      <c r="I1920">
        <f>IF(H1920="","",IF(H1920&lt;=128,"address",IF(H1920&lt;=600,"data1",IF(H1920&lt;=1264,"zero-run1",IF(H1920&lt;=1648,"data2",IF(H1920&lt;=2176,"zero-run2",IF(H1920&lt;=2192,"FCS","trailing")))))))</f>
        <v/>
      </c>
      <c r="J1920">
        <f>IFERROR(IF(AND(H1920&lt;&gt;"",H1920&gt;=129,H1920&lt;=2176),INDEX(Fields!$B$2:$B$206,MATCH(H1920-129,Fields!$D$2:$D$206,1)),""),"")</f>
        <v/>
      </c>
      <c r="K1920">
        <f>IFERROR(IF(AND(H1920&lt;&gt;"",H1920&gt;=129,H1920&lt;=2176),INDEX(Fields!$C$2:$C$206,MATCH(H1920-129,Fields!$D$2:$D$206,1)),""),"")</f>
        <v/>
      </c>
      <c r="L1920">
        <f>IFERROR(IF(AND(H1920&lt;&gt;"",H1920&gt;=129,H1920&lt;=2176),INDEX(Fields!$J$2:$J$206,MATCH(H1920-129,Fields!$D$2:$D$206,1)),""),"")</f>
        <v/>
      </c>
      <c r="M1920">
        <f>IFERROR(IF(AND(H1920&lt;&gt;"",H1920&gt;=129,H1920&lt;=2176),INDEX(Fields!$K$2:$K$206,MATCH(H1920-129,Fields!$D$2:$D$206,1)),""),"")</f>
        <v/>
      </c>
    </row>
    <row r="1921">
      <c r="A1921" t="n">
        <v>1919</v>
      </c>
      <c r="B1921" t="n">
        <v>0</v>
      </c>
      <c r="C1921" t="inlineStr">
        <is>
          <t>No</t>
        </is>
      </c>
      <c r="D1921">
        <f>IF(AND(B1916=1,B1917=1,B1918=1,B1919=1,B1920=1),"Yes","")</f>
        <v/>
      </c>
      <c r="E1921" t="inlineStr">
        <is>
          <t>No</t>
        </is>
      </c>
      <c r="F1921" t="inlineStr">
        <is>
          <t>No</t>
        </is>
      </c>
      <c r="G1921">
        <f>IF(F1921="Yes",1-B1921,B1921)</f>
        <v/>
      </c>
      <c r="H1921">
        <f>IF(E1921="Yes","",COUNTIFS($E$2:E1921,"No"))</f>
        <v/>
      </c>
      <c r="I1921">
        <f>IF(H1921="","",IF(H1921&lt;=128,"address",IF(H1921&lt;=600,"data1",IF(H1921&lt;=1264,"zero-run1",IF(H1921&lt;=1648,"data2",IF(H1921&lt;=2176,"zero-run2",IF(H1921&lt;=2192,"FCS","trailing")))))))</f>
        <v/>
      </c>
      <c r="J1921">
        <f>IFERROR(IF(AND(H1921&lt;&gt;"",H1921&gt;=129,H1921&lt;=2176),INDEX(Fields!$B$2:$B$206,MATCH(H1921-129,Fields!$D$2:$D$206,1)),""),"")</f>
        <v/>
      </c>
      <c r="K1921">
        <f>IFERROR(IF(AND(H1921&lt;&gt;"",H1921&gt;=129,H1921&lt;=2176),INDEX(Fields!$C$2:$C$206,MATCH(H1921-129,Fields!$D$2:$D$206,1)),""),"")</f>
        <v/>
      </c>
      <c r="L1921">
        <f>IFERROR(IF(AND(H1921&lt;&gt;"",H1921&gt;=129,H1921&lt;=2176),INDEX(Fields!$J$2:$J$206,MATCH(H1921-129,Fields!$D$2:$D$206,1)),""),"")</f>
        <v/>
      </c>
      <c r="M1921">
        <f>IFERROR(IF(AND(H1921&lt;&gt;"",H1921&gt;=129,H1921&lt;=2176),INDEX(Fields!$K$2:$K$206,MATCH(H1921-129,Fields!$D$2:$D$206,1)),""),"")</f>
        <v/>
      </c>
    </row>
    <row r="1922">
      <c r="A1922" t="n">
        <v>1920</v>
      </c>
      <c r="B1922" t="n">
        <v>0</v>
      </c>
      <c r="C1922" t="inlineStr">
        <is>
          <t>No</t>
        </is>
      </c>
      <c r="D1922">
        <f>IF(AND(B1917=1,B1918=1,B1919=1,B1920=1,B1921=1),"Yes","")</f>
        <v/>
      </c>
      <c r="E1922" t="inlineStr">
        <is>
          <t>No</t>
        </is>
      </c>
      <c r="F1922" t="inlineStr">
        <is>
          <t>No</t>
        </is>
      </c>
      <c r="G1922">
        <f>IF(F1922="Yes",1-B1922,B1922)</f>
        <v/>
      </c>
      <c r="H1922">
        <f>IF(E1922="Yes","",COUNTIFS($E$2:E1922,"No"))</f>
        <v/>
      </c>
      <c r="I1922">
        <f>IF(H1922="","",IF(H1922&lt;=128,"address",IF(H1922&lt;=600,"data1",IF(H1922&lt;=1264,"zero-run1",IF(H1922&lt;=1648,"data2",IF(H1922&lt;=2176,"zero-run2",IF(H1922&lt;=2192,"FCS","trailing")))))))</f>
        <v/>
      </c>
      <c r="J1922">
        <f>IFERROR(IF(AND(H1922&lt;&gt;"",H1922&gt;=129,H1922&lt;=2176),INDEX(Fields!$B$2:$B$206,MATCH(H1922-129,Fields!$D$2:$D$206,1)),""),"")</f>
        <v/>
      </c>
      <c r="K1922">
        <f>IFERROR(IF(AND(H1922&lt;&gt;"",H1922&gt;=129,H1922&lt;=2176),INDEX(Fields!$C$2:$C$206,MATCH(H1922-129,Fields!$D$2:$D$206,1)),""),"")</f>
        <v/>
      </c>
      <c r="L1922">
        <f>IFERROR(IF(AND(H1922&lt;&gt;"",H1922&gt;=129,H1922&lt;=2176),INDEX(Fields!$J$2:$J$206,MATCH(H1922-129,Fields!$D$2:$D$206,1)),""),"")</f>
        <v/>
      </c>
      <c r="M1922">
        <f>IFERROR(IF(AND(H1922&lt;&gt;"",H1922&gt;=129,H1922&lt;=2176),INDEX(Fields!$K$2:$K$206,MATCH(H1922-129,Fields!$D$2:$D$206,1)),""),"")</f>
        <v/>
      </c>
    </row>
    <row r="1923">
      <c r="A1923" t="n">
        <v>1921</v>
      </c>
      <c r="B1923" t="n">
        <v>0</v>
      </c>
      <c r="C1923" t="inlineStr">
        <is>
          <t>No</t>
        </is>
      </c>
      <c r="D1923">
        <f>IF(AND(B1918=1,B1919=1,B1920=1,B1921=1,B1922=1),"Yes","")</f>
        <v/>
      </c>
      <c r="E1923" t="inlineStr">
        <is>
          <t>No</t>
        </is>
      </c>
      <c r="F1923" t="inlineStr">
        <is>
          <t>No</t>
        </is>
      </c>
      <c r="G1923">
        <f>IF(F1923="Yes",1-B1923,B1923)</f>
        <v/>
      </c>
      <c r="H1923">
        <f>IF(E1923="Yes","",COUNTIFS($E$2:E1923,"No"))</f>
        <v/>
      </c>
      <c r="I1923">
        <f>IF(H1923="","",IF(H1923&lt;=128,"address",IF(H1923&lt;=600,"data1",IF(H1923&lt;=1264,"zero-run1",IF(H1923&lt;=1648,"data2",IF(H1923&lt;=2176,"zero-run2",IF(H1923&lt;=2192,"FCS","trailing")))))))</f>
        <v/>
      </c>
      <c r="J1923">
        <f>IFERROR(IF(AND(H1923&lt;&gt;"",H1923&gt;=129,H1923&lt;=2176),INDEX(Fields!$B$2:$B$206,MATCH(H1923-129,Fields!$D$2:$D$206,1)),""),"")</f>
        <v/>
      </c>
      <c r="K1923">
        <f>IFERROR(IF(AND(H1923&lt;&gt;"",H1923&gt;=129,H1923&lt;=2176),INDEX(Fields!$C$2:$C$206,MATCH(H1923-129,Fields!$D$2:$D$206,1)),""),"")</f>
        <v/>
      </c>
      <c r="L1923">
        <f>IFERROR(IF(AND(H1923&lt;&gt;"",H1923&gt;=129,H1923&lt;=2176),INDEX(Fields!$J$2:$J$206,MATCH(H1923-129,Fields!$D$2:$D$206,1)),""),"")</f>
        <v/>
      </c>
      <c r="M1923">
        <f>IFERROR(IF(AND(H1923&lt;&gt;"",H1923&gt;=129,H1923&lt;=2176),INDEX(Fields!$K$2:$K$206,MATCH(H1923-129,Fields!$D$2:$D$206,1)),""),"")</f>
        <v/>
      </c>
    </row>
    <row r="1924">
      <c r="A1924" t="n">
        <v>1922</v>
      </c>
      <c r="B1924" t="n">
        <v>0</v>
      </c>
      <c r="C1924" t="inlineStr">
        <is>
          <t>No</t>
        </is>
      </c>
      <c r="D1924">
        <f>IF(AND(B1919=1,B1920=1,B1921=1,B1922=1,B1923=1),"Yes","")</f>
        <v/>
      </c>
      <c r="E1924" t="inlineStr">
        <is>
          <t>No</t>
        </is>
      </c>
      <c r="F1924" t="inlineStr">
        <is>
          <t>No</t>
        </is>
      </c>
      <c r="G1924">
        <f>IF(F1924="Yes",1-B1924,B1924)</f>
        <v/>
      </c>
      <c r="H1924">
        <f>IF(E1924="Yes","",COUNTIFS($E$2:E1924,"No"))</f>
        <v/>
      </c>
      <c r="I1924">
        <f>IF(H1924="","",IF(H1924&lt;=128,"address",IF(H1924&lt;=600,"data1",IF(H1924&lt;=1264,"zero-run1",IF(H1924&lt;=1648,"data2",IF(H1924&lt;=2176,"zero-run2",IF(H1924&lt;=2192,"FCS","trailing")))))))</f>
        <v/>
      </c>
      <c r="J1924">
        <f>IFERROR(IF(AND(H1924&lt;&gt;"",H1924&gt;=129,H1924&lt;=2176),INDEX(Fields!$B$2:$B$206,MATCH(H1924-129,Fields!$D$2:$D$206,1)),""),"")</f>
        <v/>
      </c>
      <c r="K1924">
        <f>IFERROR(IF(AND(H1924&lt;&gt;"",H1924&gt;=129,H1924&lt;=2176),INDEX(Fields!$C$2:$C$206,MATCH(H1924-129,Fields!$D$2:$D$206,1)),""),"")</f>
        <v/>
      </c>
      <c r="L1924">
        <f>IFERROR(IF(AND(H1924&lt;&gt;"",H1924&gt;=129,H1924&lt;=2176),INDEX(Fields!$J$2:$J$206,MATCH(H1924-129,Fields!$D$2:$D$206,1)),""),"")</f>
        <v/>
      </c>
      <c r="M1924">
        <f>IFERROR(IF(AND(H1924&lt;&gt;"",H1924&gt;=129,H1924&lt;=2176),INDEX(Fields!$K$2:$K$206,MATCH(H1924-129,Fields!$D$2:$D$206,1)),""),"")</f>
        <v/>
      </c>
    </row>
    <row r="1925">
      <c r="A1925" t="n">
        <v>1923</v>
      </c>
      <c r="B1925" t="n">
        <v>0</v>
      </c>
      <c r="C1925" t="inlineStr">
        <is>
          <t>No</t>
        </is>
      </c>
      <c r="D1925">
        <f>IF(AND(B1920=1,B1921=1,B1922=1,B1923=1,B1924=1),"Yes","")</f>
        <v/>
      </c>
      <c r="E1925" t="inlineStr">
        <is>
          <t>No</t>
        </is>
      </c>
      <c r="F1925" t="inlineStr">
        <is>
          <t>No</t>
        </is>
      </c>
      <c r="G1925">
        <f>IF(F1925="Yes",1-B1925,B1925)</f>
        <v/>
      </c>
      <c r="H1925">
        <f>IF(E1925="Yes","",COUNTIFS($E$2:E1925,"No"))</f>
        <v/>
      </c>
      <c r="I1925">
        <f>IF(H1925="","",IF(H1925&lt;=128,"address",IF(H1925&lt;=600,"data1",IF(H1925&lt;=1264,"zero-run1",IF(H1925&lt;=1648,"data2",IF(H1925&lt;=2176,"zero-run2",IF(H1925&lt;=2192,"FCS","trailing")))))))</f>
        <v/>
      </c>
      <c r="J1925">
        <f>IFERROR(IF(AND(H1925&lt;&gt;"",H1925&gt;=129,H1925&lt;=2176),INDEX(Fields!$B$2:$B$206,MATCH(H1925-129,Fields!$D$2:$D$206,1)),""),"")</f>
        <v/>
      </c>
      <c r="K1925">
        <f>IFERROR(IF(AND(H1925&lt;&gt;"",H1925&gt;=129,H1925&lt;=2176),INDEX(Fields!$C$2:$C$206,MATCH(H1925-129,Fields!$D$2:$D$206,1)),""),"")</f>
        <v/>
      </c>
      <c r="L1925">
        <f>IFERROR(IF(AND(H1925&lt;&gt;"",H1925&gt;=129,H1925&lt;=2176),INDEX(Fields!$J$2:$J$206,MATCH(H1925-129,Fields!$D$2:$D$206,1)),""),"")</f>
        <v/>
      </c>
      <c r="M1925">
        <f>IFERROR(IF(AND(H1925&lt;&gt;"",H1925&gt;=129,H1925&lt;=2176),INDEX(Fields!$K$2:$K$206,MATCH(H1925-129,Fields!$D$2:$D$206,1)),""),"")</f>
        <v/>
      </c>
    </row>
    <row r="1926">
      <c r="A1926" t="n">
        <v>1924</v>
      </c>
      <c r="B1926" t="n">
        <v>0</v>
      </c>
      <c r="C1926" t="inlineStr">
        <is>
          <t>No</t>
        </is>
      </c>
      <c r="D1926">
        <f>IF(AND(B1921=1,B1922=1,B1923=1,B1924=1,B1925=1),"Yes","")</f>
        <v/>
      </c>
      <c r="E1926" t="inlineStr">
        <is>
          <t>No</t>
        </is>
      </c>
      <c r="F1926" t="inlineStr">
        <is>
          <t>No</t>
        </is>
      </c>
      <c r="G1926">
        <f>IF(F1926="Yes",1-B1926,B1926)</f>
        <v/>
      </c>
      <c r="H1926">
        <f>IF(E1926="Yes","",COUNTIFS($E$2:E1926,"No"))</f>
        <v/>
      </c>
      <c r="I1926">
        <f>IF(H1926="","",IF(H1926&lt;=128,"address",IF(H1926&lt;=600,"data1",IF(H1926&lt;=1264,"zero-run1",IF(H1926&lt;=1648,"data2",IF(H1926&lt;=2176,"zero-run2",IF(H1926&lt;=2192,"FCS","trailing")))))))</f>
        <v/>
      </c>
      <c r="J1926">
        <f>IFERROR(IF(AND(H1926&lt;&gt;"",H1926&gt;=129,H1926&lt;=2176),INDEX(Fields!$B$2:$B$206,MATCH(H1926-129,Fields!$D$2:$D$206,1)),""),"")</f>
        <v/>
      </c>
      <c r="K1926">
        <f>IFERROR(IF(AND(H1926&lt;&gt;"",H1926&gt;=129,H1926&lt;=2176),INDEX(Fields!$C$2:$C$206,MATCH(H1926-129,Fields!$D$2:$D$206,1)),""),"")</f>
        <v/>
      </c>
      <c r="L1926">
        <f>IFERROR(IF(AND(H1926&lt;&gt;"",H1926&gt;=129,H1926&lt;=2176),INDEX(Fields!$J$2:$J$206,MATCH(H1926-129,Fields!$D$2:$D$206,1)),""),"")</f>
        <v/>
      </c>
      <c r="M1926">
        <f>IFERROR(IF(AND(H1926&lt;&gt;"",H1926&gt;=129,H1926&lt;=2176),INDEX(Fields!$K$2:$K$206,MATCH(H1926-129,Fields!$D$2:$D$206,1)),""),"")</f>
        <v/>
      </c>
    </row>
    <row r="1927">
      <c r="A1927" t="n">
        <v>1925</v>
      </c>
      <c r="B1927" t="n">
        <v>0</v>
      </c>
      <c r="C1927" t="inlineStr">
        <is>
          <t>No</t>
        </is>
      </c>
      <c r="D1927">
        <f>IF(AND(B1922=1,B1923=1,B1924=1,B1925=1,B1926=1),"Yes","")</f>
        <v/>
      </c>
      <c r="E1927" t="inlineStr">
        <is>
          <t>No</t>
        </is>
      </c>
      <c r="F1927" t="inlineStr">
        <is>
          <t>No</t>
        </is>
      </c>
      <c r="G1927">
        <f>IF(F1927="Yes",1-B1927,B1927)</f>
        <v/>
      </c>
      <c r="H1927">
        <f>IF(E1927="Yes","",COUNTIFS($E$2:E1927,"No"))</f>
        <v/>
      </c>
      <c r="I1927">
        <f>IF(H1927="","",IF(H1927&lt;=128,"address",IF(H1927&lt;=600,"data1",IF(H1927&lt;=1264,"zero-run1",IF(H1927&lt;=1648,"data2",IF(H1927&lt;=2176,"zero-run2",IF(H1927&lt;=2192,"FCS","trailing")))))))</f>
        <v/>
      </c>
      <c r="J1927">
        <f>IFERROR(IF(AND(H1927&lt;&gt;"",H1927&gt;=129,H1927&lt;=2176),INDEX(Fields!$B$2:$B$206,MATCH(H1927-129,Fields!$D$2:$D$206,1)),""),"")</f>
        <v/>
      </c>
      <c r="K1927">
        <f>IFERROR(IF(AND(H1927&lt;&gt;"",H1927&gt;=129,H1927&lt;=2176),INDEX(Fields!$C$2:$C$206,MATCH(H1927-129,Fields!$D$2:$D$206,1)),""),"")</f>
        <v/>
      </c>
      <c r="L1927">
        <f>IFERROR(IF(AND(H1927&lt;&gt;"",H1927&gt;=129,H1927&lt;=2176),INDEX(Fields!$J$2:$J$206,MATCH(H1927-129,Fields!$D$2:$D$206,1)),""),"")</f>
        <v/>
      </c>
      <c r="M1927">
        <f>IFERROR(IF(AND(H1927&lt;&gt;"",H1927&gt;=129,H1927&lt;=2176),INDEX(Fields!$K$2:$K$206,MATCH(H1927-129,Fields!$D$2:$D$206,1)),""),"")</f>
        <v/>
      </c>
    </row>
    <row r="1928">
      <c r="A1928" t="n">
        <v>1926</v>
      </c>
      <c r="B1928" t="n">
        <v>0</v>
      </c>
      <c r="C1928" t="inlineStr">
        <is>
          <t>No</t>
        </is>
      </c>
      <c r="D1928">
        <f>IF(AND(B1923=1,B1924=1,B1925=1,B1926=1,B1927=1),"Yes","")</f>
        <v/>
      </c>
      <c r="E1928" t="inlineStr">
        <is>
          <t>No</t>
        </is>
      </c>
      <c r="F1928" t="inlineStr">
        <is>
          <t>No</t>
        </is>
      </c>
      <c r="G1928">
        <f>IF(F1928="Yes",1-B1928,B1928)</f>
        <v/>
      </c>
      <c r="H1928">
        <f>IF(E1928="Yes","",COUNTIFS($E$2:E1928,"No"))</f>
        <v/>
      </c>
      <c r="I1928">
        <f>IF(H1928="","",IF(H1928&lt;=128,"address",IF(H1928&lt;=600,"data1",IF(H1928&lt;=1264,"zero-run1",IF(H1928&lt;=1648,"data2",IF(H1928&lt;=2176,"zero-run2",IF(H1928&lt;=2192,"FCS","trailing")))))))</f>
        <v/>
      </c>
      <c r="J1928">
        <f>IFERROR(IF(AND(H1928&lt;&gt;"",H1928&gt;=129,H1928&lt;=2176),INDEX(Fields!$B$2:$B$206,MATCH(H1928-129,Fields!$D$2:$D$206,1)),""),"")</f>
        <v/>
      </c>
      <c r="K1928">
        <f>IFERROR(IF(AND(H1928&lt;&gt;"",H1928&gt;=129,H1928&lt;=2176),INDEX(Fields!$C$2:$C$206,MATCH(H1928-129,Fields!$D$2:$D$206,1)),""),"")</f>
        <v/>
      </c>
      <c r="L1928">
        <f>IFERROR(IF(AND(H1928&lt;&gt;"",H1928&gt;=129,H1928&lt;=2176),INDEX(Fields!$J$2:$J$206,MATCH(H1928-129,Fields!$D$2:$D$206,1)),""),"")</f>
        <v/>
      </c>
      <c r="M1928">
        <f>IFERROR(IF(AND(H1928&lt;&gt;"",H1928&gt;=129,H1928&lt;=2176),INDEX(Fields!$K$2:$K$206,MATCH(H1928-129,Fields!$D$2:$D$206,1)),""),"")</f>
        <v/>
      </c>
    </row>
    <row r="1929">
      <c r="A1929" t="n">
        <v>1927</v>
      </c>
      <c r="B1929" t="n">
        <v>0</v>
      </c>
      <c r="C1929" t="inlineStr">
        <is>
          <t>No</t>
        </is>
      </c>
      <c r="D1929">
        <f>IF(AND(B1924=1,B1925=1,B1926=1,B1927=1,B1928=1),"Yes","")</f>
        <v/>
      </c>
      <c r="E1929" t="inlineStr">
        <is>
          <t>No</t>
        </is>
      </c>
      <c r="F1929" t="inlineStr">
        <is>
          <t>No</t>
        </is>
      </c>
      <c r="G1929">
        <f>IF(F1929="Yes",1-B1929,B1929)</f>
        <v/>
      </c>
      <c r="H1929">
        <f>IF(E1929="Yes","",COUNTIFS($E$2:E1929,"No"))</f>
        <v/>
      </c>
      <c r="I1929">
        <f>IF(H1929="","",IF(H1929&lt;=128,"address",IF(H1929&lt;=600,"data1",IF(H1929&lt;=1264,"zero-run1",IF(H1929&lt;=1648,"data2",IF(H1929&lt;=2176,"zero-run2",IF(H1929&lt;=2192,"FCS","trailing")))))))</f>
        <v/>
      </c>
      <c r="J1929">
        <f>IFERROR(IF(AND(H1929&lt;&gt;"",H1929&gt;=129,H1929&lt;=2176),INDEX(Fields!$B$2:$B$206,MATCH(H1929-129,Fields!$D$2:$D$206,1)),""),"")</f>
        <v/>
      </c>
      <c r="K1929">
        <f>IFERROR(IF(AND(H1929&lt;&gt;"",H1929&gt;=129,H1929&lt;=2176),INDEX(Fields!$C$2:$C$206,MATCH(H1929-129,Fields!$D$2:$D$206,1)),""),"")</f>
        <v/>
      </c>
      <c r="L1929">
        <f>IFERROR(IF(AND(H1929&lt;&gt;"",H1929&gt;=129,H1929&lt;=2176),INDEX(Fields!$J$2:$J$206,MATCH(H1929-129,Fields!$D$2:$D$206,1)),""),"")</f>
        <v/>
      </c>
      <c r="M1929">
        <f>IFERROR(IF(AND(H1929&lt;&gt;"",H1929&gt;=129,H1929&lt;=2176),INDEX(Fields!$K$2:$K$206,MATCH(H1929-129,Fields!$D$2:$D$206,1)),""),"")</f>
        <v/>
      </c>
    </row>
    <row r="1930">
      <c r="A1930" t="n">
        <v>1928</v>
      </c>
      <c r="B1930" t="n">
        <v>0</v>
      </c>
      <c r="C1930" t="inlineStr">
        <is>
          <t>No</t>
        </is>
      </c>
      <c r="D1930">
        <f>IF(AND(B1925=1,B1926=1,B1927=1,B1928=1,B1929=1),"Yes","")</f>
        <v/>
      </c>
      <c r="E1930" t="inlineStr">
        <is>
          <t>No</t>
        </is>
      </c>
      <c r="F1930" t="inlineStr">
        <is>
          <t>No</t>
        </is>
      </c>
      <c r="G1930">
        <f>IF(F1930="Yes",1-B1930,B1930)</f>
        <v/>
      </c>
      <c r="H1930">
        <f>IF(E1930="Yes","",COUNTIFS($E$2:E1930,"No"))</f>
        <v/>
      </c>
      <c r="I1930">
        <f>IF(H1930="","",IF(H1930&lt;=128,"address",IF(H1930&lt;=600,"data1",IF(H1930&lt;=1264,"zero-run1",IF(H1930&lt;=1648,"data2",IF(H1930&lt;=2176,"zero-run2",IF(H1930&lt;=2192,"FCS","trailing")))))))</f>
        <v/>
      </c>
      <c r="J1930">
        <f>IFERROR(IF(AND(H1930&lt;&gt;"",H1930&gt;=129,H1930&lt;=2176),INDEX(Fields!$B$2:$B$206,MATCH(H1930-129,Fields!$D$2:$D$206,1)),""),"")</f>
        <v/>
      </c>
      <c r="K1930">
        <f>IFERROR(IF(AND(H1930&lt;&gt;"",H1930&gt;=129,H1930&lt;=2176),INDEX(Fields!$C$2:$C$206,MATCH(H1930-129,Fields!$D$2:$D$206,1)),""),"")</f>
        <v/>
      </c>
      <c r="L1930">
        <f>IFERROR(IF(AND(H1930&lt;&gt;"",H1930&gt;=129,H1930&lt;=2176),INDEX(Fields!$J$2:$J$206,MATCH(H1930-129,Fields!$D$2:$D$206,1)),""),"")</f>
        <v/>
      </c>
      <c r="M1930">
        <f>IFERROR(IF(AND(H1930&lt;&gt;"",H1930&gt;=129,H1930&lt;=2176),INDEX(Fields!$K$2:$K$206,MATCH(H1930-129,Fields!$D$2:$D$206,1)),""),"")</f>
        <v/>
      </c>
    </row>
    <row r="1931">
      <c r="A1931" t="n">
        <v>1929</v>
      </c>
      <c r="B1931" t="n">
        <v>0</v>
      </c>
      <c r="C1931" t="inlineStr">
        <is>
          <t>No</t>
        </is>
      </c>
      <c r="D1931">
        <f>IF(AND(B1926=1,B1927=1,B1928=1,B1929=1,B1930=1),"Yes","")</f>
        <v/>
      </c>
      <c r="E1931" t="inlineStr">
        <is>
          <t>No</t>
        </is>
      </c>
      <c r="F1931" t="inlineStr">
        <is>
          <t>No</t>
        </is>
      </c>
      <c r="G1931">
        <f>IF(F1931="Yes",1-B1931,B1931)</f>
        <v/>
      </c>
      <c r="H1931">
        <f>IF(E1931="Yes","",COUNTIFS($E$2:E1931,"No"))</f>
        <v/>
      </c>
      <c r="I1931">
        <f>IF(H1931="","",IF(H1931&lt;=128,"address",IF(H1931&lt;=600,"data1",IF(H1931&lt;=1264,"zero-run1",IF(H1931&lt;=1648,"data2",IF(H1931&lt;=2176,"zero-run2",IF(H1931&lt;=2192,"FCS","trailing")))))))</f>
        <v/>
      </c>
      <c r="J1931">
        <f>IFERROR(IF(AND(H1931&lt;&gt;"",H1931&gt;=129,H1931&lt;=2176),INDEX(Fields!$B$2:$B$206,MATCH(H1931-129,Fields!$D$2:$D$206,1)),""),"")</f>
        <v/>
      </c>
      <c r="K1931">
        <f>IFERROR(IF(AND(H1931&lt;&gt;"",H1931&gt;=129,H1931&lt;=2176),INDEX(Fields!$C$2:$C$206,MATCH(H1931-129,Fields!$D$2:$D$206,1)),""),"")</f>
        <v/>
      </c>
      <c r="L1931">
        <f>IFERROR(IF(AND(H1931&lt;&gt;"",H1931&gt;=129,H1931&lt;=2176),INDEX(Fields!$J$2:$J$206,MATCH(H1931-129,Fields!$D$2:$D$206,1)),""),"")</f>
        <v/>
      </c>
      <c r="M1931">
        <f>IFERROR(IF(AND(H1931&lt;&gt;"",H1931&gt;=129,H1931&lt;=2176),INDEX(Fields!$K$2:$K$206,MATCH(H1931-129,Fields!$D$2:$D$206,1)),""),"")</f>
        <v/>
      </c>
    </row>
    <row r="1932">
      <c r="A1932" t="n">
        <v>1930</v>
      </c>
      <c r="B1932" t="n">
        <v>0</v>
      </c>
      <c r="C1932" t="inlineStr">
        <is>
          <t>No</t>
        </is>
      </c>
      <c r="D1932">
        <f>IF(AND(B1927=1,B1928=1,B1929=1,B1930=1,B1931=1),"Yes","")</f>
        <v/>
      </c>
      <c r="E1932" t="inlineStr">
        <is>
          <t>No</t>
        </is>
      </c>
      <c r="F1932" t="inlineStr">
        <is>
          <t>No</t>
        </is>
      </c>
      <c r="G1932">
        <f>IF(F1932="Yes",1-B1932,B1932)</f>
        <v/>
      </c>
      <c r="H1932">
        <f>IF(E1932="Yes","",COUNTIFS($E$2:E1932,"No"))</f>
        <v/>
      </c>
      <c r="I1932">
        <f>IF(H1932="","",IF(H1932&lt;=128,"address",IF(H1932&lt;=600,"data1",IF(H1932&lt;=1264,"zero-run1",IF(H1932&lt;=1648,"data2",IF(H1932&lt;=2176,"zero-run2",IF(H1932&lt;=2192,"FCS","trailing")))))))</f>
        <v/>
      </c>
      <c r="J1932">
        <f>IFERROR(IF(AND(H1932&lt;&gt;"",H1932&gt;=129,H1932&lt;=2176),INDEX(Fields!$B$2:$B$206,MATCH(H1932-129,Fields!$D$2:$D$206,1)),""),"")</f>
        <v/>
      </c>
      <c r="K1932">
        <f>IFERROR(IF(AND(H1932&lt;&gt;"",H1932&gt;=129,H1932&lt;=2176),INDEX(Fields!$C$2:$C$206,MATCH(H1932-129,Fields!$D$2:$D$206,1)),""),"")</f>
        <v/>
      </c>
      <c r="L1932">
        <f>IFERROR(IF(AND(H1932&lt;&gt;"",H1932&gt;=129,H1932&lt;=2176),INDEX(Fields!$J$2:$J$206,MATCH(H1932-129,Fields!$D$2:$D$206,1)),""),"")</f>
        <v/>
      </c>
      <c r="M1932">
        <f>IFERROR(IF(AND(H1932&lt;&gt;"",H1932&gt;=129,H1932&lt;=2176),INDEX(Fields!$K$2:$K$206,MATCH(H1932-129,Fields!$D$2:$D$206,1)),""),"")</f>
        <v/>
      </c>
    </row>
    <row r="1933">
      <c r="A1933" t="n">
        <v>1931</v>
      </c>
      <c r="B1933" t="n">
        <v>0</v>
      </c>
      <c r="C1933" t="inlineStr">
        <is>
          <t>No</t>
        </is>
      </c>
      <c r="D1933">
        <f>IF(AND(B1928=1,B1929=1,B1930=1,B1931=1,B1932=1),"Yes","")</f>
        <v/>
      </c>
      <c r="E1933" t="inlineStr">
        <is>
          <t>No</t>
        </is>
      </c>
      <c r="F1933" t="inlineStr">
        <is>
          <t>No</t>
        </is>
      </c>
      <c r="G1933">
        <f>IF(F1933="Yes",1-B1933,B1933)</f>
        <v/>
      </c>
      <c r="H1933">
        <f>IF(E1933="Yes","",COUNTIFS($E$2:E1933,"No"))</f>
        <v/>
      </c>
      <c r="I1933">
        <f>IF(H1933="","",IF(H1933&lt;=128,"address",IF(H1933&lt;=600,"data1",IF(H1933&lt;=1264,"zero-run1",IF(H1933&lt;=1648,"data2",IF(H1933&lt;=2176,"zero-run2",IF(H1933&lt;=2192,"FCS","trailing")))))))</f>
        <v/>
      </c>
      <c r="J1933">
        <f>IFERROR(IF(AND(H1933&lt;&gt;"",H1933&gt;=129,H1933&lt;=2176),INDEX(Fields!$B$2:$B$206,MATCH(H1933-129,Fields!$D$2:$D$206,1)),""),"")</f>
        <v/>
      </c>
      <c r="K1933">
        <f>IFERROR(IF(AND(H1933&lt;&gt;"",H1933&gt;=129,H1933&lt;=2176),INDEX(Fields!$C$2:$C$206,MATCH(H1933-129,Fields!$D$2:$D$206,1)),""),"")</f>
        <v/>
      </c>
      <c r="L1933">
        <f>IFERROR(IF(AND(H1933&lt;&gt;"",H1933&gt;=129,H1933&lt;=2176),INDEX(Fields!$J$2:$J$206,MATCH(H1933-129,Fields!$D$2:$D$206,1)),""),"")</f>
        <v/>
      </c>
      <c r="M1933">
        <f>IFERROR(IF(AND(H1933&lt;&gt;"",H1933&gt;=129,H1933&lt;=2176),INDEX(Fields!$K$2:$K$206,MATCH(H1933-129,Fields!$D$2:$D$206,1)),""),"")</f>
        <v/>
      </c>
    </row>
    <row r="1934">
      <c r="A1934" t="n">
        <v>1932</v>
      </c>
      <c r="B1934" t="n">
        <v>0</v>
      </c>
      <c r="C1934" t="inlineStr">
        <is>
          <t>No</t>
        </is>
      </c>
      <c r="D1934">
        <f>IF(AND(B1929=1,B1930=1,B1931=1,B1932=1,B1933=1),"Yes","")</f>
        <v/>
      </c>
      <c r="E1934" t="inlineStr">
        <is>
          <t>No</t>
        </is>
      </c>
      <c r="F1934" t="inlineStr">
        <is>
          <t>No</t>
        </is>
      </c>
      <c r="G1934">
        <f>IF(F1934="Yes",1-B1934,B1934)</f>
        <v/>
      </c>
      <c r="H1934">
        <f>IF(E1934="Yes","",COUNTIFS($E$2:E1934,"No"))</f>
        <v/>
      </c>
      <c r="I1934">
        <f>IF(H1934="","",IF(H1934&lt;=128,"address",IF(H1934&lt;=600,"data1",IF(H1934&lt;=1264,"zero-run1",IF(H1934&lt;=1648,"data2",IF(H1934&lt;=2176,"zero-run2",IF(H1934&lt;=2192,"FCS","trailing")))))))</f>
        <v/>
      </c>
      <c r="J1934">
        <f>IFERROR(IF(AND(H1934&lt;&gt;"",H1934&gt;=129,H1934&lt;=2176),INDEX(Fields!$B$2:$B$206,MATCH(H1934-129,Fields!$D$2:$D$206,1)),""),"")</f>
        <v/>
      </c>
      <c r="K1934">
        <f>IFERROR(IF(AND(H1934&lt;&gt;"",H1934&gt;=129,H1934&lt;=2176),INDEX(Fields!$C$2:$C$206,MATCH(H1934-129,Fields!$D$2:$D$206,1)),""),"")</f>
        <v/>
      </c>
      <c r="L1934">
        <f>IFERROR(IF(AND(H1934&lt;&gt;"",H1934&gt;=129,H1934&lt;=2176),INDEX(Fields!$J$2:$J$206,MATCH(H1934-129,Fields!$D$2:$D$206,1)),""),"")</f>
        <v/>
      </c>
      <c r="M1934">
        <f>IFERROR(IF(AND(H1934&lt;&gt;"",H1934&gt;=129,H1934&lt;=2176),INDEX(Fields!$K$2:$K$206,MATCH(H1934-129,Fields!$D$2:$D$206,1)),""),"")</f>
        <v/>
      </c>
    </row>
    <row r="1935">
      <c r="A1935" t="n">
        <v>1933</v>
      </c>
      <c r="B1935" t="n">
        <v>0</v>
      </c>
      <c r="C1935" t="inlineStr">
        <is>
          <t>No</t>
        </is>
      </c>
      <c r="D1935">
        <f>IF(AND(B1930=1,B1931=1,B1932=1,B1933=1,B1934=1),"Yes","")</f>
        <v/>
      </c>
      <c r="E1935" t="inlineStr">
        <is>
          <t>No</t>
        </is>
      </c>
      <c r="F1935" t="inlineStr">
        <is>
          <t>No</t>
        </is>
      </c>
      <c r="G1935">
        <f>IF(F1935="Yes",1-B1935,B1935)</f>
        <v/>
      </c>
      <c r="H1935">
        <f>IF(E1935="Yes","",COUNTIFS($E$2:E1935,"No"))</f>
        <v/>
      </c>
      <c r="I1935">
        <f>IF(H1935="","",IF(H1935&lt;=128,"address",IF(H1935&lt;=600,"data1",IF(H1935&lt;=1264,"zero-run1",IF(H1935&lt;=1648,"data2",IF(H1935&lt;=2176,"zero-run2",IF(H1935&lt;=2192,"FCS","trailing")))))))</f>
        <v/>
      </c>
      <c r="J1935">
        <f>IFERROR(IF(AND(H1935&lt;&gt;"",H1935&gt;=129,H1935&lt;=2176),INDEX(Fields!$B$2:$B$206,MATCH(H1935-129,Fields!$D$2:$D$206,1)),""),"")</f>
        <v/>
      </c>
      <c r="K1935">
        <f>IFERROR(IF(AND(H1935&lt;&gt;"",H1935&gt;=129,H1935&lt;=2176),INDEX(Fields!$C$2:$C$206,MATCH(H1935-129,Fields!$D$2:$D$206,1)),""),"")</f>
        <v/>
      </c>
      <c r="L1935">
        <f>IFERROR(IF(AND(H1935&lt;&gt;"",H1935&gt;=129,H1935&lt;=2176),INDEX(Fields!$J$2:$J$206,MATCH(H1935-129,Fields!$D$2:$D$206,1)),""),"")</f>
        <v/>
      </c>
      <c r="M1935">
        <f>IFERROR(IF(AND(H1935&lt;&gt;"",H1935&gt;=129,H1935&lt;=2176),INDEX(Fields!$K$2:$K$206,MATCH(H1935-129,Fields!$D$2:$D$206,1)),""),"")</f>
        <v/>
      </c>
    </row>
    <row r="1936">
      <c r="A1936" t="n">
        <v>1934</v>
      </c>
      <c r="B1936" t="n">
        <v>0</v>
      </c>
      <c r="C1936" t="inlineStr">
        <is>
          <t>No</t>
        </is>
      </c>
      <c r="D1936">
        <f>IF(AND(B1931=1,B1932=1,B1933=1,B1934=1,B1935=1),"Yes","")</f>
        <v/>
      </c>
      <c r="E1936" t="inlineStr">
        <is>
          <t>No</t>
        </is>
      </c>
      <c r="F1936" t="inlineStr">
        <is>
          <t>No</t>
        </is>
      </c>
      <c r="G1936">
        <f>IF(F1936="Yes",1-B1936,B1936)</f>
        <v/>
      </c>
      <c r="H1936">
        <f>IF(E1936="Yes","",COUNTIFS($E$2:E1936,"No"))</f>
        <v/>
      </c>
      <c r="I1936">
        <f>IF(H1936="","",IF(H1936&lt;=128,"address",IF(H1936&lt;=600,"data1",IF(H1936&lt;=1264,"zero-run1",IF(H1936&lt;=1648,"data2",IF(H1936&lt;=2176,"zero-run2",IF(H1936&lt;=2192,"FCS","trailing")))))))</f>
        <v/>
      </c>
      <c r="J1936">
        <f>IFERROR(IF(AND(H1936&lt;&gt;"",H1936&gt;=129,H1936&lt;=2176),INDEX(Fields!$B$2:$B$206,MATCH(H1936-129,Fields!$D$2:$D$206,1)),""),"")</f>
        <v/>
      </c>
      <c r="K1936">
        <f>IFERROR(IF(AND(H1936&lt;&gt;"",H1936&gt;=129,H1936&lt;=2176),INDEX(Fields!$C$2:$C$206,MATCH(H1936-129,Fields!$D$2:$D$206,1)),""),"")</f>
        <v/>
      </c>
      <c r="L1936">
        <f>IFERROR(IF(AND(H1936&lt;&gt;"",H1936&gt;=129,H1936&lt;=2176),INDEX(Fields!$J$2:$J$206,MATCH(H1936-129,Fields!$D$2:$D$206,1)),""),"")</f>
        <v/>
      </c>
      <c r="M1936">
        <f>IFERROR(IF(AND(H1936&lt;&gt;"",H1936&gt;=129,H1936&lt;=2176),INDEX(Fields!$K$2:$K$206,MATCH(H1936-129,Fields!$D$2:$D$206,1)),""),"")</f>
        <v/>
      </c>
    </row>
    <row r="1937">
      <c r="A1937" t="n">
        <v>1935</v>
      </c>
      <c r="B1937" t="n">
        <v>0</v>
      </c>
      <c r="C1937" t="inlineStr">
        <is>
          <t>No</t>
        </is>
      </c>
      <c r="D1937">
        <f>IF(AND(B1932=1,B1933=1,B1934=1,B1935=1,B1936=1),"Yes","")</f>
        <v/>
      </c>
      <c r="E1937" t="inlineStr">
        <is>
          <t>No</t>
        </is>
      </c>
      <c r="F1937" t="inlineStr">
        <is>
          <t>No</t>
        </is>
      </c>
      <c r="G1937">
        <f>IF(F1937="Yes",1-B1937,B1937)</f>
        <v/>
      </c>
      <c r="H1937">
        <f>IF(E1937="Yes","",COUNTIFS($E$2:E1937,"No"))</f>
        <v/>
      </c>
      <c r="I1937">
        <f>IF(H1937="","",IF(H1937&lt;=128,"address",IF(H1937&lt;=600,"data1",IF(H1937&lt;=1264,"zero-run1",IF(H1937&lt;=1648,"data2",IF(H1937&lt;=2176,"zero-run2",IF(H1937&lt;=2192,"FCS","trailing")))))))</f>
        <v/>
      </c>
      <c r="J1937">
        <f>IFERROR(IF(AND(H1937&lt;&gt;"",H1937&gt;=129,H1937&lt;=2176),INDEX(Fields!$B$2:$B$206,MATCH(H1937-129,Fields!$D$2:$D$206,1)),""),"")</f>
        <v/>
      </c>
      <c r="K1937">
        <f>IFERROR(IF(AND(H1937&lt;&gt;"",H1937&gt;=129,H1937&lt;=2176),INDEX(Fields!$C$2:$C$206,MATCH(H1937-129,Fields!$D$2:$D$206,1)),""),"")</f>
        <v/>
      </c>
      <c r="L1937">
        <f>IFERROR(IF(AND(H1937&lt;&gt;"",H1937&gt;=129,H1937&lt;=2176),INDEX(Fields!$J$2:$J$206,MATCH(H1937-129,Fields!$D$2:$D$206,1)),""),"")</f>
        <v/>
      </c>
      <c r="M1937">
        <f>IFERROR(IF(AND(H1937&lt;&gt;"",H1937&gt;=129,H1937&lt;=2176),INDEX(Fields!$K$2:$K$206,MATCH(H1937-129,Fields!$D$2:$D$206,1)),""),"")</f>
        <v/>
      </c>
    </row>
    <row r="1938">
      <c r="A1938" t="n">
        <v>1936</v>
      </c>
      <c r="B1938" t="n">
        <v>0</v>
      </c>
      <c r="C1938" t="inlineStr">
        <is>
          <t>No</t>
        </is>
      </c>
      <c r="D1938">
        <f>IF(AND(B1933=1,B1934=1,B1935=1,B1936=1,B1937=1),"Yes","")</f>
        <v/>
      </c>
      <c r="E1938" t="inlineStr">
        <is>
          <t>No</t>
        </is>
      </c>
      <c r="F1938" t="inlineStr">
        <is>
          <t>No</t>
        </is>
      </c>
      <c r="G1938">
        <f>IF(F1938="Yes",1-B1938,B1938)</f>
        <v/>
      </c>
      <c r="H1938">
        <f>IF(E1938="Yes","",COUNTIFS($E$2:E1938,"No"))</f>
        <v/>
      </c>
      <c r="I1938">
        <f>IF(H1938="","",IF(H1938&lt;=128,"address",IF(H1938&lt;=600,"data1",IF(H1938&lt;=1264,"zero-run1",IF(H1938&lt;=1648,"data2",IF(H1938&lt;=2176,"zero-run2",IF(H1938&lt;=2192,"FCS","trailing")))))))</f>
        <v/>
      </c>
      <c r="J1938">
        <f>IFERROR(IF(AND(H1938&lt;&gt;"",H1938&gt;=129,H1938&lt;=2176),INDEX(Fields!$B$2:$B$206,MATCH(H1938-129,Fields!$D$2:$D$206,1)),""),"")</f>
        <v/>
      </c>
      <c r="K1938">
        <f>IFERROR(IF(AND(H1938&lt;&gt;"",H1938&gt;=129,H1938&lt;=2176),INDEX(Fields!$C$2:$C$206,MATCH(H1938-129,Fields!$D$2:$D$206,1)),""),"")</f>
        <v/>
      </c>
      <c r="L1938">
        <f>IFERROR(IF(AND(H1938&lt;&gt;"",H1938&gt;=129,H1938&lt;=2176),INDEX(Fields!$J$2:$J$206,MATCH(H1938-129,Fields!$D$2:$D$206,1)),""),"")</f>
        <v/>
      </c>
      <c r="M1938">
        <f>IFERROR(IF(AND(H1938&lt;&gt;"",H1938&gt;=129,H1938&lt;=2176),INDEX(Fields!$K$2:$K$206,MATCH(H1938-129,Fields!$D$2:$D$206,1)),""),"")</f>
        <v/>
      </c>
    </row>
    <row r="1939">
      <c r="A1939" t="n">
        <v>1937</v>
      </c>
      <c r="B1939" t="n">
        <v>0</v>
      </c>
      <c r="C1939" t="inlineStr">
        <is>
          <t>No</t>
        </is>
      </c>
      <c r="D1939">
        <f>IF(AND(B1934=1,B1935=1,B1936=1,B1937=1,B1938=1),"Yes","")</f>
        <v/>
      </c>
      <c r="E1939" t="inlineStr">
        <is>
          <t>No</t>
        </is>
      </c>
      <c r="F1939" t="inlineStr">
        <is>
          <t>No</t>
        </is>
      </c>
      <c r="G1939">
        <f>IF(F1939="Yes",1-B1939,B1939)</f>
        <v/>
      </c>
      <c r="H1939">
        <f>IF(E1939="Yes","",COUNTIFS($E$2:E1939,"No"))</f>
        <v/>
      </c>
      <c r="I1939">
        <f>IF(H1939="","",IF(H1939&lt;=128,"address",IF(H1939&lt;=600,"data1",IF(H1939&lt;=1264,"zero-run1",IF(H1939&lt;=1648,"data2",IF(H1939&lt;=2176,"zero-run2",IF(H1939&lt;=2192,"FCS","trailing")))))))</f>
        <v/>
      </c>
      <c r="J1939">
        <f>IFERROR(IF(AND(H1939&lt;&gt;"",H1939&gt;=129,H1939&lt;=2176),INDEX(Fields!$B$2:$B$206,MATCH(H1939-129,Fields!$D$2:$D$206,1)),""),"")</f>
        <v/>
      </c>
      <c r="K1939">
        <f>IFERROR(IF(AND(H1939&lt;&gt;"",H1939&gt;=129,H1939&lt;=2176),INDEX(Fields!$C$2:$C$206,MATCH(H1939-129,Fields!$D$2:$D$206,1)),""),"")</f>
        <v/>
      </c>
      <c r="L1939">
        <f>IFERROR(IF(AND(H1939&lt;&gt;"",H1939&gt;=129,H1939&lt;=2176),INDEX(Fields!$J$2:$J$206,MATCH(H1939-129,Fields!$D$2:$D$206,1)),""),"")</f>
        <v/>
      </c>
      <c r="M1939">
        <f>IFERROR(IF(AND(H1939&lt;&gt;"",H1939&gt;=129,H1939&lt;=2176),INDEX(Fields!$K$2:$K$206,MATCH(H1939-129,Fields!$D$2:$D$206,1)),""),"")</f>
        <v/>
      </c>
    </row>
    <row r="1940">
      <c r="A1940" t="n">
        <v>1938</v>
      </c>
      <c r="B1940" t="n">
        <v>0</v>
      </c>
      <c r="C1940" t="inlineStr">
        <is>
          <t>No</t>
        </is>
      </c>
      <c r="D1940">
        <f>IF(AND(B1935=1,B1936=1,B1937=1,B1938=1,B1939=1),"Yes","")</f>
        <v/>
      </c>
      <c r="E1940" t="inlineStr">
        <is>
          <t>No</t>
        </is>
      </c>
      <c r="F1940" t="inlineStr">
        <is>
          <t>No</t>
        </is>
      </c>
      <c r="G1940">
        <f>IF(F1940="Yes",1-B1940,B1940)</f>
        <v/>
      </c>
      <c r="H1940">
        <f>IF(E1940="Yes","",COUNTIFS($E$2:E1940,"No"))</f>
        <v/>
      </c>
      <c r="I1940">
        <f>IF(H1940="","",IF(H1940&lt;=128,"address",IF(H1940&lt;=600,"data1",IF(H1940&lt;=1264,"zero-run1",IF(H1940&lt;=1648,"data2",IF(H1940&lt;=2176,"zero-run2",IF(H1940&lt;=2192,"FCS","trailing")))))))</f>
        <v/>
      </c>
      <c r="J1940">
        <f>IFERROR(IF(AND(H1940&lt;&gt;"",H1940&gt;=129,H1940&lt;=2176),INDEX(Fields!$B$2:$B$206,MATCH(H1940-129,Fields!$D$2:$D$206,1)),""),"")</f>
        <v/>
      </c>
      <c r="K1940">
        <f>IFERROR(IF(AND(H1940&lt;&gt;"",H1940&gt;=129,H1940&lt;=2176),INDEX(Fields!$C$2:$C$206,MATCH(H1940-129,Fields!$D$2:$D$206,1)),""),"")</f>
        <v/>
      </c>
      <c r="L1940">
        <f>IFERROR(IF(AND(H1940&lt;&gt;"",H1940&gt;=129,H1940&lt;=2176),INDEX(Fields!$J$2:$J$206,MATCH(H1940-129,Fields!$D$2:$D$206,1)),""),"")</f>
        <v/>
      </c>
      <c r="M1940">
        <f>IFERROR(IF(AND(H1940&lt;&gt;"",H1940&gt;=129,H1940&lt;=2176),INDEX(Fields!$K$2:$K$206,MATCH(H1940-129,Fields!$D$2:$D$206,1)),""),"")</f>
        <v/>
      </c>
    </row>
    <row r="1941">
      <c r="A1941" t="n">
        <v>1939</v>
      </c>
      <c r="B1941" t="n">
        <v>0</v>
      </c>
      <c r="C1941" t="inlineStr">
        <is>
          <t>No</t>
        </is>
      </c>
      <c r="D1941">
        <f>IF(AND(B1936=1,B1937=1,B1938=1,B1939=1,B1940=1),"Yes","")</f>
        <v/>
      </c>
      <c r="E1941" t="inlineStr">
        <is>
          <t>No</t>
        </is>
      </c>
      <c r="F1941" t="inlineStr">
        <is>
          <t>No</t>
        </is>
      </c>
      <c r="G1941">
        <f>IF(F1941="Yes",1-B1941,B1941)</f>
        <v/>
      </c>
      <c r="H1941">
        <f>IF(E1941="Yes","",COUNTIFS($E$2:E1941,"No"))</f>
        <v/>
      </c>
      <c r="I1941">
        <f>IF(H1941="","",IF(H1941&lt;=128,"address",IF(H1941&lt;=600,"data1",IF(H1941&lt;=1264,"zero-run1",IF(H1941&lt;=1648,"data2",IF(H1941&lt;=2176,"zero-run2",IF(H1941&lt;=2192,"FCS","trailing")))))))</f>
        <v/>
      </c>
      <c r="J1941">
        <f>IFERROR(IF(AND(H1941&lt;&gt;"",H1941&gt;=129,H1941&lt;=2176),INDEX(Fields!$B$2:$B$206,MATCH(H1941-129,Fields!$D$2:$D$206,1)),""),"")</f>
        <v/>
      </c>
      <c r="K1941">
        <f>IFERROR(IF(AND(H1941&lt;&gt;"",H1941&gt;=129,H1941&lt;=2176),INDEX(Fields!$C$2:$C$206,MATCH(H1941-129,Fields!$D$2:$D$206,1)),""),"")</f>
        <v/>
      </c>
      <c r="L1941">
        <f>IFERROR(IF(AND(H1941&lt;&gt;"",H1941&gt;=129,H1941&lt;=2176),INDEX(Fields!$J$2:$J$206,MATCH(H1941-129,Fields!$D$2:$D$206,1)),""),"")</f>
        <v/>
      </c>
      <c r="M1941">
        <f>IFERROR(IF(AND(H1941&lt;&gt;"",H1941&gt;=129,H1941&lt;=2176),INDEX(Fields!$K$2:$K$206,MATCH(H1941-129,Fields!$D$2:$D$206,1)),""),"")</f>
        <v/>
      </c>
    </row>
    <row r="1942">
      <c r="A1942" t="n">
        <v>1940</v>
      </c>
      <c r="B1942" t="n">
        <v>0</v>
      </c>
      <c r="C1942" t="inlineStr">
        <is>
          <t>No</t>
        </is>
      </c>
      <c r="D1942">
        <f>IF(AND(B1937=1,B1938=1,B1939=1,B1940=1,B1941=1),"Yes","")</f>
        <v/>
      </c>
      <c r="E1942" t="inlineStr">
        <is>
          <t>No</t>
        </is>
      </c>
      <c r="F1942" t="inlineStr">
        <is>
          <t>No</t>
        </is>
      </c>
      <c r="G1942">
        <f>IF(F1942="Yes",1-B1942,B1942)</f>
        <v/>
      </c>
      <c r="H1942">
        <f>IF(E1942="Yes","",COUNTIFS($E$2:E1942,"No"))</f>
        <v/>
      </c>
      <c r="I1942">
        <f>IF(H1942="","",IF(H1942&lt;=128,"address",IF(H1942&lt;=600,"data1",IF(H1942&lt;=1264,"zero-run1",IF(H1942&lt;=1648,"data2",IF(H1942&lt;=2176,"zero-run2",IF(H1942&lt;=2192,"FCS","trailing")))))))</f>
        <v/>
      </c>
      <c r="J1942">
        <f>IFERROR(IF(AND(H1942&lt;&gt;"",H1942&gt;=129,H1942&lt;=2176),INDEX(Fields!$B$2:$B$206,MATCH(H1942-129,Fields!$D$2:$D$206,1)),""),"")</f>
        <v/>
      </c>
      <c r="K1942">
        <f>IFERROR(IF(AND(H1942&lt;&gt;"",H1942&gt;=129,H1942&lt;=2176),INDEX(Fields!$C$2:$C$206,MATCH(H1942-129,Fields!$D$2:$D$206,1)),""),"")</f>
        <v/>
      </c>
      <c r="L1942">
        <f>IFERROR(IF(AND(H1942&lt;&gt;"",H1942&gt;=129,H1942&lt;=2176),INDEX(Fields!$J$2:$J$206,MATCH(H1942-129,Fields!$D$2:$D$206,1)),""),"")</f>
        <v/>
      </c>
      <c r="M1942">
        <f>IFERROR(IF(AND(H1942&lt;&gt;"",H1942&gt;=129,H1942&lt;=2176),INDEX(Fields!$K$2:$K$206,MATCH(H1942-129,Fields!$D$2:$D$206,1)),""),"")</f>
        <v/>
      </c>
    </row>
    <row r="1943">
      <c r="A1943" t="n">
        <v>1941</v>
      </c>
      <c r="B1943" t="n">
        <v>0</v>
      </c>
      <c r="C1943" t="inlineStr">
        <is>
          <t>No</t>
        </is>
      </c>
      <c r="D1943">
        <f>IF(AND(B1938=1,B1939=1,B1940=1,B1941=1,B1942=1),"Yes","")</f>
        <v/>
      </c>
      <c r="E1943" t="inlineStr">
        <is>
          <t>No</t>
        </is>
      </c>
      <c r="F1943" t="inlineStr">
        <is>
          <t>No</t>
        </is>
      </c>
      <c r="G1943">
        <f>IF(F1943="Yes",1-B1943,B1943)</f>
        <v/>
      </c>
      <c r="H1943">
        <f>IF(E1943="Yes","",COUNTIFS($E$2:E1943,"No"))</f>
        <v/>
      </c>
      <c r="I1943">
        <f>IF(H1943="","",IF(H1943&lt;=128,"address",IF(H1943&lt;=600,"data1",IF(H1943&lt;=1264,"zero-run1",IF(H1943&lt;=1648,"data2",IF(H1943&lt;=2176,"zero-run2",IF(H1943&lt;=2192,"FCS","trailing")))))))</f>
        <v/>
      </c>
      <c r="J1943">
        <f>IFERROR(IF(AND(H1943&lt;&gt;"",H1943&gt;=129,H1943&lt;=2176),INDEX(Fields!$B$2:$B$206,MATCH(H1943-129,Fields!$D$2:$D$206,1)),""),"")</f>
        <v/>
      </c>
      <c r="K1943">
        <f>IFERROR(IF(AND(H1943&lt;&gt;"",H1943&gt;=129,H1943&lt;=2176),INDEX(Fields!$C$2:$C$206,MATCH(H1943-129,Fields!$D$2:$D$206,1)),""),"")</f>
        <v/>
      </c>
      <c r="L1943">
        <f>IFERROR(IF(AND(H1943&lt;&gt;"",H1943&gt;=129,H1943&lt;=2176),INDEX(Fields!$J$2:$J$206,MATCH(H1943-129,Fields!$D$2:$D$206,1)),""),"")</f>
        <v/>
      </c>
      <c r="M1943">
        <f>IFERROR(IF(AND(H1943&lt;&gt;"",H1943&gt;=129,H1943&lt;=2176),INDEX(Fields!$K$2:$K$206,MATCH(H1943-129,Fields!$D$2:$D$206,1)),""),"")</f>
        <v/>
      </c>
    </row>
    <row r="1944">
      <c r="A1944" t="n">
        <v>1942</v>
      </c>
      <c r="B1944" t="n">
        <v>0</v>
      </c>
      <c r="C1944" t="inlineStr">
        <is>
          <t>No</t>
        </is>
      </c>
      <c r="D1944">
        <f>IF(AND(B1939=1,B1940=1,B1941=1,B1942=1,B1943=1),"Yes","")</f>
        <v/>
      </c>
      <c r="E1944" t="inlineStr">
        <is>
          <t>No</t>
        </is>
      </c>
      <c r="F1944" t="inlineStr">
        <is>
          <t>No</t>
        </is>
      </c>
      <c r="G1944">
        <f>IF(F1944="Yes",1-B1944,B1944)</f>
        <v/>
      </c>
      <c r="H1944">
        <f>IF(E1944="Yes","",COUNTIFS($E$2:E1944,"No"))</f>
        <v/>
      </c>
      <c r="I1944">
        <f>IF(H1944="","",IF(H1944&lt;=128,"address",IF(H1944&lt;=600,"data1",IF(H1944&lt;=1264,"zero-run1",IF(H1944&lt;=1648,"data2",IF(H1944&lt;=2176,"zero-run2",IF(H1944&lt;=2192,"FCS","trailing")))))))</f>
        <v/>
      </c>
      <c r="J1944">
        <f>IFERROR(IF(AND(H1944&lt;&gt;"",H1944&gt;=129,H1944&lt;=2176),INDEX(Fields!$B$2:$B$206,MATCH(H1944-129,Fields!$D$2:$D$206,1)),""),"")</f>
        <v/>
      </c>
      <c r="K1944">
        <f>IFERROR(IF(AND(H1944&lt;&gt;"",H1944&gt;=129,H1944&lt;=2176),INDEX(Fields!$C$2:$C$206,MATCH(H1944-129,Fields!$D$2:$D$206,1)),""),"")</f>
        <v/>
      </c>
      <c r="L1944">
        <f>IFERROR(IF(AND(H1944&lt;&gt;"",H1944&gt;=129,H1944&lt;=2176),INDEX(Fields!$J$2:$J$206,MATCH(H1944-129,Fields!$D$2:$D$206,1)),""),"")</f>
        <v/>
      </c>
      <c r="M1944">
        <f>IFERROR(IF(AND(H1944&lt;&gt;"",H1944&gt;=129,H1944&lt;=2176),INDEX(Fields!$K$2:$K$206,MATCH(H1944-129,Fields!$D$2:$D$206,1)),""),"")</f>
        <v/>
      </c>
    </row>
    <row r="1945">
      <c r="A1945" t="n">
        <v>1943</v>
      </c>
      <c r="B1945" t="n">
        <v>0</v>
      </c>
      <c r="C1945" t="inlineStr">
        <is>
          <t>No</t>
        </is>
      </c>
      <c r="D1945">
        <f>IF(AND(B1940=1,B1941=1,B1942=1,B1943=1,B1944=1),"Yes","")</f>
        <v/>
      </c>
      <c r="E1945" t="inlineStr">
        <is>
          <t>No</t>
        </is>
      </c>
      <c r="F1945" t="inlineStr">
        <is>
          <t>No</t>
        </is>
      </c>
      <c r="G1945">
        <f>IF(F1945="Yes",1-B1945,B1945)</f>
        <v/>
      </c>
      <c r="H1945">
        <f>IF(E1945="Yes","",COUNTIFS($E$2:E1945,"No"))</f>
        <v/>
      </c>
      <c r="I1945">
        <f>IF(H1945="","",IF(H1945&lt;=128,"address",IF(H1945&lt;=600,"data1",IF(H1945&lt;=1264,"zero-run1",IF(H1945&lt;=1648,"data2",IF(H1945&lt;=2176,"zero-run2",IF(H1945&lt;=2192,"FCS","trailing")))))))</f>
        <v/>
      </c>
      <c r="J1945">
        <f>IFERROR(IF(AND(H1945&lt;&gt;"",H1945&gt;=129,H1945&lt;=2176),INDEX(Fields!$B$2:$B$206,MATCH(H1945-129,Fields!$D$2:$D$206,1)),""),"")</f>
        <v/>
      </c>
      <c r="K1945">
        <f>IFERROR(IF(AND(H1945&lt;&gt;"",H1945&gt;=129,H1945&lt;=2176),INDEX(Fields!$C$2:$C$206,MATCH(H1945-129,Fields!$D$2:$D$206,1)),""),"")</f>
        <v/>
      </c>
      <c r="L1945">
        <f>IFERROR(IF(AND(H1945&lt;&gt;"",H1945&gt;=129,H1945&lt;=2176),INDEX(Fields!$J$2:$J$206,MATCH(H1945-129,Fields!$D$2:$D$206,1)),""),"")</f>
        <v/>
      </c>
      <c r="M1945">
        <f>IFERROR(IF(AND(H1945&lt;&gt;"",H1945&gt;=129,H1945&lt;=2176),INDEX(Fields!$K$2:$K$206,MATCH(H1945-129,Fields!$D$2:$D$206,1)),""),"")</f>
        <v/>
      </c>
    </row>
    <row r="1946">
      <c r="A1946" t="n">
        <v>1944</v>
      </c>
      <c r="B1946" t="n">
        <v>0</v>
      </c>
      <c r="C1946" t="inlineStr">
        <is>
          <t>No</t>
        </is>
      </c>
      <c r="D1946">
        <f>IF(AND(B1941=1,B1942=1,B1943=1,B1944=1,B1945=1),"Yes","")</f>
        <v/>
      </c>
      <c r="E1946" t="inlineStr">
        <is>
          <t>No</t>
        </is>
      </c>
      <c r="F1946" t="inlineStr">
        <is>
          <t>No</t>
        </is>
      </c>
      <c r="G1946">
        <f>IF(F1946="Yes",1-B1946,B1946)</f>
        <v/>
      </c>
      <c r="H1946">
        <f>IF(E1946="Yes","",COUNTIFS($E$2:E1946,"No"))</f>
        <v/>
      </c>
      <c r="I1946">
        <f>IF(H1946="","",IF(H1946&lt;=128,"address",IF(H1946&lt;=600,"data1",IF(H1946&lt;=1264,"zero-run1",IF(H1946&lt;=1648,"data2",IF(H1946&lt;=2176,"zero-run2",IF(H1946&lt;=2192,"FCS","trailing")))))))</f>
        <v/>
      </c>
      <c r="J1946">
        <f>IFERROR(IF(AND(H1946&lt;&gt;"",H1946&gt;=129,H1946&lt;=2176),INDEX(Fields!$B$2:$B$206,MATCH(H1946-129,Fields!$D$2:$D$206,1)),""),"")</f>
        <v/>
      </c>
      <c r="K1946">
        <f>IFERROR(IF(AND(H1946&lt;&gt;"",H1946&gt;=129,H1946&lt;=2176),INDEX(Fields!$C$2:$C$206,MATCH(H1946-129,Fields!$D$2:$D$206,1)),""),"")</f>
        <v/>
      </c>
      <c r="L1946">
        <f>IFERROR(IF(AND(H1946&lt;&gt;"",H1946&gt;=129,H1946&lt;=2176),INDEX(Fields!$J$2:$J$206,MATCH(H1946-129,Fields!$D$2:$D$206,1)),""),"")</f>
        <v/>
      </c>
      <c r="M1946">
        <f>IFERROR(IF(AND(H1946&lt;&gt;"",H1946&gt;=129,H1946&lt;=2176),INDEX(Fields!$K$2:$K$206,MATCH(H1946-129,Fields!$D$2:$D$206,1)),""),"")</f>
        <v/>
      </c>
    </row>
    <row r="1947">
      <c r="A1947" t="n">
        <v>1945</v>
      </c>
      <c r="B1947" t="n">
        <v>0</v>
      </c>
      <c r="C1947" t="inlineStr">
        <is>
          <t>No</t>
        </is>
      </c>
      <c r="D1947">
        <f>IF(AND(B1942=1,B1943=1,B1944=1,B1945=1,B1946=1),"Yes","")</f>
        <v/>
      </c>
      <c r="E1947" t="inlineStr">
        <is>
          <t>No</t>
        </is>
      </c>
      <c r="F1947" t="inlineStr">
        <is>
          <t>No</t>
        </is>
      </c>
      <c r="G1947">
        <f>IF(F1947="Yes",1-B1947,B1947)</f>
        <v/>
      </c>
      <c r="H1947">
        <f>IF(E1947="Yes","",COUNTIFS($E$2:E1947,"No"))</f>
        <v/>
      </c>
      <c r="I1947">
        <f>IF(H1947="","",IF(H1947&lt;=128,"address",IF(H1947&lt;=600,"data1",IF(H1947&lt;=1264,"zero-run1",IF(H1947&lt;=1648,"data2",IF(H1947&lt;=2176,"zero-run2",IF(H1947&lt;=2192,"FCS","trailing")))))))</f>
        <v/>
      </c>
      <c r="J1947">
        <f>IFERROR(IF(AND(H1947&lt;&gt;"",H1947&gt;=129,H1947&lt;=2176),INDEX(Fields!$B$2:$B$206,MATCH(H1947-129,Fields!$D$2:$D$206,1)),""),"")</f>
        <v/>
      </c>
      <c r="K1947">
        <f>IFERROR(IF(AND(H1947&lt;&gt;"",H1947&gt;=129,H1947&lt;=2176),INDEX(Fields!$C$2:$C$206,MATCH(H1947-129,Fields!$D$2:$D$206,1)),""),"")</f>
        <v/>
      </c>
      <c r="L1947">
        <f>IFERROR(IF(AND(H1947&lt;&gt;"",H1947&gt;=129,H1947&lt;=2176),INDEX(Fields!$J$2:$J$206,MATCH(H1947-129,Fields!$D$2:$D$206,1)),""),"")</f>
        <v/>
      </c>
      <c r="M1947">
        <f>IFERROR(IF(AND(H1947&lt;&gt;"",H1947&gt;=129,H1947&lt;=2176),INDEX(Fields!$K$2:$K$206,MATCH(H1947-129,Fields!$D$2:$D$206,1)),""),"")</f>
        <v/>
      </c>
    </row>
    <row r="1948">
      <c r="A1948" t="n">
        <v>1946</v>
      </c>
      <c r="B1948" t="n">
        <v>0</v>
      </c>
      <c r="C1948" t="inlineStr">
        <is>
          <t>No</t>
        </is>
      </c>
      <c r="D1948">
        <f>IF(AND(B1943=1,B1944=1,B1945=1,B1946=1,B1947=1),"Yes","")</f>
        <v/>
      </c>
      <c r="E1948" t="inlineStr">
        <is>
          <t>No</t>
        </is>
      </c>
      <c r="F1948" t="inlineStr">
        <is>
          <t>No</t>
        </is>
      </c>
      <c r="G1948">
        <f>IF(F1948="Yes",1-B1948,B1948)</f>
        <v/>
      </c>
      <c r="H1948">
        <f>IF(E1948="Yes","",COUNTIFS($E$2:E1948,"No"))</f>
        <v/>
      </c>
      <c r="I1948">
        <f>IF(H1948="","",IF(H1948&lt;=128,"address",IF(H1948&lt;=600,"data1",IF(H1948&lt;=1264,"zero-run1",IF(H1948&lt;=1648,"data2",IF(H1948&lt;=2176,"zero-run2",IF(H1948&lt;=2192,"FCS","trailing")))))))</f>
        <v/>
      </c>
      <c r="J1948">
        <f>IFERROR(IF(AND(H1948&lt;&gt;"",H1948&gt;=129,H1948&lt;=2176),INDEX(Fields!$B$2:$B$206,MATCH(H1948-129,Fields!$D$2:$D$206,1)),""),"")</f>
        <v/>
      </c>
      <c r="K1948">
        <f>IFERROR(IF(AND(H1948&lt;&gt;"",H1948&gt;=129,H1948&lt;=2176),INDEX(Fields!$C$2:$C$206,MATCH(H1948-129,Fields!$D$2:$D$206,1)),""),"")</f>
        <v/>
      </c>
      <c r="L1948">
        <f>IFERROR(IF(AND(H1948&lt;&gt;"",H1948&gt;=129,H1948&lt;=2176),INDEX(Fields!$J$2:$J$206,MATCH(H1948-129,Fields!$D$2:$D$206,1)),""),"")</f>
        <v/>
      </c>
      <c r="M1948">
        <f>IFERROR(IF(AND(H1948&lt;&gt;"",H1948&gt;=129,H1948&lt;=2176),INDEX(Fields!$K$2:$K$206,MATCH(H1948-129,Fields!$D$2:$D$206,1)),""),"")</f>
        <v/>
      </c>
    </row>
    <row r="1949">
      <c r="A1949" t="n">
        <v>1947</v>
      </c>
      <c r="B1949" t="n">
        <v>0</v>
      </c>
      <c r="C1949" t="inlineStr">
        <is>
          <t>No</t>
        </is>
      </c>
      <c r="D1949">
        <f>IF(AND(B1944=1,B1945=1,B1946=1,B1947=1,B1948=1),"Yes","")</f>
        <v/>
      </c>
      <c r="E1949" t="inlineStr">
        <is>
          <t>No</t>
        </is>
      </c>
      <c r="F1949" t="inlineStr">
        <is>
          <t>No</t>
        </is>
      </c>
      <c r="G1949">
        <f>IF(F1949="Yes",1-B1949,B1949)</f>
        <v/>
      </c>
      <c r="H1949">
        <f>IF(E1949="Yes","",COUNTIFS($E$2:E1949,"No"))</f>
        <v/>
      </c>
      <c r="I1949">
        <f>IF(H1949="","",IF(H1949&lt;=128,"address",IF(H1949&lt;=600,"data1",IF(H1949&lt;=1264,"zero-run1",IF(H1949&lt;=1648,"data2",IF(H1949&lt;=2176,"zero-run2",IF(H1949&lt;=2192,"FCS","trailing")))))))</f>
        <v/>
      </c>
      <c r="J1949">
        <f>IFERROR(IF(AND(H1949&lt;&gt;"",H1949&gt;=129,H1949&lt;=2176),INDEX(Fields!$B$2:$B$206,MATCH(H1949-129,Fields!$D$2:$D$206,1)),""),"")</f>
        <v/>
      </c>
      <c r="K1949">
        <f>IFERROR(IF(AND(H1949&lt;&gt;"",H1949&gt;=129,H1949&lt;=2176),INDEX(Fields!$C$2:$C$206,MATCH(H1949-129,Fields!$D$2:$D$206,1)),""),"")</f>
        <v/>
      </c>
      <c r="L1949">
        <f>IFERROR(IF(AND(H1949&lt;&gt;"",H1949&gt;=129,H1949&lt;=2176),INDEX(Fields!$J$2:$J$206,MATCH(H1949-129,Fields!$D$2:$D$206,1)),""),"")</f>
        <v/>
      </c>
      <c r="M1949">
        <f>IFERROR(IF(AND(H1949&lt;&gt;"",H1949&gt;=129,H1949&lt;=2176),INDEX(Fields!$K$2:$K$206,MATCH(H1949-129,Fields!$D$2:$D$206,1)),""),"")</f>
        <v/>
      </c>
    </row>
    <row r="1950">
      <c r="A1950" t="n">
        <v>1948</v>
      </c>
      <c r="B1950" t="n">
        <v>0</v>
      </c>
      <c r="C1950" t="inlineStr">
        <is>
          <t>No</t>
        </is>
      </c>
      <c r="D1950">
        <f>IF(AND(B1945=1,B1946=1,B1947=1,B1948=1,B1949=1),"Yes","")</f>
        <v/>
      </c>
      <c r="E1950" t="inlineStr">
        <is>
          <t>No</t>
        </is>
      </c>
      <c r="F1950" t="inlineStr">
        <is>
          <t>No</t>
        </is>
      </c>
      <c r="G1950">
        <f>IF(F1950="Yes",1-B1950,B1950)</f>
        <v/>
      </c>
      <c r="H1950">
        <f>IF(E1950="Yes","",COUNTIFS($E$2:E1950,"No"))</f>
        <v/>
      </c>
      <c r="I1950">
        <f>IF(H1950="","",IF(H1950&lt;=128,"address",IF(H1950&lt;=600,"data1",IF(H1950&lt;=1264,"zero-run1",IF(H1950&lt;=1648,"data2",IF(H1950&lt;=2176,"zero-run2",IF(H1950&lt;=2192,"FCS","trailing")))))))</f>
        <v/>
      </c>
      <c r="J1950">
        <f>IFERROR(IF(AND(H1950&lt;&gt;"",H1950&gt;=129,H1950&lt;=2176),INDEX(Fields!$B$2:$B$206,MATCH(H1950-129,Fields!$D$2:$D$206,1)),""),"")</f>
        <v/>
      </c>
      <c r="K1950">
        <f>IFERROR(IF(AND(H1950&lt;&gt;"",H1950&gt;=129,H1950&lt;=2176),INDEX(Fields!$C$2:$C$206,MATCH(H1950-129,Fields!$D$2:$D$206,1)),""),"")</f>
        <v/>
      </c>
      <c r="L1950">
        <f>IFERROR(IF(AND(H1950&lt;&gt;"",H1950&gt;=129,H1950&lt;=2176),INDEX(Fields!$J$2:$J$206,MATCH(H1950-129,Fields!$D$2:$D$206,1)),""),"")</f>
        <v/>
      </c>
      <c r="M1950">
        <f>IFERROR(IF(AND(H1950&lt;&gt;"",H1950&gt;=129,H1950&lt;=2176),INDEX(Fields!$K$2:$K$206,MATCH(H1950-129,Fields!$D$2:$D$206,1)),""),"")</f>
        <v/>
      </c>
    </row>
    <row r="1951">
      <c r="A1951" t="n">
        <v>1949</v>
      </c>
      <c r="B1951" t="n">
        <v>0</v>
      </c>
      <c r="C1951" t="inlineStr">
        <is>
          <t>No</t>
        </is>
      </c>
      <c r="D1951">
        <f>IF(AND(B1946=1,B1947=1,B1948=1,B1949=1,B1950=1),"Yes","")</f>
        <v/>
      </c>
      <c r="E1951" t="inlineStr">
        <is>
          <t>No</t>
        </is>
      </c>
      <c r="F1951" t="inlineStr">
        <is>
          <t>No</t>
        </is>
      </c>
      <c r="G1951">
        <f>IF(F1951="Yes",1-B1951,B1951)</f>
        <v/>
      </c>
      <c r="H1951">
        <f>IF(E1951="Yes","",COUNTIFS($E$2:E1951,"No"))</f>
        <v/>
      </c>
      <c r="I1951">
        <f>IF(H1951="","",IF(H1951&lt;=128,"address",IF(H1951&lt;=600,"data1",IF(H1951&lt;=1264,"zero-run1",IF(H1951&lt;=1648,"data2",IF(H1951&lt;=2176,"zero-run2",IF(H1951&lt;=2192,"FCS","trailing")))))))</f>
        <v/>
      </c>
      <c r="J1951">
        <f>IFERROR(IF(AND(H1951&lt;&gt;"",H1951&gt;=129,H1951&lt;=2176),INDEX(Fields!$B$2:$B$206,MATCH(H1951-129,Fields!$D$2:$D$206,1)),""),"")</f>
        <v/>
      </c>
      <c r="K1951">
        <f>IFERROR(IF(AND(H1951&lt;&gt;"",H1951&gt;=129,H1951&lt;=2176),INDEX(Fields!$C$2:$C$206,MATCH(H1951-129,Fields!$D$2:$D$206,1)),""),"")</f>
        <v/>
      </c>
      <c r="L1951">
        <f>IFERROR(IF(AND(H1951&lt;&gt;"",H1951&gt;=129,H1951&lt;=2176),INDEX(Fields!$J$2:$J$206,MATCH(H1951-129,Fields!$D$2:$D$206,1)),""),"")</f>
        <v/>
      </c>
      <c r="M1951">
        <f>IFERROR(IF(AND(H1951&lt;&gt;"",H1951&gt;=129,H1951&lt;=2176),INDEX(Fields!$K$2:$K$206,MATCH(H1951-129,Fields!$D$2:$D$206,1)),""),"")</f>
        <v/>
      </c>
    </row>
    <row r="1952">
      <c r="A1952" t="n">
        <v>1950</v>
      </c>
      <c r="B1952" t="n">
        <v>0</v>
      </c>
      <c r="C1952" t="inlineStr">
        <is>
          <t>No</t>
        </is>
      </c>
      <c r="D1952">
        <f>IF(AND(B1947=1,B1948=1,B1949=1,B1950=1,B1951=1),"Yes","")</f>
        <v/>
      </c>
      <c r="E1952" t="inlineStr">
        <is>
          <t>No</t>
        </is>
      </c>
      <c r="F1952" t="inlineStr">
        <is>
          <t>No</t>
        </is>
      </c>
      <c r="G1952">
        <f>IF(F1952="Yes",1-B1952,B1952)</f>
        <v/>
      </c>
      <c r="H1952">
        <f>IF(E1952="Yes","",COUNTIFS($E$2:E1952,"No"))</f>
        <v/>
      </c>
      <c r="I1952">
        <f>IF(H1952="","",IF(H1952&lt;=128,"address",IF(H1952&lt;=600,"data1",IF(H1952&lt;=1264,"zero-run1",IF(H1952&lt;=1648,"data2",IF(H1952&lt;=2176,"zero-run2",IF(H1952&lt;=2192,"FCS","trailing")))))))</f>
        <v/>
      </c>
      <c r="J1952">
        <f>IFERROR(IF(AND(H1952&lt;&gt;"",H1952&gt;=129,H1952&lt;=2176),INDEX(Fields!$B$2:$B$206,MATCH(H1952-129,Fields!$D$2:$D$206,1)),""),"")</f>
        <v/>
      </c>
      <c r="K1952">
        <f>IFERROR(IF(AND(H1952&lt;&gt;"",H1952&gt;=129,H1952&lt;=2176),INDEX(Fields!$C$2:$C$206,MATCH(H1952-129,Fields!$D$2:$D$206,1)),""),"")</f>
        <v/>
      </c>
      <c r="L1952">
        <f>IFERROR(IF(AND(H1952&lt;&gt;"",H1952&gt;=129,H1952&lt;=2176),INDEX(Fields!$J$2:$J$206,MATCH(H1952-129,Fields!$D$2:$D$206,1)),""),"")</f>
        <v/>
      </c>
      <c r="M1952">
        <f>IFERROR(IF(AND(H1952&lt;&gt;"",H1952&gt;=129,H1952&lt;=2176),INDEX(Fields!$K$2:$K$206,MATCH(H1952-129,Fields!$D$2:$D$206,1)),""),"")</f>
        <v/>
      </c>
    </row>
    <row r="1953">
      <c r="A1953" t="n">
        <v>1951</v>
      </c>
      <c r="B1953" t="n">
        <v>0</v>
      </c>
      <c r="C1953" t="inlineStr">
        <is>
          <t>No</t>
        </is>
      </c>
      <c r="D1953">
        <f>IF(AND(B1948=1,B1949=1,B1950=1,B1951=1,B1952=1),"Yes","")</f>
        <v/>
      </c>
      <c r="E1953" t="inlineStr">
        <is>
          <t>No</t>
        </is>
      </c>
      <c r="F1953" t="inlineStr">
        <is>
          <t>No</t>
        </is>
      </c>
      <c r="G1953">
        <f>IF(F1953="Yes",1-B1953,B1953)</f>
        <v/>
      </c>
      <c r="H1953">
        <f>IF(E1953="Yes","",COUNTIFS($E$2:E1953,"No"))</f>
        <v/>
      </c>
      <c r="I1953">
        <f>IF(H1953="","",IF(H1953&lt;=128,"address",IF(H1953&lt;=600,"data1",IF(H1953&lt;=1264,"zero-run1",IF(H1953&lt;=1648,"data2",IF(H1953&lt;=2176,"zero-run2",IF(H1953&lt;=2192,"FCS","trailing")))))))</f>
        <v/>
      </c>
      <c r="J1953">
        <f>IFERROR(IF(AND(H1953&lt;&gt;"",H1953&gt;=129,H1953&lt;=2176),INDEX(Fields!$B$2:$B$206,MATCH(H1953-129,Fields!$D$2:$D$206,1)),""),"")</f>
        <v/>
      </c>
      <c r="K1953">
        <f>IFERROR(IF(AND(H1953&lt;&gt;"",H1953&gt;=129,H1953&lt;=2176),INDEX(Fields!$C$2:$C$206,MATCH(H1953-129,Fields!$D$2:$D$206,1)),""),"")</f>
        <v/>
      </c>
      <c r="L1953">
        <f>IFERROR(IF(AND(H1953&lt;&gt;"",H1953&gt;=129,H1953&lt;=2176),INDEX(Fields!$J$2:$J$206,MATCH(H1953-129,Fields!$D$2:$D$206,1)),""),"")</f>
        <v/>
      </c>
      <c r="M1953">
        <f>IFERROR(IF(AND(H1953&lt;&gt;"",H1953&gt;=129,H1953&lt;=2176),INDEX(Fields!$K$2:$K$206,MATCH(H1953-129,Fields!$D$2:$D$206,1)),""),"")</f>
        <v/>
      </c>
    </row>
    <row r="1954">
      <c r="A1954" t="n">
        <v>1952</v>
      </c>
      <c r="B1954" t="n">
        <v>0</v>
      </c>
      <c r="C1954" t="inlineStr">
        <is>
          <t>No</t>
        </is>
      </c>
      <c r="D1954">
        <f>IF(AND(B1949=1,B1950=1,B1951=1,B1952=1,B1953=1),"Yes","")</f>
        <v/>
      </c>
      <c r="E1954" t="inlineStr">
        <is>
          <t>No</t>
        </is>
      </c>
      <c r="F1954" t="inlineStr">
        <is>
          <t>No</t>
        </is>
      </c>
      <c r="G1954">
        <f>IF(F1954="Yes",1-B1954,B1954)</f>
        <v/>
      </c>
      <c r="H1954">
        <f>IF(E1954="Yes","",COUNTIFS($E$2:E1954,"No"))</f>
        <v/>
      </c>
      <c r="I1954">
        <f>IF(H1954="","",IF(H1954&lt;=128,"address",IF(H1954&lt;=600,"data1",IF(H1954&lt;=1264,"zero-run1",IF(H1954&lt;=1648,"data2",IF(H1954&lt;=2176,"zero-run2",IF(H1954&lt;=2192,"FCS","trailing")))))))</f>
        <v/>
      </c>
      <c r="J1954">
        <f>IFERROR(IF(AND(H1954&lt;&gt;"",H1954&gt;=129,H1954&lt;=2176),INDEX(Fields!$B$2:$B$206,MATCH(H1954-129,Fields!$D$2:$D$206,1)),""),"")</f>
        <v/>
      </c>
      <c r="K1954">
        <f>IFERROR(IF(AND(H1954&lt;&gt;"",H1954&gt;=129,H1954&lt;=2176),INDEX(Fields!$C$2:$C$206,MATCH(H1954-129,Fields!$D$2:$D$206,1)),""),"")</f>
        <v/>
      </c>
      <c r="L1954">
        <f>IFERROR(IF(AND(H1954&lt;&gt;"",H1954&gt;=129,H1954&lt;=2176),INDEX(Fields!$J$2:$J$206,MATCH(H1954-129,Fields!$D$2:$D$206,1)),""),"")</f>
        <v/>
      </c>
      <c r="M1954">
        <f>IFERROR(IF(AND(H1954&lt;&gt;"",H1954&gt;=129,H1954&lt;=2176),INDEX(Fields!$K$2:$K$206,MATCH(H1954-129,Fields!$D$2:$D$206,1)),""),"")</f>
        <v/>
      </c>
    </row>
    <row r="1955">
      <c r="A1955" t="n">
        <v>1953</v>
      </c>
      <c r="B1955" t="n">
        <v>0</v>
      </c>
      <c r="C1955" t="inlineStr">
        <is>
          <t>No</t>
        </is>
      </c>
      <c r="D1955">
        <f>IF(AND(B1950=1,B1951=1,B1952=1,B1953=1,B1954=1),"Yes","")</f>
        <v/>
      </c>
      <c r="E1955" t="inlineStr">
        <is>
          <t>No</t>
        </is>
      </c>
      <c r="F1955" t="inlineStr">
        <is>
          <t>No</t>
        </is>
      </c>
      <c r="G1955">
        <f>IF(F1955="Yes",1-B1955,B1955)</f>
        <v/>
      </c>
      <c r="H1955">
        <f>IF(E1955="Yes","",COUNTIFS($E$2:E1955,"No"))</f>
        <v/>
      </c>
      <c r="I1955">
        <f>IF(H1955="","",IF(H1955&lt;=128,"address",IF(H1955&lt;=600,"data1",IF(H1955&lt;=1264,"zero-run1",IF(H1955&lt;=1648,"data2",IF(H1955&lt;=2176,"zero-run2",IF(H1955&lt;=2192,"FCS","trailing")))))))</f>
        <v/>
      </c>
      <c r="J1955">
        <f>IFERROR(IF(AND(H1955&lt;&gt;"",H1955&gt;=129,H1955&lt;=2176),INDEX(Fields!$B$2:$B$206,MATCH(H1955-129,Fields!$D$2:$D$206,1)),""),"")</f>
        <v/>
      </c>
      <c r="K1955">
        <f>IFERROR(IF(AND(H1955&lt;&gt;"",H1955&gt;=129,H1955&lt;=2176),INDEX(Fields!$C$2:$C$206,MATCH(H1955-129,Fields!$D$2:$D$206,1)),""),"")</f>
        <v/>
      </c>
      <c r="L1955">
        <f>IFERROR(IF(AND(H1955&lt;&gt;"",H1955&gt;=129,H1955&lt;=2176),INDEX(Fields!$J$2:$J$206,MATCH(H1955-129,Fields!$D$2:$D$206,1)),""),"")</f>
        <v/>
      </c>
      <c r="M1955">
        <f>IFERROR(IF(AND(H1955&lt;&gt;"",H1955&gt;=129,H1955&lt;=2176),INDEX(Fields!$K$2:$K$206,MATCH(H1955-129,Fields!$D$2:$D$206,1)),""),"")</f>
        <v/>
      </c>
    </row>
    <row r="1956">
      <c r="A1956" t="n">
        <v>1954</v>
      </c>
      <c r="B1956" t="n">
        <v>0</v>
      </c>
      <c r="C1956" t="inlineStr">
        <is>
          <t>No</t>
        </is>
      </c>
      <c r="D1956">
        <f>IF(AND(B1951=1,B1952=1,B1953=1,B1954=1,B1955=1),"Yes","")</f>
        <v/>
      </c>
      <c r="E1956" t="inlineStr">
        <is>
          <t>No</t>
        </is>
      </c>
      <c r="F1956" t="inlineStr">
        <is>
          <t>No</t>
        </is>
      </c>
      <c r="G1956">
        <f>IF(F1956="Yes",1-B1956,B1956)</f>
        <v/>
      </c>
      <c r="H1956">
        <f>IF(E1956="Yes","",COUNTIFS($E$2:E1956,"No"))</f>
        <v/>
      </c>
      <c r="I1956">
        <f>IF(H1956="","",IF(H1956&lt;=128,"address",IF(H1956&lt;=600,"data1",IF(H1956&lt;=1264,"zero-run1",IF(H1956&lt;=1648,"data2",IF(H1956&lt;=2176,"zero-run2",IF(H1956&lt;=2192,"FCS","trailing")))))))</f>
        <v/>
      </c>
      <c r="J1956">
        <f>IFERROR(IF(AND(H1956&lt;&gt;"",H1956&gt;=129,H1956&lt;=2176),INDEX(Fields!$B$2:$B$206,MATCH(H1956-129,Fields!$D$2:$D$206,1)),""),"")</f>
        <v/>
      </c>
      <c r="K1956">
        <f>IFERROR(IF(AND(H1956&lt;&gt;"",H1956&gt;=129,H1956&lt;=2176),INDEX(Fields!$C$2:$C$206,MATCH(H1956-129,Fields!$D$2:$D$206,1)),""),"")</f>
        <v/>
      </c>
      <c r="L1956">
        <f>IFERROR(IF(AND(H1956&lt;&gt;"",H1956&gt;=129,H1956&lt;=2176),INDEX(Fields!$J$2:$J$206,MATCH(H1956-129,Fields!$D$2:$D$206,1)),""),"")</f>
        <v/>
      </c>
      <c r="M1956">
        <f>IFERROR(IF(AND(H1956&lt;&gt;"",H1956&gt;=129,H1956&lt;=2176),INDEX(Fields!$K$2:$K$206,MATCH(H1956-129,Fields!$D$2:$D$206,1)),""),"")</f>
        <v/>
      </c>
    </row>
    <row r="1957">
      <c r="A1957" t="n">
        <v>1955</v>
      </c>
      <c r="B1957" t="n">
        <v>0</v>
      </c>
      <c r="C1957" t="inlineStr">
        <is>
          <t>No</t>
        </is>
      </c>
      <c r="D1957">
        <f>IF(AND(B1952=1,B1953=1,B1954=1,B1955=1,B1956=1),"Yes","")</f>
        <v/>
      </c>
      <c r="E1957" t="inlineStr">
        <is>
          <t>No</t>
        </is>
      </c>
      <c r="F1957" t="inlineStr">
        <is>
          <t>No</t>
        </is>
      </c>
      <c r="G1957">
        <f>IF(F1957="Yes",1-B1957,B1957)</f>
        <v/>
      </c>
      <c r="H1957">
        <f>IF(E1957="Yes","",COUNTIFS($E$2:E1957,"No"))</f>
        <v/>
      </c>
      <c r="I1957">
        <f>IF(H1957="","",IF(H1957&lt;=128,"address",IF(H1957&lt;=600,"data1",IF(H1957&lt;=1264,"zero-run1",IF(H1957&lt;=1648,"data2",IF(H1957&lt;=2176,"zero-run2",IF(H1957&lt;=2192,"FCS","trailing")))))))</f>
        <v/>
      </c>
      <c r="J1957">
        <f>IFERROR(IF(AND(H1957&lt;&gt;"",H1957&gt;=129,H1957&lt;=2176),INDEX(Fields!$B$2:$B$206,MATCH(H1957-129,Fields!$D$2:$D$206,1)),""),"")</f>
        <v/>
      </c>
      <c r="K1957">
        <f>IFERROR(IF(AND(H1957&lt;&gt;"",H1957&gt;=129,H1957&lt;=2176),INDEX(Fields!$C$2:$C$206,MATCH(H1957-129,Fields!$D$2:$D$206,1)),""),"")</f>
        <v/>
      </c>
      <c r="L1957">
        <f>IFERROR(IF(AND(H1957&lt;&gt;"",H1957&gt;=129,H1957&lt;=2176),INDEX(Fields!$J$2:$J$206,MATCH(H1957-129,Fields!$D$2:$D$206,1)),""),"")</f>
        <v/>
      </c>
      <c r="M1957">
        <f>IFERROR(IF(AND(H1957&lt;&gt;"",H1957&gt;=129,H1957&lt;=2176),INDEX(Fields!$K$2:$K$206,MATCH(H1957-129,Fields!$D$2:$D$206,1)),""),"")</f>
        <v/>
      </c>
    </row>
    <row r="1958">
      <c r="A1958" t="n">
        <v>1956</v>
      </c>
      <c r="B1958" t="n">
        <v>0</v>
      </c>
      <c r="C1958" t="inlineStr">
        <is>
          <t>No</t>
        </is>
      </c>
      <c r="D1958">
        <f>IF(AND(B1953=1,B1954=1,B1955=1,B1956=1,B1957=1),"Yes","")</f>
        <v/>
      </c>
      <c r="E1958" t="inlineStr">
        <is>
          <t>No</t>
        </is>
      </c>
      <c r="F1958" t="inlineStr">
        <is>
          <t>No</t>
        </is>
      </c>
      <c r="G1958">
        <f>IF(F1958="Yes",1-B1958,B1958)</f>
        <v/>
      </c>
      <c r="H1958">
        <f>IF(E1958="Yes","",COUNTIFS($E$2:E1958,"No"))</f>
        <v/>
      </c>
      <c r="I1958">
        <f>IF(H1958="","",IF(H1958&lt;=128,"address",IF(H1958&lt;=600,"data1",IF(H1958&lt;=1264,"zero-run1",IF(H1958&lt;=1648,"data2",IF(H1958&lt;=2176,"zero-run2",IF(H1958&lt;=2192,"FCS","trailing")))))))</f>
        <v/>
      </c>
      <c r="J1958">
        <f>IFERROR(IF(AND(H1958&lt;&gt;"",H1958&gt;=129,H1958&lt;=2176),INDEX(Fields!$B$2:$B$206,MATCH(H1958-129,Fields!$D$2:$D$206,1)),""),"")</f>
        <v/>
      </c>
      <c r="K1958">
        <f>IFERROR(IF(AND(H1958&lt;&gt;"",H1958&gt;=129,H1958&lt;=2176),INDEX(Fields!$C$2:$C$206,MATCH(H1958-129,Fields!$D$2:$D$206,1)),""),"")</f>
        <v/>
      </c>
      <c r="L1958">
        <f>IFERROR(IF(AND(H1958&lt;&gt;"",H1958&gt;=129,H1958&lt;=2176),INDEX(Fields!$J$2:$J$206,MATCH(H1958-129,Fields!$D$2:$D$206,1)),""),"")</f>
        <v/>
      </c>
      <c r="M1958">
        <f>IFERROR(IF(AND(H1958&lt;&gt;"",H1958&gt;=129,H1958&lt;=2176),INDEX(Fields!$K$2:$K$206,MATCH(H1958-129,Fields!$D$2:$D$206,1)),""),"")</f>
        <v/>
      </c>
    </row>
    <row r="1959">
      <c r="A1959" t="n">
        <v>1957</v>
      </c>
      <c r="B1959" t="n">
        <v>0</v>
      </c>
      <c r="C1959" t="inlineStr">
        <is>
          <t>No</t>
        </is>
      </c>
      <c r="D1959">
        <f>IF(AND(B1954=1,B1955=1,B1956=1,B1957=1,B1958=1),"Yes","")</f>
        <v/>
      </c>
      <c r="E1959" t="inlineStr">
        <is>
          <t>No</t>
        </is>
      </c>
      <c r="F1959" t="inlineStr">
        <is>
          <t>No</t>
        </is>
      </c>
      <c r="G1959">
        <f>IF(F1959="Yes",1-B1959,B1959)</f>
        <v/>
      </c>
      <c r="H1959">
        <f>IF(E1959="Yes","",COUNTIFS($E$2:E1959,"No"))</f>
        <v/>
      </c>
      <c r="I1959">
        <f>IF(H1959="","",IF(H1959&lt;=128,"address",IF(H1959&lt;=600,"data1",IF(H1959&lt;=1264,"zero-run1",IF(H1959&lt;=1648,"data2",IF(H1959&lt;=2176,"zero-run2",IF(H1959&lt;=2192,"FCS","trailing")))))))</f>
        <v/>
      </c>
      <c r="J1959">
        <f>IFERROR(IF(AND(H1959&lt;&gt;"",H1959&gt;=129,H1959&lt;=2176),INDEX(Fields!$B$2:$B$206,MATCH(H1959-129,Fields!$D$2:$D$206,1)),""),"")</f>
        <v/>
      </c>
      <c r="K1959">
        <f>IFERROR(IF(AND(H1959&lt;&gt;"",H1959&gt;=129,H1959&lt;=2176),INDEX(Fields!$C$2:$C$206,MATCH(H1959-129,Fields!$D$2:$D$206,1)),""),"")</f>
        <v/>
      </c>
      <c r="L1959">
        <f>IFERROR(IF(AND(H1959&lt;&gt;"",H1959&gt;=129,H1959&lt;=2176),INDEX(Fields!$J$2:$J$206,MATCH(H1959-129,Fields!$D$2:$D$206,1)),""),"")</f>
        <v/>
      </c>
      <c r="M1959">
        <f>IFERROR(IF(AND(H1959&lt;&gt;"",H1959&gt;=129,H1959&lt;=2176),INDEX(Fields!$K$2:$K$206,MATCH(H1959-129,Fields!$D$2:$D$206,1)),""),"")</f>
        <v/>
      </c>
    </row>
    <row r="1960">
      <c r="A1960" t="n">
        <v>1958</v>
      </c>
      <c r="B1960" t="n">
        <v>0</v>
      </c>
      <c r="C1960" t="inlineStr">
        <is>
          <t>No</t>
        </is>
      </c>
      <c r="D1960">
        <f>IF(AND(B1955=1,B1956=1,B1957=1,B1958=1,B1959=1),"Yes","")</f>
        <v/>
      </c>
      <c r="E1960" t="inlineStr">
        <is>
          <t>No</t>
        </is>
      </c>
      <c r="F1960" t="inlineStr">
        <is>
          <t>No</t>
        </is>
      </c>
      <c r="G1960">
        <f>IF(F1960="Yes",1-B1960,B1960)</f>
        <v/>
      </c>
      <c r="H1960">
        <f>IF(E1960="Yes","",COUNTIFS($E$2:E1960,"No"))</f>
        <v/>
      </c>
      <c r="I1960">
        <f>IF(H1960="","",IF(H1960&lt;=128,"address",IF(H1960&lt;=600,"data1",IF(H1960&lt;=1264,"zero-run1",IF(H1960&lt;=1648,"data2",IF(H1960&lt;=2176,"zero-run2",IF(H1960&lt;=2192,"FCS","trailing")))))))</f>
        <v/>
      </c>
      <c r="J1960">
        <f>IFERROR(IF(AND(H1960&lt;&gt;"",H1960&gt;=129,H1960&lt;=2176),INDEX(Fields!$B$2:$B$206,MATCH(H1960-129,Fields!$D$2:$D$206,1)),""),"")</f>
        <v/>
      </c>
      <c r="K1960">
        <f>IFERROR(IF(AND(H1960&lt;&gt;"",H1960&gt;=129,H1960&lt;=2176),INDEX(Fields!$C$2:$C$206,MATCH(H1960-129,Fields!$D$2:$D$206,1)),""),"")</f>
        <v/>
      </c>
      <c r="L1960">
        <f>IFERROR(IF(AND(H1960&lt;&gt;"",H1960&gt;=129,H1960&lt;=2176),INDEX(Fields!$J$2:$J$206,MATCH(H1960-129,Fields!$D$2:$D$206,1)),""),"")</f>
        <v/>
      </c>
      <c r="M1960">
        <f>IFERROR(IF(AND(H1960&lt;&gt;"",H1960&gt;=129,H1960&lt;=2176),INDEX(Fields!$K$2:$K$206,MATCH(H1960-129,Fields!$D$2:$D$206,1)),""),"")</f>
        <v/>
      </c>
    </row>
    <row r="1961">
      <c r="A1961" t="n">
        <v>1959</v>
      </c>
      <c r="B1961" t="n">
        <v>0</v>
      </c>
      <c r="C1961" t="inlineStr">
        <is>
          <t>No</t>
        </is>
      </c>
      <c r="D1961">
        <f>IF(AND(B1956=1,B1957=1,B1958=1,B1959=1,B1960=1),"Yes","")</f>
        <v/>
      </c>
      <c r="E1961" t="inlineStr">
        <is>
          <t>No</t>
        </is>
      </c>
      <c r="F1961" t="inlineStr">
        <is>
          <t>No</t>
        </is>
      </c>
      <c r="G1961">
        <f>IF(F1961="Yes",1-B1961,B1961)</f>
        <v/>
      </c>
      <c r="H1961">
        <f>IF(E1961="Yes","",COUNTIFS($E$2:E1961,"No"))</f>
        <v/>
      </c>
      <c r="I1961">
        <f>IF(H1961="","",IF(H1961&lt;=128,"address",IF(H1961&lt;=600,"data1",IF(H1961&lt;=1264,"zero-run1",IF(H1961&lt;=1648,"data2",IF(H1961&lt;=2176,"zero-run2",IF(H1961&lt;=2192,"FCS","trailing")))))))</f>
        <v/>
      </c>
      <c r="J1961">
        <f>IFERROR(IF(AND(H1961&lt;&gt;"",H1961&gt;=129,H1961&lt;=2176),INDEX(Fields!$B$2:$B$206,MATCH(H1961-129,Fields!$D$2:$D$206,1)),""),"")</f>
        <v/>
      </c>
      <c r="K1961">
        <f>IFERROR(IF(AND(H1961&lt;&gt;"",H1961&gt;=129,H1961&lt;=2176),INDEX(Fields!$C$2:$C$206,MATCH(H1961-129,Fields!$D$2:$D$206,1)),""),"")</f>
        <v/>
      </c>
      <c r="L1961">
        <f>IFERROR(IF(AND(H1961&lt;&gt;"",H1961&gt;=129,H1961&lt;=2176),INDEX(Fields!$J$2:$J$206,MATCH(H1961-129,Fields!$D$2:$D$206,1)),""),"")</f>
        <v/>
      </c>
      <c r="M1961">
        <f>IFERROR(IF(AND(H1961&lt;&gt;"",H1961&gt;=129,H1961&lt;=2176),INDEX(Fields!$K$2:$K$206,MATCH(H1961-129,Fields!$D$2:$D$206,1)),""),"")</f>
        <v/>
      </c>
    </row>
    <row r="1962">
      <c r="A1962" t="n">
        <v>1960</v>
      </c>
      <c r="B1962" t="n">
        <v>0</v>
      </c>
      <c r="C1962" t="inlineStr">
        <is>
          <t>No</t>
        </is>
      </c>
      <c r="D1962">
        <f>IF(AND(B1957=1,B1958=1,B1959=1,B1960=1,B1961=1),"Yes","")</f>
        <v/>
      </c>
      <c r="E1962" t="inlineStr">
        <is>
          <t>No</t>
        </is>
      </c>
      <c r="F1962" t="inlineStr">
        <is>
          <t>No</t>
        </is>
      </c>
      <c r="G1962">
        <f>IF(F1962="Yes",1-B1962,B1962)</f>
        <v/>
      </c>
      <c r="H1962">
        <f>IF(E1962="Yes","",COUNTIFS($E$2:E1962,"No"))</f>
        <v/>
      </c>
      <c r="I1962">
        <f>IF(H1962="","",IF(H1962&lt;=128,"address",IF(H1962&lt;=600,"data1",IF(H1962&lt;=1264,"zero-run1",IF(H1962&lt;=1648,"data2",IF(H1962&lt;=2176,"zero-run2",IF(H1962&lt;=2192,"FCS","trailing")))))))</f>
        <v/>
      </c>
      <c r="J1962">
        <f>IFERROR(IF(AND(H1962&lt;&gt;"",H1962&gt;=129,H1962&lt;=2176),INDEX(Fields!$B$2:$B$206,MATCH(H1962-129,Fields!$D$2:$D$206,1)),""),"")</f>
        <v/>
      </c>
      <c r="K1962">
        <f>IFERROR(IF(AND(H1962&lt;&gt;"",H1962&gt;=129,H1962&lt;=2176),INDEX(Fields!$C$2:$C$206,MATCH(H1962-129,Fields!$D$2:$D$206,1)),""),"")</f>
        <v/>
      </c>
      <c r="L1962">
        <f>IFERROR(IF(AND(H1962&lt;&gt;"",H1962&gt;=129,H1962&lt;=2176),INDEX(Fields!$J$2:$J$206,MATCH(H1962-129,Fields!$D$2:$D$206,1)),""),"")</f>
        <v/>
      </c>
      <c r="M1962">
        <f>IFERROR(IF(AND(H1962&lt;&gt;"",H1962&gt;=129,H1962&lt;=2176),INDEX(Fields!$K$2:$K$206,MATCH(H1962-129,Fields!$D$2:$D$206,1)),""),"")</f>
        <v/>
      </c>
    </row>
    <row r="1963">
      <c r="A1963" t="n">
        <v>1961</v>
      </c>
      <c r="B1963" t="n">
        <v>0</v>
      </c>
      <c r="C1963" t="inlineStr">
        <is>
          <t>No</t>
        </is>
      </c>
      <c r="D1963">
        <f>IF(AND(B1958=1,B1959=1,B1960=1,B1961=1,B1962=1),"Yes","")</f>
        <v/>
      </c>
      <c r="E1963" t="inlineStr">
        <is>
          <t>No</t>
        </is>
      </c>
      <c r="F1963" t="inlineStr">
        <is>
          <t>No</t>
        </is>
      </c>
      <c r="G1963">
        <f>IF(F1963="Yes",1-B1963,B1963)</f>
        <v/>
      </c>
      <c r="H1963">
        <f>IF(E1963="Yes","",COUNTIFS($E$2:E1963,"No"))</f>
        <v/>
      </c>
      <c r="I1963">
        <f>IF(H1963="","",IF(H1963&lt;=128,"address",IF(H1963&lt;=600,"data1",IF(H1963&lt;=1264,"zero-run1",IF(H1963&lt;=1648,"data2",IF(H1963&lt;=2176,"zero-run2",IF(H1963&lt;=2192,"FCS","trailing")))))))</f>
        <v/>
      </c>
      <c r="J1963">
        <f>IFERROR(IF(AND(H1963&lt;&gt;"",H1963&gt;=129,H1963&lt;=2176),INDEX(Fields!$B$2:$B$206,MATCH(H1963-129,Fields!$D$2:$D$206,1)),""),"")</f>
        <v/>
      </c>
      <c r="K1963">
        <f>IFERROR(IF(AND(H1963&lt;&gt;"",H1963&gt;=129,H1963&lt;=2176),INDEX(Fields!$C$2:$C$206,MATCH(H1963-129,Fields!$D$2:$D$206,1)),""),"")</f>
        <v/>
      </c>
      <c r="L1963">
        <f>IFERROR(IF(AND(H1963&lt;&gt;"",H1963&gt;=129,H1963&lt;=2176),INDEX(Fields!$J$2:$J$206,MATCH(H1963-129,Fields!$D$2:$D$206,1)),""),"")</f>
        <v/>
      </c>
      <c r="M1963">
        <f>IFERROR(IF(AND(H1963&lt;&gt;"",H1963&gt;=129,H1963&lt;=2176),INDEX(Fields!$K$2:$K$206,MATCH(H1963-129,Fields!$D$2:$D$206,1)),""),"")</f>
        <v/>
      </c>
    </row>
    <row r="1964">
      <c r="A1964" t="n">
        <v>1962</v>
      </c>
      <c r="B1964" t="n">
        <v>0</v>
      </c>
      <c r="C1964" t="inlineStr">
        <is>
          <t>No</t>
        </is>
      </c>
      <c r="D1964">
        <f>IF(AND(B1959=1,B1960=1,B1961=1,B1962=1,B1963=1),"Yes","")</f>
        <v/>
      </c>
      <c r="E1964" t="inlineStr">
        <is>
          <t>No</t>
        </is>
      </c>
      <c r="F1964" t="inlineStr">
        <is>
          <t>No</t>
        </is>
      </c>
      <c r="G1964">
        <f>IF(F1964="Yes",1-B1964,B1964)</f>
        <v/>
      </c>
      <c r="H1964">
        <f>IF(E1964="Yes","",COUNTIFS($E$2:E1964,"No"))</f>
        <v/>
      </c>
      <c r="I1964">
        <f>IF(H1964="","",IF(H1964&lt;=128,"address",IF(H1964&lt;=600,"data1",IF(H1964&lt;=1264,"zero-run1",IF(H1964&lt;=1648,"data2",IF(H1964&lt;=2176,"zero-run2",IF(H1964&lt;=2192,"FCS","trailing")))))))</f>
        <v/>
      </c>
      <c r="J1964">
        <f>IFERROR(IF(AND(H1964&lt;&gt;"",H1964&gt;=129,H1964&lt;=2176),INDEX(Fields!$B$2:$B$206,MATCH(H1964-129,Fields!$D$2:$D$206,1)),""),"")</f>
        <v/>
      </c>
      <c r="K1964">
        <f>IFERROR(IF(AND(H1964&lt;&gt;"",H1964&gt;=129,H1964&lt;=2176),INDEX(Fields!$C$2:$C$206,MATCH(H1964-129,Fields!$D$2:$D$206,1)),""),"")</f>
        <v/>
      </c>
      <c r="L1964">
        <f>IFERROR(IF(AND(H1964&lt;&gt;"",H1964&gt;=129,H1964&lt;=2176),INDEX(Fields!$J$2:$J$206,MATCH(H1964-129,Fields!$D$2:$D$206,1)),""),"")</f>
        <v/>
      </c>
      <c r="M1964">
        <f>IFERROR(IF(AND(H1964&lt;&gt;"",H1964&gt;=129,H1964&lt;=2176),INDEX(Fields!$K$2:$K$206,MATCH(H1964-129,Fields!$D$2:$D$206,1)),""),"")</f>
        <v/>
      </c>
    </row>
    <row r="1965">
      <c r="A1965" t="n">
        <v>1963</v>
      </c>
      <c r="B1965" t="n">
        <v>0</v>
      </c>
      <c r="C1965" t="inlineStr">
        <is>
          <t>No</t>
        </is>
      </c>
      <c r="D1965">
        <f>IF(AND(B1960=1,B1961=1,B1962=1,B1963=1,B1964=1),"Yes","")</f>
        <v/>
      </c>
      <c r="E1965" t="inlineStr">
        <is>
          <t>No</t>
        </is>
      </c>
      <c r="F1965" t="inlineStr">
        <is>
          <t>No</t>
        </is>
      </c>
      <c r="G1965">
        <f>IF(F1965="Yes",1-B1965,B1965)</f>
        <v/>
      </c>
      <c r="H1965">
        <f>IF(E1965="Yes","",COUNTIFS($E$2:E1965,"No"))</f>
        <v/>
      </c>
      <c r="I1965">
        <f>IF(H1965="","",IF(H1965&lt;=128,"address",IF(H1965&lt;=600,"data1",IF(H1965&lt;=1264,"zero-run1",IF(H1965&lt;=1648,"data2",IF(H1965&lt;=2176,"zero-run2",IF(H1965&lt;=2192,"FCS","trailing")))))))</f>
        <v/>
      </c>
      <c r="J1965">
        <f>IFERROR(IF(AND(H1965&lt;&gt;"",H1965&gt;=129,H1965&lt;=2176),INDEX(Fields!$B$2:$B$206,MATCH(H1965-129,Fields!$D$2:$D$206,1)),""),"")</f>
        <v/>
      </c>
      <c r="K1965">
        <f>IFERROR(IF(AND(H1965&lt;&gt;"",H1965&gt;=129,H1965&lt;=2176),INDEX(Fields!$C$2:$C$206,MATCH(H1965-129,Fields!$D$2:$D$206,1)),""),"")</f>
        <v/>
      </c>
      <c r="L1965">
        <f>IFERROR(IF(AND(H1965&lt;&gt;"",H1965&gt;=129,H1965&lt;=2176),INDEX(Fields!$J$2:$J$206,MATCH(H1965-129,Fields!$D$2:$D$206,1)),""),"")</f>
        <v/>
      </c>
      <c r="M1965">
        <f>IFERROR(IF(AND(H1965&lt;&gt;"",H1965&gt;=129,H1965&lt;=2176),INDEX(Fields!$K$2:$K$206,MATCH(H1965-129,Fields!$D$2:$D$206,1)),""),"")</f>
        <v/>
      </c>
    </row>
    <row r="1966">
      <c r="A1966" t="n">
        <v>1964</v>
      </c>
      <c r="B1966" t="n">
        <v>0</v>
      </c>
      <c r="C1966" t="inlineStr">
        <is>
          <t>No</t>
        </is>
      </c>
      <c r="D1966">
        <f>IF(AND(B1961=1,B1962=1,B1963=1,B1964=1,B1965=1),"Yes","")</f>
        <v/>
      </c>
      <c r="E1966" t="inlineStr">
        <is>
          <t>No</t>
        </is>
      </c>
      <c r="F1966" t="inlineStr">
        <is>
          <t>No</t>
        </is>
      </c>
      <c r="G1966">
        <f>IF(F1966="Yes",1-B1966,B1966)</f>
        <v/>
      </c>
      <c r="H1966">
        <f>IF(E1966="Yes","",COUNTIFS($E$2:E1966,"No"))</f>
        <v/>
      </c>
      <c r="I1966">
        <f>IF(H1966="","",IF(H1966&lt;=128,"address",IF(H1966&lt;=600,"data1",IF(H1966&lt;=1264,"zero-run1",IF(H1966&lt;=1648,"data2",IF(H1966&lt;=2176,"zero-run2",IF(H1966&lt;=2192,"FCS","trailing")))))))</f>
        <v/>
      </c>
      <c r="J1966">
        <f>IFERROR(IF(AND(H1966&lt;&gt;"",H1966&gt;=129,H1966&lt;=2176),INDEX(Fields!$B$2:$B$206,MATCH(H1966-129,Fields!$D$2:$D$206,1)),""),"")</f>
        <v/>
      </c>
      <c r="K1966">
        <f>IFERROR(IF(AND(H1966&lt;&gt;"",H1966&gt;=129,H1966&lt;=2176),INDEX(Fields!$C$2:$C$206,MATCH(H1966-129,Fields!$D$2:$D$206,1)),""),"")</f>
        <v/>
      </c>
      <c r="L1966">
        <f>IFERROR(IF(AND(H1966&lt;&gt;"",H1966&gt;=129,H1966&lt;=2176),INDEX(Fields!$J$2:$J$206,MATCH(H1966-129,Fields!$D$2:$D$206,1)),""),"")</f>
        <v/>
      </c>
      <c r="M1966">
        <f>IFERROR(IF(AND(H1966&lt;&gt;"",H1966&gt;=129,H1966&lt;=2176),INDEX(Fields!$K$2:$K$206,MATCH(H1966-129,Fields!$D$2:$D$206,1)),""),"")</f>
        <v/>
      </c>
    </row>
    <row r="1967">
      <c r="A1967" t="n">
        <v>1965</v>
      </c>
      <c r="B1967" t="n">
        <v>0</v>
      </c>
      <c r="C1967" t="inlineStr">
        <is>
          <t>No</t>
        </is>
      </c>
      <c r="D1967">
        <f>IF(AND(B1962=1,B1963=1,B1964=1,B1965=1,B1966=1),"Yes","")</f>
        <v/>
      </c>
      <c r="E1967" t="inlineStr">
        <is>
          <t>No</t>
        </is>
      </c>
      <c r="F1967" t="inlineStr">
        <is>
          <t>No</t>
        </is>
      </c>
      <c r="G1967">
        <f>IF(F1967="Yes",1-B1967,B1967)</f>
        <v/>
      </c>
      <c r="H1967">
        <f>IF(E1967="Yes","",COUNTIFS($E$2:E1967,"No"))</f>
        <v/>
      </c>
      <c r="I1967">
        <f>IF(H1967="","",IF(H1967&lt;=128,"address",IF(H1967&lt;=600,"data1",IF(H1967&lt;=1264,"zero-run1",IF(H1967&lt;=1648,"data2",IF(H1967&lt;=2176,"zero-run2",IF(H1967&lt;=2192,"FCS","trailing")))))))</f>
        <v/>
      </c>
      <c r="J1967">
        <f>IFERROR(IF(AND(H1967&lt;&gt;"",H1967&gt;=129,H1967&lt;=2176),INDEX(Fields!$B$2:$B$206,MATCH(H1967-129,Fields!$D$2:$D$206,1)),""),"")</f>
        <v/>
      </c>
      <c r="K1967">
        <f>IFERROR(IF(AND(H1967&lt;&gt;"",H1967&gt;=129,H1967&lt;=2176),INDEX(Fields!$C$2:$C$206,MATCH(H1967-129,Fields!$D$2:$D$206,1)),""),"")</f>
        <v/>
      </c>
      <c r="L1967">
        <f>IFERROR(IF(AND(H1967&lt;&gt;"",H1967&gt;=129,H1967&lt;=2176),INDEX(Fields!$J$2:$J$206,MATCH(H1967-129,Fields!$D$2:$D$206,1)),""),"")</f>
        <v/>
      </c>
      <c r="M1967">
        <f>IFERROR(IF(AND(H1967&lt;&gt;"",H1967&gt;=129,H1967&lt;=2176),INDEX(Fields!$K$2:$K$206,MATCH(H1967-129,Fields!$D$2:$D$206,1)),""),"")</f>
        <v/>
      </c>
    </row>
    <row r="1968">
      <c r="A1968" t="n">
        <v>1966</v>
      </c>
      <c r="B1968" t="n">
        <v>0</v>
      </c>
      <c r="C1968" t="inlineStr">
        <is>
          <t>No</t>
        </is>
      </c>
      <c r="D1968">
        <f>IF(AND(B1963=1,B1964=1,B1965=1,B1966=1,B1967=1),"Yes","")</f>
        <v/>
      </c>
      <c r="E1968" t="inlineStr">
        <is>
          <t>No</t>
        </is>
      </c>
      <c r="F1968" t="inlineStr">
        <is>
          <t>No</t>
        </is>
      </c>
      <c r="G1968">
        <f>IF(F1968="Yes",1-B1968,B1968)</f>
        <v/>
      </c>
      <c r="H1968">
        <f>IF(E1968="Yes","",COUNTIFS($E$2:E1968,"No"))</f>
        <v/>
      </c>
      <c r="I1968">
        <f>IF(H1968="","",IF(H1968&lt;=128,"address",IF(H1968&lt;=600,"data1",IF(H1968&lt;=1264,"zero-run1",IF(H1968&lt;=1648,"data2",IF(H1968&lt;=2176,"zero-run2",IF(H1968&lt;=2192,"FCS","trailing")))))))</f>
        <v/>
      </c>
      <c r="J1968">
        <f>IFERROR(IF(AND(H1968&lt;&gt;"",H1968&gt;=129,H1968&lt;=2176),INDEX(Fields!$B$2:$B$206,MATCH(H1968-129,Fields!$D$2:$D$206,1)),""),"")</f>
        <v/>
      </c>
      <c r="K1968">
        <f>IFERROR(IF(AND(H1968&lt;&gt;"",H1968&gt;=129,H1968&lt;=2176),INDEX(Fields!$C$2:$C$206,MATCH(H1968-129,Fields!$D$2:$D$206,1)),""),"")</f>
        <v/>
      </c>
      <c r="L1968">
        <f>IFERROR(IF(AND(H1968&lt;&gt;"",H1968&gt;=129,H1968&lt;=2176),INDEX(Fields!$J$2:$J$206,MATCH(H1968-129,Fields!$D$2:$D$206,1)),""),"")</f>
        <v/>
      </c>
      <c r="M1968">
        <f>IFERROR(IF(AND(H1968&lt;&gt;"",H1968&gt;=129,H1968&lt;=2176),INDEX(Fields!$K$2:$K$206,MATCH(H1968-129,Fields!$D$2:$D$206,1)),""),"")</f>
        <v/>
      </c>
    </row>
    <row r="1969">
      <c r="A1969" t="n">
        <v>1967</v>
      </c>
      <c r="B1969" t="n">
        <v>0</v>
      </c>
      <c r="C1969" t="inlineStr">
        <is>
          <t>No</t>
        </is>
      </c>
      <c r="D1969">
        <f>IF(AND(B1964=1,B1965=1,B1966=1,B1967=1,B1968=1),"Yes","")</f>
        <v/>
      </c>
      <c r="E1969" t="inlineStr">
        <is>
          <t>No</t>
        </is>
      </c>
      <c r="F1969" t="inlineStr">
        <is>
          <t>No</t>
        </is>
      </c>
      <c r="G1969">
        <f>IF(F1969="Yes",1-B1969,B1969)</f>
        <v/>
      </c>
      <c r="H1969">
        <f>IF(E1969="Yes","",COUNTIFS($E$2:E1969,"No"))</f>
        <v/>
      </c>
      <c r="I1969">
        <f>IF(H1969="","",IF(H1969&lt;=128,"address",IF(H1969&lt;=600,"data1",IF(H1969&lt;=1264,"zero-run1",IF(H1969&lt;=1648,"data2",IF(H1969&lt;=2176,"zero-run2",IF(H1969&lt;=2192,"FCS","trailing")))))))</f>
        <v/>
      </c>
      <c r="J1969">
        <f>IFERROR(IF(AND(H1969&lt;&gt;"",H1969&gt;=129,H1969&lt;=2176),INDEX(Fields!$B$2:$B$206,MATCH(H1969-129,Fields!$D$2:$D$206,1)),""),"")</f>
        <v/>
      </c>
      <c r="K1969">
        <f>IFERROR(IF(AND(H1969&lt;&gt;"",H1969&gt;=129,H1969&lt;=2176),INDEX(Fields!$C$2:$C$206,MATCH(H1969-129,Fields!$D$2:$D$206,1)),""),"")</f>
        <v/>
      </c>
      <c r="L1969">
        <f>IFERROR(IF(AND(H1969&lt;&gt;"",H1969&gt;=129,H1969&lt;=2176),INDEX(Fields!$J$2:$J$206,MATCH(H1969-129,Fields!$D$2:$D$206,1)),""),"")</f>
        <v/>
      </c>
      <c r="M1969">
        <f>IFERROR(IF(AND(H1969&lt;&gt;"",H1969&gt;=129,H1969&lt;=2176),INDEX(Fields!$K$2:$K$206,MATCH(H1969-129,Fields!$D$2:$D$206,1)),""),"")</f>
        <v/>
      </c>
    </row>
    <row r="1970">
      <c r="A1970" t="n">
        <v>1968</v>
      </c>
      <c r="B1970" t="n">
        <v>0</v>
      </c>
      <c r="C1970" t="inlineStr">
        <is>
          <t>No</t>
        </is>
      </c>
      <c r="D1970">
        <f>IF(AND(B1965=1,B1966=1,B1967=1,B1968=1,B1969=1),"Yes","")</f>
        <v/>
      </c>
      <c r="E1970" t="inlineStr">
        <is>
          <t>No</t>
        </is>
      </c>
      <c r="F1970" t="inlineStr">
        <is>
          <t>No</t>
        </is>
      </c>
      <c r="G1970">
        <f>IF(F1970="Yes",1-B1970,B1970)</f>
        <v/>
      </c>
      <c r="H1970">
        <f>IF(E1970="Yes","",COUNTIFS($E$2:E1970,"No"))</f>
        <v/>
      </c>
      <c r="I1970">
        <f>IF(H1970="","",IF(H1970&lt;=128,"address",IF(H1970&lt;=600,"data1",IF(H1970&lt;=1264,"zero-run1",IF(H1970&lt;=1648,"data2",IF(H1970&lt;=2176,"zero-run2",IF(H1970&lt;=2192,"FCS","trailing")))))))</f>
        <v/>
      </c>
      <c r="J1970">
        <f>IFERROR(IF(AND(H1970&lt;&gt;"",H1970&gt;=129,H1970&lt;=2176),INDEX(Fields!$B$2:$B$206,MATCH(H1970-129,Fields!$D$2:$D$206,1)),""),"")</f>
        <v/>
      </c>
      <c r="K1970">
        <f>IFERROR(IF(AND(H1970&lt;&gt;"",H1970&gt;=129,H1970&lt;=2176),INDEX(Fields!$C$2:$C$206,MATCH(H1970-129,Fields!$D$2:$D$206,1)),""),"")</f>
        <v/>
      </c>
      <c r="L1970">
        <f>IFERROR(IF(AND(H1970&lt;&gt;"",H1970&gt;=129,H1970&lt;=2176),INDEX(Fields!$J$2:$J$206,MATCH(H1970-129,Fields!$D$2:$D$206,1)),""),"")</f>
        <v/>
      </c>
      <c r="M1970">
        <f>IFERROR(IF(AND(H1970&lt;&gt;"",H1970&gt;=129,H1970&lt;=2176),INDEX(Fields!$K$2:$K$206,MATCH(H1970-129,Fields!$D$2:$D$206,1)),""),"")</f>
        <v/>
      </c>
    </row>
    <row r="1971">
      <c r="A1971" t="n">
        <v>1969</v>
      </c>
      <c r="B1971" t="n">
        <v>0</v>
      </c>
      <c r="C1971" t="inlineStr">
        <is>
          <t>No</t>
        </is>
      </c>
      <c r="D1971">
        <f>IF(AND(B1966=1,B1967=1,B1968=1,B1969=1,B1970=1),"Yes","")</f>
        <v/>
      </c>
      <c r="E1971" t="inlineStr">
        <is>
          <t>No</t>
        </is>
      </c>
      <c r="F1971" t="inlineStr">
        <is>
          <t>No</t>
        </is>
      </c>
      <c r="G1971">
        <f>IF(F1971="Yes",1-B1971,B1971)</f>
        <v/>
      </c>
      <c r="H1971">
        <f>IF(E1971="Yes","",COUNTIFS($E$2:E1971,"No"))</f>
        <v/>
      </c>
      <c r="I1971">
        <f>IF(H1971="","",IF(H1971&lt;=128,"address",IF(H1971&lt;=600,"data1",IF(H1971&lt;=1264,"zero-run1",IF(H1971&lt;=1648,"data2",IF(H1971&lt;=2176,"zero-run2",IF(H1971&lt;=2192,"FCS","trailing")))))))</f>
        <v/>
      </c>
      <c r="J1971">
        <f>IFERROR(IF(AND(H1971&lt;&gt;"",H1971&gt;=129,H1971&lt;=2176),INDEX(Fields!$B$2:$B$206,MATCH(H1971-129,Fields!$D$2:$D$206,1)),""),"")</f>
        <v/>
      </c>
      <c r="K1971">
        <f>IFERROR(IF(AND(H1971&lt;&gt;"",H1971&gt;=129,H1971&lt;=2176),INDEX(Fields!$C$2:$C$206,MATCH(H1971-129,Fields!$D$2:$D$206,1)),""),"")</f>
        <v/>
      </c>
      <c r="L1971">
        <f>IFERROR(IF(AND(H1971&lt;&gt;"",H1971&gt;=129,H1971&lt;=2176),INDEX(Fields!$J$2:$J$206,MATCH(H1971-129,Fields!$D$2:$D$206,1)),""),"")</f>
        <v/>
      </c>
      <c r="M1971">
        <f>IFERROR(IF(AND(H1971&lt;&gt;"",H1971&gt;=129,H1971&lt;=2176),INDEX(Fields!$K$2:$K$206,MATCH(H1971-129,Fields!$D$2:$D$206,1)),""),"")</f>
        <v/>
      </c>
    </row>
    <row r="1972">
      <c r="A1972" t="n">
        <v>1970</v>
      </c>
      <c r="B1972" t="n">
        <v>0</v>
      </c>
      <c r="C1972" t="inlineStr">
        <is>
          <t>No</t>
        </is>
      </c>
      <c r="D1972">
        <f>IF(AND(B1967=1,B1968=1,B1969=1,B1970=1,B1971=1),"Yes","")</f>
        <v/>
      </c>
      <c r="E1972" t="inlineStr">
        <is>
          <t>No</t>
        </is>
      </c>
      <c r="F1972" t="inlineStr">
        <is>
          <t>No</t>
        </is>
      </c>
      <c r="G1972">
        <f>IF(F1972="Yes",1-B1972,B1972)</f>
        <v/>
      </c>
      <c r="H1972">
        <f>IF(E1972="Yes","",COUNTIFS($E$2:E1972,"No"))</f>
        <v/>
      </c>
      <c r="I1972">
        <f>IF(H1972="","",IF(H1972&lt;=128,"address",IF(H1972&lt;=600,"data1",IF(H1972&lt;=1264,"zero-run1",IF(H1972&lt;=1648,"data2",IF(H1972&lt;=2176,"zero-run2",IF(H1972&lt;=2192,"FCS","trailing")))))))</f>
        <v/>
      </c>
      <c r="J1972">
        <f>IFERROR(IF(AND(H1972&lt;&gt;"",H1972&gt;=129,H1972&lt;=2176),INDEX(Fields!$B$2:$B$206,MATCH(H1972-129,Fields!$D$2:$D$206,1)),""),"")</f>
        <v/>
      </c>
      <c r="K1972">
        <f>IFERROR(IF(AND(H1972&lt;&gt;"",H1972&gt;=129,H1972&lt;=2176),INDEX(Fields!$C$2:$C$206,MATCH(H1972-129,Fields!$D$2:$D$206,1)),""),"")</f>
        <v/>
      </c>
      <c r="L1972">
        <f>IFERROR(IF(AND(H1972&lt;&gt;"",H1972&gt;=129,H1972&lt;=2176),INDEX(Fields!$J$2:$J$206,MATCH(H1972-129,Fields!$D$2:$D$206,1)),""),"")</f>
        <v/>
      </c>
      <c r="M1972">
        <f>IFERROR(IF(AND(H1972&lt;&gt;"",H1972&gt;=129,H1972&lt;=2176),INDEX(Fields!$K$2:$K$206,MATCH(H1972-129,Fields!$D$2:$D$206,1)),""),"")</f>
        <v/>
      </c>
    </row>
    <row r="1973">
      <c r="A1973" t="n">
        <v>1971</v>
      </c>
      <c r="B1973" t="n">
        <v>0</v>
      </c>
      <c r="C1973" t="inlineStr">
        <is>
          <t>No</t>
        </is>
      </c>
      <c r="D1973">
        <f>IF(AND(B1968=1,B1969=1,B1970=1,B1971=1,B1972=1),"Yes","")</f>
        <v/>
      </c>
      <c r="E1973" t="inlineStr">
        <is>
          <t>No</t>
        </is>
      </c>
      <c r="F1973" t="inlineStr">
        <is>
          <t>No</t>
        </is>
      </c>
      <c r="G1973">
        <f>IF(F1973="Yes",1-B1973,B1973)</f>
        <v/>
      </c>
      <c r="H1973">
        <f>IF(E1973="Yes","",COUNTIFS($E$2:E1973,"No"))</f>
        <v/>
      </c>
      <c r="I1973">
        <f>IF(H1973="","",IF(H1973&lt;=128,"address",IF(H1973&lt;=600,"data1",IF(H1973&lt;=1264,"zero-run1",IF(H1973&lt;=1648,"data2",IF(H1973&lt;=2176,"zero-run2",IF(H1973&lt;=2192,"FCS","trailing")))))))</f>
        <v/>
      </c>
      <c r="J1973">
        <f>IFERROR(IF(AND(H1973&lt;&gt;"",H1973&gt;=129,H1973&lt;=2176),INDEX(Fields!$B$2:$B$206,MATCH(H1973-129,Fields!$D$2:$D$206,1)),""),"")</f>
        <v/>
      </c>
      <c r="K1973">
        <f>IFERROR(IF(AND(H1973&lt;&gt;"",H1973&gt;=129,H1973&lt;=2176),INDEX(Fields!$C$2:$C$206,MATCH(H1973-129,Fields!$D$2:$D$206,1)),""),"")</f>
        <v/>
      </c>
      <c r="L1973">
        <f>IFERROR(IF(AND(H1973&lt;&gt;"",H1973&gt;=129,H1973&lt;=2176),INDEX(Fields!$J$2:$J$206,MATCH(H1973-129,Fields!$D$2:$D$206,1)),""),"")</f>
        <v/>
      </c>
      <c r="M1973">
        <f>IFERROR(IF(AND(H1973&lt;&gt;"",H1973&gt;=129,H1973&lt;=2176),INDEX(Fields!$K$2:$K$206,MATCH(H1973-129,Fields!$D$2:$D$206,1)),""),"")</f>
        <v/>
      </c>
    </row>
    <row r="1974">
      <c r="A1974" t="n">
        <v>1972</v>
      </c>
      <c r="B1974" t="n">
        <v>0</v>
      </c>
      <c r="C1974" t="inlineStr">
        <is>
          <t>No</t>
        </is>
      </c>
      <c r="D1974">
        <f>IF(AND(B1969=1,B1970=1,B1971=1,B1972=1,B1973=1),"Yes","")</f>
        <v/>
      </c>
      <c r="E1974" t="inlineStr">
        <is>
          <t>No</t>
        </is>
      </c>
      <c r="F1974" t="inlineStr">
        <is>
          <t>No</t>
        </is>
      </c>
      <c r="G1974">
        <f>IF(F1974="Yes",1-B1974,B1974)</f>
        <v/>
      </c>
      <c r="H1974">
        <f>IF(E1974="Yes","",COUNTIFS($E$2:E1974,"No"))</f>
        <v/>
      </c>
      <c r="I1974">
        <f>IF(H1974="","",IF(H1974&lt;=128,"address",IF(H1974&lt;=600,"data1",IF(H1974&lt;=1264,"zero-run1",IF(H1974&lt;=1648,"data2",IF(H1974&lt;=2176,"zero-run2",IF(H1974&lt;=2192,"FCS","trailing")))))))</f>
        <v/>
      </c>
      <c r="J1974">
        <f>IFERROR(IF(AND(H1974&lt;&gt;"",H1974&gt;=129,H1974&lt;=2176),INDEX(Fields!$B$2:$B$206,MATCH(H1974-129,Fields!$D$2:$D$206,1)),""),"")</f>
        <v/>
      </c>
      <c r="K1974">
        <f>IFERROR(IF(AND(H1974&lt;&gt;"",H1974&gt;=129,H1974&lt;=2176),INDEX(Fields!$C$2:$C$206,MATCH(H1974-129,Fields!$D$2:$D$206,1)),""),"")</f>
        <v/>
      </c>
      <c r="L1974">
        <f>IFERROR(IF(AND(H1974&lt;&gt;"",H1974&gt;=129,H1974&lt;=2176),INDEX(Fields!$J$2:$J$206,MATCH(H1974-129,Fields!$D$2:$D$206,1)),""),"")</f>
        <v/>
      </c>
      <c r="M1974">
        <f>IFERROR(IF(AND(H1974&lt;&gt;"",H1974&gt;=129,H1974&lt;=2176),INDEX(Fields!$K$2:$K$206,MATCH(H1974-129,Fields!$D$2:$D$206,1)),""),"")</f>
        <v/>
      </c>
    </row>
    <row r="1975">
      <c r="A1975" t="n">
        <v>1973</v>
      </c>
      <c r="B1975" t="n">
        <v>0</v>
      </c>
      <c r="C1975" t="inlineStr">
        <is>
          <t>No</t>
        </is>
      </c>
      <c r="D1975">
        <f>IF(AND(B1970=1,B1971=1,B1972=1,B1973=1,B1974=1),"Yes","")</f>
        <v/>
      </c>
      <c r="E1975" t="inlineStr">
        <is>
          <t>No</t>
        </is>
      </c>
      <c r="F1975" t="inlineStr">
        <is>
          <t>No</t>
        </is>
      </c>
      <c r="G1975">
        <f>IF(F1975="Yes",1-B1975,B1975)</f>
        <v/>
      </c>
      <c r="H1975">
        <f>IF(E1975="Yes","",COUNTIFS($E$2:E1975,"No"))</f>
        <v/>
      </c>
      <c r="I1975">
        <f>IF(H1975="","",IF(H1975&lt;=128,"address",IF(H1975&lt;=600,"data1",IF(H1975&lt;=1264,"zero-run1",IF(H1975&lt;=1648,"data2",IF(H1975&lt;=2176,"zero-run2",IF(H1975&lt;=2192,"FCS","trailing")))))))</f>
        <v/>
      </c>
      <c r="J1975">
        <f>IFERROR(IF(AND(H1975&lt;&gt;"",H1975&gt;=129,H1975&lt;=2176),INDEX(Fields!$B$2:$B$206,MATCH(H1975-129,Fields!$D$2:$D$206,1)),""),"")</f>
        <v/>
      </c>
      <c r="K1975">
        <f>IFERROR(IF(AND(H1975&lt;&gt;"",H1975&gt;=129,H1975&lt;=2176),INDEX(Fields!$C$2:$C$206,MATCH(H1975-129,Fields!$D$2:$D$206,1)),""),"")</f>
        <v/>
      </c>
      <c r="L1975">
        <f>IFERROR(IF(AND(H1975&lt;&gt;"",H1975&gt;=129,H1975&lt;=2176),INDEX(Fields!$J$2:$J$206,MATCH(H1975-129,Fields!$D$2:$D$206,1)),""),"")</f>
        <v/>
      </c>
      <c r="M1975">
        <f>IFERROR(IF(AND(H1975&lt;&gt;"",H1975&gt;=129,H1975&lt;=2176),INDEX(Fields!$K$2:$K$206,MATCH(H1975-129,Fields!$D$2:$D$206,1)),""),"")</f>
        <v/>
      </c>
    </row>
    <row r="1976">
      <c r="A1976" t="n">
        <v>1974</v>
      </c>
      <c r="B1976" t="n">
        <v>0</v>
      </c>
      <c r="C1976" t="inlineStr">
        <is>
          <t>No</t>
        </is>
      </c>
      <c r="D1976">
        <f>IF(AND(B1971=1,B1972=1,B1973=1,B1974=1,B1975=1),"Yes","")</f>
        <v/>
      </c>
      <c r="E1976" t="inlineStr">
        <is>
          <t>No</t>
        </is>
      </c>
      <c r="F1976" t="inlineStr">
        <is>
          <t>No</t>
        </is>
      </c>
      <c r="G1976">
        <f>IF(F1976="Yes",1-B1976,B1976)</f>
        <v/>
      </c>
      <c r="H1976">
        <f>IF(E1976="Yes","",COUNTIFS($E$2:E1976,"No"))</f>
        <v/>
      </c>
      <c r="I1976">
        <f>IF(H1976="","",IF(H1976&lt;=128,"address",IF(H1976&lt;=600,"data1",IF(H1976&lt;=1264,"zero-run1",IF(H1976&lt;=1648,"data2",IF(H1976&lt;=2176,"zero-run2",IF(H1976&lt;=2192,"FCS","trailing")))))))</f>
        <v/>
      </c>
      <c r="J1976">
        <f>IFERROR(IF(AND(H1976&lt;&gt;"",H1976&gt;=129,H1976&lt;=2176),INDEX(Fields!$B$2:$B$206,MATCH(H1976-129,Fields!$D$2:$D$206,1)),""),"")</f>
        <v/>
      </c>
      <c r="K1976">
        <f>IFERROR(IF(AND(H1976&lt;&gt;"",H1976&gt;=129,H1976&lt;=2176),INDEX(Fields!$C$2:$C$206,MATCH(H1976-129,Fields!$D$2:$D$206,1)),""),"")</f>
        <v/>
      </c>
      <c r="L1976">
        <f>IFERROR(IF(AND(H1976&lt;&gt;"",H1976&gt;=129,H1976&lt;=2176),INDEX(Fields!$J$2:$J$206,MATCH(H1976-129,Fields!$D$2:$D$206,1)),""),"")</f>
        <v/>
      </c>
      <c r="M1976">
        <f>IFERROR(IF(AND(H1976&lt;&gt;"",H1976&gt;=129,H1976&lt;=2176),INDEX(Fields!$K$2:$K$206,MATCH(H1976-129,Fields!$D$2:$D$206,1)),""),"")</f>
        <v/>
      </c>
    </row>
    <row r="1977">
      <c r="A1977" t="n">
        <v>1975</v>
      </c>
      <c r="B1977" t="n">
        <v>0</v>
      </c>
      <c r="C1977" t="inlineStr">
        <is>
          <t>No</t>
        </is>
      </c>
      <c r="D1977">
        <f>IF(AND(B1972=1,B1973=1,B1974=1,B1975=1,B1976=1),"Yes","")</f>
        <v/>
      </c>
      <c r="E1977" t="inlineStr">
        <is>
          <t>No</t>
        </is>
      </c>
      <c r="F1977" t="inlineStr">
        <is>
          <t>No</t>
        </is>
      </c>
      <c r="G1977">
        <f>IF(F1977="Yes",1-B1977,B1977)</f>
        <v/>
      </c>
      <c r="H1977">
        <f>IF(E1977="Yes","",COUNTIFS($E$2:E1977,"No"))</f>
        <v/>
      </c>
      <c r="I1977">
        <f>IF(H1977="","",IF(H1977&lt;=128,"address",IF(H1977&lt;=600,"data1",IF(H1977&lt;=1264,"zero-run1",IF(H1977&lt;=1648,"data2",IF(H1977&lt;=2176,"zero-run2",IF(H1977&lt;=2192,"FCS","trailing")))))))</f>
        <v/>
      </c>
      <c r="J1977">
        <f>IFERROR(IF(AND(H1977&lt;&gt;"",H1977&gt;=129,H1977&lt;=2176),INDEX(Fields!$B$2:$B$206,MATCH(H1977-129,Fields!$D$2:$D$206,1)),""),"")</f>
        <v/>
      </c>
      <c r="K1977">
        <f>IFERROR(IF(AND(H1977&lt;&gt;"",H1977&gt;=129,H1977&lt;=2176),INDEX(Fields!$C$2:$C$206,MATCH(H1977-129,Fields!$D$2:$D$206,1)),""),"")</f>
        <v/>
      </c>
      <c r="L1977">
        <f>IFERROR(IF(AND(H1977&lt;&gt;"",H1977&gt;=129,H1977&lt;=2176),INDEX(Fields!$J$2:$J$206,MATCH(H1977-129,Fields!$D$2:$D$206,1)),""),"")</f>
        <v/>
      </c>
      <c r="M1977">
        <f>IFERROR(IF(AND(H1977&lt;&gt;"",H1977&gt;=129,H1977&lt;=2176),INDEX(Fields!$K$2:$K$206,MATCH(H1977-129,Fields!$D$2:$D$206,1)),""),"")</f>
        <v/>
      </c>
    </row>
    <row r="1978">
      <c r="A1978" t="n">
        <v>1976</v>
      </c>
      <c r="B1978" t="n">
        <v>0</v>
      </c>
      <c r="C1978" t="inlineStr">
        <is>
          <t>No</t>
        </is>
      </c>
      <c r="D1978">
        <f>IF(AND(B1973=1,B1974=1,B1975=1,B1976=1,B1977=1),"Yes","")</f>
        <v/>
      </c>
      <c r="E1978" t="inlineStr">
        <is>
          <t>No</t>
        </is>
      </c>
      <c r="F1978" t="inlineStr">
        <is>
          <t>No</t>
        </is>
      </c>
      <c r="G1978">
        <f>IF(F1978="Yes",1-B1978,B1978)</f>
        <v/>
      </c>
      <c r="H1978">
        <f>IF(E1978="Yes","",COUNTIFS($E$2:E1978,"No"))</f>
        <v/>
      </c>
      <c r="I1978">
        <f>IF(H1978="","",IF(H1978&lt;=128,"address",IF(H1978&lt;=600,"data1",IF(H1978&lt;=1264,"zero-run1",IF(H1978&lt;=1648,"data2",IF(H1978&lt;=2176,"zero-run2",IF(H1978&lt;=2192,"FCS","trailing")))))))</f>
        <v/>
      </c>
      <c r="J1978">
        <f>IFERROR(IF(AND(H1978&lt;&gt;"",H1978&gt;=129,H1978&lt;=2176),INDEX(Fields!$B$2:$B$206,MATCH(H1978-129,Fields!$D$2:$D$206,1)),""),"")</f>
        <v/>
      </c>
      <c r="K1978">
        <f>IFERROR(IF(AND(H1978&lt;&gt;"",H1978&gt;=129,H1978&lt;=2176),INDEX(Fields!$C$2:$C$206,MATCH(H1978-129,Fields!$D$2:$D$206,1)),""),"")</f>
        <v/>
      </c>
      <c r="L1978">
        <f>IFERROR(IF(AND(H1978&lt;&gt;"",H1978&gt;=129,H1978&lt;=2176),INDEX(Fields!$J$2:$J$206,MATCH(H1978-129,Fields!$D$2:$D$206,1)),""),"")</f>
        <v/>
      </c>
      <c r="M1978">
        <f>IFERROR(IF(AND(H1978&lt;&gt;"",H1978&gt;=129,H1978&lt;=2176),INDEX(Fields!$K$2:$K$206,MATCH(H1978-129,Fields!$D$2:$D$206,1)),""),"")</f>
        <v/>
      </c>
    </row>
    <row r="1979">
      <c r="A1979" t="n">
        <v>1977</v>
      </c>
      <c r="B1979" t="n">
        <v>0</v>
      </c>
      <c r="C1979" t="inlineStr">
        <is>
          <t>No</t>
        </is>
      </c>
      <c r="D1979">
        <f>IF(AND(B1974=1,B1975=1,B1976=1,B1977=1,B1978=1),"Yes","")</f>
        <v/>
      </c>
      <c r="E1979" t="inlineStr">
        <is>
          <t>No</t>
        </is>
      </c>
      <c r="F1979" t="inlineStr">
        <is>
          <t>No</t>
        </is>
      </c>
      <c r="G1979">
        <f>IF(F1979="Yes",1-B1979,B1979)</f>
        <v/>
      </c>
      <c r="H1979">
        <f>IF(E1979="Yes","",COUNTIFS($E$2:E1979,"No"))</f>
        <v/>
      </c>
      <c r="I1979">
        <f>IF(H1979="","",IF(H1979&lt;=128,"address",IF(H1979&lt;=600,"data1",IF(H1979&lt;=1264,"zero-run1",IF(H1979&lt;=1648,"data2",IF(H1979&lt;=2176,"zero-run2",IF(H1979&lt;=2192,"FCS","trailing")))))))</f>
        <v/>
      </c>
      <c r="J1979">
        <f>IFERROR(IF(AND(H1979&lt;&gt;"",H1979&gt;=129,H1979&lt;=2176),INDEX(Fields!$B$2:$B$206,MATCH(H1979-129,Fields!$D$2:$D$206,1)),""),"")</f>
        <v/>
      </c>
      <c r="K1979">
        <f>IFERROR(IF(AND(H1979&lt;&gt;"",H1979&gt;=129,H1979&lt;=2176),INDEX(Fields!$C$2:$C$206,MATCH(H1979-129,Fields!$D$2:$D$206,1)),""),"")</f>
        <v/>
      </c>
      <c r="L1979">
        <f>IFERROR(IF(AND(H1979&lt;&gt;"",H1979&gt;=129,H1979&lt;=2176),INDEX(Fields!$J$2:$J$206,MATCH(H1979-129,Fields!$D$2:$D$206,1)),""),"")</f>
        <v/>
      </c>
      <c r="M1979">
        <f>IFERROR(IF(AND(H1979&lt;&gt;"",H1979&gt;=129,H1979&lt;=2176),INDEX(Fields!$K$2:$K$206,MATCH(H1979-129,Fields!$D$2:$D$206,1)),""),"")</f>
        <v/>
      </c>
    </row>
    <row r="1980">
      <c r="A1980" t="n">
        <v>1978</v>
      </c>
      <c r="B1980" t="n">
        <v>0</v>
      </c>
      <c r="C1980" t="inlineStr">
        <is>
          <t>No</t>
        </is>
      </c>
      <c r="D1980">
        <f>IF(AND(B1975=1,B1976=1,B1977=1,B1978=1,B1979=1),"Yes","")</f>
        <v/>
      </c>
      <c r="E1980" t="inlineStr">
        <is>
          <t>No</t>
        </is>
      </c>
      <c r="F1980" t="inlineStr">
        <is>
          <t>No</t>
        </is>
      </c>
      <c r="G1980">
        <f>IF(F1980="Yes",1-B1980,B1980)</f>
        <v/>
      </c>
      <c r="H1980">
        <f>IF(E1980="Yes","",COUNTIFS($E$2:E1980,"No"))</f>
        <v/>
      </c>
      <c r="I1980">
        <f>IF(H1980="","",IF(H1980&lt;=128,"address",IF(H1980&lt;=600,"data1",IF(H1980&lt;=1264,"zero-run1",IF(H1980&lt;=1648,"data2",IF(H1980&lt;=2176,"zero-run2",IF(H1980&lt;=2192,"FCS","trailing")))))))</f>
        <v/>
      </c>
      <c r="J1980">
        <f>IFERROR(IF(AND(H1980&lt;&gt;"",H1980&gt;=129,H1980&lt;=2176),INDEX(Fields!$B$2:$B$206,MATCH(H1980-129,Fields!$D$2:$D$206,1)),""),"")</f>
        <v/>
      </c>
      <c r="K1980">
        <f>IFERROR(IF(AND(H1980&lt;&gt;"",H1980&gt;=129,H1980&lt;=2176),INDEX(Fields!$C$2:$C$206,MATCH(H1980-129,Fields!$D$2:$D$206,1)),""),"")</f>
        <v/>
      </c>
      <c r="L1980">
        <f>IFERROR(IF(AND(H1980&lt;&gt;"",H1980&gt;=129,H1980&lt;=2176),INDEX(Fields!$J$2:$J$206,MATCH(H1980-129,Fields!$D$2:$D$206,1)),""),"")</f>
        <v/>
      </c>
      <c r="M1980">
        <f>IFERROR(IF(AND(H1980&lt;&gt;"",H1980&gt;=129,H1980&lt;=2176),INDEX(Fields!$K$2:$K$206,MATCH(H1980-129,Fields!$D$2:$D$206,1)),""),"")</f>
        <v/>
      </c>
    </row>
    <row r="1981">
      <c r="A1981" t="n">
        <v>1979</v>
      </c>
      <c r="B1981" t="n">
        <v>0</v>
      </c>
      <c r="C1981" t="inlineStr">
        <is>
          <t>No</t>
        </is>
      </c>
      <c r="D1981">
        <f>IF(AND(B1976=1,B1977=1,B1978=1,B1979=1,B1980=1),"Yes","")</f>
        <v/>
      </c>
      <c r="E1981" t="inlineStr">
        <is>
          <t>No</t>
        </is>
      </c>
      <c r="F1981" t="inlineStr">
        <is>
          <t>No</t>
        </is>
      </c>
      <c r="G1981">
        <f>IF(F1981="Yes",1-B1981,B1981)</f>
        <v/>
      </c>
      <c r="H1981">
        <f>IF(E1981="Yes","",COUNTIFS($E$2:E1981,"No"))</f>
        <v/>
      </c>
      <c r="I1981">
        <f>IF(H1981="","",IF(H1981&lt;=128,"address",IF(H1981&lt;=600,"data1",IF(H1981&lt;=1264,"zero-run1",IF(H1981&lt;=1648,"data2",IF(H1981&lt;=2176,"zero-run2",IF(H1981&lt;=2192,"FCS","trailing")))))))</f>
        <v/>
      </c>
      <c r="J1981">
        <f>IFERROR(IF(AND(H1981&lt;&gt;"",H1981&gt;=129,H1981&lt;=2176),INDEX(Fields!$B$2:$B$206,MATCH(H1981-129,Fields!$D$2:$D$206,1)),""),"")</f>
        <v/>
      </c>
      <c r="K1981">
        <f>IFERROR(IF(AND(H1981&lt;&gt;"",H1981&gt;=129,H1981&lt;=2176),INDEX(Fields!$C$2:$C$206,MATCH(H1981-129,Fields!$D$2:$D$206,1)),""),"")</f>
        <v/>
      </c>
      <c r="L1981">
        <f>IFERROR(IF(AND(H1981&lt;&gt;"",H1981&gt;=129,H1981&lt;=2176),INDEX(Fields!$J$2:$J$206,MATCH(H1981-129,Fields!$D$2:$D$206,1)),""),"")</f>
        <v/>
      </c>
      <c r="M1981">
        <f>IFERROR(IF(AND(H1981&lt;&gt;"",H1981&gt;=129,H1981&lt;=2176),INDEX(Fields!$K$2:$K$206,MATCH(H1981-129,Fields!$D$2:$D$206,1)),""),"")</f>
        <v/>
      </c>
    </row>
    <row r="1982">
      <c r="A1982" t="n">
        <v>1980</v>
      </c>
      <c r="B1982" t="n">
        <v>0</v>
      </c>
      <c r="C1982" t="inlineStr">
        <is>
          <t>No</t>
        </is>
      </c>
      <c r="D1982">
        <f>IF(AND(B1977=1,B1978=1,B1979=1,B1980=1,B1981=1),"Yes","")</f>
        <v/>
      </c>
      <c r="E1982" t="inlineStr">
        <is>
          <t>No</t>
        </is>
      </c>
      <c r="F1982" t="inlineStr">
        <is>
          <t>No</t>
        </is>
      </c>
      <c r="G1982">
        <f>IF(F1982="Yes",1-B1982,B1982)</f>
        <v/>
      </c>
      <c r="H1982">
        <f>IF(E1982="Yes","",COUNTIFS($E$2:E1982,"No"))</f>
        <v/>
      </c>
      <c r="I1982">
        <f>IF(H1982="","",IF(H1982&lt;=128,"address",IF(H1982&lt;=600,"data1",IF(H1982&lt;=1264,"zero-run1",IF(H1982&lt;=1648,"data2",IF(H1982&lt;=2176,"zero-run2",IF(H1982&lt;=2192,"FCS","trailing")))))))</f>
        <v/>
      </c>
      <c r="J1982">
        <f>IFERROR(IF(AND(H1982&lt;&gt;"",H1982&gt;=129,H1982&lt;=2176),INDEX(Fields!$B$2:$B$206,MATCH(H1982-129,Fields!$D$2:$D$206,1)),""),"")</f>
        <v/>
      </c>
      <c r="K1982">
        <f>IFERROR(IF(AND(H1982&lt;&gt;"",H1982&gt;=129,H1982&lt;=2176),INDEX(Fields!$C$2:$C$206,MATCH(H1982-129,Fields!$D$2:$D$206,1)),""),"")</f>
        <v/>
      </c>
      <c r="L1982">
        <f>IFERROR(IF(AND(H1982&lt;&gt;"",H1982&gt;=129,H1982&lt;=2176),INDEX(Fields!$J$2:$J$206,MATCH(H1982-129,Fields!$D$2:$D$206,1)),""),"")</f>
        <v/>
      </c>
      <c r="M1982">
        <f>IFERROR(IF(AND(H1982&lt;&gt;"",H1982&gt;=129,H1982&lt;=2176),INDEX(Fields!$K$2:$K$206,MATCH(H1982-129,Fields!$D$2:$D$206,1)),""),"")</f>
        <v/>
      </c>
    </row>
    <row r="1983">
      <c r="A1983" t="n">
        <v>1981</v>
      </c>
      <c r="B1983" t="n">
        <v>0</v>
      </c>
      <c r="C1983" t="inlineStr">
        <is>
          <t>No</t>
        </is>
      </c>
      <c r="D1983">
        <f>IF(AND(B1978=1,B1979=1,B1980=1,B1981=1,B1982=1),"Yes","")</f>
        <v/>
      </c>
      <c r="E1983" t="inlineStr">
        <is>
          <t>No</t>
        </is>
      </c>
      <c r="F1983" t="inlineStr">
        <is>
          <t>No</t>
        </is>
      </c>
      <c r="G1983">
        <f>IF(F1983="Yes",1-B1983,B1983)</f>
        <v/>
      </c>
      <c r="H1983">
        <f>IF(E1983="Yes","",COUNTIFS($E$2:E1983,"No"))</f>
        <v/>
      </c>
      <c r="I1983">
        <f>IF(H1983="","",IF(H1983&lt;=128,"address",IF(H1983&lt;=600,"data1",IF(H1983&lt;=1264,"zero-run1",IF(H1983&lt;=1648,"data2",IF(H1983&lt;=2176,"zero-run2",IF(H1983&lt;=2192,"FCS","trailing")))))))</f>
        <v/>
      </c>
      <c r="J1983">
        <f>IFERROR(IF(AND(H1983&lt;&gt;"",H1983&gt;=129,H1983&lt;=2176),INDEX(Fields!$B$2:$B$206,MATCH(H1983-129,Fields!$D$2:$D$206,1)),""),"")</f>
        <v/>
      </c>
      <c r="K1983">
        <f>IFERROR(IF(AND(H1983&lt;&gt;"",H1983&gt;=129,H1983&lt;=2176),INDEX(Fields!$C$2:$C$206,MATCH(H1983-129,Fields!$D$2:$D$206,1)),""),"")</f>
        <v/>
      </c>
      <c r="L1983">
        <f>IFERROR(IF(AND(H1983&lt;&gt;"",H1983&gt;=129,H1983&lt;=2176),INDEX(Fields!$J$2:$J$206,MATCH(H1983-129,Fields!$D$2:$D$206,1)),""),"")</f>
        <v/>
      </c>
      <c r="M1983">
        <f>IFERROR(IF(AND(H1983&lt;&gt;"",H1983&gt;=129,H1983&lt;=2176),INDEX(Fields!$K$2:$K$206,MATCH(H1983-129,Fields!$D$2:$D$206,1)),""),"")</f>
        <v/>
      </c>
    </row>
    <row r="1984">
      <c r="A1984" t="n">
        <v>1982</v>
      </c>
      <c r="B1984" t="n">
        <v>0</v>
      </c>
      <c r="C1984" t="inlineStr">
        <is>
          <t>No</t>
        </is>
      </c>
      <c r="D1984">
        <f>IF(AND(B1979=1,B1980=1,B1981=1,B1982=1,B1983=1),"Yes","")</f>
        <v/>
      </c>
      <c r="E1984" t="inlineStr">
        <is>
          <t>No</t>
        </is>
      </c>
      <c r="F1984" t="inlineStr">
        <is>
          <t>No</t>
        </is>
      </c>
      <c r="G1984">
        <f>IF(F1984="Yes",1-B1984,B1984)</f>
        <v/>
      </c>
      <c r="H1984">
        <f>IF(E1984="Yes","",COUNTIFS($E$2:E1984,"No"))</f>
        <v/>
      </c>
      <c r="I1984">
        <f>IF(H1984="","",IF(H1984&lt;=128,"address",IF(H1984&lt;=600,"data1",IF(H1984&lt;=1264,"zero-run1",IF(H1984&lt;=1648,"data2",IF(H1984&lt;=2176,"zero-run2",IF(H1984&lt;=2192,"FCS","trailing")))))))</f>
        <v/>
      </c>
      <c r="J1984">
        <f>IFERROR(IF(AND(H1984&lt;&gt;"",H1984&gt;=129,H1984&lt;=2176),INDEX(Fields!$B$2:$B$206,MATCH(H1984-129,Fields!$D$2:$D$206,1)),""),"")</f>
        <v/>
      </c>
      <c r="K1984">
        <f>IFERROR(IF(AND(H1984&lt;&gt;"",H1984&gt;=129,H1984&lt;=2176),INDEX(Fields!$C$2:$C$206,MATCH(H1984-129,Fields!$D$2:$D$206,1)),""),"")</f>
        <v/>
      </c>
      <c r="L1984">
        <f>IFERROR(IF(AND(H1984&lt;&gt;"",H1984&gt;=129,H1984&lt;=2176),INDEX(Fields!$J$2:$J$206,MATCH(H1984-129,Fields!$D$2:$D$206,1)),""),"")</f>
        <v/>
      </c>
      <c r="M1984">
        <f>IFERROR(IF(AND(H1984&lt;&gt;"",H1984&gt;=129,H1984&lt;=2176),INDEX(Fields!$K$2:$K$206,MATCH(H1984-129,Fields!$D$2:$D$206,1)),""),"")</f>
        <v/>
      </c>
    </row>
    <row r="1985">
      <c r="A1985" t="n">
        <v>1983</v>
      </c>
      <c r="B1985" t="n">
        <v>0</v>
      </c>
      <c r="C1985" t="inlineStr">
        <is>
          <t>No</t>
        </is>
      </c>
      <c r="D1985">
        <f>IF(AND(B1980=1,B1981=1,B1982=1,B1983=1,B1984=1),"Yes","")</f>
        <v/>
      </c>
      <c r="E1985" t="inlineStr">
        <is>
          <t>No</t>
        </is>
      </c>
      <c r="F1985" t="inlineStr">
        <is>
          <t>No</t>
        </is>
      </c>
      <c r="G1985">
        <f>IF(F1985="Yes",1-B1985,B1985)</f>
        <v/>
      </c>
      <c r="H1985">
        <f>IF(E1985="Yes","",COUNTIFS($E$2:E1985,"No"))</f>
        <v/>
      </c>
      <c r="I1985">
        <f>IF(H1985="","",IF(H1985&lt;=128,"address",IF(H1985&lt;=600,"data1",IF(H1985&lt;=1264,"zero-run1",IF(H1985&lt;=1648,"data2",IF(H1985&lt;=2176,"zero-run2",IF(H1985&lt;=2192,"FCS","trailing")))))))</f>
        <v/>
      </c>
      <c r="J1985">
        <f>IFERROR(IF(AND(H1985&lt;&gt;"",H1985&gt;=129,H1985&lt;=2176),INDEX(Fields!$B$2:$B$206,MATCH(H1985-129,Fields!$D$2:$D$206,1)),""),"")</f>
        <v/>
      </c>
      <c r="K1985">
        <f>IFERROR(IF(AND(H1985&lt;&gt;"",H1985&gt;=129,H1985&lt;=2176),INDEX(Fields!$C$2:$C$206,MATCH(H1985-129,Fields!$D$2:$D$206,1)),""),"")</f>
        <v/>
      </c>
      <c r="L1985">
        <f>IFERROR(IF(AND(H1985&lt;&gt;"",H1985&gt;=129,H1985&lt;=2176),INDEX(Fields!$J$2:$J$206,MATCH(H1985-129,Fields!$D$2:$D$206,1)),""),"")</f>
        <v/>
      </c>
      <c r="M1985">
        <f>IFERROR(IF(AND(H1985&lt;&gt;"",H1985&gt;=129,H1985&lt;=2176),INDEX(Fields!$K$2:$K$206,MATCH(H1985-129,Fields!$D$2:$D$206,1)),""),"")</f>
        <v/>
      </c>
    </row>
    <row r="1986">
      <c r="A1986" t="n">
        <v>1984</v>
      </c>
      <c r="B1986" t="n">
        <v>0</v>
      </c>
      <c r="C1986" t="inlineStr">
        <is>
          <t>No</t>
        </is>
      </c>
      <c r="D1986">
        <f>IF(AND(B1981=1,B1982=1,B1983=1,B1984=1,B1985=1),"Yes","")</f>
        <v/>
      </c>
      <c r="E1986" t="inlineStr">
        <is>
          <t>No</t>
        </is>
      </c>
      <c r="F1986" t="inlineStr">
        <is>
          <t>No</t>
        </is>
      </c>
      <c r="G1986">
        <f>IF(F1986="Yes",1-B1986,B1986)</f>
        <v/>
      </c>
      <c r="H1986">
        <f>IF(E1986="Yes","",COUNTIFS($E$2:E1986,"No"))</f>
        <v/>
      </c>
      <c r="I1986">
        <f>IF(H1986="","",IF(H1986&lt;=128,"address",IF(H1986&lt;=600,"data1",IF(H1986&lt;=1264,"zero-run1",IF(H1986&lt;=1648,"data2",IF(H1986&lt;=2176,"zero-run2",IF(H1986&lt;=2192,"FCS","trailing")))))))</f>
        <v/>
      </c>
      <c r="J1986">
        <f>IFERROR(IF(AND(H1986&lt;&gt;"",H1986&gt;=129,H1986&lt;=2176),INDEX(Fields!$B$2:$B$206,MATCH(H1986-129,Fields!$D$2:$D$206,1)),""),"")</f>
        <v/>
      </c>
      <c r="K1986">
        <f>IFERROR(IF(AND(H1986&lt;&gt;"",H1986&gt;=129,H1986&lt;=2176),INDEX(Fields!$C$2:$C$206,MATCH(H1986-129,Fields!$D$2:$D$206,1)),""),"")</f>
        <v/>
      </c>
      <c r="L1986">
        <f>IFERROR(IF(AND(H1986&lt;&gt;"",H1986&gt;=129,H1986&lt;=2176),INDEX(Fields!$J$2:$J$206,MATCH(H1986-129,Fields!$D$2:$D$206,1)),""),"")</f>
        <v/>
      </c>
      <c r="M1986">
        <f>IFERROR(IF(AND(H1986&lt;&gt;"",H1986&gt;=129,H1986&lt;=2176),INDEX(Fields!$K$2:$K$206,MATCH(H1986-129,Fields!$D$2:$D$206,1)),""),"")</f>
        <v/>
      </c>
    </row>
    <row r="1987">
      <c r="A1987" t="n">
        <v>1985</v>
      </c>
      <c r="B1987" t="n">
        <v>0</v>
      </c>
      <c r="C1987" t="inlineStr">
        <is>
          <t>No</t>
        </is>
      </c>
      <c r="D1987">
        <f>IF(AND(B1982=1,B1983=1,B1984=1,B1985=1,B1986=1),"Yes","")</f>
        <v/>
      </c>
      <c r="E1987" t="inlineStr">
        <is>
          <t>No</t>
        </is>
      </c>
      <c r="F1987" t="inlineStr">
        <is>
          <t>No</t>
        </is>
      </c>
      <c r="G1987">
        <f>IF(F1987="Yes",1-B1987,B1987)</f>
        <v/>
      </c>
      <c r="H1987">
        <f>IF(E1987="Yes","",COUNTIFS($E$2:E1987,"No"))</f>
        <v/>
      </c>
      <c r="I1987">
        <f>IF(H1987="","",IF(H1987&lt;=128,"address",IF(H1987&lt;=600,"data1",IF(H1987&lt;=1264,"zero-run1",IF(H1987&lt;=1648,"data2",IF(H1987&lt;=2176,"zero-run2",IF(H1987&lt;=2192,"FCS","trailing")))))))</f>
        <v/>
      </c>
      <c r="J1987">
        <f>IFERROR(IF(AND(H1987&lt;&gt;"",H1987&gt;=129,H1987&lt;=2176),INDEX(Fields!$B$2:$B$206,MATCH(H1987-129,Fields!$D$2:$D$206,1)),""),"")</f>
        <v/>
      </c>
      <c r="K1987">
        <f>IFERROR(IF(AND(H1987&lt;&gt;"",H1987&gt;=129,H1987&lt;=2176),INDEX(Fields!$C$2:$C$206,MATCH(H1987-129,Fields!$D$2:$D$206,1)),""),"")</f>
        <v/>
      </c>
      <c r="L1987">
        <f>IFERROR(IF(AND(H1987&lt;&gt;"",H1987&gt;=129,H1987&lt;=2176),INDEX(Fields!$J$2:$J$206,MATCH(H1987-129,Fields!$D$2:$D$206,1)),""),"")</f>
        <v/>
      </c>
      <c r="M1987">
        <f>IFERROR(IF(AND(H1987&lt;&gt;"",H1987&gt;=129,H1987&lt;=2176),INDEX(Fields!$K$2:$K$206,MATCH(H1987-129,Fields!$D$2:$D$206,1)),""),"")</f>
        <v/>
      </c>
    </row>
    <row r="1988">
      <c r="A1988" t="n">
        <v>1986</v>
      </c>
      <c r="B1988" t="n">
        <v>0</v>
      </c>
      <c r="C1988" t="inlineStr">
        <is>
          <t>No</t>
        </is>
      </c>
      <c r="D1988">
        <f>IF(AND(B1983=1,B1984=1,B1985=1,B1986=1,B1987=1),"Yes","")</f>
        <v/>
      </c>
      <c r="E1988" t="inlineStr">
        <is>
          <t>No</t>
        </is>
      </c>
      <c r="F1988" t="inlineStr">
        <is>
          <t>No</t>
        </is>
      </c>
      <c r="G1988">
        <f>IF(F1988="Yes",1-B1988,B1988)</f>
        <v/>
      </c>
      <c r="H1988">
        <f>IF(E1988="Yes","",COUNTIFS($E$2:E1988,"No"))</f>
        <v/>
      </c>
      <c r="I1988">
        <f>IF(H1988="","",IF(H1988&lt;=128,"address",IF(H1988&lt;=600,"data1",IF(H1988&lt;=1264,"zero-run1",IF(H1988&lt;=1648,"data2",IF(H1988&lt;=2176,"zero-run2",IF(H1988&lt;=2192,"FCS","trailing")))))))</f>
        <v/>
      </c>
      <c r="J1988">
        <f>IFERROR(IF(AND(H1988&lt;&gt;"",H1988&gt;=129,H1988&lt;=2176),INDEX(Fields!$B$2:$B$206,MATCH(H1988-129,Fields!$D$2:$D$206,1)),""),"")</f>
        <v/>
      </c>
      <c r="K1988">
        <f>IFERROR(IF(AND(H1988&lt;&gt;"",H1988&gt;=129,H1988&lt;=2176),INDEX(Fields!$C$2:$C$206,MATCH(H1988-129,Fields!$D$2:$D$206,1)),""),"")</f>
        <v/>
      </c>
      <c r="L1988">
        <f>IFERROR(IF(AND(H1988&lt;&gt;"",H1988&gt;=129,H1988&lt;=2176),INDEX(Fields!$J$2:$J$206,MATCH(H1988-129,Fields!$D$2:$D$206,1)),""),"")</f>
        <v/>
      </c>
      <c r="M1988">
        <f>IFERROR(IF(AND(H1988&lt;&gt;"",H1988&gt;=129,H1988&lt;=2176),INDEX(Fields!$K$2:$K$206,MATCH(H1988-129,Fields!$D$2:$D$206,1)),""),"")</f>
        <v/>
      </c>
    </row>
    <row r="1989">
      <c r="A1989" t="n">
        <v>1987</v>
      </c>
      <c r="B1989" t="n">
        <v>0</v>
      </c>
      <c r="C1989" t="inlineStr">
        <is>
          <t>No</t>
        </is>
      </c>
      <c r="D1989">
        <f>IF(AND(B1984=1,B1985=1,B1986=1,B1987=1,B1988=1),"Yes","")</f>
        <v/>
      </c>
      <c r="E1989" t="inlineStr">
        <is>
          <t>No</t>
        </is>
      </c>
      <c r="F1989" t="inlineStr">
        <is>
          <t>No</t>
        </is>
      </c>
      <c r="G1989">
        <f>IF(F1989="Yes",1-B1989,B1989)</f>
        <v/>
      </c>
      <c r="H1989">
        <f>IF(E1989="Yes","",COUNTIFS($E$2:E1989,"No"))</f>
        <v/>
      </c>
      <c r="I1989">
        <f>IF(H1989="","",IF(H1989&lt;=128,"address",IF(H1989&lt;=600,"data1",IF(H1989&lt;=1264,"zero-run1",IF(H1989&lt;=1648,"data2",IF(H1989&lt;=2176,"zero-run2",IF(H1989&lt;=2192,"FCS","trailing")))))))</f>
        <v/>
      </c>
      <c r="J1989">
        <f>IFERROR(IF(AND(H1989&lt;&gt;"",H1989&gt;=129,H1989&lt;=2176),INDEX(Fields!$B$2:$B$206,MATCH(H1989-129,Fields!$D$2:$D$206,1)),""),"")</f>
        <v/>
      </c>
      <c r="K1989">
        <f>IFERROR(IF(AND(H1989&lt;&gt;"",H1989&gt;=129,H1989&lt;=2176),INDEX(Fields!$C$2:$C$206,MATCH(H1989-129,Fields!$D$2:$D$206,1)),""),"")</f>
        <v/>
      </c>
      <c r="L1989">
        <f>IFERROR(IF(AND(H1989&lt;&gt;"",H1989&gt;=129,H1989&lt;=2176),INDEX(Fields!$J$2:$J$206,MATCH(H1989-129,Fields!$D$2:$D$206,1)),""),"")</f>
        <v/>
      </c>
      <c r="M1989">
        <f>IFERROR(IF(AND(H1989&lt;&gt;"",H1989&gt;=129,H1989&lt;=2176),INDEX(Fields!$K$2:$K$206,MATCH(H1989-129,Fields!$D$2:$D$206,1)),""),"")</f>
        <v/>
      </c>
    </row>
    <row r="1990">
      <c r="A1990" t="n">
        <v>1988</v>
      </c>
      <c r="B1990" t="n">
        <v>0</v>
      </c>
      <c r="C1990" t="inlineStr">
        <is>
          <t>No</t>
        </is>
      </c>
      <c r="D1990">
        <f>IF(AND(B1985=1,B1986=1,B1987=1,B1988=1,B1989=1),"Yes","")</f>
        <v/>
      </c>
      <c r="E1990" t="inlineStr">
        <is>
          <t>No</t>
        </is>
      </c>
      <c r="F1990" t="inlineStr">
        <is>
          <t>No</t>
        </is>
      </c>
      <c r="G1990">
        <f>IF(F1990="Yes",1-B1990,B1990)</f>
        <v/>
      </c>
      <c r="H1990">
        <f>IF(E1990="Yes","",COUNTIFS($E$2:E1990,"No"))</f>
        <v/>
      </c>
      <c r="I1990">
        <f>IF(H1990="","",IF(H1990&lt;=128,"address",IF(H1990&lt;=600,"data1",IF(H1990&lt;=1264,"zero-run1",IF(H1990&lt;=1648,"data2",IF(H1990&lt;=2176,"zero-run2",IF(H1990&lt;=2192,"FCS","trailing")))))))</f>
        <v/>
      </c>
      <c r="J1990">
        <f>IFERROR(IF(AND(H1990&lt;&gt;"",H1990&gt;=129,H1990&lt;=2176),INDEX(Fields!$B$2:$B$206,MATCH(H1990-129,Fields!$D$2:$D$206,1)),""),"")</f>
        <v/>
      </c>
      <c r="K1990">
        <f>IFERROR(IF(AND(H1990&lt;&gt;"",H1990&gt;=129,H1990&lt;=2176),INDEX(Fields!$C$2:$C$206,MATCH(H1990-129,Fields!$D$2:$D$206,1)),""),"")</f>
        <v/>
      </c>
      <c r="L1990">
        <f>IFERROR(IF(AND(H1990&lt;&gt;"",H1990&gt;=129,H1990&lt;=2176),INDEX(Fields!$J$2:$J$206,MATCH(H1990-129,Fields!$D$2:$D$206,1)),""),"")</f>
        <v/>
      </c>
      <c r="M1990">
        <f>IFERROR(IF(AND(H1990&lt;&gt;"",H1990&gt;=129,H1990&lt;=2176),INDEX(Fields!$K$2:$K$206,MATCH(H1990-129,Fields!$D$2:$D$206,1)),""),"")</f>
        <v/>
      </c>
    </row>
    <row r="1991">
      <c r="A1991" t="n">
        <v>1989</v>
      </c>
      <c r="B1991" t="n">
        <v>0</v>
      </c>
      <c r="C1991" t="inlineStr">
        <is>
          <t>No</t>
        </is>
      </c>
      <c r="D1991">
        <f>IF(AND(B1986=1,B1987=1,B1988=1,B1989=1,B1990=1),"Yes","")</f>
        <v/>
      </c>
      <c r="E1991" t="inlineStr">
        <is>
          <t>No</t>
        </is>
      </c>
      <c r="F1991" t="inlineStr">
        <is>
          <t>No</t>
        </is>
      </c>
      <c r="G1991">
        <f>IF(F1991="Yes",1-B1991,B1991)</f>
        <v/>
      </c>
      <c r="H1991">
        <f>IF(E1991="Yes","",COUNTIFS($E$2:E1991,"No"))</f>
        <v/>
      </c>
      <c r="I1991">
        <f>IF(H1991="","",IF(H1991&lt;=128,"address",IF(H1991&lt;=600,"data1",IF(H1991&lt;=1264,"zero-run1",IF(H1991&lt;=1648,"data2",IF(H1991&lt;=2176,"zero-run2",IF(H1991&lt;=2192,"FCS","trailing")))))))</f>
        <v/>
      </c>
      <c r="J1991">
        <f>IFERROR(IF(AND(H1991&lt;&gt;"",H1991&gt;=129,H1991&lt;=2176),INDEX(Fields!$B$2:$B$206,MATCH(H1991-129,Fields!$D$2:$D$206,1)),""),"")</f>
        <v/>
      </c>
      <c r="K1991">
        <f>IFERROR(IF(AND(H1991&lt;&gt;"",H1991&gt;=129,H1991&lt;=2176),INDEX(Fields!$C$2:$C$206,MATCH(H1991-129,Fields!$D$2:$D$206,1)),""),"")</f>
        <v/>
      </c>
      <c r="L1991">
        <f>IFERROR(IF(AND(H1991&lt;&gt;"",H1991&gt;=129,H1991&lt;=2176),INDEX(Fields!$J$2:$J$206,MATCH(H1991-129,Fields!$D$2:$D$206,1)),""),"")</f>
        <v/>
      </c>
      <c r="M1991">
        <f>IFERROR(IF(AND(H1991&lt;&gt;"",H1991&gt;=129,H1991&lt;=2176),INDEX(Fields!$K$2:$K$206,MATCH(H1991-129,Fields!$D$2:$D$206,1)),""),"")</f>
        <v/>
      </c>
    </row>
    <row r="1992">
      <c r="A1992" t="n">
        <v>1990</v>
      </c>
      <c r="B1992" t="n">
        <v>0</v>
      </c>
      <c r="C1992" t="inlineStr">
        <is>
          <t>No</t>
        </is>
      </c>
      <c r="D1992">
        <f>IF(AND(B1987=1,B1988=1,B1989=1,B1990=1,B1991=1),"Yes","")</f>
        <v/>
      </c>
      <c r="E1992" t="inlineStr">
        <is>
          <t>No</t>
        </is>
      </c>
      <c r="F1992" t="inlineStr">
        <is>
          <t>No</t>
        </is>
      </c>
      <c r="G1992">
        <f>IF(F1992="Yes",1-B1992,B1992)</f>
        <v/>
      </c>
      <c r="H1992">
        <f>IF(E1992="Yes","",COUNTIFS($E$2:E1992,"No"))</f>
        <v/>
      </c>
      <c r="I1992">
        <f>IF(H1992="","",IF(H1992&lt;=128,"address",IF(H1992&lt;=600,"data1",IF(H1992&lt;=1264,"zero-run1",IF(H1992&lt;=1648,"data2",IF(H1992&lt;=2176,"zero-run2",IF(H1992&lt;=2192,"FCS","trailing")))))))</f>
        <v/>
      </c>
      <c r="J1992">
        <f>IFERROR(IF(AND(H1992&lt;&gt;"",H1992&gt;=129,H1992&lt;=2176),INDEX(Fields!$B$2:$B$206,MATCH(H1992-129,Fields!$D$2:$D$206,1)),""),"")</f>
        <v/>
      </c>
      <c r="K1992">
        <f>IFERROR(IF(AND(H1992&lt;&gt;"",H1992&gt;=129,H1992&lt;=2176),INDEX(Fields!$C$2:$C$206,MATCH(H1992-129,Fields!$D$2:$D$206,1)),""),"")</f>
        <v/>
      </c>
      <c r="L1992">
        <f>IFERROR(IF(AND(H1992&lt;&gt;"",H1992&gt;=129,H1992&lt;=2176),INDEX(Fields!$J$2:$J$206,MATCH(H1992-129,Fields!$D$2:$D$206,1)),""),"")</f>
        <v/>
      </c>
      <c r="M1992">
        <f>IFERROR(IF(AND(H1992&lt;&gt;"",H1992&gt;=129,H1992&lt;=2176),INDEX(Fields!$K$2:$K$206,MATCH(H1992-129,Fields!$D$2:$D$206,1)),""),"")</f>
        <v/>
      </c>
    </row>
    <row r="1993">
      <c r="A1993" t="n">
        <v>1991</v>
      </c>
      <c r="B1993" t="n">
        <v>0</v>
      </c>
      <c r="C1993" t="inlineStr">
        <is>
          <t>No</t>
        </is>
      </c>
      <c r="D1993">
        <f>IF(AND(B1988=1,B1989=1,B1990=1,B1991=1,B1992=1),"Yes","")</f>
        <v/>
      </c>
      <c r="E1993" t="inlineStr">
        <is>
          <t>No</t>
        </is>
      </c>
      <c r="F1993" t="inlineStr">
        <is>
          <t>No</t>
        </is>
      </c>
      <c r="G1993">
        <f>IF(F1993="Yes",1-B1993,B1993)</f>
        <v/>
      </c>
      <c r="H1993">
        <f>IF(E1993="Yes","",COUNTIFS($E$2:E1993,"No"))</f>
        <v/>
      </c>
      <c r="I1993">
        <f>IF(H1993="","",IF(H1993&lt;=128,"address",IF(H1993&lt;=600,"data1",IF(H1993&lt;=1264,"zero-run1",IF(H1993&lt;=1648,"data2",IF(H1993&lt;=2176,"zero-run2",IF(H1993&lt;=2192,"FCS","trailing")))))))</f>
        <v/>
      </c>
      <c r="J1993">
        <f>IFERROR(IF(AND(H1993&lt;&gt;"",H1993&gt;=129,H1993&lt;=2176),INDEX(Fields!$B$2:$B$206,MATCH(H1993-129,Fields!$D$2:$D$206,1)),""),"")</f>
        <v/>
      </c>
      <c r="K1993">
        <f>IFERROR(IF(AND(H1993&lt;&gt;"",H1993&gt;=129,H1993&lt;=2176),INDEX(Fields!$C$2:$C$206,MATCH(H1993-129,Fields!$D$2:$D$206,1)),""),"")</f>
        <v/>
      </c>
      <c r="L1993">
        <f>IFERROR(IF(AND(H1993&lt;&gt;"",H1993&gt;=129,H1993&lt;=2176),INDEX(Fields!$J$2:$J$206,MATCH(H1993-129,Fields!$D$2:$D$206,1)),""),"")</f>
        <v/>
      </c>
      <c r="M1993">
        <f>IFERROR(IF(AND(H1993&lt;&gt;"",H1993&gt;=129,H1993&lt;=2176),INDEX(Fields!$K$2:$K$206,MATCH(H1993-129,Fields!$D$2:$D$206,1)),""),"")</f>
        <v/>
      </c>
    </row>
    <row r="1994">
      <c r="A1994" t="n">
        <v>1992</v>
      </c>
      <c r="B1994" t="n">
        <v>0</v>
      </c>
      <c r="C1994" t="inlineStr">
        <is>
          <t>No</t>
        </is>
      </c>
      <c r="D1994">
        <f>IF(AND(B1989=1,B1990=1,B1991=1,B1992=1,B1993=1),"Yes","")</f>
        <v/>
      </c>
      <c r="E1994" t="inlineStr">
        <is>
          <t>No</t>
        </is>
      </c>
      <c r="F1994" t="inlineStr">
        <is>
          <t>No</t>
        </is>
      </c>
      <c r="G1994">
        <f>IF(F1994="Yes",1-B1994,B1994)</f>
        <v/>
      </c>
      <c r="H1994">
        <f>IF(E1994="Yes","",COUNTIFS($E$2:E1994,"No"))</f>
        <v/>
      </c>
      <c r="I1994">
        <f>IF(H1994="","",IF(H1994&lt;=128,"address",IF(H1994&lt;=600,"data1",IF(H1994&lt;=1264,"zero-run1",IF(H1994&lt;=1648,"data2",IF(H1994&lt;=2176,"zero-run2",IF(H1994&lt;=2192,"FCS","trailing")))))))</f>
        <v/>
      </c>
      <c r="J1994">
        <f>IFERROR(IF(AND(H1994&lt;&gt;"",H1994&gt;=129,H1994&lt;=2176),INDEX(Fields!$B$2:$B$206,MATCH(H1994-129,Fields!$D$2:$D$206,1)),""),"")</f>
        <v/>
      </c>
      <c r="K1994">
        <f>IFERROR(IF(AND(H1994&lt;&gt;"",H1994&gt;=129,H1994&lt;=2176),INDEX(Fields!$C$2:$C$206,MATCH(H1994-129,Fields!$D$2:$D$206,1)),""),"")</f>
        <v/>
      </c>
      <c r="L1994">
        <f>IFERROR(IF(AND(H1994&lt;&gt;"",H1994&gt;=129,H1994&lt;=2176),INDEX(Fields!$J$2:$J$206,MATCH(H1994-129,Fields!$D$2:$D$206,1)),""),"")</f>
        <v/>
      </c>
      <c r="M1994">
        <f>IFERROR(IF(AND(H1994&lt;&gt;"",H1994&gt;=129,H1994&lt;=2176),INDEX(Fields!$K$2:$K$206,MATCH(H1994-129,Fields!$D$2:$D$206,1)),""),"")</f>
        <v/>
      </c>
    </row>
    <row r="1995">
      <c r="A1995" t="n">
        <v>1993</v>
      </c>
      <c r="B1995" t="n">
        <v>0</v>
      </c>
      <c r="C1995" t="inlineStr">
        <is>
          <t>No</t>
        </is>
      </c>
      <c r="D1995">
        <f>IF(AND(B1990=1,B1991=1,B1992=1,B1993=1,B1994=1),"Yes","")</f>
        <v/>
      </c>
      <c r="E1995" t="inlineStr">
        <is>
          <t>No</t>
        </is>
      </c>
      <c r="F1995" t="inlineStr">
        <is>
          <t>No</t>
        </is>
      </c>
      <c r="G1995">
        <f>IF(F1995="Yes",1-B1995,B1995)</f>
        <v/>
      </c>
      <c r="H1995">
        <f>IF(E1995="Yes","",COUNTIFS($E$2:E1995,"No"))</f>
        <v/>
      </c>
      <c r="I1995">
        <f>IF(H1995="","",IF(H1995&lt;=128,"address",IF(H1995&lt;=600,"data1",IF(H1995&lt;=1264,"zero-run1",IF(H1995&lt;=1648,"data2",IF(H1995&lt;=2176,"zero-run2",IF(H1995&lt;=2192,"FCS","trailing")))))))</f>
        <v/>
      </c>
      <c r="J1995">
        <f>IFERROR(IF(AND(H1995&lt;&gt;"",H1995&gt;=129,H1995&lt;=2176),INDEX(Fields!$B$2:$B$206,MATCH(H1995-129,Fields!$D$2:$D$206,1)),""),"")</f>
        <v/>
      </c>
      <c r="K1995">
        <f>IFERROR(IF(AND(H1995&lt;&gt;"",H1995&gt;=129,H1995&lt;=2176),INDEX(Fields!$C$2:$C$206,MATCH(H1995-129,Fields!$D$2:$D$206,1)),""),"")</f>
        <v/>
      </c>
      <c r="L1995">
        <f>IFERROR(IF(AND(H1995&lt;&gt;"",H1995&gt;=129,H1995&lt;=2176),INDEX(Fields!$J$2:$J$206,MATCH(H1995-129,Fields!$D$2:$D$206,1)),""),"")</f>
        <v/>
      </c>
      <c r="M1995">
        <f>IFERROR(IF(AND(H1995&lt;&gt;"",H1995&gt;=129,H1995&lt;=2176),INDEX(Fields!$K$2:$K$206,MATCH(H1995-129,Fields!$D$2:$D$206,1)),""),"")</f>
        <v/>
      </c>
    </row>
    <row r="1996">
      <c r="A1996" t="n">
        <v>1994</v>
      </c>
      <c r="B1996" t="n">
        <v>0</v>
      </c>
      <c r="C1996" t="inlineStr">
        <is>
          <t>No</t>
        </is>
      </c>
      <c r="D1996">
        <f>IF(AND(B1991=1,B1992=1,B1993=1,B1994=1,B1995=1),"Yes","")</f>
        <v/>
      </c>
      <c r="E1996" t="inlineStr">
        <is>
          <t>No</t>
        </is>
      </c>
      <c r="F1996" t="inlineStr">
        <is>
          <t>No</t>
        </is>
      </c>
      <c r="G1996">
        <f>IF(F1996="Yes",1-B1996,B1996)</f>
        <v/>
      </c>
      <c r="H1996">
        <f>IF(E1996="Yes","",COUNTIFS($E$2:E1996,"No"))</f>
        <v/>
      </c>
      <c r="I1996">
        <f>IF(H1996="","",IF(H1996&lt;=128,"address",IF(H1996&lt;=600,"data1",IF(H1996&lt;=1264,"zero-run1",IF(H1996&lt;=1648,"data2",IF(H1996&lt;=2176,"zero-run2",IF(H1996&lt;=2192,"FCS","trailing")))))))</f>
        <v/>
      </c>
      <c r="J1996">
        <f>IFERROR(IF(AND(H1996&lt;&gt;"",H1996&gt;=129,H1996&lt;=2176),INDEX(Fields!$B$2:$B$206,MATCH(H1996-129,Fields!$D$2:$D$206,1)),""),"")</f>
        <v/>
      </c>
      <c r="K1996">
        <f>IFERROR(IF(AND(H1996&lt;&gt;"",H1996&gt;=129,H1996&lt;=2176),INDEX(Fields!$C$2:$C$206,MATCH(H1996-129,Fields!$D$2:$D$206,1)),""),"")</f>
        <v/>
      </c>
      <c r="L1996">
        <f>IFERROR(IF(AND(H1996&lt;&gt;"",H1996&gt;=129,H1996&lt;=2176),INDEX(Fields!$J$2:$J$206,MATCH(H1996-129,Fields!$D$2:$D$206,1)),""),"")</f>
        <v/>
      </c>
      <c r="M1996">
        <f>IFERROR(IF(AND(H1996&lt;&gt;"",H1996&gt;=129,H1996&lt;=2176),INDEX(Fields!$K$2:$K$206,MATCH(H1996-129,Fields!$D$2:$D$206,1)),""),"")</f>
        <v/>
      </c>
    </row>
    <row r="1997">
      <c r="A1997" t="n">
        <v>1995</v>
      </c>
      <c r="B1997" t="n">
        <v>0</v>
      </c>
      <c r="C1997" t="inlineStr">
        <is>
          <t>No</t>
        </is>
      </c>
      <c r="D1997">
        <f>IF(AND(B1992=1,B1993=1,B1994=1,B1995=1,B1996=1),"Yes","")</f>
        <v/>
      </c>
      <c r="E1997" t="inlineStr">
        <is>
          <t>No</t>
        </is>
      </c>
      <c r="F1997" t="inlineStr">
        <is>
          <t>No</t>
        </is>
      </c>
      <c r="G1997">
        <f>IF(F1997="Yes",1-B1997,B1997)</f>
        <v/>
      </c>
      <c r="H1997">
        <f>IF(E1997="Yes","",COUNTIFS($E$2:E1997,"No"))</f>
        <v/>
      </c>
      <c r="I1997">
        <f>IF(H1997="","",IF(H1997&lt;=128,"address",IF(H1997&lt;=600,"data1",IF(H1997&lt;=1264,"zero-run1",IF(H1997&lt;=1648,"data2",IF(H1997&lt;=2176,"zero-run2",IF(H1997&lt;=2192,"FCS","trailing")))))))</f>
        <v/>
      </c>
      <c r="J1997">
        <f>IFERROR(IF(AND(H1997&lt;&gt;"",H1997&gt;=129,H1997&lt;=2176),INDEX(Fields!$B$2:$B$206,MATCH(H1997-129,Fields!$D$2:$D$206,1)),""),"")</f>
        <v/>
      </c>
      <c r="K1997">
        <f>IFERROR(IF(AND(H1997&lt;&gt;"",H1997&gt;=129,H1997&lt;=2176),INDEX(Fields!$C$2:$C$206,MATCH(H1997-129,Fields!$D$2:$D$206,1)),""),"")</f>
        <v/>
      </c>
      <c r="L1997">
        <f>IFERROR(IF(AND(H1997&lt;&gt;"",H1997&gt;=129,H1997&lt;=2176),INDEX(Fields!$J$2:$J$206,MATCH(H1997-129,Fields!$D$2:$D$206,1)),""),"")</f>
        <v/>
      </c>
      <c r="M1997">
        <f>IFERROR(IF(AND(H1997&lt;&gt;"",H1997&gt;=129,H1997&lt;=2176),INDEX(Fields!$K$2:$K$206,MATCH(H1997-129,Fields!$D$2:$D$206,1)),""),"")</f>
        <v/>
      </c>
    </row>
    <row r="1998">
      <c r="A1998" t="n">
        <v>1996</v>
      </c>
      <c r="B1998" t="n">
        <v>0</v>
      </c>
      <c r="C1998" t="inlineStr">
        <is>
          <t>No</t>
        </is>
      </c>
      <c r="D1998">
        <f>IF(AND(B1993=1,B1994=1,B1995=1,B1996=1,B1997=1),"Yes","")</f>
        <v/>
      </c>
      <c r="E1998" t="inlineStr">
        <is>
          <t>No</t>
        </is>
      </c>
      <c r="F1998" t="inlineStr">
        <is>
          <t>No</t>
        </is>
      </c>
      <c r="G1998">
        <f>IF(F1998="Yes",1-B1998,B1998)</f>
        <v/>
      </c>
      <c r="H1998">
        <f>IF(E1998="Yes","",COUNTIFS($E$2:E1998,"No"))</f>
        <v/>
      </c>
      <c r="I1998">
        <f>IF(H1998="","",IF(H1998&lt;=128,"address",IF(H1998&lt;=600,"data1",IF(H1998&lt;=1264,"zero-run1",IF(H1998&lt;=1648,"data2",IF(H1998&lt;=2176,"zero-run2",IF(H1998&lt;=2192,"FCS","trailing")))))))</f>
        <v/>
      </c>
      <c r="J1998">
        <f>IFERROR(IF(AND(H1998&lt;&gt;"",H1998&gt;=129,H1998&lt;=2176),INDEX(Fields!$B$2:$B$206,MATCH(H1998-129,Fields!$D$2:$D$206,1)),""),"")</f>
        <v/>
      </c>
      <c r="K1998">
        <f>IFERROR(IF(AND(H1998&lt;&gt;"",H1998&gt;=129,H1998&lt;=2176),INDEX(Fields!$C$2:$C$206,MATCH(H1998-129,Fields!$D$2:$D$206,1)),""),"")</f>
        <v/>
      </c>
      <c r="L1998">
        <f>IFERROR(IF(AND(H1998&lt;&gt;"",H1998&gt;=129,H1998&lt;=2176),INDEX(Fields!$J$2:$J$206,MATCH(H1998-129,Fields!$D$2:$D$206,1)),""),"")</f>
        <v/>
      </c>
      <c r="M1998">
        <f>IFERROR(IF(AND(H1998&lt;&gt;"",H1998&gt;=129,H1998&lt;=2176),INDEX(Fields!$K$2:$K$206,MATCH(H1998-129,Fields!$D$2:$D$206,1)),""),"")</f>
        <v/>
      </c>
    </row>
    <row r="1999">
      <c r="A1999" t="n">
        <v>1997</v>
      </c>
      <c r="B1999" t="n">
        <v>0</v>
      </c>
      <c r="C1999" t="inlineStr">
        <is>
          <t>No</t>
        </is>
      </c>
      <c r="D1999">
        <f>IF(AND(B1994=1,B1995=1,B1996=1,B1997=1,B1998=1),"Yes","")</f>
        <v/>
      </c>
      <c r="E1999" t="inlineStr">
        <is>
          <t>No</t>
        </is>
      </c>
      <c r="F1999" t="inlineStr">
        <is>
          <t>No</t>
        </is>
      </c>
      <c r="G1999">
        <f>IF(F1999="Yes",1-B1999,B1999)</f>
        <v/>
      </c>
      <c r="H1999">
        <f>IF(E1999="Yes","",COUNTIFS($E$2:E1999,"No"))</f>
        <v/>
      </c>
      <c r="I1999">
        <f>IF(H1999="","",IF(H1999&lt;=128,"address",IF(H1999&lt;=600,"data1",IF(H1999&lt;=1264,"zero-run1",IF(H1999&lt;=1648,"data2",IF(H1999&lt;=2176,"zero-run2",IF(H1999&lt;=2192,"FCS","trailing")))))))</f>
        <v/>
      </c>
      <c r="J1999">
        <f>IFERROR(IF(AND(H1999&lt;&gt;"",H1999&gt;=129,H1999&lt;=2176),INDEX(Fields!$B$2:$B$206,MATCH(H1999-129,Fields!$D$2:$D$206,1)),""),"")</f>
        <v/>
      </c>
      <c r="K1999">
        <f>IFERROR(IF(AND(H1999&lt;&gt;"",H1999&gt;=129,H1999&lt;=2176),INDEX(Fields!$C$2:$C$206,MATCH(H1999-129,Fields!$D$2:$D$206,1)),""),"")</f>
        <v/>
      </c>
      <c r="L1999">
        <f>IFERROR(IF(AND(H1999&lt;&gt;"",H1999&gt;=129,H1999&lt;=2176),INDEX(Fields!$J$2:$J$206,MATCH(H1999-129,Fields!$D$2:$D$206,1)),""),"")</f>
        <v/>
      </c>
      <c r="M1999">
        <f>IFERROR(IF(AND(H1999&lt;&gt;"",H1999&gt;=129,H1999&lt;=2176),INDEX(Fields!$K$2:$K$206,MATCH(H1999-129,Fields!$D$2:$D$206,1)),""),"")</f>
        <v/>
      </c>
    </row>
    <row r="2000">
      <c r="A2000" t="n">
        <v>1998</v>
      </c>
      <c r="B2000" t="n">
        <v>0</v>
      </c>
      <c r="C2000" t="inlineStr">
        <is>
          <t>No</t>
        </is>
      </c>
      <c r="D2000">
        <f>IF(AND(B1995=1,B1996=1,B1997=1,B1998=1,B1999=1),"Yes","")</f>
        <v/>
      </c>
      <c r="E2000" t="inlineStr">
        <is>
          <t>No</t>
        </is>
      </c>
      <c r="F2000" t="inlineStr">
        <is>
          <t>No</t>
        </is>
      </c>
      <c r="G2000">
        <f>IF(F2000="Yes",1-B2000,B2000)</f>
        <v/>
      </c>
      <c r="H2000">
        <f>IF(E2000="Yes","",COUNTIFS($E$2:E2000,"No"))</f>
        <v/>
      </c>
      <c r="I2000">
        <f>IF(H2000="","",IF(H2000&lt;=128,"address",IF(H2000&lt;=600,"data1",IF(H2000&lt;=1264,"zero-run1",IF(H2000&lt;=1648,"data2",IF(H2000&lt;=2176,"zero-run2",IF(H2000&lt;=2192,"FCS","trailing")))))))</f>
        <v/>
      </c>
      <c r="J2000">
        <f>IFERROR(IF(AND(H2000&lt;&gt;"",H2000&gt;=129,H2000&lt;=2176),INDEX(Fields!$B$2:$B$206,MATCH(H2000-129,Fields!$D$2:$D$206,1)),""),"")</f>
        <v/>
      </c>
      <c r="K2000">
        <f>IFERROR(IF(AND(H2000&lt;&gt;"",H2000&gt;=129,H2000&lt;=2176),INDEX(Fields!$C$2:$C$206,MATCH(H2000-129,Fields!$D$2:$D$206,1)),""),"")</f>
        <v/>
      </c>
      <c r="L2000">
        <f>IFERROR(IF(AND(H2000&lt;&gt;"",H2000&gt;=129,H2000&lt;=2176),INDEX(Fields!$J$2:$J$206,MATCH(H2000-129,Fields!$D$2:$D$206,1)),""),"")</f>
        <v/>
      </c>
      <c r="M2000">
        <f>IFERROR(IF(AND(H2000&lt;&gt;"",H2000&gt;=129,H2000&lt;=2176),INDEX(Fields!$K$2:$K$206,MATCH(H2000-129,Fields!$D$2:$D$206,1)),""),"")</f>
        <v/>
      </c>
    </row>
    <row r="2001">
      <c r="A2001" t="n">
        <v>1999</v>
      </c>
      <c r="B2001" t="n">
        <v>0</v>
      </c>
      <c r="C2001" t="inlineStr">
        <is>
          <t>No</t>
        </is>
      </c>
      <c r="D2001">
        <f>IF(AND(B1996=1,B1997=1,B1998=1,B1999=1,B2000=1),"Yes","")</f>
        <v/>
      </c>
      <c r="E2001" t="inlineStr">
        <is>
          <t>No</t>
        </is>
      </c>
      <c r="F2001" t="inlineStr">
        <is>
          <t>No</t>
        </is>
      </c>
      <c r="G2001">
        <f>IF(F2001="Yes",1-B2001,B2001)</f>
        <v/>
      </c>
      <c r="H2001">
        <f>IF(E2001="Yes","",COUNTIFS($E$2:E2001,"No"))</f>
        <v/>
      </c>
      <c r="I2001">
        <f>IF(H2001="","",IF(H2001&lt;=128,"address",IF(H2001&lt;=600,"data1",IF(H2001&lt;=1264,"zero-run1",IF(H2001&lt;=1648,"data2",IF(H2001&lt;=2176,"zero-run2",IF(H2001&lt;=2192,"FCS","trailing")))))))</f>
        <v/>
      </c>
      <c r="J2001">
        <f>IFERROR(IF(AND(H2001&lt;&gt;"",H2001&gt;=129,H2001&lt;=2176),INDEX(Fields!$B$2:$B$206,MATCH(H2001-129,Fields!$D$2:$D$206,1)),""),"")</f>
        <v/>
      </c>
      <c r="K2001">
        <f>IFERROR(IF(AND(H2001&lt;&gt;"",H2001&gt;=129,H2001&lt;=2176),INDEX(Fields!$C$2:$C$206,MATCH(H2001-129,Fields!$D$2:$D$206,1)),""),"")</f>
        <v/>
      </c>
      <c r="L2001">
        <f>IFERROR(IF(AND(H2001&lt;&gt;"",H2001&gt;=129,H2001&lt;=2176),INDEX(Fields!$J$2:$J$206,MATCH(H2001-129,Fields!$D$2:$D$206,1)),""),"")</f>
        <v/>
      </c>
      <c r="M2001">
        <f>IFERROR(IF(AND(H2001&lt;&gt;"",H2001&gt;=129,H2001&lt;=2176),INDEX(Fields!$K$2:$K$206,MATCH(H2001-129,Fields!$D$2:$D$206,1)),""),"")</f>
        <v/>
      </c>
    </row>
    <row r="2002">
      <c r="A2002" t="n">
        <v>2000</v>
      </c>
      <c r="B2002" t="n">
        <v>0</v>
      </c>
      <c r="C2002" t="inlineStr">
        <is>
          <t>No</t>
        </is>
      </c>
      <c r="D2002">
        <f>IF(AND(B1997=1,B1998=1,B1999=1,B2000=1,B2001=1),"Yes","")</f>
        <v/>
      </c>
      <c r="E2002" t="inlineStr">
        <is>
          <t>No</t>
        </is>
      </c>
      <c r="F2002" t="inlineStr">
        <is>
          <t>No</t>
        </is>
      </c>
      <c r="G2002">
        <f>IF(F2002="Yes",1-B2002,B2002)</f>
        <v/>
      </c>
      <c r="H2002">
        <f>IF(E2002="Yes","",COUNTIFS($E$2:E2002,"No"))</f>
        <v/>
      </c>
      <c r="I2002">
        <f>IF(H2002="","",IF(H2002&lt;=128,"address",IF(H2002&lt;=600,"data1",IF(H2002&lt;=1264,"zero-run1",IF(H2002&lt;=1648,"data2",IF(H2002&lt;=2176,"zero-run2",IF(H2002&lt;=2192,"FCS","trailing")))))))</f>
        <v/>
      </c>
      <c r="J2002">
        <f>IFERROR(IF(AND(H2002&lt;&gt;"",H2002&gt;=129,H2002&lt;=2176),INDEX(Fields!$B$2:$B$206,MATCH(H2002-129,Fields!$D$2:$D$206,1)),""),"")</f>
        <v/>
      </c>
      <c r="K2002">
        <f>IFERROR(IF(AND(H2002&lt;&gt;"",H2002&gt;=129,H2002&lt;=2176),INDEX(Fields!$C$2:$C$206,MATCH(H2002-129,Fields!$D$2:$D$206,1)),""),"")</f>
        <v/>
      </c>
      <c r="L2002">
        <f>IFERROR(IF(AND(H2002&lt;&gt;"",H2002&gt;=129,H2002&lt;=2176),INDEX(Fields!$J$2:$J$206,MATCH(H2002-129,Fields!$D$2:$D$206,1)),""),"")</f>
        <v/>
      </c>
      <c r="M2002">
        <f>IFERROR(IF(AND(H2002&lt;&gt;"",H2002&gt;=129,H2002&lt;=2176),INDEX(Fields!$K$2:$K$206,MATCH(H2002-129,Fields!$D$2:$D$206,1)),""),"")</f>
        <v/>
      </c>
    </row>
    <row r="2003">
      <c r="A2003" t="n">
        <v>2001</v>
      </c>
      <c r="B2003" t="n">
        <v>0</v>
      </c>
      <c r="C2003" t="inlineStr">
        <is>
          <t>No</t>
        </is>
      </c>
      <c r="D2003">
        <f>IF(AND(B1998=1,B1999=1,B2000=1,B2001=1,B2002=1),"Yes","")</f>
        <v/>
      </c>
      <c r="E2003" t="inlineStr">
        <is>
          <t>No</t>
        </is>
      </c>
      <c r="F2003" t="inlineStr">
        <is>
          <t>No</t>
        </is>
      </c>
      <c r="G2003">
        <f>IF(F2003="Yes",1-B2003,B2003)</f>
        <v/>
      </c>
      <c r="H2003">
        <f>IF(E2003="Yes","",COUNTIFS($E$2:E2003,"No"))</f>
        <v/>
      </c>
      <c r="I2003">
        <f>IF(H2003="","",IF(H2003&lt;=128,"address",IF(H2003&lt;=600,"data1",IF(H2003&lt;=1264,"zero-run1",IF(H2003&lt;=1648,"data2",IF(H2003&lt;=2176,"zero-run2",IF(H2003&lt;=2192,"FCS","trailing")))))))</f>
        <v/>
      </c>
      <c r="J2003">
        <f>IFERROR(IF(AND(H2003&lt;&gt;"",H2003&gt;=129,H2003&lt;=2176),INDEX(Fields!$B$2:$B$206,MATCH(H2003-129,Fields!$D$2:$D$206,1)),""),"")</f>
        <v/>
      </c>
      <c r="K2003">
        <f>IFERROR(IF(AND(H2003&lt;&gt;"",H2003&gt;=129,H2003&lt;=2176),INDEX(Fields!$C$2:$C$206,MATCH(H2003-129,Fields!$D$2:$D$206,1)),""),"")</f>
        <v/>
      </c>
      <c r="L2003">
        <f>IFERROR(IF(AND(H2003&lt;&gt;"",H2003&gt;=129,H2003&lt;=2176),INDEX(Fields!$J$2:$J$206,MATCH(H2003-129,Fields!$D$2:$D$206,1)),""),"")</f>
        <v/>
      </c>
      <c r="M2003">
        <f>IFERROR(IF(AND(H2003&lt;&gt;"",H2003&gt;=129,H2003&lt;=2176),INDEX(Fields!$K$2:$K$206,MATCH(H2003-129,Fields!$D$2:$D$206,1)),""),"")</f>
        <v/>
      </c>
    </row>
    <row r="2004">
      <c r="A2004" t="n">
        <v>2002</v>
      </c>
      <c r="B2004" t="n">
        <v>0</v>
      </c>
      <c r="C2004" t="inlineStr">
        <is>
          <t>No</t>
        </is>
      </c>
      <c r="D2004">
        <f>IF(AND(B1999=1,B2000=1,B2001=1,B2002=1,B2003=1),"Yes","")</f>
        <v/>
      </c>
      <c r="E2004" t="inlineStr">
        <is>
          <t>No</t>
        </is>
      </c>
      <c r="F2004" t="inlineStr">
        <is>
          <t>No</t>
        </is>
      </c>
      <c r="G2004">
        <f>IF(F2004="Yes",1-B2004,B2004)</f>
        <v/>
      </c>
      <c r="H2004">
        <f>IF(E2004="Yes","",COUNTIFS($E$2:E2004,"No"))</f>
        <v/>
      </c>
      <c r="I2004">
        <f>IF(H2004="","",IF(H2004&lt;=128,"address",IF(H2004&lt;=600,"data1",IF(H2004&lt;=1264,"zero-run1",IF(H2004&lt;=1648,"data2",IF(H2004&lt;=2176,"zero-run2",IF(H2004&lt;=2192,"FCS","trailing")))))))</f>
        <v/>
      </c>
      <c r="J2004">
        <f>IFERROR(IF(AND(H2004&lt;&gt;"",H2004&gt;=129,H2004&lt;=2176),INDEX(Fields!$B$2:$B$206,MATCH(H2004-129,Fields!$D$2:$D$206,1)),""),"")</f>
        <v/>
      </c>
      <c r="K2004">
        <f>IFERROR(IF(AND(H2004&lt;&gt;"",H2004&gt;=129,H2004&lt;=2176),INDEX(Fields!$C$2:$C$206,MATCH(H2004-129,Fields!$D$2:$D$206,1)),""),"")</f>
        <v/>
      </c>
      <c r="L2004">
        <f>IFERROR(IF(AND(H2004&lt;&gt;"",H2004&gt;=129,H2004&lt;=2176),INDEX(Fields!$J$2:$J$206,MATCH(H2004-129,Fields!$D$2:$D$206,1)),""),"")</f>
        <v/>
      </c>
      <c r="M2004">
        <f>IFERROR(IF(AND(H2004&lt;&gt;"",H2004&gt;=129,H2004&lt;=2176),INDEX(Fields!$K$2:$K$206,MATCH(H2004-129,Fields!$D$2:$D$206,1)),""),"")</f>
        <v/>
      </c>
    </row>
    <row r="2005">
      <c r="A2005" t="n">
        <v>2003</v>
      </c>
      <c r="B2005" t="n">
        <v>0</v>
      </c>
      <c r="C2005" t="inlineStr">
        <is>
          <t>No</t>
        </is>
      </c>
      <c r="D2005">
        <f>IF(AND(B2000=1,B2001=1,B2002=1,B2003=1,B2004=1),"Yes","")</f>
        <v/>
      </c>
      <c r="E2005" t="inlineStr">
        <is>
          <t>No</t>
        </is>
      </c>
      <c r="F2005" t="inlineStr">
        <is>
          <t>No</t>
        </is>
      </c>
      <c r="G2005">
        <f>IF(F2005="Yes",1-B2005,B2005)</f>
        <v/>
      </c>
      <c r="H2005">
        <f>IF(E2005="Yes","",COUNTIFS($E$2:E2005,"No"))</f>
        <v/>
      </c>
      <c r="I2005">
        <f>IF(H2005="","",IF(H2005&lt;=128,"address",IF(H2005&lt;=600,"data1",IF(H2005&lt;=1264,"zero-run1",IF(H2005&lt;=1648,"data2",IF(H2005&lt;=2176,"zero-run2",IF(H2005&lt;=2192,"FCS","trailing")))))))</f>
        <v/>
      </c>
      <c r="J2005">
        <f>IFERROR(IF(AND(H2005&lt;&gt;"",H2005&gt;=129,H2005&lt;=2176),INDEX(Fields!$B$2:$B$206,MATCH(H2005-129,Fields!$D$2:$D$206,1)),""),"")</f>
        <v/>
      </c>
      <c r="K2005">
        <f>IFERROR(IF(AND(H2005&lt;&gt;"",H2005&gt;=129,H2005&lt;=2176),INDEX(Fields!$C$2:$C$206,MATCH(H2005-129,Fields!$D$2:$D$206,1)),""),"")</f>
        <v/>
      </c>
      <c r="L2005">
        <f>IFERROR(IF(AND(H2005&lt;&gt;"",H2005&gt;=129,H2005&lt;=2176),INDEX(Fields!$J$2:$J$206,MATCH(H2005-129,Fields!$D$2:$D$206,1)),""),"")</f>
        <v/>
      </c>
      <c r="M2005">
        <f>IFERROR(IF(AND(H2005&lt;&gt;"",H2005&gt;=129,H2005&lt;=2176),INDEX(Fields!$K$2:$K$206,MATCH(H2005-129,Fields!$D$2:$D$206,1)),""),"")</f>
        <v/>
      </c>
    </row>
    <row r="2006">
      <c r="A2006" t="n">
        <v>2004</v>
      </c>
      <c r="B2006" t="n">
        <v>0</v>
      </c>
      <c r="C2006" t="inlineStr">
        <is>
          <t>No</t>
        </is>
      </c>
      <c r="D2006">
        <f>IF(AND(B2001=1,B2002=1,B2003=1,B2004=1,B2005=1),"Yes","")</f>
        <v/>
      </c>
      <c r="E2006" t="inlineStr">
        <is>
          <t>No</t>
        </is>
      </c>
      <c r="F2006" t="inlineStr">
        <is>
          <t>No</t>
        </is>
      </c>
      <c r="G2006">
        <f>IF(F2006="Yes",1-B2006,B2006)</f>
        <v/>
      </c>
      <c r="H2006">
        <f>IF(E2006="Yes","",COUNTIFS($E$2:E2006,"No"))</f>
        <v/>
      </c>
      <c r="I2006">
        <f>IF(H2006="","",IF(H2006&lt;=128,"address",IF(H2006&lt;=600,"data1",IF(H2006&lt;=1264,"zero-run1",IF(H2006&lt;=1648,"data2",IF(H2006&lt;=2176,"zero-run2",IF(H2006&lt;=2192,"FCS","trailing")))))))</f>
        <v/>
      </c>
      <c r="J2006">
        <f>IFERROR(IF(AND(H2006&lt;&gt;"",H2006&gt;=129,H2006&lt;=2176),INDEX(Fields!$B$2:$B$206,MATCH(H2006-129,Fields!$D$2:$D$206,1)),""),"")</f>
        <v/>
      </c>
      <c r="K2006">
        <f>IFERROR(IF(AND(H2006&lt;&gt;"",H2006&gt;=129,H2006&lt;=2176),INDEX(Fields!$C$2:$C$206,MATCH(H2006-129,Fields!$D$2:$D$206,1)),""),"")</f>
        <v/>
      </c>
      <c r="L2006">
        <f>IFERROR(IF(AND(H2006&lt;&gt;"",H2006&gt;=129,H2006&lt;=2176),INDEX(Fields!$J$2:$J$206,MATCH(H2006-129,Fields!$D$2:$D$206,1)),""),"")</f>
        <v/>
      </c>
      <c r="M2006">
        <f>IFERROR(IF(AND(H2006&lt;&gt;"",H2006&gt;=129,H2006&lt;=2176),INDEX(Fields!$K$2:$K$206,MATCH(H2006-129,Fields!$D$2:$D$206,1)),""),"")</f>
        <v/>
      </c>
    </row>
    <row r="2007">
      <c r="A2007" t="n">
        <v>2005</v>
      </c>
      <c r="B2007" t="n">
        <v>0</v>
      </c>
      <c r="C2007" t="inlineStr">
        <is>
          <t>No</t>
        </is>
      </c>
      <c r="D2007">
        <f>IF(AND(B2002=1,B2003=1,B2004=1,B2005=1,B2006=1),"Yes","")</f>
        <v/>
      </c>
      <c r="E2007" t="inlineStr">
        <is>
          <t>No</t>
        </is>
      </c>
      <c r="F2007" t="inlineStr">
        <is>
          <t>No</t>
        </is>
      </c>
      <c r="G2007">
        <f>IF(F2007="Yes",1-B2007,B2007)</f>
        <v/>
      </c>
      <c r="H2007">
        <f>IF(E2007="Yes","",COUNTIFS($E$2:E2007,"No"))</f>
        <v/>
      </c>
      <c r="I2007">
        <f>IF(H2007="","",IF(H2007&lt;=128,"address",IF(H2007&lt;=600,"data1",IF(H2007&lt;=1264,"zero-run1",IF(H2007&lt;=1648,"data2",IF(H2007&lt;=2176,"zero-run2",IF(H2007&lt;=2192,"FCS","trailing")))))))</f>
        <v/>
      </c>
      <c r="J2007">
        <f>IFERROR(IF(AND(H2007&lt;&gt;"",H2007&gt;=129,H2007&lt;=2176),INDEX(Fields!$B$2:$B$206,MATCH(H2007-129,Fields!$D$2:$D$206,1)),""),"")</f>
        <v/>
      </c>
      <c r="K2007">
        <f>IFERROR(IF(AND(H2007&lt;&gt;"",H2007&gt;=129,H2007&lt;=2176),INDEX(Fields!$C$2:$C$206,MATCH(H2007-129,Fields!$D$2:$D$206,1)),""),"")</f>
        <v/>
      </c>
      <c r="L2007">
        <f>IFERROR(IF(AND(H2007&lt;&gt;"",H2007&gt;=129,H2007&lt;=2176),INDEX(Fields!$J$2:$J$206,MATCH(H2007-129,Fields!$D$2:$D$206,1)),""),"")</f>
        <v/>
      </c>
      <c r="M2007">
        <f>IFERROR(IF(AND(H2007&lt;&gt;"",H2007&gt;=129,H2007&lt;=2176),INDEX(Fields!$K$2:$K$206,MATCH(H2007-129,Fields!$D$2:$D$206,1)),""),"")</f>
        <v/>
      </c>
    </row>
    <row r="2008">
      <c r="A2008" t="n">
        <v>2006</v>
      </c>
      <c r="B2008" t="n">
        <v>0</v>
      </c>
      <c r="C2008" t="inlineStr">
        <is>
          <t>No</t>
        </is>
      </c>
      <c r="D2008">
        <f>IF(AND(B2003=1,B2004=1,B2005=1,B2006=1,B2007=1),"Yes","")</f>
        <v/>
      </c>
      <c r="E2008" t="inlineStr">
        <is>
          <t>No</t>
        </is>
      </c>
      <c r="F2008" t="inlineStr">
        <is>
          <t>No</t>
        </is>
      </c>
      <c r="G2008">
        <f>IF(F2008="Yes",1-B2008,B2008)</f>
        <v/>
      </c>
      <c r="H2008">
        <f>IF(E2008="Yes","",COUNTIFS($E$2:E2008,"No"))</f>
        <v/>
      </c>
      <c r="I2008">
        <f>IF(H2008="","",IF(H2008&lt;=128,"address",IF(H2008&lt;=600,"data1",IF(H2008&lt;=1264,"zero-run1",IF(H2008&lt;=1648,"data2",IF(H2008&lt;=2176,"zero-run2",IF(H2008&lt;=2192,"FCS","trailing")))))))</f>
        <v/>
      </c>
      <c r="J2008">
        <f>IFERROR(IF(AND(H2008&lt;&gt;"",H2008&gt;=129,H2008&lt;=2176),INDEX(Fields!$B$2:$B$206,MATCH(H2008-129,Fields!$D$2:$D$206,1)),""),"")</f>
        <v/>
      </c>
      <c r="K2008">
        <f>IFERROR(IF(AND(H2008&lt;&gt;"",H2008&gt;=129,H2008&lt;=2176),INDEX(Fields!$C$2:$C$206,MATCH(H2008-129,Fields!$D$2:$D$206,1)),""),"")</f>
        <v/>
      </c>
      <c r="L2008">
        <f>IFERROR(IF(AND(H2008&lt;&gt;"",H2008&gt;=129,H2008&lt;=2176),INDEX(Fields!$J$2:$J$206,MATCH(H2008-129,Fields!$D$2:$D$206,1)),""),"")</f>
        <v/>
      </c>
      <c r="M2008">
        <f>IFERROR(IF(AND(H2008&lt;&gt;"",H2008&gt;=129,H2008&lt;=2176),INDEX(Fields!$K$2:$K$206,MATCH(H2008-129,Fields!$D$2:$D$206,1)),""),"")</f>
        <v/>
      </c>
    </row>
    <row r="2009">
      <c r="A2009" t="n">
        <v>2007</v>
      </c>
      <c r="B2009" t="n">
        <v>0</v>
      </c>
      <c r="C2009" t="inlineStr">
        <is>
          <t>No</t>
        </is>
      </c>
      <c r="D2009">
        <f>IF(AND(B2004=1,B2005=1,B2006=1,B2007=1,B2008=1),"Yes","")</f>
        <v/>
      </c>
      <c r="E2009" t="inlineStr">
        <is>
          <t>No</t>
        </is>
      </c>
      <c r="F2009" t="inlineStr">
        <is>
          <t>No</t>
        </is>
      </c>
      <c r="G2009">
        <f>IF(F2009="Yes",1-B2009,B2009)</f>
        <v/>
      </c>
      <c r="H2009">
        <f>IF(E2009="Yes","",COUNTIFS($E$2:E2009,"No"))</f>
        <v/>
      </c>
      <c r="I2009">
        <f>IF(H2009="","",IF(H2009&lt;=128,"address",IF(H2009&lt;=600,"data1",IF(H2009&lt;=1264,"zero-run1",IF(H2009&lt;=1648,"data2",IF(H2009&lt;=2176,"zero-run2",IF(H2009&lt;=2192,"FCS","trailing")))))))</f>
        <v/>
      </c>
      <c r="J2009">
        <f>IFERROR(IF(AND(H2009&lt;&gt;"",H2009&gt;=129,H2009&lt;=2176),INDEX(Fields!$B$2:$B$206,MATCH(H2009-129,Fields!$D$2:$D$206,1)),""),"")</f>
        <v/>
      </c>
      <c r="K2009">
        <f>IFERROR(IF(AND(H2009&lt;&gt;"",H2009&gt;=129,H2009&lt;=2176),INDEX(Fields!$C$2:$C$206,MATCH(H2009-129,Fields!$D$2:$D$206,1)),""),"")</f>
        <v/>
      </c>
      <c r="L2009">
        <f>IFERROR(IF(AND(H2009&lt;&gt;"",H2009&gt;=129,H2009&lt;=2176),INDEX(Fields!$J$2:$J$206,MATCH(H2009-129,Fields!$D$2:$D$206,1)),""),"")</f>
        <v/>
      </c>
      <c r="M2009">
        <f>IFERROR(IF(AND(H2009&lt;&gt;"",H2009&gt;=129,H2009&lt;=2176),INDEX(Fields!$K$2:$K$206,MATCH(H2009-129,Fields!$D$2:$D$206,1)),""),"")</f>
        <v/>
      </c>
    </row>
    <row r="2010">
      <c r="A2010" t="n">
        <v>2008</v>
      </c>
      <c r="B2010" t="n">
        <v>0</v>
      </c>
      <c r="C2010" t="inlineStr">
        <is>
          <t>No</t>
        </is>
      </c>
      <c r="D2010">
        <f>IF(AND(B2005=1,B2006=1,B2007=1,B2008=1,B2009=1),"Yes","")</f>
        <v/>
      </c>
      <c r="E2010" t="inlineStr">
        <is>
          <t>No</t>
        </is>
      </c>
      <c r="F2010" t="inlineStr">
        <is>
          <t>No</t>
        </is>
      </c>
      <c r="G2010">
        <f>IF(F2010="Yes",1-B2010,B2010)</f>
        <v/>
      </c>
      <c r="H2010">
        <f>IF(E2010="Yes","",COUNTIFS($E$2:E2010,"No"))</f>
        <v/>
      </c>
      <c r="I2010">
        <f>IF(H2010="","",IF(H2010&lt;=128,"address",IF(H2010&lt;=600,"data1",IF(H2010&lt;=1264,"zero-run1",IF(H2010&lt;=1648,"data2",IF(H2010&lt;=2176,"zero-run2",IF(H2010&lt;=2192,"FCS","trailing")))))))</f>
        <v/>
      </c>
      <c r="J2010">
        <f>IFERROR(IF(AND(H2010&lt;&gt;"",H2010&gt;=129,H2010&lt;=2176),INDEX(Fields!$B$2:$B$206,MATCH(H2010-129,Fields!$D$2:$D$206,1)),""),"")</f>
        <v/>
      </c>
      <c r="K2010">
        <f>IFERROR(IF(AND(H2010&lt;&gt;"",H2010&gt;=129,H2010&lt;=2176),INDEX(Fields!$C$2:$C$206,MATCH(H2010-129,Fields!$D$2:$D$206,1)),""),"")</f>
        <v/>
      </c>
      <c r="L2010">
        <f>IFERROR(IF(AND(H2010&lt;&gt;"",H2010&gt;=129,H2010&lt;=2176),INDEX(Fields!$J$2:$J$206,MATCH(H2010-129,Fields!$D$2:$D$206,1)),""),"")</f>
        <v/>
      </c>
      <c r="M2010">
        <f>IFERROR(IF(AND(H2010&lt;&gt;"",H2010&gt;=129,H2010&lt;=2176),INDEX(Fields!$K$2:$K$206,MATCH(H2010-129,Fields!$D$2:$D$206,1)),""),"")</f>
        <v/>
      </c>
    </row>
    <row r="2011">
      <c r="A2011" t="n">
        <v>2009</v>
      </c>
      <c r="B2011" t="n">
        <v>0</v>
      </c>
      <c r="C2011" t="inlineStr">
        <is>
          <t>No</t>
        </is>
      </c>
      <c r="D2011">
        <f>IF(AND(B2006=1,B2007=1,B2008=1,B2009=1,B2010=1),"Yes","")</f>
        <v/>
      </c>
      <c r="E2011" t="inlineStr">
        <is>
          <t>No</t>
        </is>
      </c>
      <c r="F2011" t="inlineStr">
        <is>
          <t>No</t>
        </is>
      </c>
      <c r="G2011">
        <f>IF(F2011="Yes",1-B2011,B2011)</f>
        <v/>
      </c>
      <c r="H2011">
        <f>IF(E2011="Yes","",COUNTIFS($E$2:E2011,"No"))</f>
        <v/>
      </c>
      <c r="I2011">
        <f>IF(H2011="","",IF(H2011&lt;=128,"address",IF(H2011&lt;=600,"data1",IF(H2011&lt;=1264,"zero-run1",IF(H2011&lt;=1648,"data2",IF(H2011&lt;=2176,"zero-run2",IF(H2011&lt;=2192,"FCS","trailing")))))))</f>
        <v/>
      </c>
      <c r="J2011">
        <f>IFERROR(IF(AND(H2011&lt;&gt;"",H2011&gt;=129,H2011&lt;=2176),INDEX(Fields!$B$2:$B$206,MATCH(H2011-129,Fields!$D$2:$D$206,1)),""),"")</f>
        <v/>
      </c>
      <c r="K2011">
        <f>IFERROR(IF(AND(H2011&lt;&gt;"",H2011&gt;=129,H2011&lt;=2176),INDEX(Fields!$C$2:$C$206,MATCH(H2011-129,Fields!$D$2:$D$206,1)),""),"")</f>
        <v/>
      </c>
      <c r="L2011">
        <f>IFERROR(IF(AND(H2011&lt;&gt;"",H2011&gt;=129,H2011&lt;=2176),INDEX(Fields!$J$2:$J$206,MATCH(H2011-129,Fields!$D$2:$D$206,1)),""),"")</f>
        <v/>
      </c>
      <c r="M2011">
        <f>IFERROR(IF(AND(H2011&lt;&gt;"",H2011&gt;=129,H2011&lt;=2176),INDEX(Fields!$K$2:$K$206,MATCH(H2011-129,Fields!$D$2:$D$206,1)),""),"")</f>
        <v/>
      </c>
    </row>
    <row r="2012">
      <c r="A2012" t="n">
        <v>2010</v>
      </c>
      <c r="B2012" t="n">
        <v>0</v>
      </c>
      <c r="C2012" t="inlineStr">
        <is>
          <t>No</t>
        </is>
      </c>
      <c r="D2012">
        <f>IF(AND(B2007=1,B2008=1,B2009=1,B2010=1,B2011=1),"Yes","")</f>
        <v/>
      </c>
      <c r="E2012" t="inlineStr">
        <is>
          <t>No</t>
        </is>
      </c>
      <c r="F2012" t="inlineStr">
        <is>
          <t>No</t>
        </is>
      </c>
      <c r="G2012">
        <f>IF(F2012="Yes",1-B2012,B2012)</f>
        <v/>
      </c>
      <c r="H2012">
        <f>IF(E2012="Yes","",COUNTIFS($E$2:E2012,"No"))</f>
        <v/>
      </c>
      <c r="I2012">
        <f>IF(H2012="","",IF(H2012&lt;=128,"address",IF(H2012&lt;=600,"data1",IF(H2012&lt;=1264,"zero-run1",IF(H2012&lt;=1648,"data2",IF(H2012&lt;=2176,"zero-run2",IF(H2012&lt;=2192,"FCS","trailing")))))))</f>
        <v/>
      </c>
      <c r="J2012">
        <f>IFERROR(IF(AND(H2012&lt;&gt;"",H2012&gt;=129,H2012&lt;=2176),INDEX(Fields!$B$2:$B$206,MATCH(H2012-129,Fields!$D$2:$D$206,1)),""),"")</f>
        <v/>
      </c>
      <c r="K2012">
        <f>IFERROR(IF(AND(H2012&lt;&gt;"",H2012&gt;=129,H2012&lt;=2176),INDEX(Fields!$C$2:$C$206,MATCH(H2012-129,Fields!$D$2:$D$206,1)),""),"")</f>
        <v/>
      </c>
      <c r="L2012">
        <f>IFERROR(IF(AND(H2012&lt;&gt;"",H2012&gt;=129,H2012&lt;=2176),INDEX(Fields!$J$2:$J$206,MATCH(H2012-129,Fields!$D$2:$D$206,1)),""),"")</f>
        <v/>
      </c>
      <c r="M2012">
        <f>IFERROR(IF(AND(H2012&lt;&gt;"",H2012&gt;=129,H2012&lt;=2176),INDEX(Fields!$K$2:$K$206,MATCH(H2012-129,Fields!$D$2:$D$206,1)),""),"")</f>
        <v/>
      </c>
    </row>
    <row r="2013">
      <c r="A2013" t="n">
        <v>2011</v>
      </c>
      <c r="B2013" t="n">
        <v>0</v>
      </c>
      <c r="C2013" t="inlineStr">
        <is>
          <t>No</t>
        </is>
      </c>
      <c r="D2013">
        <f>IF(AND(B2008=1,B2009=1,B2010=1,B2011=1,B2012=1),"Yes","")</f>
        <v/>
      </c>
      <c r="E2013" t="inlineStr">
        <is>
          <t>No</t>
        </is>
      </c>
      <c r="F2013" t="inlineStr">
        <is>
          <t>No</t>
        </is>
      </c>
      <c r="G2013">
        <f>IF(F2013="Yes",1-B2013,B2013)</f>
        <v/>
      </c>
      <c r="H2013">
        <f>IF(E2013="Yes","",COUNTIFS($E$2:E2013,"No"))</f>
        <v/>
      </c>
      <c r="I2013">
        <f>IF(H2013="","",IF(H2013&lt;=128,"address",IF(H2013&lt;=600,"data1",IF(H2013&lt;=1264,"zero-run1",IF(H2013&lt;=1648,"data2",IF(H2013&lt;=2176,"zero-run2",IF(H2013&lt;=2192,"FCS","trailing")))))))</f>
        <v/>
      </c>
      <c r="J2013">
        <f>IFERROR(IF(AND(H2013&lt;&gt;"",H2013&gt;=129,H2013&lt;=2176),INDEX(Fields!$B$2:$B$206,MATCH(H2013-129,Fields!$D$2:$D$206,1)),""),"")</f>
        <v/>
      </c>
      <c r="K2013">
        <f>IFERROR(IF(AND(H2013&lt;&gt;"",H2013&gt;=129,H2013&lt;=2176),INDEX(Fields!$C$2:$C$206,MATCH(H2013-129,Fields!$D$2:$D$206,1)),""),"")</f>
        <v/>
      </c>
      <c r="L2013">
        <f>IFERROR(IF(AND(H2013&lt;&gt;"",H2013&gt;=129,H2013&lt;=2176),INDEX(Fields!$J$2:$J$206,MATCH(H2013-129,Fields!$D$2:$D$206,1)),""),"")</f>
        <v/>
      </c>
      <c r="M2013">
        <f>IFERROR(IF(AND(H2013&lt;&gt;"",H2013&gt;=129,H2013&lt;=2176),INDEX(Fields!$K$2:$K$206,MATCH(H2013-129,Fields!$D$2:$D$206,1)),""),"")</f>
        <v/>
      </c>
    </row>
    <row r="2014">
      <c r="A2014" t="n">
        <v>2012</v>
      </c>
      <c r="B2014" t="n">
        <v>0</v>
      </c>
      <c r="C2014" t="inlineStr">
        <is>
          <t>No</t>
        </is>
      </c>
      <c r="D2014">
        <f>IF(AND(B2009=1,B2010=1,B2011=1,B2012=1,B2013=1),"Yes","")</f>
        <v/>
      </c>
      <c r="E2014" t="inlineStr">
        <is>
          <t>No</t>
        </is>
      </c>
      <c r="F2014" t="inlineStr">
        <is>
          <t>No</t>
        </is>
      </c>
      <c r="G2014">
        <f>IF(F2014="Yes",1-B2014,B2014)</f>
        <v/>
      </c>
      <c r="H2014">
        <f>IF(E2014="Yes","",COUNTIFS($E$2:E2014,"No"))</f>
        <v/>
      </c>
      <c r="I2014">
        <f>IF(H2014="","",IF(H2014&lt;=128,"address",IF(H2014&lt;=600,"data1",IF(H2014&lt;=1264,"zero-run1",IF(H2014&lt;=1648,"data2",IF(H2014&lt;=2176,"zero-run2",IF(H2014&lt;=2192,"FCS","trailing")))))))</f>
        <v/>
      </c>
      <c r="J2014">
        <f>IFERROR(IF(AND(H2014&lt;&gt;"",H2014&gt;=129,H2014&lt;=2176),INDEX(Fields!$B$2:$B$206,MATCH(H2014-129,Fields!$D$2:$D$206,1)),""),"")</f>
        <v/>
      </c>
      <c r="K2014">
        <f>IFERROR(IF(AND(H2014&lt;&gt;"",H2014&gt;=129,H2014&lt;=2176),INDEX(Fields!$C$2:$C$206,MATCH(H2014-129,Fields!$D$2:$D$206,1)),""),"")</f>
        <v/>
      </c>
      <c r="L2014">
        <f>IFERROR(IF(AND(H2014&lt;&gt;"",H2014&gt;=129,H2014&lt;=2176),INDEX(Fields!$J$2:$J$206,MATCH(H2014-129,Fields!$D$2:$D$206,1)),""),"")</f>
        <v/>
      </c>
      <c r="M2014">
        <f>IFERROR(IF(AND(H2014&lt;&gt;"",H2014&gt;=129,H2014&lt;=2176),INDEX(Fields!$K$2:$K$206,MATCH(H2014-129,Fields!$D$2:$D$206,1)),""),"")</f>
        <v/>
      </c>
    </row>
    <row r="2015">
      <c r="A2015" t="n">
        <v>2013</v>
      </c>
      <c r="B2015" t="n">
        <v>0</v>
      </c>
      <c r="C2015" t="inlineStr">
        <is>
          <t>No</t>
        </is>
      </c>
      <c r="D2015">
        <f>IF(AND(B2010=1,B2011=1,B2012=1,B2013=1,B2014=1),"Yes","")</f>
        <v/>
      </c>
      <c r="E2015" t="inlineStr">
        <is>
          <t>No</t>
        </is>
      </c>
      <c r="F2015" t="inlineStr">
        <is>
          <t>No</t>
        </is>
      </c>
      <c r="G2015">
        <f>IF(F2015="Yes",1-B2015,B2015)</f>
        <v/>
      </c>
      <c r="H2015">
        <f>IF(E2015="Yes","",COUNTIFS($E$2:E2015,"No"))</f>
        <v/>
      </c>
      <c r="I2015">
        <f>IF(H2015="","",IF(H2015&lt;=128,"address",IF(H2015&lt;=600,"data1",IF(H2015&lt;=1264,"zero-run1",IF(H2015&lt;=1648,"data2",IF(H2015&lt;=2176,"zero-run2",IF(H2015&lt;=2192,"FCS","trailing")))))))</f>
        <v/>
      </c>
      <c r="J2015">
        <f>IFERROR(IF(AND(H2015&lt;&gt;"",H2015&gt;=129,H2015&lt;=2176),INDEX(Fields!$B$2:$B$206,MATCH(H2015-129,Fields!$D$2:$D$206,1)),""),"")</f>
        <v/>
      </c>
      <c r="K2015">
        <f>IFERROR(IF(AND(H2015&lt;&gt;"",H2015&gt;=129,H2015&lt;=2176),INDEX(Fields!$C$2:$C$206,MATCH(H2015-129,Fields!$D$2:$D$206,1)),""),"")</f>
        <v/>
      </c>
      <c r="L2015">
        <f>IFERROR(IF(AND(H2015&lt;&gt;"",H2015&gt;=129,H2015&lt;=2176),INDEX(Fields!$J$2:$J$206,MATCH(H2015-129,Fields!$D$2:$D$206,1)),""),"")</f>
        <v/>
      </c>
      <c r="M2015">
        <f>IFERROR(IF(AND(H2015&lt;&gt;"",H2015&gt;=129,H2015&lt;=2176),INDEX(Fields!$K$2:$K$206,MATCH(H2015-129,Fields!$D$2:$D$206,1)),""),"")</f>
        <v/>
      </c>
    </row>
    <row r="2016">
      <c r="A2016" t="n">
        <v>2014</v>
      </c>
      <c r="B2016" t="n">
        <v>0</v>
      </c>
      <c r="C2016" t="inlineStr">
        <is>
          <t>No</t>
        </is>
      </c>
      <c r="D2016">
        <f>IF(AND(B2011=1,B2012=1,B2013=1,B2014=1,B2015=1),"Yes","")</f>
        <v/>
      </c>
      <c r="E2016" t="inlineStr">
        <is>
          <t>No</t>
        </is>
      </c>
      <c r="F2016" t="inlineStr">
        <is>
          <t>No</t>
        </is>
      </c>
      <c r="G2016">
        <f>IF(F2016="Yes",1-B2016,B2016)</f>
        <v/>
      </c>
      <c r="H2016">
        <f>IF(E2016="Yes","",COUNTIFS($E$2:E2016,"No"))</f>
        <v/>
      </c>
      <c r="I2016">
        <f>IF(H2016="","",IF(H2016&lt;=128,"address",IF(H2016&lt;=600,"data1",IF(H2016&lt;=1264,"zero-run1",IF(H2016&lt;=1648,"data2",IF(H2016&lt;=2176,"zero-run2",IF(H2016&lt;=2192,"FCS","trailing")))))))</f>
        <v/>
      </c>
      <c r="J2016">
        <f>IFERROR(IF(AND(H2016&lt;&gt;"",H2016&gt;=129,H2016&lt;=2176),INDEX(Fields!$B$2:$B$206,MATCH(H2016-129,Fields!$D$2:$D$206,1)),""),"")</f>
        <v/>
      </c>
      <c r="K2016">
        <f>IFERROR(IF(AND(H2016&lt;&gt;"",H2016&gt;=129,H2016&lt;=2176),INDEX(Fields!$C$2:$C$206,MATCH(H2016-129,Fields!$D$2:$D$206,1)),""),"")</f>
        <v/>
      </c>
      <c r="L2016">
        <f>IFERROR(IF(AND(H2016&lt;&gt;"",H2016&gt;=129,H2016&lt;=2176),INDEX(Fields!$J$2:$J$206,MATCH(H2016-129,Fields!$D$2:$D$206,1)),""),"")</f>
        <v/>
      </c>
      <c r="M2016">
        <f>IFERROR(IF(AND(H2016&lt;&gt;"",H2016&gt;=129,H2016&lt;=2176),INDEX(Fields!$K$2:$K$206,MATCH(H2016-129,Fields!$D$2:$D$206,1)),""),"")</f>
        <v/>
      </c>
    </row>
    <row r="2017">
      <c r="A2017" t="n">
        <v>2015</v>
      </c>
      <c r="B2017" t="n">
        <v>0</v>
      </c>
      <c r="C2017" t="inlineStr">
        <is>
          <t>No</t>
        </is>
      </c>
      <c r="D2017">
        <f>IF(AND(B2012=1,B2013=1,B2014=1,B2015=1,B2016=1),"Yes","")</f>
        <v/>
      </c>
      <c r="E2017" t="inlineStr">
        <is>
          <t>No</t>
        </is>
      </c>
      <c r="F2017" t="inlineStr">
        <is>
          <t>No</t>
        </is>
      </c>
      <c r="G2017">
        <f>IF(F2017="Yes",1-B2017,B2017)</f>
        <v/>
      </c>
      <c r="H2017">
        <f>IF(E2017="Yes","",COUNTIFS($E$2:E2017,"No"))</f>
        <v/>
      </c>
      <c r="I2017">
        <f>IF(H2017="","",IF(H2017&lt;=128,"address",IF(H2017&lt;=600,"data1",IF(H2017&lt;=1264,"zero-run1",IF(H2017&lt;=1648,"data2",IF(H2017&lt;=2176,"zero-run2",IF(H2017&lt;=2192,"FCS","trailing")))))))</f>
        <v/>
      </c>
      <c r="J2017">
        <f>IFERROR(IF(AND(H2017&lt;&gt;"",H2017&gt;=129,H2017&lt;=2176),INDEX(Fields!$B$2:$B$206,MATCH(H2017-129,Fields!$D$2:$D$206,1)),""),"")</f>
        <v/>
      </c>
      <c r="K2017">
        <f>IFERROR(IF(AND(H2017&lt;&gt;"",H2017&gt;=129,H2017&lt;=2176),INDEX(Fields!$C$2:$C$206,MATCH(H2017-129,Fields!$D$2:$D$206,1)),""),"")</f>
        <v/>
      </c>
      <c r="L2017">
        <f>IFERROR(IF(AND(H2017&lt;&gt;"",H2017&gt;=129,H2017&lt;=2176),INDEX(Fields!$J$2:$J$206,MATCH(H2017-129,Fields!$D$2:$D$206,1)),""),"")</f>
        <v/>
      </c>
      <c r="M2017">
        <f>IFERROR(IF(AND(H2017&lt;&gt;"",H2017&gt;=129,H2017&lt;=2176),INDEX(Fields!$K$2:$K$206,MATCH(H2017-129,Fields!$D$2:$D$206,1)),""),"")</f>
        <v/>
      </c>
    </row>
    <row r="2018">
      <c r="A2018" t="n">
        <v>2016</v>
      </c>
      <c r="B2018" t="n">
        <v>0</v>
      </c>
      <c r="C2018" t="inlineStr">
        <is>
          <t>No</t>
        </is>
      </c>
      <c r="D2018">
        <f>IF(AND(B2013=1,B2014=1,B2015=1,B2016=1,B2017=1),"Yes","")</f>
        <v/>
      </c>
      <c r="E2018" t="inlineStr">
        <is>
          <t>No</t>
        </is>
      </c>
      <c r="F2018" t="inlineStr">
        <is>
          <t>No</t>
        </is>
      </c>
      <c r="G2018">
        <f>IF(F2018="Yes",1-B2018,B2018)</f>
        <v/>
      </c>
      <c r="H2018">
        <f>IF(E2018="Yes","",COUNTIFS($E$2:E2018,"No"))</f>
        <v/>
      </c>
      <c r="I2018">
        <f>IF(H2018="","",IF(H2018&lt;=128,"address",IF(H2018&lt;=600,"data1",IF(H2018&lt;=1264,"zero-run1",IF(H2018&lt;=1648,"data2",IF(H2018&lt;=2176,"zero-run2",IF(H2018&lt;=2192,"FCS","trailing")))))))</f>
        <v/>
      </c>
      <c r="J2018">
        <f>IFERROR(IF(AND(H2018&lt;&gt;"",H2018&gt;=129,H2018&lt;=2176),INDEX(Fields!$B$2:$B$206,MATCH(H2018-129,Fields!$D$2:$D$206,1)),""),"")</f>
        <v/>
      </c>
      <c r="K2018">
        <f>IFERROR(IF(AND(H2018&lt;&gt;"",H2018&gt;=129,H2018&lt;=2176),INDEX(Fields!$C$2:$C$206,MATCH(H2018-129,Fields!$D$2:$D$206,1)),""),"")</f>
        <v/>
      </c>
      <c r="L2018">
        <f>IFERROR(IF(AND(H2018&lt;&gt;"",H2018&gt;=129,H2018&lt;=2176),INDEX(Fields!$J$2:$J$206,MATCH(H2018-129,Fields!$D$2:$D$206,1)),""),"")</f>
        <v/>
      </c>
      <c r="M2018">
        <f>IFERROR(IF(AND(H2018&lt;&gt;"",H2018&gt;=129,H2018&lt;=2176),INDEX(Fields!$K$2:$K$206,MATCH(H2018-129,Fields!$D$2:$D$206,1)),""),"")</f>
        <v/>
      </c>
    </row>
    <row r="2019">
      <c r="A2019" t="n">
        <v>2017</v>
      </c>
      <c r="B2019" t="n">
        <v>0</v>
      </c>
      <c r="C2019" t="inlineStr">
        <is>
          <t>No</t>
        </is>
      </c>
      <c r="D2019">
        <f>IF(AND(B2014=1,B2015=1,B2016=1,B2017=1,B2018=1),"Yes","")</f>
        <v/>
      </c>
      <c r="E2019" t="inlineStr">
        <is>
          <t>No</t>
        </is>
      </c>
      <c r="F2019" t="inlineStr">
        <is>
          <t>No</t>
        </is>
      </c>
      <c r="G2019">
        <f>IF(F2019="Yes",1-B2019,B2019)</f>
        <v/>
      </c>
      <c r="H2019">
        <f>IF(E2019="Yes","",COUNTIFS($E$2:E2019,"No"))</f>
        <v/>
      </c>
      <c r="I2019">
        <f>IF(H2019="","",IF(H2019&lt;=128,"address",IF(H2019&lt;=600,"data1",IF(H2019&lt;=1264,"zero-run1",IF(H2019&lt;=1648,"data2",IF(H2019&lt;=2176,"zero-run2",IF(H2019&lt;=2192,"FCS","trailing")))))))</f>
        <v/>
      </c>
      <c r="J2019">
        <f>IFERROR(IF(AND(H2019&lt;&gt;"",H2019&gt;=129,H2019&lt;=2176),INDEX(Fields!$B$2:$B$206,MATCH(H2019-129,Fields!$D$2:$D$206,1)),""),"")</f>
        <v/>
      </c>
      <c r="K2019">
        <f>IFERROR(IF(AND(H2019&lt;&gt;"",H2019&gt;=129,H2019&lt;=2176),INDEX(Fields!$C$2:$C$206,MATCH(H2019-129,Fields!$D$2:$D$206,1)),""),"")</f>
        <v/>
      </c>
      <c r="L2019">
        <f>IFERROR(IF(AND(H2019&lt;&gt;"",H2019&gt;=129,H2019&lt;=2176),INDEX(Fields!$J$2:$J$206,MATCH(H2019-129,Fields!$D$2:$D$206,1)),""),"")</f>
        <v/>
      </c>
      <c r="M2019">
        <f>IFERROR(IF(AND(H2019&lt;&gt;"",H2019&gt;=129,H2019&lt;=2176),INDEX(Fields!$K$2:$K$206,MATCH(H2019-129,Fields!$D$2:$D$206,1)),""),"")</f>
        <v/>
      </c>
    </row>
    <row r="2020">
      <c r="A2020" t="n">
        <v>2018</v>
      </c>
      <c r="B2020" t="n">
        <v>0</v>
      </c>
      <c r="C2020" t="inlineStr">
        <is>
          <t>No</t>
        </is>
      </c>
      <c r="D2020">
        <f>IF(AND(B2015=1,B2016=1,B2017=1,B2018=1,B2019=1),"Yes","")</f>
        <v/>
      </c>
      <c r="E2020" t="inlineStr">
        <is>
          <t>No</t>
        </is>
      </c>
      <c r="F2020" t="inlineStr">
        <is>
          <t>No</t>
        </is>
      </c>
      <c r="G2020">
        <f>IF(F2020="Yes",1-B2020,B2020)</f>
        <v/>
      </c>
      <c r="H2020">
        <f>IF(E2020="Yes","",COUNTIFS($E$2:E2020,"No"))</f>
        <v/>
      </c>
      <c r="I2020">
        <f>IF(H2020="","",IF(H2020&lt;=128,"address",IF(H2020&lt;=600,"data1",IF(H2020&lt;=1264,"zero-run1",IF(H2020&lt;=1648,"data2",IF(H2020&lt;=2176,"zero-run2",IF(H2020&lt;=2192,"FCS","trailing")))))))</f>
        <v/>
      </c>
      <c r="J2020">
        <f>IFERROR(IF(AND(H2020&lt;&gt;"",H2020&gt;=129,H2020&lt;=2176),INDEX(Fields!$B$2:$B$206,MATCH(H2020-129,Fields!$D$2:$D$206,1)),""),"")</f>
        <v/>
      </c>
      <c r="K2020">
        <f>IFERROR(IF(AND(H2020&lt;&gt;"",H2020&gt;=129,H2020&lt;=2176),INDEX(Fields!$C$2:$C$206,MATCH(H2020-129,Fields!$D$2:$D$206,1)),""),"")</f>
        <v/>
      </c>
      <c r="L2020">
        <f>IFERROR(IF(AND(H2020&lt;&gt;"",H2020&gt;=129,H2020&lt;=2176),INDEX(Fields!$J$2:$J$206,MATCH(H2020-129,Fields!$D$2:$D$206,1)),""),"")</f>
        <v/>
      </c>
      <c r="M2020">
        <f>IFERROR(IF(AND(H2020&lt;&gt;"",H2020&gt;=129,H2020&lt;=2176),INDEX(Fields!$K$2:$K$206,MATCH(H2020-129,Fields!$D$2:$D$206,1)),""),"")</f>
        <v/>
      </c>
    </row>
    <row r="2021">
      <c r="A2021" t="n">
        <v>2019</v>
      </c>
      <c r="B2021" t="n">
        <v>0</v>
      </c>
      <c r="C2021" t="inlineStr">
        <is>
          <t>No</t>
        </is>
      </c>
      <c r="D2021">
        <f>IF(AND(B2016=1,B2017=1,B2018=1,B2019=1,B2020=1),"Yes","")</f>
        <v/>
      </c>
      <c r="E2021" t="inlineStr">
        <is>
          <t>No</t>
        </is>
      </c>
      <c r="F2021" t="inlineStr">
        <is>
          <t>No</t>
        </is>
      </c>
      <c r="G2021">
        <f>IF(F2021="Yes",1-B2021,B2021)</f>
        <v/>
      </c>
      <c r="H2021">
        <f>IF(E2021="Yes","",COUNTIFS($E$2:E2021,"No"))</f>
        <v/>
      </c>
      <c r="I2021">
        <f>IF(H2021="","",IF(H2021&lt;=128,"address",IF(H2021&lt;=600,"data1",IF(H2021&lt;=1264,"zero-run1",IF(H2021&lt;=1648,"data2",IF(H2021&lt;=2176,"zero-run2",IF(H2021&lt;=2192,"FCS","trailing")))))))</f>
        <v/>
      </c>
      <c r="J2021">
        <f>IFERROR(IF(AND(H2021&lt;&gt;"",H2021&gt;=129,H2021&lt;=2176),INDEX(Fields!$B$2:$B$206,MATCH(H2021-129,Fields!$D$2:$D$206,1)),""),"")</f>
        <v/>
      </c>
      <c r="K2021">
        <f>IFERROR(IF(AND(H2021&lt;&gt;"",H2021&gt;=129,H2021&lt;=2176),INDEX(Fields!$C$2:$C$206,MATCH(H2021-129,Fields!$D$2:$D$206,1)),""),"")</f>
        <v/>
      </c>
      <c r="L2021">
        <f>IFERROR(IF(AND(H2021&lt;&gt;"",H2021&gt;=129,H2021&lt;=2176),INDEX(Fields!$J$2:$J$206,MATCH(H2021-129,Fields!$D$2:$D$206,1)),""),"")</f>
        <v/>
      </c>
      <c r="M2021">
        <f>IFERROR(IF(AND(H2021&lt;&gt;"",H2021&gt;=129,H2021&lt;=2176),INDEX(Fields!$K$2:$K$206,MATCH(H2021-129,Fields!$D$2:$D$206,1)),""),"")</f>
        <v/>
      </c>
    </row>
    <row r="2022">
      <c r="A2022" t="n">
        <v>2020</v>
      </c>
      <c r="B2022" t="n">
        <v>0</v>
      </c>
      <c r="C2022" t="inlineStr">
        <is>
          <t>No</t>
        </is>
      </c>
      <c r="D2022">
        <f>IF(AND(B2017=1,B2018=1,B2019=1,B2020=1,B2021=1),"Yes","")</f>
        <v/>
      </c>
      <c r="E2022" t="inlineStr">
        <is>
          <t>No</t>
        </is>
      </c>
      <c r="F2022" t="inlineStr">
        <is>
          <t>No</t>
        </is>
      </c>
      <c r="G2022">
        <f>IF(F2022="Yes",1-B2022,B2022)</f>
        <v/>
      </c>
      <c r="H2022">
        <f>IF(E2022="Yes","",COUNTIFS($E$2:E2022,"No"))</f>
        <v/>
      </c>
      <c r="I2022">
        <f>IF(H2022="","",IF(H2022&lt;=128,"address",IF(H2022&lt;=600,"data1",IF(H2022&lt;=1264,"zero-run1",IF(H2022&lt;=1648,"data2",IF(H2022&lt;=2176,"zero-run2",IF(H2022&lt;=2192,"FCS","trailing")))))))</f>
        <v/>
      </c>
      <c r="J2022">
        <f>IFERROR(IF(AND(H2022&lt;&gt;"",H2022&gt;=129,H2022&lt;=2176),INDEX(Fields!$B$2:$B$206,MATCH(H2022-129,Fields!$D$2:$D$206,1)),""),"")</f>
        <v/>
      </c>
      <c r="K2022">
        <f>IFERROR(IF(AND(H2022&lt;&gt;"",H2022&gt;=129,H2022&lt;=2176),INDEX(Fields!$C$2:$C$206,MATCH(H2022-129,Fields!$D$2:$D$206,1)),""),"")</f>
        <v/>
      </c>
      <c r="L2022">
        <f>IFERROR(IF(AND(H2022&lt;&gt;"",H2022&gt;=129,H2022&lt;=2176),INDEX(Fields!$J$2:$J$206,MATCH(H2022-129,Fields!$D$2:$D$206,1)),""),"")</f>
        <v/>
      </c>
      <c r="M2022">
        <f>IFERROR(IF(AND(H2022&lt;&gt;"",H2022&gt;=129,H2022&lt;=2176),INDEX(Fields!$K$2:$K$206,MATCH(H2022-129,Fields!$D$2:$D$206,1)),""),"")</f>
        <v/>
      </c>
    </row>
    <row r="2023">
      <c r="A2023" t="n">
        <v>2021</v>
      </c>
      <c r="B2023" t="n">
        <v>0</v>
      </c>
      <c r="C2023" t="inlineStr">
        <is>
          <t>No</t>
        </is>
      </c>
      <c r="D2023">
        <f>IF(AND(B2018=1,B2019=1,B2020=1,B2021=1,B2022=1),"Yes","")</f>
        <v/>
      </c>
      <c r="E2023" t="inlineStr">
        <is>
          <t>No</t>
        </is>
      </c>
      <c r="F2023" t="inlineStr">
        <is>
          <t>No</t>
        </is>
      </c>
      <c r="G2023">
        <f>IF(F2023="Yes",1-B2023,B2023)</f>
        <v/>
      </c>
      <c r="H2023">
        <f>IF(E2023="Yes","",COUNTIFS($E$2:E2023,"No"))</f>
        <v/>
      </c>
      <c r="I2023">
        <f>IF(H2023="","",IF(H2023&lt;=128,"address",IF(H2023&lt;=600,"data1",IF(H2023&lt;=1264,"zero-run1",IF(H2023&lt;=1648,"data2",IF(H2023&lt;=2176,"zero-run2",IF(H2023&lt;=2192,"FCS","trailing")))))))</f>
        <v/>
      </c>
      <c r="J2023">
        <f>IFERROR(IF(AND(H2023&lt;&gt;"",H2023&gt;=129,H2023&lt;=2176),INDEX(Fields!$B$2:$B$206,MATCH(H2023-129,Fields!$D$2:$D$206,1)),""),"")</f>
        <v/>
      </c>
      <c r="K2023">
        <f>IFERROR(IF(AND(H2023&lt;&gt;"",H2023&gt;=129,H2023&lt;=2176),INDEX(Fields!$C$2:$C$206,MATCH(H2023-129,Fields!$D$2:$D$206,1)),""),"")</f>
        <v/>
      </c>
      <c r="L2023">
        <f>IFERROR(IF(AND(H2023&lt;&gt;"",H2023&gt;=129,H2023&lt;=2176),INDEX(Fields!$J$2:$J$206,MATCH(H2023-129,Fields!$D$2:$D$206,1)),""),"")</f>
        <v/>
      </c>
      <c r="M2023">
        <f>IFERROR(IF(AND(H2023&lt;&gt;"",H2023&gt;=129,H2023&lt;=2176),INDEX(Fields!$K$2:$K$206,MATCH(H2023-129,Fields!$D$2:$D$206,1)),""),"")</f>
        <v/>
      </c>
    </row>
    <row r="2024">
      <c r="A2024" t="n">
        <v>2022</v>
      </c>
      <c r="B2024" t="n">
        <v>0</v>
      </c>
      <c r="C2024" t="inlineStr">
        <is>
          <t>No</t>
        </is>
      </c>
      <c r="D2024">
        <f>IF(AND(B2019=1,B2020=1,B2021=1,B2022=1,B2023=1),"Yes","")</f>
        <v/>
      </c>
      <c r="E2024" t="inlineStr">
        <is>
          <t>No</t>
        </is>
      </c>
      <c r="F2024" t="inlineStr">
        <is>
          <t>No</t>
        </is>
      </c>
      <c r="G2024">
        <f>IF(F2024="Yes",1-B2024,B2024)</f>
        <v/>
      </c>
      <c r="H2024">
        <f>IF(E2024="Yes","",COUNTIFS($E$2:E2024,"No"))</f>
        <v/>
      </c>
      <c r="I2024">
        <f>IF(H2024="","",IF(H2024&lt;=128,"address",IF(H2024&lt;=600,"data1",IF(H2024&lt;=1264,"zero-run1",IF(H2024&lt;=1648,"data2",IF(H2024&lt;=2176,"zero-run2",IF(H2024&lt;=2192,"FCS","trailing")))))))</f>
        <v/>
      </c>
      <c r="J2024">
        <f>IFERROR(IF(AND(H2024&lt;&gt;"",H2024&gt;=129,H2024&lt;=2176),INDEX(Fields!$B$2:$B$206,MATCH(H2024-129,Fields!$D$2:$D$206,1)),""),"")</f>
        <v/>
      </c>
      <c r="K2024">
        <f>IFERROR(IF(AND(H2024&lt;&gt;"",H2024&gt;=129,H2024&lt;=2176),INDEX(Fields!$C$2:$C$206,MATCH(H2024-129,Fields!$D$2:$D$206,1)),""),"")</f>
        <v/>
      </c>
      <c r="L2024">
        <f>IFERROR(IF(AND(H2024&lt;&gt;"",H2024&gt;=129,H2024&lt;=2176),INDEX(Fields!$J$2:$J$206,MATCH(H2024-129,Fields!$D$2:$D$206,1)),""),"")</f>
        <v/>
      </c>
      <c r="M2024">
        <f>IFERROR(IF(AND(H2024&lt;&gt;"",H2024&gt;=129,H2024&lt;=2176),INDEX(Fields!$K$2:$K$206,MATCH(H2024-129,Fields!$D$2:$D$206,1)),""),"")</f>
        <v/>
      </c>
    </row>
    <row r="2025">
      <c r="A2025" t="n">
        <v>2023</v>
      </c>
      <c r="B2025" t="n">
        <v>0</v>
      </c>
      <c r="C2025" t="inlineStr">
        <is>
          <t>No</t>
        </is>
      </c>
      <c r="D2025">
        <f>IF(AND(B2020=1,B2021=1,B2022=1,B2023=1,B2024=1),"Yes","")</f>
        <v/>
      </c>
      <c r="E2025" t="inlineStr">
        <is>
          <t>No</t>
        </is>
      </c>
      <c r="F2025" t="inlineStr">
        <is>
          <t>No</t>
        </is>
      </c>
      <c r="G2025">
        <f>IF(F2025="Yes",1-B2025,B2025)</f>
        <v/>
      </c>
      <c r="H2025">
        <f>IF(E2025="Yes","",COUNTIFS($E$2:E2025,"No"))</f>
        <v/>
      </c>
      <c r="I2025">
        <f>IF(H2025="","",IF(H2025&lt;=128,"address",IF(H2025&lt;=600,"data1",IF(H2025&lt;=1264,"zero-run1",IF(H2025&lt;=1648,"data2",IF(H2025&lt;=2176,"zero-run2",IF(H2025&lt;=2192,"FCS","trailing")))))))</f>
        <v/>
      </c>
      <c r="J2025">
        <f>IFERROR(IF(AND(H2025&lt;&gt;"",H2025&gt;=129,H2025&lt;=2176),INDEX(Fields!$B$2:$B$206,MATCH(H2025-129,Fields!$D$2:$D$206,1)),""),"")</f>
        <v/>
      </c>
      <c r="K2025">
        <f>IFERROR(IF(AND(H2025&lt;&gt;"",H2025&gt;=129,H2025&lt;=2176),INDEX(Fields!$C$2:$C$206,MATCH(H2025-129,Fields!$D$2:$D$206,1)),""),"")</f>
        <v/>
      </c>
      <c r="L2025">
        <f>IFERROR(IF(AND(H2025&lt;&gt;"",H2025&gt;=129,H2025&lt;=2176),INDEX(Fields!$J$2:$J$206,MATCH(H2025-129,Fields!$D$2:$D$206,1)),""),"")</f>
        <v/>
      </c>
      <c r="M2025">
        <f>IFERROR(IF(AND(H2025&lt;&gt;"",H2025&gt;=129,H2025&lt;=2176),INDEX(Fields!$K$2:$K$206,MATCH(H2025-129,Fields!$D$2:$D$206,1)),""),"")</f>
        <v/>
      </c>
    </row>
    <row r="2026">
      <c r="A2026" t="n">
        <v>2024</v>
      </c>
      <c r="B2026" t="n">
        <v>0</v>
      </c>
      <c r="C2026" t="inlineStr">
        <is>
          <t>No</t>
        </is>
      </c>
      <c r="D2026">
        <f>IF(AND(B2021=1,B2022=1,B2023=1,B2024=1,B2025=1),"Yes","")</f>
        <v/>
      </c>
      <c r="E2026" t="inlineStr">
        <is>
          <t>No</t>
        </is>
      </c>
      <c r="F2026" t="inlineStr">
        <is>
          <t>No</t>
        </is>
      </c>
      <c r="G2026">
        <f>IF(F2026="Yes",1-B2026,B2026)</f>
        <v/>
      </c>
      <c r="H2026">
        <f>IF(E2026="Yes","",COUNTIFS($E$2:E2026,"No"))</f>
        <v/>
      </c>
      <c r="I2026">
        <f>IF(H2026="","",IF(H2026&lt;=128,"address",IF(H2026&lt;=600,"data1",IF(H2026&lt;=1264,"zero-run1",IF(H2026&lt;=1648,"data2",IF(H2026&lt;=2176,"zero-run2",IF(H2026&lt;=2192,"FCS","trailing")))))))</f>
        <v/>
      </c>
      <c r="J2026">
        <f>IFERROR(IF(AND(H2026&lt;&gt;"",H2026&gt;=129,H2026&lt;=2176),INDEX(Fields!$B$2:$B$206,MATCH(H2026-129,Fields!$D$2:$D$206,1)),""),"")</f>
        <v/>
      </c>
      <c r="K2026">
        <f>IFERROR(IF(AND(H2026&lt;&gt;"",H2026&gt;=129,H2026&lt;=2176),INDEX(Fields!$C$2:$C$206,MATCH(H2026-129,Fields!$D$2:$D$206,1)),""),"")</f>
        <v/>
      </c>
      <c r="L2026">
        <f>IFERROR(IF(AND(H2026&lt;&gt;"",H2026&gt;=129,H2026&lt;=2176),INDEX(Fields!$J$2:$J$206,MATCH(H2026-129,Fields!$D$2:$D$206,1)),""),"")</f>
        <v/>
      </c>
      <c r="M2026">
        <f>IFERROR(IF(AND(H2026&lt;&gt;"",H2026&gt;=129,H2026&lt;=2176),INDEX(Fields!$K$2:$K$206,MATCH(H2026-129,Fields!$D$2:$D$206,1)),""),"")</f>
        <v/>
      </c>
    </row>
    <row r="2027">
      <c r="A2027" t="n">
        <v>2025</v>
      </c>
      <c r="B2027" t="n">
        <v>0</v>
      </c>
      <c r="C2027" t="inlineStr">
        <is>
          <t>No</t>
        </is>
      </c>
      <c r="D2027">
        <f>IF(AND(B2022=1,B2023=1,B2024=1,B2025=1,B2026=1),"Yes","")</f>
        <v/>
      </c>
      <c r="E2027" t="inlineStr">
        <is>
          <t>No</t>
        </is>
      </c>
      <c r="F2027" t="inlineStr">
        <is>
          <t>No</t>
        </is>
      </c>
      <c r="G2027">
        <f>IF(F2027="Yes",1-B2027,B2027)</f>
        <v/>
      </c>
      <c r="H2027">
        <f>IF(E2027="Yes","",COUNTIFS($E$2:E2027,"No"))</f>
        <v/>
      </c>
      <c r="I2027">
        <f>IF(H2027="","",IF(H2027&lt;=128,"address",IF(H2027&lt;=600,"data1",IF(H2027&lt;=1264,"zero-run1",IF(H2027&lt;=1648,"data2",IF(H2027&lt;=2176,"zero-run2",IF(H2027&lt;=2192,"FCS","trailing")))))))</f>
        <v/>
      </c>
      <c r="J2027">
        <f>IFERROR(IF(AND(H2027&lt;&gt;"",H2027&gt;=129,H2027&lt;=2176),INDEX(Fields!$B$2:$B$206,MATCH(H2027-129,Fields!$D$2:$D$206,1)),""),"")</f>
        <v/>
      </c>
      <c r="K2027">
        <f>IFERROR(IF(AND(H2027&lt;&gt;"",H2027&gt;=129,H2027&lt;=2176),INDEX(Fields!$C$2:$C$206,MATCH(H2027-129,Fields!$D$2:$D$206,1)),""),"")</f>
        <v/>
      </c>
      <c r="L2027">
        <f>IFERROR(IF(AND(H2027&lt;&gt;"",H2027&gt;=129,H2027&lt;=2176),INDEX(Fields!$J$2:$J$206,MATCH(H2027-129,Fields!$D$2:$D$206,1)),""),"")</f>
        <v/>
      </c>
      <c r="M2027">
        <f>IFERROR(IF(AND(H2027&lt;&gt;"",H2027&gt;=129,H2027&lt;=2176),INDEX(Fields!$K$2:$K$206,MATCH(H2027-129,Fields!$D$2:$D$206,1)),""),"")</f>
        <v/>
      </c>
    </row>
    <row r="2028">
      <c r="A2028" t="n">
        <v>2026</v>
      </c>
      <c r="B2028" t="n">
        <v>0</v>
      </c>
      <c r="C2028" t="inlineStr">
        <is>
          <t>No</t>
        </is>
      </c>
      <c r="D2028">
        <f>IF(AND(B2023=1,B2024=1,B2025=1,B2026=1,B2027=1),"Yes","")</f>
        <v/>
      </c>
      <c r="E2028" t="inlineStr">
        <is>
          <t>No</t>
        </is>
      </c>
      <c r="F2028" t="inlineStr">
        <is>
          <t>No</t>
        </is>
      </c>
      <c r="G2028">
        <f>IF(F2028="Yes",1-B2028,B2028)</f>
        <v/>
      </c>
      <c r="H2028">
        <f>IF(E2028="Yes","",COUNTIFS($E$2:E2028,"No"))</f>
        <v/>
      </c>
      <c r="I2028">
        <f>IF(H2028="","",IF(H2028&lt;=128,"address",IF(H2028&lt;=600,"data1",IF(H2028&lt;=1264,"zero-run1",IF(H2028&lt;=1648,"data2",IF(H2028&lt;=2176,"zero-run2",IF(H2028&lt;=2192,"FCS","trailing")))))))</f>
        <v/>
      </c>
      <c r="J2028">
        <f>IFERROR(IF(AND(H2028&lt;&gt;"",H2028&gt;=129,H2028&lt;=2176),INDEX(Fields!$B$2:$B$206,MATCH(H2028-129,Fields!$D$2:$D$206,1)),""),"")</f>
        <v/>
      </c>
      <c r="K2028">
        <f>IFERROR(IF(AND(H2028&lt;&gt;"",H2028&gt;=129,H2028&lt;=2176),INDEX(Fields!$C$2:$C$206,MATCH(H2028-129,Fields!$D$2:$D$206,1)),""),"")</f>
        <v/>
      </c>
      <c r="L2028">
        <f>IFERROR(IF(AND(H2028&lt;&gt;"",H2028&gt;=129,H2028&lt;=2176),INDEX(Fields!$J$2:$J$206,MATCH(H2028-129,Fields!$D$2:$D$206,1)),""),"")</f>
        <v/>
      </c>
      <c r="M2028">
        <f>IFERROR(IF(AND(H2028&lt;&gt;"",H2028&gt;=129,H2028&lt;=2176),INDEX(Fields!$K$2:$K$206,MATCH(H2028-129,Fields!$D$2:$D$206,1)),""),"")</f>
        <v/>
      </c>
    </row>
    <row r="2029">
      <c r="A2029" t="n">
        <v>2027</v>
      </c>
      <c r="B2029" t="n">
        <v>0</v>
      </c>
      <c r="C2029" t="inlineStr">
        <is>
          <t>No</t>
        </is>
      </c>
      <c r="D2029">
        <f>IF(AND(B2024=1,B2025=1,B2026=1,B2027=1,B2028=1),"Yes","")</f>
        <v/>
      </c>
      <c r="E2029" t="inlineStr">
        <is>
          <t>No</t>
        </is>
      </c>
      <c r="F2029" t="inlineStr">
        <is>
          <t>No</t>
        </is>
      </c>
      <c r="G2029">
        <f>IF(F2029="Yes",1-B2029,B2029)</f>
        <v/>
      </c>
      <c r="H2029">
        <f>IF(E2029="Yes","",COUNTIFS($E$2:E2029,"No"))</f>
        <v/>
      </c>
      <c r="I2029">
        <f>IF(H2029="","",IF(H2029&lt;=128,"address",IF(H2029&lt;=600,"data1",IF(H2029&lt;=1264,"zero-run1",IF(H2029&lt;=1648,"data2",IF(H2029&lt;=2176,"zero-run2",IF(H2029&lt;=2192,"FCS","trailing")))))))</f>
        <v/>
      </c>
      <c r="J2029">
        <f>IFERROR(IF(AND(H2029&lt;&gt;"",H2029&gt;=129,H2029&lt;=2176),INDEX(Fields!$B$2:$B$206,MATCH(H2029-129,Fields!$D$2:$D$206,1)),""),"")</f>
        <v/>
      </c>
      <c r="K2029">
        <f>IFERROR(IF(AND(H2029&lt;&gt;"",H2029&gt;=129,H2029&lt;=2176),INDEX(Fields!$C$2:$C$206,MATCH(H2029-129,Fields!$D$2:$D$206,1)),""),"")</f>
        <v/>
      </c>
      <c r="L2029">
        <f>IFERROR(IF(AND(H2029&lt;&gt;"",H2029&gt;=129,H2029&lt;=2176),INDEX(Fields!$J$2:$J$206,MATCH(H2029-129,Fields!$D$2:$D$206,1)),""),"")</f>
        <v/>
      </c>
      <c r="M2029">
        <f>IFERROR(IF(AND(H2029&lt;&gt;"",H2029&gt;=129,H2029&lt;=2176),INDEX(Fields!$K$2:$K$206,MATCH(H2029-129,Fields!$D$2:$D$206,1)),""),"")</f>
        <v/>
      </c>
    </row>
    <row r="2030">
      <c r="A2030" t="n">
        <v>2028</v>
      </c>
      <c r="B2030" t="n">
        <v>0</v>
      </c>
      <c r="C2030" t="inlineStr">
        <is>
          <t>No</t>
        </is>
      </c>
      <c r="D2030">
        <f>IF(AND(B2025=1,B2026=1,B2027=1,B2028=1,B2029=1),"Yes","")</f>
        <v/>
      </c>
      <c r="E2030" t="inlineStr">
        <is>
          <t>No</t>
        </is>
      </c>
      <c r="F2030" t="inlineStr">
        <is>
          <t>No</t>
        </is>
      </c>
      <c r="G2030">
        <f>IF(F2030="Yes",1-B2030,B2030)</f>
        <v/>
      </c>
      <c r="H2030">
        <f>IF(E2030="Yes","",COUNTIFS($E$2:E2030,"No"))</f>
        <v/>
      </c>
      <c r="I2030">
        <f>IF(H2030="","",IF(H2030&lt;=128,"address",IF(H2030&lt;=600,"data1",IF(H2030&lt;=1264,"zero-run1",IF(H2030&lt;=1648,"data2",IF(H2030&lt;=2176,"zero-run2",IF(H2030&lt;=2192,"FCS","trailing")))))))</f>
        <v/>
      </c>
      <c r="J2030">
        <f>IFERROR(IF(AND(H2030&lt;&gt;"",H2030&gt;=129,H2030&lt;=2176),INDEX(Fields!$B$2:$B$206,MATCH(H2030-129,Fields!$D$2:$D$206,1)),""),"")</f>
        <v/>
      </c>
      <c r="K2030">
        <f>IFERROR(IF(AND(H2030&lt;&gt;"",H2030&gt;=129,H2030&lt;=2176),INDEX(Fields!$C$2:$C$206,MATCH(H2030-129,Fields!$D$2:$D$206,1)),""),"")</f>
        <v/>
      </c>
      <c r="L2030">
        <f>IFERROR(IF(AND(H2030&lt;&gt;"",H2030&gt;=129,H2030&lt;=2176),INDEX(Fields!$J$2:$J$206,MATCH(H2030-129,Fields!$D$2:$D$206,1)),""),"")</f>
        <v/>
      </c>
      <c r="M2030">
        <f>IFERROR(IF(AND(H2030&lt;&gt;"",H2030&gt;=129,H2030&lt;=2176),INDEX(Fields!$K$2:$K$206,MATCH(H2030-129,Fields!$D$2:$D$206,1)),""),"")</f>
        <v/>
      </c>
    </row>
    <row r="2031">
      <c r="A2031" t="n">
        <v>2029</v>
      </c>
      <c r="B2031" t="n">
        <v>0</v>
      </c>
      <c r="C2031" t="inlineStr">
        <is>
          <t>No</t>
        </is>
      </c>
      <c r="D2031">
        <f>IF(AND(B2026=1,B2027=1,B2028=1,B2029=1,B2030=1),"Yes","")</f>
        <v/>
      </c>
      <c r="E2031" t="inlineStr">
        <is>
          <t>No</t>
        </is>
      </c>
      <c r="F2031" t="inlineStr">
        <is>
          <t>No</t>
        </is>
      </c>
      <c r="G2031">
        <f>IF(F2031="Yes",1-B2031,B2031)</f>
        <v/>
      </c>
      <c r="H2031">
        <f>IF(E2031="Yes","",COUNTIFS($E$2:E2031,"No"))</f>
        <v/>
      </c>
      <c r="I2031">
        <f>IF(H2031="","",IF(H2031&lt;=128,"address",IF(H2031&lt;=600,"data1",IF(H2031&lt;=1264,"zero-run1",IF(H2031&lt;=1648,"data2",IF(H2031&lt;=2176,"zero-run2",IF(H2031&lt;=2192,"FCS","trailing")))))))</f>
        <v/>
      </c>
      <c r="J2031">
        <f>IFERROR(IF(AND(H2031&lt;&gt;"",H2031&gt;=129,H2031&lt;=2176),INDEX(Fields!$B$2:$B$206,MATCH(H2031-129,Fields!$D$2:$D$206,1)),""),"")</f>
        <v/>
      </c>
      <c r="K2031">
        <f>IFERROR(IF(AND(H2031&lt;&gt;"",H2031&gt;=129,H2031&lt;=2176),INDEX(Fields!$C$2:$C$206,MATCH(H2031-129,Fields!$D$2:$D$206,1)),""),"")</f>
        <v/>
      </c>
      <c r="L2031">
        <f>IFERROR(IF(AND(H2031&lt;&gt;"",H2031&gt;=129,H2031&lt;=2176),INDEX(Fields!$J$2:$J$206,MATCH(H2031-129,Fields!$D$2:$D$206,1)),""),"")</f>
        <v/>
      </c>
      <c r="M2031">
        <f>IFERROR(IF(AND(H2031&lt;&gt;"",H2031&gt;=129,H2031&lt;=2176),INDEX(Fields!$K$2:$K$206,MATCH(H2031-129,Fields!$D$2:$D$206,1)),""),"")</f>
        <v/>
      </c>
    </row>
    <row r="2032">
      <c r="A2032" t="n">
        <v>2030</v>
      </c>
      <c r="B2032" t="n">
        <v>0</v>
      </c>
      <c r="C2032" t="inlineStr">
        <is>
          <t>No</t>
        </is>
      </c>
      <c r="D2032">
        <f>IF(AND(B2027=1,B2028=1,B2029=1,B2030=1,B2031=1),"Yes","")</f>
        <v/>
      </c>
      <c r="E2032" t="inlineStr">
        <is>
          <t>No</t>
        </is>
      </c>
      <c r="F2032" t="inlineStr">
        <is>
          <t>No</t>
        </is>
      </c>
      <c r="G2032">
        <f>IF(F2032="Yes",1-B2032,B2032)</f>
        <v/>
      </c>
      <c r="H2032">
        <f>IF(E2032="Yes","",COUNTIFS($E$2:E2032,"No"))</f>
        <v/>
      </c>
      <c r="I2032">
        <f>IF(H2032="","",IF(H2032&lt;=128,"address",IF(H2032&lt;=600,"data1",IF(H2032&lt;=1264,"zero-run1",IF(H2032&lt;=1648,"data2",IF(H2032&lt;=2176,"zero-run2",IF(H2032&lt;=2192,"FCS","trailing")))))))</f>
        <v/>
      </c>
      <c r="J2032">
        <f>IFERROR(IF(AND(H2032&lt;&gt;"",H2032&gt;=129,H2032&lt;=2176),INDEX(Fields!$B$2:$B$206,MATCH(H2032-129,Fields!$D$2:$D$206,1)),""),"")</f>
        <v/>
      </c>
      <c r="K2032">
        <f>IFERROR(IF(AND(H2032&lt;&gt;"",H2032&gt;=129,H2032&lt;=2176),INDEX(Fields!$C$2:$C$206,MATCH(H2032-129,Fields!$D$2:$D$206,1)),""),"")</f>
        <v/>
      </c>
      <c r="L2032">
        <f>IFERROR(IF(AND(H2032&lt;&gt;"",H2032&gt;=129,H2032&lt;=2176),INDEX(Fields!$J$2:$J$206,MATCH(H2032-129,Fields!$D$2:$D$206,1)),""),"")</f>
        <v/>
      </c>
      <c r="M2032">
        <f>IFERROR(IF(AND(H2032&lt;&gt;"",H2032&gt;=129,H2032&lt;=2176),INDEX(Fields!$K$2:$K$206,MATCH(H2032-129,Fields!$D$2:$D$206,1)),""),"")</f>
        <v/>
      </c>
    </row>
    <row r="2033">
      <c r="A2033" t="n">
        <v>2031</v>
      </c>
      <c r="B2033" t="n">
        <v>0</v>
      </c>
      <c r="C2033" t="inlineStr">
        <is>
          <t>No</t>
        </is>
      </c>
      <c r="D2033">
        <f>IF(AND(B2028=1,B2029=1,B2030=1,B2031=1,B2032=1),"Yes","")</f>
        <v/>
      </c>
      <c r="E2033" t="inlineStr">
        <is>
          <t>No</t>
        </is>
      </c>
      <c r="F2033" t="inlineStr">
        <is>
          <t>No</t>
        </is>
      </c>
      <c r="G2033">
        <f>IF(F2033="Yes",1-B2033,B2033)</f>
        <v/>
      </c>
      <c r="H2033">
        <f>IF(E2033="Yes","",COUNTIFS($E$2:E2033,"No"))</f>
        <v/>
      </c>
      <c r="I2033">
        <f>IF(H2033="","",IF(H2033&lt;=128,"address",IF(H2033&lt;=600,"data1",IF(H2033&lt;=1264,"zero-run1",IF(H2033&lt;=1648,"data2",IF(H2033&lt;=2176,"zero-run2",IF(H2033&lt;=2192,"FCS","trailing")))))))</f>
        <v/>
      </c>
      <c r="J2033">
        <f>IFERROR(IF(AND(H2033&lt;&gt;"",H2033&gt;=129,H2033&lt;=2176),INDEX(Fields!$B$2:$B$206,MATCH(H2033-129,Fields!$D$2:$D$206,1)),""),"")</f>
        <v/>
      </c>
      <c r="K2033">
        <f>IFERROR(IF(AND(H2033&lt;&gt;"",H2033&gt;=129,H2033&lt;=2176),INDEX(Fields!$C$2:$C$206,MATCH(H2033-129,Fields!$D$2:$D$206,1)),""),"")</f>
        <v/>
      </c>
      <c r="L2033">
        <f>IFERROR(IF(AND(H2033&lt;&gt;"",H2033&gt;=129,H2033&lt;=2176),INDEX(Fields!$J$2:$J$206,MATCH(H2033-129,Fields!$D$2:$D$206,1)),""),"")</f>
        <v/>
      </c>
      <c r="M2033">
        <f>IFERROR(IF(AND(H2033&lt;&gt;"",H2033&gt;=129,H2033&lt;=2176),INDEX(Fields!$K$2:$K$206,MATCH(H2033-129,Fields!$D$2:$D$206,1)),""),"")</f>
        <v/>
      </c>
    </row>
    <row r="2034">
      <c r="A2034" t="n">
        <v>2032</v>
      </c>
      <c r="B2034" t="n">
        <v>0</v>
      </c>
      <c r="C2034" t="inlineStr">
        <is>
          <t>No</t>
        </is>
      </c>
      <c r="D2034">
        <f>IF(AND(B2029=1,B2030=1,B2031=1,B2032=1,B2033=1),"Yes","")</f>
        <v/>
      </c>
      <c r="E2034" t="inlineStr">
        <is>
          <t>No</t>
        </is>
      </c>
      <c r="F2034" t="inlineStr">
        <is>
          <t>No</t>
        </is>
      </c>
      <c r="G2034">
        <f>IF(F2034="Yes",1-B2034,B2034)</f>
        <v/>
      </c>
      <c r="H2034">
        <f>IF(E2034="Yes","",COUNTIFS($E$2:E2034,"No"))</f>
        <v/>
      </c>
      <c r="I2034">
        <f>IF(H2034="","",IF(H2034&lt;=128,"address",IF(H2034&lt;=600,"data1",IF(H2034&lt;=1264,"zero-run1",IF(H2034&lt;=1648,"data2",IF(H2034&lt;=2176,"zero-run2",IF(H2034&lt;=2192,"FCS","trailing")))))))</f>
        <v/>
      </c>
      <c r="J2034">
        <f>IFERROR(IF(AND(H2034&lt;&gt;"",H2034&gt;=129,H2034&lt;=2176),INDEX(Fields!$B$2:$B$206,MATCH(H2034-129,Fields!$D$2:$D$206,1)),""),"")</f>
        <v/>
      </c>
      <c r="K2034">
        <f>IFERROR(IF(AND(H2034&lt;&gt;"",H2034&gt;=129,H2034&lt;=2176),INDEX(Fields!$C$2:$C$206,MATCH(H2034-129,Fields!$D$2:$D$206,1)),""),"")</f>
        <v/>
      </c>
      <c r="L2034">
        <f>IFERROR(IF(AND(H2034&lt;&gt;"",H2034&gt;=129,H2034&lt;=2176),INDEX(Fields!$J$2:$J$206,MATCH(H2034-129,Fields!$D$2:$D$206,1)),""),"")</f>
        <v/>
      </c>
      <c r="M2034">
        <f>IFERROR(IF(AND(H2034&lt;&gt;"",H2034&gt;=129,H2034&lt;=2176),INDEX(Fields!$K$2:$K$206,MATCH(H2034-129,Fields!$D$2:$D$206,1)),""),"")</f>
        <v/>
      </c>
    </row>
    <row r="2035">
      <c r="A2035" t="n">
        <v>2033</v>
      </c>
      <c r="B2035" t="n">
        <v>0</v>
      </c>
      <c r="C2035" t="inlineStr">
        <is>
          <t>No</t>
        </is>
      </c>
      <c r="D2035">
        <f>IF(AND(B2030=1,B2031=1,B2032=1,B2033=1,B2034=1),"Yes","")</f>
        <v/>
      </c>
      <c r="E2035" t="inlineStr">
        <is>
          <t>No</t>
        </is>
      </c>
      <c r="F2035" t="inlineStr">
        <is>
          <t>No</t>
        </is>
      </c>
      <c r="G2035">
        <f>IF(F2035="Yes",1-B2035,B2035)</f>
        <v/>
      </c>
      <c r="H2035">
        <f>IF(E2035="Yes","",COUNTIFS($E$2:E2035,"No"))</f>
        <v/>
      </c>
      <c r="I2035">
        <f>IF(H2035="","",IF(H2035&lt;=128,"address",IF(H2035&lt;=600,"data1",IF(H2035&lt;=1264,"zero-run1",IF(H2035&lt;=1648,"data2",IF(H2035&lt;=2176,"zero-run2",IF(H2035&lt;=2192,"FCS","trailing")))))))</f>
        <v/>
      </c>
      <c r="J2035">
        <f>IFERROR(IF(AND(H2035&lt;&gt;"",H2035&gt;=129,H2035&lt;=2176),INDEX(Fields!$B$2:$B$206,MATCH(H2035-129,Fields!$D$2:$D$206,1)),""),"")</f>
        <v/>
      </c>
      <c r="K2035">
        <f>IFERROR(IF(AND(H2035&lt;&gt;"",H2035&gt;=129,H2035&lt;=2176),INDEX(Fields!$C$2:$C$206,MATCH(H2035-129,Fields!$D$2:$D$206,1)),""),"")</f>
        <v/>
      </c>
      <c r="L2035">
        <f>IFERROR(IF(AND(H2035&lt;&gt;"",H2035&gt;=129,H2035&lt;=2176),INDEX(Fields!$J$2:$J$206,MATCH(H2035-129,Fields!$D$2:$D$206,1)),""),"")</f>
        <v/>
      </c>
      <c r="M2035">
        <f>IFERROR(IF(AND(H2035&lt;&gt;"",H2035&gt;=129,H2035&lt;=2176),INDEX(Fields!$K$2:$K$206,MATCH(H2035-129,Fields!$D$2:$D$206,1)),""),"")</f>
        <v/>
      </c>
    </row>
    <row r="2036">
      <c r="A2036" t="n">
        <v>2034</v>
      </c>
      <c r="B2036" t="n">
        <v>0</v>
      </c>
      <c r="C2036" t="inlineStr">
        <is>
          <t>No</t>
        </is>
      </c>
      <c r="D2036">
        <f>IF(AND(B2031=1,B2032=1,B2033=1,B2034=1,B2035=1),"Yes","")</f>
        <v/>
      </c>
      <c r="E2036" t="inlineStr">
        <is>
          <t>No</t>
        </is>
      </c>
      <c r="F2036" t="inlineStr">
        <is>
          <t>No</t>
        </is>
      </c>
      <c r="G2036">
        <f>IF(F2036="Yes",1-B2036,B2036)</f>
        <v/>
      </c>
      <c r="H2036">
        <f>IF(E2036="Yes","",COUNTIFS($E$2:E2036,"No"))</f>
        <v/>
      </c>
      <c r="I2036">
        <f>IF(H2036="","",IF(H2036&lt;=128,"address",IF(H2036&lt;=600,"data1",IF(H2036&lt;=1264,"zero-run1",IF(H2036&lt;=1648,"data2",IF(H2036&lt;=2176,"zero-run2",IF(H2036&lt;=2192,"FCS","trailing")))))))</f>
        <v/>
      </c>
      <c r="J2036">
        <f>IFERROR(IF(AND(H2036&lt;&gt;"",H2036&gt;=129,H2036&lt;=2176),INDEX(Fields!$B$2:$B$206,MATCH(H2036-129,Fields!$D$2:$D$206,1)),""),"")</f>
        <v/>
      </c>
      <c r="K2036">
        <f>IFERROR(IF(AND(H2036&lt;&gt;"",H2036&gt;=129,H2036&lt;=2176),INDEX(Fields!$C$2:$C$206,MATCH(H2036-129,Fields!$D$2:$D$206,1)),""),"")</f>
        <v/>
      </c>
      <c r="L2036">
        <f>IFERROR(IF(AND(H2036&lt;&gt;"",H2036&gt;=129,H2036&lt;=2176),INDEX(Fields!$J$2:$J$206,MATCH(H2036-129,Fields!$D$2:$D$206,1)),""),"")</f>
        <v/>
      </c>
      <c r="M2036">
        <f>IFERROR(IF(AND(H2036&lt;&gt;"",H2036&gt;=129,H2036&lt;=2176),INDEX(Fields!$K$2:$K$206,MATCH(H2036-129,Fields!$D$2:$D$206,1)),""),"")</f>
        <v/>
      </c>
    </row>
    <row r="2037">
      <c r="A2037" t="n">
        <v>2035</v>
      </c>
      <c r="B2037" t="n">
        <v>0</v>
      </c>
      <c r="C2037" t="inlineStr">
        <is>
          <t>No</t>
        </is>
      </c>
      <c r="D2037">
        <f>IF(AND(B2032=1,B2033=1,B2034=1,B2035=1,B2036=1),"Yes","")</f>
        <v/>
      </c>
      <c r="E2037" t="inlineStr">
        <is>
          <t>No</t>
        </is>
      </c>
      <c r="F2037" t="inlineStr">
        <is>
          <t>No</t>
        </is>
      </c>
      <c r="G2037">
        <f>IF(F2037="Yes",1-B2037,B2037)</f>
        <v/>
      </c>
      <c r="H2037">
        <f>IF(E2037="Yes","",COUNTIFS($E$2:E2037,"No"))</f>
        <v/>
      </c>
      <c r="I2037">
        <f>IF(H2037="","",IF(H2037&lt;=128,"address",IF(H2037&lt;=600,"data1",IF(H2037&lt;=1264,"zero-run1",IF(H2037&lt;=1648,"data2",IF(H2037&lt;=2176,"zero-run2",IF(H2037&lt;=2192,"FCS","trailing")))))))</f>
        <v/>
      </c>
      <c r="J2037">
        <f>IFERROR(IF(AND(H2037&lt;&gt;"",H2037&gt;=129,H2037&lt;=2176),INDEX(Fields!$B$2:$B$206,MATCH(H2037-129,Fields!$D$2:$D$206,1)),""),"")</f>
        <v/>
      </c>
      <c r="K2037">
        <f>IFERROR(IF(AND(H2037&lt;&gt;"",H2037&gt;=129,H2037&lt;=2176),INDEX(Fields!$C$2:$C$206,MATCH(H2037-129,Fields!$D$2:$D$206,1)),""),"")</f>
        <v/>
      </c>
      <c r="L2037">
        <f>IFERROR(IF(AND(H2037&lt;&gt;"",H2037&gt;=129,H2037&lt;=2176),INDEX(Fields!$J$2:$J$206,MATCH(H2037-129,Fields!$D$2:$D$206,1)),""),"")</f>
        <v/>
      </c>
      <c r="M2037">
        <f>IFERROR(IF(AND(H2037&lt;&gt;"",H2037&gt;=129,H2037&lt;=2176),INDEX(Fields!$K$2:$K$206,MATCH(H2037-129,Fields!$D$2:$D$206,1)),""),"")</f>
        <v/>
      </c>
    </row>
    <row r="2038">
      <c r="A2038" t="n">
        <v>2036</v>
      </c>
      <c r="B2038" t="n">
        <v>0</v>
      </c>
      <c r="C2038" t="inlineStr">
        <is>
          <t>No</t>
        </is>
      </c>
      <c r="D2038">
        <f>IF(AND(B2033=1,B2034=1,B2035=1,B2036=1,B2037=1),"Yes","")</f>
        <v/>
      </c>
      <c r="E2038" t="inlineStr">
        <is>
          <t>No</t>
        </is>
      </c>
      <c r="F2038" t="inlineStr">
        <is>
          <t>No</t>
        </is>
      </c>
      <c r="G2038">
        <f>IF(F2038="Yes",1-B2038,B2038)</f>
        <v/>
      </c>
      <c r="H2038">
        <f>IF(E2038="Yes","",COUNTIFS($E$2:E2038,"No"))</f>
        <v/>
      </c>
      <c r="I2038">
        <f>IF(H2038="","",IF(H2038&lt;=128,"address",IF(H2038&lt;=600,"data1",IF(H2038&lt;=1264,"zero-run1",IF(H2038&lt;=1648,"data2",IF(H2038&lt;=2176,"zero-run2",IF(H2038&lt;=2192,"FCS","trailing")))))))</f>
        <v/>
      </c>
      <c r="J2038">
        <f>IFERROR(IF(AND(H2038&lt;&gt;"",H2038&gt;=129,H2038&lt;=2176),INDEX(Fields!$B$2:$B$206,MATCH(H2038-129,Fields!$D$2:$D$206,1)),""),"")</f>
        <v/>
      </c>
      <c r="K2038">
        <f>IFERROR(IF(AND(H2038&lt;&gt;"",H2038&gt;=129,H2038&lt;=2176),INDEX(Fields!$C$2:$C$206,MATCH(H2038-129,Fields!$D$2:$D$206,1)),""),"")</f>
        <v/>
      </c>
      <c r="L2038">
        <f>IFERROR(IF(AND(H2038&lt;&gt;"",H2038&gt;=129,H2038&lt;=2176),INDEX(Fields!$J$2:$J$206,MATCH(H2038-129,Fields!$D$2:$D$206,1)),""),"")</f>
        <v/>
      </c>
      <c r="M2038">
        <f>IFERROR(IF(AND(H2038&lt;&gt;"",H2038&gt;=129,H2038&lt;=2176),INDEX(Fields!$K$2:$K$206,MATCH(H2038-129,Fields!$D$2:$D$206,1)),""),"")</f>
        <v/>
      </c>
    </row>
    <row r="2039">
      <c r="A2039" t="n">
        <v>2037</v>
      </c>
      <c r="B2039" t="n">
        <v>0</v>
      </c>
      <c r="C2039" t="inlineStr">
        <is>
          <t>No</t>
        </is>
      </c>
      <c r="D2039">
        <f>IF(AND(B2034=1,B2035=1,B2036=1,B2037=1,B2038=1),"Yes","")</f>
        <v/>
      </c>
      <c r="E2039" t="inlineStr">
        <is>
          <t>No</t>
        </is>
      </c>
      <c r="F2039" t="inlineStr">
        <is>
          <t>No</t>
        </is>
      </c>
      <c r="G2039">
        <f>IF(F2039="Yes",1-B2039,B2039)</f>
        <v/>
      </c>
      <c r="H2039">
        <f>IF(E2039="Yes","",COUNTIFS($E$2:E2039,"No"))</f>
        <v/>
      </c>
      <c r="I2039">
        <f>IF(H2039="","",IF(H2039&lt;=128,"address",IF(H2039&lt;=600,"data1",IF(H2039&lt;=1264,"zero-run1",IF(H2039&lt;=1648,"data2",IF(H2039&lt;=2176,"zero-run2",IF(H2039&lt;=2192,"FCS","trailing")))))))</f>
        <v/>
      </c>
      <c r="J2039">
        <f>IFERROR(IF(AND(H2039&lt;&gt;"",H2039&gt;=129,H2039&lt;=2176),INDEX(Fields!$B$2:$B$206,MATCH(H2039-129,Fields!$D$2:$D$206,1)),""),"")</f>
        <v/>
      </c>
      <c r="K2039">
        <f>IFERROR(IF(AND(H2039&lt;&gt;"",H2039&gt;=129,H2039&lt;=2176),INDEX(Fields!$C$2:$C$206,MATCH(H2039-129,Fields!$D$2:$D$206,1)),""),"")</f>
        <v/>
      </c>
      <c r="L2039">
        <f>IFERROR(IF(AND(H2039&lt;&gt;"",H2039&gt;=129,H2039&lt;=2176),INDEX(Fields!$J$2:$J$206,MATCH(H2039-129,Fields!$D$2:$D$206,1)),""),"")</f>
        <v/>
      </c>
      <c r="M2039">
        <f>IFERROR(IF(AND(H2039&lt;&gt;"",H2039&gt;=129,H2039&lt;=2176),INDEX(Fields!$K$2:$K$206,MATCH(H2039-129,Fields!$D$2:$D$206,1)),""),"")</f>
        <v/>
      </c>
    </row>
    <row r="2040">
      <c r="A2040" t="n">
        <v>2038</v>
      </c>
      <c r="B2040" t="n">
        <v>0</v>
      </c>
      <c r="C2040" t="inlineStr">
        <is>
          <t>No</t>
        </is>
      </c>
      <c r="D2040">
        <f>IF(AND(B2035=1,B2036=1,B2037=1,B2038=1,B2039=1),"Yes","")</f>
        <v/>
      </c>
      <c r="E2040" t="inlineStr">
        <is>
          <t>No</t>
        </is>
      </c>
      <c r="F2040" t="inlineStr">
        <is>
          <t>No</t>
        </is>
      </c>
      <c r="G2040">
        <f>IF(F2040="Yes",1-B2040,B2040)</f>
        <v/>
      </c>
      <c r="H2040">
        <f>IF(E2040="Yes","",COUNTIFS($E$2:E2040,"No"))</f>
        <v/>
      </c>
      <c r="I2040">
        <f>IF(H2040="","",IF(H2040&lt;=128,"address",IF(H2040&lt;=600,"data1",IF(H2040&lt;=1264,"zero-run1",IF(H2040&lt;=1648,"data2",IF(H2040&lt;=2176,"zero-run2",IF(H2040&lt;=2192,"FCS","trailing")))))))</f>
        <v/>
      </c>
      <c r="J2040">
        <f>IFERROR(IF(AND(H2040&lt;&gt;"",H2040&gt;=129,H2040&lt;=2176),INDEX(Fields!$B$2:$B$206,MATCH(H2040-129,Fields!$D$2:$D$206,1)),""),"")</f>
        <v/>
      </c>
      <c r="K2040">
        <f>IFERROR(IF(AND(H2040&lt;&gt;"",H2040&gt;=129,H2040&lt;=2176),INDEX(Fields!$C$2:$C$206,MATCH(H2040-129,Fields!$D$2:$D$206,1)),""),"")</f>
        <v/>
      </c>
      <c r="L2040">
        <f>IFERROR(IF(AND(H2040&lt;&gt;"",H2040&gt;=129,H2040&lt;=2176),INDEX(Fields!$J$2:$J$206,MATCH(H2040-129,Fields!$D$2:$D$206,1)),""),"")</f>
        <v/>
      </c>
      <c r="M2040">
        <f>IFERROR(IF(AND(H2040&lt;&gt;"",H2040&gt;=129,H2040&lt;=2176),INDEX(Fields!$K$2:$K$206,MATCH(H2040-129,Fields!$D$2:$D$206,1)),""),"")</f>
        <v/>
      </c>
    </row>
    <row r="2041">
      <c r="A2041" t="n">
        <v>2039</v>
      </c>
      <c r="B2041" t="n">
        <v>0</v>
      </c>
      <c r="C2041" t="inlineStr">
        <is>
          <t>No</t>
        </is>
      </c>
      <c r="D2041">
        <f>IF(AND(B2036=1,B2037=1,B2038=1,B2039=1,B2040=1),"Yes","")</f>
        <v/>
      </c>
      <c r="E2041" t="inlineStr">
        <is>
          <t>No</t>
        </is>
      </c>
      <c r="F2041" t="inlineStr">
        <is>
          <t>No</t>
        </is>
      </c>
      <c r="G2041">
        <f>IF(F2041="Yes",1-B2041,B2041)</f>
        <v/>
      </c>
      <c r="H2041">
        <f>IF(E2041="Yes","",COUNTIFS($E$2:E2041,"No"))</f>
        <v/>
      </c>
      <c r="I2041">
        <f>IF(H2041="","",IF(H2041&lt;=128,"address",IF(H2041&lt;=600,"data1",IF(H2041&lt;=1264,"zero-run1",IF(H2041&lt;=1648,"data2",IF(H2041&lt;=2176,"zero-run2",IF(H2041&lt;=2192,"FCS","trailing")))))))</f>
        <v/>
      </c>
      <c r="J2041">
        <f>IFERROR(IF(AND(H2041&lt;&gt;"",H2041&gt;=129,H2041&lt;=2176),INDEX(Fields!$B$2:$B$206,MATCH(H2041-129,Fields!$D$2:$D$206,1)),""),"")</f>
        <v/>
      </c>
      <c r="K2041">
        <f>IFERROR(IF(AND(H2041&lt;&gt;"",H2041&gt;=129,H2041&lt;=2176),INDEX(Fields!$C$2:$C$206,MATCH(H2041-129,Fields!$D$2:$D$206,1)),""),"")</f>
        <v/>
      </c>
      <c r="L2041">
        <f>IFERROR(IF(AND(H2041&lt;&gt;"",H2041&gt;=129,H2041&lt;=2176),INDEX(Fields!$J$2:$J$206,MATCH(H2041-129,Fields!$D$2:$D$206,1)),""),"")</f>
        <v/>
      </c>
      <c r="M2041">
        <f>IFERROR(IF(AND(H2041&lt;&gt;"",H2041&gt;=129,H2041&lt;=2176),INDEX(Fields!$K$2:$K$206,MATCH(H2041-129,Fields!$D$2:$D$206,1)),""),"")</f>
        <v/>
      </c>
    </row>
    <row r="2042">
      <c r="A2042" t="n">
        <v>2040</v>
      </c>
      <c r="B2042" t="n">
        <v>0</v>
      </c>
      <c r="C2042" t="inlineStr">
        <is>
          <t>No</t>
        </is>
      </c>
      <c r="D2042">
        <f>IF(AND(B2037=1,B2038=1,B2039=1,B2040=1,B2041=1),"Yes","")</f>
        <v/>
      </c>
      <c r="E2042" t="inlineStr">
        <is>
          <t>No</t>
        </is>
      </c>
      <c r="F2042" t="inlineStr">
        <is>
          <t>No</t>
        </is>
      </c>
      <c r="G2042">
        <f>IF(F2042="Yes",1-B2042,B2042)</f>
        <v/>
      </c>
      <c r="H2042">
        <f>IF(E2042="Yes","",COUNTIFS($E$2:E2042,"No"))</f>
        <v/>
      </c>
      <c r="I2042">
        <f>IF(H2042="","",IF(H2042&lt;=128,"address",IF(H2042&lt;=600,"data1",IF(H2042&lt;=1264,"zero-run1",IF(H2042&lt;=1648,"data2",IF(H2042&lt;=2176,"zero-run2",IF(H2042&lt;=2192,"FCS","trailing")))))))</f>
        <v/>
      </c>
      <c r="J2042">
        <f>IFERROR(IF(AND(H2042&lt;&gt;"",H2042&gt;=129,H2042&lt;=2176),INDEX(Fields!$B$2:$B$206,MATCH(H2042-129,Fields!$D$2:$D$206,1)),""),"")</f>
        <v/>
      </c>
      <c r="K2042">
        <f>IFERROR(IF(AND(H2042&lt;&gt;"",H2042&gt;=129,H2042&lt;=2176),INDEX(Fields!$C$2:$C$206,MATCH(H2042-129,Fields!$D$2:$D$206,1)),""),"")</f>
        <v/>
      </c>
      <c r="L2042">
        <f>IFERROR(IF(AND(H2042&lt;&gt;"",H2042&gt;=129,H2042&lt;=2176),INDEX(Fields!$J$2:$J$206,MATCH(H2042-129,Fields!$D$2:$D$206,1)),""),"")</f>
        <v/>
      </c>
      <c r="M2042">
        <f>IFERROR(IF(AND(H2042&lt;&gt;"",H2042&gt;=129,H2042&lt;=2176),INDEX(Fields!$K$2:$K$206,MATCH(H2042-129,Fields!$D$2:$D$206,1)),""),"")</f>
        <v/>
      </c>
    </row>
    <row r="2043">
      <c r="A2043" t="n">
        <v>2041</v>
      </c>
      <c r="B2043" t="n">
        <v>0</v>
      </c>
      <c r="C2043" t="inlineStr">
        <is>
          <t>No</t>
        </is>
      </c>
      <c r="D2043">
        <f>IF(AND(B2038=1,B2039=1,B2040=1,B2041=1,B2042=1),"Yes","")</f>
        <v/>
      </c>
      <c r="E2043" t="inlineStr">
        <is>
          <t>No</t>
        </is>
      </c>
      <c r="F2043" t="inlineStr">
        <is>
          <t>No</t>
        </is>
      </c>
      <c r="G2043">
        <f>IF(F2043="Yes",1-B2043,B2043)</f>
        <v/>
      </c>
      <c r="H2043">
        <f>IF(E2043="Yes","",COUNTIFS($E$2:E2043,"No"))</f>
        <v/>
      </c>
      <c r="I2043">
        <f>IF(H2043="","",IF(H2043&lt;=128,"address",IF(H2043&lt;=600,"data1",IF(H2043&lt;=1264,"zero-run1",IF(H2043&lt;=1648,"data2",IF(H2043&lt;=2176,"zero-run2",IF(H2043&lt;=2192,"FCS","trailing")))))))</f>
        <v/>
      </c>
      <c r="J2043">
        <f>IFERROR(IF(AND(H2043&lt;&gt;"",H2043&gt;=129,H2043&lt;=2176),INDEX(Fields!$B$2:$B$206,MATCH(H2043-129,Fields!$D$2:$D$206,1)),""),"")</f>
        <v/>
      </c>
      <c r="K2043">
        <f>IFERROR(IF(AND(H2043&lt;&gt;"",H2043&gt;=129,H2043&lt;=2176),INDEX(Fields!$C$2:$C$206,MATCH(H2043-129,Fields!$D$2:$D$206,1)),""),"")</f>
        <v/>
      </c>
      <c r="L2043">
        <f>IFERROR(IF(AND(H2043&lt;&gt;"",H2043&gt;=129,H2043&lt;=2176),INDEX(Fields!$J$2:$J$206,MATCH(H2043-129,Fields!$D$2:$D$206,1)),""),"")</f>
        <v/>
      </c>
      <c r="M2043">
        <f>IFERROR(IF(AND(H2043&lt;&gt;"",H2043&gt;=129,H2043&lt;=2176),INDEX(Fields!$K$2:$K$206,MATCH(H2043-129,Fields!$D$2:$D$206,1)),""),"")</f>
        <v/>
      </c>
    </row>
    <row r="2044">
      <c r="A2044" t="n">
        <v>2042</v>
      </c>
      <c r="B2044" t="n">
        <v>0</v>
      </c>
      <c r="C2044" t="inlineStr">
        <is>
          <t>No</t>
        </is>
      </c>
      <c r="D2044">
        <f>IF(AND(B2039=1,B2040=1,B2041=1,B2042=1,B2043=1),"Yes","")</f>
        <v/>
      </c>
      <c r="E2044" t="inlineStr">
        <is>
          <t>No</t>
        </is>
      </c>
      <c r="F2044" t="inlineStr">
        <is>
          <t>No</t>
        </is>
      </c>
      <c r="G2044">
        <f>IF(F2044="Yes",1-B2044,B2044)</f>
        <v/>
      </c>
      <c r="H2044">
        <f>IF(E2044="Yes","",COUNTIFS($E$2:E2044,"No"))</f>
        <v/>
      </c>
      <c r="I2044">
        <f>IF(H2044="","",IF(H2044&lt;=128,"address",IF(H2044&lt;=600,"data1",IF(H2044&lt;=1264,"zero-run1",IF(H2044&lt;=1648,"data2",IF(H2044&lt;=2176,"zero-run2",IF(H2044&lt;=2192,"FCS","trailing")))))))</f>
        <v/>
      </c>
      <c r="J2044">
        <f>IFERROR(IF(AND(H2044&lt;&gt;"",H2044&gt;=129,H2044&lt;=2176),INDEX(Fields!$B$2:$B$206,MATCH(H2044-129,Fields!$D$2:$D$206,1)),""),"")</f>
        <v/>
      </c>
      <c r="K2044">
        <f>IFERROR(IF(AND(H2044&lt;&gt;"",H2044&gt;=129,H2044&lt;=2176),INDEX(Fields!$C$2:$C$206,MATCH(H2044-129,Fields!$D$2:$D$206,1)),""),"")</f>
        <v/>
      </c>
      <c r="L2044">
        <f>IFERROR(IF(AND(H2044&lt;&gt;"",H2044&gt;=129,H2044&lt;=2176),INDEX(Fields!$J$2:$J$206,MATCH(H2044-129,Fields!$D$2:$D$206,1)),""),"")</f>
        <v/>
      </c>
      <c r="M2044">
        <f>IFERROR(IF(AND(H2044&lt;&gt;"",H2044&gt;=129,H2044&lt;=2176),INDEX(Fields!$K$2:$K$206,MATCH(H2044-129,Fields!$D$2:$D$206,1)),""),"")</f>
        <v/>
      </c>
    </row>
    <row r="2045">
      <c r="A2045" t="n">
        <v>2043</v>
      </c>
      <c r="B2045" t="n">
        <v>0</v>
      </c>
      <c r="C2045" t="inlineStr">
        <is>
          <t>No</t>
        </is>
      </c>
      <c r="D2045">
        <f>IF(AND(B2040=1,B2041=1,B2042=1,B2043=1,B2044=1),"Yes","")</f>
        <v/>
      </c>
      <c r="E2045" t="inlineStr">
        <is>
          <t>No</t>
        </is>
      </c>
      <c r="F2045" t="inlineStr">
        <is>
          <t>No</t>
        </is>
      </c>
      <c r="G2045">
        <f>IF(F2045="Yes",1-B2045,B2045)</f>
        <v/>
      </c>
      <c r="H2045">
        <f>IF(E2045="Yes","",COUNTIFS($E$2:E2045,"No"))</f>
        <v/>
      </c>
      <c r="I2045">
        <f>IF(H2045="","",IF(H2045&lt;=128,"address",IF(H2045&lt;=600,"data1",IF(H2045&lt;=1264,"zero-run1",IF(H2045&lt;=1648,"data2",IF(H2045&lt;=2176,"zero-run2",IF(H2045&lt;=2192,"FCS","trailing")))))))</f>
        <v/>
      </c>
      <c r="J2045">
        <f>IFERROR(IF(AND(H2045&lt;&gt;"",H2045&gt;=129,H2045&lt;=2176),INDEX(Fields!$B$2:$B$206,MATCH(H2045-129,Fields!$D$2:$D$206,1)),""),"")</f>
        <v/>
      </c>
      <c r="K2045">
        <f>IFERROR(IF(AND(H2045&lt;&gt;"",H2045&gt;=129,H2045&lt;=2176),INDEX(Fields!$C$2:$C$206,MATCH(H2045-129,Fields!$D$2:$D$206,1)),""),"")</f>
        <v/>
      </c>
      <c r="L2045">
        <f>IFERROR(IF(AND(H2045&lt;&gt;"",H2045&gt;=129,H2045&lt;=2176),INDEX(Fields!$J$2:$J$206,MATCH(H2045-129,Fields!$D$2:$D$206,1)),""),"")</f>
        <v/>
      </c>
      <c r="M2045">
        <f>IFERROR(IF(AND(H2045&lt;&gt;"",H2045&gt;=129,H2045&lt;=2176),INDEX(Fields!$K$2:$K$206,MATCH(H2045-129,Fields!$D$2:$D$206,1)),""),"")</f>
        <v/>
      </c>
    </row>
    <row r="2046">
      <c r="A2046" t="n">
        <v>2044</v>
      </c>
      <c r="B2046" t="n">
        <v>0</v>
      </c>
      <c r="C2046" t="inlineStr">
        <is>
          <t>No</t>
        </is>
      </c>
      <c r="D2046">
        <f>IF(AND(B2041=1,B2042=1,B2043=1,B2044=1,B2045=1),"Yes","")</f>
        <v/>
      </c>
      <c r="E2046" t="inlineStr">
        <is>
          <t>No</t>
        </is>
      </c>
      <c r="F2046" t="inlineStr">
        <is>
          <t>No</t>
        </is>
      </c>
      <c r="G2046">
        <f>IF(F2046="Yes",1-B2046,B2046)</f>
        <v/>
      </c>
      <c r="H2046">
        <f>IF(E2046="Yes","",COUNTIFS($E$2:E2046,"No"))</f>
        <v/>
      </c>
      <c r="I2046">
        <f>IF(H2046="","",IF(H2046&lt;=128,"address",IF(H2046&lt;=600,"data1",IF(H2046&lt;=1264,"zero-run1",IF(H2046&lt;=1648,"data2",IF(H2046&lt;=2176,"zero-run2",IF(H2046&lt;=2192,"FCS","trailing")))))))</f>
        <v/>
      </c>
      <c r="J2046">
        <f>IFERROR(IF(AND(H2046&lt;&gt;"",H2046&gt;=129,H2046&lt;=2176),INDEX(Fields!$B$2:$B$206,MATCH(H2046-129,Fields!$D$2:$D$206,1)),""),"")</f>
        <v/>
      </c>
      <c r="K2046">
        <f>IFERROR(IF(AND(H2046&lt;&gt;"",H2046&gt;=129,H2046&lt;=2176),INDEX(Fields!$C$2:$C$206,MATCH(H2046-129,Fields!$D$2:$D$206,1)),""),"")</f>
        <v/>
      </c>
      <c r="L2046">
        <f>IFERROR(IF(AND(H2046&lt;&gt;"",H2046&gt;=129,H2046&lt;=2176),INDEX(Fields!$J$2:$J$206,MATCH(H2046-129,Fields!$D$2:$D$206,1)),""),"")</f>
        <v/>
      </c>
      <c r="M2046">
        <f>IFERROR(IF(AND(H2046&lt;&gt;"",H2046&gt;=129,H2046&lt;=2176),INDEX(Fields!$K$2:$K$206,MATCH(H2046-129,Fields!$D$2:$D$206,1)),""),"")</f>
        <v/>
      </c>
    </row>
    <row r="2047">
      <c r="A2047" t="n">
        <v>2045</v>
      </c>
      <c r="B2047" t="n">
        <v>0</v>
      </c>
      <c r="C2047" t="inlineStr">
        <is>
          <t>No</t>
        </is>
      </c>
      <c r="D2047">
        <f>IF(AND(B2042=1,B2043=1,B2044=1,B2045=1,B2046=1),"Yes","")</f>
        <v/>
      </c>
      <c r="E2047" t="inlineStr">
        <is>
          <t>No</t>
        </is>
      </c>
      <c r="F2047" t="inlineStr">
        <is>
          <t>No</t>
        </is>
      </c>
      <c r="G2047">
        <f>IF(F2047="Yes",1-B2047,B2047)</f>
        <v/>
      </c>
      <c r="H2047">
        <f>IF(E2047="Yes","",COUNTIFS($E$2:E2047,"No"))</f>
        <v/>
      </c>
      <c r="I2047">
        <f>IF(H2047="","",IF(H2047&lt;=128,"address",IF(H2047&lt;=600,"data1",IF(H2047&lt;=1264,"zero-run1",IF(H2047&lt;=1648,"data2",IF(H2047&lt;=2176,"zero-run2",IF(H2047&lt;=2192,"FCS","trailing")))))))</f>
        <v/>
      </c>
      <c r="J2047">
        <f>IFERROR(IF(AND(H2047&lt;&gt;"",H2047&gt;=129,H2047&lt;=2176),INDEX(Fields!$B$2:$B$206,MATCH(H2047-129,Fields!$D$2:$D$206,1)),""),"")</f>
        <v/>
      </c>
      <c r="K2047">
        <f>IFERROR(IF(AND(H2047&lt;&gt;"",H2047&gt;=129,H2047&lt;=2176),INDEX(Fields!$C$2:$C$206,MATCH(H2047-129,Fields!$D$2:$D$206,1)),""),"")</f>
        <v/>
      </c>
      <c r="L2047">
        <f>IFERROR(IF(AND(H2047&lt;&gt;"",H2047&gt;=129,H2047&lt;=2176),INDEX(Fields!$J$2:$J$206,MATCH(H2047-129,Fields!$D$2:$D$206,1)),""),"")</f>
        <v/>
      </c>
      <c r="M2047">
        <f>IFERROR(IF(AND(H2047&lt;&gt;"",H2047&gt;=129,H2047&lt;=2176),INDEX(Fields!$K$2:$K$206,MATCH(H2047-129,Fields!$D$2:$D$206,1)),""),"")</f>
        <v/>
      </c>
    </row>
    <row r="2048">
      <c r="A2048" t="n">
        <v>2046</v>
      </c>
      <c r="B2048" t="n">
        <v>0</v>
      </c>
      <c r="C2048" t="inlineStr">
        <is>
          <t>No</t>
        </is>
      </c>
      <c r="D2048">
        <f>IF(AND(B2043=1,B2044=1,B2045=1,B2046=1,B2047=1),"Yes","")</f>
        <v/>
      </c>
      <c r="E2048" t="inlineStr">
        <is>
          <t>No</t>
        </is>
      </c>
      <c r="F2048" t="inlineStr">
        <is>
          <t>No</t>
        </is>
      </c>
      <c r="G2048">
        <f>IF(F2048="Yes",1-B2048,B2048)</f>
        <v/>
      </c>
      <c r="H2048">
        <f>IF(E2048="Yes","",COUNTIFS($E$2:E2048,"No"))</f>
        <v/>
      </c>
      <c r="I2048">
        <f>IF(H2048="","",IF(H2048&lt;=128,"address",IF(H2048&lt;=600,"data1",IF(H2048&lt;=1264,"zero-run1",IF(H2048&lt;=1648,"data2",IF(H2048&lt;=2176,"zero-run2",IF(H2048&lt;=2192,"FCS","trailing")))))))</f>
        <v/>
      </c>
      <c r="J2048">
        <f>IFERROR(IF(AND(H2048&lt;&gt;"",H2048&gt;=129,H2048&lt;=2176),INDEX(Fields!$B$2:$B$206,MATCH(H2048-129,Fields!$D$2:$D$206,1)),""),"")</f>
        <v/>
      </c>
      <c r="K2048">
        <f>IFERROR(IF(AND(H2048&lt;&gt;"",H2048&gt;=129,H2048&lt;=2176),INDEX(Fields!$C$2:$C$206,MATCH(H2048-129,Fields!$D$2:$D$206,1)),""),"")</f>
        <v/>
      </c>
      <c r="L2048">
        <f>IFERROR(IF(AND(H2048&lt;&gt;"",H2048&gt;=129,H2048&lt;=2176),INDEX(Fields!$J$2:$J$206,MATCH(H2048-129,Fields!$D$2:$D$206,1)),""),"")</f>
        <v/>
      </c>
      <c r="M2048">
        <f>IFERROR(IF(AND(H2048&lt;&gt;"",H2048&gt;=129,H2048&lt;=2176),INDEX(Fields!$K$2:$K$206,MATCH(H2048-129,Fields!$D$2:$D$206,1)),""),"")</f>
        <v/>
      </c>
    </row>
    <row r="2049">
      <c r="A2049" t="n">
        <v>2047</v>
      </c>
      <c r="B2049" t="n">
        <v>0</v>
      </c>
      <c r="C2049" t="inlineStr">
        <is>
          <t>No</t>
        </is>
      </c>
      <c r="D2049">
        <f>IF(AND(B2044=1,B2045=1,B2046=1,B2047=1,B2048=1),"Yes","")</f>
        <v/>
      </c>
      <c r="E2049" t="inlineStr">
        <is>
          <t>No</t>
        </is>
      </c>
      <c r="F2049" t="inlineStr">
        <is>
          <t>No</t>
        </is>
      </c>
      <c r="G2049">
        <f>IF(F2049="Yes",1-B2049,B2049)</f>
        <v/>
      </c>
      <c r="H2049">
        <f>IF(E2049="Yes","",COUNTIFS($E$2:E2049,"No"))</f>
        <v/>
      </c>
      <c r="I2049">
        <f>IF(H2049="","",IF(H2049&lt;=128,"address",IF(H2049&lt;=600,"data1",IF(H2049&lt;=1264,"zero-run1",IF(H2049&lt;=1648,"data2",IF(H2049&lt;=2176,"zero-run2",IF(H2049&lt;=2192,"FCS","trailing")))))))</f>
        <v/>
      </c>
      <c r="J2049">
        <f>IFERROR(IF(AND(H2049&lt;&gt;"",H2049&gt;=129,H2049&lt;=2176),INDEX(Fields!$B$2:$B$206,MATCH(H2049-129,Fields!$D$2:$D$206,1)),""),"")</f>
        <v/>
      </c>
      <c r="K2049">
        <f>IFERROR(IF(AND(H2049&lt;&gt;"",H2049&gt;=129,H2049&lt;=2176),INDEX(Fields!$C$2:$C$206,MATCH(H2049-129,Fields!$D$2:$D$206,1)),""),"")</f>
        <v/>
      </c>
      <c r="L2049">
        <f>IFERROR(IF(AND(H2049&lt;&gt;"",H2049&gt;=129,H2049&lt;=2176),INDEX(Fields!$J$2:$J$206,MATCH(H2049-129,Fields!$D$2:$D$206,1)),""),"")</f>
        <v/>
      </c>
      <c r="M2049">
        <f>IFERROR(IF(AND(H2049&lt;&gt;"",H2049&gt;=129,H2049&lt;=2176),INDEX(Fields!$K$2:$K$206,MATCH(H2049-129,Fields!$D$2:$D$206,1)),""),"")</f>
        <v/>
      </c>
    </row>
    <row r="2050">
      <c r="A2050" t="n">
        <v>2048</v>
      </c>
      <c r="B2050" t="n">
        <v>0</v>
      </c>
      <c r="C2050" t="inlineStr">
        <is>
          <t>No</t>
        </is>
      </c>
      <c r="D2050">
        <f>IF(AND(B2045=1,B2046=1,B2047=1,B2048=1,B2049=1),"Yes","")</f>
        <v/>
      </c>
      <c r="E2050" t="inlineStr">
        <is>
          <t>No</t>
        </is>
      </c>
      <c r="F2050" t="inlineStr">
        <is>
          <t>No</t>
        </is>
      </c>
      <c r="G2050">
        <f>IF(F2050="Yes",1-B2050,B2050)</f>
        <v/>
      </c>
      <c r="H2050">
        <f>IF(E2050="Yes","",COUNTIFS($E$2:E2050,"No"))</f>
        <v/>
      </c>
      <c r="I2050">
        <f>IF(H2050="","",IF(H2050&lt;=128,"address",IF(H2050&lt;=600,"data1",IF(H2050&lt;=1264,"zero-run1",IF(H2050&lt;=1648,"data2",IF(H2050&lt;=2176,"zero-run2",IF(H2050&lt;=2192,"FCS","trailing")))))))</f>
        <v/>
      </c>
      <c r="J2050">
        <f>IFERROR(IF(AND(H2050&lt;&gt;"",H2050&gt;=129,H2050&lt;=2176),INDEX(Fields!$B$2:$B$206,MATCH(H2050-129,Fields!$D$2:$D$206,1)),""),"")</f>
        <v/>
      </c>
      <c r="K2050">
        <f>IFERROR(IF(AND(H2050&lt;&gt;"",H2050&gt;=129,H2050&lt;=2176),INDEX(Fields!$C$2:$C$206,MATCH(H2050-129,Fields!$D$2:$D$206,1)),""),"")</f>
        <v/>
      </c>
      <c r="L2050">
        <f>IFERROR(IF(AND(H2050&lt;&gt;"",H2050&gt;=129,H2050&lt;=2176),INDEX(Fields!$J$2:$J$206,MATCH(H2050-129,Fields!$D$2:$D$206,1)),""),"")</f>
        <v/>
      </c>
      <c r="M2050">
        <f>IFERROR(IF(AND(H2050&lt;&gt;"",H2050&gt;=129,H2050&lt;=2176),INDEX(Fields!$K$2:$K$206,MATCH(H2050-129,Fields!$D$2:$D$206,1)),""),"")</f>
        <v/>
      </c>
    </row>
    <row r="2051">
      <c r="A2051" t="n">
        <v>2049</v>
      </c>
      <c r="B2051" t="n">
        <v>0</v>
      </c>
      <c r="C2051" t="inlineStr">
        <is>
          <t>No</t>
        </is>
      </c>
      <c r="D2051">
        <f>IF(AND(B2046=1,B2047=1,B2048=1,B2049=1,B2050=1),"Yes","")</f>
        <v/>
      </c>
      <c r="E2051" t="inlineStr">
        <is>
          <t>No</t>
        </is>
      </c>
      <c r="F2051" t="inlineStr">
        <is>
          <t>No</t>
        </is>
      </c>
      <c r="G2051">
        <f>IF(F2051="Yes",1-B2051,B2051)</f>
        <v/>
      </c>
      <c r="H2051">
        <f>IF(E2051="Yes","",COUNTIFS($E$2:E2051,"No"))</f>
        <v/>
      </c>
      <c r="I2051">
        <f>IF(H2051="","",IF(H2051&lt;=128,"address",IF(H2051&lt;=600,"data1",IF(H2051&lt;=1264,"zero-run1",IF(H2051&lt;=1648,"data2",IF(H2051&lt;=2176,"zero-run2",IF(H2051&lt;=2192,"FCS","trailing")))))))</f>
        <v/>
      </c>
      <c r="J2051">
        <f>IFERROR(IF(AND(H2051&lt;&gt;"",H2051&gt;=129,H2051&lt;=2176),INDEX(Fields!$B$2:$B$206,MATCH(H2051-129,Fields!$D$2:$D$206,1)),""),"")</f>
        <v/>
      </c>
      <c r="K2051">
        <f>IFERROR(IF(AND(H2051&lt;&gt;"",H2051&gt;=129,H2051&lt;=2176),INDEX(Fields!$C$2:$C$206,MATCH(H2051-129,Fields!$D$2:$D$206,1)),""),"")</f>
        <v/>
      </c>
      <c r="L2051">
        <f>IFERROR(IF(AND(H2051&lt;&gt;"",H2051&gt;=129,H2051&lt;=2176),INDEX(Fields!$J$2:$J$206,MATCH(H2051-129,Fields!$D$2:$D$206,1)),""),"")</f>
        <v/>
      </c>
      <c r="M2051">
        <f>IFERROR(IF(AND(H2051&lt;&gt;"",H2051&gt;=129,H2051&lt;=2176),INDEX(Fields!$K$2:$K$206,MATCH(H2051-129,Fields!$D$2:$D$206,1)),""),"")</f>
        <v/>
      </c>
    </row>
    <row r="2052">
      <c r="A2052" t="n">
        <v>2050</v>
      </c>
      <c r="B2052" t="n">
        <v>0</v>
      </c>
      <c r="C2052" t="inlineStr">
        <is>
          <t>No</t>
        </is>
      </c>
      <c r="D2052">
        <f>IF(AND(B2047=1,B2048=1,B2049=1,B2050=1,B2051=1),"Yes","")</f>
        <v/>
      </c>
      <c r="E2052" t="inlineStr">
        <is>
          <t>No</t>
        </is>
      </c>
      <c r="F2052" t="inlineStr">
        <is>
          <t>No</t>
        </is>
      </c>
      <c r="G2052">
        <f>IF(F2052="Yes",1-B2052,B2052)</f>
        <v/>
      </c>
      <c r="H2052">
        <f>IF(E2052="Yes","",COUNTIFS($E$2:E2052,"No"))</f>
        <v/>
      </c>
      <c r="I2052">
        <f>IF(H2052="","",IF(H2052&lt;=128,"address",IF(H2052&lt;=600,"data1",IF(H2052&lt;=1264,"zero-run1",IF(H2052&lt;=1648,"data2",IF(H2052&lt;=2176,"zero-run2",IF(H2052&lt;=2192,"FCS","trailing")))))))</f>
        <v/>
      </c>
      <c r="J2052">
        <f>IFERROR(IF(AND(H2052&lt;&gt;"",H2052&gt;=129,H2052&lt;=2176),INDEX(Fields!$B$2:$B$206,MATCH(H2052-129,Fields!$D$2:$D$206,1)),""),"")</f>
        <v/>
      </c>
      <c r="K2052">
        <f>IFERROR(IF(AND(H2052&lt;&gt;"",H2052&gt;=129,H2052&lt;=2176),INDEX(Fields!$C$2:$C$206,MATCH(H2052-129,Fields!$D$2:$D$206,1)),""),"")</f>
        <v/>
      </c>
      <c r="L2052">
        <f>IFERROR(IF(AND(H2052&lt;&gt;"",H2052&gt;=129,H2052&lt;=2176),INDEX(Fields!$J$2:$J$206,MATCH(H2052-129,Fields!$D$2:$D$206,1)),""),"")</f>
        <v/>
      </c>
      <c r="M2052">
        <f>IFERROR(IF(AND(H2052&lt;&gt;"",H2052&gt;=129,H2052&lt;=2176),INDEX(Fields!$K$2:$K$206,MATCH(H2052-129,Fields!$D$2:$D$206,1)),""),"")</f>
        <v/>
      </c>
    </row>
    <row r="2053">
      <c r="A2053" t="n">
        <v>2051</v>
      </c>
      <c r="B2053" t="n">
        <v>0</v>
      </c>
      <c r="C2053" t="inlineStr">
        <is>
          <t>No</t>
        </is>
      </c>
      <c r="D2053">
        <f>IF(AND(B2048=1,B2049=1,B2050=1,B2051=1,B2052=1),"Yes","")</f>
        <v/>
      </c>
      <c r="E2053" t="inlineStr">
        <is>
          <t>No</t>
        </is>
      </c>
      <c r="F2053" t="inlineStr">
        <is>
          <t>No</t>
        </is>
      </c>
      <c r="G2053">
        <f>IF(F2053="Yes",1-B2053,B2053)</f>
        <v/>
      </c>
      <c r="H2053">
        <f>IF(E2053="Yes","",COUNTIFS($E$2:E2053,"No"))</f>
        <v/>
      </c>
      <c r="I2053">
        <f>IF(H2053="","",IF(H2053&lt;=128,"address",IF(H2053&lt;=600,"data1",IF(H2053&lt;=1264,"zero-run1",IF(H2053&lt;=1648,"data2",IF(H2053&lt;=2176,"zero-run2",IF(H2053&lt;=2192,"FCS","trailing")))))))</f>
        <v/>
      </c>
      <c r="J2053">
        <f>IFERROR(IF(AND(H2053&lt;&gt;"",H2053&gt;=129,H2053&lt;=2176),INDEX(Fields!$B$2:$B$206,MATCH(H2053-129,Fields!$D$2:$D$206,1)),""),"")</f>
        <v/>
      </c>
      <c r="K2053">
        <f>IFERROR(IF(AND(H2053&lt;&gt;"",H2053&gt;=129,H2053&lt;=2176),INDEX(Fields!$C$2:$C$206,MATCH(H2053-129,Fields!$D$2:$D$206,1)),""),"")</f>
        <v/>
      </c>
      <c r="L2053">
        <f>IFERROR(IF(AND(H2053&lt;&gt;"",H2053&gt;=129,H2053&lt;=2176),INDEX(Fields!$J$2:$J$206,MATCH(H2053-129,Fields!$D$2:$D$206,1)),""),"")</f>
        <v/>
      </c>
      <c r="M2053">
        <f>IFERROR(IF(AND(H2053&lt;&gt;"",H2053&gt;=129,H2053&lt;=2176),INDEX(Fields!$K$2:$K$206,MATCH(H2053-129,Fields!$D$2:$D$206,1)),""),"")</f>
        <v/>
      </c>
    </row>
    <row r="2054">
      <c r="A2054" t="n">
        <v>2052</v>
      </c>
      <c r="B2054" t="n">
        <v>0</v>
      </c>
      <c r="C2054" t="inlineStr">
        <is>
          <t>No</t>
        </is>
      </c>
      <c r="D2054">
        <f>IF(AND(B2049=1,B2050=1,B2051=1,B2052=1,B2053=1),"Yes","")</f>
        <v/>
      </c>
      <c r="E2054" t="inlineStr">
        <is>
          <t>No</t>
        </is>
      </c>
      <c r="F2054" t="inlineStr">
        <is>
          <t>No</t>
        </is>
      </c>
      <c r="G2054">
        <f>IF(F2054="Yes",1-B2054,B2054)</f>
        <v/>
      </c>
      <c r="H2054">
        <f>IF(E2054="Yes","",COUNTIFS($E$2:E2054,"No"))</f>
        <v/>
      </c>
      <c r="I2054">
        <f>IF(H2054="","",IF(H2054&lt;=128,"address",IF(H2054&lt;=600,"data1",IF(H2054&lt;=1264,"zero-run1",IF(H2054&lt;=1648,"data2",IF(H2054&lt;=2176,"zero-run2",IF(H2054&lt;=2192,"FCS","trailing")))))))</f>
        <v/>
      </c>
      <c r="J2054">
        <f>IFERROR(IF(AND(H2054&lt;&gt;"",H2054&gt;=129,H2054&lt;=2176),INDEX(Fields!$B$2:$B$206,MATCH(H2054-129,Fields!$D$2:$D$206,1)),""),"")</f>
        <v/>
      </c>
      <c r="K2054">
        <f>IFERROR(IF(AND(H2054&lt;&gt;"",H2054&gt;=129,H2054&lt;=2176),INDEX(Fields!$C$2:$C$206,MATCH(H2054-129,Fields!$D$2:$D$206,1)),""),"")</f>
        <v/>
      </c>
      <c r="L2054">
        <f>IFERROR(IF(AND(H2054&lt;&gt;"",H2054&gt;=129,H2054&lt;=2176),INDEX(Fields!$J$2:$J$206,MATCH(H2054-129,Fields!$D$2:$D$206,1)),""),"")</f>
        <v/>
      </c>
      <c r="M2054">
        <f>IFERROR(IF(AND(H2054&lt;&gt;"",H2054&gt;=129,H2054&lt;=2176),INDEX(Fields!$K$2:$K$206,MATCH(H2054-129,Fields!$D$2:$D$206,1)),""),"")</f>
        <v/>
      </c>
    </row>
    <row r="2055">
      <c r="A2055" t="n">
        <v>2053</v>
      </c>
      <c r="B2055" t="n">
        <v>0</v>
      </c>
      <c r="C2055" t="inlineStr">
        <is>
          <t>No</t>
        </is>
      </c>
      <c r="D2055">
        <f>IF(AND(B2050=1,B2051=1,B2052=1,B2053=1,B2054=1),"Yes","")</f>
        <v/>
      </c>
      <c r="E2055" t="inlineStr">
        <is>
          <t>No</t>
        </is>
      </c>
      <c r="F2055" t="inlineStr">
        <is>
          <t>No</t>
        </is>
      </c>
      <c r="G2055">
        <f>IF(F2055="Yes",1-B2055,B2055)</f>
        <v/>
      </c>
      <c r="H2055">
        <f>IF(E2055="Yes","",COUNTIFS($E$2:E2055,"No"))</f>
        <v/>
      </c>
      <c r="I2055">
        <f>IF(H2055="","",IF(H2055&lt;=128,"address",IF(H2055&lt;=600,"data1",IF(H2055&lt;=1264,"zero-run1",IF(H2055&lt;=1648,"data2",IF(H2055&lt;=2176,"zero-run2",IF(H2055&lt;=2192,"FCS","trailing")))))))</f>
        <v/>
      </c>
      <c r="J2055">
        <f>IFERROR(IF(AND(H2055&lt;&gt;"",H2055&gt;=129,H2055&lt;=2176),INDEX(Fields!$B$2:$B$206,MATCH(H2055-129,Fields!$D$2:$D$206,1)),""),"")</f>
        <v/>
      </c>
      <c r="K2055">
        <f>IFERROR(IF(AND(H2055&lt;&gt;"",H2055&gt;=129,H2055&lt;=2176),INDEX(Fields!$C$2:$C$206,MATCH(H2055-129,Fields!$D$2:$D$206,1)),""),"")</f>
        <v/>
      </c>
      <c r="L2055">
        <f>IFERROR(IF(AND(H2055&lt;&gt;"",H2055&gt;=129,H2055&lt;=2176),INDEX(Fields!$J$2:$J$206,MATCH(H2055-129,Fields!$D$2:$D$206,1)),""),"")</f>
        <v/>
      </c>
      <c r="M2055">
        <f>IFERROR(IF(AND(H2055&lt;&gt;"",H2055&gt;=129,H2055&lt;=2176),INDEX(Fields!$K$2:$K$206,MATCH(H2055-129,Fields!$D$2:$D$206,1)),""),"")</f>
        <v/>
      </c>
    </row>
    <row r="2056">
      <c r="A2056" t="n">
        <v>2054</v>
      </c>
      <c r="B2056" t="n">
        <v>0</v>
      </c>
      <c r="C2056" t="inlineStr">
        <is>
          <t>No</t>
        </is>
      </c>
      <c r="D2056">
        <f>IF(AND(B2051=1,B2052=1,B2053=1,B2054=1,B2055=1),"Yes","")</f>
        <v/>
      </c>
      <c r="E2056" t="inlineStr">
        <is>
          <t>No</t>
        </is>
      </c>
      <c r="F2056" t="inlineStr">
        <is>
          <t>No</t>
        </is>
      </c>
      <c r="G2056">
        <f>IF(F2056="Yes",1-B2056,B2056)</f>
        <v/>
      </c>
      <c r="H2056">
        <f>IF(E2056="Yes","",COUNTIFS($E$2:E2056,"No"))</f>
        <v/>
      </c>
      <c r="I2056">
        <f>IF(H2056="","",IF(H2056&lt;=128,"address",IF(H2056&lt;=600,"data1",IF(H2056&lt;=1264,"zero-run1",IF(H2056&lt;=1648,"data2",IF(H2056&lt;=2176,"zero-run2",IF(H2056&lt;=2192,"FCS","trailing")))))))</f>
        <v/>
      </c>
      <c r="J2056">
        <f>IFERROR(IF(AND(H2056&lt;&gt;"",H2056&gt;=129,H2056&lt;=2176),INDEX(Fields!$B$2:$B$206,MATCH(H2056-129,Fields!$D$2:$D$206,1)),""),"")</f>
        <v/>
      </c>
      <c r="K2056">
        <f>IFERROR(IF(AND(H2056&lt;&gt;"",H2056&gt;=129,H2056&lt;=2176),INDEX(Fields!$C$2:$C$206,MATCH(H2056-129,Fields!$D$2:$D$206,1)),""),"")</f>
        <v/>
      </c>
      <c r="L2056">
        <f>IFERROR(IF(AND(H2056&lt;&gt;"",H2056&gt;=129,H2056&lt;=2176),INDEX(Fields!$J$2:$J$206,MATCH(H2056-129,Fields!$D$2:$D$206,1)),""),"")</f>
        <v/>
      </c>
      <c r="M2056">
        <f>IFERROR(IF(AND(H2056&lt;&gt;"",H2056&gt;=129,H2056&lt;=2176),INDEX(Fields!$K$2:$K$206,MATCH(H2056-129,Fields!$D$2:$D$206,1)),""),"")</f>
        <v/>
      </c>
    </row>
    <row r="2057">
      <c r="A2057" t="n">
        <v>2055</v>
      </c>
      <c r="B2057" t="n">
        <v>0</v>
      </c>
      <c r="C2057" t="inlineStr">
        <is>
          <t>No</t>
        </is>
      </c>
      <c r="D2057">
        <f>IF(AND(B2052=1,B2053=1,B2054=1,B2055=1,B2056=1),"Yes","")</f>
        <v/>
      </c>
      <c r="E2057" t="inlineStr">
        <is>
          <t>No</t>
        </is>
      </c>
      <c r="F2057" t="inlineStr">
        <is>
          <t>No</t>
        </is>
      </c>
      <c r="G2057">
        <f>IF(F2057="Yes",1-B2057,B2057)</f>
        <v/>
      </c>
      <c r="H2057">
        <f>IF(E2057="Yes","",COUNTIFS($E$2:E2057,"No"))</f>
        <v/>
      </c>
      <c r="I2057">
        <f>IF(H2057="","",IF(H2057&lt;=128,"address",IF(H2057&lt;=600,"data1",IF(H2057&lt;=1264,"zero-run1",IF(H2057&lt;=1648,"data2",IF(H2057&lt;=2176,"zero-run2",IF(H2057&lt;=2192,"FCS","trailing")))))))</f>
        <v/>
      </c>
      <c r="J2057">
        <f>IFERROR(IF(AND(H2057&lt;&gt;"",H2057&gt;=129,H2057&lt;=2176),INDEX(Fields!$B$2:$B$206,MATCH(H2057-129,Fields!$D$2:$D$206,1)),""),"")</f>
        <v/>
      </c>
      <c r="K2057">
        <f>IFERROR(IF(AND(H2057&lt;&gt;"",H2057&gt;=129,H2057&lt;=2176),INDEX(Fields!$C$2:$C$206,MATCH(H2057-129,Fields!$D$2:$D$206,1)),""),"")</f>
        <v/>
      </c>
      <c r="L2057">
        <f>IFERROR(IF(AND(H2057&lt;&gt;"",H2057&gt;=129,H2057&lt;=2176),INDEX(Fields!$J$2:$J$206,MATCH(H2057-129,Fields!$D$2:$D$206,1)),""),"")</f>
        <v/>
      </c>
      <c r="M2057">
        <f>IFERROR(IF(AND(H2057&lt;&gt;"",H2057&gt;=129,H2057&lt;=2176),INDEX(Fields!$K$2:$K$206,MATCH(H2057-129,Fields!$D$2:$D$206,1)),""),"")</f>
        <v/>
      </c>
    </row>
    <row r="2058">
      <c r="A2058" t="n">
        <v>2056</v>
      </c>
      <c r="B2058" t="n">
        <v>0</v>
      </c>
      <c r="C2058" t="inlineStr">
        <is>
          <t>No</t>
        </is>
      </c>
      <c r="D2058">
        <f>IF(AND(B2053=1,B2054=1,B2055=1,B2056=1,B2057=1),"Yes","")</f>
        <v/>
      </c>
      <c r="E2058" t="inlineStr">
        <is>
          <t>No</t>
        </is>
      </c>
      <c r="F2058" t="inlineStr">
        <is>
          <t>No</t>
        </is>
      </c>
      <c r="G2058">
        <f>IF(F2058="Yes",1-B2058,B2058)</f>
        <v/>
      </c>
      <c r="H2058">
        <f>IF(E2058="Yes","",COUNTIFS($E$2:E2058,"No"))</f>
        <v/>
      </c>
      <c r="I2058">
        <f>IF(H2058="","",IF(H2058&lt;=128,"address",IF(H2058&lt;=600,"data1",IF(H2058&lt;=1264,"zero-run1",IF(H2058&lt;=1648,"data2",IF(H2058&lt;=2176,"zero-run2",IF(H2058&lt;=2192,"FCS","trailing")))))))</f>
        <v/>
      </c>
      <c r="J2058">
        <f>IFERROR(IF(AND(H2058&lt;&gt;"",H2058&gt;=129,H2058&lt;=2176),INDEX(Fields!$B$2:$B$206,MATCH(H2058-129,Fields!$D$2:$D$206,1)),""),"")</f>
        <v/>
      </c>
      <c r="K2058">
        <f>IFERROR(IF(AND(H2058&lt;&gt;"",H2058&gt;=129,H2058&lt;=2176),INDEX(Fields!$C$2:$C$206,MATCH(H2058-129,Fields!$D$2:$D$206,1)),""),"")</f>
        <v/>
      </c>
      <c r="L2058">
        <f>IFERROR(IF(AND(H2058&lt;&gt;"",H2058&gt;=129,H2058&lt;=2176),INDEX(Fields!$J$2:$J$206,MATCH(H2058-129,Fields!$D$2:$D$206,1)),""),"")</f>
        <v/>
      </c>
      <c r="M2058">
        <f>IFERROR(IF(AND(H2058&lt;&gt;"",H2058&gt;=129,H2058&lt;=2176),INDEX(Fields!$K$2:$K$206,MATCH(H2058-129,Fields!$D$2:$D$206,1)),""),"")</f>
        <v/>
      </c>
    </row>
    <row r="2059">
      <c r="A2059" t="n">
        <v>2057</v>
      </c>
      <c r="B2059" t="n">
        <v>0</v>
      </c>
      <c r="C2059" t="inlineStr">
        <is>
          <t>No</t>
        </is>
      </c>
      <c r="D2059">
        <f>IF(AND(B2054=1,B2055=1,B2056=1,B2057=1,B2058=1),"Yes","")</f>
        <v/>
      </c>
      <c r="E2059" t="inlineStr">
        <is>
          <t>No</t>
        </is>
      </c>
      <c r="F2059" t="inlineStr">
        <is>
          <t>No</t>
        </is>
      </c>
      <c r="G2059">
        <f>IF(F2059="Yes",1-B2059,B2059)</f>
        <v/>
      </c>
      <c r="H2059">
        <f>IF(E2059="Yes","",COUNTIFS($E$2:E2059,"No"))</f>
        <v/>
      </c>
      <c r="I2059">
        <f>IF(H2059="","",IF(H2059&lt;=128,"address",IF(H2059&lt;=600,"data1",IF(H2059&lt;=1264,"zero-run1",IF(H2059&lt;=1648,"data2",IF(H2059&lt;=2176,"zero-run2",IF(H2059&lt;=2192,"FCS","trailing")))))))</f>
        <v/>
      </c>
      <c r="J2059">
        <f>IFERROR(IF(AND(H2059&lt;&gt;"",H2059&gt;=129,H2059&lt;=2176),INDEX(Fields!$B$2:$B$206,MATCH(H2059-129,Fields!$D$2:$D$206,1)),""),"")</f>
        <v/>
      </c>
      <c r="K2059">
        <f>IFERROR(IF(AND(H2059&lt;&gt;"",H2059&gt;=129,H2059&lt;=2176),INDEX(Fields!$C$2:$C$206,MATCH(H2059-129,Fields!$D$2:$D$206,1)),""),"")</f>
        <v/>
      </c>
      <c r="L2059">
        <f>IFERROR(IF(AND(H2059&lt;&gt;"",H2059&gt;=129,H2059&lt;=2176),INDEX(Fields!$J$2:$J$206,MATCH(H2059-129,Fields!$D$2:$D$206,1)),""),"")</f>
        <v/>
      </c>
      <c r="M2059">
        <f>IFERROR(IF(AND(H2059&lt;&gt;"",H2059&gt;=129,H2059&lt;=2176),INDEX(Fields!$K$2:$K$206,MATCH(H2059-129,Fields!$D$2:$D$206,1)),""),"")</f>
        <v/>
      </c>
    </row>
    <row r="2060">
      <c r="A2060" t="n">
        <v>2058</v>
      </c>
      <c r="B2060" t="n">
        <v>0</v>
      </c>
      <c r="C2060" t="inlineStr">
        <is>
          <t>No</t>
        </is>
      </c>
      <c r="D2060">
        <f>IF(AND(B2055=1,B2056=1,B2057=1,B2058=1,B2059=1),"Yes","")</f>
        <v/>
      </c>
      <c r="E2060" t="inlineStr">
        <is>
          <t>No</t>
        </is>
      </c>
      <c r="F2060" t="inlineStr">
        <is>
          <t>No</t>
        </is>
      </c>
      <c r="G2060">
        <f>IF(F2060="Yes",1-B2060,B2060)</f>
        <v/>
      </c>
      <c r="H2060">
        <f>IF(E2060="Yes","",COUNTIFS($E$2:E2060,"No"))</f>
        <v/>
      </c>
      <c r="I2060">
        <f>IF(H2060="","",IF(H2060&lt;=128,"address",IF(H2060&lt;=600,"data1",IF(H2060&lt;=1264,"zero-run1",IF(H2060&lt;=1648,"data2",IF(H2060&lt;=2176,"zero-run2",IF(H2060&lt;=2192,"FCS","trailing")))))))</f>
        <v/>
      </c>
      <c r="J2060">
        <f>IFERROR(IF(AND(H2060&lt;&gt;"",H2060&gt;=129,H2060&lt;=2176),INDEX(Fields!$B$2:$B$206,MATCH(H2060-129,Fields!$D$2:$D$206,1)),""),"")</f>
        <v/>
      </c>
      <c r="K2060">
        <f>IFERROR(IF(AND(H2060&lt;&gt;"",H2060&gt;=129,H2060&lt;=2176),INDEX(Fields!$C$2:$C$206,MATCH(H2060-129,Fields!$D$2:$D$206,1)),""),"")</f>
        <v/>
      </c>
      <c r="L2060">
        <f>IFERROR(IF(AND(H2060&lt;&gt;"",H2060&gt;=129,H2060&lt;=2176),INDEX(Fields!$J$2:$J$206,MATCH(H2060-129,Fields!$D$2:$D$206,1)),""),"")</f>
        <v/>
      </c>
      <c r="M2060">
        <f>IFERROR(IF(AND(H2060&lt;&gt;"",H2060&gt;=129,H2060&lt;=2176),INDEX(Fields!$K$2:$K$206,MATCH(H2060-129,Fields!$D$2:$D$206,1)),""),"")</f>
        <v/>
      </c>
    </row>
    <row r="2061">
      <c r="A2061" t="n">
        <v>2059</v>
      </c>
      <c r="B2061" t="n">
        <v>0</v>
      </c>
      <c r="C2061" t="inlineStr">
        <is>
          <t>No</t>
        </is>
      </c>
      <c r="D2061">
        <f>IF(AND(B2056=1,B2057=1,B2058=1,B2059=1,B2060=1),"Yes","")</f>
        <v/>
      </c>
      <c r="E2061" t="inlineStr">
        <is>
          <t>No</t>
        </is>
      </c>
      <c r="F2061" t="inlineStr">
        <is>
          <t>No</t>
        </is>
      </c>
      <c r="G2061">
        <f>IF(F2061="Yes",1-B2061,B2061)</f>
        <v/>
      </c>
      <c r="H2061">
        <f>IF(E2061="Yes","",COUNTIFS($E$2:E2061,"No"))</f>
        <v/>
      </c>
      <c r="I2061">
        <f>IF(H2061="","",IF(H2061&lt;=128,"address",IF(H2061&lt;=600,"data1",IF(H2061&lt;=1264,"zero-run1",IF(H2061&lt;=1648,"data2",IF(H2061&lt;=2176,"zero-run2",IF(H2061&lt;=2192,"FCS","trailing")))))))</f>
        <v/>
      </c>
      <c r="J2061">
        <f>IFERROR(IF(AND(H2061&lt;&gt;"",H2061&gt;=129,H2061&lt;=2176),INDEX(Fields!$B$2:$B$206,MATCH(H2061-129,Fields!$D$2:$D$206,1)),""),"")</f>
        <v/>
      </c>
      <c r="K2061">
        <f>IFERROR(IF(AND(H2061&lt;&gt;"",H2061&gt;=129,H2061&lt;=2176),INDEX(Fields!$C$2:$C$206,MATCH(H2061-129,Fields!$D$2:$D$206,1)),""),"")</f>
        <v/>
      </c>
      <c r="L2061">
        <f>IFERROR(IF(AND(H2061&lt;&gt;"",H2061&gt;=129,H2061&lt;=2176),INDEX(Fields!$J$2:$J$206,MATCH(H2061-129,Fields!$D$2:$D$206,1)),""),"")</f>
        <v/>
      </c>
      <c r="M2061">
        <f>IFERROR(IF(AND(H2061&lt;&gt;"",H2061&gt;=129,H2061&lt;=2176),INDEX(Fields!$K$2:$K$206,MATCH(H2061-129,Fields!$D$2:$D$206,1)),""),"")</f>
        <v/>
      </c>
    </row>
    <row r="2062">
      <c r="A2062" t="n">
        <v>2060</v>
      </c>
      <c r="B2062" t="n">
        <v>0</v>
      </c>
      <c r="C2062" t="inlineStr">
        <is>
          <t>No</t>
        </is>
      </c>
      <c r="D2062">
        <f>IF(AND(B2057=1,B2058=1,B2059=1,B2060=1,B2061=1),"Yes","")</f>
        <v/>
      </c>
      <c r="E2062" t="inlineStr">
        <is>
          <t>No</t>
        </is>
      </c>
      <c r="F2062" t="inlineStr">
        <is>
          <t>No</t>
        </is>
      </c>
      <c r="G2062">
        <f>IF(F2062="Yes",1-B2062,B2062)</f>
        <v/>
      </c>
      <c r="H2062">
        <f>IF(E2062="Yes","",COUNTIFS($E$2:E2062,"No"))</f>
        <v/>
      </c>
      <c r="I2062">
        <f>IF(H2062="","",IF(H2062&lt;=128,"address",IF(H2062&lt;=600,"data1",IF(H2062&lt;=1264,"zero-run1",IF(H2062&lt;=1648,"data2",IF(H2062&lt;=2176,"zero-run2",IF(H2062&lt;=2192,"FCS","trailing")))))))</f>
        <v/>
      </c>
      <c r="J2062">
        <f>IFERROR(IF(AND(H2062&lt;&gt;"",H2062&gt;=129,H2062&lt;=2176),INDEX(Fields!$B$2:$B$206,MATCH(H2062-129,Fields!$D$2:$D$206,1)),""),"")</f>
        <v/>
      </c>
      <c r="K2062">
        <f>IFERROR(IF(AND(H2062&lt;&gt;"",H2062&gt;=129,H2062&lt;=2176),INDEX(Fields!$C$2:$C$206,MATCH(H2062-129,Fields!$D$2:$D$206,1)),""),"")</f>
        <v/>
      </c>
      <c r="L2062">
        <f>IFERROR(IF(AND(H2062&lt;&gt;"",H2062&gt;=129,H2062&lt;=2176),INDEX(Fields!$J$2:$J$206,MATCH(H2062-129,Fields!$D$2:$D$206,1)),""),"")</f>
        <v/>
      </c>
      <c r="M2062">
        <f>IFERROR(IF(AND(H2062&lt;&gt;"",H2062&gt;=129,H2062&lt;=2176),INDEX(Fields!$K$2:$K$206,MATCH(H2062-129,Fields!$D$2:$D$206,1)),""),"")</f>
        <v/>
      </c>
    </row>
    <row r="2063">
      <c r="A2063" t="n">
        <v>2061</v>
      </c>
      <c r="B2063" t="n">
        <v>0</v>
      </c>
      <c r="C2063" t="inlineStr">
        <is>
          <t>No</t>
        </is>
      </c>
      <c r="D2063">
        <f>IF(AND(B2058=1,B2059=1,B2060=1,B2061=1,B2062=1),"Yes","")</f>
        <v/>
      </c>
      <c r="E2063" t="inlineStr">
        <is>
          <t>No</t>
        </is>
      </c>
      <c r="F2063" t="inlineStr">
        <is>
          <t>No</t>
        </is>
      </c>
      <c r="G2063">
        <f>IF(F2063="Yes",1-B2063,B2063)</f>
        <v/>
      </c>
      <c r="H2063">
        <f>IF(E2063="Yes","",COUNTIFS($E$2:E2063,"No"))</f>
        <v/>
      </c>
      <c r="I2063">
        <f>IF(H2063="","",IF(H2063&lt;=128,"address",IF(H2063&lt;=600,"data1",IF(H2063&lt;=1264,"zero-run1",IF(H2063&lt;=1648,"data2",IF(H2063&lt;=2176,"zero-run2",IF(H2063&lt;=2192,"FCS","trailing")))))))</f>
        <v/>
      </c>
      <c r="J2063">
        <f>IFERROR(IF(AND(H2063&lt;&gt;"",H2063&gt;=129,H2063&lt;=2176),INDEX(Fields!$B$2:$B$206,MATCH(H2063-129,Fields!$D$2:$D$206,1)),""),"")</f>
        <v/>
      </c>
      <c r="K2063">
        <f>IFERROR(IF(AND(H2063&lt;&gt;"",H2063&gt;=129,H2063&lt;=2176),INDEX(Fields!$C$2:$C$206,MATCH(H2063-129,Fields!$D$2:$D$206,1)),""),"")</f>
        <v/>
      </c>
      <c r="L2063">
        <f>IFERROR(IF(AND(H2063&lt;&gt;"",H2063&gt;=129,H2063&lt;=2176),INDEX(Fields!$J$2:$J$206,MATCH(H2063-129,Fields!$D$2:$D$206,1)),""),"")</f>
        <v/>
      </c>
      <c r="M2063">
        <f>IFERROR(IF(AND(H2063&lt;&gt;"",H2063&gt;=129,H2063&lt;=2176),INDEX(Fields!$K$2:$K$206,MATCH(H2063-129,Fields!$D$2:$D$206,1)),""),"")</f>
        <v/>
      </c>
    </row>
    <row r="2064">
      <c r="A2064" t="n">
        <v>2062</v>
      </c>
      <c r="B2064" t="n">
        <v>0</v>
      </c>
      <c r="C2064" t="inlineStr">
        <is>
          <t>No</t>
        </is>
      </c>
      <c r="D2064">
        <f>IF(AND(B2059=1,B2060=1,B2061=1,B2062=1,B2063=1),"Yes","")</f>
        <v/>
      </c>
      <c r="E2064" t="inlineStr">
        <is>
          <t>No</t>
        </is>
      </c>
      <c r="F2064" t="inlineStr">
        <is>
          <t>No</t>
        </is>
      </c>
      <c r="G2064">
        <f>IF(F2064="Yes",1-B2064,B2064)</f>
        <v/>
      </c>
      <c r="H2064">
        <f>IF(E2064="Yes","",COUNTIFS($E$2:E2064,"No"))</f>
        <v/>
      </c>
      <c r="I2064">
        <f>IF(H2064="","",IF(H2064&lt;=128,"address",IF(H2064&lt;=600,"data1",IF(H2064&lt;=1264,"zero-run1",IF(H2064&lt;=1648,"data2",IF(H2064&lt;=2176,"zero-run2",IF(H2064&lt;=2192,"FCS","trailing")))))))</f>
        <v/>
      </c>
      <c r="J2064">
        <f>IFERROR(IF(AND(H2064&lt;&gt;"",H2064&gt;=129,H2064&lt;=2176),INDEX(Fields!$B$2:$B$206,MATCH(H2064-129,Fields!$D$2:$D$206,1)),""),"")</f>
        <v/>
      </c>
      <c r="K2064">
        <f>IFERROR(IF(AND(H2064&lt;&gt;"",H2064&gt;=129,H2064&lt;=2176),INDEX(Fields!$C$2:$C$206,MATCH(H2064-129,Fields!$D$2:$D$206,1)),""),"")</f>
        <v/>
      </c>
      <c r="L2064">
        <f>IFERROR(IF(AND(H2064&lt;&gt;"",H2064&gt;=129,H2064&lt;=2176),INDEX(Fields!$J$2:$J$206,MATCH(H2064-129,Fields!$D$2:$D$206,1)),""),"")</f>
        <v/>
      </c>
      <c r="M2064">
        <f>IFERROR(IF(AND(H2064&lt;&gt;"",H2064&gt;=129,H2064&lt;=2176),INDEX(Fields!$K$2:$K$206,MATCH(H2064-129,Fields!$D$2:$D$206,1)),""),"")</f>
        <v/>
      </c>
    </row>
    <row r="2065">
      <c r="A2065" t="n">
        <v>2063</v>
      </c>
      <c r="B2065" t="n">
        <v>0</v>
      </c>
      <c r="C2065" t="inlineStr">
        <is>
          <t>No</t>
        </is>
      </c>
      <c r="D2065">
        <f>IF(AND(B2060=1,B2061=1,B2062=1,B2063=1,B2064=1),"Yes","")</f>
        <v/>
      </c>
      <c r="E2065" t="inlineStr">
        <is>
          <t>No</t>
        </is>
      </c>
      <c r="F2065" t="inlineStr">
        <is>
          <t>No</t>
        </is>
      </c>
      <c r="G2065">
        <f>IF(F2065="Yes",1-B2065,B2065)</f>
        <v/>
      </c>
      <c r="H2065">
        <f>IF(E2065="Yes","",COUNTIFS($E$2:E2065,"No"))</f>
        <v/>
      </c>
      <c r="I2065">
        <f>IF(H2065="","",IF(H2065&lt;=128,"address",IF(H2065&lt;=600,"data1",IF(H2065&lt;=1264,"zero-run1",IF(H2065&lt;=1648,"data2",IF(H2065&lt;=2176,"zero-run2",IF(H2065&lt;=2192,"FCS","trailing")))))))</f>
        <v/>
      </c>
      <c r="J2065">
        <f>IFERROR(IF(AND(H2065&lt;&gt;"",H2065&gt;=129,H2065&lt;=2176),INDEX(Fields!$B$2:$B$206,MATCH(H2065-129,Fields!$D$2:$D$206,1)),""),"")</f>
        <v/>
      </c>
      <c r="K2065">
        <f>IFERROR(IF(AND(H2065&lt;&gt;"",H2065&gt;=129,H2065&lt;=2176),INDEX(Fields!$C$2:$C$206,MATCH(H2065-129,Fields!$D$2:$D$206,1)),""),"")</f>
        <v/>
      </c>
      <c r="L2065">
        <f>IFERROR(IF(AND(H2065&lt;&gt;"",H2065&gt;=129,H2065&lt;=2176),INDEX(Fields!$J$2:$J$206,MATCH(H2065-129,Fields!$D$2:$D$206,1)),""),"")</f>
        <v/>
      </c>
      <c r="M2065">
        <f>IFERROR(IF(AND(H2065&lt;&gt;"",H2065&gt;=129,H2065&lt;=2176),INDEX(Fields!$K$2:$K$206,MATCH(H2065-129,Fields!$D$2:$D$206,1)),""),"")</f>
        <v/>
      </c>
    </row>
    <row r="2066">
      <c r="A2066" t="n">
        <v>2064</v>
      </c>
      <c r="B2066" t="n">
        <v>0</v>
      </c>
      <c r="C2066" t="inlineStr">
        <is>
          <t>No</t>
        </is>
      </c>
      <c r="D2066">
        <f>IF(AND(B2061=1,B2062=1,B2063=1,B2064=1,B2065=1),"Yes","")</f>
        <v/>
      </c>
      <c r="E2066" t="inlineStr">
        <is>
          <t>No</t>
        </is>
      </c>
      <c r="F2066" t="inlineStr">
        <is>
          <t>No</t>
        </is>
      </c>
      <c r="G2066">
        <f>IF(F2066="Yes",1-B2066,B2066)</f>
        <v/>
      </c>
      <c r="H2066">
        <f>IF(E2066="Yes","",COUNTIFS($E$2:E2066,"No"))</f>
        <v/>
      </c>
      <c r="I2066">
        <f>IF(H2066="","",IF(H2066&lt;=128,"address",IF(H2066&lt;=600,"data1",IF(H2066&lt;=1264,"zero-run1",IF(H2066&lt;=1648,"data2",IF(H2066&lt;=2176,"zero-run2",IF(H2066&lt;=2192,"FCS","trailing")))))))</f>
        <v/>
      </c>
      <c r="J2066">
        <f>IFERROR(IF(AND(H2066&lt;&gt;"",H2066&gt;=129,H2066&lt;=2176),INDEX(Fields!$B$2:$B$206,MATCH(H2066-129,Fields!$D$2:$D$206,1)),""),"")</f>
        <v/>
      </c>
      <c r="K2066">
        <f>IFERROR(IF(AND(H2066&lt;&gt;"",H2066&gt;=129,H2066&lt;=2176),INDEX(Fields!$C$2:$C$206,MATCH(H2066-129,Fields!$D$2:$D$206,1)),""),"")</f>
        <v/>
      </c>
      <c r="L2066">
        <f>IFERROR(IF(AND(H2066&lt;&gt;"",H2066&gt;=129,H2066&lt;=2176),INDEX(Fields!$J$2:$J$206,MATCH(H2066-129,Fields!$D$2:$D$206,1)),""),"")</f>
        <v/>
      </c>
      <c r="M2066">
        <f>IFERROR(IF(AND(H2066&lt;&gt;"",H2066&gt;=129,H2066&lt;=2176),INDEX(Fields!$K$2:$K$206,MATCH(H2066-129,Fields!$D$2:$D$206,1)),""),"")</f>
        <v/>
      </c>
    </row>
    <row r="2067">
      <c r="A2067" t="n">
        <v>2065</v>
      </c>
      <c r="B2067" t="n">
        <v>0</v>
      </c>
      <c r="C2067" t="inlineStr">
        <is>
          <t>No</t>
        </is>
      </c>
      <c r="D2067">
        <f>IF(AND(B2062=1,B2063=1,B2064=1,B2065=1,B2066=1),"Yes","")</f>
        <v/>
      </c>
      <c r="E2067" t="inlineStr">
        <is>
          <t>No</t>
        </is>
      </c>
      <c r="F2067" t="inlineStr">
        <is>
          <t>No</t>
        </is>
      </c>
      <c r="G2067">
        <f>IF(F2067="Yes",1-B2067,B2067)</f>
        <v/>
      </c>
      <c r="H2067">
        <f>IF(E2067="Yes","",COUNTIFS($E$2:E2067,"No"))</f>
        <v/>
      </c>
      <c r="I2067">
        <f>IF(H2067="","",IF(H2067&lt;=128,"address",IF(H2067&lt;=600,"data1",IF(H2067&lt;=1264,"zero-run1",IF(H2067&lt;=1648,"data2",IF(H2067&lt;=2176,"zero-run2",IF(H2067&lt;=2192,"FCS","trailing")))))))</f>
        <v/>
      </c>
      <c r="J2067">
        <f>IFERROR(IF(AND(H2067&lt;&gt;"",H2067&gt;=129,H2067&lt;=2176),INDEX(Fields!$B$2:$B$206,MATCH(H2067-129,Fields!$D$2:$D$206,1)),""),"")</f>
        <v/>
      </c>
      <c r="K2067">
        <f>IFERROR(IF(AND(H2067&lt;&gt;"",H2067&gt;=129,H2067&lt;=2176),INDEX(Fields!$C$2:$C$206,MATCH(H2067-129,Fields!$D$2:$D$206,1)),""),"")</f>
        <v/>
      </c>
      <c r="L2067">
        <f>IFERROR(IF(AND(H2067&lt;&gt;"",H2067&gt;=129,H2067&lt;=2176),INDEX(Fields!$J$2:$J$206,MATCH(H2067-129,Fields!$D$2:$D$206,1)),""),"")</f>
        <v/>
      </c>
      <c r="M2067">
        <f>IFERROR(IF(AND(H2067&lt;&gt;"",H2067&gt;=129,H2067&lt;=2176),INDEX(Fields!$K$2:$K$206,MATCH(H2067-129,Fields!$D$2:$D$206,1)),""),"")</f>
        <v/>
      </c>
    </row>
    <row r="2068">
      <c r="A2068" t="n">
        <v>2066</v>
      </c>
      <c r="B2068" t="n">
        <v>0</v>
      </c>
      <c r="C2068" t="inlineStr">
        <is>
          <t>No</t>
        </is>
      </c>
      <c r="D2068">
        <f>IF(AND(B2063=1,B2064=1,B2065=1,B2066=1,B2067=1),"Yes","")</f>
        <v/>
      </c>
      <c r="E2068" t="inlineStr">
        <is>
          <t>No</t>
        </is>
      </c>
      <c r="F2068" t="inlineStr">
        <is>
          <t>No</t>
        </is>
      </c>
      <c r="G2068">
        <f>IF(F2068="Yes",1-B2068,B2068)</f>
        <v/>
      </c>
      <c r="H2068">
        <f>IF(E2068="Yes","",COUNTIFS($E$2:E2068,"No"))</f>
        <v/>
      </c>
      <c r="I2068">
        <f>IF(H2068="","",IF(H2068&lt;=128,"address",IF(H2068&lt;=600,"data1",IF(H2068&lt;=1264,"zero-run1",IF(H2068&lt;=1648,"data2",IF(H2068&lt;=2176,"zero-run2",IF(H2068&lt;=2192,"FCS","trailing")))))))</f>
        <v/>
      </c>
      <c r="J2068">
        <f>IFERROR(IF(AND(H2068&lt;&gt;"",H2068&gt;=129,H2068&lt;=2176),INDEX(Fields!$B$2:$B$206,MATCH(H2068-129,Fields!$D$2:$D$206,1)),""),"")</f>
        <v/>
      </c>
      <c r="K2068">
        <f>IFERROR(IF(AND(H2068&lt;&gt;"",H2068&gt;=129,H2068&lt;=2176),INDEX(Fields!$C$2:$C$206,MATCH(H2068-129,Fields!$D$2:$D$206,1)),""),"")</f>
        <v/>
      </c>
      <c r="L2068">
        <f>IFERROR(IF(AND(H2068&lt;&gt;"",H2068&gt;=129,H2068&lt;=2176),INDEX(Fields!$J$2:$J$206,MATCH(H2068-129,Fields!$D$2:$D$206,1)),""),"")</f>
        <v/>
      </c>
      <c r="M2068">
        <f>IFERROR(IF(AND(H2068&lt;&gt;"",H2068&gt;=129,H2068&lt;=2176),INDEX(Fields!$K$2:$K$206,MATCH(H2068-129,Fields!$D$2:$D$206,1)),""),"")</f>
        <v/>
      </c>
    </row>
    <row r="2069">
      <c r="A2069" t="n">
        <v>2067</v>
      </c>
      <c r="B2069" t="n">
        <v>0</v>
      </c>
      <c r="C2069" t="inlineStr">
        <is>
          <t>No</t>
        </is>
      </c>
      <c r="D2069">
        <f>IF(AND(B2064=1,B2065=1,B2066=1,B2067=1,B2068=1),"Yes","")</f>
        <v/>
      </c>
      <c r="E2069" t="inlineStr">
        <is>
          <t>No</t>
        </is>
      </c>
      <c r="F2069" t="inlineStr">
        <is>
          <t>No</t>
        </is>
      </c>
      <c r="G2069">
        <f>IF(F2069="Yes",1-B2069,B2069)</f>
        <v/>
      </c>
      <c r="H2069">
        <f>IF(E2069="Yes","",COUNTIFS($E$2:E2069,"No"))</f>
        <v/>
      </c>
      <c r="I2069">
        <f>IF(H2069="","",IF(H2069&lt;=128,"address",IF(H2069&lt;=600,"data1",IF(H2069&lt;=1264,"zero-run1",IF(H2069&lt;=1648,"data2",IF(H2069&lt;=2176,"zero-run2",IF(H2069&lt;=2192,"FCS","trailing")))))))</f>
        <v/>
      </c>
      <c r="J2069">
        <f>IFERROR(IF(AND(H2069&lt;&gt;"",H2069&gt;=129,H2069&lt;=2176),INDEX(Fields!$B$2:$B$206,MATCH(H2069-129,Fields!$D$2:$D$206,1)),""),"")</f>
        <v/>
      </c>
      <c r="K2069">
        <f>IFERROR(IF(AND(H2069&lt;&gt;"",H2069&gt;=129,H2069&lt;=2176),INDEX(Fields!$C$2:$C$206,MATCH(H2069-129,Fields!$D$2:$D$206,1)),""),"")</f>
        <v/>
      </c>
      <c r="L2069">
        <f>IFERROR(IF(AND(H2069&lt;&gt;"",H2069&gt;=129,H2069&lt;=2176),INDEX(Fields!$J$2:$J$206,MATCH(H2069-129,Fields!$D$2:$D$206,1)),""),"")</f>
        <v/>
      </c>
      <c r="M2069">
        <f>IFERROR(IF(AND(H2069&lt;&gt;"",H2069&gt;=129,H2069&lt;=2176),INDEX(Fields!$K$2:$K$206,MATCH(H2069-129,Fields!$D$2:$D$206,1)),""),"")</f>
        <v/>
      </c>
    </row>
    <row r="2070">
      <c r="A2070" t="n">
        <v>2068</v>
      </c>
      <c r="B2070" t="n">
        <v>0</v>
      </c>
      <c r="C2070" t="inlineStr">
        <is>
          <t>No</t>
        </is>
      </c>
      <c r="D2070">
        <f>IF(AND(B2065=1,B2066=1,B2067=1,B2068=1,B2069=1),"Yes","")</f>
        <v/>
      </c>
      <c r="E2070" t="inlineStr">
        <is>
          <t>No</t>
        </is>
      </c>
      <c r="F2070" t="inlineStr">
        <is>
          <t>No</t>
        </is>
      </c>
      <c r="G2070">
        <f>IF(F2070="Yes",1-B2070,B2070)</f>
        <v/>
      </c>
      <c r="H2070">
        <f>IF(E2070="Yes","",COUNTIFS($E$2:E2070,"No"))</f>
        <v/>
      </c>
      <c r="I2070">
        <f>IF(H2070="","",IF(H2070&lt;=128,"address",IF(H2070&lt;=600,"data1",IF(H2070&lt;=1264,"zero-run1",IF(H2070&lt;=1648,"data2",IF(H2070&lt;=2176,"zero-run2",IF(H2070&lt;=2192,"FCS","trailing")))))))</f>
        <v/>
      </c>
      <c r="J2070">
        <f>IFERROR(IF(AND(H2070&lt;&gt;"",H2070&gt;=129,H2070&lt;=2176),INDEX(Fields!$B$2:$B$206,MATCH(H2070-129,Fields!$D$2:$D$206,1)),""),"")</f>
        <v/>
      </c>
      <c r="K2070">
        <f>IFERROR(IF(AND(H2070&lt;&gt;"",H2070&gt;=129,H2070&lt;=2176),INDEX(Fields!$C$2:$C$206,MATCH(H2070-129,Fields!$D$2:$D$206,1)),""),"")</f>
        <v/>
      </c>
      <c r="L2070">
        <f>IFERROR(IF(AND(H2070&lt;&gt;"",H2070&gt;=129,H2070&lt;=2176),INDEX(Fields!$J$2:$J$206,MATCH(H2070-129,Fields!$D$2:$D$206,1)),""),"")</f>
        <v/>
      </c>
      <c r="M2070">
        <f>IFERROR(IF(AND(H2070&lt;&gt;"",H2070&gt;=129,H2070&lt;=2176),INDEX(Fields!$K$2:$K$206,MATCH(H2070-129,Fields!$D$2:$D$206,1)),""),"")</f>
        <v/>
      </c>
    </row>
    <row r="2071">
      <c r="A2071" t="n">
        <v>2069</v>
      </c>
      <c r="B2071" t="n">
        <v>0</v>
      </c>
      <c r="C2071" t="inlineStr">
        <is>
          <t>No</t>
        </is>
      </c>
      <c r="D2071">
        <f>IF(AND(B2066=1,B2067=1,B2068=1,B2069=1,B2070=1),"Yes","")</f>
        <v/>
      </c>
      <c r="E2071" t="inlineStr">
        <is>
          <t>No</t>
        </is>
      </c>
      <c r="F2071" t="inlineStr">
        <is>
          <t>No</t>
        </is>
      </c>
      <c r="G2071">
        <f>IF(F2071="Yes",1-B2071,B2071)</f>
        <v/>
      </c>
      <c r="H2071">
        <f>IF(E2071="Yes","",COUNTIFS($E$2:E2071,"No"))</f>
        <v/>
      </c>
      <c r="I2071">
        <f>IF(H2071="","",IF(H2071&lt;=128,"address",IF(H2071&lt;=600,"data1",IF(H2071&lt;=1264,"zero-run1",IF(H2071&lt;=1648,"data2",IF(H2071&lt;=2176,"zero-run2",IF(H2071&lt;=2192,"FCS","trailing")))))))</f>
        <v/>
      </c>
      <c r="J2071">
        <f>IFERROR(IF(AND(H2071&lt;&gt;"",H2071&gt;=129,H2071&lt;=2176),INDEX(Fields!$B$2:$B$206,MATCH(H2071-129,Fields!$D$2:$D$206,1)),""),"")</f>
        <v/>
      </c>
      <c r="K2071">
        <f>IFERROR(IF(AND(H2071&lt;&gt;"",H2071&gt;=129,H2071&lt;=2176),INDEX(Fields!$C$2:$C$206,MATCH(H2071-129,Fields!$D$2:$D$206,1)),""),"")</f>
        <v/>
      </c>
      <c r="L2071">
        <f>IFERROR(IF(AND(H2071&lt;&gt;"",H2071&gt;=129,H2071&lt;=2176),INDEX(Fields!$J$2:$J$206,MATCH(H2071-129,Fields!$D$2:$D$206,1)),""),"")</f>
        <v/>
      </c>
      <c r="M2071">
        <f>IFERROR(IF(AND(H2071&lt;&gt;"",H2071&gt;=129,H2071&lt;=2176),INDEX(Fields!$K$2:$K$206,MATCH(H2071-129,Fields!$D$2:$D$206,1)),""),"")</f>
        <v/>
      </c>
    </row>
    <row r="2072">
      <c r="A2072" t="n">
        <v>2070</v>
      </c>
      <c r="B2072" t="n">
        <v>0</v>
      </c>
      <c r="C2072" t="inlineStr">
        <is>
          <t>No</t>
        </is>
      </c>
      <c r="D2072">
        <f>IF(AND(B2067=1,B2068=1,B2069=1,B2070=1,B2071=1),"Yes","")</f>
        <v/>
      </c>
      <c r="E2072" t="inlineStr">
        <is>
          <t>No</t>
        </is>
      </c>
      <c r="F2072" t="inlineStr">
        <is>
          <t>No</t>
        </is>
      </c>
      <c r="G2072">
        <f>IF(F2072="Yes",1-B2072,B2072)</f>
        <v/>
      </c>
      <c r="H2072">
        <f>IF(E2072="Yes","",COUNTIFS($E$2:E2072,"No"))</f>
        <v/>
      </c>
      <c r="I2072">
        <f>IF(H2072="","",IF(H2072&lt;=128,"address",IF(H2072&lt;=600,"data1",IF(H2072&lt;=1264,"zero-run1",IF(H2072&lt;=1648,"data2",IF(H2072&lt;=2176,"zero-run2",IF(H2072&lt;=2192,"FCS","trailing")))))))</f>
        <v/>
      </c>
      <c r="J2072">
        <f>IFERROR(IF(AND(H2072&lt;&gt;"",H2072&gt;=129,H2072&lt;=2176),INDEX(Fields!$B$2:$B$206,MATCH(H2072-129,Fields!$D$2:$D$206,1)),""),"")</f>
        <v/>
      </c>
      <c r="K2072">
        <f>IFERROR(IF(AND(H2072&lt;&gt;"",H2072&gt;=129,H2072&lt;=2176),INDEX(Fields!$C$2:$C$206,MATCH(H2072-129,Fields!$D$2:$D$206,1)),""),"")</f>
        <v/>
      </c>
      <c r="L2072">
        <f>IFERROR(IF(AND(H2072&lt;&gt;"",H2072&gt;=129,H2072&lt;=2176),INDEX(Fields!$J$2:$J$206,MATCH(H2072-129,Fields!$D$2:$D$206,1)),""),"")</f>
        <v/>
      </c>
      <c r="M2072">
        <f>IFERROR(IF(AND(H2072&lt;&gt;"",H2072&gt;=129,H2072&lt;=2176),INDEX(Fields!$K$2:$K$206,MATCH(H2072-129,Fields!$D$2:$D$206,1)),""),"")</f>
        <v/>
      </c>
    </row>
    <row r="2073">
      <c r="A2073" t="n">
        <v>2071</v>
      </c>
      <c r="B2073" t="n">
        <v>0</v>
      </c>
      <c r="C2073" t="inlineStr">
        <is>
          <t>No</t>
        </is>
      </c>
      <c r="D2073">
        <f>IF(AND(B2068=1,B2069=1,B2070=1,B2071=1,B2072=1),"Yes","")</f>
        <v/>
      </c>
      <c r="E2073" t="inlineStr">
        <is>
          <t>No</t>
        </is>
      </c>
      <c r="F2073" t="inlineStr">
        <is>
          <t>No</t>
        </is>
      </c>
      <c r="G2073">
        <f>IF(F2073="Yes",1-B2073,B2073)</f>
        <v/>
      </c>
      <c r="H2073">
        <f>IF(E2073="Yes","",COUNTIFS($E$2:E2073,"No"))</f>
        <v/>
      </c>
      <c r="I2073">
        <f>IF(H2073="","",IF(H2073&lt;=128,"address",IF(H2073&lt;=600,"data1",IF(H2073&lt;=1264,"zero-run1",IF(H2073&lt;=1648,"data2",IF(H2073&lt;=2176,"zero-run2",IF(H2073&lt;=2192,"FCS","trailing")))))))</f>
        <v/>
      </c>
      <c r="J2073">
        <f>IFERROR(IF(AND(H2073&lt;&gt;"",H2073&gt;=129,H2073&lt;=2176),INDEX(Fields!$B$2:$B$206,MATCH(H2073-129,Fields!$D$2:$D$206,1)),""),"")</f>
        <v/>
      </c>
      <c r="K2073">
        <f>IFERROR(IF(AND(H2073&lt;&gt;"",H2073&gt;=129,H2073&lt;=2176),INDEX(Fields!$C$2:$C$206,MATCH(H2073-129,Fields!$D$2:$D$206,1)),""),"")</f>
        <v/>
      </c>
      <c r="L2073">
        <f>IFERROR(IF(AND(H2073&lt;&gt;"",H2073&gt;=129,H2073&lt;=2176),INDEX(Fields!$J$2:$J$206,MATCH(H2073-129,Fields!$D$2:$D$206,1)),""),"")</f>
        <v/>
      </c>
      <c r="M2073">
        <f>IFERROR(IF(AND(H2073&lt;&gt;"",H2073&gt;=129,H2073&lt;=2176),INDEX(Fields!$K$2:$K$206,MATCH(H2073-129,Fields!$D$2:$D$206,1)),""),"")</f>
        <v/>
      </c>
    </row>
    <row r="2074">
      <c r="A2074" t="n">
        <v>2072</v>
      </c>
      <c r="B2074" t="n">
        <v>0</v>
      </c>
      <c r="C2074" t="inlineStr">
        <is>
          <t>No</t>
        </is>
      </c>
      <c r="D2074">
        <f>IF(AND(B2069=1,B2070=1,B2071=1,B2072=1,B2073=1),"Yes","")</f>
        <v/>
      </c>
      <c r="E2074" t="inlineStr">
        <is>
          <t>No</t>
        </is>
      </c>
      <c r="F2074" t="inlineStr">
        <is>
          <t>No</t>
        </is>
      </c>
      <c r="G2074">
        <f>IF(F2074="Yes",1-B2074,B2074)</f>
        <v/>
      </c>
      <c r="H2074">
        <f>IF(E2074="Yes","",COUNTIFS($E$2:E2074,"No"))</f>
        <v/>
      </c>
      <c r="I2074">
        <f>IF(H2074="","",IF(H2074&lt;=128,"address",IF(H2074&lt;=600,"data1",IF(H2074&lt;=1264,"zero-run1",IF(H2074&lt;=1648,"data2",IF(H2074&lt;=2176,"zero-run2",IF(H2074&lt;=2192,"FCS","trailing")))))))</f>
        <v/>
      </c>
      <c r="J2074">
        <f>IFERROR(IF(AND(H2074&lt;&gt;"",H2074&gt;=129,H2074&lt;=2176),INDEX(Fields!$B$2:$B$206,MATCH(H2074-129,Fields!$D$2:$D$206,1)),""),"")</f>
        <v/>
      </c>
      <c r="K2074">
        <f>IFERROR(IF(AND(H2074&lt;&gt;"",H2074&gt;=129,H2074&lt;=2176),INDEX(Fields!$C$2:$C$206,MATCH(H2074-129,Fields!$D$2:$D$206,1)),""),"")</f>
        <v/>
      </c>
      <c r="L2074">
        <f>IFERROR(IF(AND(H2074&lt;&gt;"",H2074&gt;=129,H2074&lt;=2176),INDEX(Fields!$J$2:$J$206,MATCH(H2074-129,Fields!$D$2:$D$206,1)),""),"")</f>
        <v/>
      </c>
      <c r="M2074">
        <f>IFERROR(IF(AND(H2074&lt;&gt;"",H2074&gt;=129,H2074&lt;=2176),INDEX(Fields!$K$2:$K$206,MATCH(H2074-129,Fields!$D$2:$D$206,1)),""),"")</f>
        <v/>
      </c>
    </row>
    <row r="2075">
      <c r="A2075" t="n">
        <v>2073</v>
      </c>
      <c r="B2075" t="n">
        <v>0</v>
      </c>
      <c r="C2075" t="inlineStr">
        <is>
          <t>No</t>
        </is>
      </c>
      <c r="D2075">
        <f>IF(AND(B2070=1,B2071=1,B2072=1,B2073=1,B2074=1),"Yes","")</f>
        <v/>
      </c>
      <c r="E2075" t="inlineStr">
        <is>
          <t>No</t>
        </is>
      </c>
      <c r="F2075" t="inlineStr">
        <is>
          <t>No</t>
        </is>
      </c>
      <c r="G2075">
        <f>IF(F2075="Yes",1-B2075,B2075)</f>
        <v/>
      </c>
      <c r="H2075">
        <f>IF(E2075="Yes","",COUNTIFS($E$2:E2075,"No"))</f>
        <v/>
      </c>
      <c r="I2075">
        <f>IF(H2075="","",IF(H2075&lt;=128,"address",IF(H2075&lt;=600,"data1",IF(H2075&lt;=1264,"zero-run1",IF(H2075&lt;=1648,"data2",IF(H2075&lt;=2176,"zero-run2",IF(H2075&lt;=2192,"FCS","trailing")))))))</f>
        <v/>
      </c>
      <c r="J2075">
        <f>IFERROR(IF(AND(H2075&lt;&gt;"",H2075&gt;=129,H2075&lt;=2176),INDEX(Fields!$B$2:$B$206,MATCH(H2075-129,Fields!$D$2:$D$206,1)),""),"")</f>
        <v/>
      </c>
      <c r="K2075">
        <f>IFERROR(IF(AND(H2075&lt;&gt;"",H2075&gt;=129,H2075&lt;=2176),INDEX(Fields!$C$2:$C$206,MATCH(H2075-129,Fields!$D$2:$D$206,1)),""),"")</f>
        <v/>
      </c>
      <c r="L2075">
        <f>IFERROR(IF(AND(H2075&lt;&gt;"",H2075&gt;=129,H2075&lt;=2176),INDEX(Fields!$J$2:$J$206,MATCH(H2075-129,Fields!$D$2:$D$206,1)),""),"")</f>
        <v/>
      </c>
      <c r="M2075">
        <f>IFERROR(IF(AND(H2075&lt;&gt;"",H2075&gt;=129,H2075&lt;=2176),INDEX(Fields!$K$2:$K$206,MATCH(H2075-129,Fields!$D$2:$D$206,1)),""),"")</f>
        <v/>
      </c>
    </row>
    <row r="2076">
      <c r="A2076" t="n">
        <v>2074</v>
      </c>
      <c r="B2076" t="n">
        <v>0</v>
      </c>
      <c r="C2076" t="inlineStr">
        <is>
          <t>No</t>
        </is>
      </c>
      <c r="D2076">
        <f>IF(AND(B2071=1,B2072=1,B2073=1,B2074=1,B2075=1),"Yes","")</f>
        <v/>
      </c>
      <c r="E2076" t="inlineStr">
        <is>
          <t>No</t>
        </is>
      </c>
      <c r="F2076" t="inlineStr">
        <is>
          <t>No</t>
        </is>
      </c>
      <c r="G2076">
        <f>IF(F2076="Yes",1-B2076,B2076)</f>
        <v/>
      </c>
      <c r="H2076">
        <f>IF(E2076="Yes","",COUNTIFS($E$2:E2076,"No"))</f>
        <v/>
      </c>
      <c r="I2076">
        <f>IF(H2076="","",IF(H2076&lt;=128,"address",IF(H2076&lt;=600,"data1",IF(H2076&lt;=1264,"zero-run1",IF(H2076&lt;=1648,"data2",IF(H2076&lt;=2176,"zero-run2",IF(H2076&lt;=2192,"FCS","trailing")))))))</f>
        <v/>
      </c>
      <c r="J2076">
        <f>IFERROR(IF(AND(H2076&lt;&gt;"",H2076&gt;=129,H2076&lt;=2176),INDEX(Fields!$B$2:$B$206,MATCH(H2076-129,Fields!$D$2:$D$206,1)),""),"")</f>
        <v/>
      </c>
      <c r="K2076">
        <f>IFERROR(IF(AND(H2076&lt;&gt;"",H2076&gt;=129,H2076&lt;=2176),INDEX(Fields!$C$2:$C$206,MATCH(H2076-129,Fields!$D$2:$D$206,1)),""),"")</f>
        <v/>
      </c>
      <c r="L2076">
        <f>IFERROR(IF(AND(H2076&lt;&gt;"",H2076&gt;=129,H2076&lt;=2176),INDEX(Fields!$J$2:$J$206,MATCH(H2076-129,Fields!$D$2:$D$206,1)),""),"")</f>
        <v/>
      </c>
      <c r="M2076">
        <f>IFERROR(IF(AND(H2076&lt;&gt;"",H2076&gt;=129,H2076&lt;=2176),INDEX(Fields!$K$2:$K$206,MATCH(H2076-129,Fields!$D$2:$D$206,1)),""),"")</f>
        <v/>
      </c>
    </row>
    <row r="2077">
      <c r="A2077" t="n">
        <v>2075</v>
      </c>
      <c r="B2077" t="n">
        <v>0</v>
      </c>
      <c r="C2077" t="inlineStr">
        <is>
          <t>No</t>
        </is>
      </c>
      <c r="D2077">
        <f>IF(AND(B2072=1,B2073=1,B2074=1,B2075=1,B2076=1),"Yes","")</f>
        <v/>
      </c>
      <c r="E2077" t="inlineStr">
        <is>
          <t>No</t>
        </is>
      </c>
      <c r="F2077" t="inlineStr">
        <is>
          <t>No</t>
        </is>
      </c>
      <c r="G2077">
        <f>IF(F2077="Yes",1-B2077,B2077)</f>
        <v/>
      </c>
      <c r="H2077">
        <f>IF(E2077="Yes","",COUNTIFS($E$2:E2077,"No"))</f>
        <v/>
      </c>
      <c r="I2077">
        <f>IF(H2077="","",IF(H2077&lt;=128,"address",IF(H2077&lt;=600,"data1",IF(H2077&lt;=1264,"zero-run1",IF(H2077&lt;=1648,"data2",IF(H2077&lt;=2176,"zero-run2",IF(H2077&lt;=2192,"FCS","trailing")))))))</f>
        <v/>
      </c>
      <c r="J2077">
        <f>IFERROR(IF(AND(H2077&lt;&gt;"",H2077&gt;=129,H2077&lt;=2176),INDEX(Fields!$B$2:$B$206,MATCH(H2077-129,Fields!$D$2:$D$206,1)),""),"")</f>
        <v/>
      </c>
      <c r="K2077">
        <f>IFERROR(IF(AND(H2077&lt;&gt;"",H2077&gt;=129,H2077&lt;=2176),INDEX(Fields!$C$2:$C$206,MATCH(H2077-129,Fields!$D$2:$D$206,1)),""),"")</f>
        <v/>
      </c>
      <c r="L2077">
        <f>IFERROR(IF(AND(H2077&lt;&gt;"",H2077&gt;=129,H2077&lt;=2176),INDEX(Fields!$J$2:$J$206,MATCH(H2077-129,Fields!$D$2:$D$206,1)),""),"")</f>
        <v/>
      </c>
      <c r="M2077">
        <f>IFERROR(IF(AND(H2077&lt;&gt;"",H2077&gt;=129,H2077&lt;=2176),INDEX(Fields!$K$2:$K$206,MATCH(H2077-129,Fields!$D$2:$D$206,1)),""),"")</f>
        <v/>
      </c>
    </row>
    <row r="2078">
      <c r="A2078" t="n">
        <v>2076</v>
      </c>
      <c r="B2078" t="n">
        <v>0</v>
      </c>
      <c r="C2078" t="inlineStr">
        <is>
          <t>No</t>
        </is>
      </c>
      <c r="D2078">
        <f>IF(AND(B2073=1,B2074=1,B2075=1,B2076=1,B2077=1),"Yes","")</f>
        <v/>
      </c>
      <c r="E2078" t="inlineStr">
        <is>
          <t>No</t>
        </is>
      </c>
      <c r="F2078" t="inlineStr">
        <is>
          <t>No</t>
        </is>
      </c>
      <c r="G2078">
        <f>IF(F2078="Yes",1-B2078,B2078)</f>
        <v/>
      </c>
      <c r="H2078">
        <f>IF(E2078="Yes","",COUNTIFS($E$2:E2078,"No"))</f>
        <v/>
      </c>
      <c r="I2078">
        <f>IF(H2078="","",IF(H2078&lt;=128,"address",IF(H2078&lt;=600,"data1",IF(H2078&lt;=1264,"zero-run1",IF(H2078&lt;=1648,"data2",IF(H2078&lt;=2176,"zero-run2",IF(H2078&lt;=2192,"FCS","trailing")))))))</f>
        <v/>
      </c>
      <c r="J2078">
        <f>IFERROR(IF(AND(H2078&lt;&gt;"",H2078&gt;=129,H2078&lt;=2176),INDEX(Fields!$B$2:$B$206,MATCH(H2078-129,Fields!$D$2:$D$206,1)),""),"")</f>
        <v/>
      </c>
      <c r="K2078">
        <f>IFERROR(IF(AND(H2078&lt;&gt;"",H2078&gt;=129,H2078&lt;=2176),INDEX(Fields!$C$2:$C$206,MATCH(H2078-129,Fields!$D$2:$D$206,1)),""),"")</f>
        <v/>
      </c>
      <c r="L2078">
        <f>IFERROR(IF(AND(H2078&lt;&gt;"",H2078&gt;=129,H2078&lt;=2176),INDEX(Fields!$J$2:$J$206,MATCH(H2078-129,Fields!$D$2:$D$206,1)),""),"")</f>
        <v/>
      </c>
      <c r="M2078">
        <f>IFERROR(IF(AND(H2078&lt;&gt;"",H2078&gt;=129,H2078&lt;=2176),INDEX(Fields!$K$2:$K$206,MATCH(H2078-129,Fields!$D$2:$D$206,1)),""),"")</f>
        <v/>
      </c>
    </row>
    <row r="2079">
      <c r="A2079" t="n">
        <v>2077</v>
      </c>
      <c r="B2079" t="n">
        <v>0</v>
      </c>
      <c r="C2079" t="inlineStr">
        <is>
          <t>No</t>
        </is>
      </c>
      <c r="D2079">
        <f>IF(AND(B2074=1,B2075=1,B2076=1,B2077=1,B2078=1),"Yes","")</f>
        <v/>
      </c>
      <c r="E2079" t="inlineStr">
        <is>
          <t>No</t>
        </is>
      </c>
      <c r="F2079" t="inlineStr">
        <is>
          <t>No</t>
        </is>
      </c>
      <c r="G2079">
        <f>IF(F2079="Yes",1-B2079,B2079)</f>
        <v/>
      </c>
      <c r="H2079">
        <f>IF(E2079="Yes","",COUNTIFS($E$2:E2079,"No"))</f>
        <v/>
      </c>
      <c r="I2079">
        <f>IF(H2079="","",IF(H2079&lt;=128,"address",IF(H2079&lt;=600,"data1",IF(H2079&lt;=1264,"zero-run1",IF(H2079&lt;=1648,"data2",IF(H2079&lt;=2176,"zero-run2",IF(H2079&lt;=2192,"FCS","trailing")))))))</f>
        <v/>
      </c>
      <c r="J2079">
        <f>IFERROR(IF(AND(H2079&lt;&gt;"",H2079&gt;=129,H2079&lt;=2176),INDEX(Fields!$B$2:$B$206,MATCH(H2079-129,Fields!$D$2:$D$206,1)),""),"")</f>
        <v/>
      </c>
      <c r="K2079">
        <f>IFERROR(IF(AND(H2079&lt;&gt;"",H2079&gt;=129,H2079&lt;=2176),INDEX(Fields!$C$2:$C$206,MATCH(H2079-129,Fields!$D$2:$D$206,1)),""),"")</f>
        <v/>
      </c>
      <c r="L2079">
        <f>IFERROR(IF(AND(H2079&lt;&gt;"",H2079&gt;=129,H2079&lt;=2176),INDEX(Fields!$J$2:$J$206,MATCH(H2079-129,Fields!$D$2:$D$206,1)),""),"")</f>
        <v/>
      </c>
      <c r="M2079">
        <f>IFERROR(IF(AND(H2079&lt;&gt;"",H2079&gt;=129,H2079&lt;=2176),INDEX(Fields!$K$2:$K$206,MATCH(H2079-129,Fields!$D$2:$D$206,1)),""),"")</f>
        <v/>
      </c>
    </row>
    <row r="2080">
      <c r="A2080" t="n">
        <v>2078</v>
      </c>
      <c r="B2080" t="n">
        <v>0</v>
      </c>
      <c r="C2080" t="inlineStr">
        <is>
          <t>No</t>
        </is>
      </c>
      <c r="D2080">
        <f>IF(AND(B2075=1,B2076=1,B2077=1,B2078=1,B2079=1),"Yes","")</f>
        <v/>
      </c>
      <c r="E2080" t="inlineStr">
        <is>
          <t>No</t>
        </is>
      </c>
      <c r="F2080" t="inlineStr">
        <is>
          <t>No</t>
        </is>
      </c>
      <c r="G2080">
        <f>IF(F2080="Yes",1-B2080,B2080)</f>
        <v/>
      </c>
      <c r="H2080">
        <f>IF(E2080="Yes","",COUNTIFS($E$2:E2080,"No"))</f>
        <v/>
      </c>
      <c r="I2080">
        <f>IF(H2080="","",IF(H2080&lt;=128,"address",IF(H2080&lt;=600,"data1",IF(H2080&lt;=1264,"zero-run1",IF(H2080&lt;=1648,"data2",IF(H2080&lt;=2176,"zero-run2",IF(H2080&lt;=2192,"FCS","trailing")))))))</f>
        <v/>
      </c>
      <c r="J2080">
        <f>IFERROR(IF(AND(H2080&lt;&gt;"",H2080&gt;=129,H2080&lt;=2176),INDEX(Fields!$B$2:$B$206,MATCH(H2080-129,Fields!$D$2:$D$206,1)),""),"")</f>
        <v/>
      </c>
      <c r="K2080">
        <f>IFERROR(IF(AND(H2080&lt;&gt;"",H2080&gt;=129,H2080&lt;=2176),INDEX(Fields!$C$2:$C$206,MATCH(H2080-129,Fields!$D$2:$D$206,1)),""),"")</f>
        <v/>
      </c>
      <c r="L2080">
        <f>IFERROR(IF(AND(H2080&lt;&gt;"",H2080&gt;=129,H2080&lt;=2176),INDEX(Fields!$J$2:$J$206,MATCH(H2080-129,Fields!$D$2:$D$206,1)),""),"")</f>
        <v/>
      </c>
      <c r="M2080">
        <f>IFERROR(IF(AND(H2080&lt;&gt;"",H2080&gt;=129,H2080&lt;=2176),INDEX(Fields!$K$2:$K$206,MATCH(H2080-129,Fields!$D$2:$D$206,1)),""),"")</f>
        <v/>
      </c>
    </row>
    <row r="2081">
      <c r="A2081" t="n">
        <v>2079</v>
      </c>
      <c r="B2081" t="n">
        <v>0</v>
      </c>
      <c r="C2081" t="inlineStr">
        <is>
          <t>No</t>
        </is>
      </c>
      <c r="D2081">
        <f>IF(AND(B2076=1,B2077=1,B2078=1,B2079=1,B2080=1),"Yes","")</f>
        <v/>
      </c>
      <c r="E2081" t="inlineStr">
        <is>
          <t>No</t>
        </is>
      </c>
      <c r="F2081" t="inlineStr">
        <is>
          <t>No</t>
        </is>
      </c>
      <c r="G2081">
        <f>IF(F2081="Yes",1-B2081,B2081)</f>
        <v/>
      </c>
      <c r="H2081">
        <f>IF(E2081="Yes","",COUNTIFS($E$2:E2081,"No"))</f>
        <v/>
      </c>
      <c r="I2081">
        <f>IF(H2081="","",IF(H2081&lt;=128,"address",IF(H2081&lt;=600,"data1",IF(H2081&lt;=1264,"zero-run1",IF(H2081&lt;=1648,"data2",IF(H2081&lt;=2176,"zero-run2",IF(H2081&lt;=2192,"FCS","trailing")))))))</f>
        <v/>
      </c>
      <c r="J2081">
        <f>IFERROR(IF(AND(H2081&lt;&gt;"",H2081&gt;=129,H2081&lt;=2176),INDEX(Fields!$B$2:$B$206,MATCH(H2081-129,Fields!$D$2:$D$206,1)),""),"")</f>
        <v/>
      </c>
      <c r="K2081">
        <f>IFERROR(IF(AND(H2081&lt;&gt;"",H2081&gt;=129,H2081&lt;=2176),INDEX(Fields!$C$2:$C$206,MATCH(H2081-129,Fields!$D$2:$D$206,1)),""),"")</f>
        <v/>
      </c>
      <c r="L2081">
        <f>IFERROR(IF(AND(H2081&lt;&gt;"",H2081&gt;=129,H2081&lt;=2176),INDEX(Fields!$J$2:$J$206,MATCH(H2081-129,Fields!$D$2:$D$206,1)),""),"")</f>
        <v/>
      </c>
      <c r="M2081">
        <f>IFERROR(IF(AND(H2081&lt;&gt;"",H2081&gt;=129,H2081&lt;=2176),INDEX(Fields!$K$2:$K$206,MATCH(H2081-129,Fields!$D$2:$D$206,1)),""),"")</f>
        <v/>
      </c>
    </row>
    <row r="2082">
      <c r="A2082" t="n">
        <v>2080</v>
      </c>
      <c r="B2082" t="n">
        <v>0</v>
      </c>
      <c r="C2082" t="inlineStr">
        <is>
          <t>No</t>
        </is>
      </c>
      <c r="D2082">
        <f>IF(AND(B2077=1,B2078=1,B2079=1,B2080=1,B2081=1),"Yes","")</f>
        <v/>
      </c>
      <c r="E2082" t="inlineStr">
        <is>
          <t>No</t>
        </is>
      </c>
      <c r="F2082" t="inlineStr">
        <is>
          <t>No</t>
        </is>
      </c>
      <c r="G2082">
        <f>IF(F2082="Yes",1-B2082,B2082)</f>
        <v/>
      </c>
      <c r="H2082">
        <f>IF(E2082="Yes","",COUNTIFS($E$2:E2082,"No"))</f>
        <v/>
      </c>
      <c r="I2082">
        <f>IF(H2082="","",IF(H2082&lt;=128,"address",IF(H2082&lt;=600,"data1",IF(H2082&lt;=1264,"zero-run1",IF(H2082&lt;=1648,"data2",IF(H2082&lt;=2176,"zero-run2",IF(H2082&lt;=2192,"FCS","trailing")))))))</f>
        <v/>
      </c>
      <c r="J2082">
        <f>IFERROR(IF(AND(H2082&lt;&gt;"",H2082&gt;=129,H2082&lt;=2176),INDEX(Fields!$B$2:$B$206,MATCH(H2082-129,Fields!$D$2:$D$206,1)),""),"")</f>
        <v/>
      </c>
      <c r="K2082">
        <f>IFERROR(IF(AND(H2082&lt;&gt;"",H2082&gt;=129,H2082&lt;=2176),INDEX(Fields!$C$2:$C$206,MATCH(H2082-129,Fields!$D$2:$D$206,1)),""),"")</f>
        <v/>
      </c>
      <c r="L2082">
        <f>IFERROR(IF(AND(H2082&lt;&gt;"",H2082&gt;=129,H2082&lt;=2176),INDEX(Fields!$J$2:$J$206,MATCH(H2082-129,Fields!$D$2:$D$206,1)),""),"")</f>
        <v/>
      </c>
      <c r="M2082">
        <f>IFERROR(IF(AND(H2082&lt;&gt;"",H2082&gt;=129,H2082&lt;=2176),INDEX(Fields!$K$2:$K$206,MATCH(H2082-129,Fields!$D$2:$D$206,1)),""),"")</f>
        <v/>
      </c>
    </row>
    <row r="2083">
      <c r="A2083" t="n">
        <v>2081</v>
      </c>
      <c r="B2083" t="n">
        <v>0</v>
      </c>
      <c r="C2083" t="inlineStr">
        <is>
          <t>No</t>
        </is>
      </c>
      <c r="D2083">
        <f>IF(AND(B2078=1,B2079=1,B2080=1,B2081=1,B2082=1),"Yes","")</f>
        <v/>
      </c>
      <c r="E2083" t="inlineStr">
        <is>
          <t>No</t>
        </is>
      </c>
      <c r="F2083" t="inlineStr">
        <is>
          <t>No</t>
        </is>
      </c>
      <c r="G2083">
        <f>IF(F2083="Yes",1-B2083,B2083)</f>
        <v/>
      </c>
      <c r="H2083">
        <f>IF(E2083="Yes","",COUNTIFS($E$2:E2083,"No"))</f>
        <v/>
      </c>
      <c r="I2083">
        <f>IF(H2083="","",IF(H2083&lt;=128,"address",IF(H2083&lt;=600,"data1",IF(H2083&lt;=1264,"zero-run1",IF(H2083&lt;=1648,"data2",IF(H2083&lt;=2176,"zero-run2",IF(H2083&lt;=2192,"FCS","trailing")))))))</f>
        <v/>
      </c>
      <c r="J2083">
        <f>IFERROR(IF(AND(H2083&lt;&gt;"",H2083&gt;=129,H2083&lt;=2176),INDEX(Fields!$B$2:$B$206,MATCH(H2083-129,Fields!$D$2:$D$206,1)),""),"")</f>
        <v/>
      </c>
      <c r="K2083">
        <f>IFERROR(IF(AND(H2083&lt;&gt;"",H2083&gt;=129,H2083&lt;=2176),INDEX(Fields!$C$2:$C$206,MATCH(H2083-129,Fields!$D$2:$D$206,1)),""),"")</f>
        <v/>
      </c>
      <c r="L2083">
        <f>IFERROR(IF(AND(H2083&lt;&gt;"",H2083&gt;=129,H2083&lt;=2176),INDEX(Fields!$J$2:$J$206,MATCH(H2083-129,Fields!$D$2:$D$206,1)),""),"")</f>
        <v/>
      </c>
      <c r="M2083">
        <f>IFERROR(IF(AND(H2083&lt;&gt;"",H2083&gt;=129,H2083&lt;=2176),INDEX(Fields!$K$2:$K$206,MATCH(H2083-129,Fields!$D$2:$D$206,1)),""),"")</f>
        <v/>
      </c>
    </row>
    <row r="2084">
      <c r="A2084" t="n">
        <v>2082</v>
      </c>
      <c r="B2084" t="n">
        <v>0</v>
      </c>
      <c r="C2084" t="inlineStr">
        <is>
          <t>No</t>
        </is>
      </c>
      <c r="D2084">
        <f>IF(AND(B2079=1,B2080=1,B2081=1,B2082=1,B2083=1),"Yes","")</f>
        <v/>
      </c>
      <c r="E2084" t="inlineStr">
        <is>
          <t>No</t>
        </is>
      </c>
      <c r="F2084" t="inlineStr">
        <is>
          <t>No</t>
        </is>
      </c>
      <c r="G2084">
        <f>IF(F2084="Yes",1-B2084,B2084)</f>
        <v/>
      </c>
      <c r="H2084">
        <f>IF(E2084="Yes","",COUNTIFS($E$2:E2084,"No"))</f>
        <v/>
      </c>
      <c r="I2084">
        <f>IF(H2084="","",IF(H2084&lt;=128,"address",IF(H2084&lt;=600,"data1",IF(H2084&lt;=1264,"zero-run1",IF(H2084&lt;=1648,"data2",IF(H2084&lt;=2176,"zero-run2",IF(H2084&lt;=2192,"FCS","trailing")))))))</f>
        <v/>
      </c>
      <c r="J2084">
        <f>IFERROR(IF(AND(H2084&lt;&gt;"",H2084&gt;=129,H2084&lt;=2176),INDEX(Fields!$B$2:$B$206,MATCH(H2084-129,Fields!$D$2:$D$206,1)),""),"")</f>
        <v/>
      </c>
      <c r="K2084">
        <f>IFERROR(IF(AND(H2084&lt;&gt;"",H2084&gt;=129,H2084&lt;=2176),INDEX(Fields!$C$2:$C$206,MATCH(H2084-129,Fields!$D$2:$D$206,1)),""),"")</f>
        <v/>
      </c>
      <c r="L2084">
        <f>IFERROR(IF(AND(H2084&lt;&gt;"",H2084&gt;=129,H2084&lt;=2176),INDEX(Fields!$J$2:$J$206,MATCH(H2084-129,Fields!$D$2:$D$206,1)),""),"")</f>
        <v/>
      </c>
      <c r="M2084">
        <f>IFERROR(IF(AND(H2084&lt;&gt;"",H2084&gt;=129,H2084&lt;=2176),INDEX(Fields!$K$2:$K$206,MATCH(H2084-129,Fields!$D$2:$D$206,1)),""),"")</f>
        <v/>
      </c>
    </row>
    <row r="2085">
      <c r="A2085" t="n">
        <v>2083</v>
      </c>
      <c r="B2085" t="n">
        <v>0</v>
      </c>
      <c r="C2085" t="inlineStr">
        <is>
          <t>No</t>
        </is>
      </c>
      <c r="D2085">
        <f>IF(AND(B2080=1,B2081=1,B2082=1,B2083=1,B2084=1),"Yes","")</f>
        <v/>
      </c>
      <c r="E2085" t="inlineStr">
        <is>
          <t>No</t>
        </is>
      </c>
      <c r="F2085" t="inlineStr">
        <is>
          <t>No</t>
        </is>
      </c>
      <c r="G2085">
        <f>IF(F2085="Yes",1-B2085,B2085)</f>
        <v/>
      </c>
      <c r="H2085">
        <f>IF(E2085="Yes","",COUNTIFS($E$2:E2085,"No"))</f>
        <v/>
      </c>
      <c r="I2085">
        <f>IF(H2085="","",IF(H2085&lt;=128,"address",IF(H2085&lt;=600,"data1",IF(H2085&lt;=1264,"zero-run1",IF(H2085&lt;=1648,"data2",IF(H2085&lt;=2176,"zero-run2",IF(H2085&lt;=2192,"FCS","trailing")))))))</f>
        <v/>
      </c>
      <c r="J2085">
        <f>IFERROR(IF(AND(H2085&lt;&gt;"",H2085&gt;=129,H2085&lt;=2176),INDEX(Fields!$B$2:$B$206,MATCH(H2085-129,Fields!$D$2:$D$206,1)),""),"")</f>
        <v/>
      </c>
      <c r="K2085">
        <f>IFERROR(IF(AND(H2085&lt;&gt;"",H2085&gt;=129,H2085&lt;=2176),INDEX(Fields!$C$2:$C$206,MATCH(H2085-129,Fields!$D$2:$D$206,1)),""),"")</f>
        <v/>
      </c>
      <c r="L2085">
        <f>IFERROR(IF(AND(H2085&lt;&gt;"",H2085&gt;=129,H2085&lt;=2176),INDEX(Fields!$J$2:$J$206,MATCH(H2085-129,Fields!$D$2:$D$206,1)),""),"")</f>
        <v/>
      </c>
      <c r="M2085">
        <f>IFERROR(IF(AND(H2085&lt;&gt;"",H2085&gt;=129,H2085&lt;=2176),INDEX(Fields!$K$2:$K$206,MATCH(H2085-129,Fields!$D$2:$D$206,1)),""),"")</f>
        <v/>
      </c>
    </row>
    <row r="2086">
      <c r="A2086" t="n">
        <v>2084</v>
      </c>
      <c r="B2086" t="n">
        <v>0</v>
      </c>
      <c r="C2086" t="inlineStr">
        <is>
          <t>No</t>
        </is>
      </c>
      <c r="D2086">
        <f>IF(AND(B2081=1,B2082=1,B2083=1,B2084=1,B2085=1),"Yes","")</f>
        <v/>
      </c>
      <c r="E2086" t="inlineStr">
        <is>
          <t>No</t>
        </is>
      </c>
      <c r="F2086" t="inlineStr">
        <is>
          <t>No</t>
        </is>
      </c>
      <c r="G2086">
        <f>IF(F2086="Yes",1-B2086,B2086)</f>
        <v/>
      </c>
      <c r="H2086">
        <f>IF(E2086="Yes","",COUNTIFS($E$2:E2086,"No"))</f>
        <v/>
      </c>
      <c r="I2086">
        <f>IF(H2086="","",IF(H2086&lt;=128,"address",IF(H2086&lt;=600,"data1",IF(H2086&lt;=1264,"zero-run1",IF(H2086&lt;=1648,"data2",IF(H2086&lt;=2176,"zero-run2",IF(H2086&lt;=2192,"FCS","trailing")))))))</f>
        <v/>
      </c>
      <c r="J2086">
        <f>IFERROR(IF(AND(H2086&lt;&gt;"",H2086&gt;=129,H2086&lt;=2176),INDEX(Fields!$B$2:$B$206,MATCH(H2086-129,Fields!$D$2:$D$206,1)),""),"")</f>
        <v/>
      </c>
      <c r="K2086">
        <f>IFERROR(IF(AND(H2086&lt;&gt;"",H2086&gt;=129,H2086&lt;=2176),INDEX(Fields!$C$2:$C$206,MATCH(H2086-129,Fields!$D$2:$D$206,1)),""),"")</f>
        <v/>
      </c>
      <c r="L2086">
        <f>IFERROR(IF(AND(H2086&lt;&gt;"",H2086&gt;=129,H2086&lt;=2176),INDEX(Fields!$J$2:$J$206,MATCH(H2086-129,Fields!$D$2:$D$206,1)),""),"")</f>
        <v/>
      </c>
      <c r="M2086">
        <f>IFERROR(IF(AND(H2086&lt;&gt;"",H2086&gt;=129,H2086&lt;=2176),INDEX(Fields!$K$2:$K$206,MATCH(H2086-129,Fields!$D$2:$D$206,1)),""),"")</f>
        <v/>
      </c>
    </row>
    <row r="2087">
      <c r="A2087" t="n">
        <v>2085</v>
      </c>
      <c r="B2087" t="n">
        <v>0</v>
      </c>
      <c r="C2087" t="inlineStr">
        <is>
          <t>No</t>
        </is>
      </c>
      <c r="D2087">
        <f>IF(AND(B2082=1,B2083=1,B2084=1,B2085=1,B2086=1),"Yes","")</f>
        <v/>
      </c>
      <c r="E2087" t="inlineStr">
        <is>
          <t>No</t>
        </is>
      </c>
      <c r="F2087" t="inlineStr">
        <is>
          <t>No</t>
        </is>
      </c>
      <c r="G2087">
        <f>IF(F2087="Yes",1-B2087,B2087)</f>
        <v/>
      </c>
      <c r="H2087">
        <f>IF(E2087="Yes","",COUNTIFS($E$2:E2087,"No"))</f>
        <v/>
      </c>
      <c r="I2087">
        <f>IF(H2087="","",IF(H2087&lt;=128,"address",IF(H2087&lt;=600,"data1",IF(H2087&lt;=1264,"zero-run1",IF(H2087&lt;=1648,"data2",IF(H2087&lt;=2176,"zero-run2",IF(H2087&lt;=2192,"FCS","trailing")))))))</f>
        <v/>
      </c>
      <c r="J2087">
        <f>IFERROR(IF(AND(H2087&lt;&gt;"",H2087&gt;=129,H2087&lt;=2176),INDEX(Fields!$B$2:$B$206,MATCH(H2087-129,Fields!$D$2:$D$206,1)),""),"")</f>
        <v/>
      </c>
      <c r="K2087">
        <f>IFERROR(IF(AND(H2087&lt;&gt;"",H2087&gt;=129,H2087&lt;=2176),INDEX(Fields!$C$2:$C$206,MATCH(H2087-129,Fields!$D$2:$D$206,1)),""),"")</f>
        <v/>
      </c>
      <c r="L2087">
        <f>IFERROR(IF(AND(H2087&lt;&gt;"",H2087&gt;=129,H2087&lt;=2176),INDEX(Fields!$J$2:$J$206,MATCH(H2087-129,Fields!$D$2:$D$206,1)),""),"")</f>
        <v/>
      </c>
      <c r="M2087">
        <f>IFERROR(IF(AND(H2087&lt;&gt;"",H2087&gt;=129,H2087&lt;=2176),INDEX(Fields!$K$2:$K$206,MATCH(H2087-129,Fields!$D$2:$D$206,1)),""),"")</f>
        <v/>
      </c>
    </row>
    <row r="2088">
      <c r="A2088" t="n">
        <v>2086</v>
      </c>
      <c r="B2088" t="n">
        <v>0</v>
      </c>
      <c r="C2088" t="inlineStr">
        <is>
          <t>No</t>
        </is>
      </c>
      <c r="D2088">
        <f>IF(AND(B2083=1,B2084=1,B2085=1,B2086=1,B2087=1),"Yes","")</f>
        <v/>
      </c>
      <c r="E2088" t="inlineStr">
        <is>
          <t>No</t>
        </is>
      </c>
      <c r="F2088" t="inlineStr">
        <is>
          <t>No</t>
        </is>
      </c>
      <c r="G2088">
        <f>IF(F2088="Yes",1-B2088,B2088)</f>
        <v/>
      </c>
      <c r="H2088">
        <f>IF(E2088="Yes","",COUNTIFS($E$2:E2088,"No"))</f>
        <v/>
      </c>
      <c r="I2088">
        <f>IF(H2088="","",IF(H2088&lt;=128,"address",IF(H2088&lt;=600,"data1",IF(H2088&lt;=1264,"zero-run1",IF(H2088&lt;=1648,"data2",IF(H2088&lt;=2176,"zero-run2",IF(H2088&lt;=2192,"FCS","trailing")))))))</f>
        <v/>
      </c>
      <c r="J2088">
        <f>IFERROR(IF(AND(H2088&lt;&gt;"",H2088&gt;=129,H2088&lt;=2176),INDEX(Fields!$B$2:$B$206,MATCH(H2088-129,Fields!$D$2:$D$206,1)),""),"")</f>
        <v/>
      </c>
      <c r="K2088">
        <f>IFERROR(IF(AND(H2088&lt;&gt;"",H2088&gt;=129,H2088&lt;=2176),INDEX(Fields!$C$2:$C$206,MATCH(H2088-129,Fields!$D$2:$D$206,1)),""),"")</f>
        <v/>
      </c>
      <c r="L2088">
        <f>IFERROR(IF(AND(H2088&lt;&gt;"",H2088&gt;=129,H2088&lt;=2176),INDEX(Fields!$J$2:$J$206,MATCH(H2088-129,Fields!$D$2:$D$206,1)),""),"")</f>
        <v/>
      </c>
      <c r="M2088">
        <f>IFERROR(IF(AND(H2088&lt;&gt;"",H2088&gt;=129,H2088&lt;=2176),INDEX(Fields!$K$2:$K$206,MATCH(H2088-129,Fields!$D$2:$D$206,1)),""),"")</f>
        <v/>
      </c>
    </row>
    <row r="2089">
      <c r="A2089" t="n">
        <v>2087</v>
      </c>
      <c r="B2089" t="n">
        <v>0</v>
      </c>
      <c r="C2089" t="inlineStr">
        <is>
          <t>No</t>
        </is>
      </c>
      <c r="D2089">
        <f>IF(AND(B2084=1,B2085=1,B2086=1,B2087=1,B2088=1),"Yes","")</f>
        <v/>
      </c>
      <c r="E2089" t="inlineStr">
        <is>
          <t>No</t>
        </is>
      </c>
      <c r="F2089" t="inlineStr">
        <is>
          <t>No</t>
        </is>
      </c>
      <c r="G2089">
        <f>IF(F2089="Yes",1-B2089,B2089)</f>
        <v/>
      </c>
      <c r="H2089">
        <f>IF(E2089="Yes","",COUNTIFS($E$2:E2089,"No"))</f>
        <v/>
      </c>
      <c r="I2089">
        <f>IF(H2089="","",IF(H2089&lt;=128,"address",IF(H2089&lt;=600,"data1",IF(H2089&lt;=1264,"zero-run1",IF(H2089&lt;=1648,"data2",IF(H2089&lt;=2176,"zero-run2",IF(H2089&lt;=2192,"FCS","trailing")))))))</f>
        <v/>
      </c>
      <c r="J2089">
        <f>IFERROR(IF(AND(H2089&lt;&gt;"",H2089&gt;=129,H2089&lt;=2176),INDEX(Fields!$B$2:$B$206,MATCH(H2089-129,Fields!$D$2:$D$206,1)),""),"")</f>
        <v/>
      </c>
      <c r="K2089">
        <f>IFERROR(IF(AND(H2089&lt;&gt;"",H2089&gt;=129,H2089&lt;=2176),INDEX(Fields!$C$2:$C$206,MATCH(H2089-129,Fields!$D$2:$D$206,1)),""),"")</f>
        <v/>
      </c>
      <c r="L2089">
        <f>IFERROR(IF(AND(H2089&lt;&gt;"",H2089&gt;=129,H2089&lt;=2176),INDEX(Fields!$J$2:$J$206,MATCH(H2089-129,Fields!$D$2:$D$206,1)),""),"")</f>
        <v/>
      </c>
      <c r="M2089">
        <f>IFERROR(IF(AND(H2089&lt;&gt;"",H2089&gt;=129,H2089&lt;=2176),INDEX(Fields!$K$2:$K$206,MATCH(H2089-129,Fields!$D$2:$D$206,1)),""),"")</f>
        <v/>
      </c>
    </row>
    <row r="2090">
      <c r="A2090" t="n">
        <v>2088</v>
      </c>
      <c r="B2090" t="n">
        <v>0</v>
      </c>
      <c r="C2090" t="inlineStr">
        <is>
          <t>No</t>
        </is>
      </c>
      <c r="D2090">
        <f>IF(AND(B2085=1,B2086=1,B2087=1,B2088=1,B2089=1),"Yes","")</f>
        <v/>
      </c>
      <c r="E2090" t="inlineStr">
        <is>
          <t>No</t>
        </is>
      </c>
      <c r="F2090" t="inlineStr">
        <is>
          <t>No</t>
        </is>
      </c>
      <c r="G2090">
        <f>IF(F2090="Yes",1-B2090,B2090)</f>
        <v/>
      </c>
      <c r="H2090">
        <f>IF(E2090="Yes","",COUNTIFS($E$2:E2090,"No"))</f>
        <v/>
      </c>
      <c r="I2090">
        <f>IF(H2090="","",IF(H2090&lt;=128,"address",IF(H2090&lt;=600,"data1",IF(H2090&lt;=1264,"zero-run1",IF(H2090&lt;=1648,"data2",IF(H2090&lt;=2176,"zero-run2",IF(H2090&lt;=2192,"FCS","trailing")))))))</f>
        <v/>
      </c>
      <c r="J2090">
        <f>IFERROR(IF(AND(H2090&lt;&gt;"",H2090&gt;=129,H2090&lt;=2176),INDEX(Fields!$B$2:$B$206,MATCH(H2090-129,Fields!$D$2:$D$206,1)),""),"")</f>
        <v/>
      </c>
      <c r="K2090">
        <f>IFERROR(IF(AND(H2090&lt;&gt;"",H2090&gt;=129,H2090&lt;=2176),INDEX(Fields!$C$2:$C$206,MATCH(H2090-129,Fields!$D$2:$D$206,1)),""),"")</f>
        <v/>
      </c>
      <c r="L2090">
        <f>IFERROR(IF(AND(H2090&lt;&gt;"",H2090&gt;=129,H2090&lt;=2176),INDEX(Fields!$J$2:$J$206,MATCH(H2090-129,Fields!$D$2:$D$206,1)),""),"")</f>
        <v/>
      </c>
      <c r="M2090">
        <f>IFERROR(IF(AND(H2090&lt;&gt;"",H2090&gt;=129,H2090&lt;=2176),INDEX(Fields!$K$2:$K$206,MATCH(H2090-129,Fields!$D$2:$D$206,1)),""),"")</f>
        <v/>
      </c>
    </row>
    <row r="2091">
      <c r="A2091" t="n">
        <v>2089</v>
      </c>
      <c r="B2091" t="n">
        <v>0</v>
      </c>
      <c r="C2091" t="inlineStr">
        <is>
          <t>No</t>
        </is>
      </c>
      <c r="D2091">
        <f>IF(AND(B2086=1,B2087=1,B2088=1,B2089=1,B2090=1),"Yes","")</f>
        <v/>
      </c>
      <c r="E2091" t="inlineStr">
        <is>
          <t>No</t>
        </is>
      </c>
      <c r="F2091" t="inlineStr">
        <is>
          <t>No</t>
        </is>
      </c>
      <c r="G2091">
        <f>IF(F2091="Yes",1-B2091,B2091)</f>
        <v/>
      </c>
      <c r="H2091">
        <f>IF(E2091="Yes","",COUNTIFS($E$2:E2091,"No"))</f>
        <v/>
      </c>
      <c r="I2091">
        <f>IF(H2091="","",IF(H2091&lt;=128,"address",IF(H2091&lt;=600,"data1",IF(H2091&lt;=1264,"zero-run1",IF(H2091&lt;=1648,"data2",IF(H2091&lt;=2176,"zero-run2",IF(H2091&lt;=2192,"FCS","trailing")))))))</f>
        <v/>
      </c>
      <c r="J2091">
        <f>IFERROR(IF(AND(H2091&lt;&gt;"",H2091&gt;=129,H2091&lt;=2176),INDEX(Fields!$B$2:$B$206,MATCH(H2091-129,Fields!$D$2:$D$206,1)),""),"")</f>
        <v/>
      </c>
      <c r="K2091">
        <f>IFERROR(IF(AND(H2091&lt;&gt;"",H2091&gt;=129,H2091&lt;=2176),INDEX(Fields!$C$2:$C$206,MATCH(H2091-129,Fields!$D$2:$D$206,1)),""),"")</f>
        <v/>
      </c>
      <c r="L2091">
        <f>IFERROR(IF(AND(H2091&lt;&gt;"",H2091&gt;=129,H2091&lt;=2176),INDEX(Fields!$J$2:$J$206,MATCH(H2091-129,Fields!$D$2:$D$206,1)),""),"")</f>
        <v/>
      </c>
      <c r="M2091">
        <f>IFERROR(IF(AND(H2091&lt;&gt;"",H2091&gt;=129,H2091&lt;=2176),INDEX(Fields!$K$2:$K$206,MATCH(H2091-129,Fields!$D$2:$D$206,1)),""),"")</f>
        <v/>
      </c>
    </row>
    <row r="2092">
      <c r="A2092" t="n">
        <v>2090</v>
      </c>
      <c r="B2092" t="n">
        <v>0</v>
      </c>
      <c r="C2092" t="inlineStr">
        <is>
          <t>No</t>
        </is>
      </c>
      <c r="D2092">
        <f>IF(AND(B2087=1,B2088=1,B2089=1,B2090=1,B2091=1),"Yes","")</f>
        <v/>
      </c>
      <c r="E2092" t="inlineStr">
        <is>
          <t>No</t>
        </is>
      </c>
      <c r="F2092" t="inlineStr">
        <is>
          <t>No</t>
        </is>
      </c>
      <c r="G2092">
        <f>IF(F2092="Yes",1-B2092,B2092)</f>
        <v/>
      </c>
      <c r="H2092">
        <f>IF(E2092="Yes","",COUNTIFS($E$2:E2092,"No"))</f>
        <v/>
      </c>
      <c r="I2092">
        <f>IF(H2092="","",IF(H2092&lt;=128,"address",IF(H2092&lt;=600,"data1",IF(H2092&lt;=1264,"zero-run1",IF(H2092&lt;=1648,"data2",IF(H2092&lt;=2176,"zero-run2",IF(H2092&lt;=2192,"FCS","trailing")))))))</f>
        <v/>
      </c>
      <c r="J2092">
        <f>IFERROR(IF(AND(H2092&lt;&gt;"",H2092&gt;=129,H2092&lt;=2176),INDEX(Fields!$B$2:$B$206,MATCH(H2092-129,Fields!$D$2:$D$206,1)),""),"")</f>
        <v/>
      </c>
      <c r="K2092">
        <f>IFERROR(IF(AND(H2092&lt;&gt;"",H2092&gt;=129,H2092&lt;=2176),INDEX(Fields!$C$2:$C$206,MATCH(H2092-129,Fields!$D$2:$D$206,1)),""),"")</f>
        <v/>
      </c>
      <c r="L2092">
        <f>IFERROR(IF(AND(H2092&lt;&gt;"",H2092&gt;=129,H2092&lt;=2176),INDEX(Fields!$J$2:$J$206,MATCH(H2092-129,Fields!$D$2:$D$206,1)),""),"")</f>
        <v/>
      </c>
      <c r="M2092">
        <f>IFERROR(IF(AND(H2092&lt;&gt;"",H2092&gt;=129,H2092&lt;=2176),INDEX(Fields!$K$2:$K$206,MATCH(H2092-129,Fields!$D$2:$D$206,1)),""),"")</f>
        <v/>
      </c>
    </row>
    <row r="2093">
      <c r="A2093" t="n">
        <v>2091</v>
      </c>
      <c r="B2093" t="n">
        <v>0</v>
      </c>
      <c r="C2093" t="inlineStr">
        <is>
          <t>No</t>
        </is>
      </c>
      <c r="D2093">
        <f>IF(AND(B2088=1,B2089=1,B2090=1,B2091=1,B2092=1),"Yes","")</f>
        <v/>
      </c>
      <c r="E2093" t="inlineStr">
        <is>
          <t>No</t>
        </is>
      </c>
      <c r="F2093" t="inlineStr">
        <is>
          <t>No</t>
        </is>
      </c>
      <c r="G2093">
        <f>IF(F2093="Yes",1-B2093,B2093)</f>
        <v/>
      </c>
      <c r="H2093">
        <f>IF(E2093="Yes","",COUNTIFS($E$2:E2093,"No"))</f>
        <v/>
      </c>
      <c r="I2093">
        <f>IF(H2093="","",IF(H2093&lt;=128,"address",IF(H2093&lt;=600,"data1",IF(H2093&lt;=1264,"zero-run1",IF(H2093&lt;=1648,"data2",IF(H2093&lt;=2176,"zero-run2",IF(H2093&lt;=2192,"FCS","trailing")))))))</f>
        <v/>
      </c>
      <c r="J2093">
        <f>IFERROR(IF(AND(H2093&lt;&gt;"",H2093&gt;=129,H2093&lt;=2176),INDEX(Fields!$B$2:$B$206,MATCH(H2093-129,Fields!$D$2:$D$206,1)),""),"")</f>
        <v/>
      </c>
      <c r="K2093">
        <f>IFERROR(IF(AND(H2093&lt;&gt;"",H2093&gt;=129,H2093&lt;=2176),INDEX(Fields!$C$2:$C$206,MATCH(H2093-129,Fields!$D$2:$D$206,1)),""),"")</f>
        <v/>
      </c>
      <c r="L2093">
        <f>IFERROR(IF(AND(H2093&lt;&gt;"",H2093&gt;=129,H2093&lt;=2176),INDEX(Fields!$J$2:$J$206,MATCH(H2093-129,Fields!$D$2:$D$206,1)),""),"")</f>
        <v/>
      </c>
      <c r="M2093">
        <f>IFERROR(IF(AND(H2093&lt;&gt;"",H2093&gt;=129,H2093&lt;=2176),INDEX(Fields!$K$2:$K$206,MATCH(H2093-129,Fields!$D$2:$D$206,1)),""),"")</f>
        <v/>
      </c>
    </row>
    <row r="2094">
      <c r="A2094" t="n">
        <v>2092</v>
      </c>
      <c r="B2094" t="n">
        <v>0</v>
      </c>
      <c r="C2094" t="inlineStr">
        <is>
          <t>No</t>
        </is>
      </c>
      <c r="D2094">
        <f>IF(AND(B2089=1,B2090=1,B2091=1,B2092=1,B2093=1),"Yes","")</f>
        <v/>
      </c>
      <c r="E2094" t="inlineStr">
        <is>
          <t>No</t>
        </is>
      </c>
      <c r="F2094" t="inlineStr">
        <is>
          <t>No</t>
        </is>
      </c>
      <c r="G2094">
        <f>IF(F2094="Yes",1-B2094,B2094)</f>
        <v/>
      </c>
      <c r="H2094">
        <f>IF(E2094="Yes","",COUNTIFS($E$2:E2094,"No"))</f>
        <v/>
      </c>
      <c r="I2094">
        <f>IF(H2094="","",IF(H2094&lt;=128,"address",IF(H2094&lt;=600,"data1",IF(H2094&lt;=1264,"zero-run1",IF(H2094&lt;=1648,"data2",IF(H2094&lt;=2176,"zero-run2",IF(H2094&lt;=2192,"FCS","trailing")))))))</f>
        <v/>
      </c>
      <c r="J2094">
        <f>IFERROR(IF(AND(H2094&lt;&gt;"",H2094&gt;=129,H2094&lt;=2176),INDEX(Fields!$B$2:$B$206,MATCH(H2094-129,Fields!$D$2:$D$206,1)),""),"")</f>
        <v/>
      </c>
      <c r="K2094">
        <f>IFERROR(IF(AND(H2094&lt;&gt;"",H2094&gt;=129,H2094&lt;=2176),INDEX(Fields!$C$2:$C$206,MATCH(H2094-129,Fields!$D$2:$D$206,1)),""),"")</f>
        <v/>
      </c>
      <c r="L2094">
        <f>IFERROR(IF(AND(H2094&lt;&gt;"",H2094&gt;=129,H2094&lt;=2176),INDEX(Fields!$J$2:$J$206,MATCH(H2094-129,Fields!$D$2:$D$206,1)),""),"")</f>
        <v/>
      </c>
      <c r="M2094">
        <f>IFERROR(IF(AND(H2094&lt;&gt;"",H2094&gt;=129,H2094&lt;=2176),INDEX(Fields!$K$2:$K$206,MATCH(H2094-129,Fields!$D$2:$D$206,1)),""),"")</f>
        <v/>
      </c>
    </row>
    <row r="2095">
      <c r="A2095" t="n">
        <v>2093</v>
      </c>
      <c r="B2095" t="n">
        <v>0</v>
      </c>
      <c r="C2095" t="inlineStr">
        <is>
          <t>No</t>
        </is>
      </c>
      <c r="D2095">
        <f>IF(AND(B2090=1,B2091=1,B2092=1,B2093=1,B2094=1),"Yes","")</f>
        <v/>
      </c>
      <c r="E2095" t="inlineStr">
        <is>
          <t>No</t>
        </is>
      </c>
      <c r="F2095" t="inlineStr">
        <is>
          <t>No</t>
        </is>
      </c>
      <c r="G2095">
        <f>IF(F2095="Yes",1-B2095,B2095)</f>
        <v/>
      </c>
      <c r="H2095">
        <f>IF(E2095="Yes","",COUNTIFS($E$2:E2095,"No"))</f>
        <v/>
      </c>
      <c r="I2095">
        <f>IF(H2095="","",IF(H2095&lt;=128,"address",IF(H2095&lt;=600,"data1",IF(H2095&lt;=1264,"zero-run1",IF(H2095&lt;=1648,"data2",IF(H2095&lt;=2176,"zero-run2",IF(H2095&lt;=2192,"FCS","trailing")))))))</f>
        <v/>
      </c>
      <c r="J2095">
        <f>IFERROR(IF(AND(H2095&lt;&gt;"",H2095&gt;=129,H2095&lt;=2176),INDEX(Fields!$B$2:$B$206,MATCH(H2095-129,Fields!$D$2:$D$206,1)),""),"")</f>
        <v/>
      </c>
      <c r="K2095">
        <f>IFERROR(IF(AND(H2095&lt;&gt;"",H2095&gt;=129,H2095&lt;=2176),INDEX(Fields!$C$2:$C$206,MATCH(H2095-129,Fields!$D$2:$D$206,1)),""),"")</f>
        <v/>
      </c>
      <c r="L2095">
        <f>IFERROR(IF(AND(H2095&lt;&gt;"",H2095&gt;=129,H2095&lt;=2176),INDEX(Fields!$J$2:$J$206,MATCH(H2095-129,Fields!$D$2:$D$206,1)),""),"")</f>
        <v/>
      </c>
      <c r="M2095">
        <f>IFERROR(IF(AND(H2095&lt;&gt;"",H2095&gt;=129,H2095&lt;=2176),INDEX(Fields!$K$2:$K$206,MATCH(H2095-129,Fields!$D$2:$D$206,1)),""),"")</f>
        <v/>
      </c>
    </row>
    <row r="2096">
      <c r="A2096" t="n">
        <v>2094</v>
      </c>
      <c r="B2096" t="n">
        <v>0</v>
      </c>
      <c r="C2096" t="inlineStr">
        <is>
          <t>No</t>
        </is>
      </c>
      <c r="D2096">
        <f>IF(AND(B2091=1,B2092=1,B2093=1,B2094=1,B2095=1),"Yes","")</f>
        <v/>
      </c>
      <c r="E2096" t="inlineStr">
        <is>
          <t>No</t>
        </is>
      </c>
      <c r="F2096" t="inlineStr">
        <is>
          <t>No</t>
        </is>
      </c>
      <c r="G2096">
        <f>IF(F2096="Yes",1-B2096,B2096)</f>
        <v/>
      </c>
      <c r="H2096">
        <f>IF(E2096="Yes","",COUNTIFS($E$2:E2096,"No"))</f>
        <v/>
      </c>
      <c r="I2096">
        <f>IF(H2096="","",IF(H2096&lt;=128,"address",IF(H2096&lt;=600,"data1",IF(H2096&lt;=1264,"zero-run1",IF(H2096&lt;=1648,"data2",IF(H2096&lt;=2176,"zero-run2",IF(H2096&lt;=2192,"FCS","trailing")))))))</f>
        <v/>
      </c>
      <c r="J2096">
        <f>IFERROR(IF(AND(H2096&lt;&gt;"",H2096&gt;=129,H2096&lt;=2176),INDEX(Fields!$B$2:$B$206,MATCH(H2096-129,Fields!$D$2:$D$206,1)),""),"")</f>
        <v/>
      </c>
      <c r="K2096">
        <f>IFERROR(IF(AND(H2096&lt;&gt;"",H2096&gt;=129,H2096&lt;=2176),INDEX(Fields!$C$2:$C$206,MATCH(H2096-129,Fields!$D$2:$D$206,1)),""),"")</f>
        <v/>
      </c>
      <c r="L2096">
        <f>IFERROR(IF(AND(H2096&lt;&gt;"",H2096&gt;=129,H2096&lt;=2176),INDEX(Fields!$J$2:$J$206,MATCH(H2096-129,Fields!$D$2:$D$206,1)),""),"")</f>
        <v/>
      </c>
      <c r="M2096">
        <f>IFERROR(IF(AND(H2096&lt;&gt;"",H2096&gt;=129,H2096&lt;=2176),INDEX(Fields!$K$2:$K$206,MATCH(H2096-129,Fields!$D$2:$D$206,1)),""),"")</f>
        <v/>
      </c>
    </row>
    <row r="2097">
      <c r="A2097" t="n">
        <v>2095</v>
      </c>
      <c r="B2097" t="n">
        <v>0</v>
      </c>
      <c r="C2097" t="inlineStr">
        <is>
          <t>No</t>
        </is>
      </c>
      <c r="D2097">
        <f>IF(AND(B2092=1,B2093=1,B2094=1,B2095=1,B2096=1),"Yes","")</f>
        <v/>
      </c>
      <c r="E2097" t="inlineStr">
        <is>
          <t>No</t>
        </is>
      </c>
      <c r="F2097" t="inlineStr">
        <is>
          <t>No</t>
        </is>
      </c>
      <c r="G2097">
        <f>IF(F2097="Yes",1-B2097,B2097)</f>
        <v/>
      </c>
      <c r="H2097">
        <f>IF(E2097="Yes","",COUNTIFS($E$2:E2097,"No"))</f>
        <v/>
      </c>
      <c r="I2097">
        <f>IF(H2097="","",IF(H2097&lt;=128,"address",IF(H2097&lt;=600,"data1",IF(H2097&lt;=1264,"zero-run1",IF(H2097&lt;=1648,"data2",IF(H2097&lt;=2176,"zero-run2",IF(H2097&lt;=2192,"FCS","trailing")))))))</f>
        <v/>
      </c>
      <c r="J2097">
        <f>IFERROR(IF(AND(H2097&lt;&gt;"",H2097&gt;=129,H2097&lt;=2176),INDEX(Fields!$B$2:$B$206,MATCH(H2097-129,Fields!$D$2:$D$206,1)),""),"")</f>
        <v/>
      </c>
      <c r="K2097">
        <f>IFERROR(IF(AND(H2097&lt;&gt;"",H2097&gt;=129,H2097&lt;=2176),INDEX(Fields!$C$2:$C$206,MATCH(H2097-129,Fields!$D$2:$D$206,1)),""),"")</f>
        <v/>
      </c>
      <c r="L2097">
        <f>IFERROR(IF(AND(H2097&lt;&gt;"",H2097&gt;=129,H2097&lt;=2176),INDEX(Fields!$J$2:$J$206,MATCH(H2097-129,Fields!$D$2:$D$206,1)),""),"")</f>
        <v/>
      </c>
      <c r="M2097">
        <f>IFERROR(IF(AND(H2097&lt;&gt;"",H2097&gt;=129,H2097&lt;=2176),INDEX(Fields!$K$2:$K$206,MATCH(H2097-129,Fields!$D$2:$D$206,1)),""),"")</f>
        <v/>
      </c>
    </row>
    <row r="2098">
      <c r="A2098" t="n">
        <v>2096</v>
      </c>
      <c r="B2098" t="n">
        <v>0</v>
      </c>
      <c r="C2098" t="inlineStr">
        <is>
          <t>No</t>
        </is>
      </c>
      <c r="D2098">
        <f>IF(AND(B2093=1,B2094=1,B2095=1,B2096=1,B2097=1),"Yes","")</f>
        <v/>
      </c>
      <c r="E2098" t="inlineStr">
        <is>
          <t>No</t>
        </is>
      </c>
      <c r="F2098" t="inlineStr">
        <is>
          <t>No</t>
        </is>
      </c>
      <c r="G2098">
        <f>IF(F2098="Yes",1-B2098,B2098)</f>
        <v/>
      </c>
      <c r="H2098">
        <f>IF(E2098="Yes","",COUNTIFS($E$2:E2098,"No"))</f>
        <v/>
      </c>
      <c r="I2098">
        <f>IF(H2098="","",IF(H2098&lt;=128,"address",IF(H2098&lt;=600,"data1",IF(H2098&lt;=1264,"zero-run1",IF(H2098&lt;=1648,"data2",IF(H2098&lt;=2176,"zero-run2",IF(H2098&lt;=2192,"FCS","trailing")))))))</f>
        <v/>
      </c>
      <c r="J2098">
        <f>IFERROR(IF(AND(H2098&lt;&gt;"",H2098&gt;=129,H2098&lt;=2176),INDEX(Fields!$B$2:$B$206,MATCH(H2098-129,Fields!$D$2:$D$206,1)),""),"")</f>
        <v/>
      </c>
      <c r="K2098">
        <f>IFERROR(IF(AND(H2098&lt;&gt;"",H2098&gt;=129,H2098&lt;=2176),INDEX(Fields!$C$2:$C$206,MATCH(H2098-129,Fields!$D$2:$D$206,1)),""),"")</f>
        <v/>
      </c>
      <c r="L2098">
        <f>IFERROR(IF(AND(H2098&lt;&gt;"",H2098&gt;=129,H2098&lt;=2176),INDEX(Fields!$J$2:$J$206,MATCH(H2098-129,Fields!$D$2:$D$206,1)),""),"")</f>
        <v/>
      </c>
      <c r="M2098">
        <f>IFERROR(IF(AND(H2098&lt;&gt;"",H2098&gt;=129,H2098&lt;=2176),INDEX(Fields!$K$2:$K$206,MATCH(H2098-129,Fields!$D$2:$D$206,1)),""),"")</f>
        <v/>
      </c>
    </row>
    <row r="2099">
      <c r="A2099" t="n">
        <v>2097</v>
      </c>
      <c r="B2099" t="n">
        <v>0</v>
      </c>
      <c r="C2099" t="inlineStr">
        <is>
          <t>No</t>
        </is>
      </c>
      <c r="D2099">
        <f>IF(AND(B2094=1,B2095=1,B2096=1,B2097=1,B2098=1),"Yes","")</f>
        <v/>
      </c>
      <c r="E2099" t="inlineStr">
        <is>
          <t>No</t>
        </is>
      </c>
      <c r="F2099" t="inlineStr">
        <is>
          <t>No</t>
        </is>
      </c>
      <c r="G2099">
        <f>IF(F2099="Yes",1-B2099,B2099)</f>
        <v/>
      </c>
      <c r="H2099">
        <f>IF(E2099="Yes","",COUNTIFS($E$2:E2099,"No"))</f>
        <v/>
      </c>
      <c r="I2099">
        <f>IF(H2099="","",IF(H2099&lt;=128,"address",IF(H2099&lt;=600,"data1",IF(H2099&lt;=1264,"zero-run1",IF(H2099&lt;=1648,"data2",IF(H2099&lt;=2176,"zero-run2",IF(H2099&lt;=2192,"FCS","trailing")))))))</f>
        <v/>
      </c>
      <c r="J2099">
        <f>IFERROR(IF(AND(H2099&lt;&gt;"",H2099&gt;=129,H2099&lt;=2176),INDEX(Fields!$B$2:$B$206,MATCH(H2099-129,Fields!$D$2:$D$206,1)),""),"")</f>
        <v/>
      </c>
      <c r="K2099">
        <f>IFERROR(IF(AND(H2099&lt;&gt;"",H2099&gt;=129,H2099&lt;=2176),INDEX(Fields!$C$2:$C$206,MATCH(H2099-129,Fields!$D$2:$D$206,1)),""),"")</f>
        <v/>
      </c>
      <c r="L2099">
        <f>IFERROR(IF(AND(H2099&lt;&gt;"",H2099&gt;=129,H2099&lt;=2176),INDEX(Fields!$J$2:$J$206,MATCH(H2099-129,Fields!$D$2:$D$206,1)),""),"")</f>
        <v/>
      </c>
      <c r="M2099">
        <f>IFERROR(IF(AND(H2099&lt;&gt;"",H2099&gt;=129,H2099&lt;=2176),INDEX(Fields!$K$2:$K$206,MATCH(H2099-129,Fields!$D$2:$D$206,1)),""),"")</f>
        <v/>
      </c>
    </row>
    <row r="2100">
      <c r="A2100" t="n">
        <v>2098</v>
      </c>
      <c r="B2100" t="n">
        <v>0</v>
      </c>
      <c r="C2100" t="inlineStr">
        <is>
          <t>No</t>
        </is>
      </c>
      <c r="D2100">
        <f>IF(AND(B2095=1,B2096=1,B2097=1,B2098=1,B2099=1),"Yes","")</f>
        <v/>
      </c>
      <c r="E2100" t="inlineStr">
        <is>
          <t>No</t>
        </is>
      </c>
      <c r="F2100" t="inlineStr">
        <is>
          <t>No</t>
        </is>
      </c>
      <c r="G2100">
        <f>IF(F2100="Yes",1-B2100,B2100)</f>
        <v/>
      </c>
      <c r="H2100">
        <f>IF(E2100="Yes","",COUNTIFS($E$2:E2100,"No"))</f>
        <v/>
      </c>
      <c r="I2100">
        <f>IF(H2100="","",IF(H2100&lt;=128,"address",IF(H2100&lt;=600,"data1",IF(H2100&lt;=1264,"zero-run1",IF(H2100&lt;=1648,"data2",IF(H2100&lt;=2176,"zero-run2",IF(H2100&lt;=2192,"FCS","trailing")))))))</f>
        <v/>
      </c>
      <c r="J2100">
        <f>IFERROR(IF(AND(H2100&lt;&gt;"",H2100&gt;=129,H2100&lt;=2176),INDEX(Fields!$B$2:$B$206,MATCH(H2100-129,Fields!$D$2:$D$206,1)),""),"")</f>
        <v/>
      </c>
      <c r="K2100">
        <f>IFERROR(IF(AND(H2100&lt;&gt;"",H2100&gt;=129,H2100&lt;=2176),INDEX(Fields!$C$2:$C$206,MATCH(H2100-129,Fields!$D$2:$D$206,1)),""),"")</f>
        <v/>
      </c>
      <c r="L2100">
        <f>IFERROR(IF(AND(H2100&lt;&gt;"",H2100&gt;=129,H2100&lt;=2176),INDEX(Fields!$J$2:$J$206,MATCH(H2100-129,Fields!$D$2:$D$206,1)),""),"")</f>
        <v/>
      </c>
      <c r="M2100">
        <f>IFERROR(IF(AND(H2100&lt;&gt;"",H2100&gt;=129,H2100&lt;=2176),INDEX(Fields!$K$2:$K$206,MATCH(H2100-129,Fields!$D$2:$D$206,1)),""),"")</f>
        <v/>
      </c>
    </row>
    <row r="2101">
      <c r="A2101" t="n">
        <v>2099</v>
      </c>
      <c r="B2101" t="n">
        <v>0</v>
      </c>
      <c r="C2101" t="inlineStr">
        <is>
          <t>No</t>
        </is>
      </c>
      <c r="D2101">
        <f>IF(AND(B2096=1,B2097=1,B2098=1,B2099=1,B2100=1),"Yes","")</f>
        <v/>
      </c>
      <c r="E2101" t="inlineStr">
        <is>
          <t>No</t>
        </is>
      </c>
      <c r="F2101" t="inlineStr">
        <is>
          <t>No</t>
        </is>
      </c>
      <c r="G2101">
        <f>IF(F2101="Yes",1-B2101,B2101)</f>
        <v/>
      </c>
      <c r="H2101">
        <f>IF(E2101="Yes","",COUNTIFS($E$2:E2101,"No"))</f>
        <v/>
      </c>
      <c r="I2101">
        <f>IF(H2101="","",IF(H2101&lt;=128,"address",IF(H2101&lt;=600,"data1",IF(H2101&lt;=1264,"zero-run1",IF(H2101&lt;=1648,"data2",IF(H2101&lt;=2176,"zero-run2",IF(H2101&lt;=2192,"FCS","trailing")))))))</f>
        <v/>
      </c>
      <c r="J2101">
        <f>IFERROR(IF(AND(H2101&lt;&gt;"",H2101&gt;=129,H2101&lt;=2176),INDEX(Fields!$B$2:$B$206,MATCH(H2101-129,Fields!$D$2:$D$206,1)),""),"")</f>
        <v/>
      </c>
      <c r="K2101">
        <f>IFERROR(IF(AND(H2101&lt;&gt;"",H2101&gt;=129,H2101&lt;=2176),INDEX(Fields!$C$2:$C$206,MATCH(H2101-129,Fields!$D$2:$D$206,1)),""),"")</f>
        <v/>
      </c>
      <c r="L2101">
        <f>IFERROR(IF(AND(H2101&lt;&gt;"",H2101&gt;=129,H2101&lt;=2176),INDEX(Fields!$J$2:$J$206,MATCH(H2101-129,Fields!$D$2:$D$206,1)),""),"")</f>
        <v/>
      </c>
      <c r="M2101">
        <f>IFERROR(IF(AND(H2101&lt;&gt;"",H2101&gt;=129,H2101&lt;=2176),INDEX(Fields!$K$2:$K$206,MATCH(H2101-129,Fields!$D$2:$D$206,1)),""),"")</f>
        <v/>
      </c>
    </row>
    <row r="2102">
      <c r="A2102" t="n">
        <v>2100</v>
      </c>
      <c r="B2102" t="n">
        <v>0</v>
      </c>
      <c r="C2102" t="inlineStr">
        <is>
          <t>No</t>
        </is>
      </c>
      <c r="D2102">
        <f>IF(AND(B2097=1,B2098=1,B2099=1,B2100=1,B2101=1),"Yes","")</f>
        <v/>
      </c>
      <c r="E2102" t="inlineStr">
        <is>
          <t>No</t>
        </is>
      </c>
      <c r="F2102" t="inlineStr">
        <is>
          <t>No</t>
        </is>
      </c>
      <c r="G2102">
        <f>IF(F2102="Yes",1-B2102,B2102)</f>
        <v/>
      </c>
      <c r="H2102">
        <f>IF(E2102="Yes","",COUNTIFS($E$2:E2102,"No"))</f>
        <v/>
      </c>
      <c r="I2102">
        <f>IF(H2102="","",IF(H2102&lt;=128,"address",IF(H2102&lt;=600,"data1",IF(H2102&lt;=1264,"zero-run1",IF(H2102&lt;=1648,"data2",IF(H2102&lt;=2176,"zero-run2",IF(H2102&lt;=2192,"FCS","trailing")))))))</f>
        <v/>
      </c>
      <c r="J2102">
        <f>IFERROR(IF(AND(H2102&lt;&gt;"",H2102&gt;=129,H2102&lt;=2176),INDEX(Fields!$B$2:$B$206,MATCH(H2102-129,Fields!$D$2:$D$206,1)),""),"")</f>
        <v/>
      </c>
      <c r="K2102">
        <f>IFERROR(IF(AND(H2102&lt;&gt;"",H2102&gt;=129,H2102&lt;=2176),INDEX(Fields!$C$2:$C$206,MATCH(H2102-129,Fields!$D$2:$D$206,1)),""),"")</f>
        <v/>
      </c>
      <c r="L2102">
        <f>IFERROR(IF(AND(H2102&lt;&gt;"",H2102&gt;=129,H2102&lt;=2176),INDEX(Fields!$J$2:$J$206,MATCH(H2102-129,Fields!$D$2:$D$206,1)),""),"")</f>
        <v/>
      </c>
      <c r="M2102">
        <f>IFERROR(IF(AND(H2102&lt;&gt;"",H2102&gt;=129,H2102&lt;=2176),INDEX(Fields!$K$2:$K$206,MATCH(H2102-129,Fields!$D$2:$D$206,1)),""),"")</f>
        <v/>
      </c>
    </row>
    <row r="2103">
      <c r="A2103" t="n">
        <v>2101</v>
      </c>
      <c r="B2103" t="n">
        <v>0</v>
      </c>
      <c r="C2103" t="inlineStr">
        <is>
          <t>No</t>
        </is>
      </c>
      <c r="D2103">
        <f>IF(AND(B2098=1,B2099=1,B2100=1,B2101=1,B2102=1),"Yes","")</f>
        <v/>
      </c>
      <c r="E2103" t="inlineStr">
        <is>
          <t>No</t>
        </is>
      </c>
      <c r="F2103" t="inlineStr">
        <is>
          <t>No</t>
        </is>
      </c>
      <c r="G2103">
        <f>IF(F2103="Yes",1-B2103,B2103)</f>
        <v/>
      </c>
      <c r="H2103">
        <f>IF(E2103="Yes","",COUNTIFS($E$2:E2103,"No"))</f>
        <v/>
      </c>
      <c r="I2103">
        <f>IF(H2103="","",IF(H2103&lt;=128,"address",IF(H2103&lt;=600,"data1",IF(H2103&lt;=1264,"zero-run1",IF(H2103&lt;=1648,"data2",IF(H2103&lt;=2176,"zero-run2",IF(H2103&lt;=2192,"FCS","trailing")))))))</f>
        <v/>
      </c>
      <c r="J2103">
        <f>IFERROR(IF(AND(H2103&lt;&gt;"",H2103&gt;=129,H2103&lt;=2176),INDEX(Fields!$B$2:$B$206,MATCH(H2103-129,Fields!$D$2:$D$206,1)),""),"")</f>
        <v/>
      </c>
      <c r="K2103">
        <f>IFERROR(IF(AND(H2103&lt;&gt;"",H2103&gt;=129,H2103&lt;=2176),INDEX(Fields!$C$2:$C$206,MATCH(H2103-129,Fields!$D$2:$D$206,1)),""),"")</f>
        <v/>
      </c>
      <c r="L2103">
        <f>IFERROR(IF(AND(H2103&lt;&gt;"",H2103&gt;=129,H2103&lt;=2176),INDEX(Fields!$J$2:$J$206,MATCH(H2103-129,Fields!$D$2:$D$206,1)),""),"")</f>
        <v/>
      </c>
      <c r="M2103">
        <f>IFERROR(IF(AND(H2103&lt;&gt;"",H2103&gt;=129,H2103&lt;=2176),INDEX(Fields!$K$2:$K$206,MATCH(H2103-129,Fields!$D$2:$D$206,1)),""),"")</f>
        <v/>
      </c>
    </row>
    <row r="2104">
      <c r="A2104" t="n">
        <v>2102</v>
      </c>
      <c r="B2104" t="n">
        <v>0</v>
      </c>
      <c r="C2104" t="inlineStr">
        <is>
          <t>No</t>
        </is>
      </c>
      <c r="D2104">
        <f>IF(AND(B2099=1,B2100=1,B2101=1,B2102=1,B2103=1),"Yes","")</f>
        <v/>
      </c>
      <c r="E2104" t="inlineStr">
        <is>
          <t>No</t>
        </is>
      </c>
      <c r="F2104" t="inlineStr">
        <is>
          <t>No</t>
        </is>
      </c>
      <c r="G2104">
        <f>IF(F2104="Yes",1-B2104,B2104)</f>
        <v/>
      </c>
      <c r="H2104">
        <f>IF(E2104="Yes","",COUNTIFS($E$2:E2104,"No"))</f>
        <v/>
      </c>
      <c r="I2104">
        <f>IF(H2104="","",IF(H2104&lt;=128,"address",IF(H2104&lt;=600,"data1",IF(H2104&lt;=1264,"zero-run1",IF(H2104&lt;=1648,"data2",IF(H2104&lt;=2176,"zero-run2",IF(H2104&lt;=2192,"FCS","trailing")))))))</f>
        <v/>
      </c>
      <c r="J2104">
        <f>IFERROR(IF(AND(H2104&lt;&gt;"",H2104&gt;=129,H2104&lt;=2176),INDEX(Fields!$B$2:$B$206,MATCH(H2104-129,Fields!$D$2:$D$206,1)),""),"")</f>
        <v/>
      </c>
      <c r="K2104">
        <f>IFERROR(IF(AND(H2104&lt;&gt;"",H2104&gt;=129,H2104&lt;=2176),INDEX(Fields!$C$2:$C$206,MATCH(H2104-129,Fields!$D$2:$D$206,1)),""),"")</f>
        <v/>
      </c>
      <c r="L2104">
        <f>IFERROR(IF(AND(H2104&lt;&gt;"",H2104&gt;=129,H2104&lt;=2176),INDEX(Fields!$J$2:$J$206,MATCH(H2104-129,Fields!$D$2:$D$206,1)),""),"")</f>
        <v/>
      </c>
      <c r="M2104">
        <f>IFERROR(IF(AND(H2104&lt;&gt;"",H2104&gt;=129,H2104&lt;=2176),INDEX(Fields!$K$2:$K$206,MATCH(H2104-129,Fields!$D$2:$D$206,1)),""),"")</f>
        <v/>
      </c>
    </row>
    <row r="2105">
      <c r="A2105" t="n">
        <v>2103</v>
      </c>
      <c r="B2105" t="n">
        <v>0</v>
      </c>
      <c r="C2105" t="inlineStr">
        <is>
          <t>No</t>
        </is>
      </c>
      <c r="D2105">
        <f>IF(AND(B2100=1,B2101=1,B2102=1,B2103=1,B2104=1),"Yes","")</f>
        <v/>
      </c>
      <c r="E2105" t="inlineStr">
        <is>
          <t>No</t>
        </is>
      </c>
      <c r="F2105" t="inlineStr">
        <is>
          <t>No</t>
        </is>
      </c>
      <c r="G2105">
        <f>IF(F2105="Yes",1-B2105,B2105)</f>
        <v/>
      </c>
      <c r="H2105">
        <f>IF(E2105="Yes","",COUNTIFS($E$2:E2105,"No"))</f>
        <v/>
      </c>
      <c r="I2105">
        <f>IF(H2105="","",IF(H2105&lt;=128,"address",IF(H2105&lt;=600,"data1",IF(H2105&lt;=1264,"zero-run1",IF(H2105&lt;=1648,"data2",IF(H2105&lt;=2176,"zero-run2",IF(H2105&lt;=2192,"FCS","trailing")))))))</f>
        <v/>
      </c>
      <c r="J2105">
        <f>IFERROR(IF(AND(H2105&lt;&gt;"",H2105&gt;=129,H2105&lt;=2176),INDEX(Fields!$B$2:$B$206,MATCH(H2105-129,Fields!$D$2:$D$206,1)),""),"")</f>
        <v/>
      </c>
      <c r="K2105">
        <f>IFERROR(IF(AND(H2105&lt;&gt;"",H2105&gt;=129,H2105&lt;=2176),INDEX(Fields!$C$2:$C$206,MATCH(H2105-129,Fields!$D$2:$D$206,1)),""),"")</f>
        <v/>
      </c>
      <c r="L2105">
        <f>IFERROR(IF(AND(H2105&lt;&gt;"",H2105&gt;=129,H2105&lt;=2176),INDEX(Fields!$J$2:$J$206,MATCH(H2105-129,Fields!$D$2:$D$206,1)),""),"")</f>
        <v/>
      </c>
      <c r="M2105">
        <f>IFERROR(IF(AND(H2105&lt;&gt;"",H2105&gt;=129,H2105&lt;=2176),INDEX(Fields!$K$2:$K$206,MATCH(H2105-129,Fields!$D$2:$D$206,1)),""),"")</f>
        <v/>
      </c>
    </row>
    <row r="2106">
      <c r="A2106" t="n">
        <v>2104</v>
      </c>
      <c r="B2106" t="n">
        <v>0</v>
      </c>
      <c r="C2106" t="inlineStr">
        <is>
          <t>No</t>
        </is>
      </c>
      <c r="D2106">
        <f>IF(AND(B2101=1,B2102=1,B2103=1,B2104=1,B2105=1),"Yes","")</f>
        <v/>
      </c>
      <c r="E2106" t="inlineStr">
        <is>
          <t>No</t>
        </is>
      </c>
      <c r="F2106" t="inlineStr">
        <is>
          <t>No</t>
        </is>
      </c>
      <c r="G2106">
        <f>IF(F2106="Yes",1-B2106,B2106)</f>
        <v/>
      </c>
      <c r="H2106">
        <f>IF(E2106="Yes","",COUNTIFS($E$2:E2106,"No"))</f>
        <v/>
      </c>
      <c r="I2106">
        <f>IF(H2106="","",IF(H2106&lt;=128,"address",IF(H2106&lt;=600,"data1",IF(H2106&lt;=1264,"zero-run1",IF(H2106&lt;=1648,"data2",IF(H2106&lt;=2176,"zero-run2",IF(H2106&lt;=2192,"FCS","trailing")))))))</f>
        <v/>
      </c>
      <c r="J2106">
        <f>IFERROR(IF(AND(H2106&lt;&gt;"",H2106&gt;=129,H2106&lt;=2176),INDEX(Fields!$B$2:$B$206,MATCH(H2106-129,Fields!$D$2:$D$206,1)),""),"")</f>
        <v/>
      </c>
      <c r="K2106">
        <f>IFERROR(IF(AND(H2106&lt;&gt;"",H2106&gt;=129,H2106&lt;=2176),INDEX(Fields!$C$2:$C$206,MATCH(H2106-129,Fields!$D$2:$D$206,1)),""),"")</f>
        <v/>
      </c>
      <c r="L2106">
        <f>IFERROR(IF(AND(H2106&lt;&gt;"",H2106&gt;=129,H2106&lt;=2176),INDEX(Fields!$J$2:$J$206,MATCH(H2106-129,Fields!$D$2:$D$206,1)),""),"")</f>
        <v/>
      </c>
      <c r="M2106">
        <f>IFERROR(IF(AND(H2106&lt;&gt;"",H2106&gt;=129,H2106&lt;=2176),INDEX(Fields!$K$2:$K$206,MATCH(H2106-129,Fields!$D$2:$D$206,1)),""),"")</f>
        <v/>
      </c>
    </row>
    <row r="2107">
      <c r="A2107" t="n">
        <v>2105</v>
      </c>
      <c r="B2107" t="n">
        <v>0</v>
      </c>
      <c r="C2107" t="inlineStr">
        <is>
          <t>No</t>
        </is>
      </c>
      <c r="D2107">
        <f>IF(AND(B2102=1,B2103=1,B2104=1,B2105=1,B2106=1),"Yes","")</f>
        <v/>
      </c>
      <c r="E2107" t="inlineStr">
        <is>
          <t>No</t>
        </is>
      </c>
      <c r="F2107" t="inlineStr">
        <is>
          <t>No</t>
        </is>
      </c>
      <c r="G2107">
        <f>IF(F2107="Yes",1-B2107,B2107)</f>
        <v/>
      </c>
      <c r="H2107">
        <f>IF(E2107="Yes","",COUNTIFS($E$2:E2107,"No"))</f>
        <v/>
      </c>
      <c r="I2107">
        <f>IF(H2107="","",IF(H2107&lt;=128,"address",IF(H2107&lt;=600,"data1",IF(H2107&lt;=1264,"zero-run1",IF(H2107&lt;=1648,"data2",IF(H2107&lt;=2176,"zero-run2",IF(H2107&lt;=2192,"FCS","trailing")))))))</f>
        <v/>
      </c>
      <c r="J2107">
        <f>IFERROR(IF(AND(H2107&lt;&gt;"",H2107&gt;=129,H2107&lt;=2176),INDEX(Fields!$B$2:$B$206,MATCH(H2107-129,Fields!$D$2:$D$206,1)),""),"")</f>
        <v/>
      </c>
      <c r="K2107">
        <f>IFERROR(IF(AND(H2107&lt;&gt;"",H2107&gt;=129,H2107&lt;=2176),INDEX(Fields!$C$2:$C$206,MATCH(H2107-129,Fields!$D$2:$D$206,1)),""),"")</f>
        <v/>
      </c>
      <c r="L2107">
        <f>IFERROR(IF(AND(H2107&lt;&gt;"",H2107&gt;=129,H2107&lt;=2176),INDEX(Fields!$J$2:$J$206,MATCH(H2107-129,Fields!$D$2:$D$206,1)),""),"")</f>
        <v/>
      </c>
      <c r="M2107">
        <f>IFERROR(IF(AND(H2107&lt;&gt;"",H2107&gt;=129,H2107&lt;=2176),INDEX(Fields!$K$2:$K$206,MATCH(H2107-129,Fields!$D$2:$D$206,1)),""),"")</f>
        <v/>
      </c>
    </row>
    <row r="2108">
      <c r="A2108" t="n">
        <v>2106</v>
      </c>
      <c r="B2108" t="n">
        <v>0</v>
      </c>
      <c r="C2108" t="inlineStr">
        <is>
          <t>No</t>
        </is>
      </c>
      <c r="D2108">
        <f>IF(AND(B2103=1,B2104=1,B2105=1,B2106=1,B2107=1),"Yes","")</f>
        <v/>
      </c>
      <c r="E2108" t="inlineStr">
        <is>
          <t>No</t>
        </is>
      </c>
      <c r="F2108" t="inlineStr">
        <is>
          <t>No</t>
        </is>
      </c>
      <c r="G2108">
        <f>IF(F2108="Yes",1-B2108,B2108)</f>
        <v/>
      </c>
      <c r="H2108">
        <f>IF(E2108="Yes","",COUNTIFS($E$2:E2108,"No"))</f>
        <v/>
      </c>
      <c r="I2108">
        <f>IF(H2108="","",IF(H2108&lt;=128,"address",IF(H2108&lt;=600,"data1",IF(H2108&lt;=1264,"zero-run1",IF(H2108&lt;=1648,"data2",IF(H2108&lt;=2176,"zero-run2",IF(H2108&lt;=2192,"FCS","trailing")))))))</f>
        <v/>
      </c>
      <c r="J2108">
        <f>IFERROR(IF(AND(H2108&lt;&gt;"",H2108&gt;=129,H2108&lt;=2176),INDEX(Fields!$B$2:$B$206,MATCH(H2108-129,Fields!$D$2:$D$206,1)),""),"")</f>
        <v/>
      </c>
      <c r="K2108">
        <f>IFERROR(IF(AND(H2108&lt;&gt;"",H2108&gt;=129,H2108&lt;=2176),INDEX(Fields!$C$2:$C$206,MATCH(H2108-129,Fields!$D$2:$D$206,1)),""),"")</f>
        <v/>
      </c>
      <c r="L2108">
        <f>IFERROR(IF(AND(H2108&lt;&gt;"",H2108&gt;=129,H2108&lt;=2176),INDEX(Fields!$J$2:$J$206,MATCH(H2108-129,Fields!$D$2:$D$206,1)),""),"")</f>
        <v/>
      </c>
      <c r="M2108">
        <f>IFERROR(IF(AND(H2108&lt;&gt;"",H2108&gt;=129,H2108&lt;=2176),INDEX(Fields!$K$2:$K$206,MATCH(H2108-129,Fields!$D$2:$D$206,1)),""),"")</f>
        <v/>
      </c>
    </row>
    <row r="2109">
      <c r="A2109" t="n">
        <v>2107</v>
      </c>
      <c r="B2109" t="n">
        <v>0</v>
      </c>
      <c r="C2109" t="inlineStr">
        <is>
          <t>No</t>
        </is>
      </c>
      <c r="D2109">
        <f>IF(AND(B2104=1,B2105=1,B2106=1,B2107=1,B2108=1),"Yes","")</f>
        <v/>
      </c>
      <c r="E2109" t="inlineStr">
        <is>
          <t>No</t>
        </is>
      </c>
      <c r="F2109" t="inlineStr">
        <is>
          <t>No</t>
        </is>
      </c>
      <c r="G2109">
        <f>IF(F2109="Yes",1-B2109,B2109)</f>
        <v/>
      </c>
      <c r="H2109">
        <f>IF(E2109="Yes","",COUNTIFS($E$2:E2109,"No"))</f>
        <v/>
      </c>
      <c r="I2109">
        <f>IF(H2109="","",IF(H2109&lt;=128,"address",IF(H2109&lt;=600,"data1",IF(H2109&lt;=1264,"zero-run1",IF(H2109&lt;=1648,"data2",IF(H2109&lt;=2176,"zero-run2",IF(H2109&lt;=2192,"FCS","trailing")))))))</f>
        <v/>
      </c>
      <c r="J2109">
        <f>IFERROR(IF(AND(H2109&lt;&gt;"",H2109&gt;=129,H2109&lt;=2176),INDEX(Fields!$B$2:$B$206,MATCH(H2109-129,Fields!$D$2:$D$206,1)),""),"")</f>
        <v/>
      </c>
      <c r="K2109">
        <f>IFERROR(IF(AND(H2109&lt;&gt;"",H2109&gt;=129,H2109&lt;=2176),INDEX(Fields!$C$2:$C$206,MATCH(H2109-129,Fields!$D$2:$D$206,1)),""),"")</f>
        <v/>
      </c>
      <c r="L2109">
        <f>IFERROR(IF(AND(H2109&lt;&gt;"",H2109&gt;=129,H2109&lt;=2176),INDEX(Fields!$J$2:$J$206,MATCH(H2109-129,Fields!$D$2:$D$206,1)),""),"")</f>
        <v/>
      </c>
      <c r="M2109">
        <f>IFERROR(IF(AND(H2109&lt;&gt;"",H2109&gt;=129,H2109&lt;=2176),INDEX(Fields!$K$2:$K$206,MATCH(H2109-129,Fields!$D$2:$D$206,1)),""),"")</f>
        <v/>
      </c>
    </row>
    <row r="2110">
      <c r="A2110" t="n">
        <v>2108</v>
      </c>
      <c r="B2110" t="n">
        <v>0</v>
      </c>
      <c r="C2110" t="inlineStr">
        <is>
          <t>No</t>
        </is>
      </c>
      <c r="D2110">
        <f>IF(AND(B2105=1,B2106=1,B2107=1,B2108=1,B2109=1),"Yes","")</f>
        <v/>
      </c>
      <c r="E2110" t="inlineStr">
        <is>
          <t>No</t>
        </is>
      </c>
      <c r="F2110" t="inlineStr">
        <is>
          <t>No</t>
        </is>
      </c>
      <c r="G2110">
        <f>IF(F2110="Yes",1-B2110,B2110)</f>
        <v/>
      </c>
      <c r="H2110">
        <f>IF(E2110="Yes","",COUNTIFS($E$2:E2110,"No"))</f>
        <v/>
      </c>
      <c r="I2110">
        <f>IF(H2110="","",IF(H2110&lt;=128,"address",IF(H2110&lt;=600,"data1",IF(H2110&lt;=1264,"zero-run1",IF(H2110&lt;=1648,"data2",IF(H2110&lt;=2176,"zero-run2",IF(H2110&lt;=2192,"FCS","trailing")))))))</f>
        <v/>
      </c>
      <c r="J2110">
        <f>IFERROR(IF(AND(H2110&lt;&gt;"",H2110&gt;=129,H2110&lt;=2176),INDEX(Fields!$B$2:$B$206,MATCH(H2110-129,Fields!$D$2:$D$206,1)),""),"")</f>
        <v/>
      </c>
      <c r="K2110">
        <f>IFERROR(IF(AND(H2110&lt;&gt;"",H2110&gt;=129,H2110&lt;=2176),INDEX(Fields!$C$2:$C$206,MATCH(H2110-129,Fields!$D$2:$D$206,1)),""),"")</f>
        <v/>
      </c>
      <c r="L2110">
        <f>IFERROR(IF(AND(H2110&lt;&gt;"",H2110&gt;=129,H2110&lt;=2176),INDEX(Fields!$J$2:$J$206,MATCH(H2110-129,Fields!$D$2:$D$206,1)),""),"")</f>
        <v/>
      </c>
      <c r="M2110">
        <f>IFERROR(IF(AND(H2110&lt;&gt;"",H2110&gt;=129,H2110&lt;=2176),INDEX(Fields!$K$2:$K$206,MATCH(H2110-129,Fields!$D$2:$D$206,1)),""),"")</f>
        <v/>
      </c>
    </row>
    <row r="2111">
      <c r="A2111" t="n">
        <v>2109</v>
      </c>
      <c r="B2111" t="n">
        <v>0</v>
      </c>
      <c r="C2111" t="inlineStr">
        <is>
          <t>No</t>
        </is>
      </c>
      <c r="D2111">
        <f>IF(AND(B2106=1,B2107=1,B2108=1,B2109=1,B2110=1),"Yes","")</f>
        <v/>
      </c>
      <c r="E2111" t="inlineStr">
        <is>
          <t>No</t>
        </is>
      </c>
      <c r="F2111" t="inlineStr">
        <is>
          <t>No</t>
        </is>
      </c>
      <c r="G2111">
        <f>IF(F2111="Yes",1-B2111,B2111)</f>
        <v/>
      </c>
      <c r="H2111">
        <f>IF(E2111="Yes","",COUNTIFS($E$2:E2111,"No"))</f>
        <v/>
      </c>
      <c r="I2111">
        <f>IF(H2111="","",IF(H2111&lt;=128,"address",IF(H2111&lt;=600,"data1",IF(H2111&lt;=1264,"zero-run1",IF(H2111&lt;=1648,"data2",IF(H2111&lt;=2176,"zero-run2",IF(H2111&lt;=2192,"FCS","trailing")))))))</f>
        <v/>
      </c>
      <c r="J2111">
        <f>IFERROR(IF(AND(H2111&lt;&gt;"",H2111&gt;=129,H2111&lt;=2176),INDEX(Fields!$B$2:$B$206,MATCH(H2111-129,Fields!$D$2:$D$206,1)),""),"")</f>
        <v/>
      </c>
      <c r="K2111">
        <f>IFERROR(IF(AND(H2111&lt;&gt;"",H2111&gt;=129,H2111&lt;=2176),INDEX(Fields!$C$2:$C$206,MATCH(H2111-129,Fields!$D$2:$D$206,1)),""),"")</f>
        <v/>
      </c>
      <c r="L2111">
        <f>IFERROR(IF(AND(H2111&lt;&gt;"",H2111&gt;=129,H2111&lt;=2176),INDEX(Fields!$J$2:$J$206,MATCH(H2111-129,Fields!$D$2:$D$206,1)),""),"")</f>
        <v/>
      </c>
      <c r="M2111">
        <f>IFERROR(IF(AND(H2111&lt;&gt;"",H2111&gt;=129,H2111&lt;=2176),INDEX(Fields!$K$2:$K$206,MATCH(H2111-129,Fields!$D$2:$D$206,1)),""),"")</f>
        <v/>
      </c>
    </row>
    <row r="2112">
      <c r="A2112" t="n">
        <v>2110</v>
      </c>
      <c r="B2112" t="n">
        <v>0</v>
      </c>
      <c r="C2112" t="inlineStr">
        <is>
          <t>No</t>
        </is>
      </c>
      <c r="D2112">
        <f>IF(AND(B2107=1,B2108=1,B2109=1,B2110=1,B2111=1),"Yes","")</f>
        <v/>
      </c>
      <c r="E2112" t="inlineStr">
        <is>
          <t>No</t>
        </is>
      </c>
      <c r="F2112" t="inlineStr">
        <is>
          <t>No</t>
        </is>
      </c>
      <c r="G2112">
        <f>IF(F2112="Yes",1-B2112,B2112)</f>
        <v/>
      </c>
      <c r="H2112">
        <f>IF(E2112="Yes","",COUNTIFS($E$2:E2112,"No"))</f>
        <v/>
      </c>
      <c r="I2112">
        <f>IF(H2112="","",IF(H2112&lt;=128,"address",IF(H2112&lt;=600,"data1",IF(H2112&lt;=1264,"zero-run1",IF(H2112&lt;=1648,"data2",IF(H2112&lt;=2176,"zero-run2",IF(H2112&lt;=2192,"FCS","trailing")))))))</f>
        <v/>
      </c>
      <c r="J2112">
        <f>IFERROR(IF(AND(H2112&lt;&gt;"",H2112&gt;=129,H2112&lt;=2176),INDEX(Fields!$B$2:$B$206,MATCH(H2112-129,Fields!$D$2:$D$206,1)),""),"")</f>
        <v/>
      </c>
      <c r="K2112">
        <f>IFERROR(IF(AND(H2112&lt;&gt;"",H2112&gt;=129,H2112&lt;=2176),INDEX(Fields!$C$2:$C$206,MATCH(H2112-129,Fields!$D$2:$D$206,1)),""),"")</f>
        <v/>
      </c>
      <c r="L2112">
        <f>IFERROR(IF(AND(H2112&lt;&gt;"",H2112&gt;=129,H2112&lt;=2176),INDEX(Fields!$J$2:$J$206,MATCH(H2112-129,Fields!$D$2:$D$206,1)),""),"")</f>
        <v/>
      </c>
      <c r="M2112">
        <f>IFERROR(IF(AND(H2112&lt;&gt;"",H2112&gt;=129,H2112&lt;=2176),INDEX(Fields!$K$2:$K$206,MATCH(H2112-129,Fields!$D$2:$D$206,1)),""),"")</f>
        <v/>
      </c>
    </row>
    <row r="2113">
      <c r="A2113" t="n">
        <v>2111</v>
      </c>
      <c r="B2113" t="n">
        <v>0</v>
      </c>
      <c r="C2113" t="inlineStr">
        <is>
          <t>No</t>
        </is>
      </c>
      <c r="D2113">
        <f>IF(AND(B2108=1,B2109=1,B2110=1,B2111=1,B2112=1),"Yes","")</f>
        <v/>
      </c>
      <c r="E2113" t="inlineStr">
        <is>
          <t>No</t>
        </is>
      </c>
      <c r="F2113" t="inlineStr">
        <is>
          <t>No</t>
        </is>
      </c>
      <c r="G2113">
        <f>IF(F2113="Yes",1-B2113,B2113)</f>
        <v/>
      </c>
      <c r="H2113">
        <f>IF(E2113="Yes","",COUNTIFS($E$2:E2113,"No"))</f>
        <v/>
      </c>
      <c r="I2113">
        <f>IF(H2113="","",IF(H2113&lt;=128,"address",IF(H2113&lt;=600,"data1",IF(H2113&lt;=1264,"zero-run1",IF(H2113&lt;=1648,"data2",IF(H2113&lt;=2176,"zero-run2",IF(H2113&lt;=2192,"FCS","trailing")))))))</f>
        <v/>
      </c>
      <c r="J2113">
        <f>IFERROR(IF(AND(H2113&lt;&gt;"",H2113&gt;=129,H2113&lt;=2176),INDEX(Fields!$B$2:$B$206,MATCH(H2113-129,Fields!$D$2:$D$206,1)),""),"")</f>
        <v/>
      </c>
      <c r="K2113">
        <f>IFERROR(IF(AND(H2113&lt;&gt;"",H2113&gt;=129,H2113&lt;=2176),INDEX(Fields!$C$2:$C$206,MATCH(H2113-129,Fields!$D$2:$D$206,1)),""),"")</f>
        <v/>
      </c>
      <c r="L2113">
        <f>IFERROR(IF(AND(H2113&lt;&gt;"",H2113&gt;=129,H2113&lt;=2176),INDEX(Fields!$J$2:$J$206,MATCH(H2113-129,Fields!$D$2:$D$206,1)),""),"")</f>
        <v/>
      </c>
      <c r="M2113">
        <f>IFERROR(IF(AND(H2113&lt;&gt;"",H2113&gt;=129,H2113&lt;=2176),INDEX(Fields!$K$2:$K$206,MATCH(H2113-129,Fields!$D$2:$D$206,1)),""),"")</f>
        <v/>
      </c>
    </row>
    <row r="2114">
      <c r="A2114" t="n">
        <v>2112</v>
      </c>
      <c r="B2114" t="n">
        <v>0</v>
      </c>
      <c r="C2114" t="inlineStr">
        <is>
          <t>No</t>
        </is>
      </c>
      <c r="D2114">
        <f>IF(AND(B2109=1,B2110=1,B2111=1,B2112=1,B2113=1),"Yes","")</f>
        <v/>
      </c>
      <c r="E2114" t="inlineStr">
        <is>
          <t>No</t>
        </is>
      </c>
      <c r="F2114" t="inlineStr">
        <is>
          <t>No</t>
        </is>
      </c>
      <c r="G2114">
        <f>IF(F2114="Yes",1-B2114,B2114)</f>
        <v/>
      </c>
      <c r="H2114">
        <f>IF(E2114="Yes","",COUNTIFS($E$2:E2114,"No"))</f>
        <v/>
      </c>
      <c r="I2114">
        <f>IF(H2114="","",IF(H2114&lt;=128,"address",IF(H2114&lt;=600,"data1",IF(H2114&lt;=1264,"zero-run1",IF(H2114&lt;=1648,"data2",IF(H2114&lt;=2176,"zero-run2",IF(H2114&lt;=2192,"FCS","trailing")))))))</f>
        <v/>
      </c>
      <c r="J2114">
        <f>IFERROR(IF(AND(H2114&lt;&gt;"",H2114&gt;=129,H2114&lt;=2176),INDEX(Fields!$B$2:$B$206,MATCH(H2114-129,Fields!$D$2:$D$206,1)),""),"")</f>
        <v/>
      </c>
      <c r="K2114">
        <f>IFERROR(IF(AND(H2114&lt;&gt;"",H2114&gt;=129,H2114&lt;=2176),INDEX(Fields!$C$2:$C$206,MATCH(H2114-129,Fields!$D$2:$D$206,1)),""),"")</f>
        <v/>
      </c>
      <c r="L2114">
        <f>IFERROR(IF(AND(H2114&lt;&gt;"",H2114&gt;=129,H2114&lt;=2176),INDEX(Fields!$J$2:$J$206,MATCH(H2114-129,Fields!$D$2:$D$206,1)),""),"")</f>
        <v/>
      </c>
      <c r="M2114">
        <f>IFERROR(IF(AND(H2114&lt;&gt;"",H2114&gt;=129,H2114&lt;=2176),INDEX(Fields!$K$2:$K$206,MATCH(H2114-129,Fields!$D$2:$D$206,1)),""),"")</f>
        <v/>
      </c>
    </row>
    <row r="2115">
      <c r="A2115" t="n">
        <v>2113</v>
      </c>
      <c r="B2115" t="n">
        <v>0</v>
      </c>
      <c r="C2115" t="inlineStr">
        <is>
          <t>No</t>
        </is>
      </c>
      <c r="D2115">
        <f>IF(AND(B2110=1,B2111=1,B2112=1,B2113=1,B2114=1),"Yes","")</f>
        <v/>
      </c>
      <c r="E2115" t="inlineStr">
        <is>
          <t>No</t>
        </is>
      </c>
      <c r="F2115" t="inlineStr">
        <is>
          <t>No</t>
        </is>
      </c>
      <c r="G2115">
        <f>IF(F2115="Yes",1-B2115,B2115)</f>
        <v/>
      </c>
      <c r="H2115">
        <f>IF(E2115="Yes","",COUNTIFS($E$2:E2115,"No"))</f>
        <v/>
      </c>
      <c r="I2115">
        <f>IF(H2115="","",IF(H2115&lt;=128,"address",IF(H2115&lt;=600,"data1",IF(H2115&lt;=1264,"zero-run1",IF(H2115&lt;=1648,"data2",IF(H2115&lt;=2176,"zero-run2",IF(H2115&lt;=2192,"FCS","trailing")))))))</f>
        <v/>
      </c>
      <c r="J2115">
        <f>IFERROR(IF(AND(H2115&lt;&gt;"",H2115&gt;=129,H2115&lt;=2176),INDEX(Fields!$B$2:$B$206,MATCH(H2115-129,Fields!$D$2:$D$206,1)),""),"")</f>
        <v/>
      </c>
      <c r="K2115">
        <f>IFERROR(IF(AND(H2115&lt;&gt;"",H2115&gt;=129,H2115&lt;=2176),INDEX(Fields!$C$2:$C$206,MATCH(H2115-129,Fields!$D$2:$D$206,1)),""),"")</f>
        <v/>
      </c>
      <c r="L2115">
        <f>IFERROR(IF(AND(H2115&lt;&gt;"",H2115&gt;=129,H2115&lt;=2176),INDEX(Fields!$J$2:$J$206,MATCH(H2115-129,Fields!$D$2:$D$206,1)),""),"")</f>
        <v/>
      </c>
      <c r="M2115">
        <f>IFERROR(IF(AND(H2115&lt;&gt;"",H2115&gt;=129,H2115&lt;=2176),INDEX(Fields!$K$2:$K$206,MATCH(H2115-129,Fields!$D$2:$D$206,1)),""),"")</f>
        <v/>
      </c>
    </row>
    <row r="2116">
      <c r="A2116" t="n">
        <v>2114</v>
      </c>
      <c r="B2116" t="n">
        <v>0</v>
      </c>
      <c r="C2116" t="inlineStr">
        <is>
          <t>No</t>
        </is>
      </c>
      <c r="D2116">
        <f>IF(AND(B2111=1,B2112=1,B2113=1,B2114=1,B2115=1),"Yes","")</f>
        <v/>
      </c>
      <c r="E2116" t="inlineStr">
        <is>
          <t>No</t>
        </is>
      </c>
      <c r="F2116" t="inlineStr">
        <is>
          <t>No</t>
        </is>
      </c>
      <c r="G2116">
        <f>IF(F2116="Yes",1-B2116,B2116)</f>
        <v/>
      </c>
      <c r="H2116">
        <f>IF(E2116="Yes","",COUNTIFS($E$2:E2116,"No"))</f>
        <v/>
      </c>
      <c r="I2116">
        <f>IF(H2116="","",IF(H2116&lt;=128,"address",IF(H2116&lt;=600,"data1",IF(H2116&lt;=1264,"zero-run1",IF(H2116&lt;=1648,"data2",IF(H2116&lt;=2176,"zero-run2",IF(H2116&lt;=2192,"FCS","trailing")))))))</f>
        <v/>
      </c>
      <c r="J2116">
        <f>IFERROR(IF(AND(H2116&lt;&gt;"",H2116&gt;=129,H2116&lt;=2176),INDEX(Fields!$B$2:$B$206,MATCH(H2116-129,Fields!$D$2:$D$206,1)),""),"")</f>
        <v/>
      </c>
      <c r="K2116">
        <f>IFERROR(IF(AND(H2116&lt;&gt;"",H2116&gt;=129,H2116&lt;=2176),INDEX(Fields!$C$2:$C$206,MATCH(H2116-129,Fields!$D$2:$D$206,1)),""),"")</f>
        <v/>
      </c>
      <c r="L2116">
        <f>IFERROR(IF(AND(H2116&lt;&gt;"",H2116&gt;=129,H2116&lt;=2176),INDEX(Fields!$J$2:$J$206,MATCH(H2116-129,Fields!$D$2:$D$206,1)),""),"")</f>
        <v/>
      </c>
      <c r="M2116">
        <f>IFERROR(IF(AND(H2116&lt;&gt;"",H2116&gt;=129,H2116&lt;=2176),INDEX(Fields!$K$2:$K$206,MATCH(H2116-129,Fields!$D$2:$D$206,1)),""),"")</f>
        <v/>
      </c>
    </row>
    <row r="2117">
      <c r="A2117" t="n">
        <v>2115</v>
      </c>
      <c r="B2117" t="n">
        <v>0</v>
      </c>
      <c r="C2117" t="inlineStr">
        <is>
          <t>No</t>
        </is>
      </c>
      <c r="D2117">
        <f>IF(AND(B2112=1,B2113=1,B2114=1,B2115=1,B2116=1),"Yes","")</f>
        <v/>
      </c>
      <c r="E2117" t="inlineStr">
        <is>
          <t>No</t>
        </is>
      </c>
      <c r="F2117" t="inlineStr">
        <is>
          <t>No</t>
        </is>
      </c>
      <c r="G2117">
        <f>IF(F2117="Yes",1-B2117,B2117)</f>
        <v/>
      </c>
      <c r="H2117">
        <f>IF(E2117="Yes","",COUNTIFS($E$2:E2117,"No"))</f>
        <v/>
      </c>
      <c r="I2117">
        <f>IF(H2117="","",IF(H2117&lt;=128,"address",IF(H2117&lt;=600,"data1",IF(H2117&lt;=1264,"zero-run1",IF(H2117&lt;=1648,"data2",IF(H2117&lt;=2176,"zero-run2",IF(H2117&lt;=2192,"FCS","trailing")))))))</f>
        <v/>
      </c>
      <c r="J2117">
        <f>IFERROR(IF(AND(H2117&lt;&gt;"",H2117&gt;=129,H2117&lt;=2176),INDEX(Fields!$B$2:$B$206,MATCH(H2117-129,Fields!$D$2:$D$206,1)),""),"")</f>
        <v/>
      </c>
      <c r="K2117">
        <f>IFERROR(IF(AND(H2117&lt;&gt;"",H2117&gt;=129,H2117&lt;=2176),INDEX(Fields!$C$2:$C$206,MATCH(H2117-129,Fields!$D$2:$D$206,1)),""),"")</f>
        <v/>
      </c>
      <c r="L2117">
        <f>IFERROR(IF(AND(H2117&lt;&gt;"",H2117&gt;=129,H2117&lt;=2176),INDEX(Fields!$J$2:$J$206,MATCH(H2117-129,Fields!$D$2:$D$206,1)),""),"")</f>
        <v/>
      </c>
      <c r="M2117">
        <f>IFERROR(IF(AND(H2117&lt;&gt;"",H2117&gt;=129,H2117&lt;=2176),INDEX(Fields!$K$2:$K$206,MATCH(H2117-129,Fields!$D$2:$D$206,1)),""),"")</f>
        <v/>
      </c>
    </row>
    <row r="2118">
      <c r="A2118" t="n">
        <v>2116</v>
      </c>
      <c r="B2118" t="n">
        <v>0</v>
      </c>
      <c r="C2118" t="inlineStr">
        <is>
          <t>No</t>
        </is>
      </c>
      <c r="D2118">
        <f>IF(AND(B2113=1,B2114=1,B2115=1,B2116=1,B2117=1),"Yes","")</f>
        <v/>
      </c>
      <c r="E2118" t="inlineStr">
        <is>
          <t>No</t>
        </is>
      </c>
      <c r="F2118" t="inlineStr">
        <is>
          <t>No</t>
        </is>
      </c>
      <c r="G2118">
        <f>IF(F2118="Yes",1-B2118,B2118)</f>
        <v/>
      </c>
      <c r="H2118">
        <f>IF(E2118="Yes","",COUNTIFS($E$2:E2118,"No"))</f>
        <v/>
      </c>
      <c r="I2118">
        <f>IF(H2118="","",IF(H2118&lt;=128,"address",IF(H2118&lt;=600,"data1",IF(H2118&lt;=1264,"zero-run1",IF(H2118&lt;=1648,"data2",IF(H2118&lt;=2176,"zero-run2",IF(H2118&lt;=2192,"FCS","trailing")))))))</f>
        <v/>
      </c>
      <c r="J2118">
        <f>IFERROR(IF(AND(H2118&lt;&gt;"",H2118&gt;=129,H2118&lt;=2176),INDEX(Fields!$B$2:$B$206,MATCH(H2118-129,Fields!$D$2:$D$206,1)),""),"")</f>
        <v/>
      </c>
      <c r="K2118">
        <f>IFERROR(IF(AND(H2118&lt;&gt;"",H2118&gt;=129,H2118&lt;=2176),INDEX(Fields!$C$2:$C$206,MATCH(H2118-129,Fields!$D$2:$D$206,1)),""),"")</f>
        <v/>
      </c>
      <c r="L2118">
        <f>IFERROR(IF(AND(H2118&lt;&gt;"",H2118&gt;=129,H2118&lt;=2176),INDEX(Fields!$J$2:$J$206,MATCH(H2118-129,Fields!$D$2:$D$206,1)),""),"")</f>
        <v/>
      </c>
      <c r="M2118">
        <f>IFERROR(IF(AND(H2118&lt;&gt;"",H2118&gt;=129,H2118&lt;=2176),INDEX(Fields!$K$2:$K$206,MATCH(H2118-129,Fields!$D$2:$D$206,1)),""),"")</f>
        <v/>
      </c>
    </row>
    <row r="2119">
      <c r="A2119" t="n">
        <v>2117</v>
      </c>
      <c r="B2119" t="n">
        <v>0</v>
      </c>
      <c r="C2119" t="inlineStr">
        <is>
          <t>No</t>
        </is>
      </c>
      <c r="D2119">
        <f>IF(AND(B2114=1,B2115=1,B2116=1,B2117=1,B2118=1),"Yes","")</f>
        <v/>
      </c>
      <c r="E2119" t="inlineStr">
        <is>
          <t>No</t>
        </is>
      </c>
      <c r="F2119" t="inlineStr">
        <is>
          <t>No</t>
        </is>
      </c>
      <c r="G2119">
        <f>IF(F2119="Yes",1-B2119,B2119)</f>
        <v/>
      </c>
      <c r="H2119">
        <f>IF(E2119="Yes","",COUNTIFS($E$2:E2119,"No"))</f>
        <v/>
      </c>
      <c r="I2119">
        <f>IF(H2119="","",IF(H2119&lt;=128,"address",IF(H2119&lt;=600,"data1",IF(H2119&lt;=1264,"zero-run1",IF(H2119&lt;=1648,"data2",IF(H2119&lt;=2176,"zero-run2",IF(H2119&lt;=2192,"FCS","trailing")))))))</f>
        <v/>
      </c>
      <c r="J2119">
        <f>IFERROR(IF(AND(H2119&lt;&gt;"",H2119&gt;=129,H2119&lt;=2176),INDEX(Fields!$B$2:$B$206,MATCH(H2119-129,Fields!$D$2:$D$206,1)),""),"")</f>
        <v/>
      </c>
      <c r="K2119">
        <f>IFERROR(IF(AND(H2119&lt;&gt;"",H2119&gt;=129,H2119&lt;=2176),INDEX(Fields!$C$2:$C$206,MATCH(H2119-129,Fields!$D$2:$D$206,1)),""),"")</f>
        <v/>
      </c>
      <c r="L2119">
        <f>IFERROR(IF(AND(H2119&lt;&gt;"",H2119&gt;=129,H2119&lt;=2176),INDEX(Fields!$J$2:$J$206,MATCH(H2119-129,Fields!$D$2:$D$206,1)),""),"")</f>
        <v/>
      </c>
      <c r="M2119">
        <f>IFERROR(IF(AND(H2119&lt;&gt;"",H2119&gt;=129,H2119&lt;=2176),INDEX(Fields!$K$2:$K$206,MATCH(H2119-129,Fields!$D$2:$D$206,1)),""),"")</f>
        <v/>
      </c>
    </row>
    <row r="2120">
      <c r="A2120" t="n">
        <v>2118</v>
      </c>
      <c r="B2120" t="n">
        <v>0</v>
      </c>
      <c r="C2120" t="inlineStr">
        <is>
          <t>No</t>
        </is>
      </c>
      <c r="D2120">
        <f>IF(AND(B2115=1,B2116=1,B2117=1,B2118=1,B2119=1),"Yes","")</f>
        <v/>
      </c>
      <c r="E2120" t="inlineStr">
        <is>
          <t>No</t>
        </is>
      </c>
      <c r="F2120" t="inlineStr">
        <is>
          <t>No</t>
        </is>
      </c>
      <c r="G2120">
        <f>IF(F2120="Yes",1-B2120,B2120)</f>
        <v/>
      </c>
      <c r="H2120">
        <f>IF(E2120="Yes","",COUNTIFS($E$2:E2120,"No"))</f>
        <v/>
      </c>
      <c r="I2120">
        <f>IF(H2120="","",IF(H2120&lt;=128,"address",IF(H2120&lt;=600,"data1",IF(H2120&lt;=1264,"zero-run1",IF(H2120&lt;=1648,"data2",IF(H2120&lt;=2176,"zero-run2",IF(H2120&lt;=2192,"FCS","trailing")))))))</f>
        <v/>
      </c>
      <c r="J2120">
        <f>IFERROR(IF(AND(H2120&lt;&gt;"",H2120&gt;=129,H2120&lt;=2176),INDEX(Fields!$B$2:$B$206,MATCH(H2120-129,Fields!$D$2:$D$206,1)),""),"")</f>
        <v/>
      </c>
      <c r="K2120">
        <f>IFERROR(IF(AND(H2120&lt;&gt;"",H2120&gt;=129,H2120&lt;=2176),INDEX(Fields!$C$2:$C$206,MATCH(H2120-129,Fields!$D$2:$D$206,1)),""),"")</f>
        <v/>
      </c>
      <c r="L2120">
        <f>IFERROR(IF(AND(H2120&lt;&gt;"",H2120&gt;=129,H2120&lt;=2176),INDEX(Fields!$J$2:$J$206,MATCH(H2120-129,Fields!$D$2:$D$206,1)),""),"")</f>
        <v/>
      </c>
      <c r="M2120">
        <f>IFERROR(IF(AND(H2120&lt;&gt;"",H2120&gt;=129,H2120&lt;=2176),INDEX(Fields!$K$2:$K$206,MATCH(H2120-129,Fields!$D$2:$D$206,1)),""),"")</f>
        <v/>
      </c>
    </row>
    <row r="2121">
      <c r="A2121" t="n">
        <v>2119</v>
      </c>
      <c r="B2121" t="n">
        <v>0</v>
      </c>
      <c r="C2121" t="inlineStr">
        <is>
          <t>No</t>
        </is>
      </c>
      <c r="D2121">
        <f>IF(AND(B2116=1,B2117=1,B2118=1,B2119=1,B2120=1),"Yes","")</f>
        <v/>
      </c>
      <c r="E2121" t="inlineStr">
        <is>
          <t>No</t>
        </is>
      </c>
      <c r="F2121" t="inlineStr">
        <is>
          <t>No</t>
        </is>
      </c>
      <c r="G2121">
        <f>IF(F2121="Yes",1-B2121,B2121)</f>
        <v/>
      </c>
      <c r="H2121">
        <f>IF(E2121="Yes","",COUNTIFS($E$2:E2121,"No"))</f>
        <v/>
      </c>
      <c r="I2121">
        <f>IF(H2121="","",IF(H2121&lt;=128,"address",IF(H2121&lt;=600,"data1",IF(H2121&lt;=1264,"zero-run1",IF(H2121&lt;=1648,"data2",IF(H2121&lt;=2176,"zero-run2",IF(H2121&lt;=2192,"FCS","trailing")))))))</f>
        <v/>
      </c>
      <c r="J2121">
        <f>IFERROR(IF(AND(H2121&lt;&gt;"",H2121&gt;=129,H2121&lt;=2176),INDEX(Fields!$B$2:$B$206,MATCH(H2121-129,Fields!$D$2:$D$206,1)),""),"")</f>
        <v/>
      </c>
      <c r="K2121">
        <f>IFERROR(IF(AND(H2121&lt;&gt;"",H2121&gt;=129,H2121&lt;=2176),INDEX(Fields!$C$2:$C$206,MATCH(H2121-129,Fields!$D$2:$D$206,1)),""),"")</f>
        <v/>
      </c>
      <c r="L2121">
        <f>IFERROR(IF(AND(H2121&lt;&gt;"",H2121&gt;=129,H2121&lt;=2176),INDEX(Fields!$J$2:$J$206,MATCH(H2121-129,Fields!$D$2:$D$206,1)),""),"")</f>
        <v/>
      </c>
      <c r="M2121">
        <f>IFERROR(IF(AND(H2121&lt;&gt;"",H2121&gt;=129,H2121&lt;=2176),INDEX(Fields!$K$2:$K$206,MATCH(H2121-129,Fields!$D$2:$D$206,1)),""),"")</f>
        <v/>
      </c>
    </row>
    <row r="2122">
      <c r="A2122" t="n">
        <v>2120</v>
      </c>
      <c r="B2122" t="n">
        <v>0</v>
      </c>
      <c r="C2122" t="inlineStr">
        <is>
          <t>No</t>
        </is>
      </c>
      <c r="D2122">
        <f>IF(AND(B2117=1,B2118=1,B2119=1,B2120=1,B2121=1),"Yes","")</f>
        <v/>
      </c>
      <c r="E2122" t="inlineStr">
        <is>
          <t>No</t>
        </is>
      </c>
      <c r="F2122" t="inlineStr">
        <is>
          <t>No</t>
        </is>
      </c>
      <c r="G2122">
        <f>IF(F2122="Yes",1-B2122,B2122)</f>
        <v/>
      </c>
      <c r="H2122">
        <f>IF(E2122="Yes","",COUNTIFS($E$2:E2122,"No"))</f>
        <v/>
      </c>
      <c r="I2122">
        <f>IF(H2122="","",IF(H2122&lt;=128,"address",IF(H2122&lt;=600,"data1",IF(H2122&lt;=1264,"zero-run1",IF(H2122&lt;=1648,"data2",IF(H2122&lt;=2176,"zero-run2",IF(H2122&lt;=2192,"FCS","trailing")))))))</f>
        <v/>
      </c>
      <c r="J2122">
        <f>IFERROR(IF(AND(H2122&lt;&gt;"",H2122&gt;=129,H2122&lt;=2176),INDEX(Fields!$B$2:$B$206,MATCH(H2122-129,Fields!$D$2:$D$206,1)),""),"")</f>
        <v/>
      </c>
      <c r="K2122">
        <f>IFERROR(IF(AND(H2122&lt;&gt;"",H2122&gt;=129,H2122&lt;=2176),INDEX(Fields!$C$2:$C$206,MATCH(H2122-129,Fields!$D$2:$D$206,1)),""),"")</f>
        <v/>
      </c>
      <c r="L2122">
        <f>IFERROR(IF(AND(H2122&lt;&gt;"",H2122&gt;=129,H2122&lt;=2176),INDEX(Fields!$J$2:$J$206,MATCH(H2122-129,Fields!$D$2:$D$206,1)),""),"")</f>
        <v/>
      </c>
      <c r="M2122">
        <f>IFERROR(IF(AND(H2122&lt;&gt;"",H2122&gt;=129,H2122&lt;=2176),INDEX(Fields!$K$2:$K$206,MATCH(H2122-129,Fields!$D$2:$D$206,1)),""),"")</f>
        <v/>
      </c>
    </row>
    <row r="2123">
      <c r="A2123" t="n">
        <v>2121</v>
      </c>
      <c r="B2123" t="n">
        <v>0</v>
      </c>
      <c r="C2123" t="inlineStr">
        <is>
          <t>No</t>
        </is>
      </c>
      <c r="D2123">
        <f>IF(AND(B2118=1,B2119=1,B2120=1,B2121=1,B2122=1),"Yes","")</f>
        <v/>
      </c>
      <c r="E2123" t="inlineStr">
        <is>
          <t>No</t>
        </is>
      </c>
      <c r="F2123" t="inlineStr">
        <is>
          <t>No</t>
        </is>
      </c>
      <c r="G2123">
        <f>IF(F2123="Yes",1-B2123,B2123)</f>
        <v/>
      </c>
      <c r="H2123">
        <f>IF(E2123="Yes","",COUNTIFS($E$2:E2123,"No"))</f>
        <v/>
      </c>
      <c r="I2123">
        <f>IF(H2123="","",IF(H2123&lt;=128,"address",IF(H2123&lt;=600,"data1",IF(H2123&lt;=1264,"zero-run1",IF(H2123&lt;=1648,"data2",IF(H2123&lt;=2176,"zero-run2",IF(H2123&lt;=2192,"FCS","trailing")))))))</f>
        <v/>
      </c>
      <c r="J2123">
        <f>IFERROR(IF(AND(H2123&lt;&gt;"",H2123&gt;=129,H2123&lt;=2176),INDEX(Fields!$B$2:$B$206,MATCH(H2123-129,Fields!$D$2:$D$206,1)),""),"")</f>
        <v/>
      </c>
      <c r="K2123">
        <f>IFERROR(IF(AND(H2123&lt;&gt;"",H2123&gt;=129,H2123&lt;=2176),INDEX(Fields!$C$2:$C$206,MATCH(H2123-129,Fields!$D$2:$D$206,1)),""),"")</f>
        <v/>
      </c>
      <c r="L2123">
        <f>IFERROR(IF(AND(H2123&lt;&gt;"",H2123&gt;=129,H2123&lt;=2176),INDEX(Fields!$J$2:$J$206,MATCH(H2123-129,Fields!$D$2:$D$206,1)),""),"")</f>
        <v/>
      </c>
      <c r="M2123">
        <f>IFERROR(IF(AND(H2123&lt;&gt;"",H2123&gt;=129,H2123&lt;=2176),INDEX(Fields!$K$2:$K$206,MATCH(H2123-129,Fields!$D$2:$D$206,1)),""),"")</f>
        <v/>
      </c>
    </row>
    <row r="2124">
      <c r="A2124" t="n">
        <v>2122</v>
      </c>
      <c r="B2124" t="n">
        <v>0</v>
      </c>
      <c r="C2124" t="inlineStr">
        <is>
          <t>No</t>
        </is>
      </c>
      <c r="D2124">
        <f>IF(AND(B2119=1,B2120=1,B2121=1,B2122=1,B2123=1),"Yes","")</f>
        <v/>
      </c>
      <c r="E2124" t="inlineStr">
        <is>
          <t>No</t>
        </is>
      </c>
      <c r="F2124" t="inlineStr">
        <is>
          <t>No</t>
        </is>
      </c>
      <c r="G2124">
        <f>IF(F2124="Yes",1-B2124,B2124)</f>
        <v/>
      </c>
      <c r="H2124">
        <f>IF(E2124="Yes","",COUNTIFS($E$2:E2124,"No"))</f>
        <v/>
      </c>
      <c r="I2124">
        <f>IF(H2124="","",IF(H2124&lt;=128,"address",IF(H2124&lt;=600,"data1",IF(H2124&lt;=1264,"zero-run1",IF(H2124&lt;=1648,"data2",IF(H2124&lt;=2176,"zero-run2",IF(H2124&lt;=2192,"FCS","trailing")))))))</f>
        <v/>
      </c>
      <c r="J2124">
        <f>IFERROR(IF(AND(H2124&lt;&gt;"",H2124&gt;=129,H2124&lt;=2176),INDEX(Fields!$B$2:$B$206,MATCH(H2124-129,Fields!$D$2:$D$206,1)),""),"")</f>
        <v/>
      </c>
      <c r="K2124">
        <f>IFERROR(IF(AND(H2124&lt;&gt;"",H2124&gt;=129,H2124&lt;=2176),INDEX(Fields!$C$2:$C$206,MATCH(H2124-129,Fields!$D$2:$D$206,1)),""),"")</f>
        <v/>
      </c>
      <c r="L2124">
        <f>IFERROR(IF(AND(H2124&lt;&gt;"",H2124&gt;=129,H2124&lt;=2176),INDEX(Fields!$J$2:$J$206,MATCH(H2124-129,Fields!$D$2:$D$206,1)),""),"")</f>
        <v/>
      </c>
      <c r="M2124">
        <f>IFERROR(IF(AND(H2124&lt;&gt;"",H2124&gt;=129,H2124&lt;=2176),INDEX(Fields!$K$2:$K$206,MATCH(H2124-129,Fields!$D$2:$D$206,1)),""),"")</f>
        <v/>
      </c>
    </row>
    <row r="2125">
      <c r="A2125" t="n">
        <v>2123</v>
      </c>
      <c r="B2125" t="n">
        <v>0</v>
      </c>
      <c r="C2125" t="inlineStr">
        <is>
          <t>No</t>
        </is>
      </c>
      <c r="D2125">
        <f>IF(AND(B2120=1,B2121=1,B2122=1,B2123=1,B2124=1),"Yes","")</f>
        <v/>
      </c>
      <c r="E2125" t="inlineStr">
        <is>
          <t>No</t>
        </is>
      </c>
      <c r="F2125" t="inlineStr">
        <is>
          <t>No</t>
        </is>
      </c>
      <c r="G2125">
        <f>IF(F2125="Yes",1-B2125,B2125)</f>
        <v/>
      </c>
      <c r="H2125">
        <f>IF(E2125="Yes","",COUNTIFS($E$2:E2125,"No"))</f>
        <v/>
      </c>
      <c r="I2125">
        <f>IF(H2125="","",IF(H2125&lt;=128,"address",IF(H2125&lt;=600,"data1",IF(H2125&lt;=1264,"zero-run1",IF(H2125&lt;=1648,"data2",IF(H2125&lt;=2176,"zero-run2",IF(H2125&lt;=2192,"FCS","trailing")))))))</f>
        <v/>
      </c>
      <c r="J2125">
        <f>IFERROR(IF(AND(H2125&lt;&gt;"",H2125&gt;=129,H2125&lt;=2176),INDEX(Fields!$B$2:$B$206,MATCH(H2125-129,Fields!$D$2:$D$206,1)),""),"")</f>
        <v/>
      </c>
      <c r="K2125">
        <f>IFERROR(IF(AND(H2125&lt;&gt;"",H2125&gt;=129,H2125&lt;=2176),INDEX(Fields!$C$2:$C$206,MATCH(H2125-129,Fields!$D$2:$D$206,1)),""),"")</f>
        <v/>
      </c>
      <c r="L2125">
        <f>IFERROR(IF(AND(H2125&lt;&gt;"",H2125&gt;=129,H2125&lt;=2176),INDEX(Fields!$J$2:$J$206,MATCH(H2125-129,Fields!$D$2:$D$206,1)),""),"")</f>
        <v/>
      </c>
      <c r="M2125">
        <f>IFERROR(IF(AND(H2125&lt;&gt;"",H2125&gt;=129,H2125&lt;=2176),INDEX(Fields!$K$2:$K$206,MATCH(H2125-129,Fields!$D$2:$D$206,1)),""),"")</f>
        <v/>
      </c>
    </row>
    <row r="2126">
      <c r="A2126" t="n">
        <v>2124</v>
      </c>
      <c r="B2126" t="n">
        <v>0</v>
      </c>
      <c r="C2126" t="inlineStr">
        <is>
          <t>No</t>
        </is>
      </c>
      <c r="D2126">
        <f>IF(AND(B2121=1,B2122=1,B2123=1,B2124=1,B2125=1),"Yes","")</f>
        <v/>
      </c>
      <c r="E2126" t="inlineStr">
        <is>
          <t>No</t>
        </is>
      </c>
      <c r="F2126" t="inlineStr">
        <is>
          <t>No</t>
        </is>
      </c>
      <c r="G2126">
        <f>IF(F2126="Yes",1-B2126,B2126)</f>
        <v/>
      </c>
      <c r="H2126">
        <f>IF(E2126="Yes","",COUNTIFS($E$2:E2126,"No"))</f>
        <v/>
      </c>
      <c r="I2126">
        <f>IF(H2126="","",IF(H2126&lt;=128,"address",IF(H2126&lt;=600,"data1",IF(H2126&lt;=1264,"zero-run1",IF(H2126&lt;=1648,"data2",IF(H2126&lt;=2176,"zero-run2",IF(H2126&lt;=2192,"FCS","trailing")))))))</f>
        <v/>
      </c>
      <c r="J2126">
        <f>IFERROR(IF(AND(H2126&lt;&gt;"",H2126&gt;=129,H2126&lt;=2176),INDEX(Fields!$B$2:$B$206,MATCH(H2126-129,Fields!$D$2:$D$206,1)),""),"")</f>
        <v/>
      </c>
      <c r="K2126">
        <f>IFERROR(IF(AND(H2126&lt;&gt;"",H2126&gt;=129,H2126&lt;=2176),INDEX(Fields!$C$2:$C$206,MATCH(H2126-129,Fields!$D$2:$D$206,1)),""),"")</f>
        <v/>
      </c>
      <c r="L2126">
        <f>IFERROR(IF(AND(H2126&lt;&gt;"",H2126&gt;=129,H2126&lt;=2176),INDEX(Fields!$J$2:$J$206,MATCH(H2126-129,Fields!$D$2:$D$206,1)),""),"")</f>
        <v/>
      </c>
      <c r="M2126">
        <f>IFERROR(IF(AND(H2126&lt;&gt;"",H2126&gt;=129,H2126&lt;=2176),INDEX(Fields!$K$2:$K$206,MATCH(H2126-129,Fields!$D$2:$D$206,1)),""),"")</f>
        <v/>
      </c>
    </row>
    <row r="2127">
      <c r="A2127" t="n">
        <v>2125</v>
      </c>
      <c r="B2127" t="n">
        <v>0</v>
      </c>
      <c r="C2127" t="inlineStr">
        <is>
          <t>No</t>
        </is>
      </c>
      <c r="D2127">
        <f>IF(AND(B2122=1,B2123=1,B2124=1,B2125=1,B2126=1),"Yes","")</f>
        <v/>
      </c>
      <c r="E2127" t="inlineStr">
        <is>
          <t>No</t>
        </is>
      </c>
      <c r="F2127" t="inlineStr">
        <is>
          <t>No</t>
        </is>
      </c>
      <c r="G2127">
        <f>IF(F2127="Yes",1-B2127,B2127)</f>
        <v/>
      </c>
      <c r="H2127">
        <f>IF(E2127="Yes","",COUNTIFS($E$2:E2127,"No"))</f>
        <v/>
      </c>
      <c r="I2127">
        <f>IF(H2127="","",IF(H2127&lt;=128,"address",IF(H2127&lt;=600,"data1",IF(H2127&lt;=1264,"zero-run1",IF(H2127&lt;=1648,"data2",IF(H2127&lt;=2176,"zero-run2",IF(H2127&lt;=2192,"FCS","trailing")))))))</f>
        <v/>
      </c>
      <c r="J2127">
        <f>IFERROR(IF(AND(H2127&lt;&gt;"",H2127&gt;=129,H2127&lt;=2176),INDEX(Fields!$B$2:$B$206,MATCH(H2127-129,Fields!$D$2:$D$206,1)),""),"")</f>
        <v/>
      </c>
      <c r="K2127">
        <f>IFERROR(IF(AND(H2127&lt;&gt;"",H2127&gt;=129,H2127&lt;=2176),INDEX(Fields!$C$2:$C$206,MATCH(H2127-129,Fields!$D$2:$D$206,1)),""),"")</f>
        <v/>
      </c>
      <c r="L2127">
        <f>IFERROR(IF(AND(H2127&lt;&gt;"",H2127&gt;=129,H2127&lt;=2176),INDEX(Fields!$J$2:$J$206,MATCH(H2127-129,Fields!$D$2:$D$206,1)),""),"")</f>
        <v/>
      </c>
      <c r="M2127">
        <f>IFERROR(IF(AND(H2127&lt;&gt;"",H2127&gt;=129,H2127&lt;=2176),INDEX(Fields!$K$2:$K$206,MATCH(H2127-129,Fields!$D$2:$D$206,1)),""),"")</f>
        <v/>
      </c>
    </row>
    <row r="2128">
      <c r="A2128" t="n">
        <v>2126</v>
      </c>
      <c r="B2128" t="n">
        <v>0</v>
      </c>
      <c r="C2128" t="inlineStr">
        <is>
          <t>No</t>
        </is>
      </c>
      <c r="D2128">
        <f>IF(AND(B2123=1,B2124=1,B2125=1,B2126=1,B2127=1),"Yes","")</f>
        <v/>
      </c>
      <c r="E2128" t="inlineStr">
        <is>
          <t>No</t>
        </is>
      </c>
      <c r="F2128" t="inlineStr">
        <is>
          <t>No</t>
        </is>
      </c>
      <c r="G2128">
        <f>IF(F2128="Yes",1-B2128,B2128)</f>
        <v/>
      </c>
      <c r="H2128">
        <f>IF(E2128="Yes","",COUNTIFS($E$2:E2128,"No"))</f>
        <v/>
      </c>
      <c r="I2128">
        <f>IF(H2128="","",IF(H2128&lt;=128,"address",IF(H2128&lt;=600,"data1",IF(H2128&lt;=1264,"zero-run1",IF(H2128&lt;=1648,"data2",IF(H2128&lt;=2176,"zero-run2",IF(H2128&lt;=2192,"FCS","trailing")))))))</f>
        <v/>
      </c>
      <c r="J2128">
        <f>IFERROR(IF(AND(H2128&lt;&gt;"",H2128&gt;=129,H2128&lt;=2176),INDEX(Fields!$B$2:$B$206,MATCH(H2128-129,Fields!$D$2:$D$206,1)),""),"")</f>
        <v/>
      </c>
      <c r="K2128">
        <f>IFERROR(IF(AND(H2128&lt;&gt;"",H2128&gt;=129,H2128&lt;=2176),INDEX(Fields!$C$2:$C$206,MATCH(H2128-129,Fields!$D$2:$D$206,1)),""),"")</f>
        <v/>
      </c>
      <c r="L2128">
        <f>IFERROR(IF(AND(H2128&lt;&gt;"",H2128&gt;=129,H2128&lt;=2176),INDEX(Fields!$J$2:$J$206,MATCH(H2128-129,Fields!$D$2:$D$206,1)),""),"")</f>
        <v/>
      </c>
      <c r="M2128">
        <f>IFERROR(IF(AND(H2128&lt;&gt;"",H2128&gt;=129,H2128&lt;=2176),INDEX(Fields!$K$2:$K$206,MATCH(H2128-129,Fields!$D$2:$D$206,1)),""),"")</f>
        <v/>
      </c>
    </row>
    <row r="2129">
      <c r="A2129" t="n">
        <v>2127</v>
      </c>
      <c r="B2129" t="n">
        <v>0</v>
      </c>
      <c r="C2129" t="inlineStr">
        <is>
          <t>No</t>
        </is>
      </c>
      <c r="D2129">
        <f>IF(AND(B2124=1,B2125=1,B2126=1,B2127=1,B2128=1),"Yes","")</f>
        <v/>
      </c>
      <c r="E2129" t="inlineStr">
        <is>
          <t>No</t>
        </is>
      </c>
      <c r="F2129" t="inlineStr">
        <is>
          <t>No</t>
        </is>
      </c>
      <c r="G2129">
        <f>IF(F2129="Yes",1-B2129,B2129)</f>
        <v/>
      </c>
      <c r="H2129">
        <f>IF(E2129="Yes","",COUNTIFS($E$2:E2129,"No"))</f>
        <v/>
      </c>
      <c r="I2129">
        <f>IF(H2129="","",IF(H2129&lt;=128,"address",IF(H2129&lt;=600,"data1",IF(H2129&lt;=1264,"zero-run1",IF(H2129&lt;=1648,"data2",IF(H2129&lt;=2176,"zero-run2",IF(H2129&lt;=2192,"FCS","trailing")))))))</f>
        <v/>
      </c>
      <c r="J2129">
        <f>IFERROR(IF(AND(H2129&lt;&gt;"",H2129&gt;=129,H2129&lt;=2176),INDEX(Fields!$B$2:$B$206,MATCH(H2129-129,Fields!$D$2:$D$206,1)),""),"")</f>
        <v/>
      </c>
      <c r="K2129">
        <f>IFERROR(IF(AND(H2129&lt;&gt;"",H2129&gt;=129,H2129&lt;=2176),INDEX(Fields!$C$2:$C$206,MATCH(H2129-129,Fields!$D$2:$D$206,1)),""),"")</f>
        <v/>
      </c>
      <c r="L2129">
        <f>IFERROR(IF(AND(H2129&lt;&gt;"",H2129&gt;=129,H2129&lt;=2176),INDEX(Fields!$J$2:$J$206,MATCH(H2129-129,Fields!$D$2:$D$206,1)),""),"")</f>
        <v/>
      </c>
      <c r="M2129">
        <f>IFERROR(IF(AND(H2129&lt;&gt;"",H2129&gt;=129,H2129&lt;=2176),INDEX(Fields!$K$2:$K$206,MATCH(H2129-129,Fields!$D$2:$D$206,1)),""),"")</f>
        <v/>
      </c>
    </row>
    <row r="2130">
      <c r="A2130" t="n">
        <v>2128</v>
      </c>
      <c r="B2130" t="n">
        <v>0</v>
      </c>
      <c r="C2130" t="inlineStr">
        <is>
          <t>No</t>
        </is>
      </c>
      <c r="D2130">
        <f>IF(AND(B2125=1,B2126=1,B2127=1,B2128=1,B2129=1),"Yes","")</f>
        <v/>
      </c>
      <c r="E2130" t="inlineStr">
        <is>
          <t>No</t>
        </is>
      </c>
      <c r="F2130" t="inlineStr">
        <is>
          <t>No</t>
        </is>
      </c>
      <c r="G2130">
        <f>IF(F2130="Yes",1-B2130,B2130)</f>
        <v/>
      </c>
      <c r="H2130">
        <f>IF(E2130="Yes","",COUNTIFS($E$2:E2130,"No"))</f>
        <v/>
      </c>
      <c r="I2130">
        <f>IF(H2130="","",IF(H2130&lt;=128,"address",IF(H2130&lt;=600,"data1",IF(H2130&lt;=1264,"zero-run1",IF(H2130&lt;=1648,"data2",IF(H2130&lt;=2176,"zero-run2",IF(H2130&lt;=2192,"FCS","trailing")))))))</f>
        <v/>
      </c>
      <c r="J2130">
        <f>IFERROR(IF(AND(H2130&lt;&gt;"",H2130&gt;=129,H2130&lt;=2176),INDEX(Fields!$B$2:$B$206,MATCH(H2130-129,Fields!$D$2:$D$206,1)),""),"")</f>
        <v/>
      </c>
      <c r="K2130">
        <f>IFERROR(IF(AND(H2130&lt;&gt;"",H2130&gt;=129,H2130&lt;=2176),INDEX(Fields!$C$2:$C$206,MATCH(H2130-129,Fields!$D$2:$D$206,1)),""),"")</f>
        <v/>
      </c>
      <c r="L2130">
        <f>IFERROR(IF(AND(H2130&lt;&gt;"",H2130&gt;=129,H2130&lt;=2176),INDEX(Fields!$J$2:$J$206,MATCH(H2130-129,Fields!$D$2:$D$206,1)),""),"")</f>
        <v/>
      </c>
      <c r="M2130">
        <f>IFERROR(IF(AND(H2130&lt;&gt;"",H2130&gt;=129,H2130&lt;=2176),INDEX(Fields!$K$2:$K$206,MATCH(H2130-129,Fields!$D$2:$D$206,1)),""),"")</f>
        <v/>
      </c>
    </row>
    <row r="2131">
      <c r="A2131" t="n">
        <v>2129</v>
      </c>
      <c r="B2131" t="n">
        <v>0</v>
      </c>
      <c r="C2131" t="inlineStr">
        <is>
          <t>No</t>
        </is>
      </c>
      <c r="D2131">
        <f>IF(AND(B2126=1,B2127=1,B2128=1,B2129=1,B2130=1),"Yes","")</f>
        <v/>
      </c>
      <c r="E2131" t="inlineStr">
        <is>
          <t>No</t>
        </is>
      </c>
      <c r="F2131" t="inlineStr">
        <is>
          <t>No</t>
        </is>
      </c>
      <c r="G2131">
        <f>IF(F2131="Yes",1-B2131,B2131)</f>
        <v/>
      </c>
      <c r="H2131">
        <f>IF(E2131="Yes","",COUNTIFS($E$2:E2131,"No"))</f>
        <v/>
      </c>
      <c r="I2131">
        <f>IF(H2131="","",IF(H2131&lt;=128,"address",IF(H2131&lt;=600,"data1",IF(H2131&lt;=1264,"zero-run1",IF(H2131&lt;=1648,"data2",IF(H2131&lt;=2176,"zero-run2",IF(H2131&lt;=2192,"FCS","trailing")))))))</f>
        <v/>
      </c>
      <c r="J2131">
        <f>IFERROR(IF(AND(H2131&lt;&gt;"",H2131&gt;=129,H2131&lt;=2176),INDEX(Fields!$B$2:$B$206,MATCH(H2131-129,Fields!$D$2:$D$206,1)),""),"")</f>
        <v/>
      </c>
      <c r="K2131">
        <f>IFERROR(IF(AND(H2131&lt;&gt;"",H2131&gt;=129,H2131&lt;=2176),INDEX(Fields!$C$2:$C$206,MATCH(H2131-129,Fields!$D$2:$D$206,1)),""),"")</f>
        <v/>
      </c>
      <c r="L2131">
        <f>IFERROR(IF(AND(H2131&lt;&gt;"",H2131&gt;=129,H2131&lt;=2176),INDEX(Fields!$J$2:$J$206,MATCH(H2131-129,Fields!$D$2:$D$206,1)),""),"")</f>
        <v/>
      </c>
      <c r="M2131">
        <f>IFERROR(IF(AND(H2131&lt;&gt;"",H2131&gt;=129,H2131&lt;=2176),INDEX(Fields!$K$2:$K$206,MATCH(H2131-129,Fields!$D$2:$D$206,1)),""),"")</f>
        <v/>
      </c>
    </row>
    <row r="2132">
      <c r="A2132" t="n">
        <v>2130</v>
      </c>
      <c r="B2132" t="n">
        <v>0</v>
      </c>
      <c r="C2132" t="inlineStr">
        <is>
          <t>No</t>
        </is>
      </c>
      <c r="D2132">
        <f>IF(AND(B2127=1,B2128=1,B2129=1,B2130=1,B2131=1),"Yes","")</f>
        <v/>
      </c>
      <c r="E2132" t="inlineStr">
        <is>
          <t>No</t>
        </is>
      </c>
      <c r="F2132" t="inlineStr">
        <is>
          <t>No</t>
        </is>
      </c>
      <c r="G2132">
        <f>IF(F2132="Yes",1-B2132,B2132)</f>
        <v/>
      </c>
      <c r="H2132">
        <f>IF(E2132="Yes","",COUNTIFS($E$2:E2132,"No"))</f>
        <v/>
      </c>
      <c r="I2132">
        <f>IF(H2132="","",IF(H2132&lt;=128,"address",IF(H2132&lt;=600,"data1",IF(H2132&lt;=1264,"zero-run1",IF(H2132&lt;=1648,"data2",IF(H2132&lt;=2176,"zero-run2",IF(H2132&lt;=2192,"FCS","trailing")))))))</f>
        <v/>
      </c>
      <c r="J2132">
        <f>IFERROR(IF(AND(H2132&lt;&gt;"",H2132&gt;=129,H2132&lt;=2176),INDEX(Fields!$B$2:$B$206,MATCH(H2132-129,Fields!$D$2:$D$206,1)),""),"")</f>
        <v/>
      </c>
      <c r="K2132">
        <f>IFERROR(IF(AND(H2132&lt;&gt;"",H2132&gt;=129,H2132&lt;=2176),INDEX(Fields!$C$2:$C$206,MATCH(H2132-129,Fields!$D$2:$D$206,1)),""),"")</f>
        <v/>
      </c>
      <c r="L2132">
        <f>IFERROR(IF(AND(H2132&lt;&gt;"",H2132&gt;=129,H2132&lt;=2176),INDEX(Fields!$J$2:$J$206,MATCH(H2132-129,Fields!$D$2:$D$206,1)),""),"")</f>
        <v/>
      </c>
      <c r="M2132">
        <f>IFERROR(IF(AND(H2132&lt;&gt;"",H2132&gt;=129,H2132&lt;=2176),INDEX(Fields!$K$2:$K$206,MATCH(H2132-129,Fields!$D$2:$D$206,1)),""),"")</f>
        <v/>
      </c>
    </row>
    <row r="2133">
      <c r="A2133" t="n">
        <v>2131</v>
      </c>
      <c r="B2133" t="n">
        <v>0</v>
      </c>
      <c r="C2133" t="inlineStr">
        <is>
          <t>No</t>
        </is>
      </c>
      <c r="D2133">
        <f>IF(AND(B2128=1,B2129=1,B2130=1,B2131=1,B2132=1),"Yes","")</f>
        <v/>
      </c>
      <c r="E2133" t="inlineStr">
        <is>
          <t>No</t>
        </is>
      </c>
      <c r="F2133" t="inlineStr">
        <is>
          <t>No</t>
        </is>
      </c>
      <c r="G2133">
        <f>IF(F2133="Yes",1-B2133,B2133)</f>
        <v/>
      </c>
      <c r="H2133">
        <f>IF(E2133="Yes","",COUNTIFS($E$2:E2133,"No"))</f>
        <v/>
      </c>
      <c r="I2133">
        <f>IF(H2133="","",IF(H2133&lt;=128,"address",IF(H2133&lt;=600,"data1",IF(H2133&lt;=1264,"zero-run1",IF(H2133&lt;=1648,"data2",IF(H2133&lt;=2176,"zero-run2",IF(H2133&lt;=2192,"FCS","trailing")))))))</f>
        <v/>
      </c>
      <c r="J2133">
        <f>IFERROR(IF(AND(H2133&lt;&gt;"",H2133&gt;=129,H2133&lt;=2176),INDEX(Fields!$B$2:$B$206,MATCH(H2133-129,Fields!$D$2:$D$206,1)),""),"")</f>
        <v/>
      </c>
      <c r="K2133">
        <f>IFERROR(IF(AND(H2133&lt;&gt;"",H2133&gt;=129,H2133&lt;=2176),INDEX(Fields!$C$2:$C$206,MATCH(H2133-129,Fields!$D$2:$D$206,1)),""),"")</f>
        <v/>
      </c>
      <c r="L2133">
        <f>IFERROR(IF(AND(H2133&lt;&gt;"",H2133&gt;=129,H2133&lt;=2176),INDEX(Fields!$J$2:$J$206,MATCH(H2133-129,Fields!$D$2:$D$206,1)),""),"")</f>
        <v/>
      </c>
      <c r="M2133">
        <f>IFERROR(IF(AND(H2133&lt;&gt;"",H2133&gt;=129,H2133&lt;=2176),INDEX(Fields!$K$2:$K$206,MATCH(H2133-129,Fields!$D$2:$D$206,1)),""),"")</f>
        <v/>
      </c>
    </row>
    <row r="2134">
      <c r="A2134" t="n">
        <v>2132</v>
      </c>
      <c r="B2134" t="n">
        <v>0</v>
      </c>
      <c r="C2134" t="inlineStr">
        <is>
          <t>No</t>
        </is>
      </c>
      <c r="D2134">
        <f>IF(AND(B2129=1,B2130=1,B2131=1,B2132=1,B2133=1),"Yes","")</f>
        <v/>
      </c>
      <c r="E2134" t="inlineStr">
        <is>
          <t>No</t>
        </is>
      </c>
      <c r="F2134" t="inlineStr">
        <is>
          <t>No</t>
        </is>
      </c>
      <c r="G2134">
        <f>IF(F2134="Yes",1-B2134,B2134)</f>
        <v/>
      </c>
      <c r="H2134">
        <f>IF(E2134="Yes","",COUNTIFS($E$2:E2134,"No"))</f>
        <v/>
      </c>
      <c r="I2134">
        <f>IF(H2134="","",IF(H2134&lt;=128,"address",IF(H2134&lt;=600,"data1",IF(H2134&lt;=1264,"zero-run1",IF(H2134&lt;=1648,"data2",IF(H2134&lt;=2176,"zero-run2",IF(H2134&lt;=2192,"FCS","trailing")))))))</f>
        <v/>
      </c>
      <c r="J2134">
        <f>IFERROR(IF(AND(H2134&lt;&gt;"",H2134&gt;=129,H2134&lt;=2176),INDEX(Fields!$B$2:$B$206,MATCH(H2134-129,Fields!$D$2:$D$206,1)),""),"")</f>
        <v/>
      </c>
      <c r="K2134">
        <f>IFERROR(IF(AND(H2134&lt;&gt;"",H2134&gt;=129,H2134&lt;=2176),INDEX(Fields!$C$2:$C$206,MATCH(H2134-129,Fields!$D$2:$D$206,1)),""),"")</f>
        <v/>
      </c>
      <c r="L2134">
        <f>IFERROR(IF(AND(H2134&lt;&gt;"",H2134&gt;=129,H2134&lt;=2176),INDEX(Fields!$J$2:$J$206,MATCH(H2134-129,Fields!$D$2:$D$206,1)),""),"")</f>
        <v/>
      </c>
      <c r="M2134">
        <f>IFERROR(IF(AND(H2134&lt;&gt;"",H2134&gt;=129,H2134&lt;=2176),INDEX(Fields!$K$2:$K$206,MATCH(H2134-129,Fields!$D$2:$D$206,1)),""),"")</f>
        <v/>
      </c>
    </row>
    <row r="2135">
      <c r="A2135" t="n">
        <v>2133</v>
      </c>
      <c r="B2135" t="n">
        <v>0</v>
      </c>
      <c r="C2135" t="inlineStr">
        <is>
          <t>No</t>
        </is>
      </c>
      <c r="D2135">
        <f>IF(AND(B2130=1,B2131=1,B2132=1,B2133=1,B2134=1),"Yes","")</f>
        <v/>
      </c>
      <c r="E2135" t="inlineStr">
        <is>
          <t>No</t>
        </is>
      </c>
      <c r="F2135" t="inlineStr">
        <is>
          <t>No</t>
        </is>
      </c>
      <c r="G2135">
        <f>IF(F2135="Yes",1-B2135,B2135)</f>
        <v/>
      </c>
      <c r="H2135">
        <f>IF(E2135="Yes","",COUNTIFS($E$2:E2135,"No"))</f>
        <v/>
      </c>
      <c r="I2135">
        <f>IF(H2135="","",IF(H2135&lt;=128,"address",IF(H2135&lt;=600,"data1",IF(H2135&lt;=1264,"zero-run1",IF(H2135&lt;=1648,"data2",IF(H2135&lt;=2176,"zero-run2",IF(H2135&lt;=2192,"FCS","trailing")))))))</f>
        <v/>
      </c>
      <c r="J2135">
        <f>IFERROR(IF(AND(H2135&lt;&gt;"",H2135&gt;=129,H2135&lt;=2176),INDEX(Fields!$B$2:$B$206,MATCH(H2135-129,Fields!$D$2:$D$206,1)),""),"")</f>
        <v/>
      </c>
      <c r="K2135">
        <f>IFERROR(IF(AND(H2135&lt;&gt;"",H2135&gt;=129,H2135&lt;=2176),INDEX(Fields!$C$2:$C$206,MATCH(H2135-129,Fields!$D$2:$D$206,1)),""),"")</f>
        <v/>
      </c>
      <c r="L2135">
        <f>IFERROR(IF(AND(H2135&lt;&gt;"",H2135&gt;=129,H2135&lt;=2176),INDEX(Fields!$J$2:$J$206,MATCH(H2135-129,Fields!$D$2:$D$206,1)),""),"")</f>
        <v/>
      </c>
      <c r="M2135">
        <f>IFERROR(IF(AND(H2135&lt;&gt;"",H2135&gt;=129,H2135&lt;=2176),INDEX(Fields!$K$2:$K$206,MATCH(H2135-129,Fields!$D$2:$D$206,1)),""),"")</f>
        <v/>
      </c>
    </row>
    <row r="2136">
      <c r="A2136" t="n">
        <v>2134</v>
      </c>
      <c r="B2136" t="n">
        <v>0</v>
      </c>
      <c r="C2136" t="inlineStr">
        <is>
          <t>No</t>
        </is>
      </c>
      <c r="D2136">
        <f>IF(AND(B2131=1,B2132=1,B2133=1,B2134=1,B2135=1),"Yes","")</f>
        <v/>
      </c>
      <c r="E2136" t="inlineStr">
        <is>
          <t>No</t>
        </is>
      </c>
      <c r="F2136" t="inlineStr">
        <is>
          <t>No</t>
        </is>
      </c>
      <c r="G2136">
        <f>IF(F2136="Yes",1-B2136,B2136)</f>
        <v/>
      </c>
      <c r="H2136">
        <f>IF(E2136="Yes","",COUNTIFS($E$2:E2136,"No"))</f>
        <v/>
      </c>
      <c r="I2136">
        <f>IF(H2136="","",IF(H2136&lt;=128,"address",IF(H2136&lt;=600,"data1",IF(H2136&lt;=1264,"zero-run1",IF(H2136&lt;=1648,"data2",IF(H2136&lt;=2176,"zero-run2",IF(H2136&lt;=2192,"FCS","trailing")))))))</f>
        <v/>
      </c>
      <c r="J2136">
        <f>IFERROR(IF(AND(H2136&lt;&gt;"",H2136&gt;=129,H2136&lt;=2176),INDEX(Fields!$B$2:$B$206,MATCH(H2136-129,Fields!$D$2:$D$206,1)),""),"")</f>
        <v/>
      </c>
      <c r="K2136">
        <f>IFERROR(IF(AND(H2136&lt;&gt;"",H2136&gt;=129,H2136&lt;=2176),INDEX(Fields!$C$2:$C$206,MATCH(H2136-129,Fields!$D$2:$D$206,1)),""),"")</f>
        <v/>
      </c>
      <c r="L2136">
        <f>IFERROR(IF(AND(H2136&lt;&gt;"",H2136&gt;=129,H2136&lt;=2176),INDEX(Fields!$J$2:$J$206,MATCH(H2136-129,Fields!$D$2:$D$206,1)),""),"")</f>
        <v/>
      </c>
      <c r="M2136">
        <f>IFERROR(IF(AND(H2136&lt;&gt;"",H2136&gt;=129,H2136&lt;=2176),INDEX(Fields!$K$2:$K$206,MATCH(H2136-129,Fields!$D$2:$D$206,1)),""),"")</f>
        <v/>
      </c>
    </row>
    <row r="2137">
      <c r="A2137" t="n">
        <v>2135</v>
      </c>
      <c r="B2137" t="n">
        <v>0</v>
      </c>
      <c r="C2137" t="inlineStr">
        <is>
          <t>No</t>
        </is>
      </c>
      <c r="D2137">
        <f>IF(AND(B2132=1,B2133=1,B2134=1,B2135=1,B2136=1),"Yes","")</f>
        <v/>
      </c>
      <c r="E2137" t="inlineStr">
        <is>
          <t>No</t>
        </is>
      </c>
      <c r="F2137" t="inlineStr">
        <is>
          <t>No</t>
        </is>
      </c>
      <c r="G2137">
        <f>IF(F2137="Yes",1-B2137,B2137)</f>
        <v/>
      </c>
      <c r="H2137">
        <f>IF(E2137="Yes","",COUNTIFS($E$2:E2137,"No"))</f>
        <v/>
      </c>
      <c r="I2137">
        <f>IF(H2137="","",IF(H2137&lt;=128,"address",IF(H2137&lt;=600,"data1",IF(H2137&lt;=1264,"zero-run1",IF(H2137&lt;=1648,"data2",IF(H2137&lt;=2176,"zero-run2",IF(H2137&lt;=2192,"FCS","trailing")))))))</f>
        <v/>
      </c>
      <c r="J2137">
        <f>IFERROR(IF(AND(H2137&lt;&gt;"",H2137&gt;=129,H2137&lt;=2176),INDEX(Fields!$B$2:$B$206,MATCH(H2137-129,Fields!$D$2:$D$206,1)),""),"")</f>
        <v/>
      </c>
      <c r="K2137">
        <f>IFERROR(IF(AND(H2137&lt;&gt;"",H2137&gt;=129,H2137&lt;=2176),INDEX(Fields!$C$2:$C$206,MATCH(H2137-129,Fields!$D$2:$D$206,1)),""),"")</f>
        <v/>
      </c>
      <c r="L2137">
        <f>IFERROR(IF(AND(H2137&lt;&gt;"",H2137&gt;=129,H2137&lt;=2176),INDEX(Fields!$J$2:$J$206,MATCH(H2137-129,Fields!$D$2:$D$206,1)),""),"")</f>
        <v/>
      </c>
      <c r="M2137">
        <f>IFERROR(IF(AND(H2137&lt;&gt;"",H2137&gt;=129,H2137&lt;=2176),INDEX(Fields!$K$2:$K$206,MATCH(H2137-129,Fields!$D$2:$D$206,1)),""),"")</f>
        <v/>
      </c>
    </row>
    <row r="2138">
      <c r="A2138" t="n">
        <v>2136</v>
      </c>
      <c r="B2138" t="n">
        <v>0</v>
      </c>
      <c r="C2138" t="inlineStr">
        <is>
          <t>No</t>
        </is>
      </c>
      <c r="D2138">
        <f>IF(AND(B2133=1,B2134=1,B2135=1,B2136=1,B2137=1),"Yes","")</f>
        <v/>
      </c>
      <c r="E2138" t="inlineStr">
        <is>
          <t>No</t>
        </is>
      </c>
      <c r="F2138" t="inlineStr">
        <is>
          <t>No</t>
        </is>
      </c>
      <c r="G2138">
        <f>IF(F2138="Yes",1-B2138,B2138)</f>
        <v/>
      </c>
      <c r="H2138">
        <f>IF(E2138="Yes","",COUNTIFS($E$2:E2138,"No"))</f>
        <v/>
      </c>
      <c r="I2138">
        <f>IF(H2138="","",IF(H2138&lt;=128,"address",IF(H2138&lt;=600,"data1",IF(H2138&lt;=1264,"zero-run1",IF(H2138&lt;=1648,"data2",IF(H2138&lt;=2176,"zero-run2",IF(H2138&lt;=2192,"FCS","trailing")))))))</f>
        <v/>
      </c>
      <c r="J2138">
        <f>IFERROR(IF(AND(H2138&lt;&gt;"",H2138&gt;=129,H2138&lt;=2176),INDEX(Fields!$B$2:$B$206,MATCH(H2138-129,Fields!$D$2:$D$206,1)),""),"")</f>
        <v/>
      </c>
      <c r="K2138">
        <f>IFERROR(IF(AND(H2138&lt;&gt;"",H2138&gt;=129,H2138&lt;=2176),INDEX(Fields!$C$2:$C$206,MATCH(H2138-129,Fields!$D$2:$D$206,1)),""),"")</f>
        <v/>
      </c>
      <c r="L2138">
        <f>IFERROR(IF(AND(H2138&lt;&gt;"",H2138&gt;=129,H2138&lt;=2176),INDEX(Fields!$J$2:$J$206,MATCH(H2138-129,Fields!$D$2:$D$206,1)),""),"")</f>
        <v/>
      </c>
      <c r="M2138">
        <f>IFERROR(IF(AND(H2138&lt;&gt;"",H2138&gt;=129,H2138&lt;=2176),INDEX(Fields!$K$2:$K$206,MATCH(H2138-129,Fields!$D$2:$D$206,1)),""),"")</f>
        <v/>
      </c>
    </row>
    <row r="2139">
      <c r="A2139" t="n">
        <v>2137</v>
      </c>
      <c r="B2139" t="n">
        <v>0</v>
      </c>
      <c r="C2139" t="inlineStr">
        <is>
          <t>No</t>
        </is>
      </c>
      <c r="D2139">
        <f>IF(AND(B2134=1,B2135=1,B2136=1,B2137=1,B2138=1),"Yes","")</f>
        <v/>
      </c>
      <c r="E2139" t="inlineStr">
        <is>
          <t>No</t>
        </is>
      </c>
      <c r="F2139" t="inlineStr">
        <is>
          <t>No</t>
        </is>
      </c>
      <c r="G2139">
        <f>IF(F2139="Yes",1-B2139,B2139)</f>
        <v/>
      </c>
      <c r="H2139">
        <f>IF(E2139="Yes","",COUNTIFS($E$2:E2139,"No"))</f>
        <v/>
      </c>
      <c r="I2139">
        <f>IF(H2139="","",IF(H2139&lt;=128,"address",IF(H2139&lt;=600,"data1",IF(H2139&lt;=1264,"zero-run1",IF(H2139&lt;=1648,"data2",IF(H2139&lt;=2176,"zero-run2",IF(H2139&lt;=2192,"FCS","trailing")))))))</f>
        <v/>
      </c>
      <c r="J2139">
        <f>IFERROR(IF(AND(H2139&lt;&gt;"",H2139&gt;=129,H2139&lt;=2176),INDEX(Fields!$B$2:$B$206,MATCH(H2139-129,Fields!$D$2:$D$206,1)),""),"")</f>
        <v/>
      </c>
      <c r="K2139">
        <f>IFERROR(IF(AND(H2139&lt;&gt;"",H2139&gt;=129,H2139&lt;=2176),INDEX(Fields!$C$2:$C$206,MATCH(H2139-129,Fields!$D$2:$D$206,1)),""),"")</f>
        <v/>
      </c>
      <c r="L2139">
        <f>IFERROR(IF(AND(H2139&lt;&gt;"",H2139&gt;=129,H2139&lt;=2176),INDEX(Fields!$J$2:$J$206,MATCH(H2139-129,Fields!$D$2:$D$206,1)),""),"")</f>
        <v/>
      </c>
      <c r="M2139">
        <f>IFERROR(IF(AND(H2139&lt;&gt;"",H2139&gt;=129,H2139&lt;=2176),INDEX(Fields!$K$2:$K$206,MATCH(H2139-129,Fields!$D$2:$D$206,1)),""),"")</f>
        <v/>
      </c>
    </row>
    <row r="2140">
      <c r="A2140" t="n">
        <v>2138</v>
      </c>
      <c r="B2140" t="n">
        <v>0</v>
      </c>
      <c r="C2140" t="inlineStr">
        <is>
          <t>No</t>
        </is>
      </c>
      <c r="D2140">
        <f>IF(AND(B2135=1,B2136=1,B2137=1,B2138=1,B2139=1),"Yes","")</f>
        <v/>
      </c>
      <c r="E2140" t="inlineStr">
        <is>
          <t>No</t>
        </is>
      </c>
      <c r="F2140" t="inlineStr">
        <is>
          <t>No</t>
        </is>
      </c>
      <c r="G2140">
        <f>IF(F2140="Yes",1-B2140,B2140)</f>
        <v/>
      </c>
      <c r="H2140">
        <f>IF(E2140="Yes","",COUNTIFS($E$2:E2140,"No"))</f>
        <v/>
      </c>
      <c r="I2140">
        <f>IF(H2140="","",IF(H2140&lt;=128,"address",IF(H2140&lt;=600,"data1",IF(H2140&lt;=1264,"zero-run1",IF(H2140&lt;=1648,"data2",IF(H2140&lt;=2176,"zero-run2",IF(H2140&lt;=2192,"FCS","trailing")))))))</f>
        <v/>
      </c>
      <c r="J2140">
        <f>IFERROR(IF(AND(H2140&lt;&gt;"",H2140&gt;=129,H2140&lt;=2176),INDEX(Fields!$B$2:$B$206,MATCH(H2140-129,Fields!$D$2:$D$206,1)),""),"")</f>
        <v/>
      </c>
      <c r="K2140">
        <f>IFERROR(IF(AND(H2140&lt;&gt;"",H2140&gt;=129,H2140&lt;=2176),INDEX(Fields!$C$2:$C$206,MATCH(H2140-129,Fields!$D$2:$D$206,1)),""),"")</f>
        <v/>
      </c>
      <c r="L2140">
        <f>IFERROR(IF(AND(H2140&lt;&gt;"",H2140&gt;=129,H2140&lt;=2176),INDEX(Fields!$J$2:$J$206,MATCH(H2140-129,Fields!$D$2:$D$206,1)),""),"")</f>
        <v/>
      </c>
      <c r="M2140">
        <f>IFERROR(IF(AND(H2140&lt;&gt;"",H2140&gt;=129,H2140&lt;=2176),INDEX(Fields!$K$2:$K$206,MATCH(H2140-129,Fields!$D$2:$D$206,1)),""),"")</f>
        <v/>
      </c>
    </row>
    <row r="2141">
      <c r="A2141" t="n">
        <v>2139</v>
      </c>
      <c r="B2141" t="n">
        <v>0</v>
      </c>
      <c r="C2141" t="inlineStr">
        <is>
          <t>No</t>
        </is>
      </c>
      <c r="D2141">
        <f>IF(AND(B2136=1,B2137=1,B2138=1,B2139=1,B2140=1),"Yes","")</f>
        <v/>
      </c>
      <c r="E2141" t="inlineStr">
        <is>
          <t>No</t>
        </is>
      </c>
      <c r="F2141" t="inlineStr">
        <is>
          <t>No</t>
        </is>
      </c>
      <c r="G2141">
        <f>IF(F2141="Yes",1-B2141,B2141)</f>
        <v/>
      </c>
      <c r="H2141">
        <f>IF(E2141="Yes","",COUNTIFS($E$2:E2141,"No"))</f>
        <v/>
      </c>
      <c r="I2141">
        <f>IF(H2141="","",IF(H2141&lt;=128,"address",IF(H2141&lt;=600,"data1",IF(H2141&lt;=1264,"zero-run1",IF(H2141&lt;=1648,"data2",IF(H2141&lt;=2176,"zero-run2",IF(H2141&lt;=2192,"FCS","trailing")))))))</f>
        <v/>
      </c>
      <c r="J2141">
        <f>IFERROR(IF(AND(H2141&lt;&gt;"",H2141&gt;=129,H2141&lt;=2176),INDEX(Fields!$B$2:$B$206,MATCH(H2141-129,Fields!$D$2:$D$206,1)),""),"")</f>
        <v/>
      </c>
      <c r="K2141">
        <f>IFERROR(IF(AND(H2141&lt;&gt;"",H2141&gt;=129,H2141&lt;=2176),INDEX(Fields!$C$2:$C$206,MATCH(H2141-129,Fields!$D$2:$D$206,1)),""),"")</f>
        <v/>
      </c>
      <c r="L2141">
        <f>IFERROR(IF(AND(H2141&lt;&gt;"",H2141&gt;=129,H2141&lt;=2176),INDEX(Fields!$J$2:$J$206,MATCH(H2141-129,Fields!$D$2:$D$206,1)),""),"")</f>
        <v/>
      </c>
      <c r="M2141">
        <f>IFERROR(IF(AND(H2141&lt;&gt;"",H2141&gt;=129,H2141&lt;=2176),INDEX(Fields!$K$2:$K$206,MATCH(H2141-129,Fields!$D$2:$D$206,1)),""),"")</f>
        <v/>
      </c>
    </row>
    <row r="2142">
      <c r="A2142" t="n">
        <v>2140</v>
      </c>
      <c r="B2142" t="n">
        <v>0</v>
      </c>
      <c r="C2142" t="inlineStr">
        <is>
          <t>No</t>
        </is>
      </c>
      <c r="D2142">
        <f>IF(AND(B2137=1,B2138=1,B2139=1,B2140=1,B2141=1),"Yes","")</f>
        <v/>
      </c>
      <c r="E2142" t="inlineStr">
        <is>
          <t>No</t>
        </is>
      </c>
      <c r="F2142" t="inlineStr">
        <is>
          <t>No</t>
        </is>
      </c>
      <c r="G2142">
        <f>IF(F2142="Yes",1-B2142,B2142)</f>
        <v/>
      </c>
      <c r="H2142">
        <f>IF(E2142="Yes","",COUNTIFS($E$2:E2142,"No"))</f>
        <v/>
      </c>
      <c r="I2142">
        <f>IF(H2142="","",IF(H2142&lt;=128,"address",IF(H2142&lt;=600,"data1",IF(H2142&lt;=1264,"zero-run1",IF(H2142&lt;=1648,"data2",IF(H2142&lt;=2176,"zero-run2",IF(H2142&lt;=2192,"FCS","trailing")))))))</f>
        <v/>
      </c>
      <c r="J2142">
        <f>IFERROR(IF(AND(H2142&lt;&gt;"",H2142&gt;=129,H2142&lt;=2176),INDEX(Fields!$B$2:$B$206,MATCH(H2142-129,Fields!$D$2:$D$206,1)),""),"")</f>
        <v/>
      </c>
      <c r="K2142">
        <f>IFERROR(IF(AND(H2142&lt;&gt;"",H2142&gt;=129,H2142&lt;=2176),INDEX(Fields!$C$2:$C$206,MATCH(H2142-129,Fields!$D$2:$D$206,1)),""),"")</f>
        <v/>
      </c>
      <c r="L2142">
        <f>IFERROR(IF(AND(H2142&lt;&gt;"",H2142&gt;=129,H2142&lt;=2176),INDEX(Fields!$J$2:$J$206,MATCH(H2142-129,Fields!$D$2:$D$206,1)),""),"")</f>
        <v/>
      </c>
      <c r="M2142">
        <f>IFERROR(IF(AND(H2142&lt;&gt;"",H2142&gt;=129,H2142&lt;=2176),INDEX(Fields!$K$2:$K$206,MATCH(H2142-129,Fields!$D$2:$D$206,1)),""),"")</f>
        <v/>
      </c>
    </row>
    <row r="2143">
      <c r="A2143" t="n">
        <v>2141</v>
      </c>
      <c r="B2143" t="n">
        <v>0</v>
      </c>
      <c r="C2143" t="inlineStr">
        <is>
          <t>No</t>
        </is>
      </c>
      <c r="D2143">
        <f>IF(AND(B2138=1,B2139=1,B2140=1,B2141=1,B2142=1),"Yes","")</f>
        <v/>
      </c>
      <c r="E2143" t="inlineStr">
        <is>
          <t>No</t>
        </is>
      </c>
      <c r="F2143" t="inlineStr">
        <is>
          <t>No</t>
        </is>
      </c>
      <c r="G2143">
        <f>IF(F2143="Yes",1-B2143,B2143)</f>
        <v/>
      </c>
      <c r="H2143">
        <f>IF(E2143="Yes","",COUNTIFS($E$2:E2143,"No"))</f>
        <v/>
      </c>
      <c r="I2143">
        <f>IF(H2143="","",IF(H2143&lt;=128,"address",IF(H2143&lt;=600,"data1",IF(H2143&lt;=1264,"zero-run1",IF(H2143&lt;=1648,"data2",IF(H2143&lt;=2176,"zero-run2",IF(H2143&lt;=2192,"FCS","trailing")))))))</f>
        <v/>
      </c>
      <c r="J2143">
        <f>IFERROR(IF(AND(H2143&lt;&gt;"",H2143&gt;=129,H2143&lt;=2176),INDEX(Fields!$B$2:$B$206,MATCH(H2143-129,Fields!$D$2:$D$206,1)),""),"")</f>
        <v/>
      </c>
      <c r="K2143">
        <f>IFERROR(IF(AND(H2143&lt;&gt;"",H2143&gt;=129,H2143&lt;=2176),INDEX(Fields!$C$2:$C$206,MATCH(H2143-129,Fields!$D$2:$D$206,1)),""),"")</f>
        <v/>
      </c>
      <c r="L2143">
        <f>IFERROR(IF(AND(H2143&lt;&gt;"",H2143&gt;=129,H2143&lt;=2176),INDEX(Fields!$J$2:$J$206,MATCH(H2143-129,Fields!$D$2:$D$206,1)),""),"")</f>
        <v/>
      </c>
      <c r="M2143">
        <f>IFERROR(IF(AND(H2143&lt;&gt;"",H2143&gt;=129,H2143&lt;=2176),INDEX(Fields!$K$2:$K$206,MATCH(H2143-129,Fields!$D$2:$D$206,1)),""),"")</f>
        <v/>
      </c>
    </row>
    <row r="2144">
      <c r="A2144" t="n">
        <v>2142</v>
      </c>
      <c r="B2144" t="n">
        <v>0</v>
      </c>
      <c r="C2144" t="inlineStr">
        <is>
          <t>No</t>
        </is>
      </c>
      <c r="D2144">
        <f>IF(AND(B2139=1,B2140=1,B2141=1,B2142=1,B2143=1),"Yes","")</f>
        <v/>
      </c>
      <c r="E2144" t="inlineStr">
        <is>
          <t>No</t>
        </is>
      </c>
      <c r="F2144" t="inlineStr">
        <is>
          <t>No</t>
        </is>
      </c>
      <c r="G2144">
        <f>IF(F2144="Yes",1-B2144,B2144)</f>
        <v/>
      </c>
      <c r="H2144">
        <f>IF(E2144="Yes","",COUNTIFS($E$2:E2144,"No"))</f>
        <v/>
      </c>
      <c r="I2144">
        <f>IF(H2144="","",IF(H2144&lt;=128,"address",IF(H2144&lt;=600,"data1",IF(H2144&lt;=1264,"zero-run1",IF(H2144&lt;=1648,"data2",IF(H2144&lt;=2176,"zero-run2",IF(H2144&lt;=2192,"FCS","trailing")))))))</f>
        <v/>
      </c>
      <c r="J2144">
        <f>IFERROR(IF(AND(H2144&lt;&gt;"",H2144&gt;=129,H2144&lt;=2176),INDEX(Fields!$B$2:$B$206,MATCH(H2144-129,Fields!$D$2:$D$206,1)),""),"")</f>
        <v/>
      </c>
      <c r="K2144">
        <f>IFERROR(IF(AND(H2144&lt;&gt;"",H2144&gt;=129,H2144&lt;=2176),INDEX(Fields!$C$2:$C$206,MATCH(H2144-129,Fields!$D$2:$D$206,1)),""),"")</f>
        <v/>
      </c>
      <c r="L2144">
        <f>IFERROR(IF(AND(H2144&lt;&gt;"",H2144&gt;=129,H2144&lt;=2176),INDEX(Fields!$J$2:$J$206,MATCH(H2144-129,Fields!$D$2:$D$206,1)),""),"")</f>
        <v/>
      </c>
      <c r="M2144">
        <f>IFERROR(IF(AND(H2144&lt;&gt;"",H2144&gt;=129,H2144&lt;=2176),INDEX(Fields!$K$2:$K$206,MATCH(H2144-129,Fields!$D$2:$D$206,1)),""),"")</f>
        <v/>
      </c>
    </row>
    <row r="2145">
      <c r="A2145" t="n">
        <v>2143</v>
      </c>
      <c r="B2145" t="n">
        <v>0</v>
      </c>
      <c r="C2145" t="inlineStr">
        <is>
          <t>No</t>
        </is>
      </c>
      <c r="D2145">
        <f>IF(AND(B2140=1,B2141=1,B2142=1,B2143=1,B2144=1),"Yes","")</f>
        <v/>
      </c>
      <c r="E2145" t="inlineStr">
        <is>
          <t>No</t>
        </is>
      </c>
      <c r="F2145" t="inlineStr">
        <is>
          <t>No</t>
        </is>
      </c>
      <c r="G2145">
        <f>IF(F2145="Yes",1-B2145,B2145)</f>
        <v/>
      </c>
      <c r="H2145">
        <f>IF(E2145="Yes","",COUNTIFS($E$2:E2145,"No"))</f>
        <v/>
      </c>
      <c r="I2145">
        <f>IF(H2145="","",IF(H2145&lt;=128,"address",IF(H2145&lt;=600,"data1",IF(H2145&lt;=1264,"zero-run1",IF(H2145&lt;=1648,"data2",IF(H2145&lt;=2176,"zero-run2",IF(H2145&lt;=2192,"FCS","trailing")))))))</f>
        <v/>
      </c>
      <c r="J2145">
        <f>IFERROR(IF(AND(H2145&lt;&gt;"",H2145&gt;=129,H2145&lt;=2176),INDEX(Fields!$B$2:$B$206,MATCH(H2145-129,Fields!$D$2:$D$206,1)),""),"")</f>
        <v/>
      </c>
      <c r="K2145">
        <f>IFERROR(IF(AND(H2145&lt;&gt;"",H2145&gt;=129,H2145&lt;=2176),INDEX(Fields!$C$2:$C$206,MATCH(H2145-129,Fields!$D$2:$D$206,1)),""),"")</f>
        <v/>
      </c>
      <c r="L2145">
        <f>IFERROR(IF(AND(H2145&lt;&gt;"",H2145&gt;=129,H2145&lt;=2176),INDEX(Fields!$J$2:$J$206,MATCH(H2145-129,Fields!$D$2:$D$206,1)),""),"")</f>
        <v/>
      </c>
      <c r="M2145">
        <f>IFERROR(IF(AND(H2145&lt;&gt;"",H2145&gt;=129,H2145&lt;=2176),INDEX(Fields!$K$2:$K$206,MATCH(H2145-129,Fields!$D$2:$D$206,1)),""),"")</f>
        <v/>
      </c>
    </row>
    <row r="2146">
      <c r="A2146" t="n">
        <v>2144</v>
      </c>
      <c r="B2146" t="n">
        <v>0</v>
      </c>
      <c r="C2146" t="inlineStr">
        <is>
          <t>No</t>
        </is>
      </c>
      <c r="D2146">
        <f>IF(AND(B2141=1,B2142=1,B2143=1,B2144=1,B2145=1),"Yes","")</f>
        <v/>
      </c>
      <c r="E2146" t="inlineStr">
        <is>
          <t>No</t>
        </is>
      </c>
      <c r="F2146" t="inlineStr">
        <is>
          <t>No</t>
        </is>
      </c>
      <c r="G2146">
        <f>IF(F2146="Yes",1-B2146,B2146)</f>
        <v/>
      </c>
      <c r="H2146">
        <f>IF(E2146="Yes","",COUNTIFS($E$2:E2146,"No"))</f>
        <v/>
      </c>
      <c r="I2146">
        <f>IF(H2146="","",IF(H2146&lt;=128,"address",IF(H2146&lt;=600,"data1",IF(H2146&lt;=1264,"zero-run1",IF(H2146&lt;=1648,"data2",IF(H2146&lt;=2176,"zero-run2",IF(H2146&lt;=2192,"FCS","trailing")))))))</f>
        <v/>
      </c>
      <c r="J2146">
        <f>IFERROR(IF(AND(H2146&lt;&gt;"",H2146&gt;=129,H2146&lt;=2176),INDEX(Fields!$B$2:$B$206,MATCH(H2146-129,Fields!$D$2:$D$206,1)),""),"")</f>
        <v/>
      </c>
      <c r="K2146">
        <f>IFERROR(IF(AND(H2146&lt;&gt;"",H2146&gt;=129,H2146&lt;=2176),INDEX(Fields!$C$2:$C$206,MATCH(H2146-129,Fields!$D$2:$D$206,1)),""),"")</f>
        <v/>
      </c>
      <c r="L2146">
        <f>IFERROR(IF(AND(H2146&lt;&gt;"",H2146&gt;=129,H2146&lt;=2176),INDEX(Fields!$J$2:$J$206,MATCH(H2146-129,Fields!$D$2:$D$206,1)),""),"")</f>
        <v/>
      </c>
      <c r="M2146">
        <f>IFERROR(IF(AND(H2146&lt;&gt;"",H2146&gt;=129,H2146&lt;=2176),INDEX(Fields!$K$2:$K$206,MATCH(H2146-129,Fields!$D$2:$D$206,1)),""),"")</f>
        <v/>
      </c>
    </row>
    <row r="2147">
      <c r="A2147" t="n">
        <v>2145</v>
      </c>
      <c r="B2147" t="n">
        <v>0</v>
      </c>
      <c r="C2147" t="inlineStr">
        <is>
          <t>No</t>
        </is>
      </c>
      <c r="D2147">
        <f>IF(AND(B2142=1,B2143=1,B2144=1,B2145=1,B2146=1),"Yes","")</f>
        <v/>
      </c>
      <c r="E2147" t="inlineStr">
        <is>
          <t>No</t>
        </is>
      </c>
      <c r="F2147" t="inlineStr">
        <is>
          <t>No</t>
        </is>
      </c>
      <c r="G2147">
        <f>IF(F2147="Yes",1-B2147,B2147)</f>
        <v/>
      </c>
      <c r="H2147">
        <f>IF(E2147="Yes","",COUNTIFS($E$2:E2147,"No"))</f>
        <v/>
      </c>
      <c r="I2147">
        <f>IF(H2147="","",IF(H2147&lt;=128,"address",IF(H2147&lt;=600,"data1",IF(H2147&lt;=1264,"zero-run1",IF(H2147&lt;=1648,"data2",IF(H2147&lt;=2176,"zero-run2",IF(H2147&lt;=2192,"FCS","trailing")))))))</f>
        <v/>
      </c>
      <c r="J2147">
        <f>IFERROR(IF(AND(H2147&lt;&gt;"",H2147&gt;=129,H2147&lt;=2176),INDEX(Fields!$B$2:$B$206,MATCH(H2147-129,Fields!$D$2:$D$206,1)),""),"")</f>
        <v/>
      </c>
      <c r="K2147">
        <f>IFERROR(IF(AND(H2147&lt;&gt;"",H2147&gt;=129,H2147&lt;=2176),INDEX(Fields!$C$2:$C$206,MATCH(H2147-129,Fields!$D$2:$D$206,1)),""),"")</f>
        <v/>
      </c>
      <c r="L2147">
        <f>IFERROR(IF(AND(H2147&lt;&gt;"",H2147&gt;=129,H2147&lt;=2176),INDEX(Fields!$J$2:$J$206,MATCH(H2147-129,Fields!$D$2:$D$206,1)),""),"")</f>
        <v/>
      </c>
      <c r="M2147">
        <f>IFERROR(IF(AND(H2147&lt;&gt;"",H2147&gt;=129,H2147&lt;=2176),INDEX(Fields!$K$2:$K$206,MATCH(H2147-129,Fields!$D$2:$D$206,1)),""),"")</f>
        <v/>
      </c>
    </row>
    <row r="2148">
      <c r="A2148" t="n">
        <v>2146</v>
      </c>
      <c r="B2148" t="n">
        <v>0</v>
      </c>
      <c r="C2148" t="inlineStr">
        <is>
          <t>No</t>
        </is>
      </c>
      <c r="D2148">
        <f>IF(AND(B2143=1,B2144=1,B2145=1,B2146=1,B2147=1),"Yes","")</f>
        <v/>
      </c>
      <c r="E2148" t="inlineStr">
        <is>
          <t>No</t>
        </is>
      </c>
      <c r="F2148" t="inlineStr">
        <is>
          <t>No</t>
        </is>
      </c>
      <c r="G2148">
        <f>IF(F2148="Yes",1-B2148,B2148)</f>
        <v/>
      </c>
      <c r="H2148">
        <f>IF(E2148="Yes","",COUNTIFS($E$2:E2148,"No"))</f>
        <v/>
      </c>
      <c r="I2148">
        <f>IF(H2148="","",IF(H2148&lt;=128,"address",IF(H2148&lt;=600,"data1",IF(H2148&lt;=1264,"zero-run1",IF(H2148&lt;=1648,"data2",IF(H2148&lt;=2176,"zero-run2",IF(H2148&lt;=2192,"FCS","trailing")))))))</f>
        <v/>
      </c>
      <c r="J2148">
        <f>IFERROR(IF(AND(H2148&lt;&gt;"",H2148&gt;=129,H2148&lt;=2176),INDEX(Fields!$B$2:$B$206,MATCH(H2148-129,Fields!$D$2:$D$206,1)),""),"")</f>
        <v/>
      </c>
      <c r="K2148">
        <f>IFERROR(IF(AND(H2148&lt;&gt;"",H2148&gt;=129,H2148&lt;=2176),INDEX(Fields!$C$2:$C$206,MATCH(H2148-129,Fields!$D$2:$D$206,1)),""),"")</f>
        <v/>
      </c>
      <c r="L2148">
        <f>IFERROR(IF(AND(H2148&lt;&gt;"",H2148&gt;=129,H2148&lt;=2176),INDEX(Fields!$J$2:$J$206,MATCH(H2148-129,Fields!$D$2:$D$206,1)),""),"")</f>
        <v/>
      </c>
      <c r="M2148">
        <f>IFERROR(IF(AND(H2148&lt;&gt;"",H2148&gt;=129,H2148&lt;=2176),INDEX(Fields!$K$2:$K$206,MATCH(H2148-129,Fields!$D$2:$D$206,1)),""),"")</f>
        <v/>
      </c>
    </row>
    <row r="2149">
      <c r="A2149" t="n">
        <v>2147</v>
      </c>
      <c r="B2149" t="n">
        <v>0</v>
      </c>
      <c r="C2149" t="inlineStr">
        <is>
          <t>No</t>
        </is>
      </c>
      <c r="D2149">
        <f>IF(AND(B2144=1,B2145=1,B2146=1,B2147=1,B2148=1),"Yes","")</f>
        <v/>
      </c>
      <c r="E2149" t="inlineStr">
        <is>
          <t>No</t>
        </is>
      </c>
      <c r="F2149" t="inlineStr">
        <is>
          <t>No</t>
        </is>
      </c>
      <c r="G2149">
        <f>IF(F2149="Yes",1-B2149,B2149)</f>
        <v/>
      </c>
      <c r="H2149">
        <f>IF(E2149="Yes","",COUNTIFS($E$2:E2149,"No"))</f>
        <v/>
      </c>
      <c r="I2149">
        <f>IF(H2149="","",IF(H2149&lt;=128,"address",IF(H2149&lt;=600,"data1",IF(H2149&lt;=1264,"zero-run1",IF(H2149&lt;=1648,"data2",IF(H2149&lt;=2176,"zero-run2",IF(H2149&lt;=2192,"FCS","trailing")))))))</f>
        <v/>
      </c>
      <c r="J2149">
        <f>IFERROR(IF(AND(H2149&lt;&gt;"",H2149&gt;=129,H2149&lt;=2176),INDEX(Fields!$B$2:$B$206,MATCH(H2149-129,Fields!$D$2:$D$206,1)),""),"")</f>
        <v/>
      </c>
      <c r="K2149">
        <f>IFERROR(IF(AND(H2149&lt;&gt;"",H2149&gt;=129,H2149&lt;=2176),INDEX(Fields!$C$2:$C$206,MATCH(H2149-129,Fields!$D$2:$D$206,1)),""),"")</f>
        <v/>
      </c>
      <c r="L2149">
        <f>IFERROR(IF(AND(H2149&lt;&gt;"",H2149&gt;=129,H2149&lt;=2176),INDEX(Fields!$J$2:$J$206,MATCH(H2149-129,Fields!$D$2:$D$206,1)),""),"")</f>
        <v/>
      </c>
      <c r="M2149">
        <f>IFERROR(IF(AND(H2149&lt;&gt;"",H2149&gt;=129,H2149&lt;=2176),INDEX(Fields!$K$2:$K$206,MATCH(H2149-129,Fields!$D$2:$D$206,1)),""),"")</f>
        <v/>
      </c>
    </row>
    <row r="2150">
      <c r="A2150" t="n">
        <v>2148</v>
      </c>
      <c r="B2150" t="n">
        <v>0</v>
      </c>
      <c r="C2150" t="inlineStr">
        <is>
          <t>No</t>
        </is>
      </c>
      <c r="D2150">
        <f>IF(AND(B2145=1,B2146=1,B2147=1,B2148=1,B2149=1),"Yes","")</f>
        <v/>
      </c>
      <c r="E2150" t="inlineStr">
        <is>
          <t>No</t>
        </is>
      </c>
      <c r="F2150" t="inlineStr">
        <is>
          <t>No</t>
        </is>
      </c>
      <c r="G2150">
        <f>IF(F2150="Yes",1-B2150,B2150)</f>
        <v/>
      </c>
      <c r="H2150">
        <f>IF(E2150="Yes","",COUNTIFS($E$2:E2150,"No"))</f>
        <v/>
      </c>
      <c r="I2150">
        <f>IF(H2150="","",IF(H2150&lt;=128,"address",IF(H2150&lt;=600,"data1",IF(H2150&lt;=1264,"zero-run1",IF(H2150&lt;=1648,"data2",IF(H2150&lt;=2176,"zero-run2",IF(H2150&lt;=2192,"FCS","trailing")))))))</f>
        <v/>
      </c>
      <c r="J2150">
        <f>IFERROR(IF(AND(H2150&lt;&gt;"",H2150&gt;=129,H2150&lt;=2176),INDEX(Fields!$B$2:$B$206,MATCH(H2150-129,Fields!$D$2:$D$206,1)),""),"")</f>
        <v/>
      </c>
      <c r="K2150">
        <f>IFERROR(IF(AND(H2150&lt;&gt;"",H2150&gt;=129,H2150&lt;=2176),INDEX(Fields!$C$2:$C$206,MATCH(H2150-129,Fields!$D$2:$D$206,1)),""),"")</f>
        <v/>
      </c>
      <c r="L2150">
        <f>IFERROR(IF(AND(H2150&lt;&gt;"",H2150&gt;=129,H2150&lt;=2176),INDEX(Fields!$J$2:$J$206,MATCH(H2150-129,Fields!$D$2:$D$206,1)),""),"")</f>
        <v/>
      </c>
      <c r="M2150">
        <f>IFERROR(IF(AND(H2150&lt;&gt;"",H2150&gt;=129,H2150&lt;=2176),INDEX(Fields!$K$2:$K$206,MATCH(H2150-129,Fields!$D$2:$D$206,1)),""),"")</f>
        <v/>
      </c>
    </row>
    <row r="2151">
      <c r="A2151" t="n">
        <v>2149</v>
      </c>
      <c r="B2151" t="n">
        <v>0</v>
      </c>
      <c r="C2151" t="inlineStr">
        <is>
          <t>No</t>
        </is>
      </c>
      <c r="D2151">
        <f>IF(AND(B2146=1,B2147=1,B2148=1,B2149=1,B2150=1),"Yes","")</f>
        <v/>
      </c>
      <c r="E2151" t="inlineStr">
        <is>
          <t>No</t>
        </is>
      </c>
      <c r="F2151" t="inlineStr">
        <is>
          <t>No</t>
        </is>
      </c>
      <c r="G2151">
        <f>IF(F2151="Yes",1-B2151,B2151)</f>
        <v/>
      </c>
      <c r="H2151">
        <f>IF(E2151="Yes","",COUNTIFS($E$2:E2151,"No"))</f>
        <v/>
      </c>
      <c r="I2151">
        <f>IF(H2151="","",IF(H2151&lt;=128,"address",IF(H2151&lt;=600,"data1",IF(H2151&lt;=1264,"zero-run1",IF(H2151&lt;=1648,"data2",IF(H2151&lt;=2176,"zero-run2",IF(H2151&lt;=2192,"FCS","trailing")))))))</f>
        <v/>
      </c>
      <c r="J2151">
        <f>IFERROR(IF(AND(H2151&lt;&gt;"",H2151&gt;=129,H2151&lt;=2176),INDEX(Fields!$B$2:$B$206,MATCH(H2151-129,Fields!$D$2:$D$206,1)),""),"")</f>
        <v/>
      </c>
      <c r="K2151">
        <f>IFERROR(IF(AND(H2151&lt;&gt;"",H2151&gt;=129,H2151&lt;=2176),INDEX(Fields!$C$2:$C$206,MATCH(H2151-129,Fields!$D$2:$D$206,1)),""),"")</f>
        <v/>
      </c>
      <c r="L2151">
        <f>IFERROR(IF(AND(H2151&lt;&gt;"",H2151&gt;=129,H2151&lt;=2176),INDEX(Fields!$J$2:$J$206,MATCH(H2151-129,Fields!$D$2:$D$206,1)),""),"")</f>
        <v/>
      </c>
      <c r="M2151">
        <f>IFERROR(IF(AND(H2151&lt;&gt;"",H2151&gt;=129,H2151&lt;=2176),INDEX(Fields!$K$2:$K$206,MATCH(H2151-129,Fields!$D$2:$D$206,1)),""),"")</f>
        <v/>
      </c>
    </row>
    <row r="2152">
      <c r="A2152" t="n">
        <v>2150</v>
      </c>
      <c r="B2152" t="n">
        <v>0</v>
      </c>
      <c r="C2152" t="inlineStr">
        <is>
          <t>No</t>
        </is>
      </c>
      <c r="D2152">
        <f>IF(AND(B2147=1,B2148=1,B2149=1,B2150=1,B2151=1),"Yes","")</f>
        <v/>
      </c>
      <c r="E2152" t="inlineStr">
        <is>
          <t>No</t>
        </is>
      </c>
      <c r="F2152" t="inlineStr">
        <is>
          <t>No</t>
        </is>
      </c>
      <c r="G2152">
        <f>IF(F2152="Yes",1-B2152,B2152)</f>
        <v/>
      </c>
      <c r="H2152">
        <f>IF(E2152="Yes","",COUNTIFS($E$2:E2152,"No"))</f>
        <v/>
      </c>
      <c r="I2152">
        <f>IF(H2152="","",IF(H2152&lt;=128,"address",IF(H2152&lt;=600,"data1",IF(H2152&lt;=1264,"zero-run1",IF(H2152&lt;=1648,"data2",IF(H2152&lt;=2176,"zero-run2",IF(H2152&lt;=2192,"FCS","trailing")))))))</f>
        <v/>
      </c>
      <c r="J2152">
        <f>IFERROR(IF(AND(H2152&lt;&gt;"",H2152&gt;=129,H2152&lt;=2176),INDEX(Fields!$B$2:$B$206,MATCH(H2152-129,Fields!$D$2:$D$206,1)),""),"")</f>
        <v/>
      </c>
      <c r="K2152">
        <f>IFERROR(IF(AND(H2152&lt;&gt;"",H2152&gt;=129,H2152&lt;=2176),INDEX(Fields!$C$2:$C$206,MATCH(H2152-129,Fields!$D$2:$D$206,1)),""),"")</f>
        <v/>
      </c>
      <c r="L2152">
        <f>IFERROR(IF(AND(H2152&lt;&gt;"",H2152&gt;=129,H2152&lt;=2176),INDEX(Fields!$J$2:$J$206,MATCH(H2152-129,Fields!$D$2:$D$206,1)),""),"")</f>
        <v/>
      </c>
      <c r="M2152">
        <f>IFERROR(IF(AND(H2152&lt;&gt;"",H2152&gt;=129,H2152&lt;=2176),INDEX(Fields!$K$2:$K$206,MATCH(H2152-129,Fields!$D$2:$D$206,1)),""),"")</f>
        <v/>
      </c>
    </row>
    <row r="2153">
      <c r="A2153" t="n">
        <v>2151</v>
      </c>
      <c r="B2153" t="n">
        <v>0</v>
      </c>
      <c r="C2153" t="inlineStr">
        <is>
          <t>No</t>
        </is>
      </c>
      <c r="D2153">
        <f>IF(AND(B2148=1,B2149=1,B2150=1,B2151=1,B2152=1),"Yes","")</f>
        <v/>
      </c>
      <c r="E2153" t="inlineStr">
        <is>
          <t>No</t>
        </is>
      </c>
      <c r="F2153" t="inlineStr">
        <is>
          <t>No</t>
        </is>
      </c>
      <c r="G2153">
        <f>IF(F2153="Yes",1-B2153,B2153)</f>
        <v/>
      </c>
      <c r="H2153">
        <f>IF(E2153="Yes","",COUNTIFS($E$2:E2153,"No"))</f>
        <v/>
      </c>
      <c r="I2153">
        <f>IF(H2153="","",IF(H2153&lt;=128,"address",IF(H2153&lt;=600,"data1",IF(H2153&lt;=1264,"zero-run1",IF(H2153&lt;=1648,"data2",IF(H2153&lt;=2176,"zero-run2",IF(H2153&lt;=2192,"FCS","trailing")))))))</f>
        <v/>
      </c>
      <c r="J2153">
        <f>IFERROR(IF(AND(H2153&lt;&gt;"",H2153&gt;=129,H2153&lt;=2176),INDEX(Fields!$B$2:$B$206,MATCH(H2153-129,Fields!$D$2:$D$206,1)),""),"")</f>
        <v/>
      </c>
      <c r="K2153">
        <f>IFERROR(IF(AND(H2153&lt;&gt;"",H2153&gt;=129,H2153&lt;=2176),INDEX(Fields!$C$2:$C$206,MATCH(H2153-129,Fields!$D$2:$D$206,1)),""),"")</f>
        <v/>
      </c>
      <c r="L2153">
        <f>IFERROR(IF(AND(H2153&lt;&gt;"",H2153&gt;=129,H2153&lt;=2176),INDEX(Fields!$J$2:$J$206,MATCH(H2153-129,Fields!$D$2:$D$206,1)),""),"")</f>
        <v/>
      </c>
      <c r="M2153">
        <f>IFERROR(IF(AND(H2153&lt;&gt;"",H2153&gt;=129,H2153&lt;=2176),INDEX(Fields!$K$2:$K$206,MATCH(H2153-129,Fields!$D$2:$D$206,1)),""),"")</f>
        <v/>
      </c>
    </row>
    <row r="2154">
      <c r="A2154" t="n">
        <v>2152</v>
      </c>
      <c r="B2154" t="n">
        <v>0</v>
      </c>
      <c r="C2154" t="inlineStr">
        <is>
          <t>No</t>
        </is>
      </c>
      <c r="D2154">
        <f>IF(AND(B2149=1,B2150=1,B2151=1,B2152=1,B2153=1),"Yes","")</f>
        <v/>
      </c>
      <c r="E2154" t="inlineStr">
        <is>
          <t>No</t>
        </is>
      </c>
      <c r="F2154" t="inlineStr">
        <is>
          <t>No</t>
        </is>
      </c>
      <c r="G2154">
        <f>IF(F2154="Yes",1-B2154,B2154)</f>
        <v/>
      </c>
      <c r="H2154">
        <f>IF(E2154="Yes","",COUNTIFS($E$2:E2154,"No"))</f>
        <v/>
      </c>
      <c r="I2154">
        <f>IF(H2154="","",IF(H2154&lt;=128,"address",IF(H2154&lt;=600,"data1",IF(H2154&lt;=1264,"zero-run1",IF(H2154&lt;=1648,"data2",IF(H2154&lt;=2176,"zero-run2",IF(H2154&lt;=2192,"FCS","trailing")))))))</f>
        <v/>
      </c>
      <c r="J2154">
        <f>IFERROR(IF(AND(H2154&lt;&gt;"",H2154&gt;=129,H2154&lt;=2176),INDEX(Fields!$B$2:$B$206,MATCH(H2154-129,Fields!$D$2:$D$206,1)),""),"")</f>
        <v/>
      </c>
      <c r="K2154">
        <f>IFERROR(IF(AND(H2154&lt;&gt;"",H2154&gt;=129,H2154&lt;=2176),INDEX(Fields!$C$2:$C$206,MATCH(H2154-129,Fields!$D$2:$D$206,1)),""),"")</f>
        <v/>
      </c>
      <c r="L2154">
        <f>IFERROR(IF(AND(H2154&lt;&gt;"",H2154&gt;=129,H2154&lt;=2176),INDEX(Fields!$J$2:$J$206,MATCH(H2154-129,Fields!$D$2:$D$206,1)),""),"")</f>
        <v/>
      </c>
      <c r="M2154">
        <f>IFERROR(IF(AND(H2154&lt;&gt;"",H2154&gt;=129,H2154&lt;=2176),INDEX(Fields!$K$2:$K$206,MATCH(H2154-129,Fields!$D$2:$D$206,1)),""),"")</f>
        <v/>
      </c>
    </row>
    <row r="2155">
      <c r="A2155" t="n">
        <v>2153</v>
      </c>
      <c r="B2155" t="n">
        <v>0</v>
      </c>
      <c r="C2155" t="inlineStr">
        <is>
          <t>No</t>
        </is>
      </c>
      <c r="D2155">
        <f>IF(AND(B2150=1,B2151=1,B2152=1,B2153=1,B2154=1),"Yes","")</f>
        <v/>
      </c>
      <c r="E2155" t="inlineStr">
        <is>
          <t>No</t>
        </is>
      </c>
      <c r="F2155" t="inlineStr">
        <is>
          <t>No</t>
        </is>
      </c>
      <c r="G2155">
        <f>IF(F2155="Yes",1-B2155,B2155)</f>
        <v/>
      </c>
      <c r="H2155">
        <f>IF(E2155="Yes","",COUNTIFS($E$2:E2155,"No"))</f>
        <v/>
      </c>
      <c r="I2155">
        <f>IF(H2155="","",IF(H2155&lt;=128,"address",IF(H2155&lt;=600,"data1",IF(H2155&lt;=1264,"zero-run1",IF(H2155&lt;=1648,"data2",IF(H2155&lt;=2176,"zero-run2",IF(H2155&lt;=2192,"FCS","trailing")))))))</f>
        <v/>
      </c>
      <c r="J2155">
        <f>IFERROR(IF(AND(H2155&lt;&gt;"",H2155&gt;=129,H2155&lt;=2176),INDEX(Fields!$B$2:$B$206,MATCH(H2155-129,Fields!$D$2:$D$206,1)),""),"")</f>
        <v/>
      </c>
      <c r="K2155">
        <f>IFERROR(IF(AND(H2155&lt;&gt;"",H2155&gt;=129,H2155&lt;=2176),INDEX(Fields!$C$2:$C$206,MATCH(H2155-129,Fields!$D$2:$D$206,1)),""),"")</f>
        <v/>
      </c>
      <c r="L2155">
        <f>IFERROR(IF(AND(H2155&lt;&gt;"",H2155&gt;=129,H2155&lt;=2176),INDEX(Fields!$J$2:$J$206,MATCH(H2155-129,Fields!$D$2:$D$206,1)),""),"")</f>
        <v/>
      </c>
      <c r="M2155">
        <f>IFERROR(IF(AND(H2155&lt;&gt;"",H2155&gt;=129,H2155&lt;=2176),INDEX(Fields!$K$2:$K$206,MATCH(H2155-129,Fields!$D$2:$D$206,1)),""),"")</f>
        <v/>
      </c>
    </row>
    <row r="2156">
      <c r="A2156" t="n">
        <v>2154</v>
      </c>
      <c r="B2156" t="n">
        <v>0</v>
      </c>
      <c r="C2156" t="inlineStr">
        <is>
          <t>No</t>
        </is>
      </c>
      <c r="D2156">
        <f>IF(AND(B2151=1,B2152=1,B2153=1,B2154=1,B2155=1),"Yes","")</f>
        <v/>
      </c>
      <c r="E2156" t="inlineStr">
        <is>
          <t>No</t>
        </is>
      </c>
      <c r="F2156" t="inlineStr">
        <is>
          <t>No</t>
        </is>
      </c>
      <c r="G2156">
        <f>IF(F2156="Yes",1-B2156,B2156)</f>
        <v/>
      </c>
      <c r="H2156">
        <f>IF(E2156="Yes","",COUNTIFS($E$2:E2156,"No"))</f>
        <v/>
      </c>
      <c r="I2156">
        <f>IF(H2156="","",IF(H2156&lt;=128,"address",IF(H2156&lt;=600,"data1",IF(H2156&lt;=1264,"zero-run1",IF(H2156&lt;=1648,"data2",IF(H2156&lt;=2176,"zero-run2",IF(H2156&lt;=2192,"FCS","trailing")))))))</f>
        <v/>
      </c>
      <c r="J2156">
        <f>IFERROR(IF(AND(H2156&lt;&gt;"",H2156&gt;=129,H2156&lt;=2176),INDEX(Fields!$B$2:$B$206,MATCH(H2156-129,Fields!$D$2:$D$206,1)),""),"")</f>
        <v/>
      </c>
      <c r="K2156">
        <f>IFERROR(IF(AND(H2156&lt;&gt;"",H2156&gt;=129,H2156&lt;=2176),INDEX(Fields!$C$2:$C$206,MATCH(H2156-129,Fields!$D$2:$D$206,1)),""),"")</f>
        <v/>
      </c>
      <c r="L2156">
        <f>IFERROR(IF(AND(H2156&lt;&gt;"",H2156&gt;=129,H2156&lt;=2176),INDEX(Fields!$J$2:$J$206,MATCH(H2156-129,Fields!$D$2:$D$206,1)),""),"")</f>
        <v/>
      </c>
      <c r="M2156">
        <f>IFERROR(IF(AND(H2156&lt;&gt;"",H2156&gt;=129,H2156&lt;=2176),INDEX(Fields!$K$2:$K$206,MATCH(H2156-129,Fields!$D$2:$D$206,1)),""),"")</f>
        <v/>
      </c>
    </row>
    <row r="2157">
      <c r="A2157" t="n">
        <v>2155</v>
      </c>
      <c r="B2157" t="n">
        <v>0</v>
      </c>
      <c r="C2157" t="inlineStr">
        <is>
          <t>No</t>
        </is>
      </c>
      <c r="D2157">
        <f>IF(AND(B2152=1,B2153=1,B2154=1,B2155=1,B2156=1),"Yes","")</f>
        <v/>
      </c>
      <c r="E2157" t="inlineStr">
        <is>
          <t>No</t>
        </is>
      </c>
      <c r="F2157" t="inlineStr">
        <is>
          <t>No</t>
        </is>
      </c>
      <c r="G2157">
        <f>IF(F2157="Yes",1-B2157,B2157)</f>
        <v/>
      </c>
      <c r="H2157">
        <f>IF(E2157="Yes","",COUNTIFS($E$2:E2157,"No"))</f>
        <v/>
      </c>
      <c r="I2157">
        <f>IF(H2157="","",IF(H2157&lt;=128,"address",IF(H2157&lt;=600,"data1",IF(H2157&lt;=1264,"zero-run1",IF(H2157&lt;=1648,"data2",IF(H2157&lt;=2176,"zero-run2",IF(H2157&lt;=2192,"FCS","trailing")))))))</f>
        <v/>
      </c>
      <c r="J2157">
        <f>IFERROR(IF(AND(H2157&lt;&gt;"",H2157&gt;=129,H2157&lt;=2176),INDEX(Fields!$B$2:$B$206,MATCH(H2157-129,Fields!$D$2:$D$206,1)),""),"")</f>
        <v/>
      </c>
      <c r="K2157">
        <f>IFERROR(IF(AND(H2157&lt;&gt;"",H2157&gt;=129,H2157&lt;=2176),INDEX(Fields!$C$2:$C$206,MATCH(H2157-129,Fields!$D$2:$D$206,1)),""),"")</f>
        <v/>
      </c>
      <c r="L2157">
        <f>IFERROR(IF(AND(H2157&lt;&gt;"",H2157&gt;=129,H2157&lt;=2176),INDEX(Fields!$J$2:$J$206,MATCH(H2157-129,Fields!$D$2:$D$206,1)),""),"")</f>
        <v/>
      </c>
      <c r="M2157">
        <f>IFERROR(IF(AND(H2157&lt;&gt;"",H2157&gt;=129,H2157&lt;=2176),INDEX(Fields!$K$2:$K$206,MATCH(H2157-129,Fields!$D$2:$D$206,1)),""),"")</f>
        <v/>
      </c>
    </row>
    <row r="2158">
      <c r="A2158" t="n">
        <v>2156</v>
      </c>
      <c r="B2158" t="n">
        <v>0</v>
      </c>
      <c r="C2158" t="inlineStr">
        <is>
          <t>No</t>
        </is>
      </c>
      <c r="D2158">
        <f>IF(AND(B2153=1,B2154=1,B2155=1,B2156=1,B2157=1),"Yes","")</f>
        <v/>
      </c>
      <c r="E2158" t="inlineStr">
        <is>
          <t>No</t>
        </is>
      </c>
      <c r="F2158" t="inlineStr">
        <is>
          <t>No</t>
        </is>
      </c>
      <c r="G2158">
        <f>IF(F2158="Yes",1-B2158,B2158)</f>
        <v/>
      </c>
      <c r="H2158">
        <f>IF(E2158="Yes","",COUNTIFS($E$2:E2158,"No"))</f>
        <v/>
      </c>
      <c r="I2158">
        <f>IF(H2158="","",IF(H2158&lt;=128,"address",IF(H2158&lt;=600,"data1",IF(H2158&lt;=1264,"zero-run1",IF(H2158&lt;=1648,"data2",IF(H2158&lt;=2176,"zero-run2",IF(H2158&lt;=2192,"FCS","trailing")))))))</f>
        <v/>
      </c>
      <c r="J2158">
        <f>IFERROR(IF(AND(H2158&lt;&gt;"",H2158&gt;=129,H2158&lt;=2176),INDEX(Fields!$B$2:$B$206,MATCH(H2158-129,Fields!$D$2:$D$206,1)),""),"")</f>
        <v/>
      </c>
      <c r="K2158">
        <f>IFERROR(IF(AND(H2158&lt;&gt;"",H2158&gt;=129,H2158&lt;=2176),INDEX(Fields!$C$2:$C$206,MATCH(H2158-129,Fields!$D$2:$D$206,1)),""),"")</f>
        <v/>
      </c>
      <c r="L2158">
        <f>IFERROR(IF(AND(H2158&lt;&gt;"",H2158&gt;=129,H2158&lt;=2176),INDEX(Fields!$J$2:$J$206,MATCH(H2158-129,Fields!$D$2:$D$206,1)),""),"")</f>
        <v/>
      </c>
      <c r="M2158">
        <f>IFERROR(IF(AND(H2158&lt;&gt;"",H2158&gt;=129,H2158&lt;=2176),INDEX(Fields!$K$2:$K$206,MATCH(H2158-129,Fields!$D$2:$D$206,1)),""),"")</f>
        <v/>
      </c>
    </row>
    <row r="2159">
      <c r="A2159" t="n">
        <v>2157</v>
      </c>
      <c r="B2159" t="n">
        <v>0</v>
      </c>
      <c r="C2159" t="inlineStr">
        <is>
          <t>No</t>
        </is>
      </c>
      <c r="D2159">
        <f>IF(AND(B2154=1,B2155=1,B2156=1,B2157=1,B2158=1),"Yes","")</f>
        <v/>
      </c>
      <c r="E2159" t="inlineStr">
        <is>
          <t>No</t>
        </is>
      </c>
      <c r="F2159" t="inlineStr">
        <is>
          <t>No</t>
        </is>
      </c>
      <c r="G2159">
        <f>IF(F2159="Yes",1-B2159,B2159)</f>
        <v/>
      </c>
      <c r="H2159">
        <f>IF(E2159="Yes","",COUNTIFS($E$2:E2159,"No"))</f>
        <v/>
      </c>
      <c r="I2159">
        <f>IF(H2159="","",IF(H2159&lt;=128,"address",IF(H2159&lt;=600,"data1",IF(H2159&lt;=1264,"zero-run1",IF(H2159&lt;=1648,"data2",IF(H2159&lt;=2176,"zero-run2",IF(H2159&lt;=2192,"FCS","trailing")))))))</f>
        <v/>
      </c>
      <c r="J2159">
        <f>IFERROR(IF(AND(H2159&lt;&gt;"",H2159&gt;=129,H2159&lt;=2176),INDEX(Fields!$B$2:$B$206,MATCH(H2159-129,Fields!$D$2:$D$206,1)),""),"")</f>
        <v/>
      </c>
      <c r="K2159">
        <f>IFERROR(IF(AND(H2159&lt;&gt;"",H2159&gt;=129,H2159&lt;=2176),INDEX(Fields!$C$2:$C$206,MATCH(H2159-129,Fields!$D$2:$D$206,1)),""),"")</f>
        <v/>
      </c>
      <c r="L2159">
        <f>IFERROR(IF(AND(H2159&lt;&gt;"",H2159&gt;=129,H2159&lt;=2176),INDEX(Fields!$J$2:$J$206,MATCH(H2159-129,Fields!$D$2:$D$206,1)),""),"")</f>
        <v/>
      </c>
      <c r="M2159">
        <f>IFERROR(IF(AND(H2159&lt;&gt;"",H2159&gt;=129,H2159&lt;=2176),INDEX(Fields!$K$2:$K$206,MATCH(H2159-129,Fields!$D$2:$D$206,1)),""),"")</f>
        <v/>
      </c>
    </row>
    <row r="2160">
      <c r="A2160" t="n">
        <v>2158</v>
      </c>
      <c r="B2160" t="n">
        <v>0</v>
      </c>
      <c r="C2160" t="inlineStr">
        <is>
          <t>No</t>
        </is>
      </c>
      <c r="D2160">
        <f>IF(AND(B2155=1,B2156=1,B2157=1,B2158=1,B2159=1),"Yes","")</f>
        <v/>
      </c>
      <c r="E2160" t="inlineStr">
        <is>
          <t>No</t>
        </is>
      </c>
      <c r="F2160" t="inlineStr">
        <is>
          <t>No</t>
        </is>
      </c>
      <c r="G2160">
        <f>IF(F2160="Yes",1-B2160,B2160)</f>
        <v/>
      </c>
      <c r="H2160">
        <f>IF(E2160="Yes","",COUNTIFS($E$2:E2160,"No"))</f>
        <v/>
      </c>
      <c r="I2160">
        <f>IF(H2160="","",IF(H2160&lt;=128,"address",IF(H2160&lt;=600,"data1",IF(H2160&lt;=1264,"zero-run1",IF(H2160&lt;=1648,"data2",IF(H2160&lt;=2176,"zero-run2",IF(H2160&lt;=2192,"FCS","trailing")))))))</f>
        <v/>
      </c>
      <c r="J2160">
        <f>IFERROR(IF(AND(H2160&lt;&gt;"",H2160&gt;=129,H2160&lt;=2176),INDEX(Fields!$B$2:$B$206,MATCH(H2160-129,Fields!$D$2:$D$206,1)),""),"")</f>
        <v/>
      </c>
      <c r="K2160">
        <f>IFERROR(IF(AND(H2160&lt;&gt;"",H2160&gt;=129,H2160&lt;=2176),INDEX(Fields!$C$2:$C$206,MATCH(H2160-129,Fields!$D$2:$D$206,1)),""),"")</f>
        <v/>
      </c>
      <c r="L2160">
        <f>IFERROR(IF(AND(H2160&lt;&gt;"",H2160&gt;=129,H2160&lt;=2176),INDEX(Fields!$J$2:$J$206,MATCH(H2160-129,Fields!$D$2:$D$206,1)),""),"")</f>
        <v/>
      </c>
      <c r="M2160">
        <f>IFERROR(IF(AND(H2160&lt;&gt;"",H2160&gt;=129,H2160&lt;=2176),INDEX(Fields!$K$2:$K$206,MATCH(H2160-129,Fields!$D$2:$D$206,1)),""),"")</f>
        <v/>
      </c>
    </row>
    <row r="2161">
      <c r="A2161" t="n">
        <v>2159</v>
      </c>
      <c r="B2161" t="n">
        <v>0</v>
      </c>
      <c r="C2161" t="inlineStr">
        <is>
          <t>No</t>
        </is>
      </c>
      <c r="D2161">
        <f>IF(AND(B2156=1,B2157=1,B2158=1,B2159=1,B2160=1),"Yes","")</f>
        <v/>
      </c>
      <c r="E2161" t="inlineStr">
        <is>
          <t>No</t>
        </is>
      </c>
      <c r="F2161" t="inlineStr">
        <is>
          <t>No</t>
        </is>
      </c>
      <c r="G2161">
        <f>IF(F2161="Yes",1-B2161,B2161)</f>
        <v/>
      </c>
      <c r="H2161">
        <f>IF(E2161="Yes","",COUNTIFS($E$2:E2161,"No"))</f>
        <v/>
      </c>
      <c r="I2161">
        <f>IF(H2161="","",IF(H2161&lt;=128,"address",IF(H2161&lt;=600,"data1",IF(H2161&lt;=1264,"zero-run1",IF(H2161&lt;=1648,"data2",IF(H2161&lt;=2176,"zero-run2",IF(H2161&lt;=2192,"FCS","trailing")))))))</f>
        <v/>
      </c>
      <c r="J2161">
        <f>IFERROR(IF(AND(H2161&lt;&gt;"",H2161&gt;=129,H2161&lt;=2176),INDEX(Fields!$B$2:$B$206,MATCH(H2161-129,Fields!$D$2:$D$206,1)),""),"")</f>
        <v/>
      </c>
      <c r="K2161">
        <f>IFERROR(IF(AND(H2161&lt;&gt;"",H2161&gt;=129,H2161&lt;=2176),INDEX(Fields!$C$2:$C$206,MATCH(H2161-129,Fields!$D$2:$D$206,1)),""),"")</f>
        <v/>
      </c>
      <c r="L2161">
        <f>IFERROR(IF(AND(H2161&lt;&gt;"",H2161&gt;=129,H2161&lt;=2176),INDEX(Fields!$J$2:$J$206,MATCH(H2161-129,Fields!$D$2:$D$206,1)),""),"")</f>
        <v/>
      </c>
      <c r="M2161">
        <f>IFERROR(IF(AND(H2161&lt;&gt;"",H2161&gt;=129,H2161&lt;=2176),INDEX(Fields!$K$2:$K$206,MATCH(H2161-129,Fields!$D$2:$D$206,1)),""),"")</f>
        <v/>
      </c>
    </row>
    <row r="2162">
      <c r="A2162" t="n">
        <v>2160</v>
      </c>
      <c r="B2162" t="n">
        <v>0</v>
      </c>
      <c r="C2162" t="inlineStr">
        <is>
          <t>No</t>
        </is>
      </c>
      <c r="D2162">
        <f>IF(AND(B2157=1,B2158=1,B2159=1,B2160=1,B2161=1),"Yes","")</f>
        <v/>
      </c>
      <c r="E2162" t="inlineStr">
        <is>
          <t>No</t>
        </is>
      </c>
      <c r="F2162" t="inlineStr">
        <is>
          <t>No</t>
        </is>
      </c>
      <c r="G2162">
        <f>IF(F2162="Yes",1-B2162,B2162)</f>
        <v/>
      </c>
      <c r="H2162">
        <f>IF(E2162="Yes","",COUNTIFS($E$2:E2162,"No"))</f>
        <v/>
      </c>
      <c r="I2162">
        <f>IF(H2162="","",IF(H2162&lt;=128,"address",IF(H2162&lt;=600,"data1",IF(H2162&lt;=1264,"zero-run1",IF(H2162&lt;=1648,"data2",IF(H2162&lt;=2176,"zero-run2",IF(H2162&lt;=2192,"FCS","trailing")))))))</f>
        <v/>
      </c>
      <c r="J2162">
        <f>IFERROR(IF(AND(H2162&lt;&gt;"",H2162&gt;=129,H2162&lt;=2176),INDEX(Fields!$B$2:$B$206,MATCH(H2162-129,Fields!$D$2:$D$206,1)),""),"")</f>
        <v/>
      </c>
      <c r="K2162">
        <f>IFERROR(IF(AND(H2162&lt;&gt;"",H2162&gt;=129,H2162&lt;=2176),INDEX(Fields!$C$2:$C$206,MATCH(H2162-129,Fields!$D$2:$D$206,1)),""),"")</f>
        <v/>
      </c>
      <c r="L2162">
        <f>IFERROR(IF(AND(H2162&lt;&gt;"",H2162&gt;=129,H2162&lt;=2176),INDEX(Fields!$J$2:$J$206,MATCH(H2162-129,Fields!$D$2:$D$206,1)),""),"")</f>
        <v/>
      </c>
      <c r="M2162">
        <f>IFERROR(IF(AND(H2162&lt;&gt;"",H2162&gt;=129,H2162&lt;=2176),INDEX(Fields!$K$2:$K$206,MATCH(H2162-129,Fields!$D$2:$D$206,1)),""),"")</f>
        <v/>
      </c>
    </row>
    <row r="2163">
      <c r="A2163" t="n">
        <v>2161</v>
      </c>
      <c r="B2163" t="n">
        <v>0</v>
      </c>
      <c r="C2163" t="inlineStr">
        <is>
          <t>No</t>
        </is>
      </c>
      <c r="D2163">
        <f>IF(AND(B2158=1,B2159=1,B2160=1,B2161=1,B2162=1),"Yes","")</f>
        <v/>
      </c>
      <c r="E2163" t="inlineStr">
        <is>
          <t>No</t>
        </is>
      </c>
      <c r="F2163" t="inlineStr">
        <is>
          <t>No</t>
        </is>
      </c>
      <c r="G2163">
        <f>IF(F2163="Yes",1-B2163,B2163)</f>
        <v/>
      </c>
      <c r="H2163">
        <f>IF(E2163="Yes","",COUNTIFS($E$2:E2163,"No"))</f>
        <v/>
      </c>
      <c r="I2163">
        <f>IF(H2163="","",IF(H2163&lt;=128,"address",IF(H2163&lt;=600,"data1",IF(H2163&lt;=1264,"zero-run1",IF(H2163&lt;=1648,"data2",IF(H2163&lt;=2176,"zero-run2",IF(H2163&lt;=2192,"FCS","trailing")))))))</f>
        <v/>
      </c>
      <c r="J2163">
        <f>IFERROR(IF(AND(H2163&lt;&gt;"",H2163&gt;=129,H2163&lt;=2176),INDEX(Fields!$B$2:$B$206,MATCH(H2163-129,Fields!$D$2:$D$206,1)),""),"")</f>
        <v/>
      </c>
      <c r="K2163">
        <f>IFERROR(IF(AND(H2163&lt;&gt;"",H2163&gt;=129,H2163&lt;=2176),INDEX(Fields!$C$2:$C$206,MATCH(H2163-129,Fields!$D$2:$D$206,1)),""),"")</f>
        <v/>
      </c>
      <c r="L2163">
        <f>IFERROR(IF(AND(H2163&lt;&gt;"",H2163&gt;=129,H2163&lt;=2176),INDEX(Fields!$J$2:$J$206,MATCH(H2163-129,Fields!$D$2:$D$206,1)),""),"")</f>
        <v/>
      </c>
      <c r="M2163">
        <f>IFERROR(IF(AND(H2163&lt;&gt;"",H2163&gt;=129,H2163&lt;=2176),INDEX(Fields!$K$2:$K$206,MATCH(H2163-129,Fields!$D$2:$D$206,1)),""),"")</f>
        <v/>
      </c>
    </row>
    <row r="2164">
      <c r="A2164" t="n">
        <v>2162</v>
      </c>
      <c r="B2164" t="n">
        <v>0</v>
      </c>
      <c r="C2164" t="inlineStr">
        <is>
          <t>No</t>
        </is>
      </c>
      <c r="D2164">
        <f>IF(AND(B2159=1,B2160=1,B2161=1,B2162=1,B2163=1),"Yes","")</f>
        <v/>
      </c>
      <c r="E2164" t="inlineStr">
        <is>
          <t>No</t>
        </is>
      </c>
      <c r="F2164" t="inlineStr">
        <is>
          <t>No</t>
        </is>
      </c>
      <c r="G2164">
        <f>IF(F2164="Yes",1-B2164,B2164)</f>
        <v/>
      </c>
      <c r="H2164">
        <f>IF(E2164="Yes","",COUNTIFS($E$2:E2164,"No"))</f>
        <v/>
      </c>
      <c r="I2164">
        <f>IF(H2164="","",IF(H2164&lt;=128,"address",IF(H2164&lt;=600,"data1",IF(H2164&lt;=1264,"zero-run1",IF(H2164&lt;=1648,"data2",IF(H2164&lt;=2176,"zero-run2",IF(H2164&lt;=2192,"FCS","trailing")))))))</f>
        <v/>
      </c>
      <c r="J2164">
        <f>IFERROR(IF(AND(H2164&lt;&gt;"",H2164&gt;=129,H2164&lt;=2176),INDEX(Fields!$B$2:$B$206,MATCH(H2164-129,Fields!$D$2:$D$206,1)),""),"")</f>
        <v/>
      </c>
      <c r="K2164">
        <f>IFERROR(IF(AND(H2164&lt;&gt;"",H2164&gt;=129,H2164&lt;=2176),INDEX(Fields!$C$2:$C$206,MATCH(H2164-129,Fields!$D$2:$D$206,1)),""),"")</f>
        <v/>
      </c>
      <c r="L2164">
        <f>IFERROR(IF(AND(H2164&lt;&gt;"",H2164&gt;=129,H2164&lt;=2176),INDEX(Fields!$J$2:$J$206,MATCH(H2164-129,Fields!$D$2:$D$206,1)),""),"")</f>
        <v/>
      </c>
      <c r="M2164">
        <f>IFERROR(IF(AND(H2164&lt;&gt;"",H2164&gt;=129,H2164&lt;=2176),INDEX(Fields!$K$2:$K$206,MATCH(H2164-129,Fields!$D$2:$D$206,1)),""),"")</f>
        <v/>
      </c>
    </row>
    <row r="2165">
      <c r="A2165" t="n">
        <v>2163</v>
      </c>
      <c r="B2165" t="n">
        <v>0</v>
      </c>
      <c r="C2165" t="inlineStr">
        <is>
          <t>No</t>
        </is>
      </c>
      <c r="D2165">
        <f>IF(AND(B2160=1,B2161=1,B2162=1,B2163=1,B2164=1),"Yes","")</f>
        <v/>
      </c>
      <c r="E2165" t="inlineStr">
        <is>
          <t>No</t>
        </is>
      </c>
      <c r="F2165" t="inlineStr">
        <is>
          <t>No</t>
        </is>
      </c>
      <c r="G2165">
        <f>IF(F2165="Yes",1-B2165,B2165)</f>
        <v/>
      </c>
      <c r="H2165">
        <f>IF(E2165="Yes","",COUNTIFS($E$2:E2165,"No"))</f>
        <v/>
      </c>
      <c r="I2165">
        <f>IF(H2165="","",IF(H2165&lt;=128,"address",IF(H2165&lt;=600,"data1",IF(H2165&lt;=1264,"zero-run1",IF(H2165&lt;=1648,"data2",IF(H2165&lt;=2176,"zero-run2",IF(H2165&lt;=2192,"FCS","trailing")))))))</f>
        <v/>
      </c>
      <c r="J2165">
        <f>IFERROR(IF(AND(H2165&lt;&gt;"",H2165&gt;=129,H2165&lt;=2176),INDEX(Fields!$B$2:$B$206,MATCH(H2165-129,Fields!$D$2:$D$206,1)),""),"")</f>
        <v/>
      </c>
      <c r="K2165">
        <f>IFERROR(IF(AND(H2165&lt;&gt;"",H2165&gt;=129,H2165&lt;=2176),INDEX(Fields!$C$2:$C$206,MATCH(H2165-129,Fields!$D$2:$D$206,1)),""),"")</f>
        <v/>
      </c>
      <c r="L2165">
        <f>IFERROR(IF(AND(H2165&lt;&gt;"",H2165&gt;=129,H2165&lt;=2176),INDEX(Fields!$J$2:$J$206,MATCH(H2165-129,Fields!$D$2:$D$206,1)),""),"")</f>
        <v/>
      </c>
      <c r="M2165">
        <f>IFERROR(IF(AND(H2165&lt;&gt;"",H2165&gt;=129,H2165&lt;=2176),INDEX(Fields!$K$2:$K$206,MATCH(H2165-129,Fields!$D$2:$D$206,1)),""),"")</f>
        <v/>
      </c>
    </row>
    <row r="2166">
      <c r="A2166" t="n">
        <v>2164</v>
      </c>
      <c r="B2166" t="n">
        <v>0</v>
      </c>
      <c r="C2166" t="inlineStr">
        <is>
          <t>No</t>
        </is>
      </c>
      <c r="D2166">
        <f>IF(AND(B2161=1,B2162=1,B2163=1,B2164=1,B2165=1),"Yes","")</f>
        <v/>
      </c>
      <c r="E2166" t="inlineStr">
        <is>
          <t>No</t>
        </is>
      </c>
      <c r="F2166" t="inlineStr">
        <is>
          <t>No</t>
        </is>
      </c>
      <c r="G2166">
        <f>IF(F2166="Yes",1-B2166,B2166)</f>
        <v/>
      </c>
      <c r="H2166">
        <f>IF(E2166="Yes","",COUNTIFS($E$2:E2166,"No"))</f>
        <v/>
      </c>
      <c r="I2166">
        <f>IF(H2166="","",IF(H2166&lt;=128,"address",IF(H2166&lt;=600,"data1",IF(H2166&lt;=1264,"zero-run1",IF(H2166&lt;=1648,"data2",IF(H2166&lt;=2176,"zero-run2",IF(H2166&lt;=2192,"FCS","trailing")))))))</f>
        <v/>
      </c>
      <c r="J2166">
        <f>IFERROR(IF(AND(H2166&lt;&gt;"",H2166&gt;=129,H2166&lt;=2176),INDEX(Fields!$B$2:$B$206,MATCH(H2166-129,Fields!$D$2:$D$206,1)),""),"")</f>
        <v/>
      </c>
      <c r="K2166">
        <f>IFERROR(IF(AND(H2166&lt;&gt;"",H2166&gt;=129,H2166&lt;=2176),INDEX(Fields!$C$2:$C$206,MATCH(H2166-129,Fields!$D$2:$D$206,1)),""),"")</f>
        <v/>
      </c>
      <c r="L2166">
        <f>IFERROR(IF(AND(H2166&lt;&gt;"",H2166&gt;=129,H2166&lt;=2176),INDEX(Fields!$J$2:$J$206,MATCH(H2166-129,Fields!$D$2:$D$206,1)),""),"")</f>
        <v/>
      </c>
      <c r="M2166">
        <f>IFERROR(IF(AND(H2166&lt;&gt;"",H2166&gt;=129,H2166&lt;=2176),INDEX(Fields!$K$2:$K$206,MATCH(H2166-129,Fields!$D$2:$D$206,1)),""),"")</f>
        <v/>
      </c>
    </row>
    <row r="2167">
      <c r="A2167" t="n">
        <v>2165</v>
      </c>
      <c r="B2167" t="n">
        <v>0</v>
      </c>
      <c r="C2167" t="inlineStr">
        <is>
          <t>No</t>
        </is>
      </c>
      <c r="D2167">
        <f>IF(AND(B2162=1,B2163=1,B2164=1,B2165=1,B2166=1),"Yes","")</f>
        <v/>
      </c>
      <c r="E2167" t="inlineStr">
        <is>
          <t>No</t>
        </is>
      </c>
      <c r="F2167" t="inlineStr">
        <is>
          <t>No</t>
        </is>
      </c>
      <c r="G2167">
        <f>IF(F2167="Yes",1-B2167,B2167)</f>
        <v/>
      </c>
      <c r="H2167">
        <f>IF(E2167="Yes","",COUNTIFS($E$2:E2167,"No"))</f>
        <v/>
      </c>
      <c r="I2167">
        <f>IF(H2167="","",IF(H2167&lt;=128,"address",IF(H2167&lt;=600,"data1",IF(H2167&lt;=1264,"zero-run1",IF(H2167&lt;=1648,"data2",IF(H2167&lt;=2176,"zero-run2",IF(H2167&lt;=2192,"FCS","trailing")))))))</f>
        <v/>
      </c>
      <c r="J2167">
        <f>IFERROR(IF(AND(H2167&lt;&gt;"",H2167&gt;=129,H2167&lt;=2176),INDEX(Fields!$B$2:$B$206,MATCH(H2167-129,Fields!$D$2:$D$206,1)),""),"")</f>
        <v/>
      </c>
      <c r="K2167">
        <f>IFERROR(IF(AND(H2167&lt;&gt;"",H2167&gt;=129,H2167&lt;=2176),INDEX(Fields!$C$2:$C$206,MATCH(H2167-129,Fields!$D$2:$D$206,1)),""),"")</f>
        <v/>
      </c>
      <c r="L2167">
        <f>IFERROR(IF(AND(H2167&lt;&gt;"",H2167&gt;=129,H2167&lt;=2176),INDEX(Fields!$J$2:$J$206,MATCH(H2167-129,Fields!$D$2:$D$206,1)),""),"")</f>
        <v/>
      </c>
      <c r="M2167">
        <f>IFERROR(IF(AND(H2167&lt;&gt;"",H2167&gt;=129,H2167&lt;=2176),INDEX(Fields!$K$2:$K$206,MATCH(H2167-129,Fields!$D$2:$D$206,1)),""),"")</f>
        <v/>
      </c>
    </row>
    <row r="2168">
      <c r="A2168" t="n">
        <v>2166</v>
      </c>
      <c r="B2168" t="n">
        <v>0</v>
      </c>
      <c r="C2168" t="inlineStr">
        <is>
          <t>No</t>
        </is>
      </c>
      <c r="D2168">
        <f>IF(AND(B2163=1,B2164=1,B2165=1,B2166=1,B2167=1),"Yes","")</f>
        <v/>
      </c>
      <c r="E2168" t="inlineStr">
        <is>
          <t>No</t>
        </is>
      </c>
      <c r="F2168" t="inlineStr">
        <is>
          <t>No</t>
        </is>
      </c>
      <c r="G2168">
        <f>IF(F2168="Yes",1-B2168,B2168)</f>
        <v/>
      </c>
      <c r="H2168">
        <f>IF(E2168="Yes","",COUNTIFS($E$2:E2168,"No"))</f>
        <v/>
      </c>
      <c r="I2168">
        <f>IF(H2168="","",IF(H2168&lt;=128,"address",IF(H2168&lt;=600,"data1",IF(H2168&lt;=1264,"zero-run1",IF(H2168&lt;=1648,"data2",IF(H2168&lt;=2176,"zero-run2",IF(H2168&lt;=2192,"FCS","trailing")))))))</f>
        <v/>
      </c>
      <c r="J2168">
        <f>IFERROR(IF(AND(H2168&lt;&gt;"",H2168&gt;=129,H2168&lt;=2176),INDEX(Fields!$B$2:$B$206,MATCH(H2168-129,Fields!$D$2:$D$206,1)),""),"")</f>
        <v/>
      </c>
      <c r="K2168">
        <f>IFERROR(IF(AND(H2168&lt;&gt;"",H2168&gt;=129,H2168&lt;=2176),INDEX(Fields!$C$2:$C$206,MATCH(H2168-129,Fields!$D$2:$D$206,1)),""),"")</f>
        <v/>
      </c>
      <c r="L2168">
        <f>IFERROR(IF(AND(H2168&lt;&gt;"",H2168&gt;=129,H2168&lt;=2176),INDEX(Fields!$J$2:$J$206,MATCH(H2168-129,Fields!$D$2:$D$206,1)),""),"")</f>
        <v/>
      </c>
      <c r="M2168">
        <f>IFERROR(IF(AND(H2168&lt;&gt;"",H2168&gt;=129,H2168&lt;=2176),INDEX(Fields!$K$2:$K$206,MATCH(H2168-129,Fields!$D$2:$D$206,1)),""),"")</f>
        <v/>
      </c>
    </row>
    <row r="2169">
      <c r="A2169" t="n">
        <v>2167</v>
      </c>
      <c r="B2169" t="n">
        <v>0</v>
      </c>
      <c r="C2169" t="inlineStr">
        <is>
          <t>No</t>
        </is>
      </c>
      <c r="D2169">
        <f>IF(AND(B2164=1,B2165=1,B2166=1,B2167=1,B2168=1),"Yes","")</f>
        <v/>
      </c>
      <c r="E2169" t="inlineStr">
        <is>
          <t>No</t>
        </is>
      </c>
      <c r="F2169" t="inlineStr">
        <is>
          <t>No</t>
        </is>
      </c>
      <c r="G2169">
        <f>IF(F2169="Yes",1-B2169,B2169)</f>
        <v/>
      </c>
      <c r="H2169">
        <f>IF(E2169="Yes","",COUNTIFS($E$2:E2169,"No"))</f>
        <v/>
      </c>
      <c r="I2169">
        <f>IF(H2169="","",IF(H2169&lt;=128,"address",IF(H2169&lt;=600,"data1",IF(H2169&lt;=1264,"zero-run1",IF(H2169&lt;=1648,"data2",IF(H2169&lt;=2176,"zero-run2",IF(H2169&lt;=2192,"FCS","trailing")))))))</f>
        <v/>
      </c>
      <c r="J2169">
        <f>IFERROR(IF(AND(H2169&lt;&gt;"",H2169&gt;=129,H2169&lt;=2176),INDEX(Fields!$B$2:$B$206,MATCH(H2169-129,Fields!$D$2:$D$206,1)),""),"")</f>
        <v/>
      </c>
      <c r="K2169">
        <f>IFERROR(IF(AND(H2169&lt;&gt;"",H2169&gt;=129,H2169&lt;=2176),INDEX(Fields!$C$2:$C$206,MATCH(H2169-129,Fields!$D$2:$D$206,1)),""),"")</f>
        <v/>
      </c>
      <c r="L2169">
        <f>IFERROR(IF(AND(H2169&lt;&gt;"",H2169&gt;=129,H2169&lt;=2176),INDEX(Fields!$J$2:$J$206,MATCH(H2169-129,Fields!$D$2:$D$206,1)),""),"")</f>
        <v/>
      </c>
      <c r="M2169">
        <f>IFERROR(IF(AND(H2169&lt;&gt;"",H2169&gt;=129,H2169&lt;=2176),INDEX(Fields!$K$2:$K$206,MATCH(H2169-129,Fields!$D$2:$D$206,1)),""),"")</f>
        <v/>
      </c>
    </row>
    <row r="2170">
      <c r="A2170" t="n">
        <v>2168</v>
      </c>
      <c r="B2170" t="n">
        <v>0</v>
      </c>
      <c r="C2170" t="inlineStr">
        <is>
          <t>No</t>
        </is>
      </c>
      <c r="D2170">
        <f>IF(AND(B2165=1,B2166=1,B2167=1,B2168=1,B2169=1),"Yes","")</f>
        <v/>
      </c>
      <c r="E2170" t="inlineStr">
        <is>
          <t>No</t>
        </is>
      </c>
      <c r="F2170" t="inlineStr">
        <is>
          <t>No</t>
        </is>
      </c>
      <c r="G2170">
        <f>IF(F2170="Yes",1-B2170,B2170)</f>
        <v/>
      </c>
      <c r="H2170">
        <f>IF(E2170="Yes","",COUNTIFS($E$2:E2170,"No"))</f>
        <v/>
      </c>
      <c r="I2170">
        <f>IF(H2170="","",IF(H2170&lt;=128,"address",IF(H2170&lt;=600,"data1",IF(H2170&lt;=1264,"zero-run1",IF(H2170&lt;=1648,"data2",IF(H2170&lt;=2176,"zero-run2",IF(H2170&lt;=2192,"FCS","trailing")))))))</f>
        <v/>
      </c>
      <c r="J2170">
        <f>IFERROR(IF(AND(H2170&lt;&gt;"",H2170&gt;=129,H2170&lt;=2176),INDEX(Fields!$B$2:$B$206,MATCH(H2170-129,Fields!$D$2:$D$206,1)),""),"")</f>
        <v/>
      </c>
      <c r="K2170">
        <f>IFERROR(IF(AND(H2170&lt;&gt;"",H2170&gt;=129,H2170&lt;=2176),INDEX(Fields!$C$2:$C$206,MATCH(H2170-129,Fields!$D$2:$D$206,1)),""),"")</f>
        <v/>
      </c>
      <c r="L2170">
        <f>IFERROR(IF(AND(H2170&lt;&gt;"",H2170&gt;=129,H2170&lt;=2176),INDEX(Fields!$J$2:$J$206,MATCH(H2170-129,Fields!$D$2:$D$206,1)),""),"")</f>
        <v/>
      </c>
      <c r="M2170">
        <f>IFERROR(IF(AND(H2170&lt;&gt;"",H2170&gt;=129,H2170&lt;=2176),INDEX(Fields!$K$2:$K$206,MATCH(H2170-129,Fields!$D$2:$D$206,1)),""),"")</f>
        <v/>
      </c>
    </row>
    <row r="2171">
      <c r="A2171" t="n">
        <v>2169</v>
      </c>
      <c r="B2171" t="n">
        <v>0</v>
      </c>
      <c r="C2171" t="inlineStr">
        <is>
          <t>No</t>
        </is>
      </c>
      <c r="D2171">
        <f>IF(AND(B2166=1,B2167=1,B2168=1,B2169=1,B2170=1),"Yes","")</f>
        <v/>
      </c>
      <c r="E2171" t="inlineStr">
        <is>
          <t>No</t>
        </is>
      </c>
      <c r="F2171" t="inlineStr">
        <is>
          <t>No</t>
        </is>
      </c>
      <c r="G2171">
        <f>IF(F2171="Yes",1-B2171,B2171)</f>
        <v/>
      </c>
      <c r="H2171">
        <f>IF(E2171="Yes","",COUNTIFS($E$2:E2171,"No"))</f>
        <v/>
      </c>
      <c r="I2171">
        <f>IF(H2171="","",IF(H2171&lt;=128,"address",IF(H2171&lt;=600,"data1",IF(H2171&lt;=1264,"zero-run1",IF(H2171&lt;=1648,"data2",IF(H2171&lt;=2176,"zero-run2",IF(H2171&lt;=2192,"FCS","trailing")))))))</f>
        <v/>
      </c>
      <c r="J2171">
        <f>IFERROR(IF(AND(H2171&lt;&gt;"",H2171&gt;=129,H2171&lt;=2176),INDEX(Fields!$B$2:$B$206,MATCH(H2171-129,Fields!$D$2:$D$206,1)),""),"")</f>
        <v/>
      </c>
      <c r="K2171">
        <f>IFERROR(IF(AND(H2171&lt;&gt;"",H2171&gt;=129,H2171&lt;=2176),INDEX(Fields!$C$2:$C$206,MATCH(H2171-129,Fields!$D$2:$D$206,1)),""),"")</f>
        <v/>
      </c>
      <c r="L2171">
        <f>IFERROR(IF(AND(H2171&lt;&gt;"",H2171&gt;=129,H2171&lt;=2176),INDEX(Fields!$J$2:$J$206,MATCH(H2171-129,Fields!$D$2:$D$206,1)),""),"")</f>
        <v/>
      </c>
      <c r="M2171">
        <f>IFERROR(IF(AND(H2171&lt;&gt;"",H2171&gt;=129,H2171&lt;=2176),INDEX(Fields!$K$2:$K$206,MATCH(H2171-129,Fields!$D$2:$D$206,1)),""),"")</f>
        <v/>
      </c>
    </row>
    <row r="2172">
      <c r="A2172" t="n">
        <v>2170</v>
      </c>
      <c r="B2172" t="n">
        <v>0</v>
      </c>
      <c r="C2172" t="inlineStr">
        <is>
          <t>No</t>
        </is>
      </c>
      <c r="D2172">
        <f>IF(AND(B2167=1,B2168=1,B2169=1,B2170=1,B2171=1),"Yes","")</f>
        <v/>
      </c>
      <c r="E2172" t="inlineStr">
        <is>
          <t>No</t>
        </is>
      </c>
      <c r="F2172" t="inlineStr">
        <is>
          <t>No</t>
        </is>
      </c>
      <c r="G2172">
        <f>IF(F2172="Yes",1-B2172,B2172)</f>
        <v/>
      </c>
      <c r="H2172">
        <f>IF(E2172="Yes","",COUNTIFS($E$2:E2172,"No"))</f>
        <v/>
      </c>
      <c r="I2172">
        <f>IF(H2172="","",IF(H2172&lt;=128,"address",IF(H2172&lt;=600,"data1",IF(H2172&lt;=1264,"zero-run1",IF(H2172&lt;=1648,"data2",IF(H2172&lt;=2176,"zero-run2",IF(H2172&lt;=2192,"FCS","trailing")))))))</f>
        <v/>
      </c>
      <c r="J2172">
        <f>IFERROR(IF(AND(H2172&lt;&gt;"",H2172&gt;=129,H2172&lt;=2176),INDEX(Fields!$B$2:$B$206,MATCH(H2172-129,Fields!$D$2:$D$206,1)),""),"")</f>
        <v/>
      </c>
      <c r="K2172">
        <f>IFERROR(IF(AND(H2172&lt;&gt;"",H2172&gt;=129,H2172&lt;=2176),INDEX(Fields!$C$2:$C$206,MATCH(H2172-129,Fields!$D$2:$D$206,1)),""),"")</f>
        <v/>
      </c>
      <c r="L2172">
        <f>IFERROR(IF(AND(H2172&lt;&gt;"",H2172&gt;=129,H2172&lt;=2176),INDEX(Fields!$J$2:$J$206,MATCH(H2172-129,Fields!$D$2:$D$206,1)),""),"")</f>
        <v/>
      </c>
      <c r="M2172">
        <f>IFERROR(IF(AND(H2172&lt;&gt;"",H2172&gt;=129,H2172&lt;=2176),INDEX(Fields!$K$2:$K$206,MATCH(H2172-129,Fields!$D$2:$D$206,1)),""),"")</f>
        <v/>
      </c>
    </row>
    <row r="2173">
      <c r="A2173" t="n">
        <v>2171</v>
      </c>
      <c r="B2173" t="n">
        <v>0</v>
      </c>
      <c r="C2173" t="inlineStr">
        <is>
          <t>No</t>
        </is>
      </c>
      <c r="D2173">
        <f>IF(AND(B2168=1,B2169=1,B2170=1,B2171=1,B2172=1),"Yes","")</f>
        <v/>
      </c>
      <c r="E2173" t="inlineStr">
        <is>
          <t>No</t>
        </is>
      </c>
      <c r="F2173" t="inlineStr">
        <is>
          <t>No</t>
        </is>
      </c>
      <c r="G2173">
        <f>IF(F2173="Yes",1-B2173,B2173)</f>
        <v/>
      </c>
      <c r="H2173">
        <f>IF(E2173="Yes","",COUNTIFS($E$2:E2173,"No"))</f>
        <v/>
      </c>
      <c r="I2173">
        <f>IF(H2173="","",IF(H2173&lt;=128,"address",IF(H2173&lt;=600,"data1",IF(H2173&lt;=1264,"zero-run1",IF(H2173&lt;=1648,"data2",IF(H2173&lt;=2176,"zero-run2",IF(H2173&lt;=2192,"FCS","trailing")))))))</f>
        <v/>
      </c>
      <c r="J2173">
        <f>IFERROR(IF(AND(H2173&lt;&gt;"",H2173&gt;=129,H2173&lt;=2176),INDEX(Fields!$B$2:$B$206,MATCH(H2173-129,Fields!$D$2:$D$206,1)),""),"")</f>
        <v/>
      </c>
      <c r="K2173">
        <f>IFERROR(IF(AND(H2173&lt;&gt;"",H2173&gt;=129,H2173&lt;=2176),INDEX(Fields!$C$2:$C$206,MATCH(H2173-129,Fields!$D$2:$D$206,1)),""),"")</f>
        <v/>
      </c>
      <c r="L2173">
        <f>IFERROR(IF(AND(H2173&lt;&gt;"",H2173&gt;=129,H2173&lt;=2176),INDEX(Fields!$J$2:$J$206,MATCH(H2173-129,Fields!$D$2:$D$206,1)),""),"")</f>
        <v/>
      </c>
      <c r="M2173">
        <f>IFERROR(IF(AND(H2173&lt;&gt;"",H2173&gt;=129,H2173&lt;=2176),INDEX(Fields!$K$2:$K$206,MATCH(H2173-129,Fields!$D$2:$D$206,1)),""),"")</f>
        <v/>
      </c>
    </row>
    <row r="2174">
      <c r="A2174" t="n">
        <v>2172</v>
      </c>
      <c r="B2174" t="n">
        <v>0</v>
      </c>
      <c r="C2174" t="inlineStr">
        <is>
          <t>No</t>
        </is>
      </c>
      <c r="D2174">
        <f>IF(AND(B2169=1,B2170=1,B2171=1,B2172=1,B2173=1),"Yes","")</f>
        <v/>
      </c>
      <c r="E2174" t="inlineStr">
        <is>
          <t>No</t>
        </is>
      </c>
      <c r="F2174" t="inlineStr">
        <is>
          <t>No</t>
        </is>
      </c>
      <c r="G2174">
        <f>IF(F2174="Yes",1-B2174,B2174)</f>
        <v/>
      </c>
      <c r="H2174">
        <f>IF(E2174="Yes","",COUNTIFS($E$2:E2174,"No"))</f>
        <v/>
      </c>
      <c r="I2174">
        <f>IF(H2174="","",IF(H2174&lt;=128,"address",IF(H2174&lt;=600,"data1",IF(H2174&lt;=1264,"zero-run1",IF(H2174&lt;=1648,"data2",IF(H2174&lt;=2176,"zero-run2",IF(H2174&lt;=2192,"FCS","trailing")))))))</f>
        <v/>
      </c>
      <c r="J2174">
        <f>IFERROR(IF(AND(H2174&lt;&gt;"",H2174&gt;=129,H2174&lt;=2176),INDEX(Fields!$B$2:$B$206,MATCH(H2174-129,Fields!$D$2:$D$206,1)),""),"")</f>
        <v/>
      </c>
      <c r="K2174">
        <f>IFERROR(IF(AND(H2174&lt;&gt;"",H2174&gt;=129,H2174&lt;=2176),INDEX(Fields!$C$2:$C$206,MATCH(H2174-129,Fields!$D$2:$D$206,1)),""),"")</f>
        <v/>
      </c>
      <c r="L2174">
        <f>IFERROR(IF(AND(H2174&lt;&gt;"",H2174&gt;=129,H2174&lt;=2176),INDEX(Fields!$J$2:$J$206,MATCH(H2174-129,Fields!$D$2:$D$206,1)),""),"")</f>
        <v/>
      </c>
      <c r="M2174">
        <f>IFERROR(IF(AND(H2174&lt;&gt;"",H2174&gt;=129,H2174&lt;=2176),INDEX(Fields!$K$2:$K$206,MATCH(H2174-129,Fields!$D$2:$D$206,1)),""),"")</f>
        <v/>
      </c>
    </row>
    <row r="2175">
      <c r="A2175" t="n">
        <v>2173</v>
      </c>
      <c r="B2175" t="n">
        <v>0</v>
      </c>
      <c r="C2175" t="inlineStr">
        <is>
          <t>No</t>
        </is>
      </c>
      <c r="D2175">
        <f>IF(AND(B2170=1,B2171=1,B2172=1,B2173=1,B2174=1),"Yes","")</f>
        <v/>
      </c>
      <c r="E2175" t="inlineStr">
        <is>
          <t>No</t>
        </is>
      </c>
      <c r="F2175" t="inlineStr">
        <is>
          <t>No</t>
        </is>
      </c>
      <c r="G2175">
        <f>IF(F2175="Yes",1-B2175,B2175)</f>
        <v/>
      </c>
      <c r="H2175">
        <f>IF(E2175="Yes","",COUNTIFS($E$2:E2175,"No"))</f>
        <v/>
      </c>
      <c r="I2175">
        <f>IF(H2175="","",IF(H2175&lt;=128,"address",IF(H2175&lt;=600,"data1",IF(H2175&lt;=1264,"zero-run1",IF(H2175&lt;=1648,"data2",IF(H2175&lt;=2176,"zero-run2",IF(H2175&lt;=2192,"FCS","trailing")))))))</f>
        <v/>
      </c>
      <c r="J2175">
        <f>IFERROR(IF(AND(H2175&lt;&gt;"",H2175&gt;=129,H2175&lt;=2176),INDEX(Fields!$B$2:$B$206,MATCH(H2175-129,Fields!$D$2:$D$206,1)),""),"")</f>
        <v/>
      </c>
      <c r="K2175">
        <f>IFERROR(IF(AND(H2175&lt;&gt;"",H2175&gt;=129,H2175&lt;=2176),INDEX(Fields!$C$2:$C$206,MATCH(H2175-129,Fields!$D$2:$D$206,1)),""),"")</f>
        <v/>
      </c>
      <c r="L2175">
        <f>IFERROR(IF(AND(H2175&lt;&gt;"",H2175&gt;=129,H2175&lt;=2176),INDEX(Fields!$J$2:$J$206,MATCH(H2175-129,Fields!$D$2:$D$206,1)),""),"")</f>
        <v/>
      </c>
      <c r="M2175">
        <f>IFERROR(IF(AND(H2175&lt;&gt;"",H2175&gt;=129,H2175&lt;=2176),INDEX(Fields!$K$2:$K$206,MATCH(H2175-129,Fields!$D$2:$D$206,1)),""),"")</f>
        <v/>
      </c>
    </row>
    <row r="2176">
      <c r="A2176" t="n">
        <v>2174</v>
      </c>
      <c r="B2176" t="n">
        <v>0</v>
      </c>
      <c r="C2176" t="inlineStr">
        <is>
          <t>No</t>
        </is>
      </c>
      <c r="D2176">
        <f>IF(AND(B2171=1,B2172=1,B2173=1,B2174=1,B2175=1),"Yes","")</f>
        <v/>
      </c>
      <c r="E2176" t="inlineStr">
        <is>
          <t>No</t>
        </is>
      </c>
      <c r="F2176" t="inlineStr">
        <is>
          <t>No</t>
        </is>
      </c>
      <c r="G2176">
        <f>IF(F2176="Yes",1-B2176,B2176)</f>
        <v/>
      </c>
      <c r="H2176">
        <f>IF(E2176="Yes","",COUNTIFS($E$2:E2176,"No"))</f>
        <v/>
      </c>
      <c r="I2176">
        <f>IF(H2176="","",IF(H2176&lt;=128,"address",IF(H2176&lt;=600,"data1",IF(H2176&lt;=1264,"zero-run1",IF(H2176&lt;=1648,"data2",IF(H2176&lt;=2176,"zero-run2",IF(H2176&lt;=2192,"FCS","trailing")))))))</f>
        <v/>
      </c>
      <c r="J2176">
        <f>IFERROR(IF(AND(H2176&lt;&gt;"",H2176&gt;=129,H2176&lt;=2176),INDEX(Fields!$B$2:$B$206,MATCH(H2176-129,Fields!$D$2:$D$206,1)),""),"")</f>
        <v/>
      </c>
      <c r="K2176">
        <f>IFERROR(IF(AND(H2176&lt;&gt;"",H2176&gt;=129,H2176&lt;=2176),INDEX(Fields!$C$2:$C$206,MATCH(H2176-129,Fields!$D$2:$D$206,1)),""),"")</f>
        <v/>
      </c>
      <c r="L2176">
        <f>IFERROR(IF(AND(H2176&lt;&gt;"",H2176&gt;=129,H2176&lt;=2176),INDEX(Fields!$J$2:$J$206,MATCH(H2176-129,Fields!$D$2:$D$206,1)),""),"")</f>
        <v/>
      </c>
      <c r="M2176">
        <f>IFERROR(IF(AND(H2176&lt;&gt;"",H2176&gt;=129,H2176&lt;=2176),INDEX(Fields!$K$2:$K$206,MATCH(H2176-129,Fields!$D$2:$D$206,1)),""),"")</f>
        <v/>
      </c>
    </row>
    <row r="2177">
      <c r="A2177" t="n">
        <v>2175</v>
      </c>
      <c r="B2177" t="n">
        <v>0</v>
      </c>
      <c r="C2177" t="inlineStr">
        <is>
          <t>No</t>
        </is>
      </c>
      <c r="D2177">
        <f>IF(AND(B2172=1,B2173=1,B2174=1,B2175=1,B2176=1),"Yes","")</f>
        <v/>
      </c>
      <c r="E2177" t="inlineStr">
        <is>
          <t>No</t>
        </is>
      </c>
      <c r="F2177" t="inlineStr">
        <is>
          <t>No</t>
        </is>
      </c>
      <c r="G2177">
        <f>IF(F2177="Yes",1-B2177,B2177)</f>
        <v/>
      </c>
      <c r="H2177">
        <f>IF(E2177="Yes","",COUNTIFS($E$2:E2177,"No"))</f>
        <v/>
      </c>
      <c r="I2177">
        <f>IF(H2177="","",IF(H2177&lt;=128,"address",IF(H2177&lt;=600,"data1",IF(H2177&lt;=1264,"zero-run1",IF(H2177&lt;=1648,"data2",IF(H2177&lt;=2176,"zero-run2",IF(H2177&lt;=2192,"FCS","trailing")))))))</f>
        <v/>
      </c>
      <c r="J2177">
        <f>IFERROR(IF(AND(H2177&lt;&gt;"",H2177&gt;=129,H2177&lt;=2176),INDEX(Fields!$B$2:$B$206,MATCH(H2177-129,Fields!$D$2:$D$206,1)),""),"")</f>
        <v/>
      </c>
      <c r="K2177">
        <f>IFERROR(IF(AND(H2177&lt;&gt;"",H2177&gt;=129,H2177&lt;=2176),INDEX(Fields!$C$2:$C$206,MATCH(H2177-129,Fields!$D$2:$D$206,1)),""),"")</f>
        <v/>
      </c>
      <c r="L2177">
        <f>IFERROR(IF(AND(H2177&lt;&gt;"",H2177&gt;=129,H2177&lt;=2176),INDEX(Fields!$J$2:$J$206,MATCH(H2177-129,Fields!$D$2:$D$206,1)),""),"")</f>
        <v/>
      </c>
      <c r="M2177">
        <f>IFERROR(IF(AND(H2177&lt;&gt;"",H2177&gt;=129,H2177&lt;=2176),INDEX(Fields!$K$2:$K$206,MATCH(H2177-129,Fields!$D$2:$D$206,1)),""),"")</f>
        <v/>
      </c>
    </row>
    <row r="2178">
      <c r="A2178" t="n">
        <v>2176</v>
      </c>
      <c r="B2178" t="n">
        <v>0</v>
      </c>
      <c r="C2178" t="inlineStr">
        <is>
          <t>No</t>
        </is>
      </c>
      <c r="D2178">
        <f>IF(AND(B2173=1,B2174=1,B2175=1,B2176=1,B2177=1),"Yes","")</f>
        <v/>
      </c>
      <c r="E2178" t="inlineStr">
        <is>
          <t>No</t>
        </is>
      </c>
      <c r="F2178" t="inlineStr">
        <is>
          <t>No</t>
        </is>
      </c>
      <c r="G2178">
        <f>IF(F2178="Yes",1-B2178,B2178)</f>
        <v/>
      </c>
      <c r="H2178">
        <f>IF(E2178="Yes","",COUNTIFS($E$2:E2178,"No"))</f>
        <v/>
      </c>
      <c r="I2178">
        <f>IF(H2178="","",IF(H2178&lt;=128,"address",IF(H2178&lt;=600,"data1",IF(H2178&lt;=1264,"zero-run1",IF(H2178&lt;=1648,"data2",IF(H2178&lt;=2176,"zero-run2",IF(H2178&lt;=2192,"FCS","trailing")))))))</f>
        <v/>
      </c>
      <c r="J2178">
        <f>IFERROR(IF(AND(H2178&lt;&gt;"",H2178&gt;=129,H2178&lt;=2176),INDEX(Fields!$B$2:$B$206,MATCH(H2178-129,Fields!$D$2:$D$206,1)),""),"")</f>
        <v/>
      </c>
      <c r="K2178">
        <f>IFERROR(IF(AND(H2178&lt;&gt;"",H2178&gt;=129,H2178&lt;=2176),INDEX(Fields!$C$2:$C$206,MATCH(H2178-129,Fields!$D$2:$D$206,1)),""),"")</f>
        <v/>
      </c>
      <c r="L2178">
        <f>IFERROR(IF(AND(H2178&lt;&gt;"",H2178&gt;=129,H2178&lt;=2176),INDEX(Fields!$J$2:$J$206,MATCH(H2178-129,Fields!$D$2:$D$206,1)),""),"")</f>
        <v/>
      </c>
      <c r="M2178">
        <f>IFERROR(IF(AND(H2178&lt;&gt;"",H2178&gt;=129,H2178&lt;=2176),INDEX(Fields!$K$2:$K$206,MATCH(H2178-129,Fields!$D$2:$D$206,1)),""),"")</f>
        <v/>
      </c>
    </row>
    <row r="2179">
      <c r="A2179" t="n">
        <v>2177</v>
      </c>
      <c r="B2179" t="n">
        <v>0</v>
      </c>
      <c r="C2179" t="inlineStr">
        <is>
          <t>No</t>
        </is>
      </c>
      <c r="D2179">
        <f>IF(AND(B2174=1,B2175=1,B2176=1,B2177=1,B2178=1),"Yes","")</f>
        <v/>
      </c>
      <c r="E2179" t="inlineStr">
        <is>
          <t>No</t>
        </is>
      </c>
      <c r="F2179" t="inlineStr">
        <is>
          <t>No</t>
        </is>
      </c>
      <c r="G2179">
        <f>IF(F2179="Yes",1-B2179,B2179)</f>
        <v/>
      </c>
      <c r="H2179">
        <f>IF(E2179="Yes","",COUNTIFS($E$2:E2179,"No"))</f>
        <v/>
      </c>
      <c r="I2179">
        <f>IF(H2179="","",IF(H2179&lt;=128,"address",IF(H2179&lt;=600,"data1",IF(H2179&lt;=1264,"zero-run1",IF(H2179&lt;=1648,"data2",IF(H2179&lt;=2176,"zero-run2",IF(H2179&lt;=2192,"FCS","trailing")))))))</f>
        <v/>
      </c>
      <c r="J2179">
        <f>IFERROR(IF(AND(H2179&lt;&gt;"",H2179&gt;=129,H2179&lt;=2176),INDEX(Fields!$B$2:$B$206,MATCH(H2179-129,Fields!$D$2:$D$206,1)),""),"")</f>
        <v/>
      </c>
      <c r="K2179">
        <f>IFERROR(IF(AND(H2179&lt;&gt;"",H2179&gt;=129,H2179&lt;=2176),INDEX(Fields!$C$2:$C$206,MATCH(H2179-129,Fields!$D$2:$D$206,1)),""),"")</f>
        <v/>
      </c>
      <c r="L2179">
        <f>IFERROR(IF(AND(H2179&lt;&gt;"",H2179&gt;=129,H2179&lt;=2176),INDEX(Fields!$J$2:$J$206,MATCH(H2179-129,Fields!$D$2:$D$206,1)),""),"")</f>
        <v/>
      </c>
      <c r="M2179">
        <f>IFERROR(IF(AND(H2179&lt;&gt;"",H2179&gt;=129,H2179&lt;=2176),INDEX(Fields!$K$2:$K$206,MATCH(H2179-129,Fields!$D$2:$D$206,1)),""),"")</f>
        <v/>
      </c>
    </row>
    <row r="2180">
      <c r="A2180" t="n">
        <v>2178</v>
      </c>
      <c r="B2180" t="n">
        <v>0</v>
      </c>
      <c r="C2180" t="inlineStr">
        <is>
          <t>No</t>
        </is>
      </c>
      <c r="D2180">
        <f>IF(AND(B2175=1,B2176=1,B2177=1,B2178=1,B2179=1),"Yes","")</f>
        <v/>
      </c>
      <c r="E2180" t="inlineStr">
        <is>
          <t>No</t>
        </is>
      </c>
      <c r="F2180" t="inlineStr">
        <is>
          <t>No</t>
        </is>
      </c>
      <c r="G2180">
        <f>IF(F2180="Yes",1-B2180,B2180)</f>
        <v/>
      </c>
      <c r="H2180">
        <f>IF(E2180="Yes","",COUNTIFS($E$2:E2180,"No"))</f>
        <v/>
      </c>
      <c r="I2180">
        <f>IF(H2180="","",IF(H2180&lt;=128,"address",IF(H2180&lt;=600,"data1",IF(H2180&lt;=1264,"zero-run1",IF(H2180&lt;=1648,"data2",IF(H2180&lt;=2176,"zero-run2",IF(H2180&lt;=2192,"FCS","trailing")))))))</f>
        <v/>
      </c>
      <c r="J2180">
        <f>IFERROR(IF(AND(H2180&lt;&gt;"",H2180&gt;=129,H2180&lt;=2176),INDEX(Fields!$B$2:$B$206,MATCH(H2180-129,Fields!$D$2:$D$206,1)),""),"")</f>
        <v/>
      </c>
      <c r="K2180">
        <f>IFERROR(IF(AND(H2180&lt;&gt;"",H2180&gt;=129,H2180&lt;=2176),INDEX(Fields!$C$2:$C$206,MATCH(H2180-129,Fields!$D$2:$D$206,1)),""),"")</f>
        <v/>
      </c>
      <c r="L2180">
        <f>IFERROR(IF(AND(H2180&lt;&gt;"",H2180&gt;=129,H2180&lt;=2176),INDEX(Fields!$J$2:$J$206,MATCH(H2180-129,Fields!$D$2:$D$206,1)),""),"")</f>
        <v/>
      </c>
      <c r="M2180">
        <f>IFERROR(IF(AND(H2180&lt;&gt;"",H2180&gt;=129,H2180&lt;=2176),INDEX(Fields!$K$2:$K$206,MATCH(H2180-129,Fields!$D$2:$D$206,1)),""),"")</f>
        <v/>
      </c>
    </row>
    <row r="2181">
      <c r="A2181" t="n">
        <v>2179</v>
      </c>
      <c r="B2181" t="n">
        <v>0</v>
      </c>
      <c r="C2181" t="inlineStr">
        <is>
          <t>No</t>
        </is>
      </c>
      <c r="D2181">
        <f>IF(AND(B2176=1,B2177=1,B2178=1,B2179=1,B2180=1),"Yes","")</f>
        <v/>
      </c>
      <c r="E2181" t="inlineStr">
        <is>
          <t>No</t>
        </is>
      </c>
      <c r="F2181" t="inlineStr">
        <is>
          <t>No</t>
        </is>
      </c>
      <c r="G2181">
        <f>IF(F2181="Yes",1-B2181,B2181)</f>
        <v/>
      </c>
      <c r="H2181">
        <f>IF(E2181="Yes","",COUNTIFS($E$2:E2181,"No"))</f>
        <v/>
      </c>
      <c r="I2181">
        <f>IF(H2181="","",IF(H2181&lt;=128,"address",IF(H2181&lt;=600,"data1",IF(H2181&lt;=1264,"zero-run1",IF(H2181&lt;=1648,"data2",IF(H2181&lt;=2176,"zero-run2",IF(H2181&lt;=2192,"FCS","trailing")))))))</f>
        <v/>
      </c>
      <c r="J2181">
        <f>IFERROR(IF(AND(H2181&lt;&gt;"",H2181&gt;=129,H2181&lt;=2176),INDEX(Fields!$B$2:$B$206,MATCH(H2181-129,Fields!$D$2:$D$206,1)),""),"")</f>
        <v/>
      </c>
      <c r="K2181">
        <f>IFERROR(IF(AND(H2181&lt;&gt;"",H2181&gt;=129,H2181&lt;=2176),INDEX(Fields!$C$2:$C$206,MATCH(H2181-129,Fields!$D$2:$D$206,1)),""),"")</f>
        <v/>
      </c>
      <c r="L2181">
        <f>IFERROR(IF(AND(H2181&lt;&gt;"",H2181&gt;=129,H2181&lt;=2176),INDEX(Fields!$J$2:$J$206,MATCH(H2181-129,Fields!$D$2:$D$206,1)),""),"")</f>
        <v/>
      </c>
      <c r="M2181">
        <f>IFERROR(IF(AND(H2181&lt;&gt;"",H2181&gt;=129,H2181&lt;=2176),INDEX(Fields!$K$2:$K$206,MATCH(H2181-129,Fields!$D$2:$D$206,1)),""),"")</f>
        <v/>
      </c>
    </row>
    <row r="2182">
      <c r="A2182" t="n">
        <v>2180</v>
      </c>
      <c r="B2182" t="n">
        <v>0</v>
      </c>
      <c r="C2182" t="inlineStr">
        <is>
          <t>No</t>
        </is>
      </c>
      <c r="D2182">
        <f>IF(AND(B2177=1,B2178=1,B2179=1,B2180=1,B2181=1),"Yes","")</f>
        <v/>
      </c>
      <c r="E2182" t="inlineStr">
        <is>
          <t>No</t>
        </is>
      </c>
      <c r="F2182" t="inlineStr">
        <is>
          <t>No</t>
        </is>
      </c>
      <c r="G2182">
        <f>IF(F2182="Yes",1-B2182,B2182)</f>
        <v/>
      </c>
      <c r="H2182">
        <f>IF(E2182="Yes","",COUNTIFS($E$2:E2182,"No"))</f>
        <v/>
      </c>
      <c r="I2182">
        <f>IF(H2182="","",IF(H2182&lt;=128,"address",IF(H2182&lt;=600,"data1",IF(H2182&lt;=1264,"zero-run1",IF(H2182&lt;=1648,"data2",IF(H2182&lt;=2176,"zero-run2",IF(H2182&lt;=2192,"FCS","trailing")))))))</f>
        <v/>
      </c>
      <c r="J2182">
        <f>IFERROR(IF(AND(H2182&lt;&gt;"",H2182&gt;=129,H2182&lt;=2176),INDEX(Fields!$B$2:$B$206,MATCH(H2182-129,Fields!$D$2:$D$206,1)),""),"")</f>
        <v/>
      </c>
      <c r="K2182">
        <f>IFERROR(IF(AND(H2182&lt;&gt;"",H2182&gt;=129,H2182&lt;=2176),INDEX(Fields!$C$2:$C$206,MATCH(H2182-129,Fields!$D$2:$D$206,1)),""),"")</f>
        <v/>
      </c>
      <c r="L2182">
        <f>IFERROR(IF(AND(H2182&lt;&gt;"",H2182&gt;=129,H2182&lt;=2176),INDEX(Fields!$J$2:$J$206,MATCH(H2182-129,Fields!$D$2:$D$206,1)),""),"")</f>
        <v/>
      </c>
      <c r="M2182">
        <f>IFERROR(IF(AND(H2182&lt;&gt;"",H2182&gt;=129,H2182&lt;=2176),INDEX(Fields!$K$2:$K$206,MATCH(H2182-129,Fields!$D$2:$D$206,1)),""),"")</f>
        <v/>
      </c>
    </row>
    <row r="2183">
      <c r="A2183" t="n">
        <v>2181</v>
      </c>
      <c r="B2183" t="n">
        <v>0</v>
      </c>
      <c r="C2183" t="inlineStr">
        <is>
          <t>No</t>
        </is>
      </c>
      <c r="D2183">
        <f>IF(AND(B2178=1,B2179=1,B2180=1,B2181=1,B2182=1),"Yes","")</f>
        <v/>
      </c>
      <c r="E2183" t="inlineStr">
        <is>
          <t>No</t>
        </is>
      </c>
      <c r="F2183" t="inlineStr">
        <is>
          <t>No</t>
        </is>
      </c>
      <c r="G2183">
        <f>IF(F2183="Yes",1-B2183,B2183)</f>
        <v/>
      </c>
      <c r="H2183">
        <f>IF(E2183="Yes","",COUNTIFS($E$2:E2183,"No"))</f>
        <v/>
      </c>
      <c r="I2183">
        <f>IF(H2183="","",IF(H2183&lt;=128,"address",IF(H2183&lt;=600,"data1",IF(H2183&lt;=1264,"zero-run1",IF(H2183&lt;=1648,"data2",IF(H2183&lt;=2176,"zero-run2",IF(H2183&lt;=2192,"FCS","trailing")))))))</f>
        <v/>
      </c>
      <c r="J2183">
        <f>IFERROR(IF(AND(H2183&lt;&gt;"",H2183&gt;=129,H2183&lt;=2176),INDEX(Fields!$B$2:$B$206,MATCH(H2183-129,Fields!$D$2:$D$206,1)),""),"")</f>
        <v/>
      </c>
      <c r="K2183">
        <f>IFERROR(IF(AND(H2183&lt;&gt;"",H2183&gt;=129,H2183&lt;=2176),INDEX(Fields!$C$2:$C$206,MATCH(H2183-129,Fields!$D$2:$D$206,1)),""),"")</f>
        <v/>
      </c>
      <c r="L2183">
        <f>IFERROR(IF(AND(H2183&lt;&gt;"",H2183&gt;=129,H2183&lt;=2176),INDEX(Fields!$J$2:$J$206,MATCH(H2183-129,Fields!$D$2:$D$206,1)),""),"")</f>
        <v/>
      </c>
      <c r="M2183">
        <f>IFERROR(IF(AND(H2183&lt;&gt;"",H2183&gt;=129,H2183&lt;=2176),INDEX(Fields!$K$2:$K$206,MATCH(H2183-129,Fields!$D$2:$D$206,1)),""),"")</f>
        <v/>
      </c>
    </row>
    <row r="2184">
      <c r="A2184" t="n">
        <v>2182</v>
      </c>
      <c r="B2184" t="n">
        <v>1</v>
      </c>
      <c r="C2184" s="4" t="inlineStr">
        <is>
          <t>Yes</t>
        </is>
      </c>
      <c r="D2184">
        <f>IF(AND(B2179=1,B2180=1,B2181=1,B2182=1,B2183=1),"Yes","")</f>
        <v/>
      </c>
      <c r="E2184" t="inlineStr">
        <is>
          <t>No</t>
        </is>
      </c>
      <c r="F2184" t="inlineStr">
        <is>
          <t>No</t>
        </is>
      </c>
      <c r="G2184">
        <f>IF(F2184="Yes",1-B2184,B2184)</f>
        <v/>
      </c>
      <c r="H2184">
        <f>IF(E2184="Yes","",COUNTIFS($E$2:E2184,"No"))</f>
        <v/>
      </c>
      <c r="I2184">
        <f>IF(H2184="","",IF(H2184&lt;=128,"address",IF(H2184&lt;=600,"data1",IF(H2184&lt;=1264,"zero-run1",IF(H2184&lt;=1648,"data2",IF(H2184&lt;=2176,"zero-run2",IF(H2184&lt;=2192,"FCS","trailing")))))))</f>
        <v/>
      </c>
      <c r="J2184">
        <f>IFERROR(IF(AND(H2184&lt;&gt;"",H2184&gt;=129,H2184&lt;=2176),INDEX(Fields!$B$2:$B$206,MATCH(H2184-129,Fields!$D$2:$D$206,1)),""),"")</f>
        <v/>
      </c>
      <c r="K2184">
        <f>IFERROR(IF(AND(H2184&lt;&gt;"",H2184&gt;=129,H2184&lt;=2176),INDEX(Fields!$C$2:$C$206,MATCH(H2184-129,Fields!$D$2:$D$206,1)),""),"")</f>
        <v/>
      </c>
      <c r="L2184">
        <f>IFERROR(IF(AND(H2184&lt;&gt;"",H2184&gt;=129,H2184&lt;=2176),INDEX(Fields!$J$2:$J$206,MATCH(H2184-129,Fields!$D$2:$D$206,1)),""),"")</f>
        <v/>
      </c>
      <c r="M2184">
        <f>IFERROR(IF(AND(H2184&lt;&gt;"",H2184&gt;=129,H2184&lt;=2176),INDEX(Fields!$K$2:$K$206,MATCH(H2184-129,Fields!$D$2:$D$206,1)),""),"")</f>
        <v/>
      </c>
    </row>
    <row r="2185">
      <c r="A2185" t="n">
        <v>2183</v>
      </c>
      <c r="B2185" t="n">
        <v>1</v>
      </c>
      <c r="C2185" s="4" t="inlineStr">
        <is>
          <t>Yes</t>
        </is>
      </c>
      <c r="D2185">
        <f>IF(AND(B2180=1,B2181=1,B2182=1,B2183=1,B2184=1),"Yes","")</f>
        <v/>
      </c>
      <c r="E2185" t="inlineStr">
        <is>
          <t>No</t>
        </is>
      </c>
      <c r="F2185" t="inlineStr">
        <is>
          <t>No</t>
        </is>
      </c>
      <c r="G2185">
        <f>IF(F2185="Yes",1-B2185,B2185)</f>
        <v/>
      </c>
      <c r="H2185">
        <f>IF(E2185="Yes","",COUNTIFS($E$2:E2185,"No"))</f>
        <v/>
      </c>
      <c r="I2185">
        <f>IF(H2185="","",IF(H2185&lt;=128,"address",IF(H2185&lt;=600,"data1",IF(H2185&lt;=1264,"zero-run1",IF(H2185&lt;=1648,"data2",IF(H2185&lt;=2176,"zero-run2",IF(H2185&lt;=2192,"FCS","trailing")))))))</f>
        <v/>
      </c>
      <c r="J2185">
        <f>IFERROR(IF(AND(H2185&lt;&gt;"",H2185&gt;=129,H2185&lt;=2176),INDEX(Fields!$B$2:$B$206,MATCH(H2185-129,Fields!$D$2:$D$206,1)),""),"")</f>
        <v/>
      </c>
      <c r="K2185">
        <f>IFERROR(IF(AND(H2185&lt;&gt;"",H2185&gt;=129,H2185&lt;=2176),INDEX(Fields!$C$2:$C$206,MATCH(H2185-129,Fields!$D$2:$D$206,1)),""),"")</f>
        <v/>
      </c>
      <c r="L2185">
        <f>IFERROR(IF(AND(H2185&lt;&gt;"",H2185&gt;=129,H2185&lt;=2176),INDEX(Fields!$J$2:$J$206,MATCH(H2185-129,Fields!$D$2:$D$206,1)),""),"")</f>
        <v/>
      </c>
      <c r="M2185">
        <f>IFERROR(IF(AND(H2185&lt;&gt;"",H2185&gt;=129,H2185&lt;=2176),INDEX(Fields!$K$2:$K$206,MATCH(H2185-129,Fields!$D$2:$D$206,1)),""),"")</f>
        <v/>
      </c>
    </row>
    <row r="2186">
      <c r="A2186" t="n">
        <v>2184</v>
      </c>
      <c r="B2186" t="n">
        <v>0</v>
      </c>
      <c r="C2186" t="inlineStr">
        <is>
          <t>No</t>
        </is>
      </c>
      <c r="D2186">
        <f>IF(AND(B2181=1,B2182=1,B2183=1,B2184=1,B2185=1),"Yes","")</f>
        <v/>
      </c>
      <c r="E2186" t="inlineStr">
        <is>
          <t>No</t>
        </is>
      </c>
      <c r="F2186" t="inlineStr">
        <is>
          <t>No</t>
        </is>
      </c>
      <c r="G2186">
        <f>IF(F2186="Yes",1-B2186,B2186)</f>
        <v/>
      </c>
      <c r="H2186">
        <f>IF(E2186="Yes","",COUNTIFS($E$2:E2186,"No"))</f>
        <v/>
      </c>
      <c r="I2186">
        <f>IF(H2186="","",IF(H2186&lt;=128,"address",IF(H2186&lt;=600,"data1",IF(H2186&lt;=1264,"zero-run1",IF(H2186&lt;=1648,"data2",IF(H2186&lt;=2176,"zero-run2",IF(H2186&lt;=2192,"FCS","trailing")))))))</f>
        <v/>
      </c>
      <c r="J2186">
        <f>IFERROR(IF(AND(H2186&lt;&gt;"",H2186&gt;=129,H2186&lt;=2176),INDEX(Fields!$B$2:$B$206,MATCH(H2186-129,Fields!$D$2:$D$206,1)),""),"")</f>
        <v/>
      </c>
      <c r="K2186">
        <f>IFERROR(IF(AND(H2186&lt;&gt;"",H2186&gt;=129,H2186&lt;=2176),INDEX(Fields!$C$2:$C$206,MATCH(H2186-129,Fields!$D$2:$D$206,1)),""),"")</f>
        <v/>
      </c>
      <c r="L2186">
        <f>IFERROR(IF(AND(H2186&lt;&gt;"",H2186&gt;=129,H2186&lt;=2176),INDEX(Fields!$J$2:$J$206,MATCH(H2186-129,Fields!$D$2:$D$206,1)),""),"")</f>
        <v/>
      </c>
      <c r="M2186">
        <f>IFERROR(IF(AND(H2186&lt;&gt;"",H2186&gt;=129,H2186&lt;=2176),INDEX(Fields!$K$2:$K$206,MATCH(H2186-129,Fields!$D$2:$D$206,1)),""),"")</f>
        <v/>
      </c>
    </row>
    <row r="2187">
      <c r="A2187" t="n">
        <v>2185</v>
      </c>
      <c r="B2187" t="n">
        <v>1</v>
      </c>
      <c r="C2187" t="inlineStr">
        <is>
          <t>No</t>
        </is>
      </c>
      <c r="D2187">
        <f>IF(AND(B2182=1,B2183=1,B2184=1,B2185=1,B2186=1),"Yes","")</f>
        <v/>
      </c>
      <c r="E2187" t="inlineStr">
        <is>
          <t>No</t>
        </is>
      </c>
      <c r="F2187" t="inlineStr">
        <is>
          <t>No</t>
        </is>
      </c>
      <c r="G2187">
        <f>IF(F2187="Yes",1-B2187,B2187)</f>
        <v/>
      </c>
      <c r="H2187">
        <f>IF(E2187="Yes","",COUNTIFS($E$2:E2187,"No"))</f>
        <v/>
      </c>
      <c r="I2187">
        <f>IF(H2187="","",IF(H2187&lt;=128,"address",IF(H2187&lt;=600,"data1",IF(H2187&lt;=1264,"zero-run1",IF(H2187&lt;=1648,"data2",IF(H2187&lt;=2176,"zero-run2",IF(H2187&lt;=2192,"FCS","trailing")))))))</f>
        <v/>
      </c>
      <c r="J2187">
        <f>IFERROR(IF(AND(H2187&lt;&gt;"",H2187&gt;=129,H2187&lt;=2176),INDEX(Fields!$B$2:$B$206,MATCH(H2187-129,Fields!$D$2:$D$206,1)),""),"")</f>
        <v/>
      </c>
      <c r="K2187">
        <f>IFERROR(IF(AND(H2187&lt;&gt;"",H2187&gt;=129,H2187&lt;=2176),INDEX(Fields!$C$2:$C$206,MATCH(H2187-129,Fields!$D$2:$D$206,1)),""),"")</f>
        <v/>
      </c>
      <c r="L2187">
        <f>IFERROR(IF(AND(H2187&lt;&gt;"",H2187&gt;=129,H2187&lt;=2176),INDEX(Fields!$J$2:$J$206,MATCH(H2187-129,Fields!$D$2:$D$206,1)),""),"")</f>
        <v/>
      </c>
      <c r="M2187">
        <f>IFERROR(IF(AND(H2187&lt;&gt;"",H2187&gt;=129,H2187&lt;=2176),INDEX(Fields!$K$2:$K$206,MATCH(H2187-129,Fields!$D$2:$D$206,1)),""),"")</f>
        <v/>
      </c>
    </row>
    <row r="2188">
      <c r="A2188" t="n">
        <v>2186</v>
      </c>
      <c r="B2188" t="n">
        <v>0</v>
      </c>
      <c r="C2188" t="inlineStr">
        <is>
          <t>No</t>
        </is>
      </c>
      <c r="D2188">
        <f>IF(AND(B2183=1,B2184=1,B2185=1,B2186=1,B2187=1),"Yes","")</f>
        <v/>
      </c>
      <c r="E2188" t="inlineStr">
        <is>
          <t>No</t>
        </is>
      </c>
      <c r="F2188" t="inlineStr">
        <is>
          <t>No</t>
        </is>
      </c>
      <c r="G2188">
        <f>IF(F2188="Yes",1-B2188,B2188)</f>
        <v/>
      </c>
      <c r="H2188">
        <f>IF(E2188="Yes","",COUNTIFS($E$2:E2188,"No"))</f>
        <v/>
      </c>
      <c r="I2188">
        <f>IF(H2188="","",IF(H2188&lt;=128,"address",IF(H2188&lt;=600,"data1",IF(H2188&lt;=1264,"zero-run1",IF(H2188&lt;=1648,"data2",IF(H2188&lt;=2176,"zero-run2",IF(H2188&lt;=2192,"FCS","trailing")))))))</f>
        <v/>
      </c>
      <c r="J2188">
        <f>IFERROR(IF(AND(H2188&lt;&gt;"",H2188&gt;=129,H2188&lt;=2176),INDEX(Fields!$B$2:$B$206,MATCH(H2188-129,Fields!$D$2:$D$206,1)),""),"")</f>
        <v/>
      </c>
      <c r="K2188">
        <f>IFERROR(IF(AND(H2188&lt;&gt;"",H2188&gt;=129,H2188&lt;=2176),INDEX(Fields!$C$2:$C$206,MATCH(H2188-129,Fields!$D$2:$D$206,1)),""),"")</f>
        <v/>
      </c>
      <c r="L2188">
        <f>IFERROR(IF(AND(H2188&lt;&gt;"",H2188&gt;=129,H2188&lt;=2176),INDEX(Fields!$J$2:$J$206,MATCH(H2188-129,Fields!$D$2:$D$206,1)),""),"")</f>
        <v/>
      </c>
      <c r="M2188">
        <f>IFERROR(IF(AND(H2188&lt;&gt;"",H2188&gt;=129,H2188&lt;=2176),INDEX(Fields!$K$2:$K$206,MATCH(H2188-129,Fields!$D$2:$D$206,1)),""),"")</f>
        <v/>
      </c>
    </row>
    <row r="2189">
      <c r="A2189" t="n">
        <v>2187</v>
      </c>
      <c r="B2189" t="n">
        <v>1</v>
      </c>
      <c r="C2189" t="inlineStr">
        <is>
          <t>No</t>
        </is>
      </c>
      <c r="D2189">
        <f>IF(AND(B2184=1,B2185=1,B2186=1,B2187=1,B2188=1),"Yes","")</f>
        <v/>
      </c>
      <c r="E2189" t="inlineStr">
        <is>
          <t>No</t>
        </is>
      </c>
      <c r="F2189" t="inlineStr">
        <is>
          <t>No</t>
        </is>
      </c>
      <c r="G2189">
        <f>IF(F2189="Yes",1-B2189,B2189)</f>
        <v/>
      </c>
      <c r="H2189">
        <f>IF(E2189="Yes","",COUNTIFS($E$2:E2189,"No"))</f>
        <v/>
      </c>
      <c r="I2189">
        <f>IF(H2189="","",IF(H2189&lt;=128,"address",IF(H2189&lt;=600,"data1",IF(H2189&lt;=1264,"zero-run1",IF(H2189&lt;=1648,"data2",IF(H2189&lt;=2176,"zero-run2",IF(H2189&lt;=2192,"FCS","trailing")))))))</f>
        <v/>
      </c>
      <c r="J2189">
        <f>IFERROR(IF(AND(H2189&lt;&gt;"",H2189&gt;=129,H2189&lt;=2176),INDEX(Fields!$B$2:$B$206,MATCH(H2189-129,Fields!$D$2:$D$206,1)),""),"")</f>
        <v/>
      </c>
      <c r="K2189">
        <f>IFERROR(IF(AND(H2189&lt;&gt;"",H2189&gt;=129,H2189&lt;=2176),INDEX(Fields!$C$2:$C$206,MATCH(H2189-129,Fields!$D$2:$D$206,1)),""),"")</f>
        <v/>
      </c>
      <c r="L2189">
        <f>IFERROR(IF(AND(H2189&lt;&gt;"",H2189&gt;=129,H2189&lt;=2176),INDEX(Fields!$J$2:$J$206,MATCH(H2189-129,Fields!$D$2:$D$206,1)),""),"")</f>
        <v/>
      </c>
      <c r="M2189">
        <f>IFERROR(IF(AND(H2189&lt;&gt;"",H2189&gt;=129,H2189&lt;=2176),INDEX(Fields!$K$2:$K$206,MATCH(H2189-129,Fields!$D$2:$D$206,1)),""),"")</f>
        <v/>
      </c>
    </row>
    <row r="2190">
      <c r="A2190" t="n">
        <v>2188</v>
      </c>
      <c r="B2190" t="n">
        <v>1</v>
      </c>
      <c r="C2190" t="inlineStr">
        <is>
          <t>No</t>
        </is>
      </c>
      <c r="D2190">
        <f>IF(AND(B2185=1,B2186=1,B2187=1,B2188=1,B2189=1),"Yes","")</f>
        <v/>
      </c>
      <c r="E2190" t="inlineStr">
        <is>
          <t>No</t>
        </is>
      </c>
      <c r="F2190" t="inlineStr">
        <is>
          <t>No</t>
        </is>
      </c>
      <c r="G2190">
        <f>IF(F2190="Yes",1-B2190,B2190)</f>
        <v/>
      </c>
      <c r="H2190">
        <f>IF(E2190="Yes","",COUNTIFS($E$2:E2190,"No"))</f>
        <v/>
      </c>
      <c r="I2190">
        <f>IF(H2190="","",IF(H2190&lt;=128,"address",IF(H2190&lt;=600,"data1",IF(H2190&lt;=1264,"zero-run1",IF(H2190&lt;=1648,"data2",IF(H2190&lt;=2176,"zero-run2",IF(H2190&lt;=2192,"FCS","trailing")))))))</f>
        <v/>
      </c>
      <c r="J2190">
        <f>IFERROR(IF(AND(H2190&lt;&gt;"",H2190&gt;=129,H2190&lt;=2176),INDEX(Fields!$B$2:$B$206,MATCH(H2190-129,Fields!$D$2:$D$206,1)),""),"")</f>
        <v/>
      </c>
      <c r="K2190">
        <f>IFERROR(IF(AND(H2190&lt;&gt;"",H2190&gt;=129,H2190&lt;=2176),INDEX(Fields!$C$2:$C$206,MATCH(H2190-129,Fields!$D$2:$D$206,1)),""),"")</f>
        <v/>
      </c>
      <c r="L2190">
        <f>IFERROR(IF(AND(H2190&lt;&gt;"",H2190&gt;=129,H2190&lt;=2176),INDEX(Fields!$J$2:$J$206,MATCH(H2190-129,Fields!$D$2:$D$206,1)),""),"")</f>
        <v/>
      </c>
      <c r="M2190">
        <f>IFERROR(IF(AND(H2190&lt;&gt;"",H2190&gt;=129,H2190&lt;=2176),INDEX(Fields!$K$2:$K$206,MATCH(H2190-129,Fields!$D$2:$D$206,1)),""),"")</f>
        <v/>
      </c>
    </row>
    <row r="2191">
      <c r="A2191" t="n">
        <v>2189</v>
      </c>
      <c r="B2191" t="n">
        <v>1</v>
      </c>
      <c r="C2191" t="inlineStr">
        <is>
          <t>No</t>
        </is>
      </c>
      <c r="D2191">
        <f>IF(AND(B2186=1,B2187=1,B2188=1,B2189=1,B2190=1),"Yes","")</f>
        <v/>
      </c>
      <c r="E2191" t="inlineStr">
        <is>
          <t>No</t>
        </is>
      </c>
      <c r="F2191" t="inlineStr">
        <is>
          <t>No</t>
        </is>
      </c>
      <c r="G2191">
        <f>IF(F2191="Yes",1-B2191,B2191)</f>
        <v/>
      </c>
      <c r="H2191">
        <f>IF(E2191="Yes","",COUNTIFS($E$2:E2191,"No"))</f>
        <v/>
      </c>
      <c r="I2191">
        <f>IF(H2191="","",IF(H2191&lt;=128,"address",IF(H2191&lt;=600,"data1",IF(H2191&lt;=1264,"zero-run1",IF(H2191&lt;=1648,"data2",IF(H2191&lt;=2176,"zero-run2",IF(H2191&lt;=2192,"FCS","trailing")))))))</f>
        <v/>
      </c>
      <c r="J2191">
        <f>IFERROR(IF(AND(H2191&lt;&gt;"",H2191&gt;=129,H2191&lt;=2176),INDEX(Fields!$B$2:$B$206,MATCH(H2191-129,Fields!$D$2:$D$206,1)),""),"")</f>
        <v/>
      </c>
      <c r="K2191">
        <f>IFERROR(IF(AND(H2191&lt;&gt;"",H2191&gt;=129,H2191&lt;=2176),INDEX(Fields!$C$2:$C$206,MATCH(H2191-129,Fields!$D$2:$D$206,1)),""),"")</f>
        <v/>
      </c>
      <c r="L2191">
        <f>IFERROR(IF(AND(H2191&lt;&gt;"",H2191&gt;=129,H2191&lt;=2176),INDEX(Fields!$J$2:$J$206,MATCH(H2191-129,Fields!$D$2:$D$206,1)),""),"")</f>
        <v/>
      </c>
      <c r="M2191">
        <f>IFERROR(IF(AND(H2191&lt;&gt;"",H2191&gt;=129,H2191&lt;=2176),INDEX(Fields!$K$2:$K$206,MATCH(H2191-129,Fields!$D$2:$D$206,1)),""),"")</f>
        <v/>
      </c>
    </row>
    <row r="2192">
      <c r="A2192" t="n">
        <v>2190</v>
      </c>
      <c r="B2192" t="n">
        <v>0</v>
      </c>
      <c r="C2192" t="inlineStr">
        <is>
          <t>No</t>
        </is>
      </c>
      <c r="D2192">
        <f>IF(AND(B2187=1,B2188=1,B2189=1,B2190=1,B2191=1),"Yes","")</f>
        <v/>
      </c>
      <c r="E2192" t="inlineStr">
        <is>
          <t>No</t>
        </is>
      </c>
      <c r="F2192" t="inlineStr">
        <is>
          <t>No</t>
        </is>
      </c>
      <c r="G2192">
        <f>IF(F2192="Yes",1-B2192,B2192)</f>
        <v/>
      </c>
      <c r="H2192">
        <f>IF(E2192="Yes","",COUNTIFS($E$2:E2192,"No"))</f>
        <v/>
      </c>
      <c r="I2192">
        <f>IF(H2192="","",IF(H2192&lt;=128,"address",IF(H2192&lt;=600,"data1",IF(H2192&lt;=1264,"zero-run1",IF(H2192&lt;=1648,"data2",IF(H2192&lt;=2176,"zero-run2",IF(H2192&lt;=2192,"FCS","trailing")))))))</f>
        <v/>
      </c>
      <c r="J2192">
        <f>IFERROR(IF(AND(H2192&lt;&gt;"",H2192&gt;=129,H2192&lt;=2176),INDEX(Fields!$B$2:$B$206,MATCH(H2192-129,Fields!$D$2:$D$206,1)),""),"")</f>
        <v/>
      </c>
      <c r="K2192">
        <f>IFERROR(IF(AND(H2192&lt;&gt;"",H2192&gt;=129,H2192&lt;=2176),INDEX(Fields!$C$2:$C$206,MATCH(H2192-129,Fields!$D$2:$D$206,1)),""),"")</f>
        <v/>
      </c>
      <c r="L2192">
        <f>IFERROR(IF(AND(H2192&lt;&gt;"",H2192&gt;=129,H2192&lt;=2176),INDEX(Fields!$J$2:$J$206,MATCH(H2192-129,Fields!$D$2:$D$206,1)),""),"")</f>
        <v/>
      </c>
      <c r="M2192">
        <f>IFERROR(IF(AND(H2192&lt;&gt;"",H2192&gt;=129,H2192&lt;=2176),INDEX(Fields!$K$2:$K$206,MATCH(H2192-129,Fields!$D$2:$D$206,1)),""),"")</f>
        <v/>
      </c>
    </row>
    <row r="2193">
      <c r="A2193" t="n">
        <v>2191</v>
      </c>
      <c r="B2193" t="n">
        <v>1</v>
      </c>
      <c r="C2193" t="inlineStr">
        <is>
          <t>No</t>
        </is>
      </c>
      <c r="D2193">
        <f>IF(AND(B2188=1,B2189=1,B2190=1,B2191=1,B2192=1),"Yes","")</f>
        <v/>
      </c>
      <c r="E2193" t="inlineStr">
        <is>
          <t>No</t>
        </is>
      </c>
      <c r="F2193" t="inlineStr">
        <is>
          <t>No</t>
        </is>
      </c>
      <c r="G2193">
        <f>IF(F2193="Yes",1-B2193,B2193)</f>
        <v/>
      </c>
      <c r="H2193">
        <f>IF(E2193="Yes","",COUNTIFS($E$2:E2193,"No"))</f>
        <v/>
      </c>
      <c r="I2193">
        <f>IF(H2193="","",IF(H2193&lt;=128,"address",IF(H2193&lt;=600,"data1",IF(H2193&lt;=1264,"zero-run1",IF(H2193&lt;=1648,"data2",IF(H2193&lt;=2176,"zero-run2",IF(H2193&lt;=2192,"FCS","trailing")))))))</f>
        <v/>
      </c>
      <c r="J2193">
        <f>IFERROR(IF(AND(H2193&lt;&gt;"",H2193&gt;=129,H2193&lt;=2176),INDEX(Fields!$B$2:$B$206,MATCH(H2193-129,Fields!$D$2:$D$206,1)),""),"")</f>
        <v/>
      </c>
      <c r="K2193">
        <f>IFERROR(IF(AND(H2193&lt;&gt;"",H2193&gt;=129,H2193&lt;=2176),INDEX(Fields!$C$2:$C$206,MATCH(H2193-129,Fields!$D$2:$D$206,1)),""),"")</f>
        <v/>
      </c>
      <c r="L2193">
        <f>IFERROR(IF(AND(H2193&lt;&gt;"",H2193&gt;=129,H2193&lt;=2176),INDEX(Fields!$J$2:$J$206,MATCH(H2193-129,Fields!$D$2:$D$206,1)),""),"")</f>
        <v/>
      </c>
      <c r="M2193">
        <f>IFERROR(IF(AND(H2193&lt;&gt;"",H2193&gt;=129,H2193&lt;=2176),INDEX(Fields!$K$2:$K$206,MATCH(H2193-129,Fields!$D$2:$D$206,1)),""),"")</f>
        <v/>
      </c>
    </row>
    <row r="2194">
      <c r="A2194" t="n">
        <v>2192</v>
      </c>
      <c r="B2194" t="n">
        <v>1</v>
      </c>
      <c r="C2194" t="inlineStr">
        <is>
          <t>No</t>
        </is>
      </c>
      <c r="D2194">
        <f>IF(AND(B2189=1,B2190=1,B2191=1,B2192=1,B2193=1),"Yes","")</f>
        <v/>
      </c>
      <c r="E2194" t="inlineStr">
        <is>
          <t>No</t>
        </is>
      </c>
      <c r="F2194" t="inlineStr">
        <is>
          <t>No</t>
        </is>
      </c>
      <c r="G2194">
        <f>IF(F2194="Yes",1-B2194,B2194)</f>
        <v/>
      </c>
      <c r="H2194">
        <f>IF(E2194="Yes","",COUNTIFS($E$2:E2194,"No"))</f>
        <v/>
      </c>
      <c r="I2194">
        <f>IF(H2194="","",IF(H2194&lt;=128,"address",IF(H2194&lt;=600,"data1",IF(H2194&lt;=1264,"zero-run1",IF(H2194&lt;=1648,"data2",IF(H2194&lt;=2176,"zero-run2",IF(H2194&lt;=2192,"FCS","trailing")))))))</f>
        <v/>
      </c>
      <c r="J2194">
        <f>IFERROR(IF(AND(H2194&lt;&gt;"",H2194&gt;=129,H2194&lt;=2176),INDEX(Fields!$B$2:$B$206,MATCH(H2194-129,Fields!$D$2:$D$206,1)),""),"")</f>
        <v/>
      </c>
      <c r="K2194">
        <f>IFERROR(IF(AND(H2194&lt;&gt;"",H2194&gt;=129,H2194&lt;=2176),INDEX(Fields!$C$2:$C$206,MATCH(H2194-129,Fields!$D$2:$D$206,1)),""),"")</f>
        <v/>
      </c>
      <c r="L2194">
        <f>IFERROR(IF(AND(H2194&lt;&gt;"",H2194&gt;=129,H2194&lt;=2176),INDEX(Fields!$J$2:$J$206,MATCH(H2194-129,Fields!$D$2:$D$206,1)),""),"")</f>
        <v/>
      </c>
      <c r="M2194">
        <f>IFERROR(IF(AND(H2194&lt;&gt;"",H2194&gt;=129,H2194&lt;=2176),INDEX(Fields!$K$2:$K$206,MATCH(H2194-129,Fields!$D$2:$D$206,1)),""),"")</f>
        <v/>
      </c>
    </row>
    <row r="2195">
      <c r="A2195" t="n">
        <v>2193</v>
      </c>
      <c r="B2195" t="n">
        <v>0</v>
      </c>
      <c r="C2195" t="inlineStr">
        <is>
          <t>No</t>
        </is>
      </c>
      <c r="D2195">
        <f>IF(AND(B2190=1,B2191=1,B2192=1,B2193=1,B2194=1),"Yes","")</f>
        <v/>
      </c>
      <c r="E2195" t="inlineStr">
        <is>
          <t>No</t>
        </is>
      </c>
      <c r="F2195" t="inlineStr">
        <is>
          <t>No</t>
        </is>
      </c>
      <c r="G2195">
        <f>IF(F2195="Yes",1-B2195,B2195)</f>
        <v/>
      </c>
      <c r="H2195">
        <f>IF(E2195="Yes","",COUNTIFS($E$2:E2195,"No"))</f>
        <v/>
      </c>
      <c r="I2195">
        <f>IF(H2195="","",IF(H2195&lt;=128,"address",IF(H2195&lt;=600,"data1",IF(H2195&lt;=1264,"zero-run1",IF(H2195&lt;=1648,"data2",IF(H2195&lt;=2176,"zero-run2",IF(H2195&lt;=2192,"FCS","trailing")))))))</f>
        <v/>
      </c>
      <c r="J2195">
        <f>IFERROR(IF(AND(H2195&lt;&gt;"",H2195&gt;=129,H2195&lt;=2176),INDEX(Fields!$B$2:$B$206,MATCH(H2195-129,Fields!$D$2:$D$206,1)),""),"")</f>
        <v/>
      </c>
      <c r="K2195">
        <f>IFERROR(IF(AND(H2195&lt;&gt;"",H2195&gt;=129,H2195&lt;=2176),INDEX(Fields!$C$2:$C$206,MATCH(H2195-129,Fields!$D$2:$D$206,1)),""),"")</f>
        <v/>
      </c>
      <c r="L2195">
        <f>IFERROR(IF(AND(H2195&lt;&gt;"",H2195&gt;=129,H2195&lt;=2176),INDEX(Fields!$J$2:$J$206,MATCH(H2195-129,Fields!$D$2:$D$206,1)),""),"")</f>
        <v/>
      </c>
      <c r="M2195">
        <f>IFERROR(IF(AND(H2195&lt;&gt;"",H2195&gt;=129,H2195&lt;=2176),INDEX(Fields!$K$2:$K$206,MATCH(H2195-129,Fields!$D$2:$D$206,1)),""),"")</f>
        <v/>
      </c>
    </row>
    <row r="2196">
      <c r="A2196" t="n">
        <v>2194</v>
      </c>
      <c r="B2196" t="n">
        <v>1</v>
      </c>
      <c r="C2196" t="inlineStr">
        <is>
          <t>No</t>
        </is>
      </c>
      <c r="D2196">
        <f>IF(AND(B2191=1,B2192=1,B2193=1,B2194=1,B2195=1),"Yes","")</f>
        <v/>
      </c>
      <c r="E2196" t="inlineStr">
        <is>
          <t>No</t>
        </is>
      </c>
      <c r="F2196" t="inlineStr">
        <is>
          <t>No</t>
        </is>
      </c>
      <c r="G2196">
        <f>IF(F2196="Yes",1-B2196,B2196)</f>
        <v/>
      </c>
      <c r="H2196">
        <f>IF(E2196="Yes","",COUNTIFS($E$2:E2196,"No"))</f>
        <v/>
      </c>
      <c r="I2196">
        <f>IF(H2196="","",IF(H2196&lt;=128,"address",IF(H2196&lt;=600,"data1",IF(H2196&lt;=1264,"zero-run1",IF(H2196&lt;=1648,"data2",IF(H2196&lt;=2176,"zero-run2",IF(H2196&lt;=2192,"FCS","trailing")))))))</f>
        <v/>
      </c>
      <c r="J2196">
        <f>IFERROR(IF(AND(H2196&lt;&gt;"",H2196&gt;=129,H2196&lt;=2176),INDEX(Fields!$B$2:$B$206,MATCH(H2196-129,Fields!$D$2:$D$206,1)),""),"")</f>
        <v/>
      </c>
      <c r="K2196">
        <f>IFERROR(IF(AND(H2196&lt;&gt;"",H2196&gt;=129,H2196&lt;=2176),INDEX(Fields!$C$2:$C$206,MATCH(H2196-129,Fields!$D$2:$D$206,1)),""),"")</f>
        <v/>
      </c>
      <c r="L2196">
        <f>IFERROR(IF(AND(H2196&lt;&gt;"",H2196&gt;=129,H2196&lt;=2176),INDEX(Fields!$J$2:$J$206,MATCH(H2196-129,Fields!$D$2:$D$206,1)),""),"")</f>
        <v/>
      </c>
      <c r="M2196">
        <f>IFERROR(IF(AND(H2196&lt;&gt;"",H2196&gt;=129,H2196&lt;=2176),INDEX(Fields!$K$2:$K$206,MATCH(H2196-129,Fields!$D$2:$D$206,1)),""),"")</f>
        <v/>
      </c>
    </row>
    <row r="2197">
      <c r="A2197" t="n">
        <v>2195</v>
      </c>
      <c r="B2197" t="n">
        <v>1</v>
      </c>
      <c r="C2197" t="inlineStr">
        <is>
          <t>No</t>
        </is>
      </c>
      <c r="D2197">
        <f>IF(AND(B2192=1,B2193=1,B2194=1,B2195=1,B2196=1),"Yes","")</f>
        <v/>
      </c>
      <c r="E2197" t="inlineStr">
        <is>
          <t>No</t>
        </is>
      </c>
      <c r="F2197" t="inlineStr">
        <is>
          <t>No</t>
        </is>
      </c>
      <c r="G2197">
        <f>IF(F2197="Yes",1-B2197,B2197)</f>
        <v/>
      </c>
      <c r="H2197">
        <f>IF(E2197="Yes","",COUNTIFS($E$2:E2197,"No"))</f>
        <v/>
      </c>
      <c r="I2197">
        <f>IF(H2197="","",IF(H2197&lt;=128,"address",IF(H2197&lt;=600,"data1",IF(H2197&lt;=1264,"zero-run1",IF(H2197&lt;=1648,"data2",IF(H2197&lt;=2176,"zero-run2",IF(H2197&lt;=2192,"FCS","trailing")))))))</f>
        <v/>
      </c>
      <c r="J2197">
        <f>IFERROR(IF(AND(H2197&lt;&gt;"",H2197&gt;=129,H2197&lt;=2176),INDEX(Fields!$B$2:$B$206,MATCH(H2197-129,Fields!$D$2:$D$206,1)),""),"")</f>
        <v/>
      </c>
      <c r="K2197">
        <f>IFERROR(IF(AND(H2197&lt;&gt;"",H2197&gt;=129,H2197&lt;=2176),INDEX(Fields!$C$2:$C$206,MATCH(H2197-129,Fields!$D$2:$D$206,1)),""),"")</f>
        <v/>
      </c>
      <c r="L2197">
        <f>IFERROR(IF(AND(H2197&lt;&gt;"",H2197&gt;=129,H2197&lt;=2176),INDEX(Fields!$J$2:$J$206,MATCH(H2197-129,Fields!$D$2:$D$206,1)),""),"")</f>
        <v/>
      </c>
      <c r="M2197">
        <f>IFERROR(IF(AND(H2197&lt;&gt;"",H2197&gt;=129,H2197&lt;=2176),INDEX(Fields!$K$2:$K$206,MATCH(H2197-129,Fields!$D$2:$D$206,1)),""),"")</f>
        <v/>
      </c>
    </row>
    <row r="2198">
      <c r="A2198" t="n">
        <v>2196</v>
      </c>
      <c r="B2198" t="n">
        <v>0</v>
      </c>
      <c r="C2198" t="inlineStr">
        <is>
          <t>No</t>
        </is>
      </c>
      <c r="D2198">
        <f>IF(AND(B2193=1,B2194=1,B2195=1,B2196=1,B2197=1),"Yes","")</f>
        <v/>
      </c>
      <c r="E2198" t="inlineStr">
        <is>
          <t>No</t>
        </is>
      </c>
      <c r="F2198" t="inlineStr">
        <is>
          <t>No</t>
        </is>
      </c>
      <c r="G2198">
        <f>IF(F2198="Yes",1-B2198,B2198)</f>
        <v/>
      </c>
      <c r="H2198">
        <f>IF(E2198="Yes","",COUNTIFS($E$2:E2198,"No"))</f>
        <v/>
      </c>
      <c r="I2198">
        <f>IF(H2198="","",IF(H2198&lt;=128,"address",IF(H2198&lt;=600,"data1",IF(H2198&lt;=1264,"zero-run1",IF(H2198&lt;=1648,"data2",IF(H2198&lt;=2176,"zero-run2",IF(H2198&lt;=2192,"FCS","trailing")))))))</f>
        <v/>
      </c>
      <c r="J2198">
        <f>IFERROR(IF(AND(H2198&lt;&gt;"",H2198&gt;=129,H2198&lt;=2176),INDEX(Fields!$B$2:$B$206,MATCH(H2198-129,Fields!$D$2:$D$206,1)),""),"")</f>
        <v/>
      </c>
      <c r="K2198">
        <f>IFERROR(IF(AND(H2198&lt;&gt;"",H2198&gt;=129,H2198&lt;=2176),INDEX(Fields!$C$2:$C$206,MATCH(H2198-129,Fields!$D$2:$D$206,1)),""),"")</f>
        <v/>
      </c>
      <c r="L2198">
        <f>IFERROR(IF(AND(H2198&lt;&gt;"",H2198&gt;=129,H2198&lt;=2176),INDEX(Fields!$J$2:$J$206,MATCH(H2198-129,Fields!$D$2:$D$206,1)),""),"")</f>
        <v/>
      </c>
      <c r="M2198">
        <f>IFERROR(IF(AND(H2198&lt;&gt;"",H2198&gt;=129,H2198&lt;=2176),INDEX(Fields!$K$2:$K$206,MATCH(H2198-129,Fields!$D$2:$D$206,1)),""),"")</f>
        <v/>
      </c>
    </row>
    <row r="2199">
      <c r="A2199" t="n">
        <v>2197</v>
      </c>
      <c r="B2199" t="n">
        <v>1</v>
      </c>
      <c r="C2199" t="inlineStr">
        <is>
          <t>No</t>
        </is>
      </c>
      <c r="D2199">
        <f>IF(AND(B2194=1,B2195=1,B2196=1,B2197=1,B2198=1),"Yes","")</f>
        <v/>
      </c>
      <c r="E2199" t="inlineStr">
        <is>
          <t>No</t>
        </is>
      </c>
      <c r="F2199" t="inlineStr">
        <is>
          <t>No</t>
        </is>
      </c>
      <c r="G2199">
        <f>IF(F2199="Yes",1-B2199,B2199)</f>
        <v/>
      </c>
      <c r="H2199">
        <f>IF(E2199="Yes","",COUNTIFS($E$2:E2199,"No"))</f>
        <v/>
      </c>
      <c r="I2199">
        <f>IF(H2199="","",IF(H2199&lt;=128,"address",IF(H2199&lt;=600,"data1",IF(H2199&lt;=1264,"zero-run1",IF(H2199&lt;=1648,"data2",IF(H2199&lt;=2176,"zero-run2",IF(H2199&lt;=2192,"FCS","trailing")))))))</f>
        <v/>
      </c>
      <c r="J2199">
        <f>IFERROR(IF(AND(H2199&lt;&gt;"",H2199&gt;=129,H2199&lt;=2176),INDEX(Fields!$B$2:$B$206,MATCH(H2199-129,Fields!$D$2:$D$206,1)),""),"")</f>
        <v/>
      </c>
      <c r="K2199">
        <f>IFERROR(IF(AND(H2199&lt;&gt;"",H2199&gt;=129,H2199&lt;=2176),INDEX(Fields!$C$2:$C$206,MATCH(H2199-129,Fields!$D$2:$D$206,1)),""),"")</f>
        <v/>
      </c>
      <c r="L2199">
        <f>IFERROR(IF(AND(H2199&lt;&gt;"",H2199&gt;=129,H2199&lt;=2176),INDEX(Fields!$J$2:$J$206,MATCH(H2199-129,Fields!$D$2:$D$206,1)),""),"")</f>
        <v/>
      </c>
      <c r="M2199">
        <f>IFERROR(IF(AND(H2199&lt;&gt;"",H2199&gt;=129,H2199&lt;=2176),INDEX(Fields!$K$2:$K$206,MATCH(H2199-129,Fields!$D$2:$D$206,1)),""),"")</f>
        <v/>
      </c>
    </row>
    <row r="2200">
      <c r="A2200" t="n">
        <v>2198</v>
      </c>
      <c r="B2200" t="n">
        <v>1</v>
      </c>
      <c r="C2200" t="inlineStr">
        <is>
          <t>No</t>
        </is>
      </c>
      <c r="D2200">
        <f>IF(AND(B2195=1,B2196=1,B2197=1,B2198=1,B2199=1),"Yes","")</f>
        <v/>
      </c>
      <c r="E2200" t="inlineStr">
        <is>
          <t>No</t>
        </is>
      </c>
      <c r="F2200" t="inlineStr">
        <is>
          <t>No</t>
        </is>
      </c>
      <c r="G2200">
        <f>IF(F2200="Yes",1-B2200,B2200)</f>
        <v/>
      </c>
      <c r="H2200">
        <f>IF(E2200="Yes","",COUNTIFS($E$2:E2200,"No"))</f>
        <v/>
      </c>
      <c r="I2200">
        <f>IF(H2200="","",IF(H2200&lt;=128,"address",IF(H2200&lt;=600,"data1",IF(H2200&lt;=1264,"zero-run1",IF(H2200&lt;=1648,"data2",IF(H2200&lt;=2176,"zero-run2",IF(H2200&lt;=2192,"FCS","trailing")))))))</f>
        <v/>
      </c>
      <c r="J2200">
        <f>IFERROR(IF(AND(H2200&lt;&gt;"",H2200&gt;=129,H2200&lt;=2176),INDEX(Fields!$B$2:$B$206,MATCH(H2200-129,Fields!$D$2:$D$206,1)),""),"")</f>
        <v/>
      </c>
      <c r="K2200">
        <f>IFERROR(IF(AND(H2200&lt;&gt;"",H2200&gt;=129,H2200&lt;=2176),INDEX(Fields!$C$2:$C$206,MATCH(H2200-129,Fields!$D$2:$D$206,1)),""),"")</f>
        <v/>
      </c>
      <c r="L2200">
        <f>IFERROR(IF(AND(H2200&lt;&gt;"",H2200&gt;=129,H2200&lt;=2176),INDEX(Fields!$J$2:$J$206,MATCH(H2200-129,Fields!$D$2:$D$206,1)),""),"")</f>
        <v/>
      </c>
      <c r="M2200">
        <f>IFERROR(IF(AND(H2200&lt;&gt;"",H2200&gt;=129,H2200&lt;=2176),INDEX(Fields!$K$2:$K$206,MATCH(H2200-129,Fields!$D$2:$D$206,1)),""),"")</f>
        <v/>
      </c>
    </row>
    <row r="2201">
      <c r="A2201" t="n">
        <v>2199</v>
      </c>
      <c r="B2201" t="n">
        <v>1</v>
      </c>
      <c r="C2201" t="inlineStr">
        <is>
          <t>No</t>
        </is>
      </c>
      <c r="D2201">
        <f>IF(AND(B2196=1,B2197=1,B2198=1,B2199=1,B2200=1),"Yes","")</f>
        <v/>
      </c>
      <c r="E2201" t="inlineStr">
        <is>
          <t>No</t>
        </is>
      </c>
      <c r="F2201" t="inlineStr">
        <is>
          <t>No</t>
        </is>
      </c>
      <c r="G2201">
        <f>IF(F2201="Yes",1-B2201,B2201)</f>
        <v/>
      </c>
      <c r="H2201">
        <f>IF(E2201="Yes","",COUNTIFS($E$2:E2201,"No"))</f>
        <v/>
      </c>
      <c r="I2201">
        <f>IF(H2201="","",IF(H2201&lt;=128,"address",IF(H2201&lt;=600,"data1",IF(H2201&lt;=1264,"zero-run1",IF(H2201&lt;=1648,"data2",IF(H2201&lt;=2176,"zero-run2",IF(H2201&lt;=2192,"FCS","trailing")))))))</f>
        <v/>
      </c>
      <c r="J2201">
        <f>IFERROR(IF(AND(H2201&lt;&gt;"",H2201&gt;=129,H2201&lt;=2176),INDEX(Fields!$B$2:$B$206,MATCH(H2201-129,Fields!$D$2:$D$206,1)),""),"")</f>
        <v/>
      </c>
      <c r="K2201">
        <f>IFERROR(IF(AND(H2201&lt;&gt;"",H2201&gt;=129,H2201&lt;=2176),INDEX(Fields!$C$2:$C$206,MATCH(H2201-129,Fields!$D$2:$D$206,1)),""),"")</f>
        <v/>
      </c>
      <c r="L2201">
        <f>IFERROR(IF(AND(H2201&lt;&gt;"",H2201&gt;=129,H2201&lt;=2176),INDEX(Fields!$J$2:$J$206,MATCH(H2201-129,Fields!$D$2:$D$206,1)),""),"")</f>
        <v/>
      </c>
      <c r="M2201">
        <f>IFERROR(IF(AND(H2201&lt;&gt;"",H2201&gt;=129,H2201&lt;=2176),INDEX(Fields!$K$2:$K$206,MATCH(H2201-129,Fields!$D$2:$D$206,1)),""),"")</f>
        <v/>
      </c>
    </row>
    <row r="2202">
      <c r="A2202" t="n">
        <v>2200</v>
      </c>
      <c r="B2202" t="n">
        <v>1</v>
      </c>
      <c r="C2202" t="inlineStr">
        <is>
          <t>No</t>
        </is>
      </c>
      <c r="D2202">
        <f>IF(AND(B2197=1,B2198=1,B2199=1,B2200=1,B2201=1),"Yes","")</f>
        <v/>
      </c>
      <c r="E2202" t="inlineStr">
        <is>
          <t>No</t>
        </is>
      </c>
      <c r="F2202" t="inlineStr">
        <is>
          <t>No</t>
        </is>
      </c>
      <c r="G2202">
        <f>IF(F2202="Yes",1-B2202,B2202)</f>
        <v/>
      </c>
      <c r="H2202">
        <f>IF(E2202="Yes","",COUNTIFS($E$2:E2202,"No"))</f>
        <v/>
      </c>
      <c r="I2202">
        <f>IF(H2202="","",IF(H2202&lt;=128,"address",IF(H2202&lt;=600,"data1",IF(H2202&lt;=1264,"zero-run1",IF(H2202&lt;=1648,"data2",IF(H2202&lt;=2176,"zero-run2",IF(H2202&lt;=2192,"FCS","trailing")))))))</f>
        <v/>
      </c>
      <c r="J2202">
        <f>IFERROR(IF(AND(H2202&lt;&gt;"",H2202&gt;=129,H2202&lt;=2176),INDEX(Fields!$B$2:$B$206,MATCH(H2202-129,Fields!$D$2:$D$206,1)),""),"")</f>
        <v/>
      </c>
      <c r="K2202">
        <f>IFERROR(IF(AND(H2202&lt;&gt;"",H2202&gt;=129,H2202&lt;=2176),INDEX(Fields!$C$2:$C$206,MATCH(H2202-129,Fields!$D$2:$D$206,1)),""),"")</f>
        <v/>
      </c>
      <c r="L2202">
        <f>IFERROR(IF(AND(H2202&lt;&gt;"",H2202&gt;=129,H2202&lt;=2176),INDEX(Fields!$J$2:$J$206,MATCH(H2202-129,Fields!$D$2:$D$206,1)),""),"")</f>
        <v/>
      </c>
      <c r="M2202">
        <f>IFERROR(IF(AND(H2202&lt;&gt;"",H2202&gt;=129,H2202&lt;=2176),INDEX(Fields!$K$2:$K$206,MATCH(H2202-129,Fields!$D$2:$D$206,1)),""),"")</f>
        <v/>
      </c>
    </row>
    <row r="2203">
      <c r="A2203" t="n">
        <v>2201</v>
      </c>
      <c r="B2203" t="n">
        <v>1</v>
      </c>
      <c r="C2203" t="inlineStr">
        <is>
          <t>No</t>
        </is>
      </c>
      <c r="D2203">
        <f>IF(AND(B2198=1,B2199=1,B2200=1,B2201=1,B2202=1),"Yes","")</f>
        <v/>
      </c>
      <c r="E2203" t="inlineStr">
        <is>
          <t>No</t>
        </is>
      </c>
      <c r="F2203" t="inlineStr">
        <is>
          <t>No</t>
        </is>
      </c>
      <c r="G2203">
        <f>IF(F2203="Yes",1-B2203,B2203)</f>
        <v/>
      </c>
      <c r="H2203">
        <f>IF(E2203="Yes","",COUNTIFS($E$2:E2203,"No"))</f>
        <v/>
      </c>
      <c r="I2203">
        <f>IF(H2203="","",IF(H2203&lt;=128,"address",IF(H2203&lt;=600,"data1",IF(H2203&lt;=1264,"zero-run1",IF(H2203&lt;=1648,"data2",IF(H2203&lt;=2176,"zero-run2",IF(H2203&lt;=2192,"FCS","trailing")))))))</f>
        <v/>
      </c>
      <c r="J2203">
        <f>IFERROR(IF(AND(H2203&lt;&gt;"",H2203&gt;=129,H2203&lt;=2176),INDEX(Fields!$B$2:$B$206,MATCH(H2203-129,Fields!$D$2:$D$206,1)),""),"")</f>
        <v/>
      </c>
      <c r="K2203">
        <f>IFERROR(IF(AND(H2203&lt;&gt;"",H2203&gt;=129,H2203&lt;=2176),INDEX(Fields!$C$2:$C$206,MATCH(H2203-129,Fields!$D$2:$D$206,1)),""),"")</f>
        <v/>
      </c>
      <c r="L2203">
        <f>IFERROR(IF(AND(H2203&lt;&gt;"",H2203&gt;=129,H2203&lt;=2176),INDEX(Fields!$J$2:$J$206,MATCH(H2203-129,Fields!$D$2:$D$206,1)),""),"")</f>
        <v/>
      </c>
      <c r="M2203">
        <f>IFERROR(IF(AND(H2203&lt;&gt;"",H2203&gt;=129,H2203&lt;=2176),INDEX(Fields!$K$2:$K$206,MATCH(H2203-129,Fields!$D$2:$D$206,1)),""),"")</f>
        <v/>
      </c>
    </row>
    <row r="2204">
      <c r="A2204" t="n">
        <v>2202</v>
      </c>
      <c r="B2204" t="n">
        <v>1</v>
      </c>
      <c r="C2204" t="inlineStr">
        <is>
          <t>No</t>
        </is>
      </c>
      <c r="D2204" s="4">
        <f>IF(AND(B2199=1,B2200=1,B2201=1,B2202=1,B2203=1),"Yes","")</f>
        <v/>
      </c>
      <c r="E2204" t="inlineStr">
        <is>
          <t>No</t>
        </is>
      </c>
      <c r="F2204" t="inlineStr">
        <is>
          <t>No</t>
        </is>
      </c>
      <c r="G2204">
        <f>IF(F2204="Yes",1-B2204,B2204)</f>
        <v/>
      </c>
      <c r="H2204">
        <f>IF(E2204="Yes","",COUNTIFS($E$2:E2204,"No"))</f>
        <v/>
      </c>
      <c r="I2204">
        <f>IF(H2204="","",IF(H2204&lt;=128,"address",IF(H2204&lt;=600,"data1",IF(H2204&lt;=1264,"zero-run1",IF(H2204&lt;=1648,"data2",IF(H2204&lt;=2176,"zero-run2",IF(H2204&lt;=2192,"FCS","trailing")))))))</f>
        <v/>
      </c>
      <c r="J2204">
        <f>IFERROR(IF(AND(H2204&lt;&gt;"",H2204&gt;=129,H2204&lt;=2176),INDEX(Fields!$B$2:$B$206,MATCH(H2204-129,Fields!$D$2:$D$206,1)),""),"")</f>
        <v/>
      </c>
      <c r="K2204">
        <f>IFERROR(IF(AND(H2204&lt;&gt;"",H2204&gt;=129,H2204&lt;=2176),INDEX(Fields!$C$2:$C$206,MATCH(H2204-129,Fields!$D$2:$D$206,1)),""),"")</f>
        <v/>
      </c>
      <c r="L2204">
        <f>IFERROR(IF(AND(H2204&lt;&gt;"",H2204&gt;=129,H2204&lt;=2176),INDEX(Fields!$J$2:$J$206,MATCH(H2204-129,Fields!$D$2:$D$206,1)),""),"")</f>
        <v/>
      </c>
      <c r="M2204">
        <f>IFERROR(IF(AND(H2204&lt;&gt;"",H2204&gt;=129,H2204&lt;=2176),INDEX(Fields!$K$2:$K$206,MATCH(H2204-129,Fields!$D$2:$D$206,1)),""),"")</f>
        <v/>
      </c>
    </row>
    <row r="2205">
      <c r="A2205" t="n">
        <v>2203</v>
      </c>
      <c r="B2205" t="n">
        <v>0</v>
      </c>
      <c r="C2205" t="inlineStr">
        <is>
          <t>No</t>
        </is>
      </c>
      <c r="D2205" s="4">
        <f>IF(AND(B2200=1,B2201=1,B2202=1,B2203=1,B2204=1),"Yes","")</f>
        <v/>
      </c>
      <c r="E2205" t="inlineStr">
        <is>
          <t>No</t>
        </is>
      </c>
      <c r="F2205" t="inlineStr">
        <is>
          <t>No</t>
        </is>
      </c>
      <c r="G2205">
        <f>IF(F2205="Yes",1-B2205,B2205)</f>
        <v/>
      </c>
      <c r="H2205">
        <f>IF(E2205="Yes","",COUNTIFS($E$2:E2205,"No"))</f>
        <v/>
      </c>
      <c r="I2205">
        <f>IF(H2205="","",IF(H2205&lt;=128,"address",IF(H2205&lt;=600,"data1",IF(H2205&lt;=1264,"zero-run1",IF(H2205&lt;=1648,"data2",IF(H2205&lt;=2176,"zero-run2",IF(H2205&lt;=2192,"FCS","trailing")))))))</f>
        <v/>
      </c>
      <c r="J2205">
        <f>IFERROR(IF(AND(H2205&lt;&gt;"",H2205&gt;=129,H2205&lt;=2176),INDEX(Fields!$B$2:$B$206,MATCH(H2205-129,Fields!$D$2:$D$206,1)),""),"")</f>
        <v/>
      </c>
      <c r="K2205">
        <f>IFERROR(IF(AND(H2205&lt;&gt;"",H2205&gt;=129,H2205&lt;=2176),INDEX(Fields!$C$2:$C$206,MATCH(H2205-129,Fields!$D$2:$D$206,1)),""),"")</f>
        <v/>
      </c>
      <c r="L2205">
        <f>IFERROR(IF(AND(H2205&lt;&gt;"",H2205&gt;=129,H2205&lt;=2176),INDEX(Fields!$J$2:$J$206,MATCH(H2205-129,Fields!$D$2:$D$206,1)),""),"")</f>
        <v/>
      </c>
      <c r="M2205">
        <f>IFERROR(IF(AND(H2205&lt;&gt;"",H2205&gt;=129,H2205&lt;=2176),INDEX(Fields!$K$2:$K$206,MATCH(H2205-129,Fields!$D$2:$D$206,1)),""),"")</f>
        <v/>
      </c>
    </row>
    <row r="2206">
      <c r="A2206" t="n">
        <v>2204</v>
      </c>
      <c r="B2206" t="n">
        <v>0</v>
      </c>
      <c r="C2206" t="inlineStr">
        <is>
          <t>No</t>
        </is>
      </c>
      <c r="D2206">
        <f>IF(AND(B2201=1,B2202=1,B2203=1,B2204=1,B2205=1),"Yes","")</f>
        <v/>
      </c>
      <c r="E2206" t="inlineStr">
        <is>
          <t>No</t>
        </is>
      </c>
      <c r="F2206" t="inlineStr">
        <is>
          <t>No</t>
        </is>
      </c>
      <c r="G2206">
        <f>IF(F2206="Yes",1-B2206,B2206)</f>
        <v/>
      </c>
      <c r="H2206">
        <f>IF(E2206="Yes","",COUNTIFS($E$2:E2206,"No"))</f>
        <v/>
      </c>
      <c r="I2206">
        <f>IF(H2206="","",IF(H2206&lt;=128,"address",IF(H2206&lt;=600,"data1",IF(H2206&lt;=1264,"zero-run1",IF(H2206&lt;=1648,"data2",IF(H2206&lt;=2176,"zero-run2",IF(H2206&lt;=2192,"FCS","trailing")))))))</f>
        <v/>
      </c>
      <c r="J2206">
        <f>IFERROR(IF(AND(H2206&lt;&gt;"",H2206&gt;=129,H2206&lt;=2176),INDEX(Fields!$B$2:$B$206,MATCH(H2206-129,Fields!$D$2:$D$206,1)),""),"")</f>
        <v/>
      </c>
      <c r="K2206">
        <f>IFERROR(IF(AND(H2206&lt;&gt;"",H2206&gt;=129,H2206&lt;=2176),INDEX(Fields!$C$2:$C$206,MATCH(H2206-129,Fields!$D$2:$D$206,1)),""),"")</f>
        <v/>
      </c>
      <c r="L2206">
        <f>IFERROR(IF(AND(H2206&lt;&gt;"",H2206&gt;=129,H2206&lt;=2176),INDEX(Fields!$J$2:$J$206,MATCH(H2206-129,Fields!$D$2:$D$206,1)),""),"")</f>
        <v/>
      </c>
      <c r="M2206">
        <f>IFERROR(IF(AND(H2206&lt;&gt;"",H2206&gt;=129,H2206&lt;=2176),INDEX(Fields!$K$2:$K$206,MATCH(H2206-129,Fields!$D$2:$D$206,1)),""),"")</f>
        <v/>
      </c>
    </row>
    <row r="2207">
      <c r="A2207" t="n">
        <v>2205</v>
      </c>
      <c r="B2207" t="n">
        <v>1</v>
      </c>
      <c r="C2207" t="inlineStr">
        <is>
          <t>No</t>
        </is>
      </c>
      <c r="D2207">
        <f>IF(AND(B2202=1,B2203=1,B2204=1,B2205=1,B2206=1),"Yes","")</f>
        <v/>
      </c>
      <c r="E2207" t="inlineStr">
        <is>
          <t>No</t>
        </is>
      </c>
      <c r="F2207" t="inlineStr">
        <is>
          <t>No</t>
        </is>
      </c>
      <c r="G2207">
        <f>IF(F2207="Yes",1-B2207,B2207)</f>
        <v/>
      </c>
      <c r="H2207">
        <f>IF(E2207="Yes","",COUNTIFS($E$2:E2207,"No"))</f>
        <v/>
      </c>
      <c r="I2207">
        <f>IF(H2207="","",IF(H2207&lt;=128,"address",IF(H2207&lt;=600,"data1",IF(H2207&lt;=1264,"zero-run1",IF(H2207&lt;=1648,"data2",IF(H2207&lt;=2176,"zero-run2",IF(H2207&lt;=2192,"FCS","trailing")))))))</f>
        <v/>
      </c>
      <c r="J2207">
        <f>IFERROR(IF(AND(H2207&lt;&gt;"",H2207&gt;=129,H2207&lt;=2176),INDEX(Fields!$B$2:$B$206,MATCH(H2207-129,Fields!$D$2:$D$206,1)),""),"")</f>
        <v/>
      </c>
      <c r="K2207">
        <f>IFERROR(IF(AND(H2207&lt;&gt;"",H2207&gt;=129,H2207&lt;=2176),INDEX(Fields!$C$2:$C$206,MATCH(H2207-129,Fields!$D$2:$D$206,1)),""),"")</f>
        <v/>
      </c>
      <c r="L2207">
        <f>IFERROR(IF(AND(H2207&lt;&gt;"",H2207&gt;=129,H2207&lt;=2176),INDEX(Fields!$J$2:$J$206,MATCH(H2207-129,Fields!$D$2:$D$206,1)),""),"")</f>
        <v/>
      </c>
      <c r="M2207">
        <f>IFERROR(IF(AND(H2207&lt;&gt;"",H2207&gt;=129,H2207&lt;=2176),INDEX(Fields!$K$2:$K$206,MATCH(H2207-129,Fields!$D$2:$D$206,1)),""),"")</f>
        <v/>
      </c>
    </row>
    <row r="2208">
      <c r="A2208" t="n">
        <v>2206</v>
      </c>
      <c r="B2208" t="n">
        <v>1</v>
      </c>
      <c r="C2208" t="inlineStr">
        <is>
          <t>No</t>
        </is>
      </c>
      <c r="D2208">
        <f>IF(AND(B2203=1,B2204=1,B2205=1,B2206=1,B2207=1),"Yes","")</f>
        <v/>
      </c>
      <c r="E2208" t="inlineStr">
        <is>
          <t>No</t>
        </is>
      </c>
      <c r="F2208" t="inlineStr">
        <is>
          <t>No</t>
        </is>
      </c>
      <c r="G2208">
        <f>IF(F2208="Yes",1-B2208,B2208)</f>
        <v/>
      </c>
      <c r="H2208">
        <f>IF(E2208="Yes","",COUNTIFS($E$2:E2208,"No"))</f>
        <v/>
      </c>
      <c r="I2208">
        <f>IF(H2208="","",IF(H2208&lt;=128,"address",IF(H2208&lt;=600,"data1",IF(H2208&lt;=1264,"zero-run1",IF(H2208&lt;=1648,"data2",IF(H2208&lt;=2176,"zero-run2",IF(H2208&lt;=2192,"FCS","trailing")))))))</f>
        <v/>
      </c>
      <c r="J2208">
        <f>IFERROR(IF(AND(H2208&lt;&gt;"",H2208&gt;=129,H2208&lt;=2176),INDEX(Fields!$B$2:$B$206,MATCH(H2208-129,Fields!$D$2:$D$206,1)),""),"")</f>
        <v/>
      </c>
      <c r="K2208">
        <f>IFERROR(IF(AND(H2208&lt;&gt;"",H2208&gt;=129,H2208&lt;=2176),INDEX(Fields!$C$2:$C$206,MATCH(H2208-129,Fields!$D$2:$D$206,1)),""),"")</f>
        <v/>
      </c>
      <c r="L2208">
        <f>IFERROR(IF(AND(H2208&lt;&gt;"",H2208&gt;=129,H2208&lt;=2176),INDEX(Fields!$J$2:$J$206,MATCH(H2208-129,Fields!$D$2:$D$206,1)),""),"")</f>
        <v/>
      </c>
      <c r="M2208">
        <f>IFERROR(IF(AND(H2208&lt;&gt;"",H2208&gt;=129,H2208&lt;=2176),INDEX(Fields!$K$2:$K$206,MATCH(H2208-129,Fields!$D$2:$D$206,1)),""),"")</f>
        <v/>
      </c>
    </row>
    <row r="2209">
      <c r="A2209" t="n">
        <v>2207</v>
      </c>
      <c r="B2209" t="n">
        <v>1</v>
      </c>
      <c r="C2209" t="inlineStr">
        <is>
          <t>No</t>
        </is>
      </c>
      <c r="D2209">
        <f>IF(AND(B2204=1,B2205=1,B2206=1,B2207=1,B2208=1),"Yes","")</f>
        <v/>
      </c>
      <c r="E2209" t="inlineStr">
        <is>
          <t>No</t>
        </is>
      </c>
      <c r="F2209" t="inlineStr">
        <is>
          <t>No</t>
        </is>
      </c>
      <c r="G2209">
        <f>IF(F2209="Yes",1-B2209,B2209)</f>
        <v/>
      </c>
      <c r="H2209">
        <f>IF(E2209="Yes","",COUNTIFS($E$2:E2209,"No"))</f>
        <v/>
      </c>
      <c r="I2209">
        <f>IF(H2209="","",IF(H2209&lt;=128,"address",IF(H2209&lt;=600,"data1",IF(H2209&lt;=1264,"zero-run1",IF(H2209&lt;=1648,"data2",IF(H2209&lt;=2176,"zero-run2",IF(H2209&lt;=2192,"FCS","trailing")))))))</f>
        <v/>
      </c>
      <c r="J2209">
        <f>IFERROR(IF(AND(H2209&lt;&gt;"",H2209&gt;=129,H2209&lt;=2176),INDEX(Fields!$B$2:$B$206,MATCH(H2209-129,Fields!$D$2:$D$206,1)),""),"")</f>
        <v/>
      </c>
      <c r="K2209">
        <f>IFERROR(IF(AND(H2209&lt;&gt;"",H2209&gt;=129,H2209&lt;=2176),INDEX(Fields!$C$2:$C$206,MATCH(H2209-129,Fields!$D$2:$D$206,1)),""),"")</f>
        <v/>
      </c>
      <c r="L2209">
        <f>IFERROR(IF(AND(H2209&lt;&gt;"",H2209&gt;=129,H2209&lt;=2176),INDEX(Fields!$J$2:$J$206,MATCH(H2209-129,Fields!$D$2:$D$206,1)),""),"")</f>
        <v/>
      </c>
      <c r="M2209">
        <f>IFERROR(IF(AND(H2209&lt;&gt;"",H2209&gt;=129,H2209&lt;=2176),INDEX(Fields!$K$2:$K$206,MATCH(H2209-129,Fields!$D$2:$D$206,1)),""),"")</f>
        <v/>
      </c>
    </row>
    <row r="2210">
      <c r="A2210" t="n">
        <v>2208</v>
      </c>
      <c r="B2210" t="n">
        <v>1</v>
      </c>
      <c r="C2210" t="inlineStr">
        <is>
          <t>No</t>
        </is>
      </c>
      <c r="D2210">
        <f>IF(AND(B2205=1,B2206=1,B2207=1,B2208=1,B2209=1),"Yes","")</f>
        <v/>
      </c>
      <c r="E2210" t="inlineStr">
        <is>
          <t>No</t>
        </is>
      </c>
      <c r="F2210" t="inlineStr">
        <is>
          <t>No</t>
        </is>
      </c>
      <c r="G2210">
        <f>IF(F2210="Yes",1-B2210,B2210)</f>
        <v/>
      </c>
      <c r="H2210">
        <f>IF(E2210="Yes","",COUNTIFS($E$2:E2210,"No"))</f>
        <v/>
      </c>
      <c r="I2210">
        <f>IF(H2210="","",IF(H2210&lt;=128,"address",IF(H2210&lt;=600,"data1",IF(H2210&lt;=1264,"zero-run1",IF(H2210&lt;=1648,"data2",IF(H2210&lt;=2176,"zero-run2",IF(H2210&lt;=2192,"FCS","trailing")))))))</f>
        <v/>
      </c>
      <c r="J2210">
        <f>IFERROR(IF(AND(H2210&lt;&gt;"",H2210&gt;=129,H2210&lt;=2176),INDEX(Fields!$B$2:$B$206,MATCH(H2210-129,Fields!$D$2:$D$206,1)),""),"")</f>
        <v/>
      </c>
      <c r="K2210">
        <f>IFERROR(IF(AND(H2210&lt;&gt;"",H2210&gt;=129,H2210&lt;=2176),INDEX(Fields!$C$2:$C$206,MATCH(H2210-129,Fields!$D$2:$D$206,1)),""),"")</f>
        <v/>
      </c>
      <c r="L2210">
        <f>IFERROR(IF(AND(H2210&lt;&gt;"",H2210&gt;=129,H2210&lt;=2176),INDEX(Fields!$J$2:$J$206,MATCH(H2210-129,Fields!$D$2:$D$206,1)),""),"")</f>
        <v/>
      </c>
      <c r="M2210">
        <f>IFERROR(IF(AND(H2210&lt;&gt;"",H2210&gt;=129,H2210&lt;=2176),INDEX(Fields!$K$2:$K$206,MATCH(H2210-129,Fields!$D$2:$D$206,1)),""),"")</f>
        <v/>
      </c>
    </row>
    <row r="2211">
      <c r="A2211" t="n">
        <v>2209</v>
      </c>
      <c r="B2211" t="n">
        <v>1</v>
      </c>
      <c r="C2211" t="inlineStr">
        <is>
          <t>No</t>
        </is>
      </c>
      <c r="D2211">
        <f>IF(AND(B2206=1,B2207=1,B2208=1,B2209=1,B2210=1),"Yes","")</f>
        <v/>
      </c>
      <c r="E2211" t="inlineStr">
        <is>
          <t>No</t>
        </is>
      </c>
      <c r="F2211" t="inlineStr">
        <is>
          <t>No</t>
        </is>
      </c>
      <c r="G2211">
        <f>IF(F2211="Yes",1-B2211,B2211)</f>
        <v/>
      </c>
      <c r="H2211">
        <f>IF(E2211="Yes","",COUNTIFS($E$2:E2211,"No"))</f>
        <v/>
      </c>
      <c r="I2211">
        <f>IF(H2211="","",IF(H2211&lt;=128,"address",IF(H2211&lt;=600,"data1",IF(H2211&lt;=1264,"zero-run1",IF(H2211&lt;=1648,"data2",IF(H2211&lt;=2176,"zero-run2",IF(H2211&lt;=2192,"FCS","trailing")))))))</f>
        <v/>
      </c>
      <c r="J2211">
        <f>IFERROR(IF(AND(H2211&lt;&gt;"",H2211&gt;=129,H2211&lt;=2176),INDEX(Fields!$B$2:$B$206,MATCH(H2211-129,Fields!$D$2:$D$206,1)),""),"")</f>
        <v/>
      </c>
      <c r="K2211">
        <f>IFERROR(IF(AND(H2211&lt;&gt;"",H2211&gt;=129,H2211&lt;=2176),INDEX(Fields!$C$2:$C$206,MATCH(H2211-129,Fields!$D$2:$D$206,1)),""),"")</f>
        <v/>
      </c>
      <c r="L2211">
        <f>IFERROR(IF(AND(H2211&lt;&gt;"",H2211&gt;=129,H2211&lt;=2176),INDEX(Fields!$J$2:$J$206,MATCH(H2211-129,Fields!$D$2:$D$206,1)),""),"")</f>
        <v/>
      </c>
      <c r="M2211">
        <f>IFERROR(IF(AND(H2211&lt;&gt;"",H2211&gt;=129,H2211&lt;=2176),INDEX(Fields!$K$2:$K$206,MATCH(H2211-129,Fields!$D$2:$D$206,1)),""),"")</f>
        <v/>
      </c>
    </row>
    <row r="2212">
      <c r="A2212" t="n">
        <v>2210</v>
      </c>
      <c r="B2212" t="n">
        <v>1</v>
      </c>
      <c r="C2212" t="inlineStr">
        <is>
          <t>No</t>
        </is>
      </c>
      <c r="D2212" s="4">
        <f>IF(AND(B2207=1,B2208=1,B2209=1,B2210=1,B2211=1),"Yes","")</f>
        <v/>
      </c>
      <c r="E2212" t="inlineStr">
        <is>
          <t>No</t>
        </is>
      </c>
      <c r="F2212" t="inlineStr">
        <is>
          <t>No</t>
        </is>
      </c>
      <c r="G2212">
        <f>IF(F2212="Yes",1-B2212,B2212)</f>
        <v/>
      </c>
      <c r="H2212">
        <f>IF(E2212="Yes","",COUNTIFS($E$2:E2212,"No"))</f>
        <v/>
      </c>
      <c r="I2212">
        <f>IF(H2212="","",IF(H2212&lt;=128,"address",IF(H2212&lt;=600,"data1",IF(H2212&lt;=1264,"zero-run1",IF(H2212&lt;=1648,"data2",IF(H2212&lt;=2176,"zero-run2",IF(H2212&lt;=2192,"FCS","trailing")))))))</f>
        <v/>
      </c>
      <c r="J2212">
        <f>IFERROR(IF(AND(H2212&lt;&gt;"",H2212&gt;=129,H2212&lt;=2176),INDEX(Fields!$B$2:$B$206,MATCH(H2212-129,Fields!$D$2:$D$206,1)),""),"")</f>
        <v/>
      </c>
      <c r="K2212">
        <f>IFERROR(IF(AND(H2212&lt;&gt;"",H2212&gt;=129,H2212&lt;=2176),INDEX(Fields!$C$2:$C$206,MATCH(H2212-129,Fields!$D$2:$D$206,1)),""),"")</f>
        <v/>
      </c>
      <c r="L2212">
        <f>IFERROR(IF(AND(H2212&lt;&gt;"",H2212&gt;=129,H2212&lt;=2176),INDEX(Fields!$J$2:$J$206,MATCH(H2212-129,Fields!$D$2:$D$206,1)),""),"")</f>
        <v/>
      </c>
      <c r="M2212">
        <f>IFERROR(IF(AND(H2212&lt;&gt;"",H2212&gt;=129,H2212&lt;=2176),INDEX(Fields!$K$2:$K$206,MATCH(H2212-129,Fields!$D$2:$D$206,1)),""),"")</f>
        <v/>
      </c>
    </row>
    <row r="2213">
      <c r="A2213" t="n">
        <v>2211</v>
      </c>
      <c r="B2213" t="n">
        <v>0</v>
      </c>
      <c r="C2213" t="inlineStr">
        <is>
          <t>No</t>
        </is>
      </c>
      <c r="D2213" s="4">
        <f>IF(AND(B2208=1,B2209=1,B2210=1,B2211=1,B2212=1),"Yes","")</f>
        <v/>
      </c>
      <c r="E2213" t="inlineStr">
        <is>
          <t>No</t>
        </is>
      </c>
      <c r="F2213" t="inlineStr">
        <is>
          <t>No</t>
        </is>
      </c>
      <c r="G2213">
        <f>IF(F2213="Yes",1-B2213,B2213)</f>
        <v/>
      </c>
      <c r="H2213">
        <f>IF(E2213="Yes","",COUNTIFS($E$2:E2213,"No"))</f>
        <v/>
      </c>
      <c r="I2213">
        <f>IF(H2213="","",IF(H2213&lt;=128,"address",IF(H2213&lt;=600,"data1",IF(H2213&lt;=1264,"zero-run1",IF(H2213&lt;=1648,"data2",IF(H2213&lt;=2176,"zero-run2",IF(H2213&lt;=2192,"FCS","trailing")))))))</f>
        <v/>
      </c>
      <c r="J2213">
        <f>IFERROR(IF(AND(H2213&lt;&gt;"",H2213&gt;=129,H2213&lt;=2176),INDEX(Fields!$B$2:$B$206,MATCH(H2213-129,Fields!$D$2:$D$206,1)),""),"")</f>
        <v/>
      </c>
      <c r="K2213">
        <f>IFERROR(IF(AND(H2213&lt;&gt;"",H2213&gt;=129,H2213&lt;=2176),INDEX(Fields!$C$2:$C$206,MATCH(H2213-129,Fields!$D$2:$D$206,1)),""),"")</f>
        <v/>
      </c>
      <c r="L2213">
        <f>IFERROR(IF(AND(H2213&lt;&gt;"",H2213&gt;=129,H2213&lt;=2176),INDEX(Fields!$J$2:$J$206,MATCH(H2213-129,Fields!$D$2:$D$206,1)),""),"")</f>
        <v/>
      </c>
      <c r="M2213">
        <f>IFERROR(IF(AND(H2213&lt;&gt;"",H2213&gt;=129,H2213&lt;=2176),INDEX(Fields!$K$2:$K$206,MATCH(H2213-129,Fields!$D$2:$D$206,1)),""),"")</f>
        <v/>
      </c>
    </row>
    <row r="2214">
      <c r="A2214" t="n">
        <v>2212</v>
      </c>
      <c r="B2214" t="n">
        <v>0</v>
      </c>
      <c r="C2214" t="inlineStr">
        <is>
          <t>No</t>
        </is>
      </c>
      <c r="D2214">
        <f>IF(AND(B2209=1,B2210=1,B2211=1,B2212=1,B2213=1),"Yes","")</f>
        <v/>
      </c>
      <c r="E2214" t="inlineStr">
        <is>
          <t>No</t>
        </is>
      </c>
      <c r="F2214" t="inlineStr">
        <is>
          <t>No</t>
        </is>
      </c>
      <c r="G2214">
        <f>IF(F2214="Yes",1-B2214,B2214)</f>
        <v/>
      </c>
      <c r="H2214">
        <f>IF(E2214="Yes","",COUNTIFS($E$2:E2214,"No"))</f>
        <v/>
      </c>
      <c r="I2214">
        <f>IF(H2214="","",IF(H2214&lt;=128,"address",IF(H2214&lt;=600,"data1",IF(H2214&lt;=1264,"zero-run1",IF(H2214&lt;=1648,"data2",IF(H2214&lt;=2176,"zero-run2",IF(H2214&lt;=2192,"FCS","trailing")))))))</f>
        <v/>
      </c>
      <c r="J2214">
        <f>IFERROR(IF(AND(H2214&lt;&gt;"",H2214&gt;=129,H2214&lt;=2176),INDEX(Fields!$B$2:$B$206,MATCH(H2214-129,Fields!$D$2:$D$206,1)),""),"")</f>
        <v/>
      </c>
      <c r="K2214">
        <f>IFERROR(IF(AND(H2214&lt;&gt;"",H2214&gt;=129,H2214&lt;=2176),INDEX(Fields!$C$2:$C$206,MATCH(H2214-129,Fields!$D$2:$D$206,1)),""),"")</f>
        <v/>
      </c>
      <c r="L2214">
        <f>IFERROR(IF(AND(H2214&lt;&gt;"",H2214&gt;=129,H2214&lt;=2176),INDEX(Fields!$J$2:$J$206,MATCH(H2214-129,Fields!$D$2:$D$206,1)),""),"")</f>
        <v/>
      </c>
      <c r="M2214">
        <f>IFERROR(IF(AND(H2214&lt;&gt;"",H2214&gt;=129,H2214&lt;=2176),INDEX(Fields!$K$2:$K$206,MATCH(H2214-129,Fields!$D$2:$D$206,1)),""),"")</f>
        <v/>
      </c>
    </row>
    <row r="2215">
      <c r="A2215" t="n">
        <v>2213</v>
      </c>
      <c r="B2215" t="n">
        <v>1</v>
      </c>
      <c r="C2215" t="inlineStr">
        <is>
          <t>No</t>
        </is>
      </c>
      <c r="D2215">
        <f>IF(AND(B2210=1,B2211=1,B2212=1,B2213=1,B2214=1),"Yes","")</f>
        <v/>
      </c>
      <c r="E2215" t="inlineStr">
        <is>
          <t>No</t>
        </is>
      </c>
      <c r="F2215" t="inlineStr">
        <is>
          <t>No</t>
        </is>
      </c>
      <c r="G2215">
        <f>IF(F2215="Yes",1-B2215,B2215)</f>
        <v/>
      </c>
      <c r="H2215">
        <f>IF(E2215="Yes","",COUNTIFS($E$2:E2215,"No"))</f>
        <v/>
      </c>
      <c r="I2215">
        <f>IF(H2215="","",IF(H2215&lt;=128,"address",IF(H2215&lt;=600,"data1",IF(H2215&lt;=1264,"zero-run1",IF(H2215&lt;=1648,"data2",IF(H2215&lt;=2176,"zero-run2",IF(H2215&lt;=2192,"FCS","trailing")))))))</f>
        <v/>
      </c>
      <c r="J2215">
        <f>IFERROR(IF(AND(H2215&lt;&gt;"",H2215&gt;=129,H2215&lt;=2176),INDEX(Fields!$B$2:$B$206,MATCH(H2215-129,Fields!$D$2:$D$206,1)),""),"")</f>
        <v/>
      </c>
      <c r="K2215">
        <f>IFERROR(IF(AND(H2215&lt;&gt;"",H2215&gt;=129,H2215&lt;=2176),INDEX(Fields!$C$2:$C$206,MATCH(H2215-129,Fields!$D$2:$D$206,1)),""),"")</f>
        <v/>
      </c>
      <c r="L2215">
        <f>IFERROR(IF(AND(H2215&lt;&gt;"",H2215&gt;=129,H2215&lt;=2176),INDEX(Fields!$J$2:$J$206,MATCH(H2215-129,Fields!$D$2:$D$206,1)),""),"")</f>
        <v/>
      </c>
      <c r="M2215">
        <f>IFERROR(IF(AND(H2215&lt;&gt;"",H2215&gt;=129,H2215&lt;=2176),INDEX(Fields!$K$2:$K$206,MATCH(H2215-129,Fields!$D$2:$D$206,1)),""),"")</f>
        <v/>
      </c>
    </row>
    <row r="2216">
      <c r="A2216" t="n">
        <v>2214</v>
      </c>
      <c r="B2216" t="n">
        <v>1</v>
      </c>
      <c r="C2216" t="inlineStr">
        <is>
          <t>No</t>
        </is>
      </c>
      <c r="D2216">
        <f>IF(AND(B2211=1,B2212=1,B2213=1,B2214=1,B2215=1),"Yes","")</f>
        <v/>
      </c>
      <c r="E2216" t="inlineStr">
        <is>
          <t>No</t>
        </is>
      </c>
      <c r="F2216" t="inlineStr">
        <is>
          <t>No</t>
        </is>
      </c>
      <c r="G2216">
        <f>IF(F2216="Yes",1-B2216,B2216)</f>
        <v/>
      </c>
      <c r="H2216">
        <f>IF(E2216="Yes","",COUNTIFS($E$2:E2216,"No"))</f>
        <v/>
      </c>
      <c r="I2216">
        <f>IF(H2216="","",IF(H2216&lt;=128,"address",IF(H2216&lt;=600,"data1",IF(H2216&lt;=1264,"zero-run1",IF(H2216&lt;=1648,"data2",IF(H2216&lt;=2176,"zero-run2",IF(H2216&lt;=2192,"FCS","trailing")))))))</f>
        <v/>
      </c>
      <c r="J2216">
        <f>IFERROR(IF(AND(H2216&lt;&gt;"",H2216&gt;=129,H2216&lt;=2176),INDEX(Fields!$B$2:$B$206,MATCH(H2216-129,Fields!$D$2:$D$206,1)),""),"")</f>
        <v/>
      </c>
      <c r="K2216">
        <f>IFERROR(IF(AND(H2216&lt;&gt;"",H2216&gt;=129,H2216&lt;=2176),INDEX(Fields!$C$2:$C$206,MATCH(H2216-129,Fields!$D$2:$D$206,1)),""),"")</f>
        <v/>
      </c>
      <c r="L2216">
        <f>IFERROR(IF(AND(H2216&lt;&gt;"",H2216&gt;=129,H2216&lt;=2176),INDEX(Fields!$J$2:$J$206,MATCH(H2216-129,Fields!$D$2:$D$206,1)),""),"")</f>
        <v/>
      </c>
      <c r="M2216">
        <f>IFERROR(IF(AND(H2216&lt;&gt;"",H2216&gt;=129,H2216&lt;=2176),INDEX(Fields!$K$2:$K$206,MATCH(H2216-129,Fields!$D$2:$D$206,1)),""),"")</f>
        <v/>
      </c>
    </row>
    <row r="2217">
      <c r="A2217" t="n">
        <v>2215</v>
      </c>
      <c r="B2217" t="n">
        <v>1</v>
      </c>
      <c r="C2217" t="inlineStr">
        <is>
          <t>No</t>
        </is>
      </c>
      <c r="D2217">
        <f>IF(AND(B2212=1,B2213=1,B2214=1,B2215=1,B2216=1),"Yes","")</f>
        <v/>
      </c>
      <c r="E2217" t="inlineStr">
        <is>
          <t>No</t>
        </is>
      </c>
      <c r="F2217" t="inlineStr">
        <is>
          <t>No</t>
        </is>
      </c>
      <c r="G2217">
        <f>IF(F2217="Yes",1-B2217,B2217)</f>
        <v/>
      </c>
      <c r="H2217">
        <f>IF(E2217="Yes","",COUNTIFS($E$2:E2217,"No"))</f>
        <v/>
      </c>
      <c r="I2217">
        <f>IF(H2217="","",IF(H2217&lt;=128,"address",IF(H2217&lt;=600,"data1",IF(H2217&lt;=1264,"zero-run1",IF(H2217&lt;=1648,"data2",IF(H2217&lt;=2176,"zero-run2",IF(H2217&lt;=2192,"FCS","trailing")))))))</f>
        <v/>
      </c>
      <c r="J2217">
        <f>IFERROR(IF(AND(H2217&lt;&gt;"",H2217&gt;=129,H2217&lt;=2176),INDEX(Fields!$B$2:$B$206,MATCH(H2217-129,Fields!$D$2:$D$206,1)),""),"")</f>
        <v/>
      </c>
      <c r="K2217">
        <f>IFERROR(IF(AND(H2217&lt;&gt;"",H2217&gt;=129,H2217&lt;=2176),INDEX(Fields!$C$2:$C$206,MATCH(H2217-129,Fields!$D$2:$D$206,1)),""),"")</f>
        <v/>
      </c>
      <c r="L2217">
        <f>IFERROR(IF(AND(H2217&lt;&gt;"",H2217&gt;=129,H2217&lt;=2176),INDEX(Fields!$J$2:$J$206,MATCH(H2217-129,Fields!$D$2:$D$206,1)),""),"")</f>
        <v/>
      </c>
      <c r="M2217">
        <f>IFERROR(IF(AND(H2217&lt;&gt;"",H2217&gt;=129,H2217&lt;=2176),INDEX(Fields!$K$2:$K$206,MATCH(H2217-129,Fields!$D$2:$D$206,1)),""),"")</f>
        <v/>
      </c>
    </row>
    <row r="2218">
      <c r="A2218" t="n">
        <v>2216</v>
      </c>
      <c r="B2218" t="n">
        <v>1</v>
      </c>
      <c r="C2218" t="inlineStr">
        <is>
          <t>No</t>
        </is>
      </c>
      <c r="D2218">
        <f>IF(AND(B2213=1,B2214=1,B2215=1,B2216=1,B2217=1),"Yes","")</f>
        <v/>
      </c>
      <c r="E2218" t="inlineStr">
        <is>
          <t>No</t>
        </is>
      </c>
      <c r="F2218" t="inlineStr">
        <is>
          <t>No</t>
        </is>
      </c>
      <c r="G2218">
        <f>IF(F2218="Yes",1-B2218,B2218)</f>
        <v/>
      </c>
      <c r="H2218">
        <f>IF(E2218="Yes","",COUNTIFS($E$2:E2218,"No"))</f>
        <v/>
      </c>
      <c r="I2218">
        <f>IF(H2218="","",IF(H2218&lt;=128,"address",IF(H2218&lt;=600,"data1",IF(H2218&lt;=1264,"zero-run1",IF(H2218&lt;=1648,"data2",IF(H2218&lt;=2176,"zero-run2",IF(H2218&lt;=2192,"FCS","trailing")))))))</f>
        <v/>
      </c>
      <c r="J2218">
        <f>IFERROR(IF(AND(H2218&lt;&gt;"",H2218&gt;=129,H2218&lt;=2176),INDEX(Fields!$B$2:$B$206,MATCH(H2218-129,Fields!$D$2:$D$206,1)),""),"")</f>
        <v/>
      </c>
      <c r="K2218">
        <f>IFERROR(IF(AND(H2218&lt;&gt;"",H2218&gt;=129,H2218&lt;=2176),INDEX(Fields!$C$2:$C$206,MATCH(H2218-129,Fields!$D$2:$D$206,1)),""),"")</f>
        <v/>
      </c>
      <c r="L2218">
        <f>IFERROR(IF(AND(H2218&lt;&gt;"",H2218&gt;=129,H2218&lt;=2176),INDEX(Fields!$J$2:$J$206,MATCH(H2218-129,Fields!$D$2:$D$206,1)),""),"")</f>
        <v/>
      </c>
      <c r="M2218">
        <f>IFERROR(IF(AND(H2218&lt;&gt;"",H2218&gt;=129,H2218&lt;=2176),INDEX(Fields!$K$2:$K$206,MATCH(H2218-129,Fields!$D$2:$D$206,1)),""),"")</f>
        <v/>
      </c>
    </row>
    <row r="2219">
      <c r="A2219" t="n">
        <v>2217</v>
      </c>
      <c r="B2219" t="n">
        <v>1</v>
      </c>
      <c r="C2219" t="inlineStr">
        <is>
          <t>No</t>
        </is>
      </c>
      <c r="D2219">
        <f>IF(AND(B2214=1,B2215=1,B2216=1,B2217=1,B2218=1),"Yes","")</f>
        <v/>
      </c>
      <c r="E2219" t="inlineStr">
        <is>
          <t>No</t>
        </is>
      </c>
      <c r="F2219" t="inlineStr">
        <is>
          <t>No</t>
        </is>
      </c>
      <c r="G2219">
        <f>IF(F2219="Yes",1-B2219,B2219)</f>
        <v/>
      </c>
      <c r="H2219">
        <f>IF(E2219="Yes","",COUNTIFS($E$2:E2219,"No"))</f>
        <v/>
      </c>
      <c r="I2219">
        <f>IF(H2219="","",IF(H2219&lt;=128,"address",IF(H2219&lt;=600,"data1",IF(H2219&lt;=1264,"zero-run1",IF(H2219&lt;=1648,"data2",IF(H2219&lt;=2176,"zero-run2",IF(H2219&lt;=2192,"FCS","trailing")))))))</f>
        <v/>
      </c>
      <c r="J2219">
        <f>IFERROR(IF(AND(H2219&lt;&gt;"",H2219&gt;=129,H2219&lt;=2176),INDEX(Fields!$B$2:$B$206,MATCH(H2219-129,Fields!$D$2:$D$206,1)),""),"")</f>
        <v/>
      </c>
      <c r="K2219">
        <f>IFERROR(IF(AND(H2219&lt;&gt;"",H2219&gt;=129,H2219&lt;=2176),INDEX(Fields!$C$2:$C$206,MATCH(H2219-129,Fields!$D$2:$D$206,1)),""),"")</f>
        <v/>
      </c>
      <c r="L2219">
        <f>IFERROR(IF(AND(H2219&lt;&gt;"",H2219&gt;=129,H2219&lt;=2176),INDEX(Fields!$J$2:$J$206,MATCH(H2219-129,Fields!$D$2:$D$206,1)),""),"")</f>
        <v/>
      </c>
      <c r="M2219">
        <f>IFERROR(IF(AND(H2219&lt;&gt;"",H2219&gt;=129,H2219&lt;=2176),INDEX(Fields!$K$2:$K$206,MATCH(H2219-129,Fields!$D$2:$D$206,1)),""),"")</f>
        <v/>
      </c>
    </row>
    <row r="2220">
      <c r="A2220" t="n">
        <v>2218</v>
      </c>
      <c r="B2220" t="n">
        <v>0</v>
      </c>
      <c r="C2220" s="4" t="inlineStr">
        <is>
          <t>Yes</t>
        </is>
      </c>
      <c r="D2220" s="4">
        <f>IF(AND(B2215=1,B2216=1,B2217=1,B2218=1,B2219=1),"Yes","")</f>
        <v/>
      </c>
      <c r="E2220" t="inlineStr">
        <is>
          <t>No</t>
        </is>
      </c>
      <c r="F2220" t="inlineStr">
        <is>
          <t>No</t>
        </is>
      </c>
      <c r="G2220">
        <f>IF(F2220="Yes",1-B2220,B2220)</f>
        <v/>
      </c>
      <c r="H2220">
        <f>IF(E2220="Yes","",COUNTIFS($E$2:E2220,"No"))</f>
        <v/>
      </c>
      <c r="I2220">
        <f>IF(H2220="","",IF(H2220&lt;=128,"address",IF(H2220&lt;=600,"data1",IF(H2220&lt;=1264,"zero-run1",IF(H2220&lt;=1648,"data2",IF(H2220&lt;=2176,"zero-run2",IF(H2220&lt;=2192,"FCS","trailing")))))))</f>
        <v/>
      </c>
      <c r="J2220">
        <f>IFERROR(IF(AND(H2220&lt;&gt;"",H2220&gt;=129,H2220&lt;=2176),INDEX(Fields!$B$2:$B$206,MATCH(H2220-129,Fields!$D$2:$D$206,1)),""),"")</f>
        <v/>
      </c>
      <c r="K2220">
        <f>IFERROR(IF(AND(H2220&lt;&gt;"",H2220&gt;=129,H2220&lt;=2176),INDEX(Fields!$C$2:$C$206,MATCH(H2220-129,Fields!$D$2:$D$206,1)),""),"")</f>
        <v/>
      </c>
      <c r="L2220">
        <f>IFERROR(IF(AND(H2220&lt;&gt;"",H2220&gt;=129,H2220&lt;=2176),INDEX(Fields!$J$2:$J$206,MATCH(H2220-129,Fields!$D$2:$D$206,1)),""),"")</f>
        <v/>
      </c>
      <c r="M2220">
        <f>IFERROR(IF(AND(H2220&lt;&gt;"",H2220&gt;=129,H2220&lt;=2176),INDEX(Fields!$K$2:$K$206,MATCH(H2220-129,Fields!$D$2:$D$206,1)),""),"")</f>
        <v/>
      </c>
    </row>
    <row r="2221">
      <c r="A2221" t="n">
        <v>2219</v>
      </c>
      <c r="B2221" t="n">
        <v>0</v>
      </c>
      <c r="C2221" t="inlineStr">
        <is>
          <t>No</t>
        </is>
      </c>
      <c r="D2221">
        <f>IF(AND(B2216=1,B2217=1,B2218=1,B2219=1,B2220=1),"Yes","")</f>
        <v/>
      </c>
      <c r="E2221" t="inlineStr">
        <is>
          <t>No</t>
        </is>
      </c>
      <c r="F2221" t="inlineStr">
        <is>
          <t>No</t>
        </is>
      </c>
      <c r="G2221">
        <f>IF(F2221="Yes",1-B2221,B2221)</f>
        <v/>
      </c>
      <c r="H2221">
        <f>IF(E2221="Yes","",COUNTIFS($E$2:E2221,"No"))</f>
        <v/>
      </c>
      <c r="I2221">
        <f>IF(H2221="","",IF(H2221&lt;=128,"address",IF(H2221&lt;=600,"data1",IF(H2221&lt;=1264,"zero-run1",IF(H2221&lt;=1648,"data2",IF(H2221&lt;=2176,"zero-run2",IF(H2221&lt;=2192,"FCS","trailing")))))))</f>
        <v/>
      </c>
      <c r="J2221">
        <f>IFERROR(IF(AND(H2221&lt;&gt;"",H2221&gt;=129,H2221&lt;=2176),INDEX(Fields!$B$2:$B$206,MATCH(H2221-129,Fields!$D$2:$D$206,1)),""),"")</f>
        <v/>
      </c>
      <c r="K2221">
        <f>IFERROR(IF(AND(H2221&lt;&gt;"",H2221&gt;=129,H2221&lt;=2176),INDEX(Fields!$C$2:$C$206,MATCH(H2221-129,Fields!$D$2:$D$206,1)),""),"")</f>
        <v/>
      </c>
      <c r="L2221">
        <f>IFERROR(IF(AND(H2221&lt;&gt;"",H2221&gt;=129,H2221&lt;=2176),INDEX(Fields!$J$2:$J$206,MATCH(H2221-129,Fields!$D$2:$D$206,1)),""),"")</f>
        <v/>
      </c>
      <c r="M2221">
        <f>IFERROR(IF(AND(H2221&lt;&gt;"",H2221&gt;=129,H2221&lt;=2176),INDEX(Fields!$K$2:$K$206,MATCH(H2221-129,Fields!$D$2:$D$206,1)),""),"")</f>
        <v/>
      </c>
    </row>
    <row r="2222">
      <c r="A2222" t="n">
        <v>2220</v>
      </c>
      <c r="B2222" t="n">
        <v>0</v>
      </c>
      <c r="C2222" t="inlineStr">
        <is>
          <t>No</t>
        </is>
      </c>
      <c r="D2222">
        <f>IF(AND(B2217=1,B2218=1,B2219=1,B2220=1,B2221=1),"Yes","")</f>
        <v/>
      </c>
      <c r="E2222" t="inlineStr">
        <is>
          <t>No</t>
        </is>
      </c>
      <c r="F2222" t="inlineStr">
        <is>
          <t>No</t>
        </is>
      </c>
      <c r="G2222">
        <f>IF(F2222="Yes",1-B2222,B2222)</f>
        <v/>
      </c>
      <c r="H2222">
        <f>IF(E2222="Yes","",COUNTIFS($E$2:E2222,"No"))</f>
        <v/>
      </c>
      <c r="I2222">
        <f>IF(H2222="","",IF(H2222&lt;=128,"address",IF(H2222&lt;=600,"data1",IF(H2222&lt;=1264,"zero-run1",IF(H2222&lt;=1648,"data2",IF(H2222&lt;=2176,"zero-run2",IF(H2222&lt;=2192,"FCS","trailing")))))))</f>
        <v/>
      </c>
      <c r="J2222">
        <f>IFERROR(IF(AND(H2222&lt;&gt;"",H2222&gt;=129,H2222&lt;=2176),INDEX(Fields!$B$2:$B$206,MATCH(H2222-129,Fields!$D$2:$D$206,1)),""),"")</f>
        <v/>
      </c>
      <c r="K2222">
        <f>IFERROR(IF(AND(H2222&lt;&gt;"",H2222&gt;=129,H2222&lt;=2176),INDEX(Fields!$C$2:$C$206,MATCH(H2222-129,Fields!$D$2:$D$206,1)),""),"")</f>
        <v/>
      </c>
      <c r="L2222">
        <f>IFERROR(IF(AND(H2222&lt;&gt;"",H2222&gt;=129,H2222&lt;=2176),INDEX(Fields!$J$2:$J$206,MATCH(H2222-129,Fields!$D$2:$D$206,1)),""),"")</f>
        <v/>
      </c>
      <c r="M2222">
        <f>IFERROR(IF(AND(H2222&lt;&gt;"",H2222&gt;=129,H2222&lt;=2176),INDEX(Fields!$K$2:$K$206,MATCH(H2222-129,Fields!$D$2:$D$206,1)),""),"")</f>
        <v/>
      </c>
    </row>
    <row r="2223">
      <c r="A2223" t="n">
        <v>2221</v>
      </c>
      <c r="B2223" t="n">
        <v>1</v>
      </c>
      <c r="C2223" t="inlineStr">
        <is>
          <t>No</t>
        </is>
      </c>
      <c r="D2223">
        <f>IF(AND(B2218=1,B2219=1,B2220=1,B2221=1,B2222=1),"Yes","")</f>
        <v/>
      </c>
      <c r="E2223" t="inlineStr">
        <is>
          <t>No</t>
        </is>
      </c>
      <c r="F2223" t="inlineStr">
        <is>
          <t>No</t>
        </is>
      </c>
      <c r="G2223">
        <f>IF(F2223="Yes",1-B2223,B2223)</f>
        <v/>
      </c>
      <c r="H2223">
        <f>IF(E2223="Yes","",COUNTIFS($E$2:E2223,"No"))</f>
        <v/>
      </c>
      <c r="I2223">
        <f>IF(H2223="","",IF(H2223&lt;=128,"address",IF(H2223&lt;=600,"data1",IF(H2223&lt;=1264,"zero-run1",IF(H2223&lt;=1648,"data2",IF(H2223&lt;=2176,"zero-run2",IF(H2223&lt;=2192,"FCS","trailing")))))))</f>
        <v/>
      </c>
      <c r="J2223">
        <f>IFERROR(IF(AND(H2223&lt;&gt;"",H2223&gt;=129,H2223&lt;=2176),INDEX(Fields!$B$2:$B$206,MATCH(H2223-129,Fields!$D$2:$D$206,1)),""),"")</f>
        <v/>
      </c>
      <c r="K2223">
        <f>IFERROR(IF(AND(H2223&lt;&gt;"",H2223&gt;=129,H2223&lt;=2176),INDEX(Fields!$C$2:$C$206,MATCH(H2223-129,Fields!$D$2:$D$206,1)),""),"")</f>
        <v/>
      </c>
      <c r="L2223">
        <f>IFERROR(IF(AND(H2223&lt;&gt;"",H2223&gt;=129,H2223&lt;=2176),INDEX(Fields!$J$2:$J$206,MATCH(H2223-129,Fields!$D$2:$D$206,1)),""),"")</f>
        <v/>
      </c>
      <c r="M2223">
        <f>IFERROR(IF(AND(H2223&lt;&gt;"",H2223&gt;=129,H2223&lt;=2176),INDEX(Fields!$K$2:$K$206,MATCH(H2223-129,Fields!$D$2:$D$206,1)),""),"")</f>
        <v/>
      </c>
    </row>
    <row r="2224">
      <c r="A2224" t="n">
        <v>2222</v>
      </c>
      <c r="B2224" t="n">
        <v>1</v>
      </c>
      <c r="C2224" t="inlineStr">
        <is>
          <t>No</t>
        </is>
      </c>
      <c r="D2224">
        <f>IF(AND(B2219=1,B2220=1,B2221=1,B2222=1,B2223=1),"Yes","")</f>
        <v/>
      </c>
      <c r="E2224" t="inlineStr">
        <is>
          <t>No</t>
        </is>
      </c>
      <c r="F2224" t="inlineStr">
        <is>
          <t>No</t>
        </is>
      </c>
      <c r="G2224">
        <f>IF(F2224="Yes",1-B2224,B2224)</f>
        <v/>
      </c>
      <c r="H2224">
        <f>IF(E2224="Yes","",COUNTIFS($E$2:E2224,"No"))</f>
        <v/>
      </c>
      <c r="I2224">
        <f>IF(H2224="","",IF(H2224&lt;=128,"address",IF(H2224&lt;=600,"data1",IF(H2224&lt;=1264,"zero-run1",IF(H2224&lt;=1648,"data2",IF(H2224&lt;=2176,"zero-run2",IF(H2224&lt;=2192,"FCS","trailing")))))))</f>
        <v/>
      </c>
      <c r="J2224">
        <f>IFERROR(IF(AND(H2224&lt;&gt;"",H2224&gt;=129,H2224&lt;=2176),INDEX(Fields!$B$2:$B$206,MATCH(H2224-129,Fields!$D$2:$D$206,1)),""),"")</f>
        <v/>
      </c>
      <c r="K2224">
        <f>IFERROR(IF(AND(H2224&lt;&gt;"",H2224&gt;=129,H2224&lt;=2176),INDEX(Fields!$C$2:$C$206,MATCH(H2224-129,Fields!$D$2:$D$206,1)),""),"")</f>
        <v/>
      </c>
      <c r="L2224">
        <f>IFERROR(IF(AND(H2224&lt;&gt;"",H2224&gt;=129,H2224&lt;=2176),INDEX(Fields!$J$2:$J$206,MATCH(H2224-129,Fields!$D$2:$D$206,1)),""),"")</f>
        <v/>
      </c>
      <c r="M2224">
        <f>IFERROR(IF(AND(H2224&lt;&gt;"",H2224&gt;=129,H2224&lt;=2176),INDEX(Fields!$K$2:$K$206,MATCH(H2224-129,Fields!$D$2:$D$206,1)),""),"")</f>
        <v/>
      </c>
    </row>
    <row r="2225">
      <c r="A2225" t="n">
        <v>2223</v>
      </c>
      <c r="B2225" t="n">
        <v>1</v>
      </c>
      <c r="C2225" t="inlineStr">
        <is>
          <t>No</t>
        </is>
      </c>
      <c r="D2225">
        <f>IF(AND(B2220=1,B2221=1,B2222=1,B2223=1,B2224=1),"Yes","")</f>
        <v/>
      </c>
      <c r="E2225" t="inlineStr">
        <is>
          <t>No</t>
        </is>
      </c>
      <c r="F2225" t="inlineStr">
        <is>
          <t>No</t>
        </is>
      </c>
      <c r="G2225">
        <f>IF(F2225="Yes",1-B2225,B2225)</f>
        <v/>
      </c>
      <c r="H2225">
        <f>IF(E2225="Yes","",COUNTIFS($E$2:E2225,"No"))</f>
        <v/>
      </c>
      <c r="I2225">
        <f>IF(H2225="","",IF(H2225&lt;=128,"address",IF(H2225&lt;=600,"data1",IF(H2225&lt;=1264,"zero-run1",IF(H2225&lt;=1648,"data2",IF(H2225&lt;=2176,"zero-run2",IF(H2225&lt;=2192,"FCS","trailing")))))))</f>
        <v/>
      </c>
      <c r="J2225">
        <f>IFERROR(IF(AND(H2225&lt;&gt;"",H2225&gt;=129,H2225&lt;=2176),INDEX(Fields!$B$2:$B$206,MATCH(H2225-129,Fields!$D$2:$D$206,1)),""),"")</f>
        <v/>
      </c>
      <c r="K2225">
        <f>IFERROR(IF(AND(H2225&lt;&gt;"",H2225&gt;=129,H2225&lt;=2176),INDEX(Fields!$C$2:$C$206,MATCH(H2225-129,Fields!$D$2:$D$206,1)),""),"")</f>
        <v/>
      </c>
      <c r="L2225">
        <f>IFERROR(IF(AND(H2225&lt;&gt;"",H2225&gt;=129,H2225&lt;=2176),INDEX(Fields!$J$2:$J$206,MATCH(H2225-129,Fields!$D$2:$D$206,1)),""),"")</f>
        <v/>
      </c>
      <c r="M2225">
        <f>IFERROR(IF(AND(H2225&lt;&gt;"",H2225&gt;=129,H2225&lt;=2176),INDEX(Fields!$K$2:$K$206,MATCH(H2225-129,Fields!$D$2:$D$206,1)),""),"")</f>
        <v/>
      </c>
    </row>
    <row r="2226">
      <c r="A2226" t="n">
        <v>2224</v>
      </c>
      <c r="B2226" t="n">
        <v>1</v>
      </c>
      <c r="C2226" t="inlineStr">
        <is>
          <t>No</t>
        </is>
      </c>
      <c r="D2226">
        <f>IF(AND(B2221=1,B2222=1,B2223=1,B2224=1,B2225=1),"Yes","")</f>
        <v/>
      </c>
      <c r="E2226" t="inlineStr">
        <is>
          <t>No</t>
        </is>
      </c>
      <c r="F2226" t="inlineStr">
        <is>
          <t>No</t>
        </is>
      </c>
      <c r="G2226">
        <f>IF(F2226="Yes",1-B2226,B2226)</f>
        <v/>
      </c>
      <c r="H2226">
        <f>IF(E2226="Yes","",COUNTIFS($E$2:E2226,"No"))</f>
        <v/>
      </c>
      <c r="I2226">
        <f>IF(H2226="","",IF(H2226&lt;=128,"address",IF(H2226&lt;=600,"data1",IF(H2226&lt;=1264,"zero-run1",IF(H2226&lt;=1648,"data2",IF(H2226&lt;=2176,"zero-run2",IF(H2226&lt;=2192,"FCS","trailing")))))))</f>
        <v/>
      </c>
      <c r="J2226">
        <f>IFERROR(IF(AND(H2226&lt;&gt;"",H2226&gt;=129,H2226&lt;=2176),INDEX(Fields!$B$2:$B$206,MATCH(H2226-129,Fields!$D$2:$D$206,1)),""),"")</f>
        <v/>
      </c>
      <c r="K2226">
        <f>IFERROR(IF(AND(H2226&lt;&gt;"",H2226&gt;=129,H2226&lt;=2176),INDEX(Fields!$C$2:$C$206,MATCH(H2226-129,Fields!$D$2:$D$206,1)),""),"")</f>
        <v/>
      </c>
      <c r="L2226">
        <f>IFERROR(IF(AND(H2226&lt;&gt;"",H2226&gt;=129,H2226&lt;=2176),INDEX(Fields!$J$2:$J$206,MATCH(H2226-129,Fields!$D$2:$D$206,1)),""),"")</f>
        <v/>
      </c>
      <c r="M2226">
        <f>IFERROR(IF(AND(H2226&lt;&gt;"",H2226&gt;=129,H2226&lt;=2176),INDEX(Fields!$K$2:$K$206,MATCH(H2226-129,Fields!$D$2:$D$206,1)),""),"")</f>
        <v/>
      </c>
    </row>
    <row r="2227">
      <c r="A2227" t="n">
        <v>2225</v>
      </c>
      <c r="B2227" t="n">
        <v>1</v>
      </c>
      <c r="C2227" t="inlineStr">
        <is>
          <t>No</t>
        </is>
      </c>
      <c r="D2227">
        <f>IF(AND(B2222=1,B2223=1,B2224=1,B2225=1,B2226=1),"Yes","")</f>
        <v/>
      </c>
      <c r="E2227" t="inlineStr">
        <is>
          <t>No</t>
        </is>
      </c>
      <c r="F2227" t="inlineStr">
        <is>
          <t>No</t>
        </is>
      </c>
      <c r="G2227">
        <f>IF(F2227="Yes",1-B2227,B2227)</f>
        <v/>
      </c>
      <c r="H2227">
        <f>IF(E2227="Yes","",COUNTIFS($E$2:E2227,"No"))</f>
        <v/>
      </c>
      <c r="I2227">
        <f>IF(H2227="","",IF(H2227&lt;=128,"address",IF(H2227&lt;=600,"data1",IF(H2227&lt;=1264,"zero-run1",IF(H2227&lt;=1648,"data2",IF(H2227&lt;=2176,"zero-run2",IF(H2227&lt;=2192,"FCS","trailing")))))))</f>
        <v/>
      </c>
      <c r="J2227">
        <f>IFERROR(IF(AND(H2227&lt;&gt;"",H2227&gt;=129,H2227&lt;=2176),INDEX(Fields!$B$2:$B$206,MATCH(H2227-129,Fields!$D$2:$D$206,1)),""),"")</f>
        <v/>
      </c>
      <c r="K2227">
        <f>IFERROR(IF(AND(H2227&lt;&gt;"",H2227&gt;=129,H2227&lt;=2176),INDEX(Fields!$C$2:$C$206,MATCH(H2227-129,Fields!$D$2:$D$206,1)),""),"")</f>
        <v/>
      </c>
      <c r="L2227">
        <f>IFERROR(IF(AND(H2227&lt;&gt;"",H2227&gt;=129,H2227&lt;=2176),INDEX(Fields!$J$2:$J$206,MATCH(H2227-129,Fields!$D$2:$D$206,1)),""),"")</f>
        <v/>
      </c>
      <c r="M2227">
        <f>IFERROR(IF(AND(H2227&lt;&gt;"",H2227&gt;=129,H2227&lt;=2176),INDEX(Fields!$K$2:$K$206,MATCH(H2227-129,Fields!$D$2:$D$206,1)),""),"")</f>
        <v/>
      </c>
    </row>
    <row r="2228">
      <c r="A2228" t="n">
        <v>2226</v>
      </c>
      <c r="B2228" t="n">
        <v>1</v>
      </c>
      <c r="C2228" t="inlineStr">
        <is>
          <t>No</t>
        </is>
      </c>
      <c r="D2228" s="4">
        <f>IF(AND(B2223=1,B2224=1,B2225=1,B2226=1,B2227=1),"Yes","")</f>
        <v/>
      </c>
      <c r="E2228" t="inlineStr">
        <is>
          <t>No</t>
        </is>
      </c>
      <c r="F2228" t="inlineStr">
        <is>
          <t>No</t>
        </is>
      </c>
      <c r="G2228">
        <f>IF(F2228="Yes",1-B2228,B2228)</f>
        <v/>
      </c>
      <c r="H2228">
        <f>IF(E2228="Yes","",COUNTIFS($E$2:E2228,"No"))</f>
        <v/>
      </c>
      <c r="I2228">
        <f>IF(H2228="","",IF(H2228&lt;=128,"address",IF(H2228&lt;=600,"data1",IF(H2228&lt;=1264,"zero-run1",IF(H2228&lt;=1648,"data2",IF(H2228&lt;=2176,"zero-run2",IF(H2228&lt;=2192,"FCS","trailing")))))))</f>
        <v/>
      </c>
      <c r="J2228">
        <f>IFERROR(IF(AND(H2228&lt;&gt;"",H2228&gt;=129,H2228&lt;=2176),INDEX(Fields!$B$2:$B$206,MATCH(H2228-129,Fields!$D$2:$D$206,1)),""),"")</f>
        <v/>
      </c>
      <c r="K2228">
        <f>IFERROR(IF(AND(H2228&lt;&gt;"",H2228&gt;=129,H2228&lt;=2176),INDEX(Fields!$C$2:$C$206,MATCH(H2228-129,Fields!$D$2:$D$206,1)),""),"")</f>
        <v/>
      </c>
      <c r="L2228">
        <f>IFERROR(IF(AND(H2228&lt;&gt;"",H2228&gt;=129,H2228&lt;=2176),INDEX(Fields!$J$2:$J$206,MATCH(H2228-129,Fields!$D$2:$D$206,1)),""),"")</f>
        <v/>
      </c>
      <c r="M2228">
        <f>IFERROR(IF(AND(H2228&lt;&gt;"",H2228&gt;=129,H2228&lt;=2176),INDEX(Fields!$K$2:$K$206,MATCH(H2228-129,Fields!$D$2:$D$206,1)),""),"")</f>
        <v/>
      </c>
    </row>
    <row r="2229">
      <c r="A2229" t="n">
        <v>2227</v>
      </c>
      <c r="B2229" t="n">
        <v>0</v>
      </c>
      <c r="C2229" t="inlineStr">
        <is>
          <t>No</t>
        </is>
      </c>
      <c r="D2229" s="4">
        <f>IF(AND(B2224=1,B2225=1,B2226=1,B2227=1,B2228=1),"Yes","")</f>
        <v/>
      </c>
      <c r="E2229" t="inlineStr">
        <is>
          <t>No</t>
        </is>
      </c>
      <c r="F2229" t="inlineStr">
        <is>
          <t>No</t>
        </is>
      </c>
      <c r="G2229">
        <f>IF(F2229="Yes",1-B2229,B2229)</f>
        <v/>
      </c>
      <c r="H2229">
        <f>IF(E2229="Yes","",COUNTIFS($E$2:E2229,"No"))</f>
        <v/>
      </c>
      <c r="I2229">
        <f>IF(H2229="","",IF(H2229&lt;=128,"address",IF(H2229&lt;=600,"data1",IF(H2229&lt;=1264,"zero-run1",IF(H2229&lt;=1648,"data2",IF(H2229&lt;=2176,"zero-run2",IF(H2229&lt;=2192,"FCS","trailing")))))))</f>
        <v/>
      </c>
      <c r="J2229">
        <f>IFERROR(IF(AND(H2229&lt;&gt;"",H2229&gt;=129,H2229&lt;=2176),INDEX(Fields!$B$2:$B$206,MATCH(H2229-129,Fields!$D$2:$D$206,1)),""),"")</f>
        <v/>
      </c>
      <c r="K2229">
        <f>IFERROR(IF(AND(H2229&lt;&gt;"",H2229&gt;=129,H2229&lt;=2176),INDEX(Fields!$C$2:$C$206,MATCH(H2229-129,Fields!$D$2:$D$206,1)),""),"")</f>
        <v/>
      </c>
      <c r="L2229">
        <f>IFERROR(IF(AND(H2229&lt;&gt;"",H2229&gt;=129,H2229&lt;=2176),INDEX(Fields!$J$2:$J$206,MATCH(H2229-129,Fields!$D$2:$D$206,1)),""),"")</f>
        <v/>
      </c>
      <c r="M2229">
        <f>IFERROR(IF(AND(H2229&lt;&gt;"",H2229&gt;=129,H2229&lt;=2176),INDEX(Fields!$K$2:$K$206,MATCH(H2229-129,Fields!$D$2:$D$206,1)),""),"")</f>
        <v/>
      </c>
    </row>
    <row r="2230">
      <c r="A2230" t="n">
        <v>2228</v>
      </c>
      <c r="B2230" t="n">
        <v>0</v>
      </c>
      <c r="C2230" t="inlineStr">
        <is>
          <t>No</t>
        </is>
      </c>
      <c r="D2230">
        <f>IF(AND(B2225=1,B2226=1,B2227=1,B2228=1,B2229=1),"Yes","")</f>
        <v/>
      </c>
      <c r="E2230" t="inlineStr">
        <is>
          <t>No</t>
        </is>
      </c>
      <c r="F2230" t="inlineStr">
        <is>
          <t>No</t>
        </is>
      </c>
      <c r="G2230">
        <f>IF(F2230="Yes",1-B2230,B2230)</f>
        <v/>
      </c>
      <c r="H2230">
        <f>IF(E2230="Yes","",COUNTIFS($E$2:E2230,"No"))</f>
        <v/>
      </c>
      <c r="I2230">
        <f>IF(H2230="","",IF(H2230&lt;=128,"address",IF(H2230&lt;=600,"data1",IF(H2230&lt;=1264,"zero-run1",IF(H2230&lt;=1648,"data2",IF(H2230&lt;=2176,"zero-run2",IF(H2230&lt;=2192,"FCS","trailing")))))))</f>
        <v/>
      </c>
      <c r="J2230">
        <f>IFERROR(IF(AND(H2230&lt;&gt;"",H2230&gt;=129,H2230&lt;=2176),INDEX(Fields!$B$2:$B$206,MATCH(H2230-129,Fields!$D$2:$D$206,1)),""),"")</f>
        <v/>
      </c>
      <c r="K2230">
        <f>IFERROR(IF(AND(H2230&lt;&gt;"",H2230&gt;=129,H2230&lt;=2176),INDEX(Fields!$C$2:$C$206,MATCH(H2230-129,Fields!$D$2:$D$206,1)),""),"")</f>
        <v/>
      </c>
      <c r="L2230">
        <f>IFERROR(IF(AND(H2230&lt;&gt;"",H2230&gt;=129,H2230&lt;=2176),INDEX(Fields!$J$2:$J$206,MATCH(H2230-129,Fields!$D$2:$D$206,1)),""),"")</f>
        <v/>
      </c>
      <c r="M2230">
        <f>IFERROR(IF(AND(H2230&lt;&gt;"",H2230&gt;=129,H2230&lt;=2176),INDEX(Fields!$K$2:$K$206,MATCH(H2230-129,Fields!$D$2:$D$206,1)),""),"")</f>
        <v/>
      </c>
    </row>
    <row r="2231">
      <c r="A2231" t="n">
        <v>2229</v>
      </c>
      <c r="B2231" t="n">
        <v>1</v>
      </c>
      <c r="C2231" t="inlineStr">
        <is>
          <t>No</t>
        </is>
      </c>
      <c r="D2231">
        <f>IF(AND(B2226=1,B2227=1,B2228=1,B2229=1,B2230=1),"Yes","")</f>
        <v/>
      </c>
      <c r="E2231" t="inlineStr">
        <is>
          <t>No</t>
        </is>
      </c>
      <c r="F2231" t="inlineStr">
        <is>
          <t>No</t>
        </is>
      </c>
      <c r="G2231">
        <f>IF(F2231="Yes",1-B2231,B2231)</f>
        <v/>
      </c>
      <c r="H2231">
        <f>IF(E2231="Yes","",COUNTIFS($E$2:E2231,"No"))</f>
        <v/>
      </c>
      <c r="I2231">
        <f>IF(H2231="","",IF(H2231&lt;=128,"address",IF(H2231&lt;=600,"data1",IF(H2231&lt;=1264,"zero-run1",IF(H2231&lt;=1648,"data2",IF(H2231&lt;=2176,"zero-run2",IF(H2231&lt;=2192,"FCS","trailing")))))))</f>
        <v/>
      </c>
      <c r="J2231">
        <f>IFERROR(IF(AND(H2231&lt;&gt;"",H2231&gt;=129,H2231&lt;=2176),INDEX(Fields!$B$2:$B$206,MATCH(H2231-129,Fields!$D$2:$D$206,1)),""),"")</f>
        <v/>
      </c>
      <c r="K2231">
        <f>IFERROR(IF(AND(H2231&lt;&gt;"",H2231&gt;=129,H2231&lt;=2176),INDEX(Fields!$C$2:$C$206,MATCH(H2231-129,Fields!$D$2:$D$206,1)),""),"")</f>
        <v/>
      </c>
      <c r="L2231">
        <f>IFERROR(IF(AND(H2231&lt;&gt;"",H2231&gt;=129,H2231&lt;=2176),INDEX(Fields!$J$2:$J$206,MATCH(H2231-129,Fields!$D$2:$D$206,1)),""),"")</f>
        <v/>
      </c>
      <c r="M2231">
        <f>IFERROR(IF(AND(H2231&lt;&gt;"",H2231&gt;=129,H2231&lt;=2176),INDEX(Fields!$K$2:$K$206,MATCH(H2231-129,Fields!$D$2:$D$206,1)),""),"")</f>
        <v/>
      </c>
    </row>
    <row r="2232">
      <c r="A2232" t="n">
        <v>2230</v>
      </c>
      <c r="B2232" t="n">
        <v>1</v>
      </c>
      <c r="C2232" t="inlineStr">
        <is>
          <t>No</t>
        </is>
      </c>
      <c r="D2232">
        <f>IF(AND(B2227=1,B2228=1,B2229=1,B2230=1,B2231=1),"Yes","")</f>
        <v/>
      </c>
      <c r="E2232" t="inlineStr">
        <is>
          <t>No</t>
        </is>
      </c>
      <c r="F2232" t="inlineStr">
        <is>
          <t>No</t>
        </is>
      </c>
      <c r="G2232">
        <f>IF(F2232="Yes",1-B2232,B2232)</f>
        <v/>
      </c>
      <c r="H2232">
        <f>IF(E2232="Yes","",COUNTIFS($E$2:E2232,"No"))</f>
        <v/>
      </c>
      <c r="I2232">
        <f>IF(H2232="","",IF(H2232&lt;=128,"address",IF(H2232&lt;=600,"data1",IF(H2232&lt;=1264,"zero-run1",IF(H2232&lt;=1648,"data2",IF(H2232&lt;=2176,"zero-run2",IF(H2232&lt;=2192,"FCS","trailing")))))))</f>
        <v/>
      </c>
      <c r="J2232">
        <f>IFERROR(IF(AND(H2232&lt;&gt;"",H2232&gt;=129,H2232&lt;=2176),INDEX(Fields!$B$2:$B$206,MATCH(H2232-129,Fields!$D$2:$D$206,1)),""),"")</f>
        <v/>
      </c>
      <c r="K2232">
        <f>IFERROR(IF(AND(H2232&lt;&gt;"",H2232&gt;=129,H2232&lt;=2176),INDEX(Fields!$C$2:$C$206,MATCH(H2232-129,Fields!$D$2:$D$206,1)),""),"")</f>
        <v/>
      </c>
      <c r="L2232">
        <f>IFERROR(IF(AND(H2232&lt;&gt;"",H2232&gt;=129,H2232&lt;=2176),INDEX(Fields!$J$2:$J$206,MATCH(H2232-129,Fields!$D$2:$D$206,1)),""),"")</f>
        <v/>
      </c>
      <c r="M2232">
        <f>IFERROR(IF(AND(H2232&lt;&gt;"",H2232&gt;=129,H2232&lt;=2176),INDEX(Fields!$K$2:$K$206,MATCH(H2232-129,Fields!$D$2:$D$206,1)),""),"")</f>
        <v/>
      </c>
    </row>
    <row r="2233">
      <c r="A2233" t="n">
        <v>2231</v>
      </c>
      <c r="B2233" t="n">
        <v>1</v>
      </c>
      <c r="C2233" t="inlineStr">
        <is>
          <t>No</t>
        </is>
      </c>
      <c r="D2233">
        <f>IF(AND(B2228=1,B2229=1,B2230=1,B2231=1,B2232=1),"Yes","")</f>
        <v/>
      </c>
      <c r="E2233" t="inlineStr">
        <is>
          <t>No</t>
        </is>
      </c>
      <c r="F2233" t="inlineStr">
        <is>
          <t>No</t>
        </is>
      </c>
      <c r="G2233">
        <f>IF(F2233="Yes",1-B2233,B2233)</f>
        <v/>
      </c>
      <c r="H2233">
        <f>IF(E2233="Yes","",COUNTIFS($E$2:E2233,"No"))</f>
        <v/>
      </c>
      <c r="I2233">
        <f>IF(H2233="","",IF(H2233&lt;=128,"address",IF(H2233&lt;=600,"data1",IF(H2233&lt;=1264,"zero-run1",IF(H2233&lt;=1648,"data2",IF(H2233&lt;=2176,"zero-run2",IF(H2233&lt;=2192,"FCS","trailing")))))))</f>
        <v/>
      </c>
      <c r="J2233">
        <f>IFERROR(IF(AND(H2233&lt;&gt;"",H2233&gt;=129,H2233&lt;=2176),INDEX(Fields!$B$2:$B$206,MATCH(H2233-129,Fields!$D$2:$D$206,1)),""),"")</f>
        <v/>
      </c>
      <c r="K2233">
        <f>IFERROR(IF(AND(H2233&lt;&gt;"",H2233&gt;=129,H2233&lt;=2176),INDEX(Fields!$C$2:$C$206,MATCH(H2233-129,Fields!$D$2:$D$206,1)),""),"")</f>
        <v/>
      </c>
      <c r="L2233">
        <f>IFERROR(IF(AND(H2233&lt;&gt;"",H2233&gt;=129,H2233&lt;=2176),INDEX(Fields!$J$2:$J$206,MATCH(H2233-129,Fields!$D$2:$D$206,1)),""),"")</f>
        <v/>
      </c>
      <c r="M2233">
        <f>IFERROR(IF(AND(H2233&lt;&gt;"",H2233&gt;=129,H2233&lt;=2176),INDEX(Fields!$K$2:$K$206,MATCH(H2233-129,Fields!$D$2:$D$206,1)),""),"")</f>
        <v/>
      </c>
    </row>
    <row r="2234">
      <c r="A2234" t="n">
        <v>2232</v>
      </c>
      <c r="B2234" t="n">
        <v>1</v>
      </c>
      <c r="C2234" t="inlineStr">
        <is>
          <t>No</t>
        </is>
      </c>
      <c r="D2234">
        <f>IF(AND(B2229=1,B2230=1,B2231=1,B2232=1,B2233=1),"Yes","")</f>
        <v/>
      </c>
      <c r="E2234" t="inlineStr">
        <is>
          <t>No</t>
        </is>
      </c>
      <c r="F2234" t="inlineStr">
        <is>
          <t>No</t>
        </is>
      </c>
      <c r="G2234">
        <f>IF(F2234="Yes",1-B2234,B2234)</f>
        <v/>
      </c>
      <c r="H2234">
        <f>IF(E2234="Yes","",COUNTIFS($E$2:E2234,"No"))</f>
        <v/>
      </c>
      <c r="I2234">
        <f>IF(H2234="","",IF(H2234&lt;=128,"address",IF(H2234&lt;=600,"data1",IF(H2234&lt;=1264,"zero-run1",IF(H2234&lt;=1648,"data2",IF(H2234&lt;=2176,"zero-run2",IF(H2234&lt;=2192,"FCS","trailing")))))))</f>
        <v/>
      </c>
      <c r="J2234">
        <f>IFERROR(IF(AND(H2234&lt;&gt;"",H2234&gt;=129,H2234&lt;=2176),INDEX(Fields!$B$2:$B$206,MATCH(H2234-129,Fields!$D$2:$D$206,1)),""),"")</f>
        <v/>
      </c>
      <c r="K2234">
        <f>IFERROR(IF(AND(H2234&lt;&gt;"",H2234&gt;=129,H2234&lt;=2176),INDEX(Fields!$C$2:$C$206,MATCH(H2234-129,Fields!$D$2:$D$206,1)),""),"")</f>
        <v/>
      </c>
      <c r="L2234">
        <f>IFERROR(IF(AND(H2234&lt;&gt;"",H2234&gt;=129,H2234&lt;=2176),INDEX(Fields!$J$2:$J$206,MATCH(H2234-129,Fields!$D$2:$D$206,1)),""),"")</f>
        <v/>
      </c>
      <c r="M2234">
        <f>IFERROR(IF(AND(H2234&lt;&gt;"",H2234&gt;=129,H2234&lt;=2176),INDEX(Fields!$K$2:$K$206,MATCH(H2234-129,Fields!$D$2:$D$206,1)),""),"")</f>
        <v/>
      </c>
    </row>
    <row r="2235">
      <c r="A2235" t="n">
        <v>2233</v>
      </c>
      <c r="B2235" t="n">
        <v>1</v>
      </c>
      <c r="C2235" t="inlineStr">
        <is>
          <t>No</t>
        </is>
      </c>
      <c r="D2235">
        <f>IF(AND(B2230=1,B2231=1,B2232=1,B2233=1,B2234=1),"Yes","")</f>
        <v/>
      </c>
      <c r="E2235" t="inlineStr">
        <is>
          <t>No</t>
        </is>
      </c>
      <c r="F2235" t="inlineStr">
        <is>
          <t>No</t>
        </is>
      </c>
      <c r="G2235">
        <f>IF(F2235="Yes",1-B2235,B2235)</f>
        <v/>
      </c>
      <c r="H2235">
        <f>IF(E2235="Yes","",COUNTIFS($E$2:E2235,"No"))</f>
        <v/>
      </c>
      <c r="I2235">
        <f>IF(H2235="","",IF(H2235&lt;=128,"address",IF(H2235&lt;=600,"data1",IF(H2235&lt;=1264,"zero-run1",IF(H2235&lt;=1648,"data2",IF(H2235&lt;=2176,"zero-run2",IF(H2235&lt;=2192,"FCS","trailing")))))))</f>
        <v/>
      </c>
      <c r="J2235">
        <f>IFERROR(IF(AND(H2235&lt;&gt;"",H2235&gt;=129,H2235&lt;=2176),INDEX(Fields!$B$2:$B$206,MATCH(H2235-129,Fields!$D$2:$D$206,1)),""),"")</f>
        <v/>
      </c>
      <c r="K2235">
        <f>IFERROR(IF(AND(H2235&lt;&gt;"",H2235&gt;=129,H2235&lt;=2176),INDEX(Fields!$C$2:$C$206,MATCH(H2235-129,Fields!$D$2:$D$206,1)),""),"")</f>
        <v/>
      </c>
      <c r="L2235">
        <f>IFERROR(IF(AND(H2235&lt;&gt;"",H2235&gt;=129,H2235&lt;=2176),INDEX(Fields!$J$2:$J$206,MATCH(H2235-129,Fields!$D$2:$D$206,1)),""),"")</f>
        <v/>
      </c>
      <c r="M2235">
        <f>IFERROR(IF(AND(H2235&lt;&gt;"",H2235&gt;=129,H2235&lt;=2176),INDEX(Fields!$K$2:$K$206,MATCH(H2235-129,Fields!$D$2:$D$206,1)),""),"")</f>
        <v/>
      </c>
    </row>
    <row r="2236">
      <c r="A2236" t="n">
        <v>2234</v>
      </c>
      <c r="B2236" t="n">
        <v>0</v>
      </c>
      <c r="C2236" s="4" t="inlineStr">
        <is>
          <t>Yes</t>
        </is>
      </c>
      <c r="D2236" s="4">
        <f>IF(AND(B2231=1,B2232=1,B2233=1,B2234=1,B2235=1),"Yes","")</f>
        <v/>
      </c>
      <c r="E2236" t="inlineStr">
        <is>
          <t>No</t>
        </is>
      </c>
      <c r="F2236" t="inlineStr">
        <is>
          <t>No</t>
        </is>
      </c>
      <c r="G2236">
        <f>IF(F2236="Yes",1-B2236,B2236)</f>
        <v/>
      </c>
      <c r="H2236">
        <f>IF(E2236="Yes","",COUNTIFS($E$2:E2236,"No"))</f>
        <v/>
      </c>
      <c r="I2236">
        <f>IF(H2236="","",IF(H2236&lt;=128,"address",IF(H2236&lt;=600,"data1",IF(H2236&lt;=1264,"zero-run1",IF(H2236&lt;=1648,"data2",IF(H2236&lt;=2176,"zero-run2",IF(H2236&lt;=2192,"FCS","trailing")))))))</f>
        <v/>
      </c>
      <c r="J2236">
        <f>IFERROR(IF(AND(H2236&lt;&gt;"",H2236&gt;=129,H2236&lt;=2176),INDEX(Fields!$B$2:$B$206,MATCH(H2236-129,Fields!$D$2:$D$206,1)),""),"")</f>
        <v/>
      </c>
      <c r="K2236">
        <f>IFERROR(IF(AND(H2236&lt;&gt;"",H2236&gt;=129,H2236&lt;=2176),INDEX(Fields!$C$2:$C$206,MATCH(H2236-129,Fields!$D$2:$D$206,1)),""),"")</f>
        <v/>
      </c>
      <c r="L2236">
        <f>IFERROR(IF(AND(H2236&lt;&gt;"",H2236&gt;=129,H2236&lt;=2176),INDEX(Fields!$J$2:$J$206,MATCH(H2236-129,Fields!$D$2:$D$206,1)),""),"")</f>
        <v/>
      </c>
      <c r="M2236">
        <f>IFERROR(IF(AND(H2236&lt;&gt;"",H2236&gt;=129,H2236&lt;=2176),INDEX(Fields!$K$2:$K$206,MATCH(H2236-129,Fields!$D$2:$D$206,1)),""),"")</f>
        <v/>
      </c>
    </row>
    <row r="2237">
      <c r="A2237" t="n">
        <v>2235</v>
      </c>
      <c r="B2237" t="n">
        <v>0</v>
      </c>
      <c r="C2237" t="inlineStr">
        <is>
          <t>No</t>
        </is>
      </c>
      <c r="D2237">
        <f>IF(AND(B2232=1,B2233=1,B2234=1,B2235=1,B2236=1),"Yes","")</f>
        <v/>
      </c>
      <c r="E2237" t="inlineStr">
        <is>
          <t>No</t>
        </is>
      </c>
      <c r="F2237" t="inlineStr">
        <is>
          <t>No</t>
        </is>
      </c>
      <c r="G2237">
        <f>IF(F2237="Yes",1-B2237,B2237)</f>
        <v/>
      </c>
      <c r="H2237">
        <f>IF(E2237="Yes","",COUNTIFS($E$2:E2237,"No"))</f>
        <v/>
      </c>
      <c r="I2237">
        <f>IF(H2237="","",IF(H2237&lt;=128,"address",IF(H2237&lt;=600,"data1",IF(H2237&lt;=1264,"zero-run1",IF(H2237&lt;=1648,"data2",IF(H2237&lt;=2176,"zero-run2",IF(H2237&lt;=2192,"FCS","trailing")))))))</f>
        <v/>
      </c>
      <c r="J2237">
        <f>IFERROR(IF(AND(H2237&lt;&gt;"",H2237&gt;=129,H2237&lt;=2176),INDEX(Fields!$B$2:$B$206,MATCH(H2237-129,Fields!$D$2:$D$206,1)),""),"")</f>
        <v/>
      </c>
      <c r="K2237">
        <f>IFERROR(IF(AND(H2237&lt;&gt;"",H2237&gt;=129,H2237&lt;=2176),INDEX(Fields!$C$2:$C$206,MATCH(H2237-129,Fields!$D$2:$D$206,1)),""),"")</f>
        <v/>
      </c>
      <c r="L2237">
        <f>IFERROR(IF(AND(H2237&lt;&gt;"",H2237&gt;=129,H2237&lt;=2176),INDEX(Fields!$J$2:$J$206,MATCH(H2237-129,Fields!$D$2:$D$206,1)),""),"")</f>
        <v/>
      </c>
      <c r="M2237">
        <f>IFERROR(IF(AND(H2237&lt;&gt;"",H2237&gt;=129,H2237&lt;=2176),INDEX(Fields!$K$2:$K$206,MATCH(H2237-129,Fields!$D$2:$D$206,1)),""),"")</f>
        <v/>
      </c>
    </row>
    <row r="2238">
      <c r="A2238" t="n">
        <v>2236</v>
      </c>
      <c r="B2238" t="n">
        <v>0</v>
      </c>
      <c r="C2238" t="inlineStr">
        <is>
          <t>No</t>
        </is>
      </c>
      <c r="D2238">
        <f>IF(AND(B2233=1,B2234=1,B2235=1,B2236=1,B2237=1),"Yes","")</f>
        <v/>
      </c>
      <c r="E2238" t="inlineStr">
        <is>
          <t>No</t>
        </is>
      </c>
      <c r="F2238" t="inlineStr">
        <is>
          <t>No</t>
        </is>
      </c>
      <c r="G2238">
        <f>IF(F2238="Yes",1-B2238,B2238)</f>
        <v/>
      </c>
      <c r="H2238">
        <f>IF(E2238="Yes","",COUNTIFS($E$2:E2238,"No"))</f>
        <v/>
      </c>
      <c r="I2238">
        <f>IF(H2238="","",IF(H2238&lt;=128,"address",IF(H2238&lt;=600,"data1",IF(H2238&lt;=1264,"zero-run1",IF(H2238&lt;=1648,"data2",IF(H2238&lt;=2176,"zero-run2",IF(H2238&lt;=2192,"FCS","trailing")))))))</f>
        <v/>
      </c>
      <c r="J2238">
        <f>IFERROR(IF(AND(H2238&lt;&gt;"",H2238&gt;=129,H2238&lt;=2176),INDEX(Fields!$B$2:$B$206,MATCH(H2238-129,Fields!$D$2:$D$206,1)),""),"")</f>
        <v/>
      </c>
      <c r="K2238">
        <f>IFERROR(IF(AND(H2238&lt;&gt;"",H2238&gt;=129,H2238&lt;=2176),INDEX(Fields!$C$2:$C$206,MATCH(H2238-129,Fields!$D$2:$D$206,1)),""),"")</f>
        <v/>
      </c>
      <c r="L2238">
        <f>IFERROR(IF(AND(H2238&lt;&gt;"",H2238&gt;=129,H2238&lt;=2176),INDEX(Fields!$J$2:$J$206,MATCH(H2238-129,Fields!$D$2:$D$206,1)),""),"")</f>
        <v/>
      </c>
      <c r="M2238">
        <f>IFERROR(IF(AND(H2238&lt;&gt;"",H2238&gt;=129,H2238&lt;=2176),INDEX(Fields!$K$2:$K$206,MATCH(H2238-129,Fields!$D$2:$D$206,1)),""),"")</f>
        <v/>
      </c>
    </row>
    <row r="2239">
      <c r="A2239" t="n">
        <v>2237</v>
      </c>
      <c r="B2239" t="n">
        <v>1</v>
      </c>
      <c r="C2239" t="inlineStr">
        <is>
          <t>No</t>
        </is>
      </c>
      <c r="D2239">
        <f>IF(AND(B2234=1,B2235=1,B2236=1,B2237=1,B2238=1),"Yes","")</f>
        <v/>
      </c>
      <c r="E2239" t="inlineStr">
        <is>
          <t>No</t>
        </is>
      </c>
      <c r="F2239" t="inlineStr">
        <is>
          <t>No</t>
        </is>
      </c>
      <c r="G2239">
        <f>IF(F2239="Yes",1-B2239,B2239)</f>
        <v/>
      </c>
      <c r="H2239">
        <f>IF(E2239="Yes","",COUNTIFS($E$2:E2239,"No"))</f>
        <v/>
      </c>
      <c r="I2239">
        <f>IF(H2239="","",IF(H2239&lt;=128,"address",IF(H2239&lt;=600,"data1",IF(H2239&lt;=1264,"zero-run1",IF(H2239&lt;=1648,"data2",IF(H2239&lt;=2176,"zero-run2",IF(H2239&lt;=2192,"FCS","trailing")))))))</f>
        <v/>
      </c>
      <c r="J2239">
        <f>IFERROR(IF(AND(H2239&lt;&gt;"",H2239&gt;=129,H2239&lt;=2176),INDEX(Fields!$B$2:$B$206,MATCH(H2239-129,Fields!$D$2:$D$206,1)),""),"")</f>
        <v/>
      </c>
      <c r="K2239">
        <f>IFERROR(IF(AND(H2239&lt;&gt;"",H2239&gt;=129,H2239&lt;=2176),INDEX(Fields!$C$2:$C$206,MATCH(H2239-129,Fields!$D$2:$D$206,1)),""),"")</f>
        <v/>
      </c>
      <c r="L2239">
        <f>IFERROR(IF(AND(H2239&lt;&gt;"",H2239&gt;=129,H2239&lt;=2176),INDEX(Fields!$J$2:$J$206,MATCH(H2239-129,Fields!$D$2:$D$206,1)),""),"")</f>
        <v/>
      </c>
      <c r="M2239">
        <f>IFERROR(IF(AND(H2239&lt;&gt;"",H2239&gt;=129,H2239&lt;=2176),INDEX(Fields!$K$2:$K$206,MATCH(H2239-129,Fields!$D$2:$D$206,1)),""),"")</f>
        <v/>
      </c>
    </row>
    <row r="2240">
      <c r="A2240" t="n">
        <v>2238</v>
      </c>
      <c r="B2240" t="n">
        <v>1</v>
      </c>
      <c r="C2240" t="inlineStr">
        <is>
          <t>No</t>
        </is>
      </c>
      <c r="D2240">
        <f>IF(AND(B2235=1,B2236=1,B2237=1,B2238=1,B2239=1),"Yes","")</f>
        <v/>
      </c>
      <c r="E2240" t="inlineStr">
        <is>
          <t>No</t>
        </is>
      </c>
      <c r="F2240" t="inlineStr">
        <is>
          <t>No</t>
        </is>
      </c>
      <c r="G2240">
        <f>IF(F2240="Yes",1-B2240,B2240)</f>
        <v/>
      </c>
      <c r="H2240">
        <f>IF(E2240="Yes","",COUNTIFS($E$2:E2240,"No"))</f>
        <v/>
      </c>
      <c r="I2240">
        <f>IF(H2240="","",IF(H2240&lt;=128,"address",IF(H2240&lt;=600,"data1",IF(H2240&lt;=1264,"zero-run1",IF(H2240&lt;=1648,"data2",IF(H2240&lt;=2176,"zero-run2",IF(H2240&lt;=2192,"FCS","trailing")))))))</f>
        <v/>
      </c>
      <c r="J2240">
        <f>IFERROR(IF(AND(H2240&lt;&gt;"",H2240&gt;=129,H2240&lt;=2176),INDEX(Fields!$B$2:$B$206,MATCH(H2240-129,Fields!$D$2:$D$206,1)),""),"")</f>
        <v/>
      </c>
      <c r="K2240">
        <f>IFERROR(IF(AND(H2240&lt;&gt;"",H2240&gt;=129,H2240&lt;=2176),INDEX(Fields!$C$2:$C$206,MATCH(H2240-129,Fields!$D$2:$D$206,1)),""),"")</f>
        <v/>
      </c>
      <c r="L2240">
        <f>IFERROR(IF(AND(H2240&lt;&gt;"",H2240&gt;=129,H2240&lt;=2176),INDEX(Fields!$J$2:$J$206,MATCH(H2240-129,Fields!$D$2:$D$206,1)),""),"")</f>
        <v/>
      </c>
      <c r="M2240">
        <f>IFERROR(IF(AND(H2240&lt;&gt;"",H2240&gt;=129,H2240&lt;=2176),INDEX(Fields!$K$2:$K$206,MATCH(H2240-129,Fields!$D$2:$D$206,1)),""),"")</f>
        <v/>
      </c>
    </row>
    <row r="2241">
      <c r="A2241" t="n">
        <v>2239</v>
      </c>
      <c r="B2241" t="n">
        <v>1</v>
      </c>
      <c r="C2241" t="inlineStr">
        <is>
          <t>No</t>
        </is>
      </c>
      <c r="D2241">
        <f>IF(AND(B2236=1,B2237=1,B2238=1,B2239=1,B2240=1),"Yes","")</f>
        <v/>
      </c>
      <c r="E2241" t="inlineStr">
        <is>
          <t>No</t>
        </is>
      </c>
      <c r="F2241" t="inlineStr">
        <is>
          <t>No</t>
        </is>
      </c>
      <c r="G2241">
        <f>IF(F2241="Yes",1-B2241,B2241)</f>
        <v/>
      </c>
      <c r="H2241">
        <f>IF(E2241="Yes","",COUNTIFS($E$2:E2241,"No"))</f>
        <v/>
      </c>
      <c r="I2241">
        <f>IF(H2241="","",IF(H2241&lt;=128,"address",IF(H2241&lt;=600,"data1",IF(H2241&lt;=1264,"zero-run1",IF(H2241&lt;=1648,"data2",IF(H2241&lt;=2176,"zero-run2",IF(H2241&lt;=2192,"FCS","trailing")))))))</f>
        <v/>
      </c>
      <c r="J2241">
        <f>IFERROR(IF(AND(H2241&lt;&gt;"",H2241&gt;=129,H2241&lt;=2176),INDEX(Fields!$B$2:$B$206,MATCH(H2241-129,Fields!$D$2:$D$206,1)),""),"")</f>
        <v/>
      </c>
      <c r="K2241">
        <f>IFERROR(IF(AND(H2241&lt;&gt;"",H2241&gt;=129,H2241&lt;=2176),INDEX(Fields!$C$2:$C$206,MATCH(H2241-129,Fields!$D$2:$D$206,1)),""),"")</f>
        <v/>
      </c>
      <c r="L2241">
        <f>IFERROR(IF(AND(H2241&lt;&gt;"",H2241&gt;=129,H2241&lt;=2176),INDEX(Fields!$J$2:$J$206,MATCH(H2241-129,Fields!$D$2:$D$206,1)),""),"")</f>
        <v/>
      </c>
      <c r="M2241">
        <f>IFERROR(IF(AND(H2241&lt;&gt;"",H2241&gt;=129,H2241&lt;=2176),INDEX(Fields!$K$2:$K$206,MATCH(H2241-129,Fields!$D$2:$D$206,1)),""),"")</f>
        <v/>
      </c>
    </row>
  </sheetData>
  <conditionalFormatting sqref="A2:M2241">
    <cfRule type="expression" priority="1" dxfId="0" stopIfTrue="1">
      <formula>$E2="Yes"</formula>
    </cfRule>
    <cfRule type="expression" priority="2" dxfId="1" stopIfTrue="1">
      <formula>$I2="address"</formula>
    </cfRule>
    <cfRule type="expression" priority="3" dxfId="2" stopIfTrue="1">
      <formula>$I2="data1"</formula>
    </cfRule>
    <cfRule type="expression" priority="4" dxfId="3" stopIfTrue="1">
      <formula>$I2="zero-run1"</formula>
    </cfRule>
    <cfRule type="expression" priority="5" dxfId="4" stopIfTrue="1">
      <formula>$I2="data2"</formula>
    </cfRule>
    <cfRule type="expression" priority="6" dxfId="5" stopIfTrue="1">
      <formula>$I2="zero-run2"</formula>
    </cfRule>
    <cfRule type="expression" priority="7" dxfId="6" stopIfTrue="1">
      <formula>$I2="FCS"</formula>
    </cfRule>
    <cfRule type="expression" priority="8" dxfId="7" stopIfTrue="1">
      <formula>$I2="trailing"</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E1002 E1003 E1004 E1005 E1006 E1007 E1008 E1009 E1010 E1011 E1012 E1013 E1014 E1015 E1016 E1017 E1018 E1019 E1020 E1021 E1022 E1023 E1024 E1025 E1026 E1027 E1028 E1029 E1030 E1031 E1032 E1033 E1034 E1035 E1036 E1037 E1038 E1039 E1040 E1041 E1042 E1043 E1044 E1045 E1046 E1047 E1048 E1049 E1050 E1051 E1052 E1053 E1054 E1055 E1056 E1057 E1058 E1059 E1060 E1061 E1062 E1063 E1064 E1065 E1066 E1067 E1068 E1069 E1070 E1071 E1072 E1073 E1074 E1075 E1076 E1077 E1078 E1079 E1080 E1081 E1082 E1083 E1084 E1085 E1086 E1087 E1088 E1089 E1090 E1091 E1092 E1093 E1094 E1095 E1096 E1097 E1098 E1099 E1100 E1101 E1102 E1103 E1104 E1105 E1106 E1107 E1108 E1109 E1110 E1111 E1112 E1113 E1114 E1115 E1116 E1117 E1118 E1119 E1120 E1121 E1122 E1123 E1124 E1125 E1126 E1127 E1128 E1129 E1130 E1131 E1132 E1133 E1134 E1135 E1136 E1137 E1138 E1139 E1140 E1141 E1142 E1143 E1144 E1145 E1146 E1147 E1148 E1149 E1150 E1151 E1152 E1153 E1154 E1155 E1156 E1157 E1158 E1159 E1160 E1161 E1162 E1163 E1164 E1165 E1166 E1167 E1168 E1169 E1170 E1171 E1172 E1173 E1174 E1175 E1176 E1177 E1178 E1179 E1180 E1181 E1182 E1183 E1184 E1185 E1186 E1187 E1188 E1189 E1190 E1191 E1192 E1193 E1194 E1195 E1196 E1197 E1198 E1199 E1200 E1201 E1202 E1203 E1204 E1205 E1206 E1207 E1208 E1209 E1210 E1211 E1212 E1213 E1214 E1215 E1216 E1217 E1218 E1219 E1220 E1221 E1222 E1223 E1224 E1225 E1226 E1227 E1228 E1229 E1230 E1231 E1232 E1233 E1234 E1235 E1236 E1237 E1238 E1239 E1240 E1241 E1242 E1243 E1244 E1245 E1246 E1247 E1248 E1249 E1250 E1251 E1252 E1253 E1254 E1255 E1256 E1257 E1258 E1259 E1260 E1261 E1262 E1263 E1264 E1265 E1266 E1267 E1268 E1269 E1270 E1271 E1272 E1273 E1274 E1275 E1276 E1277 E1278 E1279 E1280 E1281 E1282 E1283 E1284 E1285 E1286 E1287 E1288 E1289 E1290 E1291 E1292 E1293 E1294 E1295 E1296 E1297 E1298 E1299 E1300 E1301 E1302 E1303 E1304 E1305 E1306 E1307 E1308 E1309 E1310 E1311 E1312 E1313 E1314 E1315 E1316 E1317 E1318 E1319 E1320 E1321 E1322 E1323 E1324 E1325 E1326 E1327 E1328 E1329 E1330 E1331 E1332 E1333 E1334 E1335 E1336 E1337 E1338 E1339 E1340 E1341 E1342 E1343 E1344 E1345 E1346 E1347 E1348 E1349 E1350 E1351 E1352 E1353 E1354 E1355 E1356 E1357 E1358 E1359 E1360 E1361 E1362 E1363 E1364 E1365 E1366 E1367 E1368 E1369 E1370 E1371 E1372 E1373 E1374 E1375 E1376 E1377 E1378 E1379 E1380 E1381 E1382 E1383 E1384 E1385 E1386 E1387 E1388 E1389 E1390 E1391 E1392 E1393 E1394 E1395 E1396 E1397 E1398 E1399 E1400 E1401 E1402 E1403 E1404 E1405 E1406 E1407 E1408 E1409 E1410 E1411 E1412 E1413 E1414 E1415 E1416 E1417 E1418 E1419 E1420 E1421 E1422 E1423 E1424 E1425 E1426 E1427 E1428 E1429 E1430 E1431 E1432 E1433 E1434 E1435 E1436 E1437 E1438 E1439 E1440 E1441 E1442 E1443 E1444 E1445 E1446 E1447 E1448 E1449 E1450 E1451 E1452 E1453 E1454 E1455 E1456 E1457 E1458 E1459 E1460 E1461 E1462 E1463 E1464 E1465 E1466 E1467 E1468 E1469 E1470 E1471 E1472 E1473 E1474 E1475 E1476 E1477 E1478 E1479 E1480 E1481 E1482 E1483 E1484 E1485 E1486 E1487 E1488 E1489 E1490 E1491 E1492 E1493 E1494 E1495 E1496 E1497 E1498 E1499 E1500 E1501 E1502 E1503 E1504 E1505 E1506 E1507 E1508 E1509 E1510 E1511 E1512 E1513 E1514 E1515 E1516 E1517 E1518 E1519 E1520 E1521 E1522 E1523 E1524 E1525 E1526 E1527 E1528 E1529 E1530 E1531 E1532 E1533 E1534 E1535 E1536 E1537 E1538 E1539 E1540 E1541 E1542 E1543 E1544 E1545 E1546 E1547 E1548 E1549 E1550 E1551 E1552 E1553 E1554 E1555 E1556 E1557 E1558 E1559 E1560 E1561 E1562 E1563 E1564 E1565 E1566 E1567 E1568 E1569 E1570 E1571 E1572 E1573 E1574 E1575 E1576 E1577 E1578 E1579 E1580 E1581 E1582 E1583 E1584 E1585 E1586 E1587 E1588 E1589 E1590 E1591 E1592 E1593 E1594 E1595 E1596 E1597 E1598 E1599 E1600 E1601 E1602 E1603 E1604 E1605 E1606 E1607 E1608 E1609 E1610 E1611 E1612 E1613 E1614 E1615 E1616 E1617 E1618 E1619 E1620 E1621 E1622 E1623 E1624 E1625 E1626 E1627 E1628 E1629 E1630 E1631 E1632 E1633 E1634 E1635 E1636 E1637 E1638 E1639 E1640 E1641 E1642 E1643 E1644 E1645 E1646 E1647 E1648 E1649 E1650 E1651 E1652 E1653 E1654 E1655 E1656 E1657 E1658 E1659 E1660 E1661 E1662 E1663 E1664 E1665 E1666 E1667 E1668 E1669 E1670 E1671 E1672 E1673 E1674 E1675 E1676 E1677 E1678 E1679 E1680 E1681 E1682 E1683 E1684 E1685 E1686 E1687 E1688 E1689 E1690 E1691 E1692 E1693 E1694 E1695 E1696 E1697 E1698 E1699 E1700 E1701 E1702 E1703 E1704 E1705 E1706 E1707 E1708 E1709 E1710 E1711 E1712 E1713 E1714 E1715 E1716 E1717 E1718 E1719 E1720 E1721 E1722 E1723 E1724 E1725 E1726 E1727 E1728 E1729 E1730 E1731 E1732 E1733 E1734 E1735 E1736 E1737 E1738 E1739 E1740 E1741 E1742 E1743 E1744 E1745 E1746 E1747 E1748 E1749 E1750 E1751 E1752 E1753 E1754 E1755 E1756 E1757 E1758 E1759 E1760 E1761 E1762 E1763 E1764 E1765 E1766 E1767 E1768 E1769 E1770 E1771 E1772 E1773 E1774 E1775 E1776 E1777 E1778 E1779 E1780 E1781 E1782 E1783 E1784 E1785 E1786 E1787 E1788 E1789 E1790 E1791 E1792 E1793 E1794 E1795 E1796 E1797 E1798 E1799 E1800 E1801 E1802 E1803 E1804 E1805 E1806 E1807 E1808 E1809 E1810 E1811 E1812 E1813 E1814 E1815 E1816 E1817 E1818 E1819 E1820 E1821 E1822 E1823 E1824 E1825 E1826 E1827 E1828 E1829 E1830 E1831 E1832 E1833 E1834 E1835 E1836 E1837 E1838 E1839 E1840 E1841 E1842 E1843 E1844 E1845 E1846 E1847 E1848 E1849 E1850 E1851 E1852 E1853 E1854 E1855 E1856 E1857 E1858 E1859 E1860 E1861 E1862 E1863 E1864 E1865 E1866 E1867 E1868 E1869 E1870 E1871 E1872 E1873 E1874 E1875 E1876 E1877 E1878 E1879 E1880 E1881 E1882 E1883 E1884 E1885 E1886 E1887 E1888 E1889 E1890 E1891 E1892 E1893 E1894 E1895 E1896 E1897 E1898 E1899 E1900 E1901 E1902 E1903 E1904 E1905 E1906 E1907 E1908 E1909 E1910 E1911 E1912 E1913 E1914 E1915 E1916 E1917 E1918 E1919 E1920 E1921 E1922 E1923 E1924 E1925 E1926 E1927 E1928 E1929 E1930 E1931 E1932 E1933 E1934 E1935 E1936 E1937 E1938 E1939 E1940 E1941 E1942 E1943 E1944 E1945 E1946 E1947 E1948 E1949 E1950 E1951 E1952 E1953 E1954 E1955 E1956 E1957 E1958 E1959 E1960 E1961 E1962 E1963 E1964 E1965 E1966 E1967 E1968 E1969 E1970 E1971 E1972 E1973 E1974 E1975 E1976 E1977 E1978 E1979 E1980 E1981 E1982 E1983 E1984 E1985 E1986 E1987 E1988 E1989 E1990 E1991 E1992 E1993 E1994 E1995 E1996 E1997 E1998 E1999 E2000 E2001 E2002 E2003 E2004 E2005 E2006 E2007 E2008 E2009 E2010 E2011 E2012 E2013 E2014 E2015 E2016 E2017 E2018 E2019 E2020 E2021 E2022 E2023 E2024 E2025 E2026 E2027 E2028 E2029 E2030 E2031 E2032 E2033 E2034 E2035 E2036 E2037 E2038 E2039 E2040 E2041 E2042 E2043 E2044 E2045 E2046 E2047 E2048 E2049 E2050 E2051 E2052 E2053 E2054 E2055 E2056 E2057 E2058 E2059 E2060 E2061 E2062 E2063 E2064 E2065 E2066 E2067 E2068 E2069 E2070 E2071 E2072 E2073 E2074 E2075 E2076 E2077 E2078 E2079 E2080 E2081 E2082 E2083 E2084 E2085 E2086 E2087 E2088 E2089 E2090 E2091 E2092 E2093 E2094 E2095 E2096 E2097 E2098 E2099 E2100 E2101 E2102 E2103 E2104 E2105 E2106 E2107 E2108 E2109 E2110 E2111 E2112 E2113 E2114 E2115 E2116 E2117 E2118 E2119 E2120 E2121 E2122 E2123 E2124 E2125 E2126 E2127 E2128 E2129 E2130 E2131 E2132 E2133 E2134 E2135 E2136 E2137 E2138 E2139 E2140 E2141 E2142 E2143 E2144 E2145 E2146 E2147 E2148 E2149 E2150 E2151 E2152 E2153 E2154 E2155 E2156 E2157 E2158 E2159 E2160 E2161 E2162 E2163 E2164 E2165 E2166 E2167 E2168 E2169 E2170 E2171 E2172 E2173 E2174 E2175 E2176 E2177 E2178 E2179 E2180 E2181 E2182 E2183 E2184 E2185 E2186 E2187 E2188 E2189 E2190 E2191 E2192 E2193 E2194 E2195 E2196 E2197 E2198 E2199 E2200 E2201 E2202 E2203 E2204 E2205 E2206 E2207 E2208 E2209 E2210 E2211 E2212 E2213 E2214 E2215 E2216 E2217 E2218 E2219 E2220 E2221 E2222 E2223 E2224 E2225 E2226 E2227 E2228 E2229 E2230 E2231 E2232 E2233 E2234 E2235 E2236 E2237 E2238 E2239 E2240 E2241" showDropDown="0" showInputMessage="0" showErrorMessage="0" allowBlank="0" type="list">
      <formula1>"Yes,No"</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F1002 F1003 F1004 F1005 F1006 F1007 F1008 F1009 F1010 F1011 F1012 F1013 F1014 F1015 F1016 F1017 F1018 F1019 F1020 F1021 F1022 F1023 F1024 F1025 F1026 F1027 F1028 F1029 F1030 F1031 F1032 F1033 F1034 F1035 F1036 F1037 F1038 F1039 F1040 F1041 F1042 F1043 F1044 F1045 F1046 F1047 F1048 F1049 F1050 F1051 F1052 F1053 F1054 F1055 F1056 F1057 F1058 F1059 F1060 F1061 F1062 F1063 F1064 F1065 F1066 F1067 F1068 F1069 F1070 F1071 F1072 F1073 F1074 F1075 F1076 F1077 F1078 F1079 F1080 F1081 F1082 F1083 F1084 F1085 F1086 F1087 F1088 F1089 F1090 F1091 F1092 F1093 F1094 F1095 F1096 F1097 F1098 F1099 F1100 F1101 F1102 F1103 F1104 F1105 F1106 F1107 F1108 F1109 F1110 F1111 F1112 F1113 F1114 F1115 F1116 F1117 F1118 F1119 F1120 F1121 F1122 F1123 F1124 F1125 F1126 F1127 F1128 F1129 F1130 F1131 F1132 F1133 F1134 F1135 F1136 F1137 F1138 F1139 F1140 F1141 F1142 F1143 F1144 F1145 F1146 F1147 F1148 F1149 F1150 F1151 F1152 F1153 F1154 F1155 F1156 F1157 F1158 F1159 F1160 F1161 F1162 F1163 F1164 F1165 F1166 F1167 F1168 F1169 F1170 F1171 F1172 F1173 F1174 F1175 F1176 F1177 F1178 F1179 F1180 F1181 F1182 F1183 F1184 F1185 F1186 F1187 F1188 F1189 F1190 F1191 F1192 F1193 F1194 F1195 F1196 F1197 F1198 F1199 F1200 F1201 F1202 F1203 F1204 F1205 F1206 F1207 F1208 F1209 F1210 F1211 F1212 F1213 F1214 F1215 F1216 F1217 F1218 F1219 F1220 F1221 F1222 F1223 F1224 F1225 F1226 F1227 F1228 F1229 F1230 F1231 F1232 F1233 F1234 F1235 F1236 F1237 F1238 F1239 F1240 F1241 F1242 F1243 F1244 F1245 F1246 F1247 F1248 F1249 F1250 F1251 F1252 F1253 F1254 F1255 F1256 F1257 F1258 F1259 F1260 F1261 F1262 F1263 F1264 F1265 F1266 F1267 F1268 F1269 F1270 F1271 F1272 F1273 F1274 F1275 F1276 F1277 F1278 F1279 F1280 F1281 F1282 F1283 F1284 F1285 F1286 F1287 F1288 F1289 F1290 F1291 F1292 F1293 F1294 F1295 F1296 F1297 F1298 F1299 F1300 F1301 F1302 F1303 F1304 F1305 F1306 F1307 F1308 F1309 F1310 F1311 F1312 F1313 F1314 F1315 F1316 F1317 F1318 F1319 F1320 F1321 F1322 F1323 F1324 F1325 F1326 F1327 F1328 F1329 F1330 F1331 F1332 F1333 F1334 F1335 F1336 F1337 F1338 F1339 F1340 F1341 F1342 F1343 F1344 F1345 F1346 F1347 F1348 F1349 F1350 F1351 F1352 F1353 F1354 F1355 F1356 F1357 F1358 F1359 F1360 F1361 F1362 F1363 F1364 F1365 F1366 F1367 F1368 F1369 F1370 F1371 F1372 F1373 F1374 F1375 F1376 F1377 F1378 F1379 F1380 F1381 F1382 F1383 F1384 F1385 F1386 F1387 F1388 F1389 F1390 F1391 F1392 F1393 F1394 F1395 F1396 F1397 F1398 F1399 F1400 F1401 F1402 F1403 F1404 F1405 F1406 F1407 F1408 F1409 F1410 F1411 F1412 F1413 F1414 F1415 F1416 F1417 F1418 F1419 F1420 F1421 F1422 F1423 F1424 F1425 F1426 F1427 F1428 F1429 F1430 F1431 F1432 F1433 F1434 F1435 F1436 F1437 F1438 F1439 F1440 F1441 F1442 F1443 F1444 F1445 F1446 F1447 F1448 F1449 F1450 F1451 F1452 F1453 F1454 F1455 F1456 F1457 F1458 F1459 F1460 F1461 F1462 F1463 F1464 F1465 F1466 F1467 F1468 F1469 F1470 F1471 F1472 F1473 F1474 F1475 F1476 F1477 F1478 F1479 F1480 F1481 F1482 F1483 F1484 F1485 F1486 F1487 F1488 F1489 F1490 F1491 F1492 F1493 F1494 F1495 F1496 F1497 F1498 F1499 F1500 F1501 F1502 F1503 F1504 F1505 F1506 F1507 F1508 F1509 F1510 F1511 F1512 F1513 F1514 F1515 F1516 F1517 F1518 F1519 F1520 F1521 F1522 F1523 F1524 F1525 F1526 F1527 F1528 F1529 F1530 F1531 F1532 F1533 F1534 F1535 F1536 F1537 F1538 F1539 F1540 F1541 F1542 F1543 F1544 F1545 F1546 F1547 F1548 F1549 F1550 F1551 F1552 F1553 F1554 F1555 F1556 F1557 F1558 F1559 F1560 F1561 F1562 F1563 F1564 F1565 F1566 F1567 F1568 F1569 F1570 F1571 F1572 F1573 F1574 F1575 F1576 F1577 F1578 F1579 F1580 F1581 F1582 F1583 F1584 F1585 F1586 F1587 F1588 F1589 F1590 F1591 F1592 F1593 F1594 F1595 F1596 F1597 F1598 F1599 F1600 F1601 F1602 F1603 F1604 F1605 F1606 F1607 F1608 F1609 F1610 F1611 F1612 F1613 F1614 F1615 F1616 F1617 F1618 F1619 F1620 F1621 F1622 F1623 F1624 F1625 F1626 F1627 F1628 F1629 F1630 F1631 F1632 F1633 F1634 F1635 F1636 F1637 F1638 F1639 F1640 F1641 F1642 F1643 F1644 F1645 F1646 F1647 F1648 F1649 F1650 F1651 F1652 F1653 F1654 F1655 F1656 F1657 F1658 F1659 F1660 F1661 F1662 F1663 F1664 F1665 F1666 F1667 F1668 F1669 F1670 F1671 F1672 F1673 F1674 F1675 F1676 F1677 F1678 F1679 F1680 F1681 F1682 F1683 F1684 F1685 F1686 F1687 F1688 F1689 F1690 F1691 F1692 F1693 F1694 F1695 F1696 F1697 F1698 F1699 F1700 F1701 F1702 F1703 F1704 F1705 F1706 F1707 F1708 F1709 F1710 F1711 F1712 F1713 F1714 F1715 F1716 F1717 F1718 F1719 F1720 F1721 F1722 F1723 F1724 F1725 F1726 F1727 F1728 F1729 F1730 F1731 F1732 F1733 F1734 F1735 F1736 F1737 F1738 F1739 F1740 F1741 F1742 F1743 F1744 F1745 F1746 F1747 F1748 F1749 F1750 F1751 F1752 F1753 F1754 F1755 F1756 F1757 F1758 F1759 F1760 F1761 F1762 F1763 F1764 F1765 F1766 F1767 F1768 F1769 F1770 F1771 F1772 F1773 F1774 F1775 F1776 F1777 F1778 F1779 F1780 F1781 F1782 F1783 F1784 F1785 F1786 F1787 F1788 F1789 F1790 F1791 F1792 F1793 F1794 F1795 F1796 F1797 F1798 F1799 F1800 F1801 F1802 F1803 F1804 F1805 F1806 F1807 F1808 F1809 F1810 F1811 F1812 F1813 F1814 F1815 F1816 F1817 F1818 F1819 F1820 F1821 F1822 F1823 F1824 F1825 F1826 F1827 F1828 F1829 F1830 F1831 F1832 F1833 F1834 F1835 F1836 F1837 F1838 F1839 F1840 F1841 F1842 F1843 F1844 F1845 F1846 F1847 F1848 F1849 F1850 F1851 F1852 F1853 F1854 F1855 F1856 F1857 F1858 F1859 F1860 F1861 F1862 F1863 F1864 F1865 F1866 F1867 F1868 F1869 F1870 F1871 F1872 F1873 F1874 F1875 F1876 F1877 F1878 F1879 F1880 F1881 F1882 F1883 F1884 F1885 F1886 F1887 F1888 F1889 F1890 F1891 F1892 F1893 F1894 F1895 F1896 F1897 F1898 F1899 F1900 F1901 F1902 F1903 F1904 F1905 F1906 F1907 F1908 F1909 F1910 F1911 F1912 F1913 F1914 F1915 F1916 F1917 F1918 F1919 F1920 F1921 F1922 F1923 F1924 F1925 F1926 F1927 F1928 F1929 F1930 F1931 F1932 F1933 F1934 F1935 F1936 F1937 F1938 F1939 F1940 F1941 F1942 F1943 F1944 F1945 F1946 F1947 F1948 F1949 F1950 F1951 F1952 F1953 F1954 F1955 F1956 F1957 F1958 F1959 F1960 F1961 F1962 F1963 F1964 F1965 F1966 F1967 F1968 F1969 F1970 F1971 F1972 F1973 F1974 F1975 F1976 F1977 F1978 F1979 F1980 F1981 F1982 F1983 F1984 F1985 F1986 F1987 F1988 F1989 F1990 F1991 F1992 F1993 F1994 F1995 F1996 F1997 F1998 F1999 F2000 F2001 F2002 F2003 F2004 F2005 F2006 F2007 F2008 F2009 F2010 F2011 F2012 F2013 F2014 F2015 F2016 F2017 F2018 F2019 F2020 F2021 F2022 F2023 F2024 F2025 F2026 F2027 F2028 F2029 F2030 F2031 F2032 F2033 F2034 F2035 F2036 F2037 F2038 F2039 F2040 F2041 F2042 F2043 F2044 F2045 F2046 F2047 F2048 F2049 F2050 F2051 F2052 F2053 F2054 F2055 F2056 F2057 F2058 F2059 F2060 F2061 F2062 F2063 F2064 F2065 F2066 F2067 F2068 F2069 F2070 F2071 F2072 F2073 F2074 F2075 F2076 F2077 F2078 F2079 F2080 F2081 F2082 F2083 F2084 F2085 F2086 F2087 F2088 F2089 F2090 F2091 F2092 F2093 F2094 F2095 F2096 F2097 F2098 F2099 F2100 F2101 F2102 F2103 F2104 F2105 F2106 F2107 F2108 F2109 F2110 F2111 F2112 F2113 F2114 F2115 F2116 F2117 F2118 F2119 F2120 F2121 F2122 F2123 F2124 F2125 F2126 F2127 F2128 F2129 F2130 F2131 F2132 F2133 F2134 F2135 F2136 F2137 F2138 F2139 F2140 F2141 F2142 F2143 F2144 F2145 F2146 F2147 F2148 F2149 F2150 F2151 F2152 F2153 F2154 F2155 F2156 F2157 F2158 F2159 F2160 F2161 F2162 F2163 F2164 F2165 F2166 F2167 F2168 F2169 F2170 F2171 F2172 F2173 F2174 F2175 F2176 F2177 F2178 F2179 F2180 F2181 F2182 F2183 F2184 F2185 F2186 F2187 F2188 F2189 F2190 F2191 F2192 F2193 F2194 F2195 F2196 F2197 F2198 F2199 F2200 F2201 F2202 F2203 F2204 F2205 F2206 F2207 F2208 F2209 F2210 F2211 F2212 F2213 F2214 F2215 F2216 F2217 F2218 F2219 F2220 F2221 F2222 F2223 F2224 F2225 F2226 F2227 F2228 F2229 F2230 F2231 F2232 F2233 F2234 F2235 F2236 F2237 F2238 F2239 F2240 F2241"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9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12" customWidth="1" min="4" max="4"/>
    <col width="30" customWidth="1" min="5" max="5"/>
  </cols>
  <sheetData>
    <row r="1">
      <c r="A1" s="3" t="inlineStr">
        <is>
          <t>Position</t>
        </is>
      </c>
      <c r="B1" s="3" t="inlineStr">
        <is>
          <t>SourceRawBitIndex</t>
        </is>
      </c>
      <c r="C1" s="3" t="inlineStr">
        <is>
          <t>DestuffedBitValue</t>
        </is>
      </c>
      <c r="D1" s="3" t="inlineStr">
        <is>
          <t>Subsystem</t>
        </is>
      </c>
      <c r="E1" s="3" t="inlineStr">
        <is>
          <t>ItemName</t>
        </is>
      </c>
    </row>
    <row r="2">
      <c r="A2" t="n">
        <v>1</v>
      </c>
      <c r="B2">
        <f>IFERROR(INDEX(RawBits!$A:$A,MATCH($A2,RawBits!$H:$H,0)),"?")</f>
        <v/>
      </c>
      <c r="C2">
        <f>IFERROR(INDEX(RawBits!$G:$G,MATCH($A2,RawBits!$H:$H,0)),"")</f>
        <v/>
      </c>
      <c r="D2">
        <f>IFERROR(IF(AND(A2&gt;=129,A2&lt;=2176),INDEX(Fields!$B$2:$B$206,MATCH(A2-129,Fields!$D$2:$D$206,1)),""),"")</f>
        <v/>
      </c>
      <c r="E2">
        <f>IFERROR(IF(AND(A2&gt;=129,A2&lt;=2176),INDEX(Fields!$C$2:$C$206,MATCH(A2-129,Fields!$D$2:$D$206,1)),""),"")</f>
        <v/>
      </c>
    </row>
    <row r="3">
      <c r="A3" t="n">
        <v>2</v>
      </c>
      <c r="B3">
        <f>IFERROR(INDEX(RawBits!$A:$A,MATCH($A3,RawBits!$H:$H,0)),"?")</f>
        <v/>
      </c>
      <c r="C3">
        <f>IFERROR(INDEX(RawBits!$G:$G,MATCH($A3,RawBits!$H:$H,0)),"")</f>
        <v/>
      </c>
      <c r="D3">
        <f>IFERROR(IF(AND(A3&gt;=129,A3&lt;=2176),INDEX(Fields!$B$2:$B$206,MATCH(A3-129,Fields!$D$2:$D$206,1)),""),"")</f>
        <v/>
      </c>
      <c r="E3">
        <f>IFERROR(IF(AND(A3&gt;=129,A3&lt;=2176),INDEX(Fields!$C$2:$C$206,MATCH(A3-129,Fields!$D$2:$D$206,1)),""),"")</f>
        <v/>
      </c>
    </row>
    <row r="4">
      <c r="A4" t="n">
        <v>3</v>
      </c>
      <c r="B4">
        <f>IFERROR(INDEX(RawBits!$A:$A,MATCH($A4,RawBits!$H:$H,0)),"?")</f>
        <v/>
      </c>
      <c r="C4">
        <f>IFERROR(INDEX(RawBits!$G:$G,MATCH($A4,RawBits!$H:$H,0)),"")</f>
        <v/>
      </c>
      <c r="D4">
        <f>IFERROR(IF(AND(A4&gt;=129,A4&lt;=2176),INDEX(Fields!$B$2:$B$206,MATCH(A4-129,Fields!$D$2:$D$206,1)),""),"")</f>
        <v/>
      </c>
      <c r="E4">
        <f>IFERROR(IF(AND(A4&gt;=129,A4&lt;=2176),INDEX(Fields!$C$2:$C$206,MATCH(A4-129,Fields!$D$2:$D$206,1)),""),"")</f>
        <v/>
      </c>
    </row>
    <row r="5">
      <c r="A5" t="n">
        <v>4</v>
      </c>
      <c r="B5">
        <f>IFERROR(INDEX(RawBits!$A:$A,MATCH($A5,RawBits!$H:$H,0)),"?")</f>
        <v/>
      </c>
      <c r="C5">
        <f>IFERROR(INDEX(RawBits!$G:$G,MATCH($A5,RawBits!$H:$H,0)),"")</f>
        <v/>
      </c>
      <c r="D5">
        <f>IFERROR(IF(AND(A5&gt;=129,A5&lt;=2176),INDEX(Fields!$B$2:$B$206,MATCH(A5-129,Fields!$D$2:$D$206,1)),""),"")</f>
        <v/>
      </c>
      <c r="E5">
        <f>IFERROR(IF(AND(A5&gt;=129,A5&lt;=2176),INDEX(Fields!$C$2:$C$206,MATCH(A5-129,Fields!$D$2:$D$206,1)),""),"")</f>
        <v/>
      </c>
    </row>
    <row r="6">
      <c r="A6" t="n">
        <v>5</v>
      </c>
      <c r="B6">
        <f>IFERROR(INDEX(RawBits!$A:$A,MATCH($A6,RawBits!$H:$H,0)),"?")</f>
        <v/>
      </c>
      <c r="C6">
        <f>IFERROR(INDEX(RawBits!$G:$G,MATCH($A6,RawBits!$H:$H,0)),"")</f>
        <v/>
      </c>
      <c r="D6">
        <f>IFERROR(IF(AND(A6&gt;=129,A6&lt;=2176),INDEX(Fields!$B$2:$B$206,MATCH(A6-129,Fields!$D$2:$D$206,1)),""),"")</f>
        <v/>
      </c>
      <c r="E6">
        <f>IFERROR(IF(AND(A6&gt;=129,A6&lt;=2176),INDEX(Fields!$C$2:$C$206,MATCH(A6-129,Fields!$D$2:$D$206,1)),""),"")</f>
        <v/>
      </c>
    </row>
    <row r="7">
      <c r="A7" t="n">
        <v>6</v>
      </c>
      <c r="B7">
        <f>IFERROR(INDEX(RawBits!$A:$A,MATCH($A7,RawBits!$H:$H,0)),"?")</f>
        <v/>
      </c>
      <c r="C7">
        <f>IFERROR(INDEX(RawBits!$G:$G,MATCH($A7,RawBits!$H:$H,0)),"")</f>
        <v/>
      </c>
      <c r="D7">
        <f>IFERROR(IF(AND(A7&gt;=129,A7&lt;=2176),INDEX(Fields!$B$2:$B$206,MATCH(A7-129,Fields!$D$2:$D$206,1)),""),"")</f>
        <v/>
      </c>
      <c r="E7">
        <f>IFERROR(IF(AND(A7&gt;=129,A7&lt;=2176),INDEX(Fields!$C$2:$C$206,MATCH(A7-129,Fields!$D$2:$D$206,1)),""),"")</f>
        <v/>
      </c>
    </row>
    <row r="8">
      <c r="A8" t="n">
        <v>7</v>
      </c>
      <c r="B8">
        <f>IFERROR(INDEX(RawBits!$A:$A,MATCH($A8,RawBits!$H:$H,0)),"?")</f>
        <v/>
      </c>
      <c r="C8">
        <f>IFERROR(INDEX(RawBits!$G:$G,MATCH($A8,RawBits!$H:$H,0)),"")</f>
        <v/>
      </c>
      <c r="D8">
        <f>IFERROR(IF(AND(A8&gt;=129,A8&lt;=2176),INDEX(Fields!$B$2:$B$206,MATCH(A8-129,Fields!$D$2:$D$206,1)),""),"")</f>
        <v/>
      </c>
      <c r="E8">
        <f>IFERROR(IF(AND(A8&gt;=129,A8&lt;=2176),INDEX(Fields!$C$2:$C$206,MATCH(A8-129,Fields!$D$2:$D$206,1)),""),"")</f>
        <v/>
      </c>
    </row>
    <row r="9">
      <c r="A9" t="n">
        <v>8</v>
      </c>
      <c r="B9">
        <f>IFERROR(INDEX(RawBits!$A:$A,MATCH($A9,RawBits!$H:$H,0)),"?")</f>
        <v/>
      </c>
      <c r="C9">
        <f>IFERROR(INDEX(RawBits!$G:$G,MATCH($A9,RawBits!$H:$H,0)),"")</f>
        <v/>
      </c>
      <c r="D9">
        <f>IFERROR(IF(AND(A9&gt;=129,A9&lt;=2176),INDEX(Fields!$B$2:$B$206,MATCH(A9-129,Fields!$D$2:$D$206,1)),""),"")</f>
        <v/>
      </c>
      <c r="E9">
        <f>IFERROR(IF(AND(A9&gt;=129,A9&lt;=2176),INDEX(Fields!$C$2:$C$206,MATCH(A9-129,Fields!$D$2:$D$206,1)),""),"")</f>
        <v/>
      </c>
    </row>
    <row r="10">
      <c r="A10" t="n">
        <v>9</v>
      </c>
      <c r="B10">
        <f>IFERROR(INDEX(RawBits!$A:$A,MATCH($A10,RawBits!$H:$H,0)),"?")</f>
        <v/>
      </c>
      <c r="C10">
        <f>IFERROR(INDEX(RawBits!$G:$G,MATCH($A10,RawBits!$H:$H,0)),"")</f>
        <v/>
      </c>
      <c r="D10">
        <f>IFERROR(IF(AND(A10&gt;=129,A10&lt;=2176),INDEX(Fields!$B$2:$B$206,MATCH(A10-129,Fields!$D$2:$D$206,1)),""),"")</f>
        <v/>
      </c>
      <c r="E10">
        <f>IFERROR(IF(AND(A10&gt;=129,A10&lt;=2176),INDEX(Fields!$C$2:$C$206,MATCH(A10-129,Fields!$D$2:$D$206,1)),""),"")</f>
        <v/>
      </c>
    </row>
    <row r="11">
      <c r="A11" t="n">
        <v>10</v>
      </c>
      <c r="B11">
        <f>IFERROR(INDEX(RawBits!$A:$A,MATCH($A11,RawBits!$H:$H,0)),"?")</f>
        <v/>
      </c>
      <c r="C11">
        <f>IFERROR(INDEX(RawBits!$G:$G,MATCH($A11,RawBits!$H:$H,0)),"")</f>
        <v/>
      </c>
      <c r="D11">
        <f>IFERROR(IF(AND(A11&gt;=129,A11&lt;=2176),INDEX(Fields!$B$2:$B$206,MATCH(A11-129,Fields!$D$2:$D$206,1)),""),"")</f>
        <v/>
      </c>
      <c r="E11">
        <f>IFERROR(IF(AND(A11&gt;=129,A11&lt;=2176),INDEX(Fields!$C$2:$C$206,MATCH(A11-129,Fields!$D$2:$D$206,1)),""),"")</f>
        <v/>
      </c>
    </row>
    <row r="12">
      <c r="A12" t="n">
        <v>11</v>
      </c>
      <c r="B12">
        <f>IFERROR(INDEX(RawBits!$A:$A,MATCH($A12,RawBits!$H:$H,0)),"?")</f>
        <v/>
      </c>
      <c r="C12">
        <f>IFERROR(INDEX(RawBits!$G:$G,MATCH($A12,RawBits!$H:$H,0)),"")</f>
        <v/>
      </c>
      <c r="D12">
        <f>IFERROR(IF(AND(A12&gt;=129,A12&lt;=2176),INDEX(Fields!$B$2:$B$206,MATCH(A12-129,Fields!$D$2:$D$206,1)),""),"")</f>
        <v/>
      </c>
      <c r="E12">
        <f>IFERROR(IF(AND(A12&gt;=129,A12&lt;=2176),INDEX(Fields!$C$2:$C$206,MATCH(A12-129,Fields!$D$2:$D$206,1)),""),"")</f>
        <v/>
      </c>
    </row>
    <row r="13">
      <c r="A13" t="n">
        <v>12</v>
      </c>
      <c r="B13">
        <f>IFERROR(INDEX(RawBits!$A:$A,MATCH($A13,RawBits!$H:$H,0)),"?")</f>
        <v/>
      </c>
      <c r="C13">
        <f>IFERROR(INDEX(RawBits!$G:$G,MATCH($A13,RawBits!$H:$H,0)),"")</f>
        <v/>
      </c>
      <c r="D13">
        <f>IFERROR(IF(AND(A13&gt;=129,A13&lt;=2176),INDEX(Fields!$B$2:$B$206,MATCH(A13-129,Fields!$D$2:$D$206,1)),""),"")</f>
        <v/>
      </c>
      <c r="E13">
        <f>IFERROR(IF(AND(A13&gt;=129,A13&lt;=2176),INDEX(Fields!$C$2:$C$206,MATCH(A13-129,Fields!$D$2:$D$206,1)),""),"")</f>
        <v/>
      </c>
    </row>
    <row r="14">
      <c r="A14" t="n">
        <v>13</v>
      </c>
      <c r="B14">
        <f>IFERROR(INDEX(RawBits!$A:$A,MATCH($A14,RawBits!$H:$H,0)),"?")</f>
        <v/>
      </c>
      <c r="C14">
        <f>IFERROR(INDEX(RawBits!$G:$G,MATCH($A14,RawBits!$H:$H,0)),"")</f>
        <v/>
      </c>
      <c r="D14">
        <f>IFERROR(IF(AND(A14&gt;=129,A14&lt;=2176),INDEX(Fields!$B$2:$B$206,MATCH(A14-129,Fields!$D$2:$D$206,1)),""),"")</f>
        <v/>
      </c>
      <c r="E14">
        <f>IFERROR(IF(AND(A14&gt;=129,A14&lt;=2176),INDEX(Fields!$C$2:$C$206,MATCH(A14-129,Fields!$D$2:$D$206,1)),""),"")</f>
        <v/>
      </c>
    </row>
    <row r="15">
      <c r="A15" t="n">
        <v>14</v>
      </c>
      <c r="B15">
        <f>IFERROR(INDEX(RawBits!$A:$A,MATCH($A15,RawBits!$H:$H,0)),"?")</f>
        <v/>
      </c>
      <c r="C15">
        <f>IFERROR(INDEX(RawBits!$G:$G,MATCH($A15,RawBits!$H:$H,0)),"")</f>
        <v/>
      </c>
      <c r="D15">
        <f>IFERROR(IF(AND(A15&gt;=129,A15&lt;=2176),INDEX(Fields!$B$2:$B$206,MATCH(A15-129,Fields!$D$2:$D$206,1)),""),"")</f>
        <v/>
      </c>
      <c r="E15">
        <f>IFERROR(IF(AND(A15&gt;=129,A15&lt;=2176),INDEX(Fields!$C$2:$C$206,MATCH(A15-129,Fields!$D$2:$D$206,1)),""),"")</f>
        <v/>
      </c>
    </row>
    <row r="16">
      <c r="A16" t="n">
        <v>15</v>
      </c>
      <c r="B16">
        <f>IFERROR(INDEX(RawBits!$A:$A,MATCH($A16,RawBits!$H:$H,0)),"?")</f>
        <v/>
      </c>
      <c r="C16">
        <f>IFERROR(INDEX(RawBits!$G:$G,MATCH($A16,RawBits!$H:$H,0)),"")</f>
        <v/>
      </c>
      <c r="D16">
        <f>IFERROR(IF(AND(A16&gt;=129,A16&lt;=2176),INDEX(Fields!$B$2:$B$206,MATCH(A16-129,Fields!$D$2:$D$206,1)),""),"")</f>
        <v/>
      </c>
      <c r="E16">
        <f>IFERROR(IF(AND(A16&gt;=129,A16&lt;=2176),INDEX(Fields!$C$2:$C$206,MATCH(A16-129,Fields!$D$2:$D$206,1)),""),"")</f>
        <v/>
      </c>
    </row>
    <row r="17">
      <c r="A17" t="n">
        <v>16</v>
      </c>
      <c r="B17">
        <f>IFERROR(INDEX(RawBits!$A:$A,MATCH($A17,RawBits!$H:$H,0)),"?")</f>
        <v/>
      </c>
      <c r="C17">
        <f>IFERROR(INDEX(RawBits!$G:$G,MATCH($A17,RawBits!$H:$H,0)),"")</f>
        <v/>
      </c>
      <c r="D17">
        <f>IFERROR(IF(AND(A17&gt;=129,A17&lt;=2176),INDEX(Fields!$B$2:$B$206,MATCH(A17-129,Fields!$D$2:$D$206,1)),""),"")</f>
        <v/>
      </c>
      <c r="E17">
        <f>IFERROR(IF(AND(A17&gt;=129,A17&lt;=2176),INDEX(Fields!$C$2:$C$206,MATCH(A17-129,Fields!$D$2:$D$206,1)),""),"")</f>
        <v/>
      </c>
    </row>
    <row r="18">
      <c r="A18" t="n">
        <v>17</v>
      </c>
      <c r="B18">
        <f>IFERROR(INDEX(RawBits!$A:$A,MATCH($A18,RawBits!$H:$H,0)),"?")</f>
        <v/>
      </c>
      <c r="C18">
        <f>IFERROR(INDEX(RawBits!$G:$G,MATCH($A18,RawBits!$H:$H,0)),"")</f>
        <v/>
      </c>
      <c r="D18">
        <f>IFERROR(IF(AND(A18&gt;=129,A18&lt;=2176),INDEX(Fields!$B$2:$B$206,MATCH(A18-129,Fields!$D$2:$D$206,1)),""),"")</f>
        <v/>
      </c>
      <c r="E18">
        <f>IFERROR(IF(AND(A18&gt;=129,A18&lt;=2176),INDEX(Fields!$C$2:$C$206,MATCH(A18-129,Fields!$D$2:$D$206,1)),""),"")</f>
        <v/>
      </c>
    </row>
    <row r="19">
      <c r="A19" t="n">
        <v>18</v>
      </c>
      <c r="B19">
        <f>IFERROR(INDEX(RawBits!$A:$A,MATCH($A19,RawBits!$H:$H,0)),"?")</f>
        <v/>
      </c>
      <c r="C19">
        <f>IFERROR(INDEX(RawBits!$G:$G,MATCH($A19,RawBits!$H:$H,0)),"")</f>
        <v/>
      </c>
      <c r="D19">
        <f>IFERROR(IF(AND(A19&gt;=129,A19&lt;=2176),INDEX(Fields!$B$2:$B$206,MATCH(A19-129,Fields!$D$2:$D$206,1)),""),"")</f>
        <v/>
      </c>
      <c r="E19">
        <f>IFERROR(IF(AND(A19&gt;=129,A19&lt;=2176),INDEX(Fields!$C$2:$C$206,MATCH(A19-129,Fields!$D$2:$D$206,1)),""),"")</f>
        <v/>
      </c>
    </row>
    <row r="20">
      <c r="A20" t="n">
        <v>19</v>
      </c>
      <c r="B20">
        <f>IFERROR(INDEX(RawBits!$A:$A,MATCH($A20,RawBits!$H:$H,0)),"?")</f>
        <v/>
      </c>
      <c r="C20">
        <f>IFERROR(INDEX(RawBits!$G:$G,MATCH($A20,RawBits!$H:$H,0)),"")</f>
        <v/>
      </c>
      <c r="D20">
        <f>IFERROR(IF(AND(A20&gt;=129,A20&lt;=2176),INDEX(Fields!$B$2:$B$206,MATCH(A20-129,Fields!$D$2:$D$206,1)),""),"")</f>
        <v/>
      </c>
      <c r="E20">
        <f>IFERROR(IF(AND(A20&gt;=129,A20&lt;=2176),INDEX(Fields!$C$2:$C$206,MATCH(A20-129,Fields!$D$2:$D$206,1)),""),"")</f>
        <v/>
      </c>
    </row>
    <row r="21">
      <c r="A21" t="n">
        <v>20</v>
      </c>
      <c r="B21">
        <f>IFERROR(INDEX(RawBits!$A:$A,MATCH($A21,RawBits!$H:$H,0)),"?")</f>
        <v/>
      </c>
      <c r="C21">
        <f>IFERROR(INDEX(RawBits!$G:$G,MATCH($A21,RawBits!$H:$H,0)),"")</f>
        <v/>
      </c>
      <c r="D21">
        <f>IFERROR(IF(AND(A21&gt;=129,A21&lt;=2176),INDEX(Fields!$B$2:$B$206,MATCH(A21-129,Fields!$D$2:$D$206,1)),""),"")</f>
        <v/>
      </c>
      <c r="E21">
        <f>IFERROR(IF(AND(A21&gt;=129,A21&lt;=2176),INDEX(Fields!$C$2:$C$206,MATCH(A21-129,Fields!$D$2:$D$206,1)),""),"")</f>
        <v/>
      </c>
    </row>
    <row r="22">
      <c r="A22" t="n">
        <v>21</v>
      </c>
      <c r="B22">
        <f>IFERROR(INDEX(RawBits!$A:$A,MATCH($A22,RawBits!$H:$H,0)),"?")</f>
        <v/>
      </c>
      <c r="C22">
        <f>IFERROR(INDEX(RawBits!$G:$G,MATCH($A22,RawBits!$H:$H,0)),"")</f>
        <v/>
      </c>
      <c r="D22">
        <f>IFERROR(IF(AND(A22&gt;=129,A22&lt;=2176),INDEX(Fields!$B$2:$B$206,MATCH(A22-129,Fields!$D$2:$D$206,1)),""),"")</f>
        <v/>
      </c>
      <c r="E22">
        <f>IFERROR(IF(AND(A22&gt;=129,A22&lt;=2176),INDEX(Fields!$C$2:$C$206,MATCH(A22-129,Fields!$D$2:$D$206,1)),""),"")</f>
        <v/>
      </c>
    </row>
    <row r="23">
      <c r="A23" t="n">
        <v>22</v>
      </c>
      <c r="B23">
        <f>IFERROR(INDEX(RawBits!$A:$A,MATCH($A23,RawBits!$H:$H,0)),"?")</f>
        <v/>
      </c>
      <c r="C23">
        <f>IFERROR(INDEX(RawBits!$G:$G,MATCH($A23,RawBits!$H:$H,0)),"")</f>
        <v/>
      </c>
      <c r="D23">
        <f>IFERROR(IF(AND(A23&gt;=129,A23&lt;=2176),INDEX(Fields!$B$2:$B$206,MATCH(A23-129,Fields!$D$2:$D$206,1)),""),"")</f>
        <v/>
      </c>
      <c r="E23">
        <f>IFERROR(IF(AND(A23&gt;=129,A23&lt;=2176),INDEX(Fields!$C$2:$C$206,MATCH(A23-129,Fields!$D$2:$D$206,1)),""),"")</f>
        <v/>
      </c>
    </row>
    <row r="24">
      <c r="A24" t="n">
        <v>23</v>
      </c>
      <c r="B24">
        <f>IFERROR(INDEX(RawBits!$A:$A,MATCH($A24,RawBits!$H:$H,0)),"?")</f>
        <v/>
      </c>
      <c r="C24">
        <f>IFERROR(INDEX(RawBits!$G:$G,MATCH($A24,RawBits!$H:$H,0)),"")</f>
        <v/>
      </c>
      <c r="D24">
        <f>IFERROR(IF(AND(A24&gt;=129,A24&lt;=2176),INDEX(Fields!$B$2:$B$206,MATCH(A24-129,Fields!$D$2:$D$206,1)),""),"")</f>
        <v/>
      </c>
      <c r="E24">
        <f>IFERROR(IF(AND(A24&gt;=129,A24&lt;=2176),INDEX(Fields!$C$2:$C$206,MATCH(A24-129,Fields!$D$2:$D$206,1)),""),"")</f>
        <v/>
      </c>
    </row>
    <row r="25">
      <c r="A25" t="n">
        <v>24</v>
      </c>
      <c r="B25">
        <f>IFERROR(INDEX(RawBits!$A:$A,MATCH($A25,RawBits!$H:$H,0)),"?")</f>
        <v/>
      </c>
      <c r="C25">
        <f>IFERROR(INDEX(RawBits!$G:$G,MATCH($A25,RawBits!$H:$H,0)),"")</f>
        <v/>
      </c>
      <c r="D25">
        <f>IFERROR(IF(AND(A25&gt;=129,A25&lt;=2176),INDEX(Fields!$B$2:$B$206,MATCH(A25-129,Fields!$D$2:$D$206,1)),""),"")</f>
        <v/>
      </c>
      <c r="E25">
        <f>IFERROR(IF(AND(A25&gt;=129,A25&lt;=2176),INDEX(Fields!$C$2:$C$206,MATCH(A25-129,Fields!$D$2:$D$206,1)),""),"")</f>
        <v/>
      </c>
    </row>
    <row r="26">
      <c r="A26" t="n">
        <v>25</v>
      </c>
      <c r="B26">
        <f>IFERROR(INDEX(RawBits!$A:$A,MATCH($A26,RawBits!$H:$H,0)),"?")</f>
        <v/>
      </c>
      <c r="C26">
        <f>IFERROR(INDEX(RawBits!$G:$G,MATCH($A26,RawBits!$H:$H,0)),"")</f>
        <v/>
      </c>
      <c r="D26">
        <f>IFERROR(IF(AND(A26&gt;=129,A26&lt;=2176),INDEX(Fields!$B$2:$B$206,MATCH(A26-129,Fields!$D$2:$D$206,1)),""),"")</f>
        <v/>
      </c>
      <c r="E26">
        <f>IFERROR(IF(AND(A26&gt;=129,A26&lt;=2176),INDEX(Fields!$C$2:$C$206,MATCH(A26-129,Fields!$D$2:$D$206,1)),""),"")</f>
        <v/>
      </c>
    </row>
    <row r="27">
      <c r="A27" t="n">
        <v>26</v>
      </c>
      <c r="B27">
        <f>IFERROR(INDEX(RawBits!$A:$A,MATCH($A27,RawBits!$H:$H,0)),"?")</f>
        <v/>
      </c>
      <c r="C27">
        <f>IFERROR(INDEX(RawBits!$G:$G,MATCH($A27,RawBits!$H:$H,0)),"")</f>
        <v/>
      </c>
      <c r="D27">
        <f>IFERROR(IF(AND(A27&gt;=129,A27&lt;=2176),INDEX(Fields!$B$2:$B$206,MATCH(A27-129,Fields!$D$2:$D$206,1)),""),"")</f>
        <v/>
      </c>
      <c r="E27">
        <f>IFERROR(IF(AND(A27&gt;=129,A27&lt;=2176),INDEX(Fields!$C$2:$C$206,MATCH(A27-129,Fields!$D$2:$D$206,1)),""),"")</f>
        <v/>
      </c>
    </row>
    <row r="28">
      <c r="A28" t="n">
        <v>27</v>
      </c>
      <c r="B28">
        <f>IFERROR(INDEX(RawBits!$A:$A,MATCH($A28,RawBits!$H:$H,0)),"?")</f>
        <v/>
      </c>
      <c r="C28">
        <f>IFERROR(INDEX(RawBits!$G:$G,MATCH($A28,RawBits!$H:$H,0)),"")</f>
        <v/>
      </c>
      <c r="D28">
        <f>IFERROR(IF(AND(A28&gt;=129,A28&lt;=2176),INDEX(Fields!$B$2:$B$206,MATCH(A28-129,Fields!$D$2:$D$206,1)),""),"")</f>
        <v/>
      </c>
      <c r="E28">
        <f>IFERROR(IF(AND(A28&gt;=129,A28&lt;=2176),INDEX(Fields!$C$2:$C$206,MATCH(A28-129,Fields!$D$2:$D$206,1)),""),"")</f>
        <v/>
      </c>
    </row>
    <row r="29">
      <c r="A29" t="n">
        <v>28</v>
      </c>
      <c r="B29">
        <f>IFERROR(INDEX(RawBits!$A:$A,MATCH($A29,RawBits!$H:$H,0)),"?")</f>
        <v/>
      </c>
      <c r="C29">
        <f>IFERROR(INDEX(RawBits!$G:$G,MATCH($A29,RawBits!$H:$H,0)),"")</f>
        <v/>
      </c>
      <c r="D29">
        <f>IFERROR(IF(AND(A29&gt;=129,A29&lt;=2176),INDEX(Fields!$B$2:$B$206,MATCH(A29-129,Fields!$D$2:$D$206,1)),""),"")</f>
        <v/>
      </c>
      <c r="E29">
        <f>IFERROR(IF(AND(A29&gt;=129,A29&lt;=2176),INDEX(Fields!$C$2:$C$206,MATCH(A29-129,Fields!$D$2:$D$206,1)),""),"")</f>
        <v/>
      </c>
    </row>
    <row r="30">
      <c r="A30" t="n">
        <v>29</v>
      </c>
      <c r="B30">
        <f>IFERROR(INDEX(RawBits!$A:$A,MATCH($A30,RawBits!$H:$H,0)),"?")</f>
        <v/>
      </c>
      <c r="C30">
        <f>IFERROR(INDEX(RawBits!$G:$G,MATCH($A30,RawBits!$H:$H,0)),"")</f>
        <v/>
      </c>
      <c r="D30">
        <f>IFERROR(IF(AND(A30&gt;=129,A30&lt;=2176),INDEX(Fields!$B$2:$B$206,MATCH(A30-129,Fields!$D$2:$D$206,1)),""),"")</f>
        <v/>
      </c>
      <c r="E30">
        <f>IFERROR(IF(AND(A30&gt;=129,A30&lt;=2176),INDEX(Fields!$C$2:$C$206,MATCH(A30-129,Fields!$D$2:$D$206,1)),""),"")</f>
        <v/>
      </c>
    </row>
    <row r="31">
      <c r="A31" t="n">
        <v>30</v>
      </c>
      <c r="B31">
        <f>IFERROR(INDEX(RawBits!$A:$A,MATCH($A31,RawBits!$H:$H,0)),"?")</f>
        <v/>
      </c>
      <c r="C31">
        <f>IFERROR(INDEX(RawBits!$G:$G,MATCH($A31,RawBits!$H:$H,0)),"")</f>
        <v/>
      </c>
      <c r="D31">
        <f>IFERROR(IF(AND(A31&gt;=129,A31&lt;=2176),INDEX(Fields!$B$2:$B$206,MATCH(A31-129,Fields!$D$2:$D$206,1)),""),"")</f>
        <v/>
      </c>
      <c r="E31">
        <f>IFERROR(IF(AND(A31&gt;=129,A31&lt;=2176),INDEX(Fields!$C$2:$C$206,MATCH(A31-129,Fields!$D$2:$D$206,1)),""),"")</f>
        <v/>
      </c>
    </row>
    <row r="32">
      <c r="A32" t="n">
        <v>31</v>
      </c>
      <c r="B32">
        <f>IFERROR(INDEX(RawBits!$A:$A,MATCH($A32,RawBits!$H:$H,0)),"?")</f>
        <v/>
      </c>
      <c r="C32">
        <f>IFERROR(INDEX(RawBits!$G:$G,MATCH($A32,RawBits!$H:$H,0)),"")</f>
        <v/>
      </c>
      <c r="D32">
        <f>IFERROR(IF(AND(A32&gt;=129,A32&lt;=2176),INDEX(Fields!$B$2:$B$206,MATCH(A32-129,Fields!$D$2:$D$206,1)),""),"")</f>
        <v/>
      </c>
      <c r="E32">
        <f>IFERROR(IF(AND(A32&gt;=129,A32&lt;=2176),INDEX(Fields!$C$2:$C$206,MATCH(A32-129,Fields!$D$2:$D$206,1)),""),"")</f>
        <v/>
      </c>
    </row>
    <row r="33">
      <c r="A33" t="n">
        <v>32</v>
      </c>
      <c r="B33">
        <f>IFERROR(INDEX(RawBits!$A:$A,MATCH($A33,RawBits!$H:$H,0)),"?")</f>
        <v/>
      </c>
      <c r="C33">
        <f>IFERROR(INDEX(RawBits!$G:$G,MATCH($A33,RawBits!$H:$H,0)),"")</f>
        <v/>
      </c>
      <c r="D33">
        <f>IFERROR(IF(AND(A33&gt;=129,A33&lt;=2176),INDEX(Fields!$B$2:$B$206,MATCH(A33-129,Fields!$D$2:$D$206,1)),""),"")</f>
        <v/>
      </c>
      <c r="E33">
        <f>IFERROR(IF(AND(A33&gt;=129,A33&lt;=2176),INDEX(Fields!$C$2:$C$206,MATCH(A33-129,Fields!$D$2:$D$206,1)),""),"")</f>
        <v/>
      </c>
    </row>
    <row r="34">
      <c r="A34" t="n">
        <v>33</v>
      </c>
      <c r="B34">
        <f>IFERROR(INDEX(RawBits!$A:$A,MATCH($A34,RawBits!$H:$H,0)),"?")</f>
        <v/>
      </c>
      <c r="C34">
        <f>IFERROR(INDEX(RawBits!$G:$G,MATCH($A34,RawBits!$H:$H,0)),"")</f>
        <v/>
      </c>
      <c r="D34">
        <f>IFERROR(IF(AND(A34&gt;=129,A34&lt;=2176),INDEX(Fields!$B$2:$B$206,MATCH(A34-129,Fields!$D$2:$D$206,1)),""),"")</f>
        <v/>
      </c>
      <c r="E34">
        <f>IFERROR(IF(AND(A34&gt;=129,A34&lt;=2176),INDEX(Fields!$C$2:$C$206,MATCH(A34-129,Fields!$D$2:$D$206,1)),""),"")</f>
        <v/>
      </c>
    </row>
    <row r="35">
      <c r="A35" t="n">
        <v>34</v>
      </c>
      <c r="B35">
        <f>IFERROR(INDEX(RawBits!$A:$A,MATCH($A35,RawBits!$H:$H,0)),"?")</f>
        <v/>
      </c>
      <c r="C35">
        <f>IFERROR(INDEX(RawBits!$G:$G,MATCH($A35,RawBits!$H:$H,0)),"")</f>
        <v/>
      </c>
      <c r="D35">
        <f>IFERROR(IF(AND(A35&gt;=129,A35&lt;=2176),INDEX(Fields!$B$2:$B$206,MATCH(A35-129,Fields!$D$2:$D$206,1)),""),"")</f>
        <v/>
      </c>
      <c r="E35">
        <f>IFERROR(IF(AND(A35&gt;=129,A35&lt;=2176),INDEX(Fields!$C$2:$C$206,MATCH(A35-129,Fields!$D$2:$D$206,1)),""),"")</f>
        <v/>
      </c>
    </row>
    <row r="36">
      <c r="A36" t="n">
        <v>35</v>
      </c>
      <c r="B36">
        <f>IFERROR(INDEX(RawBits!$A:$A,MATCH($A36,RawBits!$H:$H,0)),"?")</f>
        <v/>
      </c>
      <c r="C36">
        <f>IFERROR(INDEX(RawBits!$G:$G,MATCH($A36,RawBits!$H:$H,0)),"")</f>
        <v/>
      </c>
      <c r="D36">
        <f>IFERROR(IF(AND(A36&gt;=129,A36&lt;=2176),INDEX(Fields!$B$2:$B$206,MATCH(A36-129,Fields!$D$2:$D$206,1)),""),"")</f>
        <v/>
      </c>
      <c r="E36">
        <f>IFERROR(IF(AND(A36&gt;=129,A36&lt;=2176),INDEX(Fields!$C$2:$C$206,MATCH(A36-129,Fields!$D$2:$D$206,1)),""),"")</f>
        <v/>
      </c>
    </row>
    <row r="37">
      <c r="A37" t="n">
        <v>36</v>
      </c>
      <c r="B37">
        <f>IFERROR(INDEX(RawBits!$A:$A,MATCH($A37,RawBits!$H:$H,0)),"?")</f>
        <v/>
      </c>
      <c r="C37">
        <f>IFERROR(INDEX(RawBits!$G:$G,MATCH($A37,RawBits!$H:$H,0)),"")</f>
        <v/>
      </c>
      <c r="D37">
        <f>IFERROR(IF(AND(A37&gt;=129,A37&lt;=2176),INDEX(Fields!$B$2:$B$206,MATCH(A37-129,Fields!$D$2:$D$206,1)),""),"")</f>
        <v/>
      </c>
      <c r="E37">
        <f>IFERROR(IF(AND(A37&gt;=129,A37&lt;=2176),INDEX(Fields!$C$2:$C$206,MATCH(A37-129,Fields!$D$2:$D$206,1)),""),"")</f>
        <v/>
      </c>
    </row>
    <row r="38">
      <c r="A38" t="n">
        <v>37</v>
      </c>
      <c r="B38">
        <f>IFERROR(INDEX(RawBits!$A:$A,MATCH($A38,RawBits!$H:$H,0)),"?")</f>
        <v/>
      </c>
      <c r="C38">
        <f>IFERROR(INDEX(RawBits!$G:$G,MATCH($A38,RawBits!$H:$H,0)),"")</f>
        <v/>
      </c>
      <c r="D38">
        <f>IFERROR(IF(AND(A38&gt;=129,A38&lt;=2176),INDEX(Fields!$B$2:$B$206,MATCH(A38-129,Fields!$D$2:$D$206,1)),""),"")</f>
        <v/>
      </c>
      <c r="E38">
        <f>IFERROR(IF(AND(A38&gt;=129,A38&lt;=2176),INDEX(Fields!$C$2:$C$206,MATCH(A38-129,Fields!$D$2:$D$206,1)),""),"")</f>
        <v/>
      </c>
    </row>
    <row r="39">
      <c r="A39" t="n">
        <v>38</v>
      </c>
      <c r="B39">
        <f>IFERROR(INDEX(RawBits!$A:$A,MATCH($A39,RawBits!$H:$H,0)),"?")</f>
        <v/>
      </c>
      <c r="C39">
        <f>IFERROR(INDEX(RawBits!$G:$G,MATCH($A39,RawBits!$H:$H,0)),"")</f>
        <v/>
      </c>
      <c r="D39">
        <f>IFERROR(IF(AND(A39&gt;=129,A39&lt;=2176),INDEX(Fields!$B$2:$B$206,MATCH(A39-129,Fields!$D$2:$D$206,1)),""),"")</f>
        <v/>
      </c>
      <c r="E39">
        <f>IFERROR(IF(AND(A39&gt;=129,A39&lt;=2176),INDEX(Fields!$C$2:$C$206,MATCH(A39-129,Fields!$D$2:$D$206,1)),""),"")</f>
        <v/>
      </c>
    </row>
    <row r="40">
      <c r="A40" t="n">
        <v>39</v>
      </c>
      <c r="B40">
        <f>IFERROR(INDEX(RawBits!$A:$A,MATCH($A40,RawBits!$H:$H,0)),"?")</f>
        <v/>
      </c>
      <c r="C40">
        <f>IFERROR(INDEX(RawBits!$G:$G,MATCH($A40,RawBits!$H:$H,0)),"")</f>
        <v/>
      </c>
      <c r="D40">
        <f>IFERROR(IF(AND(A40&gt;=129,A40&lt;=2176),INDEX(Fields!$B$2:$B$206,MATCH(A40-129,Fields!$D$2:$D$206,1)),""),"")</f>
        <v/>
      </c>
      <c r="E40">
        <f>IFERROR(IF(AND(A40&gt;=129,A40&lt;=2176),INDEX(Fields!$C$2:$C$206,MATCH(A40-129,Fields!$D$2:$D$206,1)),""),"")</f>
        <v/>
      </c>
    </row>
    <row r="41">
      <c r="A41" t="n">
        <v>40</v>
      </c>
      <c r="B41">
        <f>IFERROR(INDEX(RawBits!$A:$A,MATCH($A41,RawBits!$H:$H,0)),"?")</f>
        <v/>
      </c>
      <c r="C41">
        <f>IFERROR(INDEX(RawBits!$G:$G,MATCH($A41,RawBits!$H:$H,0)),"")</f>
        <v/>
      </c>
      <c r="D41">
        <f>IFERROR(IF(AND(A41&gt;=129,A41&lt;=2176),INDEX(Fields!$B$2:$B$206,MATCH(A41-129,Fields!$D$2:$D$206,1)),""),"")</f>
        <v/>
      </c>
      <c r="E41">
        <f>IFERROR(IF(AND(A41&gt;=129,A41&lt;=2176),INDEX(Fields!$C$2:$C$206,MATCH(A41-129,Fields!$D$2:$D$206,1)),""),"")</f>
        <v/>
      </c>
    </row>
    <row r="42">
      <c r="A42" t="n">
        <v>41</v>
      </c>
      <c r="B42">
        <f>IFERROR(INDEX(RawBits!$A:$A,MATCH($A42,RawBits!$H:$H,0)),"?")</f>
        <v/>
      </c>
      <c r="C42">
        <f>IFERROR(INDEX(RawBits!$G:$G,MATCH($A42,RawBits!$H:$H,0)),"")</f>
        <v/>
      </c>
      <c r="D42">
        <f>IFERROR(IF(AND(A42&gt;=129,A42&lt;=2176),INDEX(Fields!$B$2:$B$206,MATCH(A42-129,Fields!$D$2:$D$206,1)),""),"")</f>
        <v/>
      </c>
      <c r="E42">
        <f>IFERROR(IF(AND(A42&gt;=129,A42&lt;=2176),INDEX(Fields!$C$2:$C$206,MATCH(A42-129,Fields!$D$2:$D$206,1)),""),"")</f>
        <v/>
      </c>
    </row>
    <row r="43">
      <c r="A43" t="n">
        <v>42</v>
      </c>
      <c r="B43">
        <f>IFERROR(INDEX(RawBits!$A:$A,MATCH($A43,RawBits!$H:$H,0)),"?")</f>
        <v/>
      </c>
      <c r="C43">
        <f>IFERROR(INDEX(RawBits!$G:$G,MATCH($A43,RawBits!$H:$H,0)),"")</f>
        <v/>
      </c>
      <c r="D43">
        <f>IFERROR(IF(AND(A43&gt;=129,A43&lt;=2176),INDEX(Fields!$B$2:$B$206,MATCH(A43-129,Fields!$D$2:$D$206,1)),""),"")</f>
        <v/>
      </c>
      <c r="E43">
        <f>IFERROR(IF(AND(A43&gt;=129,A43&lt;=2176),INDEX(Fields!$C$2:$C$206,MATCH(A43-129,Fields!$D$2:$D$206,1)),""),"")</f>
        <v/>
      </c>
    </row>
    <row r="44">
      <c r="A44" t="n">
        <v>43</v>
      </c>
      <c r="B44">
        <f>IFERROR(INDEX(RawBits!$A:$A,MATCH($A44,RawBits!$H:$H,0)),"?")</f>
        <v/>
      </c>
      <c r="C44">
        <f>IFERROR(INDEX(RawBits!$G:$G,MATCH($A44,RawBits!$H:$H,0)),"")</f>
        <v/>
      </c>
      <c r="D44">
        <f>IFERROR(IF(AND(A44&gt;=129,A44&lt;=2176),INDEX(Fields!$B$2:$B$206,MATCH(A44-129,Fields!$D$2:$D$206,1)),""),"")</f>
        <v/>
      </c>
      <c r="E44">
        <f>IFERROR(IF(AND(A44&gt;=129,A44&lt;=2176),INDEX(Fields!$C$2:$C$206,MATCH(A44-129,Fields!$D$2:$D$206,1)),""),"")</f>
        <v/>
      </c>
    </row>
    <row r="45">
      <c r="A45" t="n">
        <v>44</v>
      </c>
      <c r="B45">
        <f>IFERROR(INDEX(RawBits!$A:$A,MATCH($A45,RawBits!$H:$H,0)),"?")</f>
        <v/>
      </c>
      <c r="C45">
        <f>IFERROR(INDEX(RawBits!$G:$G,MATCH($A45,RawBits!$H:$H,0)),"")</f>
        <v/>
      </c>
      <c r="D45">
        <f>IFERROR(IF(AND(A45&gt;=129,A45&lt;=2176),INDEX(Fields!$B$2:$B$206,MATCH(A45-129,Fields!$D$2:$D$206,1)),""),"")</f>
        <v/>
      </c>
      <c r="E45">
        <f>IFERROR(IF(AND(A45&gt;=129,A45&lt;=2176),INDEX(Fields!$C$2:$C$206,MATCH(A45-129,Fields!$D$2:$D$206,1)),""),"")</f>
        <v/>
      </c>
    </row>
    <row r="46">
      <c r="A46" t="n">
        <v>45</v>
      </c>
      <c r="B46">
        <f>IFERROR(INDEX(RawBits!$A:$A,MATCH($A46,RawBits!$H:$H,0)),"?")</f>
        <v/>
      </c>
      <c r="C46">
        <f>IFERROR(INDEX(RawBits!$G:$G,MATCH($A46,RawBits!$H:$H,0)),"")</f>
        <v/>
      </c>
      <c r="D46">
        <f>IFERROR(IF(AND(A46&gt;=129,A46&lt;=2176),INDEX(Fields!$B$2:$B$206,MATCH(A46-129,Fields!$D$2:$D$206,1)),""),"")</f>
        <v/>
      </c>
      <c r="E46">
        <f>IFERROR(IF(AND(A46&gt;=129,A46&lt;=2176),INDEX(Fields!$C$2:$C$206,MATCH(A46-129,Fields!$D$2:$D$206,1)),""),"")</f>
        <v/>
      </c>
    </row>
    <row r="47">
      <c r="A47" t="n">
        <v>46</v>
      </c>
      <c r="B47">
        <f>IFERROR(INDEX(RawBits!$A:$A,MATCH($A47,RawBits!$H:$H,0)),"?")</f>
        <v/>
      </c>
      <c r="C47">
        <f>IFERROR(INDEX(RawBits!$G:$G,MATCH($A47,RawBits!$H:$H,0)),"")</f>
        <v/>
      </c>
      <c r="D47">
        <f>IFERROR(IF(AND(A47&gt;=129,A47&lt;=2176),INDEX(Fields!$B$2:$B$206,MATCH(A47-129,Fields!$D$2:$D$206,1)),""),"")</f>
        <v/>
      </c>
      <c r="E47">
        <f>IFERROR(IF(AND(A47&gt;=129,A47&lt;=2176),INDEX(Fields!$C$2:$C$206,MATCH(A47-129,Fields!$D$2:$D$206,1)),""),"")</f>
        <v/>
      </c>
    </row>
    <row r="48">
      <c r="A48" t="n">
        <v>47</v>
      </c>
      <c r="B48">
        <f>IFERROR(INDEX(RawBits!$A:$A,MATCH($A48,RawBits!$H:$H,0)),"?")</f>
        <v/>
      </c>
      <c r="C48">
        <f>IFERROR(INDEX(RawBits!$G:$G,MATCH($A48,RawBits!$H:$H,0)),"")</f>
        <v/>
      </c>
      <c r="D48">
        <f>IFERROR(IF(AND(A48&gt;=129,A48&lt;=2176),INDEX(Fields!$B$2:$B$206,MATCH(A48-129,Fields!$D$2:$D$206,1)),""),"")</f>
        <v/>
      </c>
      <c r="E48">
        <f>IFERROR(IF(AND(A48&gt;=129,A48&lt;=2176),INDEX(Fields!$C$2:$C$206,MATCH(A48-129,Fields!$D$2:$D$206,1)),""),"")</f>
        <v/>
      </c>
    </row>
    <row r="49">
      <c r="A49" t="n">
        <v>48</v>
      </c>
      <c r="B49">
        <f>IFERROR(INDEX(RawBits!$A:$A,MATCH($A49,RawBits!$H:$H,0)),"?")</f>
        <v/>
      </c>
      <c r="C49">
        <f>IFERROR(INDEX(RawBits!$G:$G,MATCH($A49,RawBits!$H:$H,0)),"")</f>
        <v/>
      </c>
      <c r="D49">
        <f>IFERROR(IF(AND(A49&gt;=129,A49&lt;=2176),INDEX(Fields!$B$2:$B$206,MATCH(A49-129,Fields!$D$2:$D$206,1)),""),"")</f>
        <v/>
      </c>
      <c r="E49">
        <f>IFERROR(IF(AND(A49&gt;=129,A49&lt;=2176),INDEX(Fields!$C$2:$C$206,MATCH(A49-129,Fields!$D$2:$D$206,1)),""),"")</f>
        <v/>
      </c>
    </row>
    <row r="50">
      <c r="A50" t="n">
        <v>49</v>
      </c>
      <c r="B50">
        <f>IFERROR(INDEX(RawBits!$A:$A,MATCH($A50,RawBits!$H:$H,0)),"?")</f>
        <v/>
      </c>
      <c r="C50">
        <f>IFERROR(INDEX(RawBits!$G:$G,MATCH($A50,RawBits!$H:$H,0)),"")</f>
        <v/>
      </c>
      <c r="D50">
        <f>IFERROR(IF(AND(A50&gt;=129,A50&lt;=2176),INDEX(Fields!$B$2:$B$206,MATCH(A50-129,Fields!$D$2:$D$206,1)),""),"")</f>
        <v/>
      </c>
      <c r="E50">
        <f>IFERROR(IF(AND(A50&gt;=129,A50&lt;=2176),INDEX(Fields!$C$2:$C$206,MATCH(A50-129,Fields!$D$2:$D$206,1)),""),"")</f>
        <v/>
      </c>
    </row>
    <row r="51">
      <c r="A51" t="n">
        <v>50</v>
      </c>
      <c r="B51">
        <f>IFERROR(INDEX(RawBits!$A:$A,MATCH($A51,RawBits!$H:$H,0)),"?")</f>
        <v/>
      </c>
      <c r="C51">
        <f>IFERROR(INDEX(RawBits!$G:$G,MATCH($A51,RawBits!$H:$H,0)),"")</f>
        <v/>
      </c>
      <c r="D51">
        <f>IFERROR(IF(AND(A51&gt;=129,A51&lt;=2176),INDEX(Fields!$B$2:$B$206,MATCH(A51-129,Fields!$D$2:$D$206,1)),""),"")</f>
        <v/>
      </c>
      <c r="E51">
        <f>IFERROR(IF(AND(A51&gt;=129,A51&lt;=2176),INDEX(Fields!$C$2:$C$206,MATCH(A51-129,Fields!$D$2:$D$206,1)),""),"")</f>
        <v/>
      </c>
    </row>
    <row r="52">
      <c r="A52" t="n">
        <v>51</v>
      </c>
      <c r="B52">
        <f>IFERROR(INDEX(RawBits!$A:$A,MATCH($A52,RawBits!$H:$H,0)),"?")</f>
        <v/>
      </c>
      <c r="C52">
        <f>IFERROR(INDEX(RawBits!$G:$G,MATCH($A52,RawBits!$H:$H,0)),"")</f>
        <v/>
      </c>
      <c r="D52">
        <f>IFERROR(IF(AND(A52&gt;=129,A52&lt;=2176),INDEX(Fields!$B$2:$B$206,MATCH(A52-129,Fields!$D$2:$D$206,1)),""),"")</f>
        <v/>
      </c>
      <c r="E52">
        <f>IFERROR(IF(AND(A52&gt;=129,A52&lt;=2176),INDEX(Fields!$C$2:$C$206,MATCH(A52-129,Fields!$D$2:$D$206,1)),""),"")</f>
        <v/>
      </c>
    </row>
    <row r="53">
      <c r="A53" t="n">
        <v>52</v>
      </c>
      <c r="B53">
        <f>IFERROR(INDEX(RawBits!$A:$A,MATCH($A53,RawBits!$H:$H,0)),"?")</f>
        <v/>
      </c>
      <c r="C53">
        <f>IFERROR(INDEX(RawBits!$G:$G,MATCH($A53,RawBits!$H:$H,0)),"")</f>
        <v/>
      </c>
      <c r="D53">
        <f>IFERROR(IF(AND(A53&gt;=129,A53&lt;=2176),INDEX(Fields!$B$2:$B$206,MATCH(A53-129,Fields!$D$2:$D$206,1)),""),"")</f>
        <v/>
      </c>
      <c r="E53">
        <f>IFERROR(IF(AND(A53&gt;=129,A53&lt;=2176),INDEX(Fields!$C$2:$C$206,MATCH(A53-129,Fields!$D$2:$D$206,1)),""),"")</f>
        <v/>
      </c>
    </row>
    <row r="54">
      <c r="A54" t="n">
        <v>53</v>
      </c>
      <c r="B54">
        <f>IFERROR(INDEX(RawBits!$A:$A,MATCH($A54,RawBits!$H:$H,0)),"?")</f>
        <v/>
      </c>
      <c r="C54">
        <f>IFERROR(INDEX(RawBits!$G:$G,MATCH($A54,RawBits!$H:$H,0)),"")</f>
        <v/>
      </c>
      <c r="D54">
        <f>IFERROR(IF(AND(A54&gt;=129,A54&lt;=2176),INDEX(Fields!$B$2:$B$206,MATCH(A54-129,Fields!$D$2:$D$206,1)),""),"")</f>
        <v/>
      </c>
      <c r="E54">
        <f>IFERROR(IF(AND(A54&gt;=129,A54&lt;=2176),INDEX(Fields!$C$2:$C$206,MATCH(A54-129,Fields!$D$2:$D$206,1)),""),"")</f>
        <v/>
      </c>
    </row>
    <row r="55">
      <c r="A55" t="n">
        <v>54</v>
      </c>
      <c r="B55">
        <f>IFERROR(INDEX(RawBits!$A:$A,MATCH($A55,RawBits!$H:$H,0)),"?")</f>
        <v/>
      </c>
      <c r="C55">
        <f>IFERROR(INDEX(RawBits!$G:$G,MATCH($A55,RawBits!$H:$H,0)),"")</f>
        <v/>
      </c>
      <c r="D55">
        <f>IFERROR(IF(AND(A55&gt;=129,A55&lt;=2176),INDEX(Fields!$B$2:$B$206,MATCH(A55-129,Fields!$D$2:$D$206,1)),""),"")</f>
        <v/>
      </c>
      <c r="E55">
        <f>IFERROR(IF(AND(A55&gt;=129,A55&lt;=2176),INDEX(Fields!$C$2:$C$206,MATCH(A55-129,Fields!$D$2:$D$206,1)),""),"")</f>
        <v/>
      </c>
    </row>
    <row r="56">
      <c r="A56" t="n">
        <v>55</v>
      </c>
      <c r="B56">
        <f>IFERROR(INDEX(RawBits!$A:$A,MATCH($A56,RawBits!$H:$H,0)),"?")</f>
        <v/>
      </c>
      <c r="C56">
        <f>IFERROR(INDEX(RawBits!$G:$G,MATCH($A56,RawBits!$H:$H,0)),"")</f>
        <v/>
      </c>
      <c r="D56">
        <f>IFERROR(IF(AND(A56&gt;=129,A56&lt;=2176),INDEX(Fields!$B$2:$B$206,MATCH(A56-129,Fields!$D$2:$D$206,1)),""),"")</f>
        <v/>
      </c>
      <c r="E56">
        <f>IFERROR(IF(AND(A56&gt;=129,A56&lt;=2176),INDEX(Fields!$C$2:$C$206,MATCH(A56-129,Fields!$D$2:$D$206,1)),""),"")</f>
        <v/>
      </c>
    </row>
    <row r="57">
      <c r="A57" t="n">
        <v>56</v>
      </c>
      <c r="B57">
        <f>IFERROR(INDEX(RawBits!$A:$A,MATCH($A57,RawBits!$H:$H,0)),"?")</f>
        <v/>
      </c>
      <c r="C57">
        <f>IFERROR(INDEX(RawBits!$G:$G,MATCH($A57,RawBits!$H:$H,0)),"")</f>
        <v/>
      </c>
      <c r="D57">
        <f>IFERROR(IF(AND(A57&gt;=129,A57&lt;=2176),INDEX(Fields!$B$2:$B$206,MATCH(A57-129,Fields!$D$2:$D$206,1)),""),"")</f>
        <v/>
      </c>
      <c r="E57">
        <f>IFERROR(IF(AND(A57&gt;=129,A57&lt;=2176),INDEX(Fields!$C$2:$C$206,MATCH(A57-129,Fields!$D$2:$D$206,1)),""),"")</f>
        <v/>
      </c>
    </row>
    <row r="58">
      <c r="A58" t="n">
        <v>57</v>
      </c>
      <c r="B58">
        <f>IFERROR(INDEX(RawBits!$A:$A,MATCH($A58,RawBits!$H:$H,0)),"?")</f>
        <v/>
      </c>
      <c r="C58">
        <f>IFERROR(INDEX(RawBits!$G:$G,MATCH($A58,RawBits!$H:$H,0)),"")</f>
        <v/>
      </c>
      <c r="D58">
        <f>IFERROR(IF(AND(A58&gt;=129,A58&lt;=2176),INDEX(Fields!$B$2:$B$206,MATCH(A58-129,Fields!$D$2:$D$206,1)),""),"")</f>
        <v/>
      </c>
      <c r="E58">
        <f>IFERROR(IF(AND(A58&gt;=129,A58&lt;=2176),INDEX(Fields!$C$2:$C$206,MATCH(A58-129,Fields!$D$2:$D$206,1)),""),"")</f>
        <v/>
      </c>
    </row>
    <row r="59">
      <c r="A59" t="n">
        <v>58</v>
      </c>
      <c r="B59">
        <f>IFERROR(INDEX(RawBits!$A:$A,MATCH($A59,RawBits!$H:$H,0)),"?")</f>
        <v/>
      </c>
      <c r="C59">
        <f>IFERROR(INDEX(RawBits!$G:$G,MATCH($A59,RawBits!$H:$H,0)),"")</f>
        <v/>
      </c>
      <c r="D59">
        <f>IFERROR(IF(AND(A59&gt;=129,A59&lt;=2176),INDEX(Fields!$B$2:$B$206,MATCH(A59-129,Fields!$D$2:$D$206,1)),""),"")</f>
        <v/>
      </c>
      <c r="E59">
        <f>IFERROR(IF(AND(A59&gt;=129,A59&lt;=2176),INDEX(Fields!$C$2:$C$206,MATCH(A59-129,Fields!$D$2:$D$206,1)),""),"")</f>
        <v/>
      </c>
    </row>
    <row r="60">
      <c r="A60" t="n">
        <v>59</v>
      </c>
      <c r="B60">
        <f>IFERROR(INDEX(RawBits!$A:$A,MATCH($A60,RawBits!$H:$H,0)),"?")</f>
        <v/>
      </c>
      <c r="C60">
        <f>IFERROR(INDEX(RawBits!$G:$G,MATCH($A60,RawBits!$H:$H,0)),"")</f>
        <v/>
      </c>
      <c r="D60">
        <f>IFERROR(IF(AND(A60&gt;=129,A60&lt;=2176),INDEX(Fields!$B$2:$B$206,MATCH(A60-129,Fields!$D$2:$D$206,1)),""),"")</f>
        <v/>
      </c>
      <c r="E60">
        <f>IFERROR(IF(AND(A60&gt;=129,A60&lt;=2176),INDEX(Fields!$C$2:$C$206,MATCH(A60-129,Fields!$D$2:$D$206,1)),""),"")</f>
        <v/>
      </c>
    </row>
    <row r="61">
      <c r="A61" t="n">
        <v>60</v>
      </c>
      <c r="B61">
        <f>IFERROR(INDEX(RawBits!$A:$A,MATCH($A61,RawBits!$H:$H,0)),"?")</f>
        <v/>
      </c>
      <c r="C61">
        <f>IFERROR(INDEX(RawBits!$G:$G,MATCH($A61,RawBits!$H:$H,0)),"")</f>
        <v/>
      </c>
      <c r="D61">
        <f>IFERROR(IF(AND(A61&gt;=129,A61&lt;=2176),INDEX(Fields!$B$2:$B$206,MATCH(A61-129,Fields!$D$2:$D$206,1)),""),"")</f>
        <v/>
      </c>
      <c r="E61">
        <f>IFERROR(IF(AND(A61&gt;=129,A61&lt;=2176),INDEX(Fields!$C$2:$C$206,MATCH(A61-129,Fields!$D$2:$D$206,1)),""),"")</f>
        <v/>
      </c>
    </row>
    <row r="62">
      <c r="A62" t="n">
        <v>61</v>
      </c>
      <c r="B62">
        <f>IFERROR(INDEX(RawBits!$A:$A,MATCH($A62,RawBits!$H:$H,0)),"?")</f>
        <v/>
      </c>
      <c r="C62">
        <f>IFERROR(INDEX(RawBits!$G:$G,MATCH($A62,RawBits!$H:$H,0)),"")</f>
        <v/>
      </c>
      <c r="D62">
        <f>IFERROR(IF(AND(A62&gt;=129,A62&lt;=2176),INDEX(Fields!$B$2:$B$206,MATCH(A62-129,Fields!$D$2:$D$206,1)),""),"")</f>
        <v/>
      </c>
      <c r="E62">
        <f>IFERROR(IF(AND(A62&gt;=129,A62&lt;=2176),INDEX(Fields!$C$2:$C$206,MATCH(A62-129,Fields!$D$2:$D$206,1)),""),"")</f>
        <v/>
      </c>
    </row>
    <row r="63">
      <c r="A63" t="n">
        <v>62</v>
      </c>
      <c r="B63">
        <f>IFERROR(INDEX(RawBits!$A:$A,MATCH($A63,RawBits!$H:$H,0)),"?")</f>
        <v/>
      </c>
      <c r="C63">
        <f>IFERROR(INDEX(RawBits!$G:$G,MATCH($A63,RawBits!$H:$H,0)),"")</f>
        <v/>
      </c>
      <c r="D63">
        <f>IFERROR(IF(AND(A63&gt;=129,A63&lt;=2176),INDEX(Fields!$B$2:$B$206,MATCH(A63-129,Fields!$D$2:$D$206,1)),""),"")</f>
        <v/>
      </c>
      <c r="E63">
        <f>IFERROR(IF(AND(A63&gt;=129,A63&lt;=2176),INDEX(Fields!$C$2:$C$206,MATCH(A63-129,Fields!$D$2:$D$206,1)),""),"")</f>
        <v/>
      </c>
    </row>
    <row r="64">
      <c r="A64" t="n">
        <v>63</v>
      </c>
      <c r="B64">
        <f>IFERROR(INDEX(RawBits!$A:$A,MATCH($A64,RawBits!$H:$H,0)),"?")</f>
        <v/>
      </c>
      <c r="C64">
        <f>IFERROR(INDEX(RawBits!$G:$G,MATCH($A64,RawBits!$H:$H,0)),"")</f>
        <v/>
      </c>
      <c r="D64">
        <f>IFERROR(IF(AND(A64&gt;=129,A64&lt;=2176),INDEX(Fields!$B$2:$B$206,MATCH(A64-129,Fields!$D$2:$D$206,1)),""),"")</f>
        <v/>
      </c>
      <c r="E64">
        <f>IFERROR(IF(AND(A64&gt;=129,A64&lt;=2176),INDEX(Fields!$C$2:$C$206,MATCH(A64-129,Fields!$D$2:$D$206,1)),""),"")</f>
        <v/>
      </c>
    </row>
    <row r="65">
      <c r="A65" t="n">
        <v>64</v>
      </c>
      <c r="B65">
        <f>IFERROR(INDEX(RawBits!$A:$A,MATCH($A65,RawBits!$H:$H,0)),"?")</f>
        <v/>
      </c>
      <c r="C65">
        <f>IFERROR(INDEX(RawBits!$G:$G,MATCH($A65,RawBits!$H:$H,0)),"")</f>
        <v/>
      </c>
      <c r="D65">
        <f>IFERROR(IF(AND(A65&gt;=129,A65&lt;=2176),INDEX(Fields!$B$2:$B$206,MATCH(A65-129,Fields!$D$2:$D$206,1)),""),"")</f>
        <v/>
      </c>
      <c r="E65">
        <f>IFERROR(IF(AND(A65&gt;=129,A65&lt;=2176),INDEX(Fields!$C$2:$C$206,MATCH(A65-129,Fields!$D$2:$D$206,1)),""),"")</f>
        <v/>
      </c>
    </row>
    <row r="66">
      <c r="A66" t="n">
        <v>65</v>
      </c>
      <c r="B66">
        <f>IFERROR(INDEX(RawBits!$A:$A,MATCH($A66,RawBits!$H:$H,0)),"?")</f>
        <v/>
      </c>
      <c r="C66">
        <f>IFERROR(INDEX(RawBits!$G:$G,MATCH($A66,RawBits!$H:$H,0)),"")</f>
        <v/>
      </c>
      <c r="D66">
        <f>IFERROR(IF(AND(A66&gt;=129,A66&lt;=2176),INDEX(Fields!$B$2:$B$206,MATCH(A66-129,Fields!$D$2:$D$206,1)),""),"")</f>
        <v/>
      </c>
      <c r="E66">
        <f>IFERROR(IF(AND(A66&gt;=129,A66&lt;=2176),INDEX(Fields!$C$2:$C$206,MATCH(A66-129,Fields!$D$2:$D$206,1)),""),"")</f>
        <v/>
      </c>
    </row>
    <row r="67">
      <c r="A67" t="n">
        <v>66</v>
      </c>
      <c r="B67">
        <f>IFERROR(INDEX(RawBits!$A:$A,MATCH($A67,RawBits!$H:$H,0)),"?")</f>
        <v/>
      </c>
      <c r="C67">
        <f>IFERROR(INDEX(RawBits!$G:$G,MATCH($A67,RawBits!$H:$H,0)),"")</f>
        <v/>
      </c>
      <c r="D67">
        <f>IFERROR(IF(AND(A67&gt;=129,A67&lt;=2176),INDEX(Fields!$B$2:$B$206,MATCH(A67-129,Fields!$D$2:$D$206,1)),""),"")</f>
        <v/>
      </c>
      <c r="E67">
        <f>IFERROR(IF(AND(A67&gt;=129,A67&lt;=2176),INDEX(Fields!$C$2:$C$206,MATCH(A67-129,Fields!$D$2:$D$206,1)),""),"")</f>
        <v/>
      </c>
    </row>
    <row r="68">
      <c r="A68" t="n">
        <v>67</v>
      </c>
      <c r="B68">
        <f>IFERROR(INDEX(RawBits!$A:$A,MATCH($A68,RawBits!$H:$H,0)),"?")</f>
        <v/>
      </c>
      <c r="C68">
        <f>IFERROR(INDEX(RawBits!$G:$G,MATCH($A68,RawBits!$H:$H,0)),"")</f>
        <v/>
      </c>
      <c r="D68">
        <f>IFERROR(IF(AND(A68&gt;=129,A68&lt;=2176),INDEX(Fields!$B$2:$B$206,MATCH(A68-129,Fields!$D$2:$D$206,1)),""),"")</f>
        <v/>
      </c>
      <c r="E68">
        <f>IFERROR(IF(AND(A68&gt;=129,A68&lt;=2176),INDEX(Fields!$C$2:$C$206,MATCH(A68-129,Fields!$D$2:$D$206,1)),""),"")</f>
        <v/>
      </c>
    </row>
    <row r="69">
      <c r="A69" t="n">
        <v>68</v>
      </c>
      <c r="B69">
        <f>IFERROR(INDEX(RawBits!$A:$A,MATCH($A69,RawBits!$H:$H,0)),"?")</f>
        <v/>
      </c>
      <c r="C69">
        <f>IFERROR(INDEX(RawBits!$G:$G,MATCH($A69,RawBits!$H:$H,0)),"")</f>
        <v/>
      </c>
      <c r="D69">
        <f>IFERROR(IF(AND(A69&gt;=129,A69&lt;=2176),INDEX(Fields!$B$2:$B$206,MATCH(A69-129,Fields!$D$2:$D$206,1)),""),"")</f>
        <v/>
      </c>
      <c r="E69">
        <f>IFERROR(IF(AND(A69&gt;=129,A69&lt;=2176),INDEX(Fields!$C$2:$C$206,MATCH(A69-129,Fields!$D$2:$D$206,1)),""),"")</f>
        <v/>
      </c>
    </row>
    <row r="70">
      <c r="A70" t="n">
        <v>69</v>
      </c>
      <c r="B70">
        <f>IFERROR(INDEX(RawBits!$A:$A,MATCH($A70,RawBits!$H:$H,0)),"?")</f>
        <v/>
      </c>
      <c r="C70">
        <f>IFERROR(INDEX(RawBits!$G:$G,MATCH($A70,RawBits!$H:$H,0)),"")</f>
        <v/>
      </c>
      <c r="D70">
        <f>IFERROR(IF(AND(A70&gt;=129,A70&lt;=2176),INDEX(Fields!$B$2:$B$206,MATCH(A70-129,Fields!$D$2:$D$206,1)),""),"")</f>
        <v/>
      </c>
      <c r="E70">
        <f>IFERROR(IF(AND(A70&gt;=129,A70&lt;=2176),INDEX(Fields!$C$2:$C$206,MATCH(A70-129,Fields!$D$2:$D$206,1)),""),"")</f>
        <v/>
      </c>
    </row>
    <row r="71">
      <c r="A71" t="n">
        <v>70</v>
      </c>
      <c r="B71">
        <f>IFERROR(INDEX(RawBits!$A:$A,MATCH($A71,RawBits!$H:$H,0)),"?")</f>
        <v/>
      </c>
      <c r="C71">
        <f>IFERROR(INDEX(RawBits!$G:$G,MATCH($A71,RawBits!$H:$H,0)),"")</f>
        <v/>
      </c>
      <c r="D71">
        <f>IFERROR(IF(AND(A71&gt;=129,A71&lt;=2176),INDEX(Fields!$B$2:$B$206,MATCH(A71-129,Fields!$D$2:$D$206,1)),""),"")</f>
        <v/>
      </c>
      <c r="E71">
        <f>IFERROR(IF(AND(A71&gt;=129,A71&lt;=2176),INDEX(Fields!$C$2:$C$206,MATCH(A71-129,Fields!$D$2:$D$206,1)),""),"")</f>
        <v/>
      </c>
    </row>
    <row r="72">
      <c r="A72" t="n">
        <v>71</v>
      </c>
      <c r="B72">
        <f>IFERROR(INDEX(RawBits!$A:$A,MATCH($A72,RawBits!$H:$H,0)),"?")</f>
        <v/>
      </c>
      <c r="C72">
        <f>IFERROR(INDEX(RawBits!$G:$G,MATCH($A72,RawBits!$H:$H,0)),"")</f>
        <v/>
      </c>
      <c r="D72">
        <f>IFERROR(IF(AND(A72&gt;=129,A72&lt;=2176),INDEX(Fields!$B$2:$B$206,MATCH(A72-129,Fields!$D$2:$D$206,1)),""),"")</f>
        <v/>
      </c>
      <c r="E72">
        <f>IFERROR(IF(AND(A72&gt;=129,A72&lt;=2176),INDEX(Fields!$C$2:$C$206,MATCH(A72-129,Fields!$D$2:$D$206,1)),""),"")</f>
        <v/>
      </c>
    </row>
    <row r="73">
      <c r="A73" t="n">
        <v>72</v>
      </c>
      <c r="B73">
        <f>IFERROR(INDEX(RawBits!$A:$A,MATCH($A73,RawBits!$H:$H,0)),"?")</f>
        <v/>
      </c>
      <c r="C73">
        <f>IFERROR(INDEX(RawBits!$G:$G,MATCH($A73,RawBits!$H:$H,0)),"")</f>
        <v/>
      </c>
      <c r="D73">
        <f>IFERROR(IF(AND(A73&gt;=129,A73&lt;=2176),INDEX(Fields!$B$2:$B$206,MATCH(A73-129,Fields!$D$2:$D$206,1)),""),"")</f>
        <v/>
      </c>
      <c r="E73">
        <f>IFERROR(IF(AND(A73&gt;=129,A73&lt;=2176),INDEX(Fields!$C$2:$C$206,MATCH(A73-129,Fields!$D$2:$D$206,1)),""),"")</f>
        <v/>
      </c>
    </row>
    <row r="74">
      <c r="A74" t="n">
        <v>73</v>
      </c>
      <c r="B74">
        <f>IFERROR(INDEX(RawBits!$A:$A,MATCH($A74,RawBits!$H:$H,0)),"?")</f>
        <v/>
      </c>
      <c r="C74">
        <f>IFERROR(INDEX(RawBits!$G:$G,MATCH($A74,RawBits!$H:$H,0)),"")</f>
        <v/>
      </c>
      <c r="D74">
        <f>IFERROR(IF(AND(A74&gt;=129,A74&lt;=2176),INDEX(Fields!$B$2:$B$206,MATCH(A74-129,Fields!$D$2:$D$206,1)),""),"")</f>
        <v/>
      </c>
      <c r="E74">
        <f>IFERROR(IF(AND(A74&gt;=129,A74&lt;=2176),INDEX(Fields!$C$2:$C$206,MATCH(A74-129,Fields!$D$2:$D$206,1)),""),"")</f>
        <v/>
      </c>
    </row>
    <row r="75">
      <c r="A75" t="n">
        <v>74</v>
      </c>
      <c r="B75">
        <f>IFERROR(INDEX(RawBits!$A:$A,MATCH($A75,RawBits!$H:$H,0)),"?")</f>
        <v/>
      </c>
      <c r="C75">
        <f>IFERROR(INDEX(RawBits!$G:$G,MATCH($A75,RawBits!$H:$H,0)),"")</f>
        <v/>
      </c>
      <c r="D75">
        <f>IFERROR(IF(AND(A75&gt;=129,A75&lt;=2176),INDEX(Fields!$B$2:$B$206,MATCH(A75-129,Fields!$D$2:$D$206,1)),""),"")</f>
        <v/>
      </c>
      <c r="E75">
        <f>IFERROR(IF(AND(A75&gt;=129,A75&lt;=2176),INDEX(Fields!$C$2:$C$206,MATCH(A75-129,Fields!$D$2:$D$206,1)),""),"")</f>
        <v/>
      </c>
    </row>
    <row r="76">
      <c r="A76" t="n">
        <v>75</v>
      </c>
      <c r="B76">
        <f>IFERROR(INDEX(RawBits!$A:$A,MATCH($A76,RawBits!$H:$H,0)),"?")</f>
        <v/>
      </c>
      <c r="C76">
        <f>IFERROR(INDEX(RawBits!$G:$G,MATCH($A76,RawBits!$H:$H,0)),"")</f>
        <v/>
      </c>
      <c r="D76">
        <f>IFERROR(IF(AND(A76&gt;=129,A76&lt;=2176),INDEX(Fields!$B$2:$B$206,MATCH(A76-129,Fields!$D$2:$D$206,1)),""),"")</f>
        <v/>
      </c>
      <c r="E76">
        <f>IFERROR(IF(AND(A76&gt;=129,A76&lt;=2176),INDEX(Fields!$C$2:$C$206,MATCH(A76-129,Fields!$D$2:$D$206,1)),""),"")</f>
        <v/>
      </c>
    </row>
    <row r="77">
      <c r="A77" t="n">
        <v>76</v>
      </c>
      <c r="B77">
        <f>IFERROR(INDEX(RawBits!$A:$A,MATCH($A77,RawBits!$H:$H,0)),"?")</f>
        <v/>
      </c>
      <c r="C77">
        <f>IFERROR(INDEX(RawBits!$G:$G,MATCH($A77,RawBits!$H:$H,0)),"")</f>
        <v/>
      </c>
      <c r="D77">
        <f>IFERROR(IF(AND(A77&gt;=129,A77&lt;=2176),INDEX(Fields!$B$2:$B$206,MATCH(A77-129,Fields!$D$2:$D$206,1)),""),"")</f>
        <v/>
      </c>
      <c r="E77">
        <f>IFERROR(IF(AND(A77&gt;=129,A77&lt;=2176),INDEX(Fields!$C$2:$C$206,MATCH(A77-129,Fields!$D$2:$D$206,1)),""),"")</f>
        <v/>
      </c>
    </row>
    <row r="78">
      <c r="A78" t="n">
        <v>77</v>
      </c>
      <c r="B78">
        <f>IFERROR(INDEX(RawBits!$A:$A,MATCH($A78,RawBits!$H:$H,0)),"?")</f>
        <v/>
      </c>
      <c r="C78">
        <f>IFERROR(INDEX(RawBits!$G:$G,MATCH($A78,RawBits!$H:$H,0)),"")</f>
        <v/>
      </c>
      <c r="D78">
        <f>IFERROR(IF(AND(A78&gt;=129,A78&lt;=2176),INDEX(Fields!$B$2:$B$206,MATCH(A78-129,Fields!$D$2:$D$206,1)),""),"")</f>
        <v/>
      </c>
      <c r="E78">
        <f>IFERROR(IF(AND(A78&gt;=129,A78&lt;=2176),INDEX(Fields!$C$2:$C$206,MATCH(A78-129,Fields!$D$2:$D$206,1)),""),"")</f>
        <v/>
      </c>
    </row>
    <row r="79">
      <c r="A79" t="n">
        <v>78</v>
      </c>
      <c r="B79">
        <f>IFERROR(INDEX(RawBits!$A:$A,MATCH($A79,RawBits!$H:$H,0)),"?")</f>
        <v/>
      </c>
      <c r="C79">
        <f>IFERROR(INDEX(RawBits!$G:$G,MATCH($A79,RawBits!$H:$H,0)),"")</f>
        <v/>
      </c>
      <c r="D79">
        <f>IFERROR(IF(AND(A79&gt;=129,A79&lt;=2176),INDEX(Fields!$B$2:$B$206,MATCH(A79-129,Fields!$D$2:$D$206,1)),""),"")</f>
        <v/>
      </c>
      <c r="E79">
        <f>IFERROR(IF(AND(A79&gt;=129,A79&lt;=2176),INDEX(Fields!$C$2:$C$206,MATCH(A79-129,Fields!$D$2:$D$206,1)),""),"")</f>
        <v/>
      </c>
    </row>
    <row r="80">
      <c r="A80" t="n">
        <v>79</v>
      </c>
      <c r="B80">
        <f>IFERROR(INDEX(RawBits!$A:$A,MATCH($A80,RawBits!$H:$H,0)),"?")</f>
        <v/>
      </c>
      <c r="C80">
        <f>IFERROR(INDEX(RawBits!$G:$G,MATCH($A80,RawBits!$H:$H,0)),"")</f>
        <v/>
      </c>
      <c r="D80">
        <f>IFERROR(IF(AND(A80&gt;=129,A80&lt;=2176),INDEX(Fields!$B$2:$B$206,MATCH(A80-129,Fields!$D$2:$D$206,1)),""),"")</f>
        <v/>
      </c>
      <c r="E80">
        <f>IFERROR(IF(AND(A80&gt;=129,A80&lt;=2176),INDEX(Fields!$C$2:$C$206,MATCH(A80-129,Fields!$D$2:$D$206,1)),""),"")</f>
        <v/>
      </c>
    </row>
    <row r="81">
      <c r="A81" t="n">
        <v>80</v>
      </c>
      <c r="B81">
        <f>IFERROR(INDEX(RawBits!$A:$A,MATCH($A81,RawBits!$H:$H,0)),"?")</f>
        <v/>
      </c>
      <c r="C81">
        <f>IFERROR(INDEX(RawBits!$G:$G,MATCH($A81,RawBits!$H:$H,0)),"")</f>
        <v/>
      </c>
      <c r="D81">
        <f>IFERROR(IF(AND(A81&gt;=129,A81&lt;=2176),INDEX(Fields!$B$2:$B$206,MATCH(A81-129,Fields!$D$2:$D$206,1)),""),"")</f>
        <v/>
      </c>
      <c r="E81">
        <f>IFERROR(IF(AND(A81&gt;=129,A81&lt;=2176),INDEX(Fields!$C$2:$C$206,MATCH(A81-129,Fields!$D$2:$D$206,1)),""),"")</f>
        <v/>
      </c>
    </row>
    <row r="82">
      <c r="A82" t="n">
        <v>81</v>
      </c>
      <c r="B82">
        <f>IFERROR(INDEX(RawBits!$A:$A,MATCH($A82,RawBits!$H:$H,0)),"?")</f>
        <v/>
      </c>
      <c r="C82">
        <f>IFERROR(INDEX(RawBits!$G:$G,MATCH($A82,RawBits!$H:$H,0)),"")</f>
        <v/>
      </c>
      <c r="D82">
        <f>IFERROR(IF(AND(A82&gt;=129,A82&lt;=2176),INDEX(Fields!$B$2:$B$206,MATCH(A82-129,Fields!$D$2:$D$206,1)),""),"")</f>
        <v/>
      </c>
      <c r="E82">
        <f>IFERROR(IF(AND(A82&gt;=129,A82&lt;=2176),INDEX(Fields!$C$2:$C$206,MATCH(A82-129,Fields!$D$2:$D$206,1)),""),"")</f>
        <v/>
      </c>
    </row>
    <row r="83">
      <c r="A83" t="n">
        <v>82</v>
      </c>
      <c r="B83">
        <f>IFERROR(INDEX(RawBits!$A:$A,MATCH($A83,RawBits!$H:$H,0)),"?")</f>
        <v/>
      </c>
      <c r="C83">
        <f>IFERROR(INDEX(RawBits!$G:$G,MATCH($A83,RawBits!$H:$H,0)),"")</f>
        <v/>
      </c>
      <c r="D83">
        <f>IFERROR(IF(AND(A83&gt;=129,A83&lt;=2176),INDEX(Fields!$B$2:$B$206,MATCH(A83-129,Fields!$D$2:$D$206,1)),""),"")</f>
        <v/>
      </c>
      <c r="E83">
        <f>IFERROR(IF(AND(A83&gt;=129,A83&lt;=2176),INDEX(Fields!$C$2:$C$206,MATCH(A83-129,Fields!$D$2:$D$206,1)),""),"")</f>
        <v/>
      </c>
    </row>
    <row r="84">
      <c r="A84" t="n">
        <v>83</v>
      </c>
      <c r="B84">
        <f>IFERROR(INDEX(RawBits!$A:$A,MATCH($A84,RawBits!$H:$H,0)),"?")</f>
        <v/>
      </c>
      <c r="C84">
        <f>IFERROR(INDEX(RawBits!$G:$G,MATCH($A84,RawBits!$H:$H,0)),"")</f>
        <v/>
      </c>
      <c r="D84">
        <f>IFERROR(IF(AND(A84&gt;=129,A84&lt;=2176),INDEX(Fields!$B$2:$B$206,MATCH(A84-129,Fields!$D$2:$D$206,1)),""),"")</f>
        <v/>
      </c>
      <c r="E84">
        <f>IFERROR(IF(AND(A84&gt;=129,A84&lt;=2176),INDEX(Fields!$C$2:$C$206,MATCH(A84-129,Fields!$D$2:$D$206,1)),""),"")</f>
        <v/>
      </c>
    </row>
    <row r="85">
      <c r="A85" t="n">
        <v>84</v>
      </c>
      <c r="B85">
        <f>IFERROR(INDEX(RawBits!$A:$A,MATCH($A85,RawBits!$H:$H,0)),"?")</f>
        <v/>
      </c>
      <c r="C85">
        <f>IFERROR(INDEX(RawBits!$G:$G,MATCH($A85,RawBits!$H:$H,0)),"")</f>
        <v/>
      </c>
      <c r="D85">
        <f>IFERROR(IF(AND(A85&gt;=129,A85&lt;=2176),INDEX(Fields!$B$2:$B$206,MATCH(A85-129,Fields!$D$2:$D$206,1)),""),"")</f>
        <v/>
      </c>
      <c r="E85">
        <f>IFERROR(IF(AND(A85&gt;=129,A85&lt;=2176),INDEX(Fields!$C$2:$C$206,MATCH(A85-129,Fields!$D$2:$D$206,1)),""),"")</f>
        <v/>
      </c>
    </row>
    <row r="86">
      <c r="A86" t="n">
        <v>85</v>
      </c>
      <c r="B86">
        <f>IFERROR(INDEX(RawBits!$A:$A,MATCH($A86,RawBits!$H:$H,0)),"?")</f>
        <v/>
      </c>
      <c r="C86">
        <f>IFERROR(INDEX(RawBits!$G:$G,MATCH($A86,RawBits!$H:$H,0)),"")</f>
        <v/>
      </c>
      <c r="D86">
        <f>IFERROR(IF(AND(A86&gt;=129,A86&lt;=2176),INDEX(Fields!$B$2:$B$206,MATCH(A86-129,Fields!$D$2:$D$206,1)),""),"")</f>
        <v/>
      </c>
      <c r="E86">
        <f>IFERROR(IF(AND(A86&gt;=129,A86&lt;=2176),INDEX(Fields!$C$2:$C$206,MATCH(A86-129,Fields!$D$2:$D$206,1)),""),"")</f>
        <v/>
      </c>
    </row>
    <row r="87">
      <c r="A87" t="n">
        <v>86</v>
      </c>
      <c r="B87">
        <f>IFERROR(INDEX(RawBits!$A:$A,MATCH($A87,RawBits!$H:$H,0)),"?")</f>
        <v/>
      </c>
      <c r="C87">
        <f>IFERROR(INDEX(RawBits!$G:$G,MATCH($A87,RawBits!$H:$H,0)),"")</f>
        <v/>
      </c>
      <c r="D87">
        <f>IFERROR(IF(AND(A87&gt;=129,A87&lt;=2176),INDEX(Fields!$B$2:$B$206,MATCH(A87-129,Fields!$D$2:$D$206,1)),""),"")</f>
        <v/>
      </c>
      <c r="E87">
        <f>IFERROR(IF(AND(A87&gt;=129,A87&lt;=2176),INDEX(Fields!$C$2:$C$206,MATCH(A87-129,Fields!$D$2:$D$206,1)),""),"")</f>
        <v/>
      </c>
    </row>
    <row r="88">
      <c r="A88" t="n">
        <v>87</v>
      </c>
      <c r="B88">
        <f>IFERROR(INDEX(RawBits!$A:$A,MATCH($A88,RawBits!$H:$H,0)),"?")</f>
        <v/>
      </c>
      <c r="C88">
        <f>IFERROR(INDEX(RawBits!$G:$G,MATCH($A88,RawBits!$H:$H,0)),"")</f>
        <v/>
      </c>
      <c r="D88">
        <f>IFERROR(IF(AND(A88&gt;=129,A88&lt;=2176),INDEX(Fields!$B$2:$B$206,MATCH(A88-129,Fields!$D$2:$D$206,1)),""),"")</f>
        <v/>
      </c>
      <c r="E88">
        <f>IFERROR(IF(AND(A88&gt;=129,A88&lt;=2176),INDEX(Fields!$C$2:$C$206,MATCH(A88-129,Fields!$D$2:$D$206,1)),""),"")</f>
        <v/>
      </c>
    </row>
    <row r="89">
      <c r="A89" t="n">
        <v>88</v>
      </c>
      <c r="B89">
        <f>IFERROR(INDEX(RawBits!$A:$A,MATCH($A89,RawBits!$H:$H,0)),"?")</f>
        <v/>
      </c>
      <c r="C89">
        <f>IFERROR(INDEX(RawBits!$G:$G,MATCH($A89,RawBits!$H:$H,0)),"")</f>
        <v/>
      </c>
      <c r="D89">
        <f>IFERROR(IF(AND(A89&gt;=129,A89&lt;=2176),INDEX(Fields!$B$2:$B$206,MATCH(A89-129,Fields!$D$2:$D$206,1)),""),"")</f>
        <v/>
      </c>
      <c r="E89">
        <f>IFERROR(IF(AND(A89&gt;=129,A89&lt;=2176),INDEX(Fields!$C$2:$C$206,MATCH(A89-129,Fields!$D$2:$D$206,1)),""),"")</f>
        <v/>
      </c>
    </row>
    <row r="90">
      <c r="A90" t="n">
        <v>89</v>
      </c>
      <c r="B90">
        <f>IFERROR(INDEX(RawBits!$A:$A,MATCH($A90,RawBits!$H:$H,0)),"?")</f>
        <v/>
      </c>
      <c r="C90">
        <f>IFERROR(INDEX(RawBits!$G:$G,MATCH($A90,RawBits!$H:$H,0)),"")</f>
        <v/>
      </c>
      <c r="D90">
        <f>IFERROR(IF(AND(A90&gt;=129,A90&lt;=2176),INDEX(Fields!$B$2:$B$206,MATCH(A90-129,Fields!$D$2:$D$206,1)),""),"")</f>
        <v/>
      </c>
      <c r="E90">
        <f>IFERROR(IF(AND(A90&gt;=129,A90&lt;=2176),INDEX(Fields!$C$2:$C$206,MATCH(A90-129,Fields!$D$2:$D$206,1)),""),"")</f>
        <v/>
      </c>
    </row>
    <row r="91">
      <c r="A91" t="n">
        <v>90</v>
      </c>
      <c r="B91">
        <f>IFERROR(INDEX(RawBits!$A:$A,MATCH($A91,RawBits!$H:$H,0)),"?")</f>
        <v/>
      </c>
      <c r="C91">
        <f>IFERROR(INDEX(RawBits!$G:$G,MATCH($A91,RawBits!$H:$H,0)),"")</f>
        <v/>
      </c>
      <c r="D91">
        <f>IFERROR(IF(AND(A91&gt;=129,A91&lt;=2176),INDEX(Fields!$B$2:$B$206,MATCH(A91-129,Fields!$D$2:$D$206,1)),""),"")</f>
        <v/>
      </c>
      <c r="E91">
        <f>IFERROR(IF(AND(A91&gt;=129,A91&lt;=2176),INDEX(Fields!$C$2:$C$206,MATCH(A91-129,Fields!$D$2:$D$206,1)),""),"")</f>
        <v/>
      </c>
    </row>
    <row r="92">
      <c r="A92" t="n">
        <v>91</v>
      </c>
      <c r="B92">
        <f>IFERROR(INDEX(RawBits!$A:$A,MATCH($A92,RawBits!$H:$H,0)),"?")</f>
        <v/>
      </c>
      <c r="C92">
        <f>IFERROR(INDEX(RawBits!$G:$G,MATCH($A92,RawBits!$H:$H,0)),"")</f>
        <v/>
      </c>
      <c r="D92">
        <f>IFERROR(IF(AND(A92&gt;=129,A92&lt;=2176),INDEX(Fields!$B$2:$B$206,MATCH(A92-129,Fields!$D$2:$D$206,1)),""),"")</f>
        <v/>
      </c>
      <c r="E92">
        <f>IFERROR(IF(AND(A92&gt;=129,A92&lt;=2176),INDEX(Fields!$C$2:$C$206,MATCH(A92-129,Fields!$D$2:$D$206,1)),""),"")</f>
        <v/>
      </c>
    </row>
    <row r="93">
      <c r="A93" t="n">
        <v>92</v>
      </c>
      <c r="B93">
        <f>IFERROR(INDEX(RawBits!$A:$A,MATCH($A93,RawBits!$H:$H,0)),"?")</f>
        <v/>
      </c>
      <c r="C93">
        <f>IFERROR(INDEX(RawBits!$G:$G,MATCH($A93,RawBits!$H:$H,0)),"")</f>
        <v/>
      </c>
      <c r="D93">
        <f>IFERROR(IF(AND(A93&gt;=129,A93&lt;=2176),INDEX(Fields!$B$2:$B$206,MATCH(A93-129,Fields!$D$2:$D$206,1)),""),"")</f>
        <v/>
      </c>
      <c r="E93">
        <f>IFERROR(IF(AND(A93&gt;=129,A93&lt;=2176),INDEX(Fields!$C$2:$C$206,MATCH(A93-129,Fields!$D$2:$D$206,1)),""),"")</f>
        <v/>
      </c>
    </row>
    <row r="94">
      <c r="A94" t="n">
        <v>93</v>
      </c>
      <c r="B94">
        <f>IFERROR(INDEX(RawBits!$A:$A,MATCH($A94,RawBits!$H:$H,0)),"?")</f>
        <v/>
      </c>
      <c r="C94">
        <f>IFERROR(INDEX(RawBits!$G:$G,MATCH($A94,RawBits!$H:$H,0)),"")</f>
        <v/>
      </c>
      <c r="D94">
        <f>IFERROR(IF(AND(A94&gt;=129,A94&lt;=2176),INDEX(Fields!$B$2:$B$206,MATCH(A94-129,Fields!$D$2:$D$206,1)),""),"")</f>
        <v/>
      </c>
      <c r="E94">
        <f>IFERROR(IF(AND(A94&gt;=129,A94&lt;=2176),INDEX(Fields!$C$2:$C$206,MATCH(A94-129,Fields!$D$2:$D$206,1)),""),"")</f>
        <v/>
      </c>
    </row>
    <row r="95">
      <c r="A95" t="n">
        <v>94</v>
      </c>
      <c r="B95">
        <f>IFERROR(INDEX(RawBits!$A:$A,MATCH($A95,RawBits!$H:$H,0)),"?")</f>
        <v/>
      </c>
      <c r="C95">
        <f>IFERROR(INDEX(RawBits!$G:$G,MATCH($A95,RawBits!$H:$H,0)),"")</f>
        <v/>
      </c>
      <c r="D95">
        <f>IFERROR(IF(AND(A95&gt;=129,A95&lt;=2176),INDEX(Fields!$B$2:$B$206,MATCH(A95-129,Fields!$D$2:$D$206,1)),""),"")</f>
        <v/>
      </c>
      <c r="E95">
        <f>IFERROR(IF(AND(A95&gt;=129,A95&lt;=2176),INDEX(Fields!$C$2:$C$206,MATCH(A95-129,Fields!$D$2:$D$206,1)),""),"")</f>
        <v/>
      </c>
    </row>
    <row r="96">
      <c r="A96" t="n">
        <v>95</v>
      </c>
      <c r="B96">
        <f>IFERROR(INDEX(RawBits!$A:$A,MATCH($A96,RawBits!$H:$H,0)),"?")</f>
        <v/>
      </c>
      <c r="C96">
        <f>IFERROR(INDEX(RawBits!$G:$G,MATCH($A96,RawBits!$H:$H,0)),"")</f>
        <v/>
      </c>
      <c r="D96">
        <f>IFERROR(IF(AND(A96&gt;=129,A96&lt;=2176),INDEX(Fields!$B$2:$B$206,MATCH(A96-129,Fields!$D$2:$D$206,1)),""),"")</f>
        <v/>
      </c>
      <c r="E96">
        <f>IFERROR(IF(AND(A96&gt;=129,A96&lt;=2176),INDEX(Fields!$C$2:$C$206,MATCH(A96-129,Fields!$D$2:$D$206,1)),""),"")</f>
        <v/>
      </c>
    </row>
    <row r="97">
      <c r="A97" t="n">
        <v>96</v>
      </c>
      <c r="B97">
        <f>IFERROR(INDEX(RawBits!$A:$A,MATCH($A97,RawBits!$H:$H,0)),"?")</f>
        <v/>
      </c>
      <c r="C97">
        <f>IFERROR(INDEX(RawBits!$G:$G,MATCH($A97,RawBits!$H:$H,0)),"")</f>
        <v/>
      </c>
      <c r="D97">
        <f>IFERROR(IF(AND(A97&gt;=129,A97&lt;=2176),INDEX(Fields!$B$2:$B$206,MATCH(A97-129,Fields!$D$2:$D$206,1)),""),"")</f>
        <v/>
      </c>
      <c r="E97">
        <f>IFERROR(IF(AND(A97&gt;=129,A97&lt;=2176),INDEX(Fields!$C$2:$C$206,MATCH(A97-129,Fields!$D$2:$D$206,1)),""),"")</f>
        <v/>
      </c>
    </row>
    <row r="98">
      <c r="A98" t="n">
        <v>97</v>
      </c>
      <c r="B98">
        <f>IFERROR(INDEX(RawBits!$A:$A,MATCH($A98,RawBits!$H:$H,0)),"?")</f>
        <v/>
      </c>
      <c r="C98">
        <f>IFERROR(INDEX(RawBits!$G:$G,MATCH($A98,RawBits!$H:$H,0)),"")</f>
        <v/>
      </c>
      <c r="D98">
        <f>IFERROR(IF(AND(A98&gt;=129,A98&lt;=2176),INDEX(Fields!$B$2:$B$206,MATCH(A98-129,Fields!$D$2:$D$206,1)),""),"")</f>
        <v/>
      </c>
      <c r="E98">
        <f>IFERROR(IF(AND(A98&gt;=129,A98&lt;=2176),INDEX(Fields!$C$2:$C$206,MATCH(A98-129,Fields!$D$2:$D$206,1)),""),"")</f>
        <v/>
      </c>
    </row>
    <row r="99">
      <c r="A99" t="n">
        <v>98</v>
      </c>
      <c r="B99">
        <f>IFERROR(INDEX(RawBits!$A:$A,MATCH($A99,RawBits!$H:$H,0)),"?")</f>
        <v/>
      </c>
      <c r="C99">
        <f>IFERROR(INDEX(RawBits!$G:$G,MATCH($A99,RawBits!$H:$H,0)),"")</f>
        <v/>
      </c>
      <c r="D99">
        <f>IFERROR(IF(AND(A99&gt;=129,A99&lt;=2176),INDEX(Fields!$B$2:$B$206,MATCH(A99-129,Fields!$D$2:$D$206,1)),""),"")</f>
        <v/>
      </c>
      <c r="E99">
        <f>IFERROR(IF(AND(A99&gt;=129,A99&lt;=2176),INDEX(Fields!$C$2:$C$206,MATCH(A99-129,Fields!$D$2:$D$206,1)),""),"")</f>
        <v/>
      </c>
    </row>
    <row r="100">
      <c r="A100" t="n">
        <v>99</v>
      </c>
      <c r="B100">
        <f>IFERROR(INDEX(RawBits!$A:$A,MATCH($A100,RawBits!$H:$H,0)),"?")</f>
        <v/>
      </c>
      <c r="C100">
        <f>IFERROR(INDEX(RawBits!$G:$G,MATCH($A100,RawBits!$H:$H,0)),"")</f>
        <v/>
      </c>
      <c r="D100">
        <f>IFERROR(IF(AND(A100&gt;=129,A100&lt;=2176),INDEX(Fields!$B$2:$B$206,MATCH(A100-129,Fields!$D$2:$D$206,1)),""),"")</f>
        <v/>
      </c>
      <c r="E100">
        <f>IFERROR(IF(AND(A100&gt;=129,A100&lt;=2176),INDEX(Fields!$C$2:$C$206,MATCH(A100-129,Fields!$D$2:$D$206,1)),""),"")</f>
        <v/>
      </c>
    </row>
    <row r="101">
      <c r="A101" t="n">
        <v>100</v>
      </c>
      <c r="B101">
        <f>IFERROR(INDEX(RawBits!$A:$A,MATCH($A101,RawBits!$H:$H,0)),"?")</f>
        <v/>
      </c>
      <c r="C101">
        <f>IFERROR(INDEX(RawBits!$G:$G,MATCH($A101,RawBits!$H:$H,0)),"")</f>
        <v/>
      </c>
      <c r="D101">
        <f>IFERROR(IF(AND(A101&gt;=129,A101&lt;=2176),INDEX(Fields!$B$2:$B$206,MATCH(A101-129,Fields!$D$2:$D$206,1)),""),"")</f>
        <v/>
      </c>
      <c r="E101">
        <f>IFERROR(IF(AND(A101&gt;=129,A101&lt;=2176),INDEX(Fields!$C$2:$C$206,MATCH(A101-129,Fields!$D$2:$D$206,1)),""),"")</f>
        <v/>
      </c>
    </row>
    <row r="102">
      <c r="A102" t="n">
        <v>101</v>
      </c>
      <c r="B102">
        <f>IFERROR(INDEX(RawBits!$A:$A,MATCH($A102,RawBits!$H:$H,0)),"?")</f>
        <v/>
      </c>
      <c r="C102">
        <f>IFERROR(INDEX(RawBits!$G:$G,MATCH($A102,RawBits!$H:$H,0)),"")</f>
        <v/>
      </c>
      <c r="D102">
        <f>IFERROR(IF(AND(A102&gt;=129,A102&lt;=2176),INDEX(Fields!$B$2:$B$206,MATCH(A102-129,Fields!$D$2:$D$206,1)),""),"")</f>
        <v/>
      </c>
      <c r="E102">
        <f>IFERROR(IF(AND(A102&gt;=129,A102&lt;=2176),INDEX(Fields!$C$2:$C$206,MATCH(A102-129,Fields!$D$2:$D$206,1)),""),"")</f>
        <v/>
      </c>
    </row>
    <row r="103">
      <c r="A103" t="n">
        <v>102</v>
      </c>
      <c r="B103">
        <f>IFERROR(INDEX(RawBits!$A:$A,MATCH($A103,RawBits!$H:$H,0)),"?")</f>
        <v/>
      </c>
      <c r="C103">
        <f>IFERROR(INDEX(RawBits!$G:$G,MATCH($A103,RawBits!$H:$H,0)),"")</f>
        <v/>
      </c>
      <c r="D103">
        <f>IFERROR(IF(AND(A103&gt;=129,A103&lt;=2176),INDEX(Fields!$B$2:$B$206,MATCH(A103-129,Fields!$D$2:$D$206,1)),""),"")</f>
        <v/>
      </c>
      <c r="E103">
        <f>IFERROR(IF(AND(A103&gt;=129,A103&lt;=2176),INDEX(Fields!$C$2:$C$206,MATCH(A103-129,Fields!$D$2:$D$206,1)),""),"")</f>
        <v/>
      </c>
    </row>
    <row r="104">
      <c r="A104" t="n">
        <v>103</v>
      </c>
      <c r="B104">
        <f>IFERROR(INDEX(RawBits!$A:$A,MATCH($A104,RawBits!$H:$H,0)),"?")</f>
        <v/>
      </c>
      <c r="C104">
        <f>IFERROR(INDEX(RawBits!$G:$G,MATCH($A104,RawBits!$H:$H,0)),"")</f>
        <v/>
      </c>
      <c r="D104">
        <f>IFERROR(IF(AND(A104&gt;=129,A104&lt;=2176),INDEX(Fields!$B$2:$B$206,MATCH(A104-129,Fields!$D$2:$D$206,1)),""),"")</f>
        <v/>
      </c>
      <c r="E104">
        <f>IFERROR(IF(AND(A104&gt;=129,A104&lt;=2176),INDEX(Fields!$C$2:$C$206,MATCH(A104-129,Fields!$D$2:$D$206,1)),""),"")</f>
        <v/>
      </c>
    </row>
    <row r="105">
      <c r="A105" t="n">
        <v>104</v>
      </c>
      <c r="B105">
        <f>IFERROR(INDEX(RawBits!$A:$A,MATCH($A105,RawBits!$H:$H,0)),"?")</f>
        <v/>
      </c>
      <c r="C105">
        <f>IFERROR(INDEX(RawBits!$G:$G,MATCH($A105,RawBits!$H:$H,0)),"")</f>
        <v/>
      </c>
      <c r="D105">
        <f>IFERROR(IF(AND(A105&gt;=129,A105&lt;=2176),INDEX(Fields!$B$2:$B$206,MATCH(A105-129,Fields!$D$2:$D$206,1)),""),"")</f>
        <v/>
      </c>
      <c r="E105">
        <f>IFERROR(IF(AND(A105&gt;=129,A105&lt;=2176),INDEX(Fields!$C$2:$C$206,MATCH(A105-129,Fields!$D$2:$D$206,1)),""),"")</f>
        <v/>
      </c>
    </row>
    <row r="106">
      <c r="A106" t="n">
        <v>105</v>
      </c>
      <c r="B106">
        <f>IFERROR(INDEX(RawBits!$A:$A,MATCH($A106,RawBits!$H:$H,0)),"?")</f>
        <v/>
      </c>
      <c r="C106">
        <f>IFERROR(INDEX(RawBits!$G:$G,MATCH($A106,RawBits!$H:$H,0)),"")</f>
        <v/>
      </c>
      <c r="D106">
        <f>IFERROR(IF(AND(A106&gt;=129,A106&lt;=2176),INDEX(Fields!$B$2:$B$206,MATCH(A106-129,Fields!$D$2:$D$206,1)),""),"")</f>
        <v/>
      </c>
      <c r="E106">
        <f>IFERROR(IF(AND(A106&gt;=129,A106&lt;=2176),INDEX(Fields!$C$2:$C$206,MATCH(A106-129,Fields!$D$2:$D$206,1)),""),"")</f>
        <v/>
      </c>
    </row>
    <row r="107">
      <c r="A107" t="n">
        <v>106</v>
      </c>
      <c r="B107">
        <f>IFERROR(INDEX(RawBits!$A:$A,MATCH($A107,RawBits!$H:$H,0)),"?")</f>
        <v/>
      </c>
      <c r="C107">
        <f>IFERROR(INDEX(RawBits!$G:$G,MATCH($A107,RawBits!$H:$H,0)),"")</f>
        <v/>
      </c>
      <c r="D107">
        <f>IFERROR(IF(AND(A107&gt;=129,A107&lt;=2176),INDEX(Fields!$B$2:$B$206,MATCH(A107-129,Fields!$D$2:$D$206,1)),""),"")</f>
        <v/>
      </c>
      <c r="E107">
        <f>IFERROR(IF(AND(A107&gt;=129,A107&lt;=2176),INDEX(Fields!$C$2:$C$206,MATCH(A107-129,Fields!$D$2:$D$206,1)),""),"")</f>
        <v/>
      </c>
    </row>
    <row r="108">
      <c r="A108" t="n">
        <v>107</v>
      </c>
      <c r="B108">
        <f>IFERROR(INDEX(RawBits!$A:$A,MATCH($A108,RawBits!$H:$H,0)),"?")</f>
        <v/>
      </c>
      <c r="C108">
        <f>IFERROR(INDEX(RawBits!$G:$G,MATCH($A108,RawBits!$H:$H,0)),"")</f>
        <v/>
      </c>
      <c r="D108">
        <f>IFERROR(IF(AND(A108&gt;=129,A108&lt;=2176),INDEX(Fields!$B$2:$B$206,MATCH(A108-129,Fields!$D$2:$D$206,1)),""),"")</f>
        <v/>
      </c>
      <c r="E108">
        <f>IFERROR(IF(AND(A108&gt;=129,A108&lt;=2176),INDEX(Fields!$C$2:$C$206,MATCH(A108-129,Fields!$D$2:$D$206,1)),""),"")</f>
        <v/>
      </c>
    </row>
    <row r="109">
      <c r="A109" t="n">
        <v>108</v>
      </c>
      <c r="B109">
        <f>IFERROR(INDEX(RawBits!$A:$A,MATCH($A109,RawBits!$H:$H,0)),"?")</f>
        <v/>
      </c>
      <c r="C109">
        <f>IFERROR(INDEX(RawBits!$G:$G,MATCH($A109,RawBits!$H:$H,0)),"")</f>
        <v/>
      </c>
      <c r="D109">
        <f>IFERROR(IF(AND(A109&gt;=129,A109&lt;=2176),INDEX(Fields!$B$2:$B$206,MATCH(A109-129,Fields!$D$2:$D$206,1)),""),"")</f>
        <v/>
      </c>
      <c r="E109">
        <f>IFERROR(IF(AND(A109&gt;=129,A109&lt;=2176),INDEX(Fields!$C$2:$C$206,MATCH(A109-129,Fields!$D$2:$D$206,1)),""),"")</f>
        <v/>
      </c>
    </row>
    <row r="110">
      <c r="A110" t="n">
        <v>109</v>
      </c>
      <c r="B110">
        <f>IFERROR(INDEX(RawBits!$A:$A,MATCH($A110,RawBits!$H:$H,0)),"?")</f>
        <v/>
      </c>
      <c r="C110">
        <f>IFERROR(INDEX(RawBits!$G:$G,MATCH($A110,RawBits!$H:$H,0)),"")</f>
        <v/>
      </c>
      <c r="D110">
        <f>IFERROR(IF(AND(A110&gt;=129,A110&lt;=2176),INDEX(Fields!$B$2:$B$206,MATCH(A110-129,Fields!$D$2:$D$206,1)),""),"")</f>
        <v/>
      </c>
      <c r="E110">
        <f>IFERROR(IF(AND(A110&gt;=129,A110&lt;=2176),INDEX(Fields!$C$2:$C$206,MATCH(A110-129,Fields!$D$2:$D$206,1)),""),"")</f>
        <v/>
      </c>
    </row>
    <row r="111">
      <c r="A111" t="n">
        <v>110</v>
      </c>
      <c r="B111">
        <f>IFERROR(INDEX(RawBits!$A:$A,MATCH($A111,RawBits!$H:$H,0)),"?")</f>
        <v/>
      </c>
      <c r="C111">
        <f>IFERROR(INDEX(RawBits!$G:$G,MATCH($A111,RawBits!$H:$H,0)),"")</f>
        <v/>
      </c>
      <c r="D111">
        <f>IFERROR(IF(AND(A111&gt;=129,A111&lt;=2176),INDEX(Fields!$B$2:$B$206,MATCH(A111-129,Fields!$D$2:$D$206,1)),""),"")</f>
        <v/>
      </c>
      <c r="E111">
        <f>IFERROR(IF(AND(A111&gt;=129,A111&lt;=2176),INDEX(Fields!$C$2:$C$206,MATCH(A111-129,Fields!$D$2:$D$206,1)),""),"")</f>
        <v/>
      </c>
    </row>
    <row r="112">
      <c r="A112" t="n">
        <v>111</v>
      </c>
      <c r="B112">
        <f>IFERROR(INDEX(RawBits!$A:$A,MATCH($A112,RawBits!$H:$H,0)),"?")</f>
        <v/>
      </c>
      <c r="C112">
        <f>IFERROR(INDEX(RawBits!$G:$G,MATCH($A112,RawBits!$H:$H,0)),"")</f>
        <v/>
      </c>
      <c r="D112">
        <f>IFERROR(IF(AND(A112&gt;=129,A112&lt;=2176),INDEX(Fields!$B$2:$B$206,MATCH(A112-129,Fields!$D$2:$D$206,1)),""),"")</f>
        <v/>
      </c>
      <c r="E112">
        <f>IFERROR(IF(AND(A112&gt;=129,A112&lt;=2176),INDEX(Fields!$C$2:$C$206,MATCH(A112-129,Fields!$D$2:$D$206,1)),""),"")</f>
        <v/>
      </c>
    </row>
    <row r="113">
      <c r="A113" t="n">
        <v>112</v>
      </c>
      <c r="B113">
        <f>IFERROR(INDEX(RawBits!$A:$A,MATCH($A113,RawBits!$H:$H,0)),"?")</f>
        <v/>
      </c>
      <c r="C113">
        <f>IFERROR(INDEX(RawBits!$G:$G,MATCH($A113,RawBits!$H:$H,0)),"")</f>
        <v/>
      </c>
      <c r="D113">
        <f>IFERROR(IF(AND(A113&gt;=129,A113&lt;=2176),INDEX(Fields!$B$2:$B$206,MATCH(A113-129,Fields!$D$2:$D$206,1)),""),"")</f>
        <v/>
      </c>
      <c r="E113">
        <f>IFERROR(IF(AND(A113&gt;=129,A113&lt;=2176),INDEX(Fields!$C$2:$C$206,MATCH(A113-129,Fields!$D$2:$D$206,1)),""),"")</f>
        <v/>
      </c>
    </row>
    <row r="114">
      <c r="A114" t="n">
        <v>113</v>
      </c>
      <c r="B114">
        <f>IFERROR(INDEX(RawBits!$A:$A,MATCH($A114,RawBits!$H:$H,0)),"?")</f>
        <v/>
      </c>
      <c r="C114">
        <f>IFERROR(INDEX(RawBits!$G:$G,MATCH($A114,RawBits!$H:$H,0)),"")</f>
        <v/>
      </c>
      <c r="D114">
        <f>IFERROR(IF(AND(A114&gt;=129,A114&lt;=2176),INDEX(Fields!$B$2:$B$206,MATCH(A114-129,Fields!$D$2:$D$206,1)),""),"")</f>
        <v/>
      </c>
      <c r="E114">
        <f>IFERROR(IF(AND(A114&gt;=129,A114&lt;=2176),INDEX(Fields!$C$2:$C$206,MATCH(A114-129,Fields!$D$2:$D$206,1)),""),"")</f>
        <v/>
      </c>
    </row>
    <row r="115">
      <c r="A115" t="n">
        <v>114</v>
      </c>
      <c r="B115">
        <f>IFERROR(INDEX(RawBits!$A:$A,MATCH($A115,RawBits!$H:$H,0)),"?")</f>
        <v/>
      </c>
      <c r="C115">
        <f>IFERROR(INDEX(RawBits!$G:$G,MATCH($A115,RawBits!$H:$H,0)),"")</f>
        <v/>
      </c>
      <c r="D115">
        <f>IFERROR(IF(AND(A115&gt;=129,A115&lt;=2176),INDEX(Fields!$B$2:$B$206,MATCH(A115-129,Fields!$D$2:$D$206,1)),""),"")</f>
        <v/>
      </c>
      <c r="E115">
        <f>IFERROR(IF(AND(A115&gt;=129,A115&lt;=2176),INDEX(Fields!$C$2:$C$206,MATCH(A115-129,Fields!$D$2:$D$206,1)),""),"")</f>
        <v/>
      </c>
    </row>
    <row r="116">
      <c r="A116" t="n">
        <v>115</v>
      </c>
      <c r="B116">
        <f>IFERROR(INDEX(RawBits!$A:$A,MATCH($A116,RawBits!$H:$H,0)),"?")</f>
        <v/>
      </c>
      <c r="C116">
        <f>IFERROR(INDEX(RawBits!$G:$G,MATCH($A116,RawBits!$H:$H,0)),"")</f>
        <v/>
      </c>
      <c r="D116">
        <f>IFERROR(IF(AND(A116&gt;=129,A116&lt;=2176),INDEX(Fields!$B$2:$B$206,MATCH(A116-129,Fields!$D$2:$D$206,1)),""),"")</f>
        <v/>
      </c>
      <c r="E116">
        <f>IFERROR(IF(AND(A116&gt;=129,A116&lt;=2176),INDEX(Fields!$C$2:$C$206,MATCH(A116-129,Fields!$D$2:$D$206,1)),""),"")</f>
        <v/>
      </c>
    </row>
    <row r="117">
      <c r="A117" t="n">
        <v>116</v>
      </c>
      <c r="B117">
        <f>IFERROR(INDEX(RawBits!$A:$A,MATCH($A117,RawBits!$H:$H,0)),"?")</f>
        <v/>
      </c>
      <c r="C117">
        <f>IFERROR(INDEX(RawBits!$G:$G,MATCH($A117,RawBits!$H:$H,0)),"")</f>
        <v/>
      </c>
      <c r="D117">
        <f>IFERROR(IF(AND(A117&gt;=129,A117&lt;=2176),INDEX(Fields!$B$2:$B$206,MATCH(A117-129,Fields!$D$2:$D$206,1)),""),"")</f>
        <v/>
      </c>
      <c r="E117">
        <f>IFERROR(IF(AND(A117&gt;=129,A117&lt;=2176),INDEX(Fields!$C$2:$C$206,MATCH(A117-129,Fields!$D$2:$D$206,1)),""),"")</f>
        <v/>
      </c>
    </row>
    <row r="118">
      <c r="A118" t="n">
        <v>117</v>
      </c>
      <c r="B118">
        <f>IFERROR(INDEX(RawBits!$A:$A,MATCH($A118,RawBits!$H:$H,0)),"?")</f>
        <v/>
      </c>
      <c r="C118">
        <f>IFERROR(INDEX(RawBits!$G:$G,MATCH($A118,RawBits!$H:$H,0)),"")</f>
        <v/>
      </c>
      <c r="D118">
        <f>IFERROR(IF(AND(A118&gt;=129,A118&lt;=2176),INDEX(Fields!$B$2:$B$206,MATCH(A118-129,Fields!$D$2:$D$206,1)),""),"")</f>
        <v/>
      </c>
      <c r="E118">
        <f>IFERROR(IF(AND(A118&gt;=129,A118&lt;=2176),INDEX(Fields!$C$2:$C$206,MATCH(A118-129,Fields!$D$2:$D$206,1)),""),"")</f>
        <v/>
      </c>
    </row>
    <row r="119">
      <c r="A119" t="n">
        <v>118</v>
      </c>
      <c r="B119">
        <f>IFERROR(INDEX(RawBits!$A:$A,MATCH($A119,RawBits!$H:$H,0)),"?")</f>
        <v/>
      </c>
      <c r="C119">
        <f>IFERROR(INDEX(RawBits!$G:$G,MATCH($A119,RawBits!$H:$H,0)),"")</f>
        <v/>
      </c>
      <c r="D119">
        <f>IFERROR(IF(AND(A119&gt;=129,A119&lt;=2176),INDEX(Fields!$B$2:$B$206,MATCH(A119-129,Fields!$D$2:$D$206,1)),""),"")</f>
        <v/>
      </c>
      <c r="E119">
        <f>IFERROR(IF(AND(A119&gt;=129,A119&lt;=2176),INDEX(Fields!$C$2:$C$206,MATCH(A119-129,Fields!$D$2:$D$206,1)),""),"")</f>
        <v/>
      </c>
    </row>
    <row r="120">
      <c r="A120" t="n">
        <v>119</v>
      </c>
      <c r="B120">
        <f>IFERROR(INDEX(RawBits!$A:$A,MATCH($A120,RawBits!$H:$H,0)),"?")</f>
        <v/>
      </c>
      <c r="C120">
        <f>IFERROR(INDEX(RawBits!$G:$G,MATCH($A120,RawBits!$H:$H,0)),"")</f>
        <v/>
      </c>
      <c r="D120">
        <f>IFERROR(IF(AND(A120&gt;=129,A120&lt;=2176),INDEX(Fields!$B$2:$B$206,MATCH(A120-129,Fields!$D$2:$D$206,1)),""),"")</f>
        <v/>
      </c>
      <c r="E120">
        <f>IFERROR(IF(AND(A120&gt;=129,A120&lt;=2176),INDEX(Fields!$C$2:$C$206,MATCH(A120-129,Fields!$D$2:$D$206,1)),""),"")</f>
        <v/>
      </c>
    </row>
    <row r="121">
      <c r="A121" t="n">
        <v>120</v>
      </c>
      <c r="B121">
        <f>IFERROR(INDEX(RawBits!$A:$A,MATCH($A121,RawBits!$H:$H,0)),"?")</f>
        <v/>
      </c>
      <c r="C121">
        <f>IFERROR(INDEX(RawBits!$G:$G,MATCH($A121,RawBits!$H:$H,0)),"")</f>
        <v/>
      </c>
      <c r="D121">
        <f>IFERROR(IF(AND(A121&gt;=129,A121&lt;=2176),INDEX(Fields!$B$2:$B$206,MATCH(A121-129,Fields!$D$2:$D$206,1)),""),"")</f>
        <v/>
      </c>
      <c r="E121">
        <f>IFERROR(IF(AND(A121&gt;=129,A121&lt;=2176),INDEX(Fields!$C$2:$C$206,MATCH(A121-129,Fields!$D$2:$D$206,1)),""),"")</f>
        <v/>
      </c>
    </row>
    <row r="122">
      <c r="A122" t="n">
        <v>121</v>
      </c>
      <c r="B122">
        <f>IFERROR(INDEX(RawBits!$A:$A,MATCH($A122,RawBits!$H:$H,0)),"?")</f>
        <v/>
      </c>
      <c r="C122">
        <f>IFERROR(INDEX(RawBits!$G:$G,MATCH($A122,RawBits!$H:$H,0)),"")</f>
        <v/>
      </c>
      <c r="D122">
        <f>IFERROR(IF(AND(A122&gt;=129,A122&lt;=2176),INDEX(Fields!$B$2:$B$206,MATCH(A122-129,Fields!$D$2:$D$206,1)),""),"")</f>
        <v/>
      </c>
      <c r="E122">
        <f>IFERROR(IF(AND(A122&gt;=129,A122&lt;=2176),INDEX(Fields!$C$2:$C$206,MATCH(A122-129,Fields!$D$2:$D$206,1)),""),"")</f>
        <v/>
      </c>
    </row>
    <row r="123">
      <c r="A123" t="n">
        <v>122</v>
      </c>
      <c r="B123">
        <f>IFERROR(INDEX(RawBits!$A:$A,MATCH($A123,RawBits!$H:$H,0)),"?")</f>
        <v/>
      </c>
      <c r="C123">
        <f>IFERROR(INDEX(RawBits!$G:$G,MATCH($A123,RawBits!$H:$H,0)),"")</f>
        <v/>
      </c>
      <c r="D123">
        <f>IFERROR(IF(AND(A123&gt;=129,A123&lt;=2176),INDEX(Fields!$B$2:$B$206,MATCH(A123-129,Fields!$D$2:$D$206,1)),""),"")</f>
        <v/>
      </c>
      <c r="E123">
        <f>IFERROR(IF(AND(A123&gt;=129,A123&lt;=2176),INDEX(Fields!$C$2:$C$206,MATCH(A123-129,Fields!$D$2:$D$206,1)),""),"")</f>
        <v/>
      </c>
    </row>
    <row r="124">
      <c r="A124" t="n">
        <v>123</v>
      </c>
      <c r="B124">
        <f>IFERROR(INDEX(RawBits!$A:$A,MATCH($A124,RawBits!$H:$H,0)),"?")</f>
        <v/>
      </c>
      <c r="C124">
        <f>IFERROR(INDEX(RawBits!$G:$G,MATCH($A124,RawBits!$H:$H,0)),"")</f>
        <v/>
      </c>
      <c r="D124">
        <f>IFERROR(IF(AND(A124&gt;=129,A124&lt;=2176),INDEX(Fields!$B$2:$B$206,MATCH(A124-129,Fields!$D$2:$D$206,1)),""),"")</f>
        <v/>
      </c>
      <c r="E124">
        <f>IFERROR(IF(AND(A124&gt;=129,A124&lt;=2176),INDEX(Fields!$C$2:$C$206,MATCH(A124-129,Fields!$D$2:$D$206,1)),""),"")</f>
        <v/>
      </c>
    </row>
    <row r="125">
      <c r="A125" t="n">
        <v>124</v>
      </c>
      <c r="B125">
        <f>IFERROR(INDEX(RawBits!$A:$A,MATCH($A125,RawBits!$H:$H,0)),"?")</f>
        <v/>
      </c>
      <c r="C125">
        <f>IFERROR(INDEX(RawBits!$G:$G,MATCH($A125,RawBits!$H:$H,0)),"")</f>
        <v/>
      </c>
      <c r="D125">
        <f>IFERROR(IF(AND(A125&gt;=129,A125&lt;=2176),INDEX(Fields!$B$2:$B$206,MATCH(A125-129,Fields!$D$2:$D$206,1)),""),"")</f>
        <v/>
      </c>
      <c r="E125">
        <f>IFERROR(IF(AND(A125&gt;=129,A125&lt;=2176),INDEX(Fields!$C$2:$C$206,MATCH(A125-129,Fields!$D$2:$D$206,1)),""),"")</f>
        <v/>
      </c>
    </row>
    <row r="126">
      <c r="A126" t="n">
        <v>125</v>
      </c>
      <c r="B126">
        <f>IFERROR(INDEX(RawBits!$A:$A,MATCH($A126,RawBits!$H:$H,0)),"?")</f>
        <v/>
      </c>
      <c r="C126">
        <f>IFERROR(INDEX(RawBits!$G:$G,MATCH($A126,RawBits!$H:$H,0)),"")</f>
        <v/>
      </c>
      <c r="D126">
        <f>IFERROR(IF(AND(A126&gt;=129,A126&lt;=2176),INDEX(Fields!$B$2:$B$206,MATCH(A126-129,Fields!$D$2:$D$206,1)),""),"")</f>
        <v/>
      </c>
      <c r="E126">
        <f>IFERROR(IF(AND(A126&gt;=129,A126&lt;=2176),INDEX(Fields!$C$2:$C$206,MATCH(A126-129,Fields!$D$2:$D$206,1)),""),"")</f>
        <v/>
      </c>
    </row>
    <row r="127">
      <c r="A127" t="n">
        <v>126</v>
      </c>
      <c r="B127">
        <f>IFERROR(INDEX(RawBits!$A:$A,MATCH($A127,RawBits!$H:$H,0)),"?")</f>
        <v/>
      </c>
      <c r="C127">
        <f>IFERROR(INDEX(RawBits!$G:$G,MATCH($A127,RawBits!$H:$H,0)),"")</f>
        <v/>
      </c>
      <c r="D127">
        <f>IFERROR(IF(AND(A127&gt;=129,A127&lt;=2176),INDEX(Fields!$B$2:$B$206,MATCH(A127-129,Fields!$D$2:$D$206,1)),""),"")</f>
        <v/>
      </c>
      <c r="E127">
        <f>IFERROR(IF(AND(A127&gt;=129,A127&lt;=2176),INDEX(Fields!$C$2:$C$206,MATCH(A127-129,Fields!$D$2:$D$206,1)),""),"")</f>
        <v/>
      </c>
    </row>
    <row r="128">
      <c r="A128" t="n">
        <v>127</v>
      </c>
      <c r="B128">
        <f>IFERROR(INDEX(RawBits!$A:$A,MATCH($A128,RawBits!$H:$H,0)),"?")</f>
        <v/>
      </c>
      <c r="C128">
        <f>IFERROR(INDEX(RawBits!$G:$G,MATCH($A128,RawBits!$H:$H,0)),"")</f>
        <v/>
      </c>
      <c r="D128">
        <f>IFERROR(IF(AND(A128&gt;=129,A128&lt;=2176),INDEX(Fields!$B$2:$B$206,MATCH(A128-129,Fields!$D$2:$D$206,1)),""),"")</f>
        <v/>
      </c>
      <c r="E128">
        <f>IFERROR(IF(AND(A128&gt;=129,A128&lt;=2176),INDEX(Fields!$C$2:$C$206,MATCH(A128-129,Fields!$D$2:$D$206,1)),""),"")</f>
        <v/>
      </c>
    </row>
    <row r="129">
      <c r="A129" t="n">
        <v>128</v>
      </c>
      <c r="B129">
        <f>IFERROR(INDEX(RawBits!$A:$A,MATCH($A129,RawBits!$H:$H,0)),"?")</f>
        <v/>
      </c>
      <c r="C129">
        <f>IFERROR(INDEX(RawBits!$G:$G,MATCH($A129,RawBits!$H:$H,0)),"")</f>
        <v/>
      </c>
      <c r="D129">
        <f>IFERROR(IF(AND(A129&gt;=129,A129&lt;=2176),INDEX(Fields!$B$2:$B$206,MATCH(A129-129,Fields!$D$2:$D$206,1)),""),"")</f>
        <v/>
      </c>
      <c r="E129">
        <f>IFERROR(IF(AND(A129&gt;=129,A129&lt;=2176),INDEX(Fields!$C$2:$C$206,MATCH(A129-129,Fields!$D$2:$D$206,1)),""),"")</f>
        <v/>
      </c>
    </row>
    <row r="130">
      <c r="A130" t="n">
        <v>129</v>
      </c>
      <c r="B130">
        <f>IFERROR(INDEX(RawBits!$A:$A,MATCH($A130,RawBits!$H:$H,0)),"?")</f>
        <v/>
      </c>
      <c r="C130">
        <f>IFERROR(INDEX(RawBits!$G:$G,MATCH($A130,RawBits!$H:$H,0)),"")</f>
        <v/>
      </c>
      <c r="D130">
        <f>IFERROR(IF(AND(A130&gt;=129,A130&lt;=2176),INDEX(Fields!$B$2:$B$206,MATCH(A130-129,Fields!$D$2:$D$206,1)),""),"")</f>
        <v/>
      </c>
      <c r="E130">
        <f>IFERROR(IF(AND(A130&gt;=129,A130&lt;=2176),INDEX(Fields!$C$2:$C$206,MATCH(A130-129,Fields!$D$2:$D$206,1)),""),"")</f>
        <v/>
      </c>
    </row>
    <row r="131">
      <c r="A131" t="n">
        <v>130</v>
      </c>
      <c r="B131">
        <f>IFERROR(INDEX(RawBits!$A:$A,MATCH($A131,RawBits!$H:$H,0)),"?")</f>
        <v/>
      </c>
      <c r="C131">
        <f>IFERROR(INDEX(RawBits!$G:$G,MATCH($A131,RawBits!$H:$H,0)),"")</f>
        <v/>
      </c>
      <c r="D131">
        <f>IFERROR(IF(AND(A131&gt;=129,A131&lt;=2176),INDEX(Fields!$B$2:$B$206,MATCH(A131-129,Fields!$D$2:$D$206,1)),""),"")</f>
        <v/>
      </c>
      <c r="E131">
        <f>IFERROR(IF(AND(A131&gt;=129,A131&lt;=2176),INDEX(Fields!$C$2:$C$206,MATCH(A131-129,Fields!$D$2:$D$206,1)),""),"")</f>
        <v/>
      </c>
    </row>
    <row r="132">
      <c r="A132" t="n">
        <v>131</v>
      </c>
      <c r="B132">
        <f>IFERROR(INDEX(RawBits!$A:$A,MATCH($A132,RawBits!$H:$H,0)),"?")</f>
        <v/>
      </c>
      <c r="C132">
        <f>IFERROR(INDEX(RawBits!$G:$G,MATCH($A132,RawBits!$H:$H,0)),"")</f>
        <v/>
      </c>
      <c r="D132">
        <f>IFERROR(IF(AND(A132&gt;=129,A132&lt;=2176),INDEX(Fields!$B$2:$B$206,MATCH(A132-129,Fields!$D$2:$D$206,1)),""),"")</f>
        <v/>
      </c>
      <c r="E132">
        <f>IFERROR(IF(AND(A132&gt;=129,A132&lt;=2176),INDEX(Fields!$C$2:$C$206,MATCH(A132-129,Fields!$D$2:$D$206,1)),""),"")</f>
        <v/>
      </c>
    </row>
    <row r="133">
      <c r="A133" t="n">
        <v>132</v>
      </c>
      <c r="B133">
        <f>IFERROR(INDEX(RawBits!$A:$A,MATCH($A133,RawBits!$H:$H,0)),"?")</f>
        <v/>
      </c>
      <c r="C133">
        <f>IFERROR(INDEX(RawBits!$G:$G,MATCH($A133,RawBits!$H:$H,0)),"")</f>
        <v/>
      </c>
      <c r="D133">
        <f>IFERROR(IF(AND(A133&gt;=129,A133&lt;=2176),INDEX(Fields!$B$2:$B$206,MATCH(A133-129,Fields!$D$2:$D$206,1)),""),"")</f>
        <v/>
      </c>
      <c r="E133">
        <f>IFERROR(IF(AND(A133&gt;=129,A133&lt;=2176),INDEX(Fields!$C$2:$C$206,MATCH(A133-129,Fields!$D$2:$D$206,1)),""),"")</f>
        <v/>
      </c>
    </row>
    <row r="134">
      <c r="A134" t="n">
        <v>133</v>
      </c>
      <c r="B134">
        <f>IFERROR(INDEX(RawBits!$A:$A,MATCH($A134,RawBits!$H:$H,0)),"?")</f>
        <v/>
      </c>
      <c r="C134">
        <f>IFERROR(INDEX(RawBits!$G:$G,MATCH($A134,RawBits!$H:$H,0)),"")</f>
        <v/>
      </c>
      <c r="D134">
        <f>IFERROR(IF(AND(A134&gt;=129,A134&lt;=2176),INDEX(Fields!$B$2:$B$206,MATCH(A134-129,Fields!$D$2:$D$206,1)),""),"")</f>
        <v/>
      </c>
      <c r="E134">
        <f>IFERROR(IF(AND(A134&gt;=129,A134&lt;=2176),INDEX(Fields!$C$2:$C$206,MATCH(A134-129,Fields!$D$2:$D$206,1)),""),"")</f>
        <v/>
      </c>
    </row>
    <row r="135">
      <c r="A135" t="n">
        <v>134</v>
      </c>
      <c r="B135">
        <f>IFERROR(INDEX(RawBits!$A:$A,MATCH($A135,RawBits!$H:$H,0)),"?")</f>
        <v/>
      </c>
      <c r="C135">
        <f>IFERROR(INDEX(RawBits!$G:$G,MATCH($A135,RawBits!$H:$H,0)),"")</f>
        <v/>
      </c>
      <c r="D135">
        <f>IFERROR(IF(AND(A135&gt;=129,A135&lt;=2176),INDEX(Fields!$B$2:$B$206,MATCH(A135-129,Fields!$D$2:$D$206,1)),""),"")</f>
        <v/>
      </c>
      <c r="E135">
        <f>IFERROR(IF(AND(A135&gt;=129,A135&lt;=2176),INDEX(Fields!$C$2:$C$206,MATCH(A135-129,Fields!$D$2:$D$206,1)),""),"")</f>
        <v/>
      </c>
    </row>
    <row r="136">
      <c r="A136" t="n">
        <v>135</v>
      </c>
      <c r="B136">
        <f>IFERROR(INDEX(RawBits!$A:$A,MATCH($A136,RawBits!$H:$H,0)),"?")</f>
        <v/>
      </c>
      <c r="C136">
        <f>IFERROR(INDEX(RawBits!$G:$G,MATCH($A136,RawBits!$H:$H,0)),"")</f>
        <v/>
      </c>
      <c r="D136">
        <f>IFERROR(IF(AND(A136&gt;=129,A136&lt;=2176),INDEX(Fields!$B$2:$B$206,MATCH(A136-129,Fields!$D$2:$D$206,1)),""),"")</f>
        <v/>
      </c>
      <c r="E136">
        <f>IFERROR(IF(AND(A136&gt;=129,A136&lt;=2176),INDEX(Fields!$C$2:$C$206,MATCH(A136-129,Fields!$D$2:$D$206,1)),""),"")</f>
        <v/>
      </c>
    </row>
    <row r="137">
      <c r="A137" t="n">
        <v>136</v>
      </c>
      <c r="B137">
        <f>IFERROR(INDEX(RawBits!$A:$A,MATCH($A137,RawBits!$H:$H,0)),"?")</f>
        <v/>
      </c>
      <c r="C137">
        <f>IFERROR(INDEX(RawBits!$G:$G,MATCH($A137,RawBits!$H:$H,0)),"")</f>
        <v/>
      </c>
      <c r="D137">
        <f>IFERROR(IF(AND(A137&gt;=129,A137&lt;=2176),INDEX(Fields!$B$2:$B$206,MATCH(A137-129,Fields!$D$2:$D$206,1)),""),"")</f>
        <v/>
      </c>
      <c r="E137">
        <f>IFERROR(IF(AND(A137&gt;=129,A137&lt;=2176),INDEX(Fields!$C$2:$C$206,MATCH(A137-129,Fields!$D$2:$D$206,1)),""),"")</f>
        <v/>
      </c>
    </row>
    <row r="138">
      <c r="A138" t="n">
        <v>137</v>
      </c>
      <c r="B138">
        <f>IFERROR(INDEX(RawBits!$A:$A,MATCH($A138,RawBits!$H:$H,0)),"?")</f>
        <v/>
      </c>
      <c r="C138">
        <f>IFERROR(INDEX(RawBits!$G:$G,MATCH($A138,RawBits!$H:$H,0)),"")</f>
        <v/>
      </c>
      <c r="D138">
        <f>IFERROR(IF(AND(A138&gt;=129,A138&lt;=2176),INDEX(Fields!$B$2:$B$206,MATCH(A138-129,Fields!$D$2:$D$206,1)),""),"")</f>
        <v/>
      </c>
      <c r="E138">
        <f>IFERROR(IF(AND(A138&gt;=129,A138&lt;=2176),INDEX(Fields!$C$2:$C$206,MATCH(A138-129,Fields!$D$2:$D$206,1)),""),"")</f>
        <v/>
      </c>
    </row>
    <row r="139">
      <c r="A139" t="n">
        <v>138</v>
      </c>
      <c r="B139">
        <f>IFERROR(INDEX(RawBits!$A:$A,MATCH($A139,RawBits!$H:$H,0)),"?")</f>
        <v/>
      </c>
      <c r="C139">
        <f>IFERROR(INDEX(RawBits!$G:$G,MATCH($A139,RawBits!$H:$H,0)),"")</f>
        <v/>
      </c>
      <c r="D139">
        <f>IFERROR(IF(AND(A139&gt;=129,A139&lt;=2176),INDEX(Fields!$B$2:$B$206,MATCH(A139-129,Fields!$D$2:$D$206,1)),""),"")</f>
        <v/>
      </c>
      <c r="E139">
        <f>IFERROR(IF(AND(A139&gt;=129,A139&lt;=2176),INDEX(Fields!$C$2:$C$206,MATCH(A139-129,Fields!$D$2:$D$206,1)),""),"")</f>
        <v/>
      </c>
    </row>
    <row r="140">
      <c r="A140" t="n">
        <v>139</v>
      </c>
      <c r="B140">
        <f>IFERROR(INDEX(RawBits!$A:$A,MATCH($A140,RawBits!$H:$H,0)),"?")</f>
        <v/>
      </c>
      <c r="C140">
        <f>IFERROR(INDEX(RawBits!$G:$G,MATCH($A140,RawBits!$H:$H,0)),"")</f>
        <v/>
      </c>
      <c r="D140">
        <f>IFERROR(IF(AND(A140&gt;=129,A140&lt;=2176),INDEX(Fields!$B$2:$B$206,MATCH(A140-129,Fields!$D$2:$D$206,1)),""),"")</f>
        <v/>
      </c>
      <c r="E140">
        <f>IFERROR(IF(AND(A140&gt;=129,A140&lt;=2176),INDEX(Fields!$C$2:$C$206,MATCH(A140-129,Fields!$D$2:$D$206,1)),""),"")</f>
        <v/>
      </c>
    </row>
    <row r="141">
      <c r="A141" t="n">
        <v>140</v>
      </c>
      <c r="B141">
        <f>IFERROR(INDEX(RawBits!$A:$A,MATCH($A141,RawBits!$H:$H,0)),"?")</f>
        <v/>
      </c>
      <c r="C141">
        <f>IFERROR(INDEX(RawBits!$G:$G,MATCH($A141,RawBits!$H:$H,0)),"")</f>
        <v/>
      </c>
      <c r="D141">
        <f>IFERROR(IF(AND(A141&gt;=129,A141&lt;=2176),INDEX(Fields!$B$2:$B$206,MATCH(A141-129,Fields!$D$2:$D$206,1)),""),"")</f>
        <v/>
      </c>
      <c r="E141">
        <f>IFERROR(IF(AND(A141&gt;=129,A141&lt;=2176),INDEX(Fields!$C$2:$C$206,MATCH(A141-129,Fields!$D$2:$D$206,1)),""),"")</f>
        <v/>
      </c>
    </row>
    <row r="142">
      <c r="A142" t="n">
        <v>141</v>
      </c>
      <c r="B142">
        <f>IFERROR(INDEX(RawBits!$A:$A,MATCH($A142,RawBits!$H:$H,0)),"?")</f>
        <v/>
      </c>
      <c r="C142">
        <f>IFERROR(INDEX(RawBits!$G:$G,MATCH($A142,RawBits!$H:$H,0)),"")</f>
        <v/>
      </c>
      <c r="D142">
        <f>IFERROR(IF(AND(A142&gt;=129,A142&lt;=2176),INDEX(Fields!$B$2:$B$206,MATCH(A142-129,Fields!$D$2:$D$206,1)),""),"")</f>
        <v/>
      </c>
      <c r="E142">
        <f>IFERROR(IF(AND(A142&gt;=129,A142&lt;=2176),INDEX(Fields!$C$2:$C$206,MATCH(A142-129,Fields!$D$2:$D$206,1)),""),"")</f>
        <v/>
      </c>
    </row>
    <row r="143">
      <c r="A143" t="n">
        <v>142</v>
      </c>
      <c r="B143">
        <f>IFERROR(INDEX(RawBits!$A:$A,MATCH($A143,RawBits!$H:$H,0)),"?")</f>
        <v/>
      </c>
      <c r="C143">
        <f>IFERROR(INDEX(RawBits!$G:$G,MATCH($A143,RawBits!$H:$H,0)),"")</f>
        <v/>
      </c>
      <c r="D143">
        <f>IFERROR(IF(AND(A143&gt;=129,A143&lt;=2176),INDEX(Fields!$B$2:$B$206,MATCH(A143-129,Fields!$D$2:$D$206,1)),""),"")</f>
        <v/>
      </c>
      <c r="E143">
        <f>IFERROR(IF(AND(A143&gt;=129,A143&lt;=2176),INDEX(Fields!$C$2:$C$206,MATCH(A143-129,Fields!$D$2:$D$206,1)),""),"")</f>
        <v/>
      </c>
    </row>
    <row r="144">
      <c r="A144" t="n">
        <v>143</v>
      </c>
      <c r="B144">
        <f>IFERROR(INDEX(RawBits!$A:$A,MATCH($A144,RawBits!$H:$H,0)),"?")</f>
        <v/>
      </c>
      <c r="C144">
        <f>IFERROR(INDEX(RawBits!$G:$G,MATCH($A144,RawBits!$H:$H,0)),"")</f>
        <v/>
      </c>
      <c r="D144">
        <f>IFERROR(IF(AND(A144&gt;=129,A144&lt;=2176),INDEX(Fields!$B$2:$B$206,MATCH(A144-129,Fields!$D$2:$D$206,1)),""),"")</f>
        <v/>
      </c>
      <c r="E144">
        <f>IFERROR(IF(AND(A144&gt;=129,A144&lt;=2176),INDEX(Fields!$C$2:$C$206,MATCH(A144-129,Fields!$D$2:$D$206,1)),""),"")</f>
        <v/>
      </c>
    </row>
    <row r="145">
      <c r="A145" t="n">
        <v>144</v>
      </c>
      <c r="B145">
        <f>IFERROR(INDEX(RawBits!$A:$A,MATCH($A145,RawBits!$H:$H,0)),"?")</f>
        <v/>
      </c>
      <c r="C145">
        <f>IFERROR(INDEX(RawBits!$G:$G,MATCH($A145,RawBits!$H:$H,0)),"")</f>
        <v/>
      </c>
      <c r="D145">
        <f>IFERROR(IF(AND(A145&gt;=129,A145&lt;=2176),INDEX(Fields!$B$2:$B$206,MATCH(A145-129,Fields!$D$2:$D$206,1)),""),"")</f>
        <v/>
      </c>
      <c r="E145">
        <f>IFERROR(IF(AND(A145&gt;=129,A145&lt;=2176),INDEX(Fields!$C$2:$C$206,MATCH(A145-129,Fields!$D$2:$D$206,1)),""),"")</f>
        <v/>
      </c>
    </row>
    <row r="146">
      <c r="A146" t="n">
        <v>145</v>
      </c>
      <c r="B146">
        <f>IFERROR(INDEX(RawBits!$A:$A,MATCH($A146,RawBits!$H:$H,0)),"?")</f>
        <v/>
      </c>
      <c r="C146">
        <f>IFERROR(INDEX(RawBits!$G:$G,MATCH($A146,RawBits!$H:$H,0)),"")</f>
        <v/>
      </c>
      <c r="D146">
        <f>IFERROR(IF(AND(A146&gt;=129,A146&lt;=2176),INDEX(Fields!$B$2:$B$206,MATCH(A146-129,Fields!$D$2:$D$206,1)),""),"")</f>
        <v/>
      </c>
      <c r="E146">
        <f>IFERROR(IF(AND(A146&gt;=129,A146&lt;=2176),INDEX(Fields!$C$2:$C$206,MATCH(A146-129,Fields!$D$2:$D$206,1)),""),"")</f>
        <v/>
      </c>
    </row>
    <row r="147">
      <c r="A147" t="n">
        <v>146</v>
      </c>
      <c r="B147">
        <f>IFERROR(INDEX(RawBits!$A:$A,MATCH($A147,RawBits!$H:$H,0)),"?")</f>
        <v/>
      </c>
      <c r="C147">
        <f>IFERROR(INDEX(RawBits!$G:$G,MATCH($A147,RawBits!$H:$H,0)),"")</f>
        <v/>
      </c>
      <c r="D147">
        <f>IFERROR(IF(AND(A147&gt;=129,A147&lt;=2176),INDEX(Fields!$B$2:$B$206,MATCH(A147-129,Fields!$D$2:$D$206,1)),""),"")</f>
        <v/>
      </c>
      <c r="E147">
        <f>IFERROR(IF(AND(A147&gt;=129,A147&lt;=2176),INDEX(Fields!$C$2:$C$206,MATCH(A147-129,Fields!$D$2:$D$206,1)),""),"")</f>
        <v/>
      </c>
    </row>
    <row r="148">
      <c r="A148" t="n">
        <v>147</v>
      </c>
      <c r="B148">
        <f>IFERROR(INDEX(RawBits!$A:$A,MATCH($A148,RawBits!$H:$H,0)),"?")</f>
        <v/>
      </c>
      <c r="C148">
        <f>IFERROR(INDEX(RawBits!$G:$G,MATCH($A148,RawBits!$H:$H,0)),"")</f>
        <v/>
      </c>
      <c r="D148">
        <f>IFERROR(IF(AND(A148&gt;=129,A148&lt;=2176),INDEX(Fields!$B$2:$B$206,MATCH(A148-129,Fields!$D$2:$D$206,1)),""),"")</f>
        <v/>
      </c>
      <c r="E148">
        <f>IFERROR(IF(AND(A148&gt;=129,A148&lt;=2176),INDEX(Fields!$C$2:$C$206,MATCH(A148-129,Fields!$D$2:$D$206,1)),""),"")</f>
        <v/>
      </c>
    </row>
    <row r="149">
      <c r="A149" t="n">
        <v>148</v>
      </c>
      <c r="B149">
        <f>IFERROR(INDEX(RawBits!$A:$A,MATCH($A149,RawBits!$H:$H,0)),"?")</f>
        <v/>
      </c>
      <c r="C149">
        <f>IFERROR(INDEX(RawBits!$G:$G,MATCH($A149,RawBits!$H:$H,0)),"")</f>
        <v/>
      </c>
      <c r="D149">
        <f>IFERROR(IF(AND(A149&gt;=129,A149&lt;=2176),INDEX(Fields!$B$2:$B$206,MATCH(A149-129,Fields!$D$2:$D$206,1)),""),"")</f>
        <v/>
      </c>
      <c r="E149">
        <f>IFERROR(IF(AND(A149&gt;=129,A149&lt;=2176),INDEX(Fields!$C$2:$C$206,MATCH(A149-129,Fields!$D$2:$D$206,1)),""),"")</f>
        <v/>
      </c>
    </row>
    <row r="150">
      <c r="A150" t="n">
        <v>149</v>
      </c>
      <c r="B150">
        <f>IFERROR(INDEX(RawBits!$A:$A,MATCH($A150,RawBits!$H:$H,0)),"?")</f>
        <v/>
      </c>
      <c r="C150">
        <f>IFERROR(INDEX(RawBits!$G:$G,MATCH($A150,RawBits!$H:$H,0)),"")</f>
        <v/>
      </c>
      <c r="D150">
        <f>IFERROR(IF(AND(A150&gt;=129,A150&lt;=2176),INDEX(Fields!$B$2:$B$206,MATCH(A150-129,Fields!$D$2:$D$206,1)),""),"")</f>
        <v/>
      </c>
      <c r="E150">
        <f>IFERROR(IF(AND(A150&gt;=129,A150&lt;=2176),INDEX(Fields!$C$2:$C$206,MATCH(A150-129,Fields!$D$2:$D$206,1)),""),"")</f>
        <v/>
      </c>
    </row>
    <row r="151">
      <c r="A151" t="n">
        <v>150</v>
      </c>
      <c r="B151">
        <f>IFERROR(INDEX(RawBits!$A:$A,MATCH($A151,RawBits!$H:$H,0)),"?")</f>
        <v/>
      </c>
      <c r="C151">
        <f>IFERROR(INDEX(RawBits!$G:$G,MATCH($A151,RawBits!$H:$H,0)),"")</f>
        <v/>
      </c>
      <c r="D151">
        <f>IFERROR(IF(AND(A151&gt;=129,A151&lt;=2176),INDEX(Fields!$B$2:$B$206,MATCH(A151-129,Fields!$D$2:$D$206,1)),""),"")</f>
        <v/>
      </c>
      <c r="E151">
        <f>IFERROR(IF(AND(A151&gt;=129,A151&lt;=2176),INDEX(Fields!$C$2:$C$206,MATCH(A151-129,Fields!$D$2:$D$206,1)),""),"")</f>
        <v/>
      </c>
    </row>
    <row r="152">
      <c r="A152" t="n">
        <v>151</v>
      </c>
      <c r="B152">
        <f>IFERROR(INDEX(RawBits!$A:$A,MATCH($A152,RawBits!$H:$H,0)),"?")</f>
        <v/>
      </c>
      <c r="C152">
        <f>IFERROR(INDEX(RawBits!$G:$G,MATCH($A152,RawBits!$H:$H,0)),"")</f>
        <v/>
      </c>
      <c r="D152">
        <f>IFERROR(IF(AND(A152&gt;=129,A152&lt;=2176),INDEX(Fields!$B$2:$B$206,MATCH(A152-129,Fields!$D$2:$D$206,1)),""),"")</f>
        <v/>
      </c>
      <c r="E152">
        <f>IFERROR(IF(AND(A152&gt;=129,A152&lt;=2176),INDEX(Fields!$C$2:$C$206,MATCH(A152-129,Fields!$D$2:$D$206,1)),""),"")</f>
        <v/>
      </c>
    </row>
    <row r="153">
      <c r="A153" t="n">
        <v>152</v>
      </c>
      <c r="B153">
        <f>IFERROR(INDEX(RawBits!$A:$A,MATCH($A153,RawBits!$H:$H,0)),"?")</f>
        <v/>
      </c>
      <c r="C153">
        <f>IFERROR(INDEX(RawBits!$G:$G,MATCH($A153,RawBits!$H:$H,0)),"")</f>
        <v/>
      </c>
      <c r="D153">
        <f>IFERROR(IF(AND(A153&gt;=129,A153&lt;=2176),INDEX(Fields!$B$2:$B$206,MATCH(A153-129,Fields!$D$2:$D$206,1)),""),"")</f>
        <v/>
      </c>
      <c r="E153">
        <f>IFERROR(IF(AND(A153&gt;=129,A153&lt;=2176),INDEX(Fields!$C$2:$C$206,MATCH(A153-129,Fields!$D$2:$D$206,1)),""),"")</f>
        <v/>
      </c>
    </row>
    <row r="154">
      <c r="A154" t="n">
        <v>153</v>
      </c>
      <c r="B154">
        <f>IFERROR(INDEX(RawBits!$A:$A,MATCH($A154,RawBits!$H:$H,0)),"?")</f>
        <v/>
      </c>
      <c r="C154">
        <f>IFERROR(INDEX(RawBits!$G:$G,MATCH($A154,RawBits!$H:$H,0)),"")</f>
        <v/>
      </c>
      <c r="D154">
        <f>IFERROR(IF(AND(A154&gt;=129,A154&lt;=2176),INDEX(Fields!$B$2:$B$206,MATCH(A154-129,Fields!$D$2:$D$206,1)),""),"")</f>
        <v/>
      </c>
      <c r="E154">
        <f>IFERROR(IF(AND(A154&gt;=129,A154&lt;=2176),INDEX(Fields!$C$2:$C$206,MATCH(A154-129,Fields!$D$2:$D$206,1)),""),"")</f>
        <v/>
      </c>
    </row>
    <row r="155">
      <c r="A155" t="n">
        <v>154</v>
      </c>
      <c r="B155">
        <f>IFERROR(INDEX(RawBits!$A:$A,MATCH($A155,RawBits!$H:$H,0)),"?")</f>
        <v/>
      </c>
      <c r="C155">
        <f>IFERROR(INDEX(RawBits!$G:$G,MATCH($A155,RawBits!$H:$H,0)),"")</f>
        <v/>
      </c>
      <c r="D155">
        <f>IFERROR(IF(AND(A155&gt;=129,A155&lt;=2176),INDEX(Fields!$B$2:$B$206,MATCH(A155-129,Fields!$D$2:$D$206,1)),""),"")</f>
        <v/>
      </c>
      <c r="E155">
        <f>IFERROR(IF(AND(A155&gt;=129,A155&lt;=2176),INDEX(Fields!$C$2:$C$206,MATCH(A155-129,Fields!$D$2:$D$206,1)),""),"")</f>
        <v/>
      </c>
    </row>
    <row r="156">
      <c r="A156" t="n">
        <v>155</v>
      </c>
      <c r="B156">
        <f>IFERROR(INDEX(RawBits!$A:$A,MATCH($A156,RawBits!$H:$H,0)),"?")</f>
        <v/>
      </c>
      <c r="C156">
        <f>IFERROR(INDEX(RawBits!$G:$G,MATCH($A156,RawBits!$H:$H,0)),"")</f>
        <v/>
      </c>
      <c r="D156">
        <f>IFERROR(IF(AND(A156&gt;=129,A156&lt;=2176),INDEX(Fields!$B$2:$B$206,MATCH(A156-129,Fields!$D$2:$D$206,1)),""),"")</f>
        <v/>
      </c>
      <c r="E156">
        <f>IFERROR(IF(AND(A156&gt;=129,A156&lt;=2176),INDEX(Fields!$C$2:$C$206,MATCH(A156-129,Fields!$D$2:$D$206,1)),""),"")</f>
        <v/>
      </c>
    </row>
    <row r="157">
      <c r="A157" t="n">
        <v>156</v>
      </c>
      <c r="B157">
        <f>IFERROR(INDEX(RawBits!$A:$A,MATCH($A157,RawBits!$H:$H,0)),"?")</f>
        <v/>
      </c>
      <c r="C157">
        <f>IFERROR(INDEX(RawBits!$G:$G,MATCH($A157,RawBits!$H:$H,0)),"")</f>
        <v/>
      </c>
      <c r="D157">
        <f>IFERROR(IF(AND(A157&gt;=129,A157&lt;=2176),INDEX(Fields!$B$2:$B$206,MATCH(A157-129,Fields!$D$2:$D$206,1)),""),"")</f>
        <v/>
      </c>
      <c r="E157">
        <f>IFERROR(IF(AND(A157&gt;=129,A157&lt;=2176),INDEX(Fields!$C$2:$C$206,MATCH(A157-129,Fields!$D$2:$D$206,1)),""),"")</f>
        <v/>
      </c>
    </row>
    <row r="158">
      <c r="A158" t="n">
        <v>157</v>
      </c>
      <c r="B158">
        <f>IFERROR(INDEX(RawBits!$A:$A,MATCH($A158,RawBits!$H:$H,0)),"?")</f>
        <v/>
      </c>
      <c r="C158">
        <f>IFERROR(INDEX(RawBits!$G:$G,MATCH($A158,RawBits!$H:$H,0)),"")</f>
        <v/>
      </c>
      <c r="D158">
        <f>IFERROR(IF(AND(A158&gt;=129,A158&lt;=2176),INDEX(Fields!$B$2:$B$206,MATCH(A158-129,Fields!$D$2:$D$206,1)),""),"")</f>
        <v/>
      </c>
      <c r="E158">
        <f>IFERROR(IF(AND(A158&gt;=129,A158&lt;=2176),INDEX(Fields!$C$2:$C$206,MATCH(A158-129,Fields!$D$2:$D$206,1)),""),"")</f>
        <v/>
      </c>
    </row>
    <row r="159">
      <c r="A159" t="n">
        <v>158</v>
      </c>
      <c r="B159">
        <f>IFERROR(INDEX(RawBits!$A:$A,MATCH($A159,RawBits!$H:$H,0)),"?")</f>
        <v/>
      </c>
      <c r="C159">
        <f>IFERROR(INDEX(RawBits!$G:$G,MATCH($A159,RawBits!$H:$H,0)),"")</f>
        <v/>
      </c>
      <c r="D159">
        <f>IFERROR(IF(AND(A159&gt;=129,A159&lt;=2176),INDEX(Fields!$B$2:$B$206,MATCH(A159-129,Fields!$D$2:$D$206,1)),""),"")</f>
        <v/>
      </c>
      <c r="E159">
        <f>IFERROR(IF(AND(A159&gt;=129,A159&lt;=2176),INDEX(Fields!$C$2:$C$206,MATCH(A159-129,Fields!$D$2:$D$206,1)),""),"")</f>
        <v/>
      </c>
    </row>
    <row r="160">
      <c r="A160" t="n">
        <v>159</v>
      </c>
      <c r="B160">
        <f>IFERROR(INDEX(RawBits!$A:$A,MATCH($A160,RawBits!$H:$H,0)),"?")</f>
        <v/>
      </c>
      <c r="C160">
        <f>IFERROR(INDEX(RawBits!$G:$G,MATCH($A160,RawBits!$H:$H,0)),"")</f>
        <v/>
      </c>
      <c r="D160">
        <f>IFERROR(IF(AND(A160&gt;=129,A160&lt;=2176),INDEX(Fields!$B$2:$B$206,MATCH(A160-129,Fields!$D$2:$D$206,1)),""),"")</f>
        <v/>
      </c>
      <c r="E160">
        <f>IFERROR(IF(AND(A160&gt;=129,A160&lt;=2176),INDEX(Fields!$C$2:$C$206,MATCH(A160-129,Fields!$D$2:$D$206,1)),""),"")</f>
        <v/>
      </c>
    </row>
    <row r="161">
      <c r="A161" t="n">
        <v>160</v>
      </c>
      <c r="B161">
        <f>IFERROR(INDEX(RawBits!$A:$A,MATCH($A161,RawBits!$H:$H,0)),"?")</f>
        <v/>
      </c>
      <c r="C161">
        <f>IFERROR(INDEX(RawBits!$G:$G,MATCH($A161,RawBits!$H:$H,0)),"")</f>
        <v/>
      </c>
      <c r="D161">
        <f>IFERROR(IF(AND(A161&gt;=129,A161&lt;=2176),INDEX(Fields!$B$2:$B$206,MATCH(A161-129,Fields!$D$2:$D$206,1)),""),"")</f>
        <v/>
      </c>
      <c r="E161">
        <f>IFERROR(IF(AND(A161&gt;=129,A161&lt;=2176),INDEX(Fields!$C$2:$C$206,MATCH(A161-129,Fields!$D$2:$D$206,1)),""),"")</f>
        <v/>
      </c>
    </row>
    <row r="162">
      <c r="A162" t="n">
        <v>161</v>
      </c>
      <c r="B162">
        <f>IFERROR(INDEX(RawBits!$A:$A,MATCH($A162,RawBits!$H:$H,0)),"?")</f>
        <v/>
      </c>
      <c r="C162">
        <f>IFERROR(INDEX(RawBits!$G:$G,MATCH($A162,RawBits!$H:$H,0)),"")</f>
        <v/>
      </c>
      <c r="D162">
        <f>IFERROR(IF(AND(A162&gt;=129,A162&lt;=2176),INDEX(Fields!$B$2:$B$206,MATCH(A162-129,Fields!$D$2:$D$206,1)),""),"")</f>
        <v/>
      </c>
      <c r="E162">
        <f>IFERROR(IF(AND(A162&gt;=129,A162&lt;=2176),INDEX(Fields!$C$2:$C$206,MATCH(A162-129,Fields!$D$2:$D$206,1)),""),"")</f>
        <v/>
      </c>
    </row>
    <row r="163">
      <c r="A163" t="n">
        <v>162</v>
      </c>
      <c r="B163">
        <f>IFERROR(INDEX(RawBits!$A:$A,MATCH($A163,RawBits!$H:$H,0)),"?")</f>
        <v/>
      </c>
      <c r="C163">
        <f>IFERROR(INDEX(RawBits!$G:$G,MATCH($A163,RawBits!$H:$H,0)),"")</f>
        <v/>
      </c>
      <c r="D163">
        <f>IFERROR(IF(AND(A163&gt;=129,A163&lt;=2176),INDEX(Fields!$B$2:$B$206,MATCH(A163-129,Fields!$D$2:$D$206,1)),""),"")</f>
        <v/>
      </c>
      <c r="E163">
        <f>IFERROR(IF(AND(A163&gt;=129,A163&lt;=2176),INDEX(Fields!$C$2:$C$206,MATCH(A163-129,Fields!$D$2:$D$206,1)),""),"")</f>
        <v/>
      </c>
    </row>
    <row r="164">
      <c r="A164" t="n">
        <v>163</v>
      </c>
      <c r="B164">
        <f>IFERROR(INDEX(RawBits!$A:$A,MATCH($A164,RawBits!$H:$H,0)),"?")</f>
        <v/>
      </c>
      <c r="C164">
        <f>IFERROR(INDEX(RawBits!$G:$G,MATCH($A164,RawBits!$H:$H,0)),"")</f>
        <v/>
      </c>
      <c r="D164">
        <f>IFERROR(IF(AND(A164&gt;=129,A164&lt;=2176),INDEX(Fields!$B$2:$B$206,MATCH(A164-129,Fields!$D$2:$D$206,1)),""),"")</f>
        <v/>
      </c>
      <c r="E164">
        <f>IFERROR(IF(AND(A164&gt;=129,A164&lt;=2176),INDEX(Fields!$C$2:$C$206,MATCH(A164-129,Fields!$D$2:$D$206,1)),""),"")</f>
        <v/>
      </c>
    </row>
    <row r="165">
      <c r="A165" t="n">
        <v>164</v>
      </c>
      <c r="B165">
        <f>IFERROR(INDEX(RawBits!$A:$A,MATCH($A165,RawBits!$H:$H,0)),"?")</f>
        <v/>
      </c>
      <c r="C165">
        <f>IFERROR(INDEX(RawBits!$G:$G,MATCH($A165,RawBits!$H:$H,0)),"")</f>
        <v/>
      </c>
      <c r="D165">
        <f>IFERROR(IF(AND(A165&gt;=129,A165&lt;=2176),INDEX(Fields!$B$2:$B$206,MATCH(A165-129,Fields!$D$2:$D$206,1)),""),"")</f>
        <v/>
      </c>
      <c r="E165">
        <f>IFERROR(IF(AND(A165&gt;=129,A165&lt;=2176),INDEX(Fields!$C$2:$C$206,MATCH(A165-129,Fields!$D$2:$D$206,1)),""),"")</f>
        <v/>
      </c>
    </row>
    <row r="166">
      <c r="A166" t="n">
        <v>165</v>
      </c>
      <c r="B166">
        <f>IFERROR(INDEX(RawBits!$A:$A,MATCH($A166,RawBits!$H:$H,0)),"?")</f>
        <v/>
      </c>
      <c r="C166">
        <f>IFERROR(INDEX(RawBits!$G:$G,MATCH($A166,RawBits!$H:$H,0)),"")</f>
        <v/>
      </c>
      <c r="D166">
        <f>IFERROR(IF(AND(A166&gt;=129,A166&lt;=2176),INDEX(Fields!$B$2:$B$206,MATCH(A166-129,Fields!$D$2:$D$206,1)),""),"")</f>
        <v/>
      </c>
      <c r="E166">
        <f>IFERROR(IF(AND(A166&gt;=129,A166&lt;=2176),INDEX(Fields!$C$2:$C$206,MATCH(A166-129,Fields!$D$2:$D$206,1)),""),"")</f>
        <v/>
      </c>
    </row>
    <row r="167">
      <c r="A167" t="n">
        <v>166</v>
      </c>
      <c r="B167">
        <f>IFERROR(INDEX(RawBits!$A:$A,MATCH($A167,RawBits!$H:$H,0)),"?")</f>
        <v/>
      </c>
      <c r="C167">
        <f>IFERROR(INDEX(RawBits!$G:$G,MATCH($A167,RawBits!$H:$H,0)),"")</f>
        <v/>
      </c>
      <c r="D167">
        <f>IFERROR(IF(AND(A167&gt;=129,A167&lt;=2176),INDEX(Fields!$B$2:$B$206,MATCH(A167-129,Fields!$D$2:$D$206,1)),""),"")</f>
        <v/>
      </c>
      <c r="E167">
        <f>IFERROR(IF(AND(A167&gt;=129,A167&lt;=2176),INDEX(Fields!$C$2:$C$206,MATCH(A167-129,Fields!$D$2:$D$206,1)),""),"")</f>
        <v/>
      </c>
    </row>
    <row r="168">
      <c r="A168" t="n">
        <v>167</v>
      </c>
      <c r="B168">
        <f>IFERROR(INDEX(RawBits!$A:$A,MATCH($A168,RawBits!$H:$H,0)),"?")</f>
        <v/>
      </c>
      <c r="C168">
        <f>IFERROR(INDEX(RawBits!$G:$G,MATCH($A168,RawBits!$H:$H,0)),"")</f>
        <v/>
      </c>
      <c r="D168">
        <f>IFERROR(IF(AND(A168&gt;=129,A168&lt;=2176),INDEX(Fields!$B$2:$B$206,MATCH(A168-129,Fields!$D$2:$D$206,1)),""),"")</f>
        <v/>
      </c>
      <c r="E168">
        <f>IFERROR(IF(AND(A168&gt;=129,A168&lt;=2176),INDEX(Fields!$C$2:$C$206,MATCH(A168-129,Fields!$D$2:$D$206,1)),""),"")</f>
        <v/>
      </c>
    </row>
    <row r="169">
      <c r="A169" t="n">
        <v>168</v>
      </c>
      <c r="B169">
        <f>IFERROR(INDEX(RawBits!$A:$A,MATCH($A169,RawBits!$H:$H,0)),"?")</f>
        <v/>
      </c>
      <c r="C169">
        <f>IFERROR(INDEX(RawBits!$G:$G,MATCH($A169,RawBits!$H:$H,0)),"")</f>
        <v/>
      </c>
      <c r="D169">
        <f>IFERROR(IF(AND(A169&gt;=129,A169&lt;=2176),INDEX(Fields!$B$2:$B$206,MATCH(A169-129,Fields!$D$2:$D$206,1)),""),"")</f>
        <v/>
      </c>
      <c r="E169">
        <f>IFERROR(IF(AND(A169&gt;=129,A169&lt;=2176),INDEX(Fields!$C$2:$C$206,MATCH(A169-129,Fields!$D$2:$D$206,1)),""),"")</f>
        <v/>
      </c>
    </row>
    <row r="170">
      <c r="A170" t="n">
        <v>169</v>
      </c>
      <c r="B170">
        <f>IFERROR(INDEX(RawBits!$A:$A,MATCH($A170,RawBits!$H:$H,0)),"?")</f>
        <v/>
      </c>
      <c r="C170">
        <f>IFERROR(INDEX(RawBits!$G:$G,MATCH($A170,RawBits!$H:$H,0)),"")</f>
        <v/>
      </c>
      <c r="D170">
        <f>IFERROR(IF(AND(A170&gt;=129,A170&lt;=2176),INDEX(Fields!$B$2:$B$206,MATCH(A170-129,Fields!$D$2:$D$206,1)),""),"")</f>
        <v/>
      </c>
      <c r="E170">
        <f>IFERROR(IF(AND(A170&gt;=129,A170&lt;=2176),INDEX(Fields!$C$2:$C$206,MATCH(A170-129,Fields!$D$2:$D$206,1)),""),"")</f>
        <v/>
      </c>
    </row>
    <row r="171">
      <c r="A171" t="n">
        <v>170</v>
      </c>
      <c r="B171">
        <f>IFERROR(INDEX(RawBits!$A:$A,MATCH($A171,RawBits!$H:$H,0)),"?")</f>
        <v/>
      </c>
      <c r="C171">
        <f>IFERROR(INDEX(RawBits!$G:$G,MATCH($A171,RawBits!$H:$H,0)),"")</f>
        <v/>
      </c>
      <c r="D171">
        <f>IFERROR(IF(AND(A171&gt;=129,A171&lt;=2176),INDEX(Fields!$B$2:$B$206,MATCH(A171-129,Fields!$D$2:$D$206,1)),""),"")</f>
        <v/>
      </c>
      <c r="E171">
        <f>IFERROR(IF(AND(A171&gt;=129,A171&lt;=2176),INDEX(Fields!$C$2:$C$206,MATCH(A171-129,Fields!$D$2:$D$206,1)),""),"")</f>
        <v/>
      </c>
    </row>
    <row r="172">
      <c r="A172" t="n">
        <v>171</v>
      </c>
      <c r="B172">
        <f>IFERROR(INDEX(RawBits!$A:$A,MATCH($A172,RawBits!$H:$H,0)),"?")</f>
        <v/>
      </c>
      <c r="C172">
        <f>IFERROR(INDEX(RawBits!$G:$G,MATCH($A172,RawBits!$H:$H,0)),"")</f>
        <v/>
      </c>
      <c r="D172">
        <f>IFERROR(IF(AND(A172&gt;=129,A172&lt;=2176),INDEX(Fields!$B$2:$B$206,MATCH(A172-129,Fields!$D$2:$D$206,1)),""),"")</f>
        <v/>
      </c>
      <c r="E172">
        <f>IFERROR(IF(AND(A172&gt;=129,A172&lt;=2176),INDEX(Fields!$C$2:$C$206,MATCH(A172-129,Fields!$D$2:$D$206,1)),""),"")</f>
        <v/>
      </c>
    </row>
    <row r="173">
      <c r="A173" t="n">
        <v>172</v>
      </c>
      <c r="B173">
        <f>IFERROR(INDEX(RawBits!$A:$A,MATCH($A173,RawBits!$H:$H,0)),"?")</f>
        <v/>
      </c>
      <c r="C173">
        <f>IFERROR(INDEX(RawBits!$G:$G,MATCH($A173,RawBits!$H:$H,0)),"")</f>
        <v/>
      </c>
      <c r="D173">
        <f>IFERROR(IF(AND(A173&gt;=129,A173&lt;=2176),INDEX(Fields!$B$2:$B$206,MATCH(A173-129,Fields!$D$2:$D$206,1)),""),"")</f>
        <v/>
      </c>
      <c r="E173">
        <f>IFERROR(IF(AND(A173&gt;=129,A173&lt;=2176),INDEX(Fields!$C$2:$C$206,MATCH(A173-129,Fields!$D$2:$D$206,1)),""),"")</f>
        <v/>
      </c>
    </row>
    <row r="174">
      <c r="A174" t="n">
        <v>173</v>
      </c>
      <c r="B174">
        <f>IFERROR(INDEX(RawBits!$A:$A,MATCH($A174,RawBits!$H:$H,0)),"?")</f>
        <v/>
      </c>
      <c r="C174">
        <f>IFERROR(INDEX(RawBits!$G:$G,MATCH($A174,RawBits!$H:$H,0)),"")</f>
        <v/>
      </c>
      <c r="D174">
        <f>IFERROR(IF(AND(A174&gt;=129,A174&lt;=2176),INDEX(Fields!$B$2:$B$206,MATCH(A174-129,Fields!$D$2:$D$206,1)),""),"")</f>
        <v/>
      </c>
      <c r="E174">
        <f>IFERROR(IF(AND(A174&gt;=129,A174&lt;=2176),INDEX(Fields!$C$2:$C$206,MATCH(A174-129,Fields!$D$2:$D$206,1)),""),"")</f>
        <v/>
      </c>
    </row>
    <row r="175">
      <c r="A175" t="n">
        <v>174</v>
      </c>
      <c r="B175">
        <f>IFERROR(INDEX(RawBits!$A:$A,MATCH($A175,RawBits!$H:$H,0)),"?")</f>
        <v/>
      </c>
      <c r="C175">
        <f>IFERROR(INDEX(RawBits!$G:$G,MATCH($A175,RawBits!$H:$H,0)),"")</f>
        <v/>
      </c>
      <c r="D175">
        <f>IFERROR(IF(AND(A175&gt;=129,A175&lt;=2176),INDEX(Fields!$B$2:$B$206,MATCH(A175-129,Fields!$D$2:$D$206,1)),""),"")</f>
        <v/>
      </c>
      <c r="E175">
        <f>IFERROR(IF(AND(A175&gt;=129,A175&lt;=2176),INDEX(Fields!$C$2:$C$206,MATCH(A175-129,Fields!$D$2:$D$206,1)),""),"")</f>
        <v/>
      </c>
    </row>
    <row r="176">
      <c r="A176" t="n">
        <v>175</v>
      </c>
      <c r="B176">
        <f>IFERROR(INDEX(RawBits!$A:$A,MATCH($A176,RawBits!$H:$H,0)),"?")</f>
        <v/>
      </c>
      <c r="C176">
        <f>IFERROR(INDEX(RawBits!$G:$G,MATCH($A176,RawBits!$H:$H,0)),"")</f>
        <v/>
      </c>
      <c r="D176">
        <f>IFERROR(IF(AND(A176&gt;=129,A176&lt;=2176),INDEX(Fields!$B$2:$B$206,MATCH(A176-129,Fields!$D$2:$D$206,1)),""),"")</f>
        <v/>
      </c>
      <c r="E176">
        <f>IFERROR(IF(AND(A176&gt;=129,A176&lt;=2176),INDEX(Fields!$C$2:$C$206,MATCH(A176-129,Fields!$D$2:$D$206,1)),""),"")</f>
        <v/>
      </c>
    </row>
    <row r="177">
      <c r="A177" t="n">
        <v>176</v>
      </c>
      <c r="B177">
        <f>IFERROR(INDEX(RawBits!$A:$A,MATCH($A177,RawBits!$H:$H,0)),"?")</f>
        <v/>
      </c>
      <c r="C177">
        <f>IFERROR(INDEX(RawBits!$G:$G,MATCH($A177,RawBits!$H:$H,0)),"")</f>
        <v/>
      </c>
      <c r="D177">
        <f>IFERROR(IF(AND(A177&gt;=129,A177&lt;=2176),INDEX(Fields!$B$2:$B$206,MATCH(A177-129,Fields!$D$2:$D$206,1)),""),"")</f>
        <v/>
      </c>
      <c r="E177">
        <f>IFERROR(IF(AND(A177&gt;=129,A177&lt;=2176),INDEX(Fields!$C$2:$C$206,MATCH(A177-129,Fields!$D$2:$D$206,1)),""),"")</f>
        <v/>
      </c>
    </row>
    <row r="178">
      <c r="A178" t="n">
        <v>177</v>
      </c>
      <c r="B178">
        <f>IFERROR(INDEX(RawBits!$A:$A,MATCH($A178,RawBits!$H:$H,0)),"?")</f>
        <v/>
      </c>
      <c r="C178">
        <f>IFERROR(INDEX(RawBits!$G:$G,MATCH($A178,RawBits!$H:$H,0)),"")</f>
        <v/>
      </c>
      <c r="D178">
        <f>IFERROR(IF(AND(A178&gt;=129,A178&lt;=2176),INDEX(Fields!$B$2:$B$206,MATCH(A178-129,Fields!$D$2:$D$206,1)),""),"")</f>
        <v/>
      </c>
      <c r="E178">
        <f>IFERROR(IF(AND(A178&gt;=129,A178&lt;=2176),INDEX(Fields!$C$2:$C$206,MATCH(A178-129,Fields!$D$2:$D$206,1)),""),"")</f>
        <v/>
      </c>
    </row>
    <row r="179">
      <c r="A179" t="n">
        <v>178</v>
      </c>
      <c r="B179">
        <f>IFERROR(INDEX(RawBits!$A:$A,MATCH($A179,RawBits!$H:$H,0)),"?")</f>
        <v/>
      </c>
      <c r="C179">
        <f>IFERROR(INDEX(RawBits!$G:$G,MATCH($A179,RawBits!$H:$H,0)),"")</f>
        <v/>
      </c>
      <c r="D179">
        <f>IFERROR(IF(AND(A179&gt;=129,A179&lt;=2176),INDEX(Fields!$B$2:$B$206,MATCH(A179-129,Fields!$D$2:$D$206,1)),""),"")</f>
        <v/>
      </c>
      <c r="E179">
        <f>IFERROR(IF(AND(A179&gt;=129,A179&lt;=2176),INDEX(Fields!$C$2:$C$206,MATCH(A179-129,Fields!$D$2:$D$206,1)),""),"")</f>
        <v/>
      </c>
    </row>
    <row r="180">
      <c r="A180" t="n">
        <v>179</v>
      </c>
      <c r="B180">
        <f>IFERROR(INDEX(RawBits!$A:$A,MATCH($A180,RawBits!$H:$H,0)),"?")</f>
        <v/>
      </c>
      <c r="C180">
        <f>IFERROR(INDEX(RawBits!$G:$G,MATCH($A180,RawBits!$H:$H,0)),"")</f>
        <v/>
      </c>
      <c r="D180">
        <f>IFERROR(IF(AND(A180&gt;=129,A180&lt;=2176),INDEX(Fields!$B$2:$B$206,MATCH(A180-129,Fields!$D$2:$D$206,1)),""),"")</f>
        <v/>
      </c>
      <c r="E180">
        <f>IFERROR(IF(AND(A180&gt;=129,A180&lt;=2176),INDEX(Fields!$C$2:$C$206,MATCH(A180-129,Fields!$D$2:$D$206,1)),""),"")</f>
        <v/>
      </c>
    </row>
    <row r="181">
      <c r="A181" t="n">
        <v>180</v>
      </c>
      <c r="B181">
        <f>IFERROR(INDEX(RawBits!$A:$A,MATCH($A181,RawBits!$H:$H,0)),"?")</f>
        <v/>
      </c>
      <c r="C181">
        <f>IFERROR(INDEX(RawBits!$G:$G,MATCH($A181,RawBits!$H:$H,0)),"")</f>
        <v/>
      </c>
      <c r="D181">
        <f>IFERROR(IF(AND(A181&gt;=129,A181&lt;=2176),INDEX(Fields!$B$2:$B$206,MATCH(A181-129,Fields!$D$2:$D$206,1)),""),"")</f>
        <v/>
      </c>
      <c r="E181">
        <f>IFERROR(IF(AND(A181&gt;=129,A181&lt;=2176),INDEX(Fields!$C$2:$C$206,MATCH(A181-129,Fields!$D$2:$D$206,1)),""),"")</f>
        <v/>
      </c>
    </row>
    <row r="182">
      <c r="A182" t="n">
        <v>181</v>
      </c>
      <c r="B182">
        <f>IFERROR(INDEX(RawBits!$A:$A,MATCH($A182,RawBits!$H:$H,0)),"?")</f>
        <v/>
      </c>
      <c r="C182">
        <f>IFERROR(INDEX(RawBits!$G:$G,MATCH($A182,RawBits!$H:$H,0)),"")</f>
        <v/>
      </c>
      <c r="D182">
        <f>IFERROR(IF(AND(A182&gt;=129,A182&lt;=2176),INDEX(Fields!$B$2:$B$206,MATCH(A182-129,Fields!$D$2:$D$206,1)),""),"")</f>
        <v/>
      </c>
      <c r="E182">
        <f>IFERROR(IF(AND(A182&gt;=129,A182&lt;=2176),INDEX(Fields!$C$2:$C$206,MATCH(A182-129,Fields!$D$2:$D$206,1)),""),"")</f>
        <v/>
      </c>
    </row>
    <row r="183">
      <c r="A183" t="n">
        <v>182</v>
      </c>
      <c r="B183">
        <f>IFERROR(INDEX(RawBits!$A:$A,MATCH($A183,RawBits!$H:$H,0)),"?")</f>
        <v/>
      </c>
      <c r="C183">
        <f>IFERROR(INDEX(RawBits!$G:$G,MATCH($A183,RawBits!$H:$H,0)),"")</f>
        <v/>
      </c>
      <c r="D183">
        <f>IFERROR(IF(AND(A183&gt;=129,A183&lt;=2176),INDEX(Fields!$B$2:$B$206,MATCH(A183-129,Fields!$D$2:$D$206,1)),""),"")</f>
        <v/>
      </c>
      <c r="E183">
        <f>IFERROR(IF(AND(A183&gt;=129,A183&lt;=2176),INDEX(Fields!$C$2:$C$206,MATCH(A183-129,Fields!$D$2:$D$206,1)),""),"")</f>
        <v/>
      </c>
    </row>
    <row r="184">
      <c r="A184" t="n">
        <v>183</v>
      </c>
      <c r="B184">
        <f>IFERROR(INDEX(RawBits!$A:$A,MATCH($A184,RawBits!$H:$H,0)),"?")</f>
        <v/>
      </c>
      <c r="C184">
        <f>IFERROR(INDEX(RawBits!$G:$G,MATCH($A184,RawBits!$H:$H,0)),"")</f>
        <v/>
      </c>
      <c r="D184">
        <f>IFERROR(IF(AND(A184&gt;=129,A184&lt;=2176),INDEX(Fields!$B$2:$B$206,MATCH(A184-129,Fields!$D$2:$D$206,1)),""),"")</f>
        <v/>
      </c>
      <c r="E184">
        <f>IFERROR(IF(AND(A184&gt;=129,A184&lt;=2176),INDEX(Fields!$C$2:$C$206,MATCH(A184-129,Fields!$D$2:$D$206,1)),""),"")</f>
        <v/>
      </c>
    </row>
    <row r="185">
      <c r="A185" t="n">
        <v>184</v>
      </c>
      <c r="B185">
        <f>IFERROR(INDEX(RawBits!$A:$A,MATCH($A185,RawBits!$H:$H,0)),"?")</f>
        <v/>
      </c>
      <c r="C185">
        <f>IFERROR(INDEX(RawBits!$G:$G,MATCH($A185,RawBits!$H:$H,0)),"")</f>
        <v/>
      </c>
      <c r="D185">
        <f>IFERROR(IF(AND(A185&gt;=129,A185&lt;=2176),INDEX(Fields!$B$2:$B$206,MATCH(A185-129,Fields!$D$2:$D$206,1)),""),"")</f>
        <v/>
      </c>
      <c r="E185">
        <f>IFERROR(IF(AND(A185&gt;=129,A185&lt;=2176),INDEX(Fields!$C$2:$C$206,MATCH(A185-129,Fields!$D$2:$D$206,1)),""),"")</f>
        <v/>
      </c>
    </row>
    <row r="186">
      <c r="A186" t="n">
        <v>185</v>
      </c>
      <c r="B186">
        <f>IFERROR(INDEX(RawBits!$A:$A,MATCH($A186,RawBits!$H:$H,0)),"?")</f>
        <v/>
      </c>
      <c r="C186">
        <f>IFERROR(INDEX(RawBits!$G:$G,MATCH($A186,RawBits!$H:$H,0)),"")</f>
        <v/>
      </c>
      <c r="D186">
        <f>IFERROR(IF(AND(A186&gt;=129,A186&lt;=2176),INDEX(Fields!$B$2:$B$206,MATCH(A186-129,Fields!$D$2:$D$206,1)),""),"")</f>
        <v/>
      </c>
      <c r="E186">
        <f>IFERROR(IF(AND(A186&gt;=129,A186&lt;=2176),INDEX(Fields!$C$2:$C$206,MATCH(A186-129,Fields!$D$2:$D$206,1)),""),"")</f>
        <v/>
      </c>
    </row>
    <row r="187">
      <c r="A187" t="n">
        <v>186</v>
      </c>
      <c r="B187">
        <f>IFERROR(INDEX(RawBits!$A:$A,MATCH($A187,RawBits!$H:$H,0)),"?")</f>
        <v/>
      </c>
      <c r="C187">
        <f>IFERROR(INDEX(RawBits!$G:$G,MATCH($A187,RawBits!$H:$H,0)),"")</f>
        <v/>
      </c>
      <c r="D187">
        <f>IFERROR(IF(AND(A187&gt;=129,A187&lt;=2176),INDEX(Fields!$B$2:$B$206,MATCH(A187-129,Fields!$D$2:$D$206,1)),""),"")</f>
        <v/>
      </c>
      <c r="E187">
        <f>IFERROR(IF(AND(A187&gt;=129,A187&lt;=2176),INDEX(Fields!$C$2:$C$206,MATCH(A187-129,Fields!$D$2:$D$206,1)),""),"")</f>
        <v/>
      </c>
    </row>
    <row r="188">
      <c r="A188" t="n">
        <v>187</v>
      </c>
      <c r="B188">
        <f>IFERROR(INDEX(RawBits!$A:$A,MATCH($A188,RawBits!$H:$H,0)),"?")</f>
        <v/>
      </c>
      <c r="C188">
        <f>IFERROR(INDEX(RawBits!$G:$G,MATCH($A188,RawBits!$H:$H,0)),"")</f>
        <v/>
      </c>
      <c r="D188">
        <f>IFERROR(IF(AND(A188&gt;=129,A188&lt;=2176),INDEX(Fields!$B$2:$B$206,MATCH(A188-129,Fields!$D$2:$D$206,1)),""),"")</f>
        <v/>
      </c>
      <c r="E188">
        <f>IFERROR(IF(AND(A188&gt;=129,A188&lt;=2176),INDEX(Fields!$C$2:$C$206,MATCH(A188-129,Fields!$D$2:$D$206,1)),""),"")</f>
        <v/>
      </c>
    </row>
    <row r="189">
      <c r="A189" t="n">
        <v>188</v>
      </c>
      <c r="B189">
        <f>IFERROR(INDEX(RawBits!$A:$A,MATCH($A189,RawBits!$H:$H,0)),"?")</f>
        <v/>
      </c>
      <c r="C189">
        <f>IFERROR(INDEX(RawBits!$G:$G,MATCH($A189,RawBits!$H:$H,0)),"")</f>
        <v/>
      </c>
      <c r="D189">
        <f>IFERROR(IF(AND(A189&gt;=129,A189&lt;=2176),INDEX(Fields!$B$2:$B$206,MATCH(A189-129,Fields!$D$2:$D$206,1)),""),"")</f>
        <v/>
      </c>
      <c r="E189">
        <f>IFERROR(IF(AND(A189&gt;=129,A189&lt;=2176),INDEX(Fields!$C$2:$C$206,MATCH(A189-129,Fields!$D$2:$D$206,1)),""),"")</f>
        <v/>
      </c>
    </row>
    <row r="190">
      <c r="A190" t="n">
        <v>189</v>
      </c>
      <c r="B190">
        <f>IFERROR(INDEX(RawBits!$A:$A,MATCH($A190,RawBits!$H:$H,0)),"?")</f>
        <v/>
      </c>
      <c r="C190">
        <f>IFERROR(INDEX(RawBits!$G:$G,MATCH($A190,RawBits!$H:$H,0)),"")</f>
        <v/>
      </c>
      <c r="D190">
        <f>IFERROR(IF(AND(A190&gt;=129,A190&lt;=2176),INDEX(Fields!$B$2:$B$206,MATCH(A190-129,Fields!$D$2:$D$206,1)),""),"")</f>
        <v/>
      </c>
      <c r="E190">
        <f>IFERROR(IF(AND(A190&gt;=129,A190&lt;=2176),INDEX(Fields!$C$2:$C$206,MATCH(A190-129,Fields!$D$2:$D$206,1)),""),"")</f>
        <v/>
      </c>
    </row>
    <row r="191">
      <c r="A191" t="n">
        <v>190</v>
      </c>
      <c r="B191">
        <f>IFERROR(INDEX(RawBits!$A:$A,MATCH($A191,RawBits!$H:$H,0)),"?")</f>
        <v/>
      </c>
      <c r="C191">
        <f>IFERROR(INDEX(RawBits!$G:$G,MATCH($A191,RawBits!$H:$H,0)),"")</f>
        <v/>
      </c>
      <c r="D191">
        <f>IFERROR(IF(AND(A191&gt;=129,A191&lt;=2176),INDEX(Fields!$B$2:$B$206,MATCH(A191-129,Fields!$D$2:$D$206,1)),""),"")</f>
        <v/>
      </c>
      <c r="E191">
        <f>IFERROR(IF(AND(A191&gt;=129,A191&lt;=2176),INDEX(Fields!$C$2:$C$206,MATCH(A191-129,Fields!$D$2:$D$206,1)),""),"")</f>
        <v/>
      </c>
    </row>
    <row r="192">
      <c r="A192" t="n">
        <v>191</v>
      </c>
      <c r="B192">
        <f>IFERROR(INDEX(RawBits!$A:$A,MATCH($A192,RawBits!$H:$H,0)),"?")</f>
        <v/>
      </c>
      <c r="C192">
        <f>IFERROR(INDEX(RawBits!$G:$G,MATCH($A192,RawBits!$H:$H,0)),"")</f>
        <v/>
      </c>
      <c r="D192">
        <f>IFERROR(IF(AND(A192&gt;=129,A192&lt;=2176),INDEX(Fields!$B$2:$B$206,MATCH(A192-129,Fields!$D$2:$D$206,1)),""),"")</f>
        <v/>
      </c>
      <c r="E192">
        <f>IFERROR(IF(AND(A192&gt;=129,A192&lt;=2176),INDEX(Fields!$C$2:$C$206,MATCH(A192-129,Fields!$D$2:$D$206,1)),""),"")</f>
        <v/>
      </c>
    </row>
    <row r="193">
      <c r="A193" t="n">
        <v>192</v>
      </c>
      <c r="B193">
        <f>IFERROR(INDEX(RawBits!$A:$A,MATCH($A193,RawBits!$H:$H,0)),"?")</f>
        <v/>
      </c>
      <c r="C193">
        <f>IFERROR(INDEX(RawBits!$G:$G,MATCH($A193,RawBits!$H:$H,0)),"")</f>
        <v/>
      </c>
      <c r="D193">
        <f>IFERROR(IF(AND(A193&gt;=129,A193&lt;=2176),INDEX(Fields!$B$2:$B$206,MATCH(A193-129,Fields!$D$2:$D$206,1)),""),"")</f>
        <v/>
      </c>
      <c r="E193">
        <f>IFERROR(IF(AND(A193&gt;=129,A193&lt;=2176),INDEX(Fields!$C$2:$C$206,MATCH(A193-129,Fields!$D$2:$D$206,1)),""),"")</f>
        <v/>
      </c>
    </row>
    <row r="194">
      <c r="A194" t="n">
        <v>193</v>
      </c>
      <c r="B194">
        <f>IFERROR(INDEX(RawBits!$A:$A,MATCH($A194,RawBits!$H:$H,0)),"?")</f>
        <v/>
      </c>
      <c r="C194">
        <f>IFERROR(INDEX(RawBits!$G:$G,MATCH($A194,RawBits!$H:$H,0)),"")</f>
        <v/>
      </c>
      <c r="D194">
        <f>IFERROR(IF(AND(A194&gt;=129,A194&lt;=2176),INDEX(Fields!$B$2:$B$206,MATCH(A194-129,Fields!$D$2:$D$206,1)),""),"")</f>
        <v/>
      </c>
      <c r="E194">
        <f>IFERROR(IF(AND(A194&gt;=129,A194&lt;=2176),INDEX(Fields!$C$2:$C$206,MATCH(A194-129,Fields!$D$2:$D$206,1)),""),"")</f>
        <v/>
      </c>
    </row>
    <row r="195">
      <c r="A195" t="n">
        <v>194</v>
      </c>
      <c r="B195">
        <f>IFERROR(INDEX(RawBits!$A:$A,MATCH($A195,RawBits!$H:$H,0)),"?")</f>
        <v/>
      </c>
      <c r="C195">
        <f>IFERROR(INDEX(RawBits!$G:$G,MATCH($A195,RawBits!$H:$H,0)),"")</f>
        <v/>
      </c>
      <c r="D195">
        <f>IFERROR(IF(AND(A195&gt;=129,A195&lt;=2176),INDEX(Fields!$B$2:$B$206,MATCH(A195-129,Fields!$D$2:$D$206,1)),""),"")</f>
        <v/>
      </c>
      <c r="E195">
        <f>IFERROR(IF(AND(A195&gt;=129,A195&lt;=2176),INDEX(Fields!$C$2:$C$206,MATCH(A195-129,Fields!$D$2:$D$206,1)),""),"")</f>
        <v/>
      </c>
    </row>
    <row r="196">
      <c r="A196" t="n">
        <v>195</v>
      </c>
      <c r="B196">
        <f>IFERROR(INDEX(RawBits!$A:$A,MATCH($A196,RawBits!$H:$H,0)),"?")</f>
        <v/>
      </c>
      <c r="C196">
        <f>IFERROR(INDEX(RawBits!$G:$G,MATCH($A196,RawBits!$H:$H,0)),"")</f>
        <v/>
      </c>
      <c r="D196">
        <f>IFERROR(IF(AND(A196&gt;=129,A196&lt;=2176),INDEX(Fields!$B$2:$B$206,MATCH(A196-129,Fields!$D$2:$D$206,1)),""),"")</f>
        <v/>
      </c>
      <c r="E196">
        <f>IFERROR(IF(AND(A196&gt;=129,A196&lt;=2176),INDEX(Fields!$C$2:$C$206,MATCH(A196-129,Fields!$D$2:$D$206,1)),""),"")</f>
        <v/>
      </c>
    </row>
    <row r="197">
      <c r="A197" t="n">
        <v>196</v>
      </c>
      <c r="B197">
        <f>IFERROR(INDEX(RawBits!$A:$A,MATCH($A197,RawBits!$H:$H,0)),"?")</f>
        <v/>
      </c>
      <c r="C197">
        <f>IFERROR(INDEX(RawBits!$G:$G,MATCH($A197,RawBits!$H:$H,0)),"")</f>
        <v/>
      </c>
      <c r="D197">
        <f>IFERROR(IF(AND(A197&gt;=129,A197&lt;=2176),INDEX(Fields!$B$2:$B$206,MATCH(A197-129,Fields!$D$2:$D$206,1)),""),"")</f>
        <v/>
      </c>
      <c r="E197">
        <f>IFERROR(IF(AND(A197&gt;=129,A197&lt;=2176),INDEX(Fields!$C$2:$C$206,MATCH(A197-129,Fields!$D$2:$D$206,1)),""),"")</f>
        <v/>
      </c>
    </row>
    <row r="198">
      <c r="A198" t="n">
        <v>197</v>
      </c>
      <c r="B198">
        <f>IFERROR(INDEX(RawBits!$A:$A,MATCH($A198,RawBits!$H:$H,0)),"?")</f>
        <v/>
      </c>
      <c r="C198">
        <f>IFERROR(INDEX(RawBits!$G:$G,MATCH($A198,RawBits!$H:$H,0)),"")</f>
        <v/>
      </c>
      <c r="D198">
        <f>IFERROR(IF(AND(A198&gt;=129,A198&lt;=2176),INDEX(Fields!$B$2:$B$206,MATCH(A198-129,Fields!$D$2:$D$206,1)),""),"")</f>
        <v/>
      </c>
      <c r="E198">
        <f>IFERROR(IF(AND(A198&gt;=129,A198&lt;=2176),INDEX(Fields!$C$2:$C$206,MATCH(A198-129,Fields!$D$2:$D$206,1)),""),"")</f>
        <v/>
      </c>
    </row>
    <row r="199">
      <c r="A199" t="n">
        <v>198</v>
      </c>
      <c r="B199">
        <f>IFERROR(INDEX(RawBits!$A:$A,MATCH($A199,RawBits!$H:$H,0)),"?")</f>
        <v/>
      </c>
      <c r="C199">
        <f>IFERROR(INDEX(RawBits!$G:$G,MATCH($A199,RawBits!$H:$H,0)),"")</f>
        <v/>
      </c>
      <c r="D199">
        <f>IFERROR(IF(AND(A199&gt;=129,A199&lt;=2176),INDEX(Fields!$B$2:$B$206,MATCH(A199-129,Fields!$D$2:$D$206,1)),""),"")</f>
        <v/>
      </c>
      <c r="E199">
        <f>IFERROR(IF(AND(A199&gt;=129,A199&lt;=2176),INDEX(Fields!$C$2:$C$206,MATCH(A199-129,Fields!$D$2:$D$206,1)),""),"")</f>
        <v/>
      </c>
    </row>
    <row r="200">
      <c r="A200" t="n">
        <v>199</v>
      </c>
      <c r="B200">
        <f>IFERROR(INDEX(RawBits!$A:$A,MATCH($A200,RawBits!$H:$H,0)),"?")</f>
        <v/>
      </c>
      <c r="C200">
        <f>IFERROR(INDEX(RawBits!$G:$G,MATCH($A200,RawBits!$H:$H,0)),"")</f>
        <v/>
      </c>
      <c r="D200">
        <f>IFERROR(IF(AND(A200&gt;=129,A200&lt;=2176),INDEX(Fields!$B$2:$B$206,MATCH(A200-129,Fields!$D$2:$D$206,1)),""),"")</f>
        <v/>
      </c>
      <c r="E200">
        <f>IFERROR(IF(AND(A200&gt;=129,A200&lt;=2176),INDEX(Fields!$C$2:$C$206,MATCH(A200-129,Fields!$D$2:$D$206,1)),""),"")</f>
        <v/>
      </c>
    </row>
    <row r="201">
      <c r="A201" t="n">
        <v>200</v>
      </c>
      <c r="B201">
        <f>IFERROR(INDEX(RawBits!$A:$A,MATCH($A201,RawBits!$H:$H,0)),"?")</f>
        <v/>
      </c>
      <c r="C201">
        <f>IFERROR(INDEX(RawBits!$G:$G,MATCH($A201,RawBits!$H:$H,0)),"")</f>
        <v/>
      </c>
      <c r="D201">
        <f>IFERROR(IF(AND(A201&gt;=129,A201&lt;=2176),INDEX(Fields!$B$2:$B$206,MATCH(A201-129,Fields!$D$2:$D$206,1)),""),"")</f>
        <v/>
      </c>
      <c r="E201">
        <f>IFERROR(IF(AND(A201&gt;=129,A201&lt;=2176),INDEX(Fields!$C$2:$C$206,MATCH(A201-129,Fields!$D$2:$D$206,1)),""),"")</f>
        <v/>
      </c>
    </row>
    <row r="202">
      <c r="A202" t="n">
        <v>201</v>
      </c>
      <c r="B202">
        <f>IFERROR(INDEX(RawBits!$A:$A,MATCH($A202,RawBits!$H:$H,0)),"?")</f>
        <v/>
      </c>
      <c r="C202">
        <f>IFERROR(INDEX(RawBits!$G:$G,MATCH($A202,RawBits!$H:$H,0)),"")</f>
        <v/>
      </c>
      <c r="D202">
        <f>IFERROR(IF(AND(A202&gt;=129,A202&lt;=2176),INDEX(Fields!$B$2:$B$206,MATCH(A202-129,Fields!$D$2:$D$206,1)),""),"")</f>
        <v/>
      </c>
      <c r="E202">
        <f>IFERROR(IF(AND(A202&gt;=129,A202&lt;=2176),INDEX(Fields!$C$2:$C$206,MATCH(A202-129,Fields!$D$2:$D$206,1)),""),"")</f>
        <v/>
      </c>
    </row>
    <row r="203">
      <c r="A203" t="n">
        <v>202</v>
      </c>
      <c r="B203">
        <f>IFERROR(INDEX(RawBits!$A:$A,MATCH($A203,RawBits!$H:$H,0)),"?")</f>
        <v/>
      </c>
      <c r="C203">
        <f>IFERROR(INDEX(RawBits!$G:$G,MATCH($A203,RawBits!$H:$H,0)),"")</f>
        <v/>
      </c>
      <c r="D203">
        <f>IFERROR(IF(AND(A203&gt;=129,A203&lt;=2176),INDEX(Fields!$B$2:$B$206,MATCH(A203-129,Fields!$D$2:$D$206,1)),""),"")</f>
        <v/>
      </c>
      <c r="E203">
        <f>IFERROR(IF(AND(A203&gt;=129,A203&lt;=2176),INDEX(Fields!$C$2:$C$206,MATCH(A203-129,Fields!$D$2:$D$206,1)),""),"")</f>
        <v/>
      </c>
    </row>
    <row r="204">
      <c r="A204" t="n">
        <v>203</v>
      </c>
      <c r="B204">
        <f>IFERROR(INDEX(RawBits!$A:$A,MATCH($A204,RawBits!$H:$H,0)),"?")</f>
        <v/>
      </c>
      <c r="C204">
        <f>IFERROR(INDEX(RawBits!$G:$G,MATCH($A204,RawBits!$H:$H,0)),"")</f>
        <v/>
      </c>
      <c r="D204">
        <f>IFERROR(IF(AND(A204&gt;=129,A204&lt;=2176),INDEX(Fields!$B$2:$B$206,MATCH(A204-129,Fields!$D$2:$D$206,1)),""),"")</f>
        <v/>
      </c>
      <c r="E204">
        <f>IFERROR(IF(AND(A204&gt;=129,A204&lt;=2176),INDEX(Fields!$C$2:$C$206,MATCH(A204-129,Fields!$D$2:$D$206,1)),""),"")</f>
        <v/>
      </c>
    </row>
    <row r="205">
      <c r="A205" t="n">
        <v>204</v>
      </c>
      <c r="B205">
        <f>IFERROR(INDEX(RawBits!$A:$A,MATCH($A205,RawBits!$H:$H,0)),"?")</f>
        <v/>
      </c>
      <c r="C205">
        <f>IFERROR(INDEX(RawBits!$G:$G,MATCH($A205,RawBits!$H:$H,0)),"")</f>
        <v/>
      </c>
      <c r="D205">
        <f>IFERROR(IF(AND(A205&gt;=129,A205&lt;=2176),INDEX(Fields!$B$2:$B$206,MATCH(A205-129,Fields!$D$2:$D$206,1)),""),"")</f>
        <v/>
      </c>
      <c r="E205">
        <f>IFERROR(IF(AND(A205&gt;=129,A205&lt;=2176),INDEX(Fields!$C$2:$C$206,MATCH(A205-129,Fields!$D$2:$D$206,1)),""),"")</f>
        <v/>
      </c>
    </row>
    <row r="206">
      <c r="A206" t="n">
        <v>205</v>
      </c>
      <c r="B206">
        <f>IFERROR(INDEX(RawBits!$A:$A,MATCH($A206,RawBits!$H:$H,0)),"?")</f>
        <v/>
      </c>
      <c r="C206">
        <f>IFERROR(INDEX(RawBits!$G:$G,MATCH($A206,RawBits!$H:$H,0)),"")</f>
        <v/>
      </c>
      <c r="D206">
        <f>IFERROR(IF(AND(A206&gt;=129,A206&lt;=2176),INDEX(Fields!$B$2:$B$206,MATCH(A206-129,Fields!$D$2:$D$206,1)),""),"")</f>
        <v/>
      </c>
      <c r="E206">
        <f>IFERROR(IF(AND(A206&gt;=129,A206&lt;=2176),INDEX(Fields!$C$2:$C$206,MATCH(A206-129,Fields!$D$2:$D$206,1)),""),"")</f>
        <v/>
      </c>
    </row>
    <row r="207">
      <c r="A207" t="n">
        <v>206</v>
      </c>
      <c r="B207">
        <f>IFERROR(INDEX(RawBits!$A:$A,MATCH($A207,RawBits!$H:$H,0)),"?")</f>
        <v/>
      </c>
      <c r="C207">
        <f>IFERROR(INDEX(RawBits!$G:$G,MATCH($A207,RawBits!$H:$H,0)),"")</f>
        <v/>
      </c>
      <c r="D207">
        <f>IFERROR(IF(AND(A207&gt;=129,A207&lt;=2176),INDEX(Fields!$B$2:$B$206,MATCH(A207-129,Fields!$D$2:$D$206,1)),""),"")</f>
        <v/>
      </c>
      <c r="E207">
        <f>IFERROR(IF(AND(A207&gt;=129,A207&lt;=2176),INDEX(Fields!$C$2:$C$206,MATCH(A207-129,Fields!$D$2:$D$206,1)),""),"")</f>
        <v/>
      </c>
    </row>
    <row r="208">
      <c r="A208" t="n">
        <v>207</v>
      </c>
      <c r="B208">
        <f>IFERROR(INDEX(RawBits!$A:$A,MATCH($A208,RawBits!$H:$H,0)),"?")</f>
        <v/>
      </c>
      <c r="C208">
        <f>IFERROR(INDEX(RawBits!$G:$G,MATCH($A208,RawBits!$H:$H,0)),"")</f>
        <v/>
      </c>
      <c r="D208">
        <f>IFERROR(IF(AND(A208&gt;=129,A208&lt;=2176),INDEX(Fields!$B$2:$B$206,MATCH(A208-129,Fields!$D$2:$D$206,1)),""),"")</f>
        <v/>
      </c>
      <c r="E208">
        <f>IFERROR(IF(AND(A208&gt;=129,A208&lt;=2176),INDEX(Fields!$C$2:$C$206,MATCH(A208-129,Fields!$D$2:$D$206,1)),""),"")</f>
        <v/>
      </c>
    </row>
    <row r="209">
      <c r="A209" t="n">
        <v>208</v>
      </c>
      <c r="B209">
        <f>IFERROR(INDEX(RawBits!$A:$A,MATCH($A209,RawBits!$H:$H,0)),"?")</f>
        <v/>
      </c>
      <c r="C209">
        <f>IFERROR(INDEX(RawBits!$G:$G,MATCH($A209,RawBits!$H:$H,0)),"")</f>
        <v/>
      </c>
      <c r="D209">
        <f>IFERROR(IF(AND(A209&gt;=129,A209&lt;=2176),INDEX(Fields!$B$2:$B$206,MATCH(A209-129,Fields!$D$2:$D$206,1)),""),"")</f>
        <v/>
      </c>
      <c r="E209">
        <f>IFERROR(IF(AND(A209&gt;=129,A209&lt;=2176),INDEX(Fields!$C$2:$C$206,MATCH(A209-129,Fields!$D$2:$D$206,1)),""),"")</f>
        <v/>
      </c>
    </row>
    <row r="210">
      <c r="A210" t="n">
        <v>209</v>
      </c>
      <c r="B210">
        <f>IFERROR(INDEX(RawBits!$A:$A,MATCH($A210,RawBits!$H:$H,0)),"?")</f>
        <v/>
      </c>
      <c r="C210">
        <f>IFERROR(INDEX(RawBits!$G:$G,MATCH($A210,RawBits!$H:$H,0)),"")</f>
        <v/>
      </c>
      <c r="D210">
        <f>IFERROR(IF(AND(A210&gt;=129,A210&lt;=2176),INDEX(Fields!$B$2:$B$206,MATCH(A210-129,Fields!$D$2:$D$206,1)),""),"")</f>
        <v/>
      </c>
      <c r="E210">
        <f>IFERROR(IF(AND(A210&gt;=129,A210&lt;=2176),INDEX(Fields!$C$2:$C$206,MATCH(A210-129,Fields!$D$2:$D$206,1)),""),"")</f>
        <v/>
      </c>
    </row>
    <row r="211">
      <c r="A211" t="n">
        <v>210</v>
      </c>
      <c r="B211">
        <f>IFERROR(INDEX(RawBits!$A:$A,MATCH($A211,RawBits!$H:$H,0)),"?")</f>
        <v/>
      </c>
      <c r="C211">
        <f>IFERROR(INDEX(RawBits!$G:$G,MATCH($A211,RawBits!$H:$H,0)),"")</f>
        <v/>
      </c>
      <c r="D211">
        <f>IFERROR(IF(AND(A211&gt;=129,A211&lt;=2176),INDEX(Fields!$B$2:$B$206,MATCH(A211-129,Fields!$D$2:$D$206,1)),""),"")</f>
        <v/>
      </c>
      <c r="E211">
        <f>IFERROR(IF(AND(A211&gt;=129,A211&lt;=2176),INDEX(Fields!$C$2:$C$206,MATCH(A211-129,Fields!$D$2:$D$206,1)),""),"")</f>
        <v/>
      </c>
    </row>
    <row r="212">
      <c r="A212" t="n">
        <v>211</v>
      </c>
      <c r="B212">
        <f>IFERROR(INDEX(RawBits!$A:$A,MATCH($A212,RawBits!$H:$H,0)),"?")</f>
        <v/>
      </c>
      <c r="C212">
        <f>IFERROR(INDEX(RawBits!$G:$G,MATCH($A212,RawBits!$H:$H,0)),"")</f>
        <v/>
      </c>
      <c r="D212">
        <f>IFERROR(IF(AND(A212&gt;=129,A212&lt;=2176),INDEX(Fields!$B$2:$B$206,MATCH(A212-129,Fields!$D$2:$D$206,1)),""),"")</f>
        <v/>
      </c>
      <c r="E212">
        <f>IFERROR(IF(AND(A212&gt;=129,A212&lt;=2176),INDEX(Fields!$C$2:$C$206,MATCH(A212-129,Fields!$D$2:$D$206,1)),""),"")</f>
        <v/>
      </c>
    </row>
    <row r="213">
      <c r="A213" t="n">
        <v>212</v>
      </c>
      <c r="B213">
        <f>IFERROR(INDEX(RawBits!$A:$A,MATCH($A213,RawBits!$H:$H,0)),"?")</f>
        <v/>
      </c>
      <c r="C213">
        <f>IFERROR(INDEX(RawBits!$G:$G,MATCH($A213,RawBits!$H:$H,0)),"")</f>
        <v/>
      </c>
      <c r="D213">
        <f>IFERROR(IF(AND(A213&gt;=129,A213&lt;=2176),INDEX(Fields!$B$2:$B$206,MATCH(A213-129,Fields!$D$2:$D$206,1)),""),"")</f>
        <v/>
      </c>
      <c r="E213">
        <f>IFERROR(IF(AND(A213&gt;=129,A213&lt;=2176),INDEX(Fields!$C$2:$C$206,MATCH(A213-129,Fields!$D$2:$D$206,1)),""),"")</f>
        <v/>
      </c>
    </row>
    <row r="214">
      <c r="A214" t="n">
        <v>213</v>
      </c>
      <c r="B214">
        <f>IFERROR(INDEX(RawBits!$A:$A,MATCH($A214,RawBits!$H:$H,0)),"?")</f>
        <v/>
      </c>
      <c r="C214">
        <f>IFERROR(INDEX(RawBits!$G:$G,MATCH($A214,RawBits!$H:$H,0)),"")</f>
        <v/>
      </c>
      <c r="D214">
        <f>IFERROR(IF(AND(A214&gt;=129,A214&lt;=2176),INDEX(Fields!$B$2:$B$206,MATCH(A214-129,Fields!$D$2:$D$206,1)),""),"")</f>
        <v/>
      </c>
      <c r="E214">
        <f>IFERROR(IF(AND(A214&gt;=129,A214&lt;=2176),INDEX(Fields!$C$2:$C$206,MATCH(A214-129,Fields!$D$2:$D$206,1)),""),"")</f>
        <v/>
      </c>
    </row>
    <row r="215">
      <c r="A215" t="n">
        <v>214</v>
      </c>
      <c r="B215">
        <f>IFERROR(INDEX(RawBits!$A:$A,MATCH($A215,RawBits!$H:$H,0)),"?")</f>
        <v/>
      </c>
      <c r="C215">
        <f>IFERROR(INDEX(RawBits!$G:$G,MATCH($A215,RawBits!$H:$H,0)),"")</f>
        <v/>
      </c>
      <c r="D215">
        <f>IFERROR(IF(AND(A215&gt;=129,A215&lt;=2176),INDEX(Fields!$B$2:$B$206,MATCH(A215-129,Fields!$D$2:$D$206,1)),""),"")</f>
        <v/>
      </c>
      <c r="E215">
        <f>IFERROR(IF(AND(A215&gt;=129,A215&lt;=2176),INDEX(Fields!$C$2:$C$206,MATCH(A215-129,Fields!$D$2:$D$206,1)),""),"")</f>
        <v/>
      </c>
    </row>
    <row r="216">
      <c r="A216" t="n">
        <v>215</v>
      </c>
      <c r="B216">
        <f>IFERROR(INDEX(RawBits!$A:$A,MATCH($A216,RawBits!$H:$H,0)),"?")</f>
        <v/>
      </c>
      <c r="C216">
        <f>IFERROR(INDEX(RawBits!$G:$G,MATCH($A216,RawBits!$H:$H,0)),"")</f>
        <v/>
      </c>
      <c r="D216">
        <f>IFERROR(IF(AND(A216&gt;=129,A216&lt;=2176),INDEX(Fields!$B$2:$B$206,MATCH(A216-129,Fields!$D$2:$D$206,1)),""),"")</f>
        <v/>
      </c>
      <c r="E216">
        <f>IFERROR(IF(AND(A216&gt;=129,A216&lt;=2176),INDEX(Fields!$C$2:$C$206,MATCH(A216-129,Fields!$D$2:$D$206,1)),""),"")</f>
        <v/>
      </c>
    </row>
    <row r="217">
      <c r="A217" t="n">
        <v>216</v>
      </c>
      <c r="B217">
        <f>IFERROR(INDEX(RawBits!$A:$A,MATCH($A217,RawBits!$H:$H,0)),"?")</f>
        <v/>
      </c>
      <c r="C217">
        <f>IFERROR(INDEX(RawBits!$G:$G,MATCH($A217,RawBits!$H:$H,0)),"")</f>
        <v/>
      </c>
      <c r="D217">
        <f>IFERROR(IF(AND(A217&gt;=129,A217&lt;=2176),INDEX(Fields!$B$2:$B$206,MATCH(A217-129,Fields!$D$2:$D$206,1)),""),"")</f>
        <v/>
      </c>
      <c r="E217">
        <f>IFERROR(IF(AND(A217&gt;=129,A217&lt;=2176),INDEX(Fields!$C$2:$C$206,MATCH(A217-129,Fields!$D$2:$D$206,1)),""),"")</f>
        <v/>
      </c>
    </row>
    <row r="218">
      <c r="A218" t="n">
        <v>217</v>
      </c>
      <c r="B218">
        <f>IFERROR(INDEX(RawBits!$A:$A,MATCH($A218,RawBits!$H:$H,0)),"?")</f>
        <v/>
      </c>
      <c r="C218">
        <f>IFERROR(INDEX(RawBits!$G:$G,MATCH($A218,RawBits!$H:$H,0)),"")</f>
        <v/>
      </c>
      <c r="D218">
        <f>IFERROR(IF(AND(A218&gt;=129,A218&lt;=2176),INDEX(Fields!$B$2:$B$206,MATCH(A218-129,Fields!$D$2:$D$206,1)),""),"")</f>
        <v/>
      </c>
      <c r="E218">
        <f>IFERROR(IF(AND(A218&gt;=129,A218&lt;=2176),INDEX(Fields!$C$2:$C$206,MATCH(A218-129,Fields!$D$2:$D$206,1)),""),"")</f>
        <v/>
      </c>
    </row>
    <row r="219">
      <c r="A219" t="n">
        <v>218</v>
      </c>
      <c r="B219">
        <f>IFERROR(INDEX(RawBits!$A:$A,MATCH($A219,RawBits!$H:$H,0)),"?")</f>
        <v/>
      </c>
      <c r="C219">
        <f>IFERROR(INDEX(RawBits!$G:$G,MATCH($A219,RawBits!$H:$H,0)),"")</f>
        <v/>
      </c>
      <c r="D219">
        <f>IFERROR(IF(AND(A219&gt;=129,A219&lt;=2176),INDEX(Fields!$B$2:$B$206,MATCH(A219-129,Fields!$D$2:$D$206,1)),""),"")</f>
        <v/>
      </c>
      <c r="E219">
        <f>IFERROR(IF(AND(A219&gt;=129,A219&lt;=2176),INDEX(Fields!$C$2:$C$206,MATCH(A219-129,Fields!$D$2:$D$206,1)),""),"")</f>
        <v/>
      </c>
    </row>
    <row r="220">
      <c r="A220" t="n">
        <v>219</v>
      </c>
      <c r="B220">
        <f>IFERROR(INDEX(RawBits!$A:$A,MATCH($A220,RawBits!$H:$H,0)),"?")</f>
        <v/>
      </c>
      <c r="C220">
        <f>IFERROR(INDEX(RawBits!$G:$G,MATCH($A220,RawBits!$H:$H,0)),"")</f>
        <v/>
      </c>
      <c r="D220">
        <f>IFERROR(IF(AND(A220&gt;=129,A220&lt;=2176),INDEX(Fields!$B$2:$B$206,MATCH(A220-129,Fields!$D$2:$D$206,1)),""),"")</f>
        <v/>
      </c>
      <c r="E220">
        <f>IFERROR(IF(AND(A220&gt;=129,A220&lt;=2176),INDEX(Fields!$C$2:$C$206,MATCH(A220-129,Fields!$D$2:$D$206,1)),""),"")</f>
        <v/>
      </c>
    </row>
    <row r="221">
      <c r="A221" t="n">
        <v>220</v>
      </c>
      <c r="B221">
        <f>IFERROR(INDEX(RawBits!$A:$A,MATCH($A221,RawBits!$H:$H,0)),"?")</f>
        <v/>
      </c>
      <c r="C221">
        <f>IFERROR(INDEX(RawBits!$G:$G,MATCH($A221,RawBits!$H:$H,0)),"")</f>
        <v/>
      </c>
      <c r="D221">
        <f>IFERROR(IF(AND(A221&gt;=129,A221&lt;=2176),INDEX(Fields!$B$2:$B$206,MATCH(A221-129,Fields!$D$2:$D$206,1)),""),"")</f>
        <v/>
      </c>
      <c r="E221">
        <f>IFERROR(IF(AND(A221&gt;=129,A221&lt;=2176),INDEX(Fields!$C$2:$C$206,MATCH(A221-129,Fields!$D$2:$D$206,1)),""),"")</f>
        <v/>
      </c>
    </row>
    <row r="222">
      <c r="A222" t="n">
        <v>221</v>
      </c>
      <c r="B222">
        <f>IFERROR(INDEX(RawBits!$A:$A,MATCH($A222,RawBits!$H:$H,0)),"?")</f>
        <v/>
      </c>
      <c r="C222">
        <f>IFERROR(INDEX(RawBits!$G:$G,MATCH($A222,RawBits!$H:$H,0)),"")</f>
        <v/>
      </c>
      <c r="D222">
        <f>IFERROR(IF(AND(A222&gt;=129,A222&lt;=2176),INDEX(Fields!$B$2:$B$206,MATCH(A222-129,Fields!$D$2:$D$206,1)),""),"")</f>
        <v/>
      </c>
      <c r="E222">
        <f>IFERROR(IF(AND(A222&gt;=129,A222&lt;=2176),INDEX(Fields!$C$2:$C$206,MATCH(A222-129,Fields!$D$2:$D$206,1)),""),"")</f>
        <v/>
      </c>
    </row>
    <row r="223">
      <c r="A223" t="n">
        <v>222</v>
      </c>
      <c r="B223">
        <f>IFERROR(INDEX(RawBits!$A:$A,MATCH($A223,RawBits!$H:$H,0)),"?")</f>
        <v/>
      </c>
      <c r="C223">
        <f>IFERROR(INDEX(RawBits!$G:$G,MATCH($A223,RawBits!$H:$H,0)),"")</f>
        <v/>
      </c>
      <c r="D223">
        <f>IFERROR(IF(AND(A223&gt;=129,A223&lt;=2176),INDEX(Fields!$B$2:$B$206,MATCH(A223-129,Fields!$D$2:$D$206,1)),""),"")</f>
        <v/>
      </c>
      <c r="E223">
        <f>IFERROR(IF(AND(A223&gt;=129,A223&lt;=2176),INDEX(Fields!$C$2:$C$206,MATCH(A223-129,Fields!$D$2:$D$206,1)),""),"")</f>
        <v/>
      </c>
    </row>
    <row r="224">
      <c r="A224" t="n">
        <v>223</v>
      </c>
      <c r="B224">
        <f>IFERROR(INDEX(RawBits!$A:$A,MATCH($A224,RawBits!$H:$H,0)),"?")</f>
        <v/>
      </c>
      <c r="C224">
        <f>IFERROR(INDEX(RawBits!$G:$G,MATCH($A224,RawBits!$H:$H,0)),"")</f>
        <v/>
      </c>
      <c r="D224">
        <f>IFERROR(IF(AND(A224&gt;=129,A224&lt;=2176),INDEX(Fields!$B$2:$B$206,MATCH(A224-129,Fields!$D$2:$D$206,1)),""),"")</f>
        <v/>
      </c>
      <c r="E224">
        <f>IFERROR(IF(AND(A224&gt;=129,A224&lt;=2176),INDEX(Fields!$C$2:$C$206,MATCH(A224-129,Fields!$D$2:$D$206,1)),""),"")</f>
        <v/>
      </c>
    </row>
    <row r="225">
      <c r="A225" t="n">
        <v>224</v>
      </c>
      <c r="B225">
        <f>IFERROR(INDEX(RawBits!$A:$A,MATCH($A225,RawBits!$H:$H,0)),"?")</f>
        <v/>
      </c>
      <c r="C225">
        <f>IFERROR(INDEX(RawBits!$G:$G,MATCH($A225,RawBits!$H:$H,0)),"")</f>
        <v/>
      </c>
      <c r="D225">
        <f>IFERROR(IF(AND(A225&gt;=129,A225&lt;=2176),INDEX(Fields!$B$2:$B$206,MATCH(A225-129,Fields!$D$2:$D$206,1)),""),"")</f>
        <v/>
      </c>
      <c r="E225">
        <f>IFERROR(IF(AND(A225&gt;=129,A225&lt;=2176),INDEX(Fields!$C$2:$C$206,MATCH(A225-129,Fields!$D$2:$D$206,1)),""),"")</f>
        <v/>
      </c>
    </row>
    <row r="226">
      <c r="A226" t="n">
        <v>225</v>
      </c>
      <c r="B226">
        <f>IFERROR(INDEX(RawBits!$A:$A,MATCH($A226,RawBits!$H:$H,0)),"?")</f>
        <v/>
      </c>
      <c r="C226">
        <f>IFERROR(INDEX(RawBits!$G:$G,MATCH($A226,RawBits!$H:$H,0)),"")</f>
        <v/>
      </c>
      <c r="D226">
        <f>IFERROR(IF(AND(A226&gt;=129,A226&lt;=2176),INDEX(Fields!$B$2:$B$206,MATCH(A226-129,Fields!$D$2:$D$206,1)),""),"")</f>
        <v/>
      </c>
      <c r="E226">
        <f>IFERROR(IF(AND(A226&gt;=129,A226&lt;=2176),INDEX(Fields!$C$2:$C$206,MATCH(A226-129,Fields!$D$2:$D$206,1)),""),"")</f>
        <v/>
      </c>
    </row>
    <row r="227">
      <c r="A227" t="n">
        <v>226</v>
      </c>
      <c r="B227">
        <f>IFERROR(INDEX(RawBits!$A:$A,MATCH($A227,RawBits!$H:$H,0)),"?")</f>
        <v/>
      </c>
      <c r="C227">
        <f>IFERROR(INDEX(RawBits!$G:$G,MATCH($A227,RawBits!$H:$H,0)),"")</f>
        <v/>
      </c>
      <c r="D227">
        <f>IFERROR(IF(AND(A227&gt;=129,A227&lt;=2176),INDEX(Fields!$B$2:$B$206,MATCH(A227-129,Fields!$D$2:$D$206,1)),""),"")</f>
        <v/>
      </c>
      <c r="E227">
        <f>IFERROR(IF(AND(A227&gt;=129,A227&lt;=2176),INDEX(Fields!$C$2:$C$206,MATCH(A227-129,Fields!$D$2:$D$206,1)),""),"")</f>
        <v/>
      </c>
    </row>
    <row r="228">
      <c r="A228" t="n">
        <v>227</v>
      </c>
      <c r="B228">
        <f>IFERROR(INDEX(RawBits!$A:$A,MATCH($A228,RawBits!$H:$H,0)),"?")</f>
        <v/>
      </c>
      <c r="C228">
        <f>IFERROR(INDEX(RawBits!$G:$G,MATCH($A228,RawBits!$H:$H,0)),"")</f>
        <v/>
      </c>
      <c r="D228">
        <f>IFERROR(IF(AND(A228&gt;=129,A228&lt;=2176),INDEX(Fields!$B$2:$B$206,MATCH(A228-129,Fields!$D$2:$D$206,1)),""),"")</f>
        <v/>
      </c>
      <c r="E228">
        <f>IFERROR(IF(AND(A228&gt;=129,A228&lt;=2176),INDEX(Fields!$C$2:$C$206,MATCH(A228-129,Fields!$D$2:$D$206,1)),""),"")</f>
        <v/>
      </c>
    </row>
    <row r="229">
      <c r="A229" t="n">
        <v>228</v>
      </c>
      <c r="B229">
        <f>IFERROR(INDEX(RawBits!$A:$A,MATCH($A229,RawBits!$H:$H,0)),"?")</f>
        <v/>
      </c>
      <c r="C229">
        <f>IFERROR(INDEX(RawBits!$G:$G,MATCH($A229,RawBits!$H:$H,0)),"")</f>
        <v/>
      </c>
      <c r="D229">
        <f>IFERROR(IF(AND(A229&gt;=129,A229&lt;=2176),INDEX(Fields!$B$2:$B$206,MATCH(A229-129,Fields!$D$2:$D$206,1)),""),"")</f>
        <v/>
      </c>
      <c r="E229">
        <f>IFERROR(IF(AND(A229&gt;=129,A229&lt;=2176),INDEX(Fields!$C$2:$C$206,MATCH(A229-129,Fields!$D$2:$D$206,1)),""),"")</f>
        <v/>
      </c>
    </row>
    <row r="230">
      <c r="A230" t="n">
        <v>229</v>
      </c>
      <c r="B230">
        <f>IFERROR(INDEX(RawBits!$A:$A,MATCH($A230,RawBits!$H:$H,0)),"?")</f>
        <v/>
      </c>
      <c r="C230">
        <f>IFERROR(INDEX(RawBits!$G:$G,MATCH($A230,RawBits!$H:$H,0)),"")</f>
        <v/>
      </c>
      <c r="D230">
        <f>IFERROR(IF(AND(A230&gt;=129,A230&lt;=2176),INDEX(Fields!$B$2:$B$206,MATCH(A230-129,Fields!$D$2:$D$206,1)),""),"")</f>
        <v/>
      </c>
      <c r="E230">
        <f>IFERROR(IF(AND(A230&gt;=129,A230&lt;=2176),INDEX(Fields!$C$2:$C$206,MATCH(A230-129,Fields!$D$2:$D$206,1)),""),"")</f>
        <v/>
      </c>
    </row>
    <row r="231">
      <c r="A231" t="n">
        <v>230</v>
      </c>
      <c r="B231">
        <f>IFERROR(INDEX(RawBits!$A:$A,MATCH($A231,RawBits!$H:$H,0)),"?")</f>
        <v/>
      </c>
      <c r="C231">
        <f>IFERROR(INDEX(RawBits!$G:$G,MATCH($A231,RawBits!$H:$H,0)),"")</f>
        <v/>
      </c>
      <c r="D231">
        <f>IFERROR(IF(AND(A231&gt;=129,A231&lt;=2176),INDEX(Fields!$B$2:$B$206,MATCH(A231-129,Fields!$D$2:$D$206,1)),""),"")</f>
        <v/>
      </c>
      <c r="E231">
        <f>IFERROR(IF(AND(A231&gt;=129,A231&lt;=2176),INDEX(Fields!$C$2:$C$206,MATCH(A231-129,Fields!$D$2:$D$206,1)),""),"")</f>
        <v/>
      </c>
    </row>
    <row r="232">
      <c r="A232" t="n">
        <v>231</v>
      </c>
      <c r="B232">
        <f>IFERROR(INDEX(RawBits!$A:$A,MATCH($A232,RawBits!$H:$H,0)),"?")</f>
        <v/>
      </c>
      <c r="C232">
        <f>IFERROR(INDEX(RawBits!$G:$G,MATCH($A232,RawBits!$H:$H,0)),"")</f>
        <v/>
      </c>
      <c r="D232">
        <f>IFERROR(IF(AND(A232&gt;=129,A232&lt;=2176),INDEX(Fields!$B$2:$B$206,MATCH(A232-129,Fields!$D$2:$D$206,1)),""),"")</f>
        <v/>
      </c>
      <c r="E232">
        <f>IFERROR(IF(AND(A232&gt;=129,A232&lt;=2176),INDEX(Fields!$C$2:$C$206,MATCH(A232-129,Fields!$D$2:$D$206,1)),""),"")</f>
        <v/>
      </c>
    </row>
    <row r="233">
      <c r="A233" t="n">
        <v>232</v>
      </c>
      <c r="B233">
        <f>IFERROR(INDEX(RawBits!$A:$A,MATCH($A233,RawBits!$H:$H,0)),"?")</f>
        <v/>
      </c>
      <c r="C233">
        <f>IFERROR(INDEX(RawBits!$G:$G,MATCH($A233,RawBits!$H:$H,0)),"")</f>
        <v/>
      </c>
      <c r="D233">
        <f>IFERROR(IF(AND(A233&gt;=129,A233&lt;=2176),INDEX(Fields!$B$2:$B$206,MATCH(A233-129,Fields!$D$2:$D$206,1)),""),"")</f>
        <v/>
      </c>
      <c r="E233">
        <f>IFERROR(IF(AND(A233&gt;=129,A233&lt;=2176),INDEX(Fields!$C$2:$C$206,MATCH(A233-129,Fields!$D$2:$D$206,1)),""),"")</f>
        <v/>
      </c>
    </row>
    <row r="234">
      <c r="A234" t="n">
        <v>233</v>
      </c>
      <c r="B234">
        <f>IFERROR(INDEX(RawBits!$A:$A,MATCH($A234,RawBits!$H:$H,0)),"?")</f>
        <v/>
      </c>
      <c r="C234">
        <f>IFERROR(INDEX(RawBits!$G:$G,MATCH($A234,RawBits!$H:$H,0)),"")</f>
        <v/>
      </c>
      <c r="D234">
        <f>IFERROR(IF(AND(A234&gt;=129,A234&lt;=2176),INDEX(Fields!$B$2:$B$206,MATCH(A234-129,Fields!$D$2:$D$206,1)),""),"")</f>
        <v/>
      </c>
      <c r="E234">
        <f>IFERROR(IF(AND(A234&gt;=129,A234&lt;=2176),INDEX(Fields!$C$2:$C$206,MATCH(A234-129,Fields!$D$2:$D$206,1)),""),"")</f>
        <v/>
      </c>
    </row>
    <row r="235">
      <c r="A235" t="n">
        <v>234</v>
      </c>
      <c r="B235">
        <f>IFERROR(INDEX(RawBits!$A:$A,MATCH($A235,RawBits!$H:$H,0)),"?")</f>
        <v/>
      </c>
      <c r="C235">
        <f>IFERROR(INDEX(RawBits!$G:$G,MATCH($A235,RawBits!$H:$H,0)),"")</f>
        <v/>
      </c>
      <c r="D235">
        <f>IFERROR(IF(AND(A235&gt;=129,A235&lt;=2176),INDEX(Fields!$B$2:$B$206,MATCH(A235-129,Fields!$D$2:$D$206,1)),""),"")</f>
        <v/>
      </c>
      <c r="E235">
        <f>IFERROR(IF(AND(A235&gt;=129,A235&lt;=2176),INDEX(Fields!$C$2:$C$206,MATCH(A235-129,Fields!$D$2:$D$206,1)),""),"")</f>
        <v/>
      </c>
    </row>
    <row r="236">
      <c r="A236" t="n">
        <v>235</v>
      </c>
      <c r="B236">
        <f>IFERROR(INDEX(RawBits!$A:$A,MATCH($A236,RawBits!$H:$H,0)),"?")</f>
        <v/>
      </c>
      <c r="C236">
        <f>IFERROR(INDEX(RawBits!$G:$G,MATCH($A236,RawBits!$H:$H,0)),"")</f>
        <v/>
      </c>
      <c r="D236">
        <f>IFERROR(IF(AND(A236&gt;=129,A236&lt;=2176),INDEX(Fields!$B$2:$B$206,MATCH(A236-129,Fields!$D$2:$D$206,1)),""),"")</f>
        <v/>
      </c>
      <c r="E236">
        <f>IFERROR(IF(AND(A236&gt;=129,A236&lt;=2176),INDEX(Fields!$C$2:$C$206,MATCH(A236-129,Fields!$D$2:$D$206,1)),""),"")</f>
        <v/>
      </c>
    </row>
    <row r="237">
      <c r="A237" t="n">
        <v>236</v>
      </c>
      <c r="B237">
        <f>IFERROR(INDEX(RawBits!$A:$A,MATCH($A237,RawBits!$H:$H,0)),"?")</f>
        <v/>
      </c>
      <c r="C237">
        <f>IFERROR(INDEX(RawBits!$G:$G,MATCH($A237,RawBits!$H:$H,0)),"")</f>
        <v/>
      </c>
      <c r="D237">
        <f>IFERROR(IF(AND(A237&gt;=129,A237&lt;=2176),INDEX(Fields!$B$2:$B$206,MATCH(A237-129,Fields!$D$2:$D$206,1)),""),"")</f>
        <v/>
      </c>
      <c r="E237">
        <f>IFERROR(IF(AND(A237&gt;=129,A237&lt;=2176),INDEX(Fields!$C$2:$C$206,MATCH(A237-129,Fields!$D$2:$D$206,1)),""),"")</f>
        <v/>
      </c>
    </row>
    <row r="238">
      <c r="A238" t="n">
        <v>237</v>
      </c>
      <c r="B238">
        <f>IFERROR(INDEX(RawBits!$A:$A,MATCH($A238,RawBits!$H:$H,0)),"?")</f>
        <v/>
      </c>
      <c r="C238">
        <f>IFERROR(INDEX(RawBits!$G:$G,MATCH($A238,RawBits!$H:$H,0)),"")</f>
        <v/>
      </c>
      <c r="D238">
        <f>IFERROR(IF(AND(A238&gt;=129,A238&lt;=2176),INDEX(Fields!$B$2:$B$206,MATCH(A238-129,Fields!$D$2:$D$206,1)),""),"")</f>
        <v/>
      </c>
      <c r="E238">
        <f>IFERROR(IF(AND(A238&gt;=129,A238&lt;=2176),INDEX(Fields!$C$2:$C$206,MATCH(A238-129,Fields!$D$2:$D$206,1)),""),"")</f>
        <v/>
      </c>
    </row>
    <row r="239">
      <c r="A239" t="n">
        <v>238</v>
      </c>
      <c r="B239">
        <f>IFERROR(INDEX(RawBits!$A:$A,MATCH($A239,RawBits!$H:$H,0)),"?")</f>
        <v/>
      </c>
      <c r="C239">
        <f>IFERROR(INDEX(RawBits!$G:$G,MATCH($A239,RawBits!$H:$H,0)),"")</f>
        <v/>
      </c>
      <c r="D239">
        <f>IFERROR(IF(AND(A239&gt;=129,A239&lt;=2176),INDEX(Fields!$B$2:$B$206,MATCH(A239-129,Fields!$D$2:$D$206,1)),""),"")</f>
        <v/>
      </c>
      <c r="E239">
        <f>IFERROR(IF(AND(A239&gt;=129,A239&lt;=2176),INDEX(Fields!$C$2:$C$206,MATCH(A239-129,Fields!$D$2:$D$206,1)),""),"")</f>
        <v/>
      </c>
    </row>
    <row r="240">
      <c r="A240" t="n">
        <v>239</v>
      </c>
      <c r="B240">
        <f>IFERROR(INDEX(RawBits!$A:$A,MATCH($A240,RawBits!$H:$H,0)),"?")</f>
        <v/>
      </c>
      <c r="C240">
        <f>IFERROR(INDEX(RawBits!$G:$G,MATCH($A240,RawBits!$H:$H,0)),"")</f>
        <v/>
      </c>
      <c r="D240">
        <f>IFERROR(IF(AND(A240&gt;=129,A240&lt;=2176),INDEX(Fields!$B$2:$B$206,MATCH(A240-129,Fields!$D$2:$D$206,1)),""),"")</f>
        <v/>
      </c>
      <c r="E240">
        <f>IFERROR(IF(AND(A240&gt;=129,A240&lt;=2176),INDEX(Fields!$C$2:$C$206,MATCH(A240-129,Fields!$D$2:$D$206,1)),""),"")</f>
        <v/>
      </c>
    </row>
    <row r="241">
      <c r="A241" t="n">
        <v>240</v>
      </c>
      <c r="B241">
        <f>IFERROR(INDEX(RawBits!$A:$A,MATCH($A241,RawBits!$H:$H,0)),"?")</f>
        <v/>
      </c>
      <c r="C241">
        <f>IFERROR(INDEX(RawBits!$G:$G,MATCH($A241,RawBits!$H:$H,0)),"")</f>
        <v/>
      </c>
      <c r="D241">
        <f>IFERROR(IF(AND(A241&gt;=129,A241&lt;=2176),INDEX(Fields!$B$2:$B$206,MATCH(A241-129,Fields!$D$2:$D$206,1)),""),"")</f>
        <v/>
      </c>
      <c r="E241">
        <f>IFERROR(IF(AND(A241&gt;=129,A241&lt;=2176),INDEX(Fields!$C$2:$C$206,MATCH(A241-129,Fields!$D$2:$D$206,1)),""),"")</f>
        <v/>
      </c>
    </row>
    <row r="242">
      <c r="A242" t="n">
        <v>241</v>
      </c>
      <c r="B242">
        <f>IFERROR(INDEX(RawBits!$A:$A,MATCH($A242,RawBits!$H:$H,0)),"?")</f>
        <v/>
      </c>
      <c r="C242">
        <f>IFERROR(INDEX(RawBits!$G:$G,MATCH($A242,RawBits!$H:$H,0)),"")</f>
        <v/>
      </c>
      <c r="D242">
        <f>IFERROR(IF(AND(A242&gt;=129,A242&lt;=2176),INDEX(Fields!$B$2:$B$206,MATCH(A242-129,Fields!$D$2:$D$206,1)),""),"")</f>
        <v/>
      </c>
      <c r="E242">
        <f>IFERROR(IF(AND(A242&gt;=129,A242&lt;=2176),INDEX(Fields!$C$2:$C$206,MATCH(A242-129,Fields!$D$2:$D$206,1)),""),"")</f>
        <v/>
      </c>
    </row>
    <row r="243">
      <c r="A243" t="n">
        <v>242</v>
      </c>
      <c r="B243">
        <f>IFERROR(INDEX(RawBits!$A:$A,MATCH($A243,RawBits!$H:$H,0)),"?")</f>
        <v/>
      </c>
      <c r="C243">
        <f>IFERROR(INDEX(RawBits!$G:$G,MATCH($A243,RawBits!$H:$H,0)),"")</f>
        <v/>
      </c>
      <c r="D243">
        <f>IFERROR(IF(AND(A243&gt;=129,A243&lt;=2176),INDEX(Fields!$B$2:$B$206,MATCH(A243-129,Fields!$D$2:$D$206,1)),""),"")</f>
        <v/>
      </c>
      <c r="E243">
        <f>IFERROR(IF(AND(A243&gt;=129,A243&lt;=2176),INDEX(Fields!$C$2:$C$206,MATCH(A243-129,Fields!$D$2:$D$206,1)),""),"")</f>
        <v/>
      </c>
    </row>
    <row r="244">
      <c r="A244" t="n">
        <v>243</v>
      </c>
      <c r="B244">
        <f>IFERROR(INDEX(RawBits!$A:$A,MATCH($A244,RawBits!$H:$H,0)),"?")</f>
        <v/>
      </c>
      <c r="C244">
        <f>IFERROR(INDEX(RawBits!$G:$G,MATCH($A244,RawBits!$H:$H,0)),"")</f>
        <v/>
      </c>
      <c r="D244">
        <f>IFERROR(IF(AND(A244&gt;=129,A244&lt;=2176),INDEX(Fields!$B$2:$B$206,MATCH(A244-129,Fields!$D$2:$D$206,1)),""),"")</f>
        <v/>
      </c>
      <c r="E244">
        <f>IFERROR(IF(AND(A244&gt;=129,A244&lt;=2176),INDEX(Fields!$C$2:$C$206,MATCH(A244-129,Fields!$D$2:$D$206,1)),""),"")</f>
        <v/>
      </c>
    </row>
    <row r="245">
      <c r="A245" t="n">
        <v>244</v>
      </c>
      <c r="B245">
        <f>IFERROR(INDEX(RawBits!$A:$A,MATCH($A245,RawBits!$H:$H,0)),"?")</f>
        <v/>
      </c>
      <c r="C245">
        <f>IFERROR(INDEX(RawBits!$G:$G,MATCH($A245,RawBits!$H:$H,0)),"")</f>
        <v/>
      </c>
      <c r="D245">
        <f>IFERROR(IF(AND(A245&gt;=129,A245&lt;=2176),INDEX(Fields!$B$2:$B$206,MATCH(A245-129,Fields!$D$2:$D$206,1)),""),"")</f>
        <v/>
      </c>
      <c r="E245">
        <f>IFERROR(IF(AND(A245&gt;=129,A245&lt;=2176),INDEX(Fields!$C$2:$C$206,MATCH(A245-129,Fields!$D$2:$D$206,1)),""),"")</f>
        <v/>
      </c>
    </row>
    <row r="246">
      <c r="A246" t="n">
        <v>245</v>
      </c>
      <c r="B246">
        <f>IFERROR(INDEX(RawBits!$A:$A,MATCH($A246,RawBits!$H:$H,0)),"?")</f>
        <v/>
      </c>
      <c r="C246">
        <f>IFERROR(INDEX(RawBits!$G:$G,MATCH($A246,RawBits!$H:$H,0)),"")</f>
        <v/>
      </c>
      <c r="D246">
        <f>IFERROR(IF(AND(A246&gt;=129,A246&lt;=2176),INDEX(Fields!$B$2:$B$206,MATCH(A246-129,Fields!$D$2:$D$206,1)),""),"")</f>
        <v/>
      </c>
      <c r="E246">
        <f>IFERROR(IF(AND(A246&gt;=129,A246&lt;=2176),INDEX(Fields!$C$2:$C$206,MATCH(A246-129,Fields!$D$2:$D$206,1)),""),"")</f>
        <v/>
      </c>
    </row>
    <row r="247">
      <c r="A247" t="n">
        <v>246</v>
      </c>
      <c r="B247">
        <f>IFERROR(INDEX(RawBits!$A:$A,MATCH($A247,RawBits!$H:$H,0)),"?")</f>
        <v/>
      </c>
      <c r="C247">
        <f>IFERROR(INDEX(RawBits!$G:$G,MATCH($A247,RawBits!$H:$H,0)),"")</f>
        <v/>
      </c>
      <c r="D247">
        <f>IFERROR(IF(AND(A247&gt;=129,A247&lt;=2176),INDEX(Fields!$B$2:$B$206,MATCH(A247-129,Fields!$D$2:$D$206,1)),""),"")</f>
        <v/>
      </c>
      <c r="E247">
        <f>IFERROR(IF(AND(A247&gt;=129,A247&lt;=2176),INDEX(Fields!$C$2:$C$206,MATCH(A247-129,Fields!$D$2:$D$206,1)),""),"")</f>
        <v/>
      </c>
    </row>
    <row r="248">
      <c r="A248" t="n">
        <v>247</v>
      </c>
      <c r="B248">
        <f>IFERROR(INDEX(RawBits!$A:$A,MATCH($A248,RawBits!$H:$H,0)),"?")</f>
        <v/>
      </c>
      <c r="C248">
        <f>IFERROR(INDEX(RawBits!$G:$G,MATCH($A248,RawBits!$H:$H,0)),"")</f>
        <v/>
      </c>
      <c r="D248">
        <f>IFERROR(IF(AND(A248&gt;=129,A248&lt;=2176),INDEX(Fields!$B$2:$B$206,MATCH(A248-129,Fields!$D$2:$D$206,1)),""),"")</f>
        <v/>
      </c>
      <c r="E248">
        <f>IFERROR(IF(AND(A248&gt;=129,A248&lt;=2176),INDEX(Fields!$C$2:$C$206,MATCH(A248-129,Fields!$D$2:$D$206,1)),""),"")</f>
        <v/>
      </c>
    </row>
    <row r="249">
      <c r="A249" t="n">
        <v>248</v>
      </c>
      <c r="B249">
        <f>IFERROR(INDEX(RawBits!$A:$A,MATCH($A249,RawBits!$H:$H,0)),"?")</f>
        <v/>
      </c>
      <c r="C249">
        <f>IFERROR(INDEX(RawBits!$G:$G,MATCH($A249,RawBits!$H:$H,0)),"")</f>
        <v/>
      </c>
      <c r="D249">
        <f>IFERROR(IF(AND(A249&gt;=129,A249&lt;=2176),INDEX(Fields!$B$2:$B$206,MATCH(A249-129,Fields!$D$2:$D$206,1)),""),"")</f>
        <v/>
      </c>
      <c r="E249">
        <f>IFERROR(IF(AND(A249&gt;=129,A249&lt;=2176),INDEX(Fields!$C$2:$C$206,MATCH(A249-129,Fields!$D$2:$D$206,1)),""),"")</f>
        <v/>
      </c>
    </row>
    <row r="250">
      <c r="A250" t="n">
        <v>249</v>
      </c>
      <c r="B250">
        <f>IFERROR(INDEX(RawBits!$A:$A,MATCH($A250,RawBits!$H:$H,0)),"?")</f>
        <v/>
      </c>
      <c r="C250">
        <f>IFERROR(INDEX(RawBits!$G:$G,MATCH($A250,RawBits!$H:$H,0)),"")</f>
        <v/>
      </c>
      <c r="D250">
        <f>IFERROR(IF(AND(A250&gt;=129,A250&lt;=2176),INDEX(Fields!$B$2:$B$206,MATCH(A250-129,Fields!$D$2:$D$206,1)),""),"")</f>
        <v/>
      </c>
      <c r="E250">
        <f>IFERROR(IF(AND(A250&gt;=129,A250&lt;=2176),INDEX(Fields!$C$2:$C$206,MATCH(A250-129,Fields!$D$2:$D$206,1)),""),"")</f>
        <v/>
      </c>
    </row>
    <row r="251">
      <c r="A251" t="n">
        <v>250</v>
      </c>
      <c r="B251">
        <f>IFERROR(INDEX(RawBits!$A:$A,MATCH($A251,RawBits!$H:$H,0)),"?")</f>
        <v/>
      </c>
      <c r="C251">
        <f>IFERROR(INDEX(RawBits!$G:$G,MATCH($A251,RawBits!$H:$H,0)),"")</f>
        <v/>
      </c>
      <c r="D251">
        <f>IFERROR(IF(AND(A251&gt;=129,A251&lt;=2176),INDEX(Fields!$B$2:$B$206,MATCH(A251-129,Fields!$D$2:$D$206,1)),""),"")</f>
        <v/>
      </c>
      <c r="E251">
        <f>IFERROR(IF(AND(A251&gt;=129,A251&lt;=2176),INDEX(Fields!$C$2:$C$206,MATCH(A251-129,Fields!$D$2:$D$206,1)),""),"")</f>
        <v/>
      </c>
    </row>
    <row r="252">
      <c r="A252" t="n">
        <v>251</v>
      </c>
      <c r="B252">
        <f>IFERROR(INDEX(RawBits!$A:$A,MATCH($A252,RawBits!$H:$H,0)),"?")</f>
        <v/>
      </c>
      <c r="C252">
        <f>IFERROR(INDEX(RawBits!$G:$G,MATCH($A252,RawBits!$H:$H,0)),"")</f>
        <v/>
      </c>
      <c r="D252">
        <f>IFERROR(IF(AND(A252&gt;=129,A252&lt;=2176),INDEX(Fields!$B$2:$B$206,MATCH(A252-129,Fields!$D$2:$D$206,1)),""),"")</f>
        <v/>
      </c>
      <c r="E252">
        <f>IFERROR(IF(AND(A252&gt;=129,A252&lt;=2176),INDEX(Fields!$C$2:$C$206,MATCH(A252-129,Fields!$D$2:$D$206,1)),""),"")</f>
        <v/>
      </c>
    </row>
    <row r="253">
      <c r="A253" t="n">
        <v>252</v>
      </c>
      <c r="B253">
        <f>IFERROR(INDEX(RawBits!$A:$A,MATCH($A253,RawBits!$H:$H,0)),"?")</f>
        <v/>
      </c>
      <c r="C253">
        <f>IFERROR(INDEX(RawBits!$G:$G,MATCH($A253,RawBits!$H:$H,0)),"")</f>
        <v/>
      </c>
      <c r="D253">
        <f>IFERROR(IF(AND(A253&gt;=129,A253&lt;=2176),INDEX(Fields!$B$2:$B$206,MATCH(A253-129,Fields!$D$2:$D$206,1)),""),"")</f>
        <v/>
      </c>
      <c r="E253">
        <f>IFERROR(IF(AND(A253&gt;=129,A253&lt;=2176),INDEX(Fields!$C$2:$C$206,MATCH(A253-129,Fields!$D$2:$D$206,1)),""),"")</f>
        <v/>
      </c>
    </row>
    <row r="254">
      <c r="A254" t="n">
        <v>253</v>
      </c>
      <c r="B254">
        <f>IFERROR(INDEX(RawBits!$A:$A,MATCH($A254,RawBits!$H:$H,0)),"?")</f>
        <v/>
      </c>
      <c r="C254">
        <f>IFERROR(INDEX(RawBits!$G:$G,MATCH($A254,RawBits!$H:$H,0)),"")</f>
        <v/>
      </c>
      <c r="D254">
        <f>IFERROR(IF(AND(A254&gt;=129,A254&lt;=2176),INDEX(Fields!$B$2:$B$206,MATCH(A254-129,Fields!$D$2:$D$206,1)),""),"")</f>
        <v/>
      </c>
      <c r="E254">
        <f>IFERROR(IF(AND(A254&gt;=129,A254&lt;=2176),INDEX(Fields!$C$2:$C$206,MATCH(A254-129,Fields!$D$2:$D$206,1)),""),"")</f>
        <v/>
      </c>
    </row>
    <row r="255">
      <c r="A255" t="n">
        <v>254</v>
      </c>
      <c r="B255">
        <f>IFERROR(INDEX(RawBits!$A:$A,MATCH($A255,RawBits!$H:$H,0)),"?")</f>
        <v/>
      </c>
      <c r="C255">
        <f>IFERROR(INDEX(RawBits!$G:$G,MATCH($A255,RawBits!$H:$H,0)),"")</f>
        <v/>
      </c>
      <c r="D255">
        <f>IFERROR(IF(AND(A255&gt;=129,A255&lt;=2176),INDEX(Fields!$B$2:$B$206,MATCH(A255-129,Fields!$D$2:$D$206,1)),""),"")</f>
        <v/>
      </c>
      <c r="E255">
        <f>IFERROR(IF(AND(A255&gt;=129,A255&lt;=2176),INDEX(Fields!$C$2:$C$206,MATCH(A255-129,Fields!$D$2:$D$206,1)),""),"")</f>
        <v/>
      </c>
    </row>
    <row r="256">
      <c r="A256" t="n">
        <v>255</v>
      </c>
      <c r="B256">
        <f>IFERROR(INDEX(RawBits!$A:$A,MATCH($A256,RawBits!$H:$H,0)),"?")</f>
        <v/>
      </c>
      <c r="C256">
        <f>IFERROR(INDEX(RawBits!$G:$G,MATCH($A256,RawBits!$H:$H,0)),"")</f>
        <v/>
      </c>
      <c r="D256">
        <f>IFERROR(IF(AND(A256&gt;=129,A256&lt;=2176),INDEX(Fields!$B$2:$B$206,MATCH(A256-129,Fields!$D$2:$D$206,1)),""),"")</f>
        <v/>
      </c>
      <c r="E256">
        <f>IFERROR(IF(AND(A256&gt;=129,A256&lt;=2176),INDEX(Fields!$C$2:$C$206,MATCH(A256-129,Fields!$D$2:$D$206,1)),""),"")</f>
        <v/>
      </c>
    </row>
    <row r="257">
      <c r="A257" t="n">
        <v>256</v>
      </c>
      <c r="B257">
        <f>IFERROR(INDEX(RawBits!$A:$A,MATCH($A257,RawBits!$H:$H,0)),"?")</f>
        <v/>
      </c>
      <c r="C257">
        <f>IFERROR(INDEX(RawBits!$G:$G,MATCH($A257,RawBits!$H:$H,0)),"")</f>
        <v/>
      </c>
      <c r="D257">
        <f>IFERROR(IF(AND(A257&gt;=129,A257&lt;=2176),INDEX(Fields!$B$2:$B$206,MATCH(A257-129,Fields!$D$2:$D$206,1)),""),"")</f>
        <v/>
      </c>
      <c r="E257">
        <f>IFERROR(IF(AND(A257&gt;=129,A257&lt;=2176),INDEX(Fields!$C$2:$C$206,MATCH(A257-129,Fields!$D$2:$D$206,1)),""),"")</f>
        <v/>
      </c>
    </row>
    <row r="258">
      <c r="A258" t="n">
        <v>257</v>
      </c>
      <c r="B258">
        <f>IFERROR(INDEX(RawBits!$A:$A,MATCH($A258,RawBits!$H:$H,0)),"?")</f>
        <v/>
      </c>
      <c r="C258">
        <f>IFERROR(INDEX(RawBits!$G:$G,MATCH($A258,RawBits!$H:$H,0)),"")</f>
        <v/>
      </c>
      <c r="D258">
        <f>IFERROR(IF(AND(A258&gt;=129,A258&lt;=2176),INDEX(Fields!$B$2:$B$206,MATCH(A258-129,Fields!$D$2:$D$206,1)),""),"")</f>
        <v/>
      </c>
      <c r="E258">
        <f>IFERROR(IF(AND(A258&gt;=129,A258&lt;=2176),INDEX(Fields!$C$2:$C$206,MATCH(A258-129,Fields!$D$2:$D$206,1)),""),"")</f>
        <v/>
      </c>
    </row>
    <row r="259">
      <c r="A259" t="n">
        <v>258</v>
      </c>
      <c r="B259">
        <f>IFERROR(INDEX(RawBits!$A:$A,MATCH($A259,RawBits!$H:$H,0)),"?")</f>
        <v/>
      </c>
      <c r="C259">
        <f>IFERROR(INDEX(RawBits!$G:$G,MATCH($A259,RawBits!$H:$H,0)),"")</f>
        <v/>
      </c>
      <c r="D259">
        <f>IFERROR(IF(AND(A259&gt;=129,A259&lt;=2176),INDEX(Fields!$B$2:$B$206,MATCH(A259-129,Fields!$D$2:$D$206,1)),""),"")</f>
        <v/>
      </c>
      <c r="E259">
        <f>IFERROR(IF(AND(A259&gt;=129,A259&lt;=2176),INDEX(Fields!$C$2:$C$206,MATCH(A259-129,Fields!$D$2:$D$206,1)),""),"")</f>
        <v/>
      </c>
    </row>
    <row r="260">
      <c r="A260" t="n">
        <v>259</v>
      </c>
      <c r="B260">
        <f>IFERROR(INDEX(RawBits!$A:$A,MATCH($A260,RawBits!$H:$H,0)),"?")</f>
        <v/>
      </c>
      <c r="C260">
        <f>IFERROR(INDEX(RawBits!$G:$G,MATCH($A260,RawBits!$H:$H,0)),"")</f>
        <v/>
      </c>
      <c r="D260">
        <f>IFERROR(IF(AND(A260&gt;=129,A260&lt;=2176),INDEX(Fields!$B$2:$B$206,MATCH(A260-129,Fields!$D$2:$D$206,1)),""),"")</f>
        <v/>
      </c>
      <c r="E260">
        <f>IFERROR(IF(AND(A260&gt;=129,A260&lt;=2176),INDEX(Fields!$C$2:$C$206,MATCH(A260-129,Fields!$D$2:$D$206,1)),""),"")</f>
        <v/>
      </c>
    </row>
    <row r="261">
      <c r="A261" t="n">
        <v>260</v>
      </c>
      <c r="B261">
        <f>IFERROR(INDEX(RawBits!$A:$A,MATCH($A261,RawBits!$H:$H,0)),"?")</f>
        <v/>
      </c>
      <c r="C261">
        <f>IFERROR(INDEX(RawBits!$G:$G,MATCH($A261,RawBits!$H:$H,0)),"")</f>
        <v/>
      </c>
      <c r="D261">
        <f>IFERROR(IF(AND(A261&gt;=129,A261&lt;=2176),INDEX(Fields!$B$2:$B$206,MATCH(A261-129,Fields!$D$2:$D$206,1)),""),"")</f>
        <v/>
      </c>
      <c r="E261">
        <f>IFERROR(IF(AND(A261&gt;=129,A261&lt;=2176),INDEX(Fields!$C$2:$C$206,MATCH(A261-129,Fields!$D$2:$D$206,1)),""),"")</f>
        <v/>
      </c>
    </row>
    <row r="262">
      <c r="A262" t="n">
        <v>261</v>
      </c>
      <c r="B262">
        <f>IFERROR(INDEX(RawBits!$A:$A,MATCH($A262,RawBits!$H:$H,0)),"?")</f>
        <v/>
      </c>
      <c r="C262">
        <f>IFERROR(INDEX(RawBits!$G:$G,MATCH($A262,RawBits!$H:$H,0)),"")</f>
        <v/>
      </c>
      <c r="D262">
        <f>IFERROR(IF(AND(A262&gt;=129,A262&lt;=2176),INDEX(Fields!$B$2:$B$206,MATCH(A262-129,Fields!$D$2:$D$206,1)),""),"")</f>
        <v/>
      </c>
      <c r="E262">
        <f>IFERROR(IF(AND(A262&gt;=129,A262&lt;=2176),INDEX(Fields!$C$2:$C$206,MATCH(A262-129,Fields!$D$2:$D$206,1)),""),"")</f>
        <v/>
      </c>
    </row>
    <row r="263">
      <c r="A263" t="n">
        <v>262</v>
      </c>
      <c r="B263">
        <f>IFERROR(INDEX(RawBits!$A:$A,MATCH($A263,RawBits!$H:$H,0)),"?")</f>
        <v/>
      </c>
      <c r="C263">
        <f>IFERROR(INDEX(RawBits!$G:$G,MATCH($A263,RawBits!$H:$H,0)),"")</f>
        <v/>
      </c>
      <c r="D263">
        <f>IFERROR(IF(AND(A263&gt;=129,A263&lt;=2176),INDEX(Fields!$B$2:$B$206,MATCH(A263-129,Fields!$D$2:$D$206,1)),""),"")</f>
        <v/>
      </c>
      <c r="E263">
        <f>IFERROR(IF(AND(A263&gt;=129,A263&lt;=2176),INDEX(Fields!$C$2:$C$206,MATCH(A263-129,Fields!$D$2:$D$206,1)),""),"")</f>
        <v/>
      </c>
    </row>
    <row r="264">
      <c r="A264" t="n">
        <v>263</v>
      </c>
      <c r="B264">
        <f>IFERROR(INDEX(RawBits!$A:$A,MATCH($A264,RawBits!$H:$H,0)),"?")</f>
        <v/>
      </c>
      <c r="C264">
        <f>IFERROR(INDEX(RawBits!$G:$G,MATCH($A264,RawBits!$H:$H,0)),"")</f>
        <v/>
      </c>
      <c r="D264">
        <f>IFERROR(IF(AND(A264&gt;=129,A264&lt;=2176),INDEX(Fields!$B$2:$B$206,MATCH(A264-129,Fields!$D$2:$D$206,1)),""),"")</f>
        <v/>
      </c>
      <c r="E264">
        <f>IFERROR(IF(AND(A264&gt;=129,A264&lt;=2176),INDEX(Fields!$C$2:$C$206,MATCH(A264-129,Fields!$D$2:$D$206,1)),""),"")</f>
        <v/>
      </c>
    </row>
    <row r="265">
      <c r="A265" t="n">
        <v>264</v>
      </c>
      <c r="B265">
        <f>IFERROR(INDEX(RawBits!$A:$A,MATCH($A265,RawBits!$H:$H,0)),"?")</f>
        <v/>
      </c>
      <c r="C265">
        <f>IFERROR(INDEX(RawBits!$G:$G,MATCH($A265,RawBits!$H:$H,0)),"")</f>
        <v/>
      </c>
      <c r="D265">
        <f>IFERROR(IF(AND(A265&gt;=129,A265&lt;=2176),INDEX(Fields!$B$2:$B$206,MATCH(A265-129,Fields!$D$2:$D$206,1)),""),"")</f>
        <v/>
      </c>
      <c r="E265">
        <f>IFERROR(IF(AND(A265&gt;=129,A265&lt;=2176),INDEX(Fields!$C$2:$C$206,MATCH(A265-129,Fields!$D$2:$D$206,1)),""),"")</f>
        <v/>
      </c>
    </row>
    <row r="266">
      <c r="A266" t="n">
        <v>265</v>
      </c>
      <c r="B266">
        <f>IFERROR(INDEX(RawBits!$A:$A,MATCH($A266,RawBits!$H:$H,0)),"?")</f>
        <v/>
      </c>
      <c r="C266">
        <f>IFERROR(INDEX(RawBits!$G:$G,MATCH($A266,RawBits!$H:$H,0)),"")</f>
        <v/>
      </c>
      <c r="D266">
        <f>IFERROR(IF(AND(A266&gt;=129,A266&lt;=2176),INDEX(Fields!$B$2:$B$206,MATCH(A266-129,Fields!$D$2:$D$206,1)),""),"")</f>
        <v/>
      </c>
      <c r="E266">
        <f>IFERROR(IF(AND(A266&gt;=129,A266&lt;=2176),INDEX(Fields!$C$2:$C$206,MATCH(A266-129,Fields!$D$2:$D$206,1)),""),"")</f>
        <v/>
      </c>
    </row>
    <row r="267">
      <c r="A267" t="n">
        <v>266</v>
      </c>
      <c r="B267">
        <f>IFERROR(INDEX(RawBits!$A:$A,MATCH($A267,RawBits!$H:$H,0)),"?")</f>
        <v/>
      </c>
      <c r="C267">
        <f>IFERROR(INDEX(RawBits!$G:$G,MATCH($A267,RawBits!$H:$H,0)),"")</f>
        <v/>
      </c>
      <c r="D267">
        <f>IFERROR(IF(AND(A267&gt;=129,A267&lt;=2176),INDEX(Fields!$B$2:$B$206,MATCH(A267-129,Fields!$D$2:$D$206,1)),""),"")</f>
        <v/>
      </c>
      <c r="E267">
        <f>IFERROR(IF(AND(A267&gt;=129,A267&lt;=2176),INDEX(Fields!$C$2:$C$206,MATCH(A267-129,Fields!$D$2:$D$206,1)),""),"")</f>
        <v/>
      </c>
    </row>
    <row r="268">
      <c r="A268" t="n">
        <v>267</v>
      </c>
      <c r="B268">
        <f>IFERROR(INDEX(RawBits!$A:$A,MATCH($A268,RawBits!$H:$H,0)),"?")</f>
        <v/>
      </c>
      <c r="C268">
        <f>IFERROR(INDEX(RawBits!$G:$G,MATCH($A268,RawBits!$H:$H,0)),"")</f>
        <v/>
      </c>
      <c r="D268">
        <f>IFERROR(IF(AND(A268&gt;=129,A268&lt;=2176),INDEX(Fields!$B$2:$B$206,MATCH(A268-129,Fields!$D$2:$D$206,1)),""),"")</f>
        <v/>
      </c>
      <c r="E268">
        <f>IFERROR(IF(AND(A268&gt;=129,A268&lt;=2176),INDEX(Fields!$C$2:$C$206,MATCH(A268-129,Fields!$D$2:$D$206,1)),""),"")</f>
        <v/>
      </c>
    </row>
    <row r="269">
      <c r="A269" t="n">
        <v>268</v>
      </c>
      <c r="B269">
        <f>IFERROR(INDEX(RawBits!$A:$A,MATCH($A269,RawBits!$H:$H,0)),"?")</f>
        <v/>
      </c>
      <c r="C269">
        <f>IFERROR(INDEX(RawBits!$G:$G,MATCH($A269,RawBits!$H:$H,0)),"")</f>
        <v/>
      </c>
      <c r="D269">
        <f>IFERROR(IF(AND(A269&gt;=129,A269&lt;=2176),INDEX(Fields!$B$2:$B$206,MATCH(A269-129,Fields!$D$2:$D$206,1)),""),"")</f>
        <v/>
      </c>
      <c r="E269">
        <f>IFERROR(IF(AND(A269&gt;=129,A269&lt;=2176),INDEX(Fields!$C$2:$C$206,MATCH(A269-129,Fields!$D$2:$D$206,1)),""),"")</f>
        <v/>
      </c>
    </row>
    <row r="270">
      <c r="A270" t="n">
        <v>269</v>
      </c>
      <c r="B270">
        <f>IFERROR(INDEX(RawBits!$A:$A,MATCH($A270,RawBits!$H:$H,0)),"?")</f>
        <v/>
      </c>
      <c r="C270">
        <f>IFERROR(INDEX(RawBits!$G:$G,MATCH($A270,RawBits!$H:$H,0)),"")</f>
        <v/>
      </c>
      <c r="D270">
        <f>IFERROR(IF(AND(A270&gt;=129,A270&lt;=2176),INDEX(Fields!$B$2:$B$206,MATCH(A270-129,Fields!$D$2:$D$206,1)),""),"")</f>
        <v/>
      </c>
      <c r="E270">
        <f>IFERROR(IF(AND(A270&gt;=129,A270&lt;=2176),INDEX(Fields!$C$2:$C$206,MATCH(A270-129,Fields!$D$2:$D$206,1)),""),"")</f>
        <v/>
      </c>
    </row>
    <row r="271">
      <c r="A271" t="n">
        <v>270</v>
      </c>
      <c r="B271">
        <f>IFERROR(INDEX(RawBits!$A:$A,MATCH($A271,RawBits!$H:$H,0)),"?")</f>
        <v/>
      </c>
      <c r="C271">
        <f>IFERROR(INDEX(RawBits!$G:$G,MATCH($A271,RawBits!$H:$H,0)),"")</f>
        <v/>
      </c>
      <c r="D271">
        <f>IFERROR(IF(AND(A271&gt;=129,A271&lt;=2176),INDEX(Fields!$B$2:$B$206,MATCH(A271-129,Fields!$D$2:$D$206,1)),""),"")</f>
        <v/>
      </c>
      <c r="E271">
        <f>IFERROR(IF(AND(A271&gt;=129,A271&lt;=2176),INDEX(Fields!$C$2:$C$206,MATCH(A271-129,Fields!$D$2:$D$206,1)),""),"")</f>
        <v/>
      </c>
    </row>
    <row r="272">
      <c r="A272" t="n">
        <v>271</v>
      </c>
      <c r="B272">
        <f>IFERROR(INDEX(RawBits!$A:$A,MATCH($A272,RawBits!$H:$H,0)),"?")</f>
        <v/>
      </c>
      <c r="C272">
        <f>IFERROR(INDEX(RawBits!$G:$G,MATCH($A272,RawBits!$H:$H,0)),"")</f>
        <v/>
      </c>
      <c r="D272">
        <f>IFERROR(IF(AND(A272&gt;=129,A272&lt;=2176),INDEX(Fields!$B$2:$B$206,MATCH(A272-129,Fields!$D$2:$D$206,1)),""),"")</f>
        <v/>
      </c>
      <c r="E272">
        <f>IFERROR(IF(AND(A272&gt;=129,A272&lt;=2176),INDEX(Fields!$C$2:$C$206,MATCH(A272-129,Fields!$D$2:$D$206,1)),""),"")</f>
        <v/>
      </c>
    </row>
    <row r="273">
      <c r="A273" t="n">
        <v>272</v>
      </c>
      <c r="B273">
        <f>IFERROR(INDEX(RawBits!$A:$A,MATCH($A273,RawBits!$H:$H,0)),"?")</f>
        <v/>
      </c>
      <c r="C273">
        <f>IFERROR(INDEX(RawBits!$G:$G,MATCH($A273,RawBits!$H:$H,0)),"")</f>
        <v/>
      </c>
      <c r="D273">
        <f>IFERROR(IF(AND(A273&gt;=129,A273&lt;=2176),INDEX(Fields!$B$2:$B$206,MATCH(A273-129,Fields!$D$2:$D$206,1)),""),"")</f>
        <v/>
      </c>
      <c r="E273">
        <f>IFERROR(IF(AND(A273&gt;=129,A273&lt;=2176),INDEX(Fields!$C$2:$C$206,MATCH(A273-129,Fields!$D$2:$D$206,1)),""),"")</f>
        <v/>
      </c>
    </row>
    <row r="274">
      <c r="A274" t="n">
        <v>273</v>
      </c>
      <c r="B274">
        <f>IFERROR(INDEX(RawBits!$A:$A,MATCH($A274,RawBits!$H:$H,0)),"?")</f>
        <v/>
      </c>
      <c r="C274">
        <f>IFERROR(INDEX(RawBits!$G:$G,MATCH($A274,RawBits!$H:$H,0)),"")</f>
        <v/>
      </c>
      <c r="D274">
        <f>IFERROR(IF(AND(A274&gt;=129,A274&lt;=2176),INDEX(Fields!$B$2:$B$206,MATCH(A274-129,Fields!$D$2:$D$206,1)),""),"")</f>
        <v/>
      </c>
      <c r="E274">
        <f>IFERROR(IF(AND(A274&gt;=129,A274&lt;=2176),INDEX(Fields!$C$2:$C$206,MATCH(A274-129,Fields!$D$2:$D$206,1)),""),"")</f>
        <v/>
      </c>
    </row>
    <row r="275">
      <c r="A275" t="n">
        <v>274</v>
      </c>
      <c r="B275">
        <f>IFERROR(INDEX(RawBits!$A:$A,MATCH($A275,RawBits!$H:$H,0)),"?")</f>
        <v/>
      </c>
      <c r="C275">
        <f>IFERROR(INDEX(RawBits!$G:$G,MATCH($A275,RawBits!$H:$H,0)),"")</f>
        <v/>
      </c>
      <c r="D275">
        <f>IFERROR(IF(AND(A275&gt;=129,A275&lt;=2176),INDEX(Fields!$B$2:$B$206,MATCH(A275-129,Fields!$D$2:$D$206,1)),""),"")</f>
        <v/>
      </c>
      <c r="E275">
        <f>IFERROR(IF(AND(A275&gt;=129,A275&lt;=2176),INDEX(Fields!$C$2:$C$206,MATCH(A275-129,Fields!$D$2:$D$206,1)),""),"")</f>
        <v/>
      </c>
    </row>
    <row r="276">
      <c r="A276" t="n">
        <v>275</v>
      </c>
      <c r="B276">
        <f>IFERROR(INDEX(RawBits!$A:$A,MATCH($A276,RawBits!$H:$H,0)),"?")</f>
        <v/>
      </c>
      <c r="C276">
        <f>IFERROR(INDEX(RawBits!$G:$G,MATCH($A276,RawBits!$H:$H,0)),"")</f>
        <v/>
      </c>
      <c r="D276">
        <f>IFERROR(IF(AND(A276&gt;=129,A276&lt;=2176),INDEX(Fields!$B$2:$B$206,MATCH(A276-129,Fields!$D$2:$D$206,1)),""),"")</f>
        <v/>
      </c>
      <c r="E276">
        <f>IFERROR(IF(AND(A276&gt;=129,A276&lt;=2176),INDEX(Fields!$C$2:$C$206,MATCH(A276-129,Fields!$D$2:$D$206,1)),""),"")</f>
        <v/>
      </c>
    </row>
    <row r="277">
      <c r="A277" t="n">
        <v>276</v>
      </c>
      <c r="B277">
        <f>IFERROR(INDEX(RawBits!$A:$A,MATCH($A277,RawBits!$H:$H,0)),"?")</f>
        <v/>
      </c>
      <c r="C277">
        <f>IFERROR(INDEX(RawBits!$G:$G,MATCH($A277,RawBits!$H:$H,0)),"")</f>
        <v/>
      </c>
      <c r="D277">
        <f>IFERROR(IF(AND(A277&gt;=129,A277&lt;=2176),INDEX(Fields!$B$2:$B$206,MATCH(A277-129,Fields!$D$2:$D$206,1)),""),"")</f>
        <v/>
      </c>
      <c r="E277">
        <f>IFERROR(IF(AND(A277&gt;=129,A277&lt;=2176),INDEX(Fields!$C$2:$C$206,MATCH(A277-129,Fields!$D$2:$D$206,1)),""),"")</f>
        <v/>
      </c>
    </row>
    <row r="278">
      <c r="A278" t="n">
        <v>277</v>
      </c>
      <c r="B278">
        <f>IFERROR(INDEX(RawBits!$A:$A,MATCH($A278,RawBits!$H:$H,0)),"?")</f>
        <v/>
      </c>
      <c r="C278">
        <f>IFERROR(INDEX(RawBits!$G:$G,MATCH($A278,RawBits!$H:$H,0)),"")</f>
        <v/>
      </c>
      <c r="D278">
        <f>IFERROR(IF(AND(A278&gt;=129,A278&lt;=2176),INDEX(Fields!$B$2:$B$206,MATCH(A278-129,Fields!$D$2:$D$206,1)),""),"")</f>
        <v/>
      </c>
      <c r="E278">
        <f>IFERROR(IF(AND(A278&gt;=129,A278&lt;=2176),INDEX(Fields!$C$2:$C$206,MATCH(A278-129,Fields!$D$2:$D$206,1)),""),"")</f>
        <v/>
      </c>
    </row>
    <row r="279">
      <c r="A279" t="n">
        <v>278</v>
      </c>
      <c r="B279">
        <f>IFERROR(INDEX(RawBits!$A:$A,MATCH($A279,RawBits!$H:$H,0)),"?")</f>
        <v/>
      </c>
      <c r="C279">
        <f>IFERROR(INDEX(RawBits!$G:$G,MATCH($A279,RawBits!$H:$H,0)),"")</f>
        <v/>
      </c>
      <c r="D279">
        <f>IFERROR(IF(AND(A279&gt;=129,A279&lt;=2176),INDEX(Fields!$B$2:$B$206,MATCH(A279-129,Fields!$D$2:$D$206,1)),""),"")</f>
        <v/>
      </c>
      <c r="E279">
        <f>IFERROR(IF(AND(A279&gt;=129,A279&lt;=2176),INDEX(Fields!$C$2:$C$206,MATCH(A279-129,Fields!$D$2:$D$206,1)),""),"")</f>
        <v/>
      </c>
    </row>
    <row r="280">
      <c r="A280" t="n">
        <v>279</v>
      </c>
      <c r="B280">
        <f>IFERROR(INDEX(RawBits!$A:$A,MATCH($A280,RawBits!$H:$H,0)),"?")</f>
        <v/>
      </c>
      <c r="C280">
        <f>IFERROR(INDEX(RawBits!$G:$G,MATCH($A280,RawBits!$H:$H,0)),"")</f>
        <v/>
      </c>
      <c r="D280">
        <f>IFERROR(IF(AND(A280&gt;=129,A280&lt;=2176),INDEX(Fields!$B$2:$B$206,MATCH(A280-129,Fields!$D$2:$D$206,1)),""),"")</f>
        <v/>
      </c>
      <c r="E280">
        <f>IFERROR(IF(AND(A280&gt;=129,A280&lt;=2176),INDEX(Fields!$C$2:$C$206,MATCH(A280-129,Fields!$D$2:$D$206,1)),""),"")</f>
        <v/>
      </c>
    </row>
    <row r="281">
      <c r="A281" t="n">
        <v>280</v>
      </c>
      <c r="B281">
        <f>IFERROR(INDEX(RawBits!$A:$A,MATCH($A281,RawBits!$H:$H,0)),"?")</f>
        <v/>
      </c>
      <c r="C281">
        <f>IFERROR(INDEX(RawBits!$G:$G,MATCH($A281,RawBits!$H:$H,0)),"")</f>
        <v/>
      </c>
      <c r="D281">
        <f>IFERROR(IF(AND(A281&gt;=129,A281&lt;=2176),INDEX(Fields!$B$2:$B$206,MATCH(A281-129,Fields!$D$2:$D$206,1)),""),"")</f>
        <v/>
      </c>
      <c r="E281">
        <f>IFERROR(IF(AND(A281&gt;=129,A281&lt;=2176),INDEX(Fields!$C$2:$C$206,MATCH(A281-129,Fields!$D$2:$D$206,1)),""),"")</f>
        <v/>
      </c>
    </row>
    <row r="282">
      <c r="A282" t="n">
        <v>281</v>
      </c>
      <c r="B282">
        <f>IFERROR(INDEX(RawBits!$A:$A,MATCH($A282,RawBits!$H:$H,0)),"?")</f>
        <v/>
      </c>
      <c r="C282">
        <f>IFERROR(INDEX(RawBits!$G:$G,MATCH($A282,RawBits!$H:$H,0)),"")</f>
        <v/>
      </c>
      <c r="D282">
        <f>IFERROR(IF(AND(A282&gt;=129,A282&lt;=2176),INDEX(Fields!$B$2:$B$206,MATCH(A282-129,Fields!$D$2:$D$206,1)),""),"")</f>
        <v/>
      </c>
      <c r="E282">
        <f>IFERROR(IF(AND(A282&gt;=129,A282&lt;=2176),INDEX(Fields!$C$2:$C$206,MATCH(A282-129,Fields!$D$2:$D$206,1)),""),"")</f>
        <v/>
      </c>
    </row>
    <row r="283">
      <c r="A283" t="n">
        <v>282</v>
      </c>
      <c r="B283">
        <f>IFERROR(INDEX(RawBits!$A:$A,MATCH($A283,RawBits!$H:$H,0)),"?")</f>
        <v/>
      </c>
      <c r="C283">
        <f>IFERROR(INDEX(RawBits!$G:$G,MATCH($A283,RawBits!$H:$H,0)),"")</f>
        <v/>
      </c>
      <c r="D283">
        <f>IFERROR(IF(AND(A283&gt;=129,A283&lt;=2176),INDEX(Fields!$B$2:$B$206,MATCH(A283-129,Fields!$D$2:$D$206,1)),""),"")</f>
        <v/>
      </c>
      <c r="E283">
        <f>IFERROR(IF(AND(A283&gt;=129,A283&lt;=2176),INDEX(Fields!$C$2:$C$206,MATCH(A283-129,Fields!$D$2:$D$206,1)),""),"")</f>
        <v/>
      </c>
    </row>
    <row r="284">
      <c r="A284" t="n">
        <v>283</v>
      </c>
      <c r="B284">
        <f>IFERROR(INDEX(RawBits!$A:$A,MATCH($A284,RawBits!$H:$H,0)),"?")</f>
        <v/>
      </c>
      <c r="C284">
        <f>IFERROR(INDEX(RawBits!$G:$G,MATCH($A284,RawBits!$H:$H,0)),"")</f>
        <v/>
      </c>
      <c r="D284">
        <f>IFERROR(IF(AND(A284&gt;=129,A284&lt;=2176),INDEX(Fields!$B$2:$B$206,MATCH(A284-129,Fields!$D$2:$D$206,1)),""),"")</f>
        <v/>
      </c>
      <c r="E284">
        <f>IFERROR(IF(AND(A284&gt;=129,A284&lt;=2176),INDEX(Fields!$C$2:$C$206,MATCH(A284-129,Fields!$D$2:$D$206,1)),""),"")</f>
        <v/>
      </c>
    </row>
    <row r="285">
      <c r="A285" t="n">
        <v>284</v>
      </c>
      <c r="B285">
        <f>IFERROR(INDEX(RawBits!$A:$A,MATCH($A285,RawBits!$H:$H,0)),"?")</f>
        <v/>
      </c>
      <c r="C285">
        <f>IFERROR(INDEX(RawBits!$G:$G,MATCH($A285,RawBits!$H:$H,0)),"")</f>
        <v/>
      </c>
      <c r="D285">
        <f>IFERROR(IF(AND(A285&gt;=129,A285&lt;=2176),INDEX(Fields!$B$2:$B$206,MATCH(A285-129,Fields!$D$2:$D$206,1)),""),"")</f>
        <v/>
      </c>
      <c r="E285">
        <f>IFERROR(IF(AND(A285&gt;=129,A285&lt;=2176),INDEX(Fields!$C$2:$C$206,MATCH(A285-129,Fields!$D$2:$D$206,1)),""),"")</f>
        <v/>
      </c>
    </row>
    <row r="286">
      <c r="A286" t="n">
        <v>285</v>
      </c>
      <c r="B286">
        <f>IFERROR(INDEX(RawBits!$A:$A,MATCH($A286,RawBits!$H:$H,0)),"?")</f>
        <v/>
      </c>
      <c r="C286">
        <f>IFERROR(INDEX(RawBits!$G:$G,MATCH($A286,RawBits!$H:$H,0)),"")</f>
        <v/>
      </c>
      <c r="D286">
        <f>IFERROR(IF(AND(A286&gt;=129,A286&lt;=2176),INDEX(Fields!$B$2:$B$206,MATCH(A286-129,Fields!$D$2:$D$206,1)),""),"")</f>
        <v/>
      </c>
      <c r="E286">
        <f>IFERROR(IF(AND(A286&gt;=129,A286&lt;=2176),INDEX(Fields!$C$2:$C$206,MATCH(A286-129,Fields!$D$2:$D$206,1)),""),"")</f>
        <v/>
      </c>
    </row>
    <row r="287">
      <c r="A287" t="n">
        <v>286</v>
      </c>
      <c r="B287">
        <f>IFERROR(INDEX(RawBits!$A:$A,MATCH($A287,RawBits!$H:$H,0)),"?")</f>
        <v/>
      </c>
      <c r="C287">
        <f>IFERROR(INDEX(RawBits!$G:$G,MATCH($A287,RawBits!$H:$H,0)),"")</f>
        <v/>
      </c>
      <c r="D287">
        <f>IFERROR(IF(AND(A287&gt;=129,A287&lt;=2176),INDEX(Fields!$B$2:$B$206,MATCH(A287-129,Fields!$D$2:$D$206,1)),""),"")</f>
        <v/>
      </c>
      <c r="E287">
        <f>IFERROR(IF(AND(A287&gt;=129,A287&lt;=2176),INDEX(Fields!$C$2:$C$206,MATCH(A287-129,Fields!$D$2:$D$206,1)),""),"")</f>
        <v/>
      </c>
    </row>
    <row r="288">
      <c r="A288" t="n">
        <v>287</v>
      </c>
      <c r="B288">
        <f>IFERROR(INDEX(RawBits!$A:$A,MATCH($A288,RawBits!$H:$H,0)),"?")</f>
        <v/>
      </c>
      <c r="C288">
        <f>IFERROR(INDEX(RawBits!$G:$G,MATCH($A288,RawBits!$H:$H,0)),"")</f>
        <v/>
      </c>
      <c r="D288">
        <f>IFERROR(IF(AND(A288&gt;=129,A288&lt;=2176),INDEX(Fields!$B$2:$B$206,MATCH(A288-129,Fields!$D$2:$D$206,1)),""),"")</f>
        <v/>
      </c>
      <c r="E288">
        <f>IFERROR(IF(AND(A288&gt;=129,A288&lt;=2176),INDEX(Fields!$C$2:$C$206,MATCH(A288-129,Fields!$D$2:$D$206,1)),""),"")</f>
        <v/>
      </c>
    </row>
    <row r="289">
      <c r="A289" t="n">
        <v>288</v>
      </c>
      <c r="B289">
        <f>IFERROR(INDEX(RawBits!$A:$A,MATCH($A289,RawBits!$H:$H,0)),"?")</f>
        <v/>
      </c>
      <c r="C289">
        <f>IFERROR(INDEX(RawBits!$G:$G,MATCH($A289,RawBits!$H:$H,0)),"")</f>
        <v/>
      </c>
      <c r="D289">
        <f>IFERROR(IF(AND(A289&gt;=129,A289&lt;=2176),INDEX(Fields!$B$2:$B$206,MATCH(A289-129,Fields!$D$2:$D$206,1)),""),"")</f>
        <v/>
      </c>
      <c r="E289">
        <f>IFERROR(IF(AND(A289&gt;=129,A289&lt;=2176),INDEX(Fields!$C$2:$C$206,MATCH(A289-129,Fields!$D$2:$D$206,1)),""),"")</f>
        <v/>
      </c>
    </row>
    <row r="290">
      <c r="A290" t="n">
        <v>289</v>
      </c>
      <c r="B290">
        <f>IFERROR(INDEX(RawBits!$A:$A,MATCH($A290,RawBits!$H:$H,0)),"?")</f>
        <v/>
      </c>
      <c r="C290">
        <f>IFERROR(INDEX(RawBits!$G:$G,MATCH($A290,RawBits!$H:$H,0)),"")</f>
        <v/>
      </c>
      <c r="D290">
        <f>IFERROR(IF(AND(A290&gt;=129,A290&lt;=2176),INDEX(Fields!$B$2:$B$206,MATCH(A290-129,Fields!$D$2:$D$206,1)),""),"")</f>
        <v/>
      </c>
      <c r="E290">
        <f>IFERROR(IF(AND(A290&gt;=129,A290&lt;=2176),INDEX(Fields!$C$2:$C$206,MATCH(A290-129,Fields!$D$2:$D$206,1)),""),"")</f>
        <v/>
      </c>
    </row>
    <row r="291">
      <c r="A291" t="n">
        <v>290</v>
      </c>
      <c r="B291">
        <f>IFERROR(INDEX(RawBits!$A:$A,MATCH($A291,RawBits!$H:$H,0)),"?")</f>
        <v/>
      </c>
      <c r="C291">
        <f>IFERROR(INDEX(RawBits!$G:$G,MATCH($A291,RawBits!$H:$H,0)),"")</f>
        <v/>
      </c>
      <c r="D291">
        <f>IFERROR(IF(AND(A291&gt;=129,A291&lt;=2176),INDEX(Fields!$B$2:$B$206,MATCH(A291-129,Fields!$D$2:$D$206,1)),""),"")</f>
        <v/>
      </c>
      <c r="E291">
        <f>IFERROR(IF(AND(A291&gt;=129,A291&lt;=2176),INDEX(Fields!$C$2:$C$206,MATCH(A291-129,Fields!$D$2:$D$206,1)),""),"")</f>
        <v/>
      </c>
    </row>
    <row r="292">
      <c r="A292" t="n">
        <v>291</v>
      </c>
      <c r="B292">
        <f>IFERROR(INDEX(RawBits!$A:$A,MATCH($A292,RawBits!$H:$H,0)),"?")</f>
        <v/>
      </c>
      <c r="C292">
        <f>IFERROR(INDEX(RawBits!$G:$G,MATCH($A292,RawBits!$H:$H,0)),"")</f>
        <v/>
      </c>
      <c r="D292">
        <f>IFERROR(IF(AND(A292&gt;=129,A292&lt;=2176),INDEX(Fields!$B$2:$B$206,MATCH(A292-129,Fields!$D$2:$D$206,1)),""),"")</f>
        <v/>
      </c>
      <c r="E292">
        <f>IFERROR(IF(AND(A292&gt;=129,A292&lt;=2176),INDEX(Fields!$C$2:$C$206,MATCH(A292-129,Fields!$D$2:$D$206,1)),""),"")</f>
        <v/>
      </c>
    </row>
    <row r="293">
      <c r="A293" t="n">
        <v>292</v>
      </c>
      <c r="B293">
        <f>IFERROR(INDEX(RawBits!$A:$A,MATCH($A293,RawBits!$H:$H,0)),"?")</f>
        <v/>
      </c>
      <c r="C293">
        <f>IFERROR(INDEX(RawBits!$G:$G,MATCH($A293,RawBits!$H:$H,0)),"")</f>
        <v/>
      </c>
      <c r="D293">
        <f>IFERROR(IF(AND(A293&gt;=129,A293&lt;=2176),INDEX(Fields!$B$2:$B$206,MATCH(A293-129,Fields!$D$2:$D$206,1)),""),"")</f>
        <v/>
      </c>
      <c r="E293">
        <f>IFERROR(IF(AND(A293&gt;=129,A293&lt;=2176),INDEX(Fields!$C$2:$C$206,MATCH(A293-129,Fields!$D$2:$D$206,1)),""),"")</f>
        <v/>
      </c>
    </row>
    <row r="294">
      <c r="A294" t="n">
        <v>293</v>
      </c>
      <c r="B294">
        <f>IFERROR(INDEX(RawBits!$A:$A,MATCH($A294,RawBits!$H:$H,0)),"?")</f>
        <v/>
      </c>
      <c r="C294">
        <f>IFERROR(INDEX(RawBits!$G:$G,MATCH($A294,RawBits!$H:$H,0)),"")</f>
        <v/>
      </c>
      <c r="D294">
        <f>IFERROR(IF(AND(A294&gt;=129,A294&lt;=2176),INDEX(Fields!$B$2:$B$206,MATCH(A294-129,Fields!$D$2:$D$206,1)),""),"")</f>
        <v/>
      </c>
      <c r="E294">
        <f>IFERROR(IF(AND(A294&gt;=129,A294&lt;=2176),INDEX(Fields!$C$2:$C$206,MATCH(A294-129,Fields!$D$2:$D$206,1)),""),"")</f>
        <v/>
      </c>
    </row>
    <row r="295">
      <c r="A295" t="n">
        <v>294</v>
      </c>
      <c r="B295">
        <f>IFERROR(INDEX(RawBits!$A:$A,MATCH($A295,RawBits!$H:$H,0)),"?")</f>
        <v/>
      </c>
      <c r="C295">
        <f>IFERROR(INDEX(RawBits!$G:$G,MATCH($A295,RawBits!$H:$H,0)),"")</f>
        <v/>
      </c>
      <c r="D295">
        <f>IFERROR(IF(AND(A295&gt;=129,A295&lt;=2176),INDEX(Fields!$B$2:$B$206,MATCH(A295-129,Fields!$D$2:$D$206,1)),""),"")</f>
        <v/>
      </c>
      <c r="E295">
        <f>IFERROR(IF(AND(A295&gt;=129,A295&lt;=2176),INDEX(Fields!$C$2:$C$206,MATCH(A295-129,Fields!$D$2:$D$206,1)),""),"")</f>
        <v/>
      </c>
    </row>
    <row r="296">
      <c r="A296" t="n">
        <v>295</v>
      </c>
      <c r="B296">
        <f>IFERROR(INDEX(RawBits!$A:$A,MATCH($A296,RawBits!$H:$H,0)),"?")</f>
        <v/>
      </c>
      <c r="C296">
        <f>IFERROR(INDEX(RawBits!$G:$G,MATCH($A296,RawBits!$H:$H,0)),"")</f>
        <v/>
      </c>
      <c r="D296">
        <f>IFERROR(IF(AND(A296&gt;=129,A296&lt;=2176),INDEX(Fields!$B$2:$B$206,MATCH(A296-129,Fields!$D$2:$D$206,1)),""),"")</f>
        <v/>
      </c>
      <c r="E296">
        <f>IFERROR(IF(AND(A296&gt;=129,A296&lt;=2176),INDEX(Fields!$C$2:$C$206,MATCH(A296-129,Fields!$D$2:$D$206,1)),""),"")</f>
        <v/>
      </c>
    </row>
    <row r="297">
      <c r="A297" t="n">
        <v>296</v>
      </c>
      <c r="B297">
        <f>IFERROR(INDEX(RawBits!$A:$A,MATCH($A297,RawBits!$H:$H,0)),"?")</f>
        <v/>
      </c>
      <c r="C297">
        <f>IFERROR(INDEX(RawBits!$G:$G,MATCH($A297,RawBits!$H:$H,0)),"")</f>
        <v/>
      </c>
      <c r="D297">
        <f>IFERROR(IF(AND(A297&gt;=129,A297&lt;=2176),INDEX(Fields!$B$2:$B$206,MATCH(A297-129,Fields!$D$2:$D$206,1)),""),"")</f>
        <v/>
      </c>
      <c r="E297">
        <f>IFERROR(IF(AND(A297&gt;=129,A297&lt;=2176),INDEX(Fields!$C$2:$C$206,MATCH(A297-129,Fields!$D$2:$D$206,1)),""),"")</f>
        <v/>
      </c>
    </row>
    <row r="298">
      <c r="A298" t="n">
        <v>297</v>
      </c>
      <c r="B298">
        <f>IFERROR(INDEX(RawBits!$A:$A,MATCH($A298,RawBits!$H:$H,0)),"?")</f>
        <v/>
      </c>
      <c r="C298">
        <f>IFERROR(INDEX(RawBits!$G:$G,MATCH($A298,RawBits!$H:$H,0)),"")</f>
        <v/>
      </c>
      <c r="D298">
        <f>IFERROR(IF(AND(A298&gt;=129,A298&lt;=2176),INDEX(Fields!$B$2:$B$206,MATCH(A298-129,Fields!$D$2:$D$206,1)),""),"")</f>
        <v/>
      </c>
      <c r="E298">
        <f>IFERROR(IF(AND(A298&gt;=129,A298&lt;=2176),INDEX(Fields!$C$2:$C$206,MATCH(A298-129,Fields!$D$2:$D$206,1)),""),"")</f>
        <v/>
      </c>
    </row>
    <row r="299">
      <c r="A299" t="n">
        <v>298</v>
      </c>
      <c r="B299">
        <f>IFERROR(INDEX(RawBits!$A:$A,MATCH($A299,RawBits!$H:$H,0)),"?")</f>
        <v/>
      </c>
      <c r="C299">
        <f>IFERROR(INDEX(RawBits!$G:$G,MATCH($A299,RawBits!$H:$H,0)),"")</f>
        <v/>
      </c>
      <c r="D299">
        <f>IFERROR(IF(AND(A299&gt;=129,A299&lt;=2176),INDEX(Fields!$B$2:$B$206,MATCH(A299-129,Fields!$D$2:$D$206,1)),""),"")</f>
        <v/>
      </c>
      <c r="E299">
        <f>IFERROR(IF(AND(A299&gt;=129,A299&lt;=2176),INDEX(Fields!$C$2:$C$206,MATCH(A299-129,Fields!$D$2:$D$206,1)),""),"")</f>
        <v/>
      </c>
    </row>
    <row r="300">
      <c r="A300" t="n">
        <v>299</v>
      </c>
      <c r="B300">
        <f>IFERROR(INDEX(RawBits!$A:$A,MATCH($A300,RawBits!$H:$H,0)),"?")</f>
        <v/>
      </c>
      <c r="C300">
        <f>IFERROR(INDEX(RawBits!$G:$G,MATCH($A300,RawBits!$H:$H,0)),"")</f>
        <v/>
      </c>
      <c r="D300">
        <f>IFERROR(IF(AND(A300&gt;=129,A300&lt;=2176),INDEX(Fields!$B$2:$B$206,MATCH(A300-129,Fields!$D$2:$D$206,1)),""),"")</f>
        <v/>
      </c>
      <c r="E300">
        <f>IFERROR(IF(AND(A300&gt;=129,A300&lt;=2176),INDEX(Fields!$C$2:$C$206,MATCH(A300-129,Fields!$D$2:$D$206,1)),""),"")</f>
        <v/>
      </c>
    </row>
    <row r="301">
      <c r="A301" t="n">
        <v>300</v>
      </c>
      <c r="B301">
        <f>IFERROR(INDEX(RawBits!$A:$A,MATCH($A301,RawBits!$H:$H,0)),"?")</f>
        <v/>
      </c>
      <c r="C301">
        <f>IFERROR(INDEX(RawBits!$G:$G,MATCH($A301,RawBits!$H:$H,0)),"")</f>
        <v/>
      </c>
      <c r="D301">
        <f>IFERROR(IF(AND(A301&gt;=129,A301&lt;=2176),INDEX(Fields!$B$2:$B$206,MATCH(A301-129,Fields!$D$2:$D$206,1)),""),"")</f>
        <v/>
      </c>
      <c r="E301">
        <f>IFERROR(IF(AND(A301&gt;=129,A301&lt;=2176),INDEX(Fields!$C$2:$C$206,MATCH(A301-129,Fields!$D$2:$D$206,1)),""),"")</f>
        <v/>
      </c>
    </row>
    <row r="302">
      <c r="A302" t="n">
        <v>301</v>
      </c>
      <c r="B302">
        <f>IFERROR(INDEX(RawBits!$A:$A,MATCH($A302,RawBits!$H:$H,0)),"?")</f>
        <v/>
      </c>
      <c r="C302">
        <f>IFERROR(INDEX(RawBits!$G:$G,MATCH($A302,RawBits!$H:$H,0)),"")</f>
        <v/>
      </c>
      <c r="D302">
        <f>IFERROR(IF(AND(A302&gt;=129,A302&lt;=2176),INDEX(Fields!$B$2:$B$206,MATCH(A302-129,Fields!$D$2:$D$206,1)),""),"")</f>
        <v/>
      </c>
      <c r="E302">
        <f>IFERROR(IF(AND(A302&gt;=129,A302&lt;=2176),INDEX(Fields!$C$2:$C$206,MATCH(A302-129,Fields!$D$2:$D$206,1)),""),"")</f>
        <v/>
      </c>
    </row>
    <row r="303">
      <c r="A303" t="n">
        <v>302</v>
      </c>
      <c r="B303">
        <f>IFERROR(INDEX(RawBits!$A:$A,MATCH($A303,RawBits!$H:$H,0)),"?")</f>
        <v/>
      </c>
      <c r="C303">
        <f>IFERROR(INDEX(RawBits!$G:$G,MATCH($A303,RawBits!$H:$H,0)),"")</f>
        <v/>
      </c>
      <c r="D303">
        <f>IFERROR(IF(AND(A303&gt;=129,A303&lt;=2176),INDEX(Fields!$B$2:$B$206,MATCH(A303-129,Fields!$D$2:$D$206,1)),""),"")</f>
        <v/>
      </c>
      <c r="E303">
        <f>IFERROR(IF(AND(A303&gt;=129,A303&lt;=2176),INDEX(Fields!$C$2:$C$206,MATCH(A303-129,Fields!$D$2:$D$206,1)),""),"")</f>
        <v/>
      </c>
    </row>
    <row r="304">
      <c r="A304" t="n">
        <v>303</v>
      </c>
      <c r="B304">
        <f>IFERROR(INDEX(RawBits!$A:$A,MATCH($A304,RawBits!$H:$H,0)),"?")</f>
        <v/>
      </c>
      <c r="C304">
        <f>IFERROR(INDEX(RawBits!$G:$G,MATCH($A304,RawBits!$H:$H,0)),"")</f>
        <v/>
      </c>
      <c r="D304">
        <f>IFERROR(IF(AND(A304&gt;=129,A304&lt;=2176),INDEX(Fields!$B$2:$B$206,MATCH(A304-129,Fields!$D$2:$D$206,1)),""),"")</f>
        <v/>
      </c>
      <c r="E304">
        <f>IFERROR(IF(AND(A304&gt;=129,A304&lt;=2176),INDEX(Fields!$C$2:$C$206,MATCH(A304-129,Fields!$D$2:$D$206,1)),""),"")</f>
        <v/>
      </c>
    </row>
    <row r="305">
      <c r="A305" t="n">
        <v>304</v>
      </c>
      <c r="B305">
        <f>IFERROR(INDEX(RawBits!$A:$A,MATCH($A305,RawBits!$H:$H,0)),"?")</f>
        <v/>
      </c>
      <c r="C305">
        <f>IFERROR(INDEX(RawBits!$G:$G,MATCH($A305,RawBits!$H:$H,0)),"")</f>
        <v/>
      </c>
      <c r="D305">
        <f>IFERROR(IF(AND(A305&gt;=129,A305&lt;=2176),INDEX(Fields!$B$2:$B$206,MATCH(A305-129,Fields!$D$2:$D$206,1)),""),"")</f>
        <v/>
      </c>
      <c r="E305">
        <f>IFERROR(IF(AND(A305&gt;=129,A305&lt;=2176),INDEX(Fields!$C$2:$C$206,MATCH(A305-129,Fields!$D$2:$D$206,1)),""),"")</f>
        <v/>
      </c>
    </row>
    <row r="306">
      <c r="A306" t="n">
        <v>305</v>
      </c>
      <c r="B306">
        <f>IFERROR(INDEX(RawBits!$A:$A,MATCH($A306,RawBits!$H:$H,0)),"?")</f>
        <v/>
      </c>
      <c r="C306">
        <f>IFERROR(INDEX(RawBits!$G:$G,MATCH($A306,RawBits!$H:$H,0)),"")</f>
        <v/>
      </c>
      <c r="D306">
        <f>IFERROR(IF(AND(A306&gt;=129,A306&lt;=2176),INDEX(Fields!$B$2:$B$206,MATCH(A306-129,Fields!$D$2:$D$206,1)),""),"")</f>
        <v/>
      </c>
      <c r="E306">
        <f>IFERROR(IF(AND(A306&gt;=129,A306&lt;=2176),INDEX(Fields!$C$2:$C$206,MATCH(A306-129,Fields!$D$2:$D$206,1)),""),"")</f>
        <v/>
      </c>
    </row>
    <row r="307">
      <c r="A307" t="n">
        <v>306</v>
      </c>
      <c r="B307">
        <f>IFERROR(INDEX(RawBits!$A:$A,MATCH($A307,RawBits!$H:$H,0)),"?")</f>
        <v/>
      </c>
      <c r="C307">
        <f>IFERROR(INDEX(RawBits!$G:$G,MATCH($A307,RawBits!$H:$H,0)),"")</f>
        <v/>
      </c>
      <c r="D307">
        <f>IFERROR(IF(AND(A307&gt;=129,A307&lt;=2176),INDEX(Fields!$B$2:$B$206,MATCH(A307-129,Fields!$D$2:$D$206,1)),""),"")</f>
        <v/>
      </c>
      <c r="E307">
        <f>IFERROR(IF(AND(A307&gt;=129,A307&lt;=2176),INDEX(Fields!$C$2:$C$206,MATCH(A307-129,Fields!$D$2:$D$206,1)),""),"")</f>
        <v/>
      </c>
    </row>
    <row r="308">
      <c r="A308" t="n">
        <v>307</v>
      </c>
      <c r="B308">
        <f>IFERROR(INDEX(RawBits!$A:$A,MATCH($A308,RawBits!$H:$H,0)),"?")</f>
        <v/>
      </c>
      <c r="C308">
        <f>IFERROR(INDEX(RawBits!$G:$G,MATCH($A308,RawBits!$H:$H,0)),"")</f>
        <v/>
      </c>
      <c r="D308">
        <f>IFERROR(IF(AND(A308&gt;=129,A308&lt;=2176),INDEX(Fields!$B$2:$B$206,MATCH(A308-129,Fields!$D$2:$D$206,1)),""),"")</f>
        <v/>
      </c>
      <c r="E308">
        <f>IFERROR(IF(AND(A308&gt;=129,A308&lt;=2176),INDEX(Fields!$C$2:$C$206,MATCH(A308-129,Fields!$D$2:$D$206,1)),""),"")</f>
        <v/>
      </c>
    </row>
    <row r="309">
      <c r="A309" t="n">
        <v>308</v>
      </c>
      <c r="B309">
        <f>IFERROR(INDEX(RawBits!$A:$A,MATCH($A309,RawBits!$H:$H,0)),"?")</f>
        <v/>
      </c>
      <c r="C309">
        <f>IFERROR(INDEX(RawBits!$G:$G,MATCH($A309,RawBits!$H:$H,0)),"")</f>
        <v/>
      </c>
      <c r="D309">
        <f>IFERROR(IF(AND(A309&gt;=129,A309&lt;=2176),INDEX(Fields!$B$2:$B$206,MATCH(A309-129,Fields!$D$2:$D$206,1)),""),"")</f>
        <v/>
      </c>
      <c r="E309">
        <f>IFERROR(IF(AND(A309&gt;=129,A309&lt;=2176),INDEX(Fields!$C$2:$C$206,MATCH(A309-129,Fields!$D$2:$D$206,1)),""),"")</f>
        <v/>
      </c>
    </row>
    <row r="310">
      <c r="A310" t="n">
        <v>309</v>
      </c>
      <c r="B310">
        <f>IFERROR(INDEX(RawBits!$A:$A,MATCH($A310,RawBits!$H:$H,0)),"?")</f>
        <v/>
      </c>
      <c r="C310">
        <f>IFERROR(INDEX(RawBits!$G:$G,MATCH($A310,RawBits!$H:$H,0)),"")</f>
        <v/>
      </c>
      <c r="D310">
        <f>IFERROR(IF(AND(A310&gt;=129,A310&lt;=2176),INDEX(Fields!$B$2:$B$206,MATCH(A310-129,Fields!$D$2:$D$206,1)),""),"")</f>
        <v/>
      </c>
      <c r="E310">
        <f>IFERROR(IF(AND(A310&gt;=129,A310&lt;=2176),INDEX(Fields!$C$2:$C$206,MATCH(A310-129,Fields!$D$2:$D$206,1)),""),"")</f>
        <v/>
      </c>
    </row>
    <row r="311">
      <c r="A311" t="n">
        <v>310</v>
      </c>
      <c r="B311">
        <f>IFERROR(INDEX(RawBits!$A:$A,MATCH($A311,RawBits!$H:$H,0)),"?")</f>
        <v/>
      </c>
      <c r="C311">
        <f>IFERROR(INDEX(RawBits!$G:$G,MATCH($A311,RawBits!$H:$H,0)),"")</f>
        <v/>
      </c>
      <c r="D311">
        <f>IFERROR(IF(AND(A311&gt;=129,A311&lt;=2176),INDEX(Fields!$B$2:$B$206,MATCH(A311-129,Fields!$D$2:$D$206,1)),""),"")</f>
        <v/>
      </c>
      <c r="E311">
        <f>IFERROR(IF(AND(A311&gt;=129,A311&lt;=2176),INDEX(Fields!$C$2:$C$206,MATCH(A311-129,Fields!$D$2:$D$206,1)),""),"")</f>
        <v/>
      </c>
    </row>
    <row r="312">
      <c r="A312" t="n">
        <v>311</v>
      </c>
      <c r="B312">
        <f>IFERROR(INDEX(RawBits!$A:$A,MATCH($A312,RawBits!$H:$H,0)),"?")</f>
        <v/>
      </c>
      <c r="C312">
        <f>IFERROR(INDEX(RawBits!$G:$G,MATCH($A312,RawBits!$H:$H,0)),"")</f>
        <v/>
      </c>
      <c r="D312">
        <f>IFERROR(IF(AND(A312&gt;=129,A312&lt;=2176),INDEX(Fields!$B$2:$B$206,MATCH(A312-129,Fields!$D$2:$D$206,1)),""),"")</f>
        <v/>
      </c>
      <c r="E312">
        <f>IFERROR(IF(AND(A312&gt;=129,A312&lt;=2176),INDEX(Fields!$C$2:$C$206,MATCH(A312-129,Fields!$D$2:$D$206,1)),""),"")</f>
        <v/>
      </c>
    </row>
    <row r="313">
      <c r="A313" t="n">
        <v>312</v>
      </c>
      <c r="B313">
        <f>IFERROR(INDEX(RawBits!$A:$A,MATCH($A313,RawBits!$H:$H,0)),"?")</f>
        <v/>
      </c>
      <c r="C313">
        <f>IFERROR(INDEX(RawBits!$G:$G,MATCH($A313,RawBits!$H:$H,0)),"")</f>
        <v/>
      </c>
      <c r="D313">
        <f>IFERROR(IF(AND(A313&gt;=129,A313&lt;=2176),INDEX(Fields!$B$2:$B$206,MATCH(A313-129,Fields!$D$2:$D$206,1)),""),"")</f>
        <v/>
      </c>
      <c r="E313">
        <f>IFERROR(IF(AND(A313&gt;=129,A313&lt;=2176),INDEX(Fields!$C$2:$C$206,MATCH(A313-129,Fields!$D$2:$D$206,1)),""),"")</f>
        <v/>
      </c>
    </row>
    <row r="314">
      <c r="A314" t="n">
        <v>313</v>
      </c>
      <c r="B314">
        <f>IFERROR(INDEX(RawBits!$A:$A,MATCH($A314,RawBits!$H:$H,0)),"?")</f>
        <v/>
      </c>
      <c r="C314">
        <f>IFERROR(INDEX(RawBits!$G:$G,MATCH($A314,RawBits!$H:$H,0)),"")</f>
        <v/>
      </c>
      <c r="D314">
        <f>IFERROR(IF(AND(A314&gt;=129,A314&lt;=2176),INDEX(Fields!$B$2:$B$206,MATCH(A314-129,Fields!$D$2:$D$206,1)),""),"")</f>
        <v/>
      </c>
      <c r="E314">
        <f>IFERROR(IF(AND(A314&gt;=129,A314&lt;=2176),INDEX(Fields!$C$2:$C$206,MATCH(A314-129,Fields!$D$2:$D$206,1)),""),"")</f>
        <v/>
      </c>
    </row>
    <row r="315">
      <c r="A315" t="n">
        <v>314</v>
      </c>
      <c r="B315">
        <f>IFERROR(INDEX(RawBits!$A:$A,MATCH($A315,RawBits!$H:$H,0)),"?")</f>
        <v/>
      </c>
      <c r="C315">
        <f>IFERROR(INDEX(RawBits!$G:$G,MATCH($A315,RawBits!$H:$H,0)),"")</f>
        <v/>
      </c>
      <c r="D315">
        <f>IFERROR(IF(AND(A315&gt;=129,A315&lt;=2176),INDEX(Fields!$B$2:$B$206,MATCH(A315-129,Fields!$D$2:$D$206,1)),""),"")</f>
        <v/>
      </c>
      <c r="E315">
        <f>IFERROR(IF(AND(A315&gt;=129,A315&lt;=2176),INDEX(Fields!$C$2:$C$206,MATCH(A315-129,Fields!$D$2:$D$206,1)),""),"")</f>
        <v/>
      </c>
    </row>
    <row r="316">
      <c r="A316" t="n">
        <v>315</v>
      </c>
      <c r="B316">
        <f>IFERROR(INDEX(RawBits!$A:$A,MATCH($A316,RawBits!$H:$H,0)),"?")</f>
        <v/>
      </c>
      <c r="C316">
        <f>IFERROR(INDEX(RawBits!$G:$G,MATCH($A316,RawBits!$H:$H,0)),"")</f>
        <v/>
      </c>
      <c r="D316">
        <f>IFERROR(IF(AND(A316&gt;=129,A316&lt;=2176),INDEX(Fields!$B$2:$B$206,MATCH(A316-129,Fields!$D$2:$D$206,1)),""),"")</f>
        <v/>
      </c>
      <c r="E316">
        <f>IFERROR(IF(AND(A316&gt;=129,A316&lt;=2176),INDEX(Fields!$C$2:$C$206,MATCH(A316-129,Fields!$D$2:$D$206,1)),""),"")</f>
        <v/>
      </c>
    </row>
    <row r="317">
      <c r="A317" t="n">
        <v>316</v>
      </c>
      <c r="B317">
        <f>IFERROR(INDEX(RawBits!$A:$A,MATCH($A317,RawBits!$H:$H,0)),"?")</f>
        <v/>
      </c>
      <c r="C317">
        <f>IFERROR(INDEX(RawBits!$G:$G,MATCH($A317,RawBits!$H:$H,0)),"")</f>
        <v/>
      </c>
      <c r="D317">
        <f>IFERROR(IF(AND(A317&gt;=129,A317&lt;=2176),INDEX(Fields!$B$2:$B$206,MATCH(A317-129,Fields!$D$2:$D$206,1)),""),"")</f>
        <v/>
      </c>
      <c r="E317">
        <f>IFERROR(IF(AND(A317&gt;=129,A317&lt;=2176),INDEX(Fields!$C$2:$C$206,MATCH(A317-129,Fields!$D$2:$D$206,1)),""),"")</f>
        <v/>
      </c>
    </row>
    <row r="318">
      <c r="A318" t="n">
        <v>317</v>
      </c>
      <c r="B318">
        <f>IFERROR(INDEX(RawBits!$A:$A,MATCH($A318,RawBits!$H:$H,0)),"?")</f>
        <v/>
      </c>
      <c r="C318">
        <f>IFERROR(INDEX(RawBits!$G:$G,MATCH($A318,RawBits!$H:$H,0)),"")</f>
        <v/>
      </c>
      <c r="D318">
        <f>IFERROR(IF(AND(A318&gt;=129,A318&lt;=2176),INDEX(Fields!$B$2:$B$206,MATCH(A318-129,Fields!$D$2:$D$206,1)),""),"")</f>
        <v/>
      </c>
      <c r="E318">
        <f>IFERROR(IF(AND(A318&gt;=129,A318&lt;=2176),INDEX(Fields!$C$2:$C$206,MATCH(A318-129,Fields!$D$2:$D$206,1)),""),"")</f>
        <v/>
      </c>
    </row>
    <row r="319">
      <c r="A319" t="n">
        <v>318</v>
      </c>
      <c r="B319">
        <f>IFERROR(INDEX(RawBits!$A:$A,MATCH($A319,RawBits!$H:$H,0)),"?")</f>
        <v/>
      </c>
      <c r="C319">
        <f>IFERROR(INDEX(RawBits!$G:$G,MATCH($A319,RawBits!$H:$H,0)),"")</f>
        <v/>
      </c>
      <c r="D319">
        <f>IFERROR(IF(AND(A319&gt;=129,A319&lt;=2176),INDEX(Fields!$B$2:$B$206,MATCH(A319-129,Fields!$D$2:$D$206,1)),""),"")</f>
        <v/>
      </c>
      <c r="E319">
        <f>IFERROR(IF(AND(A319&gt;=129,A319&lt;=2176),INDEX(Fields!$C$2:$C$206,MATCH(A319-129,Fields!$D$2:$D$206,1)),""),"")</f>
        <v/>
      </c>
    </row>
    <row r="320">
      <c r="A320" t="n">
        <v>319</v>
      </c>
      <c r="B320">
        <f>IFERROR(INDEX(RawBits!$A:$A,MATCH($A320,RawBits!$H:$H,0)),"?")</f>
        <v/>
      </c>
      <c r="C320">
        <f>IFERROR(INDEX(RawBits!$G:$G,MATCH($A320,RawBits!$H:$H,0)),"")</f>
        <v/>
      </c>
      <c r="D320">
        <f>IFERROR(IF(AND(A320&gt;=129,A320&lt;=2176),INDEX(Fields!$B$2:$B$206,MATCH(A320-129,Fields!$D$2:$D$206,1)),""),"")</f>
        <v/>
      </c>
      <c r="E320">
        <f>IFERROR(IF(AND(A320&gt;=129,A320&lt;=2176),INDEX(Fields!$C$2:$C$206,MATCH(A320-129,Fields!$D$2:$D$206,1)),""),"")</f>
        <v/>
      </c>
    </row>
    <row r="321">
      <c r="A321" t="n">
        <v>320</v>
      </c>
      <c r="B321">
        <f>IFERROR(INDEX(RawBits!$A:$A,MATCH($A321,RawBits!$H:$H,0)),"?")</f>
        <v/>
      </c>
      <c r="C321">
        <f>IFERROR(INDEX(RawBits!$G:$G,MATCH($A321,RawBits!$H:$H,0)),"")</f>
        <v/>
      </c>
      <c r="D321">
        <f>IFERROR(IF(AND(A321&gt;=129,A321&lt;=2176),INDEX(Fields!$B$2:$B$206,MATCH(A321-129,Fields!$D$2:$D$206,1)),""),"")</f>
        <v/>
      </c>
      <c r="E321">
        <f>IFERROR(IF(AND(A321&gt;=129,A321&lt;=2176),INDEX(Fields!$C$2:$C$206,MATCH(A321-129,Fields!$D$2:$D$206,1)),""),"")</f>
        <v/>
      </c>
    </row>
    <row r="322">
      <c r="A322" t="n">
        <v>321</v>
      </c>
      <c r="B322">
        <f>IFERROR(INDEX(RawBits!$A:$A,MATCH($A322,RawBits!$H:$H,0)),"?")</f>
        <v/>
      </c>
      <c r="C322">
        <f>IFERROR(INDEX(RawBits!$G:$G,MATCH($A322,RawBits!$H:$H,0)),"")</f>
        <v/>
      </c>
      <c r="D322">
        <f>IFERROR(IF(AND(A322&gt;=129,A322&lt;=2176),INDEX(Fields!$B$2:$B$206,MATCH(A322-129,Fields!$D$2:$D$206,1)),""),"")</f>
        <v/>
      </c>
      <c r="E322">
        <f>IFERROR(IF(AND(A322&gt;=129,A322&lt;=2176),INDEX(Fields!$C$2:$C$206,MATCH(A322-129,Fields!$D$2:$D$206,1)),""),"")</f>
        <v/>
      </c>
    </row>
    <row r="323">
      <c r="A323" t="n">
        <v>322</v>
      </c>
      <c r="B323">
        <f>IFERROR(INDEX(RawBits!$A:$A,MATCH($A323,RawBits!$H:$H,0)),"?")</f>
        <v/>
      </c>
      <c r="C323">
        <f>IFERROR(INDEX(RawBits!$G:$G,MATCH($A323,RawBits!$H:$H,0)),"")</f>
        <v/>
      </c>
      <c r="D323">
        <f>IFERROR(IF(AND(A323&gt;=129,A323&lt;=2176),INDEX(Fields!$B$2:$B$206,MATCH(A323-129,Fields!$D$2:$D$206,1)),""),"")</f>
        <v/>
      </c>
      <c r="E323">
        <f>IFERROR(IF(AND(A323&gt;=129,A323&lt;=2176),INDEX(Fields!$C$2:$C$206,MATCH(A323-129,Fields!$D$2:$D$206,1)),""),"")</f>
        <v/>
      </c>
    </row>
    <row r="324">
      <c r="A324" t="n">
        <v>323</v>
      </c>
      <c r="B324">
        <f>IFERROR(INDEX(RawBits!$A:$A,MATCH($A324,RawBits!$H:$H,0)),"?")</f>
        <v/>
      </c>
      <c r="C324">
        <f>IFERROR(INDEX(RawBits!$G:$G,MATCH($A324,RawBits!$H:$H,0)),"")</f>
        <v/>
      </c>
      <c r="D324">
        <f>IFERROR(IF(AND(A324&gt;=129,A324&lt;=2176),INDEX(Fields!$B$2:$B$206,MATCH(A324-129,Fields!$D$2:$D$206,1)),""),"")</f>
        <v/>
      </c>
      <c r="E324">
        <f>IFERROR(IF(AND(A324&gt;=129,A324&lt;=2176),INDEX(Fields!$C$2:$C$206,MATCH(A324-129,Fields!$D$2:$D$206,1)),""),"")</f>
        <v/>
      </c>
    </row>
    <row r="325">
      <c r="A325" t="n">
        <v>324</v>
      </c>
      <c r="B325">
        <f>IFERROR(INDEX(RawBits!$A:$A,MATCH($A325,RawBits!$H:$H,0)),"?")</f>
        <v/>
      </c>
      <c r="C325">
        <f>IFERROR(INDEX(RawBits!$G:$G,MATCH($A325,RawBits!$H:$H,0)),"")</f>
        <v/>
      </c>
      <c r="D325">
        <f>IFERROR(IF(AND(A325&gt;=129,A325&lt;=2176),INDEX(Fields!$B$2:$B$206,MATCH(A325-129,Fields!$D$2:$D$206,1)),""),"")</f>
        <v/>
      </c>
      <c r="E325">
        <f>IFERROR(IF(AND(A325&gt;=129,A325&lt;=2176),INDEX(Fields!$C$2:$C$206,MATCH(A325-129,Fields!$D$2:$D$206,1)),""),"")</f>
        <v/>
      </c>
    </row>
    <row r="326">
      <c r="A326" t="n">
        <v>325</v>
      </c>
      <c r="B326">
        <f>IFERROR(INDEX(RawBits!$A:$A,MATCH($A326,RawBits!$H:$H,0)),"?")</f>
        <v/>
      </c>
      <c r="C326">
        <f>IFERROR(INDEX(RawBits!$G:$G,MATCH($A326,RawBits!$H:$H,0)),"")</f>
        <v/>
      </c>
      <c r="D326">
        <f>IFERROR(IF(AND(A326&gt;=129,A326&lt;=2176),INDEX(Fields!$B$2:$B$206,MATCH(A326-129,Fields!$D$2:$D$206,1)),""),"")</f>
        <v/>
      </c>
      <c r="E326">
        <f>IFERROR(IF(AND(A326&gt;=129,A326&lt;=2176),INDEX(Fields!$C$2:$C$206,MATCH(A326-129,Fields!$D$2:$D$206,1)),""),"")</f>
        <v/>
      </c>
    </row>
    <row r="327">
      <c r="A327" t="n">
        <v>326</v>
      </c>
      <c r="B327">
        <f>IFERROR(INDEX(RawBits!$A:$A,MATCH($A327,RawBits!$H:$H,0)),"?")</f>
        <v/>
      </c>
      <c r="C327">
        <f>IFERROR(INDEX(RawBits!$G:$G,MATCH($A327,RawBits!$H:$H,0)),"")</f>
        <v/>
      </c>
      <c r="D327">
        <f>IFERROR(IF(AND(A327&gt;=129,A327&lt;=2176),INDEX(Fields!$B$2:$B$206,MATCH(A327-129,Fields!$D$2:$D$206,1)),""),"")</f>
        <v/>
      </c>
      <c r="E327">
        <f>IFERROR(IF(AND(A327&gt;=129,A327&lt;=2176),INDEX(Fields!$C$2:$C$206,MATCH(A327-129,Fields!$D$2:$D$206,1)),""),"")</f>
        <v/>
      </c>
    </row>
    <row r="328">
      <c r="A328" t="n">
        <v>327</v>
      </c>
      <c r="B328">
        <f>IFERROR(INDEX(RawBits!$A:$A,MATCH($A328,RawBits!$H:$H,0)),"?")</f>
        <v/>
      </c>
      <c r="C328">
        <f>IFERROR(INDEX(RawBits!$G:$G,MATCH($A328,RawBits!$H:$H,0)),"")</f>
        <v/>
      </c>
      <c r="D328">
        <f>IFERROR(IF(AND(A328&gt;=129,A328&lt;=2176),INDEX(Fields!$B$2:$B$206,MATCH(A328-129,Fields!$D$2:$D$206,1)),""),"")</f>
        <v/>
      </c>
      <c r="E328">
        <f>IFERROR(IF(AND(A328&gt;=129,A328&lt;=2176),INDEX(Fields!$C$2:$C$206,MATCH(A328-129,Fields!$D$2:$D$206,1)),""),"")</f>
        <v/>
      </c>
    </row>
    <row r="329">
      <c r="A329" t="n">
        <v>328</v>
      </c>
      <c r="B329">
        <f>IFERROR(INDEX(RawBits!$A:$A,MATCH($A329,RawBits!$H:$H,0)),"?")</f>
        <v/>
      </c>
      <c r="C329">
        <f>IFERROR(INDEX(RawBits!$G:$G,MATCH($A329,RawBits!$H:$H,0)),"")</f>
        <v/>
      </c>
      <c r="D329">
        <f>IFERROR(IF(AND(A329&gt;=129,A329&lt;=2176),INDEX(Fields!$B$2:$B$206,MATCH(A329-129,Fields!$D$2:$D$206,1)),""),"")</f>
        <v/>
      </c>
      <c r="E329">
        <f>IFERROR(IF(AND(A329&gt;=129,A329&lt;=2176),INDEX(Fields!$C$2:$C$206,MATCH(A329-129,Fields!$D$2:$D$206,1)),""),"")</f>
        <v/>
      </c>
    </row>
    <row r="330">
      <c r="A330" t="n">
        <v>329</v>
      </c>
      <c r="B330">
        <f>IFERROR(INDEX(RawBits!$A:$A,MATCH($A330,RawBits!$H:$H,0)),"?")</f>
        <v/>
      </c>
      <c r="C330">
        <f>IFERROR(INDEX(RawBits!$G:$G,MATCH($A330,RawBits!$H:$H,0)),"")</f>
        <v/>
      </c>
      <c r="D330">
        <f>IFERROR(IF(AND(A330&gt;=129,A330&lt;=2176),INDEX(Fields!$B$2:$B$206,MATCH(A330-129,Fields!$D$2:$D$206,1)),""),"")</f>
        <v/>
      </c>
      <c r="E330">
        <f>IFERROR(IF(AND(A330&gt;=129,A330&lt;=2176),INDEX(Fields!$C$2:$C$206,MATCH(A330-129,Fields!$D$2:$D$206,1)),""),"")</f>
        <v/>
      </c>
    </row>
    <row r="331">
      <c r="A331" t="n">
        <v>330</v>
      </c>
      <c r="B331">
        <f>IFERROR(INDEX(RawBits!$A:$A,MATCH($A331,RawBits!$H:$H,0)),"?")</f>
        <v/>
      </c>
      <c r="C331">
        <f>IFERROR(INDEX(RawBits!$G:$G,MATCH($A331,RawBits!$H:$H,0)),"")</f>
        <v/>
      </c>
      <c r="D331">
        <f>IFERROR(IF(AND(A331&gt;=129,A331&lt;=2176),INDEX(Fields!$B$2:$B$206,MATCH(A331-129,Fields!$D$2:$D$206,1)),""),"")</f>
        <v/>
      </c>
      <c r="E331">
        <f>IFERROR(IF(AND(A331&gt;=129,A331&lt;=2176),INDEX(Fields!$C$2:$C$206,MATCH(A331-129,Fields!$D$2:$D$206,1)),""),"")</f>
        <v/>
      </c>
    </row>
    <row r="332">
      <c r="A332" t="n">
        <v>331</v>
      </c>
      <c r="B332">
        <f>IFERROR(INDEX(RawBits!$A:$A,MATCH($A332,RawBits!$H:$H,0)),"?")</f>
        <v/>
      </c>
      <c r="C332">
        <f>IFERROR(INDEX(RawBits!$G:$G,MATCH($A332,RawBits!$H:$H,0)),"")</f>
        <v/>
      </c>
      <c r="D332">
        <f>IFERROR(IF(AND(A332&gt;=129,A332&lt;=2176),INDEX(Fields!$B$2:$B$206,MATCH(A332-129,Fields!$D$2:$D$206,1)),""),"")</f>
        <v/>
      </c>
      <c r="E332">
        <f>IFERROR(IF(AND(A332&gt;=129,A332&lt;=2176),INDEX(Fields!$C$2:$C$206,MATCH(A332-129,Fields!$D$2:$D$206,1)),""),"")</f>
        <v/>
      </c>
    </row>
    <row r="333">
      <c r="A333" t="n">
        <v>332</v>
      </c>
      <c r="B333">
        <f>IFERROR(INDEX(RawBits!$A:$A,MATCH($A333,RawBits!$H:$H,0)),"?")</f>
        <v/>
      </c>
      <c r="C333">
        <f>IFERROR(INDEX(RawBits!$G:$G,MATCH($A333,RawBits!$H:$H,0)),"")</f>
        <v/>
      </c>
      <c r="D333">
        <f>IFERROR(IF(AND(A333&gt;=129,A333&lt;=2176),INDEX(Fields!$B$2:$B$206,MATCH(A333-129,Fields!$D$2:$D$206,1)),""),"")</f>
        <v/>
      </c>
      <c r="E333">
        <f>IFERROR(IF(AND(A333&gt;=129,A333&lt;=2176),INDEX(Fields!$C$2:$C$206,MATCH(A333-129,Fields!$D$2:$D$206,1)),""),"")</f>
        <v/>
      </c>
    </row>
    <row r="334">
      <c r="A334" t="n">
        <v>333</v>
      </c>
      <c r="B334">
        <f>IFERROR(INDEX(RawBits!$A:$A,MATCH($A334,RawBits!$H:$H,0)),"?")</f>
        <v/>
      </c>
      <c r="C334">
        <f>IFERROR(INDEX(RawBits!$G:$G,MATCH($A334,RawBits!$H:$H,0)),"")</f>
        <v/>
      </c>
      <c r="D334">
        <f>IFERROR(IF(AND(A334&gt;=129,A334&lt;=2176),INDEX(Fields!$B$2:$B$206,MATCH(A334-129,Fields!$D$2:$D$206,1)),""),"")</f>
        <v/>
      </c>
      <c r="E334">
        <f>IFERROR(IF(AND(A334&gt;=129,A334&lt;=2176),INDEX(Fields!$C$2:$C$206,MATCH(A334-129,Fields!$D$2:$D$206,1)),""),"")</f>
        <v/>
      </c>
    </row>
    <row r="335">
      <c r="A335" t="n">
        <v>334</v>
      </c>
      <c r="B335">
        <f>IFERROR(INDEX(RawBits!$A:$A,MATCH($A335,RawBits!$H:$H,0)),"?")</f>
        <v/>
      </c>
      <c r="C335">
        <f>IFERROR(INDEX(RawBits!$G:$G,MATCH($A335,RawBits!$H:$H,0)),"")</f>
        <v/>
      </c>
      <c r="D335">
        <f>IFERROR(IF(AND(A335&gt;=129,A335&lt;=2176),INDEX(Fields!$B$2:$B$206,MATCH(A335-129,Fields!$D$2:$D$206,1)),""),"")</f>
        <v/>
      </c>
      <c r="E335">
        <f>IFERROR(IF(AND(A335&gt;=129,A335&lt;=2176),INDEX(Fields!$C$2:$C$206,MATCH(A335-129,Fields!$D$2:$D$206,1)),""),"")</f>
        <v/>
      </c>
    </row>
    <row r="336">
      <c r="A336" t="n">
        <v>335</v>
      </c>
      <c r="B336">
        <f>IFERROR(INDEX(RawBits!$A:$A,MATCH($A336,RawBits!$H:$H,0)),"?")</f>
        <v/>
      </c>
      <c r="C336">
        <f>IFERROR(INDEX(RawBits!$G:$G,MATCH($A336,RawBits!$H:$H,0)),"")</f>
        <v/>
      </c>
      <c r="D336">
        <f>IFERROR(IF(AND(A336&gt;=129,A336&lt;=2176),INDEX(Fields!$B$2:$B$206,MATCH(A336-129,Fields!$D$2:$D$206,1)),""),"")</f>
        <v/>
      </c>
      <c r="E336">
        <f>IFERROR(IF(AND(A336&gt;=129,A336&lt;=2176),INDEX(Fields!$C$2:$C$206,MATCH(A336-129,Fields!$D$2:$D$206,1)),""),"")</f>
        <v/>
      </c>
    </row>
    <row r="337">
      <c r="A337" t="n">
        <v>336</v>
      </c>
      <c r="B337">
        <f>IFERROR(INDEX(RawBits!$A:$A,MATCH($A337,RawBits!$H:$H,0)),"?")</f>
        <v/>
      </c>
      <c r="C337">
        <f>IFERROR(INDEX(RawBits!$G:$G,MATCH($A337,RawBits!$H:$H,0)),"")</f>
        <v/>
      </c>
      <c r="D337">
        <f>IFERROR(IF(AND(A337&gt;=129,A337&lt;=2176),INDEX(Fields!$B$2:$B$206,MATCH(A337-129,Fields!$D$2:$D$206,1)),""),"")</f>
        <v/>
      </c>
      <c r="E337">
        <f>IFERROR(IF(AND(A337&gt;=129,A337&lt;=2176),INDEX(Fields!$C$2:$C$206,MATCH(A337-129,Fields!$D$2:$D$206,1)),""),"")</f>
        <v/>
      </c>
    </row>
    <row r="338">
      <c r="A338" t="n">
        <v>337</v>
      </c>
      <c r="B338">
        <f>IFERROR(INDEX(RawBits!$A:$A,MATCH($A338,RawBits!$H:$H,0)),"?")</f>
        <v/>
      </c>
      <c r="C338">
        <f>IFERROR(INDEX(RawBits!$G:$G,MATCH($A338,RawBits!$H:$H,0)),"")</f>
        <v/>
      </c>
      <c r="D338">
        <f>IFERROR(IF(AND(A338&gt;=129,A338&lt;=2176),INDEX(Fields!$B$2:$B$206,MATCH(A338-129,Fields!$D$2:$D$206,1)),""),"")</f>
        <v/>
      </c>
      <c r="E338">
        <f>IFERROR(IF(AND(A338&gt;=129,A338&lt;=2176),INDEX(Fields!$C$2:$C$206,MATCH(A338-129,Fields!$D$2:$D$206,1)),""),"")</f>
        <v/>
      </c>
    </row>
    <row r="339">
      <c r="A339" t="n">
        <v>338</v>
      </c>
      <c r="B339">
        <f>IFERROR(INDEX(RawBits!$A:$A,MATCH($A339,RawBits!$H:$H,0)),"?")</f>
        <v/>
      </c>
      <c r="C339">
        <f>IFERROR(INDEX(RawBits!$G:$G,MATCH($A339,RawBits!$H:$H,0)),"")</f>
        <v/>
      </c>
      <c r="D339">
        <f>IFERROR(IF(AND(A339&gt;=129,A339&lt;=2176),INDEX(Fields!$B$2:$B$206,MATCH(A339-129,Fields!$D$2:$D$206,1)),""),"")</f>
        <v/>
      </c>
      <c r="E339">
        <f>IFERROR(IF(AND(A339&gt;=129,A339&lt;=2176),INDEX(Fields!$C$2:$C$206,MATCH(A339-129,Fields!$D$2:$D$206,1)),""),"")</f>
        <v/>
      </c>
    </row>
    <row r="340">
      <c r="A340" t="n">
        <v>339</v>
      </c>
      <c r="B340">
        <f>IFERROR(INDEX(RawBits!$A:$A,MATCH($A340,RawBits!$H:$H,0)),"?")</f>
        <v/>
      </c>
      <c r="C340">
        <f>IFERROR(INDEX(RawBits!$G:$G,MATCH($A340,RawBits!$H:$H,0)),"")</f>
        <v/>
      </c>
      <c r="D340">
        <f>IFERROR(IF(AND(A340&gt;=129,A340&lt;=2176),INDEX(Fields!$B$2:$B$206,MATCH(A340-129,Fields!$D$2:$D$206,1)),""),"")</f>
        <v/>
      </c>
      <c r="E340">
        <f>IFERROR(IF(AND(A340&gt;=129,A340&lt;=2176),INDEX(Fields!$C$2:$C$206,MATCH(A340-129,Fields!$D$2:$D$206,1)),""),"")</f>
        <v/>
      </c>
    </row>
    <row r="341">
      <c r="A341" t="n">
        <v>340</v>
      </c>
      <c r="B341">
        <f>IFERROR(INDEX(RawBits!$A:$A,MATCH($A341,RawBits!$H:$H,0)),"?")</f>
        <v/>
      </c>
      <c r="C341">
        <f>IFERROR(INDEX(RawBits!$G:$G,MATCH($A341,RawBits!$H:$H,0)),"")</f>
        <v/>
      </c>
      <c r="D341">
        <f>IFERROR(IF(AND(A341&gt;=129,A341&lt;=2176),INDEX(Fields!$B$2:$B$206,MATCH(A341-129,Fields!$D$2:$D$206,1)),""),"")</f>
        <v/>
      </c>
      <c r="E341">
        <f>IFERROR(IF(AND(A341&gt;=129,A341&lt;=2176),INDEX(Fields!$C$2:$C$206,MATCH(A341-129,Fields!$D$2:$D$206,1)),""),"")</f>
        <v/>
      </c>
    </row>
    <row r="342">
      <c r="A342" t="n">
        <v>341</v>
      </c>
      <c r="B342">
        <f>IFERROR(INDEX(RawBits!$A:$A,MATCH($A342,RawBits!$H:$H,0)),"?")</f>
        <v/>
      </c>
      <c r="C342">
        <f>IFERROR(INDEX(RawBits!$G:$G,MATCH($A342,RawBits!$H:$H,0)),"")</f>
        <v/>
      </c>
      <c r="D342">
        <f>IFERROR(IF(AND(A342&gt;=129,A342&lt;=2176),INDEX(Fields!$B$2:$B$206,MATCH(A342-129,Fields!$D$2:$D$206,1)),""),"")</f>
        <v/>
      </c>
      <c r="E342">
        <f>IFERROR(IF(AND(A342&gt;=129,A342&lt;=2176),INDEX(Fields!$C$2:$C$206,MATCH(A342-129,Fields!$D$2:$D$206,1)),""),"")</f>
        <v/>
      </c>
    </row>
    <row r="343">
      <c r="A343" t="n">
        <v>342</v>
      </c>
      <c r="B343">
        <f>IFERROR(INDEX(RawBits!$A:$A,MATCH($A343,RawBits!$H:$H,0)),"?")</f>
        <v/>
      </c>
      <c r="C343">
        <f>IFERROR(INDEX(RawBits!$G:$G,MATCH($A343,RawBits!$H:$H,0)),"")</f>
        <v/>
      </c>
      <c r="D343">
        <f>IFERROR(IF(AND(A343&gt;=129,A343&lt;=2176),INDEX(Fields!$B$2:$B$206,MATCH(A343-129,Fields!$D$2:$D$206,1)),""),"")</f>
        <v/>
      </c>
      <c r="E343">
        <f>IFERROR(IF(AND(A343&gt;=129,A343&lt;=2176),INDEX(Fields!$C$2:$C$206,MATCH(A343-129,Fields!$D$2:$D$206,1)),""),"")</f>
        <v/>
      </c>
    </row>
    <row r="344">
      <c r="A344" t="n">
        <v>343</v>
      </c>
      <c r="B344">
        <f>IFERROR(INDEX(RawBits!$A:$A,MATCH($A344,RawBits!$H:$H,0)),"?")</f>
        <v/>
      </c>
      <c r="C344">
        <f>IFERROR(INDEX(RawBits!$G:$G,MATCH($A344,RawBits!$H:$H,0)),"")</f>
        <v/>
      </c>
      <c r="D344">
        <f>IFERROR(IF(AND(A344&gt;=129,A344&lt;=2176),INDEX(Fields!$B$2:$B$206,MATCH(A344-129,Fields!$D$2:$D$206,1)),""),"")</f>
        <v/>
      </c>
      <c r="E344">
        <f>IFERROR(IF(AND(A344&gt;=129,A344&lt;=2176),INDEX(Fields!$C$2:$C$206,MATCH(A344-129,Fields!$D$2:$D$206,1)),""),"")</f>
        <v/>
      </c>
    </row>
    <row r="345">
      <c r="A345" t="n">
        <v>344</v>
      </c>
      <c r="B345">
        <f>IFERROR(INDEX(RawBits!$A:$A,MATCH($A345,RawBits!$H:$H,0)),"?")</f>
        <v/>
      </c>
      <c r="C345">
        <f>IFERROR(INDEX(RawBits!$G:$G,MATCH($A345,RawBits!$H:$H,0)),"")</f>
        <v/>
      </c>
      <c r="D345">
        <f>IFERROR(IF(AND(A345&gt;=129,A345&lt;=2176),INDEX(Fields!$B$2:$B$206,MATCH(A345-129,Fields!$D$2:$D$206,1)),""),"")</f>
        <v/>
      </c>
      <c r="E345">
        <f>IFERROR(IF(AND(A345&gt;=129,A345&lt;=2176),INDEX(Fields!$C$2:$C$206,MATCH(A345-129,Fields!$D$2:$D$206,1)),""),"")</f>
        <v/>
      </c>
    </row>
    <row r="346">
      <c r="A346" t="n">
        <v>345</v>
      </c>
      <c r="B346">
        <f>IFERROR(INDEX(RawBits!$A:$A,MATCH($A346,RawBits!$H:$H,0)),"?")</f>
        <v/>
      </c>
      <c r="C346">
        <f>IFERROR(INDEX(RawBits!$G:$G,MATCH($A346,RawBits!$H:$H,0)),"")</f>
        <v/>
      </c>
      <c r="D346">
        <f>IFERROR(IF(AND(A346&gt;=129,A346&lt;=2176),INDEX(Fields!$B$2:$B$206,MATCH(A346-129,Fields!$D$2:$D$206,1)),""),"")</f>
        <v/>
      </c>
      <c r="E346">
        <f>IFERROR(IF(AND(A346&gt;=129,A346&lt;=2176),INDEX(Fields!$C$2:$C$206,MATCH(A346-129,Fields!$D$2:$D$206,1)),""),"")</f>
        <v/>
      </c>
    </row>
    <row r="347">
      <c r="A347" t="n">
        <v>346</v>
      </c>
      <c r="B347">
        <f>IFERROR(INDEX(RawBits!$A:$A,MATCH($A347,RawBits!$H:$H,0)),"?")</f>
        <v/>
      </c>
      <c r="C347">
        <f>IFERROR(INDEX(RawBits!$G:$G,MATCH($A347,RawBits!$H:$H,0)),"")</f>
        <v/>
      </c>
      <c r="D347">
        <f>IFERROR(IF(AND(A347&gt;=129,A347&lt;=2176),INDEX(Fields!$B$2:$B$206,MATCH(A347-129,Fields!$D$2:$D$206,1)),""),"")</f>
        <v/>
      </c>
      <c r="E347">
        <f>IFERROR(IF(AND(A347&gt;=129,A347&lt;=2176),INDEX(Fields!$C$2:$C$206,MATCH(A347-129,Fields!$D$2:$D$206,1)),""),"")</f>
        <v/>
      </c>
    </row>
    <row r="348">
      <c r="A348" t="n">
        <v>347</v>
      </c>
      <c r="B348">
        <f>IFERROR(INDEX(RawBits!$A:$A,MATCH($A348,RawBits!$H:$H,0)),"?")</f>
        <v/>
      </c>
      <c r="C348">
        <f>IFERROR(INDEX(RawBits!$G:$G,MATCH($A348,RawBits!$H:$H,0)),"")</f>
        <v/>
      </c>
      <c r="D348">
        <f>IFERROR(IF(AND(A348&gt;=129,A348&lt;=2176),INDEX(Fields!$B$2:$B$206,MATCH(A348-129,Fields!$D$2:$D$206,1)),""),"")</f>
        <v/>
      </c>
      <c r="E348">
        <f>IFERROR(IF(AND(A348&gt;=129,A348&lt;=2176),INDEX(Fields!$C$2:$C$206,MATCH(A348-129,Fields!$D$2:$D$206,1)),""),"")</f>
        <v/>
      </c>
    </row>
    <row r="349">
      <c r="A349" t="n">
        <v>348</v>
      </c>
      <c r="B349">
        <f>IFERROR(INDEX(RawBits!$A:$A,MATCH($A349,RawBits!$H:$H,0)),"?")</f>
        <v/>
      </c>
      <c r="C349">
        <f>IFERROR(INDEX(RawBits!$G:$G,MATCH($A349,RawBits!$H:$H,0)),"")</f>
        <v/>
      </c>
      <c r="D349">
        <f>IFERROR(IF(AND(A349&gt;=129,A349&lt;=2176),INDEX(Fields!$B$2:$B$206,MATCH(A349-129,Fields!$D$2:$D$206,1)),""),"")</f>
        <v/>
      </c>
      <c r="E349">
        <f>IFERROR(IF(AND(A349&gt;=129,A349&lt;=2176),INDEX(Fields!$C$2:$C$206,MATCH(A349-129,Fields!$D$2:$D$206,1)),""),"")</f>
        <v/>
      </c>
    </row>
    <row r="350">
      <c r="A350" t="n">
        <v>349</v>
      </c>
      <c r="B350">
        <f>IFERROR(INDEX(RawBits!$A:$A,MATCH($A350,RawBits!$H:$H,0)),"?")</f>
        <v/>
      </c>
      <c r="C350">
        <f>IFERROR(INDEX(RawBits!$G:$G,MATCH($A350,RawBits!$H:$H,0)),"")</f>
        <v/>
      </c>
      <c r="D350">
        <f>IFERROR(IF(AND(A350&gt;=129,A350&lt;=2176),INDEX(Fields!$B$2:$B$206,MATCH(A350-129,Fields!$D$2:$D$206,1)),""),"")</f>
        <v/>
      </c>
      <c r="E350">
        <f>IFERROR(IF(AND(A350&gt;=129,A350&lt;=2176),INDEX(Fields!$C$2:$C$206,MATCH(A350-129,Fields!$D$2:$D$206,1)),""),"")</f>
        <v/>
      </c>
    </row>
    <row r="351">
      <c r="A351" t="n">
        <v>350</v>
      </c>
      <c r="B351">
        <f>IFERROR(INDEX(RawBits!$A:$A,MATCH($A351,RawBits!$H:$H,0)),"?")</f>
        <v/>
      </c>
      <c r="C351">
        <f>IFERROR(INDEX(RawBits!$G:$G,MATCH($A351,RawBits!$H:$H,0)),"")</f>
        <v/>
      </c>
      <c r="D351">
        <f>IFERROR(IF(AND(A351&gt;=129,A351&lt;=2176),INDEX(Fields!$B$2:$B$206,MATCH(A351-129,Fields!$D$2:$D$206,1)),""),"")</f>
        <v/>
      </c>
      <c r="E351">
        <f>IFERROR(IF(AND(A351&gt;=129,A351&lt;=2176),INDEX(Fields!$C$2:$C$206,MATCH(A351-129,Fields!$D$2:$D$206,1)),""),"")</f>
        <v/>
      </c>
    </row>
    <row r="352">
      <c r="A352" t="n">
        <v>351</v>
      </c>
      <c r="B352">
        <f>IFERROR(INDEX(RawBits!$A:$A,MATCH($A352,RawBits!$H:$H,0)),"?")</f>
        <v/>
      </c>
      <c r="C352">
        <f>IFERROR(INDEX(RawBits!$G:$G,MATCH($A352,RawBits!$H:$H,0)),"")</f>
        <v/>
      </c>
      <c r="D352">
        <f>IFERROR(IF(AND(A352&gt;=129,A352&lt;=2176),INDEX(Fields!$B$2:$B$206,MATCH(A352-129,Fields!$D$2:$D$206,1)),""),"")</f>
        <v/>
      </c>
      <c r="E352">
        <f>IFERROR(IF(AND(A352&gt;=129,A352&lt;=2176),INDEX(Fields!$C$2:$C$206,MATCH(A352-129,Fields!$D$2:$D$206,1)),""),"")</f>
        <v/>
      </c>
    </row>
    <row r="353">
      <c r="A353" t="n">
        <v>352</v>
      </c>
      <c r="B353">
        <f>IFERROR(INDEX(RawBits!$A:$A,MATCH($A353,RawBits!$H:$H,0)),"?")</f>
        <v/>
      </c>
      <c r="C353">
        <f>IFERROR(INDEX(RawBits!$G:$G,MATCH($A353,RawBits!$H:$H,0)),"")</f>
        <v/>
      </c>
      <c r="D353">
        <f>IFERROR(IF(AND(A353&gt;=129,A353&lt;=2176),INDEX(Fields!$B$2:$B$206,MATCH(A353-129,Fields!$D$2:$D$206,1)),""),"")</f>
        <v/>
      </c>
      <c r="E353">
        <f>IFERROR(IF(AND(A353&gt;=129,A353&lt;=2176),INDEX(Fields!$C$2:$C$206,MATCH(A353-129,Fields!$D$2:$D$206,1)),""),"")</f>
        <v/>
      </c>
    </row>
    <row r="354">
      <c r="A354" t="n">
        <v>353</v>
      </c>
      <c r="B354">
        <f>IFERROR(INDEX(RawBits!$A:$A,MATCH($A354,RawBits!$H:$H,0)),"?")</f>
        <v/>
      </c>
      <c r="C354">
        <f>IFERROR(INDEX(RawBits!$G:$G,MATCH($A354,RawBits!$H:$H,0)),"")</f>
        <v/>
      </c>
      <c r="D354">
        <f>IFERROR(IF(AND(A354&gt;=129,A354&lt;=2176),INDEX(Fields!$B$2:$B$206,MATCH(A354-129,Fields!$D$2:$D$206,1)),""),"")</f>
        <v/>
      </c>
      <c r="E354">
        <f>IFERROR(IF(AND(A354&gt;=129,A354&lt;=2176),INDEX(Fields!$C$2:$C$206,MATCH(A354-129,Fields!$D$2:$D$206,1)),""),"")</f>
        <v/>
      </c>
    </row>
    <row r="355">
      <c r="A355" t="n">
        <v>354</v>
      </c>
      <c r="B355">
        <f>IFERROR(INDEX(RawBits!$A:$A,MATCH($A355,RawBits!$H:$H,0)),"?")</f>
        <v/>
      </c>
      <c r="C355">
        <f>IFERROR(INDEX(RawBits!$G:$G,MATCH($A355,RawBits!$H:$H,0)),"")</f>
        <v/>
      </c>
      <c r="D355">
        <f>IFERROR(IF(AND(A355&gt;=129,A355&lt;=2176),INDEX(Fields!$B$2:$B$206,MATCH(A355-129,Fields!$D$2:$D$206,1)),""),"")</f>
        <v/>
      </c>
      <c r="E355">
        <f>IFERROR(IF(AND(A355&gt;=129,A355&lt;=2176),INDEX(Fields!$C$2:$C$206,MATCH(A355-129,Fields!$D$2:$D$206,1)),""),"")</f>
        <v/>
      </c>
    </row>
    <row r="356">
      <c r="A356" t="n">
        <v>355</v>
      </c>
      <c r="B356">
        <f>IFERROR(INDEX(RawBits!$A:$A,MATCH($A356,RawBits!$H:$H,0)),"?")</f>
        <v/>
      </c>
      <c r="C356">
        <f>IFERROR(INDEX(RawBits!$G:$G,MATCH($A356,RawBits!$H:$H,0)),"")</f>
        <v/>
      </c>
      <c r="D356">
        <f>IFERROR(IF(AND(A356&gt;=129,A356&lt;=2176),INDEX(Fields!$B$2:$B$206,MATCH(A356-129,Fields!$D$2:$D$206,1)),""),"")</f>
        <v/>
      </c>
      <c r="E356">
        <f>IFERROR(IF(AND(A356&gt;=129,A356&lt;=2176),INDEX(Fields!$C$2:$C$206,MATCH(A356-129,Fields!$D$2:$D$206,1)),""),"")</f>
        <v/>
      </c>
    </row>
    <row r="357">
      <c r="A357" t="n">
        <v>356</v>
      </c>
      <c r="B357">
        <f>IFERROR(INDEX(RawBits!$A:$A,MATCH($A357,RawBits!$H:$H,0)),"?")</f>
        <v/>
      </c>
      <c r="C357">
        <f>IFERROR(INDEX(RawBits!$G:$G,MATCH($A357,RawBits!$H:$H,0)),"")</f>
        <v/>
      </c>
      <c r="D357">
        <f>IFERROR(IF(AND(A357&gt;=129,A357&lt;=2176),INDEX(Fields!$B$2:$B$206,MATCH(A357-129,Fields!$D$2:$D$206,1)),""),"")</f>
        <v/>
      </c>
      <c r="E357">
        <f>IFERROR(IF(AND(A357&gt;=129,A357&lt;=2176),INDEX(Fields!$C$2:$C$206,MATCH(A357-129,Fields!$D$2:$D$206,1)),""),"")</f>
        <v/>
      </c>
    </row>
    <row r="358">
      <c r="A358" t="n">
        <v>357</v>
      </c>
      <c r="B358">
        <f>IFERROR(INDEX(RawBits!$A:$A,MATCH($A358,RawBits!$H:$H,0)),"?")</f>
        <v/>
      </c>
      <c r="C358">
        <f>IFERROR(INDEX(RawBits!$G:$G,MATCH($A358,RawBits!$H:$H,0)),"")</f>
        <v/>
      </c>
      <c r="D358">
        <f>IFERROR(IF(AND(A358&gt;=129,A358&lt;=2176),INDEX(Fields!$B$2:$B$206,MATCH(A358-129,Fields!$D$2:$D$206,1)),""),"")</f>
        <v/>
      </c>
      <c r="E358">
        <f>IFERROR(IF(AND(A358&gt;=129,A358&lt;=2176),INDEX(Fields!$C$2:$C$206,MATCH(A358-129,Fields!$D$2:$D$206,1)),""),"")</f>
        <v/>
      </c>
    </row>
    <row r="359">
      <c r="A359" t="n">
        <v>358</v>
      </c>
      <c r="B359">
        <f>IFERROR(INDEX(RawBits!$A:$A,MATCH($A359,RawBits!$H:$H,0)),"?")</f>
        <v/>
      </c>
      <c r="C359">
        <f>IFERROR(INDEX(RawBits!$G:$G,MATCH($A359,RawBits!$H:$H,0)),"")</f>
        <v/>
      </c>
      <c r="D359">
        <f>IFERROR(IF(AND(A359&gt;=129,A359&lt;=2176),INDEX(Fields!$B$2:$B$206,MATCH(A359-129,Fields!$D$2:$D$206,1)),""),"")</f>
        <v/>
      </c>
      <c r="E359">
        <f>IFERROR(IF(AND(A359&gt;=129,A359&lt;=2176),INDEX(Fields!$C$2:$C$206,MATCH(A359-129,Fields!$D$2:$D$206,1)),""),"")</f>
        <v/>
      </c>
    </row>
    <row r="360">
      <c r="A360" t="n">
        <v>359</v>
      </c>
      <c r="B360">
        <f>IFERROR(INDEX(RawBits!$A:$A,MATCH($A360,RawBits!$H:$H,0)),"?")</f>
        <v/>
      </c>
      <c r="C360">
        <f>IFERROR(INDEX(RawBits!$G:$G,MATCH($A360,RawBits!$H:$H,0)),"")</f>
        <v/>
      </c>
      <c r="D360">
        <f>IFERROR(IF(AND(A360&gt;=129,A360&lt;=2176),INDEX(Fields!$B$2:$B$206,MATCH(A360-129,Fields!$D$2:$D$206,1)),""),"")</f>
        <v/>
      </c>
      <c r="E360">
        <f>IFERROR(IF(AND(A360&gt;=129,A360&lt;=2176),INDEX(Fields!$C$2:$C$206,MATCH(A360-129,Fields!$D$2:$D$206,1)),""),"")</f>
        <v/>
      </c>
    </row>
    <row r="361">
      <c r="A361" t="n">
        <v>360</v>
      </c>
      <c r="B361">
        <f>IFERROR(INDEX(RawBits!$A:$A,MATCH($A361,RawBits!$H:$H,0)),"?")</f>
        <v/>
      </c>
      <c r="C361">
        <f>IFERROR(INDEX(RawBits!$G:$G,MATCH($A361,RawBits!$H:$H,0)),"")</f>
        <v/>
      </c>
      <c r="D361">
        <f>IFERROR(IF(AND(A361&gt;=129,A361&lt;=2176),INDEX(Fields!$B$2:$B$206,MATCH(A361-129,Fields!$D$2:$D$206,1)),""),"")</f>
        <v/>
      </c>
      <c r="E361">
        <f>IFERROR(IF(AND(A361&gt;=129,A361&lt;=2176),INDEX(Fields!$C$2:$C$206,MATCH(A361-129,Fields!$D$2:$D$206,1)),""),"")</f>
        <v/>
      </c>
    </row>
    <row r="362">
      <c r="A362" t="n">
        <v>361</v>
      </c>
      <c r="B362">
        <f>IFERROR(INDEX(RawBits!$A:$A,MATCH($A362,RawBits!$H:$H,0)),"?")</f>
        <v/>
      </c>
      <c r="C362">
        <f>IFERROR(INDEX(RawBits!$G:$G,MATCH($A362,RawBits!$H:$H,0)),"")</f>
        <v/>
      </c>
      <c r="D362">
        <f>IFERROR(IF(AND(A362&gt;=129,A362&lt;=2176),INDEX(Fields!$B$2:$B$206,MATCH(A362-129,Fields!$D$2:$D$206,1)),""),"")</f>
        <v/>
      </c>
      <c r="E362">
        <f>IFERROR(IF(AND(A362&gt;=129,A362&lt;=2176),INDEX(Fields!$C$2:$C$206,MATCH(A362-129,Fields!$D$2:$D$206,1)),""),"")</f>
        <v/>
      </c>
    </row>
    <row r="363">
      <c r="A363" t="n">
        <v>362</v>
      </c>
      <c r="B363">
        <f>IFERROR(INDEX(RawBits!$A:$A,MATCH($A363,RawBits!$H:$H,0)),"?")</f>
        <v/>
      </c>
      <c r="C363">
        <f>IFERROR(INDEX(RawBits!$G:$G,MATCH($A363,RawBits!$H:$H,0)),"")</f>
        <v/>
      </c>
      <c r="D363">
        <f>IFERROR(IF(AND(A363&gt;=129,A363&lt;=2176),INDEX(Fields!$B$2:$B$206,MATCH(A363-129,Fields!$D$2:$D$206,1)),""),"")</f>
        <v/>
      </c>
      <c r="E363">
        <f>IFERROR(IF(AND(A363&gt;=129,A363&lt;=2176),INDEX(Fields!$C$2:$C$206,MATCH(A363-129,Fields!$D$2:$D$206,1)),""),"")</f>
        <v/>
      </c>
    </row>
    <row r="364">
      <c r="A364" t="n">
        <v>363</v>
      </c>
      <c r="B364">
        <f>IFERROR(INDEX(RawBits!$A:$A,MATCH($A364,RawBits!$H:$H,0)),"?")</f>
        <v/>
      </c>
      <c r="C364">
        <f>IFERROR(INDEX(RawBits!$G:$G,MATCH($A364,RawBits!$H:$H,0)),"")</f>
        <v/>
      </c>
      <c r="D364">
        <f>IFERROR(IF(AND(A364&gt;=129,A364&lt;=2176),INDEX(Fields!$B$2:$B$206,MATCH(A364-129,Fields!$D$2:$D$206,1)),""),"")</f>
        <v/>
      </c>
      <c r="E364">
        <f>IFERROR(IF(AND(A364&gt;=129,A364&lt;=2176),INDEX(Fields!$C$2:$C$206,MATCH(A364-129,Fields!$D$2:$D$206,1)),""),"")</f>
        <v/>
      </c>
    </row>
    <row r="365">
      <c r="A365" t="n">
        <v>364</v>
      </c>
      <c r="B365">
        <f>IFERROR(INDEX(RawBits!$A:$A,MATCH($A365,RawBits!$H:$H,0)),"?")</f>
        <v/>
      </c>
      <c r="C365">
        <f>IFERROR(INDEX(RawBits!$G:$G,MATCH($A365,RawBits!$H:$H,0)),"")</f>
        <v/>
      </c>
      <c r="D365">
        <f>IFERROR(IF(AND(A365&gt;=129,A365&lt;=2176),INDEX(Fields!$B$2:$B$206,MATCH(A365-129,Fields!$D$2:$D$206,1)),""),"")</f>
        <v/>
      </c>
      <c r="E365">
        <f>IFERROR(IF(AND(A365&gt;=129,A365&lt;=2176),INDEX(Fields!$C$2:$C$206,MATCH(A365-129,Fields!$D$2:$D$206,1)),""),"")</f>
        <v/>
      </c>
    </row>
    <row r="366">
      <c r="A366" t="n">
        <v>365</v>
      </c>
      <c r="B366">
        <f>IFERROR(INDEX(RawBits!$A:$A,MATCH($A366,RawBits!$H:$H,0)),"?")</f>
        <v/>
      </c>
      <c r="C366">
        <f>IFERROR(INDEX(RawBits!$G:$G,MATCH($A366,RawBits!$H:$H,0)),"")</f>
        <v/>
      </c>
      <c r="D366">
        <f>IFERROR(IF(AND(A366&gt;=129,A366&lt;=2176),INDEX(Fields!$B$2:$B$206,MATCH(A366-129,Fields!$D$2:$D$206,1)),""),"")</f>
        <v/>
      </c>
      <c r="E366">
        <f>IFERROR(IF(AND(A366&gt;=129,A366&lt;=2176),INDEX(Fields!$C$2:$C$206,MATCH(A366-129,Fields!$D$2:$D$206,1)),""),"")</f>
        <v/>
      </c>
    </row>
    <row r="367">
      <c r="A367" t="n">
        <v>366</v>
      </c>
      <c r="B367">
        <f>IFERROR(INDEX(RawBits!$A:$A,MATCH($A367,RawBits!$H:$H,0)),"?")</f>
        <v/>
      </c>
      <c r="C367">
        <f>IFERROR(INDEX(RawBits!$G:$G,MATCH($A367,RawBits!$H:$H,0)),"")</f>
        <v/>
      </c>
      <c r="D367">
        <f>IFERROR(IF(AND(A367&gt;=129,A367&lt;=2176),INDEX(Fields!$B$2:$B$206,MATCH(A367-129,Fields!$D$2:$D$206,1)),""),"")</f>
        <v/>
      </c>
      <c r="E367">
        <f>IFERROR(IF(AND(A367&gt;=129,A367&lt;=2176),INDEX(Fields!$C$2:$C$206,MATCH(A367-129,Fields!$D$2:$D$206,1)),""),"")</f>
        <v/>
      </c>
    </row>
    <row r="368">
      <c r="A368" t="n">
        <v>367</v>
      </c>
      <c r="B368">
        <f>IFERROR(INDEX(RawBits!$A:$A,MATCH($A368,RawBits!$H:$H,0)),"?")</f>
        <v/>
      </c>
      <c r="C368">
        <f>IFERROR(INDEX(RawBits!$G:$G,MATCH($A368,RawBits!$H:$H,0)),"")</f>
        <v/>
      </c>
      <c r="D368">
        <f>IFERROR(IF(AND(A368&gt;=129,A368&lt;=2176),INDEX(Fields!$B$2:$B$206,MATCH(A368-129,Fields!$D$2:$D$206,1)),""),"")</f>
        <v/>
      </c>
      <c r="E368">
        <f>IFERROR(IF(AND(A368&gt;=129,A368&lt;=2176),INDEX(Fields!$C$2:$C$206,MATCH(A368-129,Fields!$D$2:$D$206,1)),""),"")</f>
        <v/>
      </c>
    </row>
    <row r="369">
      <c r="A369" t="n">
        <v>368</v>
      </c>
      <c r="B369">
        <f>IFERROR(INDEX(RawBits!$A:$A,MATCH($A369,RawBits!$H:$H,0)),"?")</f>
        <v/>
      </c>
      <c r="C369">
        <f>IFERROR(INDEX(RawBits!$G:$G,MATCH($A369,RawBits!$H:$H,0)),"")</f>
        <v/>
      </c>
      <c r="D369">
        <f>IFERROR(IF(AND(A369&gt;=129,A369&lt;=2176),INDEX(Fields!$B$2:$B$206,MATCH(A369-129,Fields!$D$2:$D$206,1)),""),"")</f>
        <v/>
      </c>
      <c r="E369">
        <f>IFERROR(IF(AND(A369&gt;=129,A369&lt;=2176),INDEX(Fields!$C$2:$C$206,MATCH(A369-129,Fields!$D$2:$D$206,1)),""),"")</f>
        <v/>
      </c>
    </row>
    <row r="370">
      <c r="A370" t="n">
        <v>369</v>
      </c>
      <c r="B370">
        <f>IFERROR(INDEX(RawBits!$A:$A,MATCH($A370,RawBits!$H:$H,0)),"?")</f>
        <v/>
      </c>
      <c r="C370">
        <f>IFERROR(INDEX(RawBits!$G:$G,MATCH($A370,RawBits!$H:$H,0)),"")</f>
        <v/>
      </c>
      <c r="D370">
        <f>IFERROR(IF(AND(A370&gt;=129,A370&lt;=2176),INDEX(Fields!$B$2:$B$206,MATCH(A370-129,Fields!$D$2:$D$206,1)),""),"")</f>
        <v/>
      </c>
      <c r="E370">
        <f>IFERROR(IF(AND(A370&gt;=129,A370&lt;=2176),INDEX(Fields!$C$2:$C$206,MATCH(A370-129,Fields!$D$2:$D$206,1)),""),"")</f>
        <v/>
      </c>
    </row>
    <row r="371">
      <c r="A371" t="n">
        <v>370</v>
      </c>
      <c r="B371">
        <f>IFERROR(INDEX(RawBits!$A:$A,MATCH($A371,RawBits!$H:$H,0)),"?")</f>
        <v/>
      </c>
      <c r="C371">
        <f>IFERROR(INDEX(RawBits!$G:$G,MATCH($A371,RawBits!$H:$H,0)),"")</f>
        <v/>
      </c>
      <c r="D371">
        <f>IFERROR(IF(AND(A371&gt;=129,A371&lt;=2176),INDEX(Fields!$B$2:$B$206,MATCH(A371-129,Fields!$D$2:$D$206,1)),""),"")</f>
        <v/>
      </c>
      <c r="E371">
        <f>IFERROR(IF(AND(A371&gt;=129,A371&lt;=2176),INDEX(Fields!$C$2:$C$206,MATCH(A371-129,Fields!$D$2:$D$206,1)),""),"")</f>
        <v/>
      </c>
    </row>
    <row r="372">
      <c r="A372" t="n">
        <v>371</v>
      </c>
      <c r="B372">
        <f>IFERROR(INDEX(RawBits!$A:$A,MATCH($A372,RawBits!$H:$H,0)),"?")</f>
        <v/>
      </c>
      <c r="C372">
        <f>IFERROR(INDEX(RawBits!$G:$G,MATCH($A372,RawBits!$H:$H,0)),"")</f>
        <v/>
      </c>
      <c r="D372">
        <f>IFERROR(IF(AND(A372&gt;=129,A372&lt;=2176),INDEX(Fields!$B$2:$B$206,MATCH(A372-129,Fields!$D$2:$D$206,1)),""),"")</f>
        <v/>
      </c>
      <c r="E372">
        <f>IFERROR(IF(AND(A372&gt;=129,A372&lt;=2176),INDEX(Fields!$C$2:$C$206,MATCH(A372-129,Fields!$D$2:$D$206,1)),""),"")</f>
        <v/>
      </c>
    </row>
    <row r="373">
      <c r="A373" t="n">
        <v>372</v>
      </c>
      <c r="B373">
        <f>IFERROR(INDEX(RawBits!$A:$A,MATCH($A373,RawBits!$H:$H,0)),"?")</f>
        <v/>
      </c>
      <c r="C373">
        <f>IFERROR(INDEX(RawBits!$G:$G,MATCH($A373,RawBits!$H:$H,0)),"")</f>
        <v/>
      </c>
      <c r="D373">
        <f>IFERROR(IF(AND(A373&gt;=129,A373&lt;=2176),INDEX(Fields!$B$2:$B$206,MATCH(A373-129,Fields!$D$2:$D$206,1)),""),"")</f>
        <v/>
      </c>
      <c r="E373">
        <f>IFERROR(IF(AND(A373&gt;=129,A373&lt;=2176),INDEX(Fields!$C$2:$C$206,MATCH(A373-129,Fields!$D$2:$D$206,1)),""),"")</f>
        <v/>
      </c>
    </row>
    <row r="374">
      <c r="A374" t="n">
        <v>373</v>
      </c>
      <c r="B374">
        <f>IFERROR(INDEX(RawBits!$A:$A,MATCH($A374,RawBits!$H:$H,0)),"?")</f>
        <v/>
      </c>
      <c r="C374">
        <f>IFERROR(INDEX(RawBits!$G:$G,MATCH($A374,RawBits!$H:$H,0)),"")</f>
        <v/>
      </c>
      <c r="D374">
        <f>IFERROR(IF(AND(A374&gt;=129,A374&lt;=2176),INDEX(Fields!$B$2:$B$206,MATCH(A374-129,Fields!$D$2:$D$206,1)),""),"")</f>
        <v/>
      </c>
      <c r="E374">
        <f>IFERROR(IF(AND(A374&gt;=129,A374&lt;=2176),INDEX(Fields!$C$2:$C$206,MATCH(A374-129,Fields!$D$2:$D$206,1)),""),"")</f>
        <v/>
      </c>
    </row>
    <row r="375">
      <c r="A375" t="n">
        <v>374</v>
      </c>
      <c r="B375">
        <f>IFERROR(INDEX(RawBits!$A:$A,MATCH($A375,RawBits!$H:$H,0)),"?")</f>
        <v/>
      </c>
      <c r="C375">
        <f>IFERROR(INDEX(RawBits!$G:$G,MATCH($A375,RawBits!$H:$H,0)),"")</f>
        <v/>
      </c>
      <c r="D375">
        <f>IFERROR(IF(AND(A375&gt;=129,A375&lt;=2176),INDEX(Fields!$B$2:$B$206,MATCH(A375-129,Fields!$D$2:$D$206,1)),""),"")</f>
        <v/>
      </c>
      <c r="E375">
        <f>IFERROR(IF(AND(A375&gt;=129,A375&lt;=2176),INDEX(Fields!$C$2:$C$206,MATCH(A375-129,Fields!$D$2:$D$206,1)),""),"")</f>
        <v/>
      </c>
    </row>
    <row r="376">
      <c r="A376" t="n">
        <v>375</v>
      </c>
      <c r="B376">
        <f>IFERROR(INDEX(RawBits!$A:$A,MATCH($A376,RawBits!$H:$H,0)),"?")</f>
        <v/>
      </c>
      <c r="C376">
        <f>IFERROR(INDEX(RawBits!$G:$G,MATCH($A376,RawBits!$H:$H,0)),"")</f>
        <v/>
      </c>
      <c r="D376">
        <f>IFERROR(IF(AND(A376&gt;=129,A376&lt;=2176),INDEX(Fields!$B$2:$B$206,MATCH(A376-129,Fields!$D$2:$D$206,1)),""),"")</f>
        <v/>
      </c>
      <c r="E376">
        <f>IFERROR(IF(AND(A376&gt;=129,A376&lt;=2176),INDEX(Fields!$C$2:$C$206,MATCH(A376-129,Fields!$D$2:$D$206,1)),""),"")</f>
        <v/>
      </c>
    </row>
    <row r="377">
      <c r="A377" t="n">
        <v>376</v>
      </c>
      <c r="B377">
        <f>IFERROR(INDEX(RawBits!$A:$A,MATCH($A377,RawBits!$H:$H,0)),"?")</f>
        <v/>
      </c>
      <c r="C377">
        <f>IFERROR(INDEX(RawBits!$G:$G,MATCH($A377,RawBits!$H:$H,0)),"")</f>
        <v/>
      </c>
      <c r="D377">
        <f>IFERROR(IF(AND(A377&gt;=129,A377&lt;=2176),INDEX(Fields!$B$2:$B$206,MATCH(A377-129,Fields!$D$2:$D$206,1)),""),"")</f>
        <v/>
      </c>
      <c r="E377">
        <f>IFERROR(IF(AND(A377&gt;=129,A377&lt;=2176),INDEX(Fields!$C$2:$C$206,MATCH(A377-129,Fields!$D$2:$D$206,1)),""),"")</f>
        <v/>
      </c>
    </row>
    <row r="378">
      <c r="A378" t="n">
        <v>377</v>
      </c>
      <c r="B378">
        <f>IFERROR(INDEX(RawBits!$A:$A,MATCH($A378,RawBits!$H:$H,0)),"?")</f>
        <v/>
      </c>
      <c r="C378">
        <f>IFERROR(INDEX(RawBits!$G:$G,MATCH($A378,RawBits!$H:$H,0)),"")</f>
        <v/>
      </c>
      <c r="D378">
        <f>IFERROR(IF(AND(A378&gt;=129,A378&lt;=2176),INDEX(Fields!$B$2:$B$206,MATCH(A378-129,Fields!$D$2:$D$206,1)),""),"")</f>
        <v/>
      </c>
      <c r="E378">
        <f>IFERROR(IF(AND(A378&gt;=129,A378&lt;=2176),INDEX(Fields!$C$2:$C$206,MATCH(A378-129,Fields!$D$2:$D$206,1)),""),"")</f>
        <v/>
      </c>
    </row>
    <row r="379">
      <c r="A379" t="n">
        <v>378</v>
      </c>
      <c r="B379">
        <f>IFERROR(INDEX(RawBits!$A:$A,MATCH($A379,RawBits!$H:$H,0)),"?")</f>
        <v/>
      </c>
      <c r="C379">
        <f>IFERROR(INDEX(RawBits!$G:$G,MATCH($A379,RawBits!$H:$H,0)),"")</f>
        <v/>
      </c>
      <c r="D379">
        <f>IFERROR(IF(AND(A379&gt;=129,A379&lt;=2176),INDEX(Fields!$B$2:$B$206,MATCH(A379-129,Fields!$D$2:$D$206,1)),""),"")</f>
        <v/>
      </c>
      <c r="E379">
        <f>IFERROR(IF(AND(A379&gt;=129,A379&lt;=2176),INDEX(Fields!$C$2:$C$206,MATCH(A379-129,Fields!$D$2:$D$206,1)),""),"")</f>
        <v/>
      </c>
    </row>
    <row r="380">
      <c r="A380" t="n">
        <v>379</v>
      </c>
      <c r="B380">
        <f>IFERROR(INDEX(RawBits!$A:$A,MATCH($A380,RawBits!$H:$H,0)),"?")</f>
        <v/>
      </c>
      <c r="C380">
        <f>IFERROR(INDEX(RawBits!$G:$G,MATCH($A380,RawBits!$H:$H,0)),"")</f>
        <v/>
      </c>
      <c r="D380">
        <f>IFERROR(IF(AND(A380&gt;=129,A380&lt;=2176),INDEX(Fields!$B$2:$B$206,MATCH(A380-129,Fields!$D$2:$D$206,1)),""),"")</f>
        <v/>
      </c>
      <c r="E380">
        <f>IFERROR(IF(AND(A380&gt;=129,A380&lt;=2176),INDEX(Fields!$C$2:$C$206,MATCH(A380-129,Fields!$D$2:$D$206,1)),""),"")</f>
        <v/>
      </c>
    </row>
    <row r="381">
      <c r="A381" t="n">
        <v>380</v>
      </c>
      <c r="B381">
        <f>IFERROR(INDEX(RawBits!$A:$A,MATCH($A381,RawBits!$H:$H,0)),"?")</f>
        <v/>
      </c>
      <c r="C381">
        <f>IFERROR(INDEX(RawBits!$G:$G,MATCH($A381,RawBits!$H:$H,0)),"")</f>
        <v/>
      </c>
      <c r="D381">
        <f>IFERROR(IF(AND(A381&gt;=129,A381&lt;=2176),INDEX(Fields!$B$2:$B$206,MATCH(A381-129,Fields!$D$2:$D$206,1)),""),"")</f>
        <v/>
      </c>
      <c r="E381">
        <f>IFERROR(IF(AND(A381&gt;=129,A381&lt;=2176),INDEX(Fields!$C$2:$C$206,MATCH(A381-129,Fields!$D$2:$D$206,1)),""),"")</f>
        <v/>
      </c>
    </row>
    <row r="382">
      <c r="A382" t="n">
        <v>381</v>
      </c>
      <c r="B382">
        <f>IFERROR(INDEX(RawBits!$A:$A,MATCH($A382,RawBits!$H:$H,0)),"?")</f>
        <v/>
      </c>
      <c r="C382">
        <f>IFERROR(INDEX(RawBits!$G:$G,MATCH($A382,RawBits!$H:$H,0)),"")</f>
        <v/>
      </c>
      <c r="D382">
        <f>IFERROR(IF(AND(A382&gt;=129,A382&lt;=2176),INDEX(Fields!$B$2:$B$206,MATCH(A382-129,Fields!$D$2:$D$206,1)),""),"")</f>
        <v/>
      </c>
      <c r="E382">
        <f>IFERROR(IF(AND(A382&gt;=129,A382&lt;=2176),INDEX(Fields!$C$2:$C$206,MATCH(A382-129,Fields!$D$2:$D$206,1)),""),"")</f>
        <v/>
      </c>
    </row>
    <row r="383">
      <c r="A383" t="n">
        <v>382</v>
      </c>
      <c r="B383">
        <f>IFERROR(INDEX(RawBits!$A:$A,MATCH($A383,RawBits!$H:$H,0)),"?")</f>
        <v/>
      </c>
      <c r="C383">
        <f>IFERROR(INDEX(RawBits!$G:$G,MATCH($A383,RawBits!$H:$H,0)),"")</f>
        <v/>
      </c>
      <c r="D383">
        <f>IFERROR(IF(AND(A383&gt;=129,A383&lt;=2176),INDEX(Fields!$B$2:$B$206,MATCH(A383-129,Fields!$D$2:$D$206,1)),""),"")</f>
        <v/>
      </c>
      <c r="E383">
        <f>IFERROR(IF(AND(A383&gt;=129,A383&lt;=2176),INDEX(Fields!$C$2:$C$206,MATCH(A383-129,Fields!$D$2:$D$206,1)),""),"")</f>
        <v/>
      </c>
    </row>
    <row r="384">
      <c r="A384" t="n">
        <v>383</v>
      </c>
      <c r="B384">
        <f>IFERROR(INDEX(RawBits!$A:$A,MATCH($A384,RawBits!$H:$H,0)),"?")</f>
        <v/>
      </c>
      <c r="C384">
        <f>IFERROR(INDEX(RawBits!$G:$G,MATCH($A384,RawBits!$H:$H,0)),"")</f>
        <v/>
      </c>
      <c r="D384">
        <f>IFERROR(IF(AND(A384&gt;=129,A384&lt;=2176),INDEX(Fields!$B$2:$B$206,MATCH(A384-129,Fields!$D$2:$D$206,1)),""),"")</f>
        <v/>
      </c>
      <c r="E384">
        <f>IFERROR(IF(AND(A384&gt;=129,A384&lt;=2176),INDEX(Fields!$C$2:$C$206,MATCH(A384-129,Fields!$D$2:$D$206,1)),""),"")</f>
        <v/>
      </c>
    </row>
    <row r="385">
      <c r="A385" t="n">
        <v>384</v>
      </c>
      <c r="B385">
        <f>IFERROR(INDEX(RawBits!$A:$A,MATCH($A385,RawBits!$H:$H,0)),"?")</f>
        <v/>
      </c>
      <c r="C385">
        <f>IFERROR(INDEX(RawBits!$G:$G,MATCH($A385,RawBits!$H:$H,0)),"")</f>
        <v/>
      </c>
      <c r="D385">
        <f>IFERROR(IF(AND(A385&gt;=129,A385&lt;=2176),INDEX(Fields!$B$2:$B$206,MATCH(A385-129,Fields!$D$2:$D$206,1)),""),"")</f>
        <v/>
      </c>
      <c r="E385">
        <f>IFERROR(IF(AND(A385&gt;=129,A385&lt;=2176),INDEX(Fields!$C$2:$C$206,MATCH(A385-129,Fields!$D$2:$D$206,1)),""),"")</f>
        <v/>
      </c>
    </row>
    <row r="386">
      <c r="A386" t="n">
        <v>385</v>
      </c>
      <c r="B386">
        <f>IFERROR(INDEX(RawBits!$A:$A,MATCH($A386,RawBits!$H:$H,0)),"?")</f>
        <v/>
      </c>
      <c r="C386">
        <f>IFERROR(INDEX(RawBits!$G:$G,MATCH($A386,RawBits!$H:$H,0)),"")</f>
        <v/>
      </c>
      <c r="D386">
        <f>IFERROR(IF(AND(A386&gt;=129,A386&lt;=2176),INDEX(Fields!$B$2:$B$206,MATCH(A386-129,Fields!$D$2:$D$206,1)),""),"")</f>
        <v/>
      </c>
      <c r="E386">
        <f>IFERROR(IF(AND(A386&gt;=129,A386&lt;=2176),INDEX(Fields!$C$2:$C$206,MATCH(A386-129,Fields!$D$2:$D$206,1)),""),"")</f>
        <v/>
      </c>
    </row>
    <row r="387">
      <c r="A387" t="n">
        <v>386</v>
      </c>
      <c r="B387">
        <f>IFERROR(INDEX(RawBits!$A:$A,MATCH($A387,RawBits!$H:$H,0)),"?")</f>
        <v/>
      </c>
      <c r="C387">
        <f>IFERROR(INDEX(RawBits!$G:$G,MATCH($A387,RawBits!$H:$H,0)),"")</f>
        <v/>
      </c>
      <c r="D387">
        <f>IFERROR(IF(AND(A387&gt;=129,A387&lt;=2176),INDEX(Fields!$B$2:$B$206,MATCH(A387-129,Fields!$D$2:$D$206,1)),""),"")</f>
        <v/>
      </c>
      <c r="E387">
        <f>IFERROR(IF(AND(A387&gt;=129,A387&lt;=2176),INDEX(Fields!$C$2:$C$206,MATCH(A387-129,Fields!$D$2:$D$206,1)),""),"")</f>
        <v/>
      </c>
    </row>
    <row r="388">
      <c r="A388" t="n">
        <v>387</v>
      </c>
      <c r="B388">
        <f>IFERROR(INDEX(RawBits!$A:$A,MATCH($A388,RawBits!$H:$H,0)),"?")</f>
        <v/>
      </c>
      <c r="C388">
        <f>IFERROR(INDEX(RawBits!$G:$G,MATCH($A388,RawBits!$H:$H,0)),"")</f>
        <v/>
      </c>
      <c r="D388">
        <f>IFERROR(IF(AND(A388&gt;=129,A388&lt;=2176),INDEX(Fields!$B$2:$B$206,MATCH(A388-129,Fields!$D$2:$D$206,1)),""),"")</f>
        <v/>
      </c>
      <c r="E388">
        <f>IFERROR(IF(AND(A388&gt;=129,A388&lt;=2176),INDEX(Fields!$C$2:$C$206,MATCH(A388-129,Fields!$D$2:$D$206,1)),""),"")</f>
        <v/>
      </c>
    </row>
    <row r="389">
      <c r="A389" t="n">
        <v>388</v>
      </c>
      <c r="B389">
        <f>IFERROR(INDEX(RawBits!$A:$A,MATCH($A389,RawBits!$H:$H,0)),"?")</f>
        <v/>
      </c>
      <c r="C389">
        <f>IFERROR(INDEX(RawBits!$G:$G,MATCH($A389,RawBits!$H:$H,0)),"")</f>
        <v/>
      </c>
      <c r="D389">
        <f>IFERROR(IF(AND(A389&gt;=129,A389&lt;=2176),INDEX(Fields!$B$2:$B$206,MATCH(A389-129,Fields!$D$2:$D$206,1)),""),"")</f>
        <v/>
      </c>
      <c r="E389">
        <f>IFERROR(IF(AND(A389&gt;=129,A389&lt;=2176),INDEX(Fields!$C$2:$C$206,MATCH(A389-129,Fields!$D$2:$D$206,1)),""),"")</f>
        <v/>
      </c>
    </row>
    <row r="390">
      <c r="A390" t="n">
        <v>389</v>
      </c>
      <c r="B390">
        <f>IFERROR(INDEX(RawBits!$A:$A,MATCH($A390,RawBits!$H:$H,0)),"?")</f>
        <v/>
      </c>
      <c r="C390">
        <f>IFERROR(INDEX(RawBits!$G:$G,MATCH($A390,RawBits!$H:$H,0)),"")</f>
        <v/>
      </c>
      <c r="D390">
        <f>IFERROR(IF(AND(A390&gt;=129,A390&lt;=2176),INDEX(Fields!$B$2:$B$206,MATCH(A390-129,Fields!$D$2:$D$206,1)),""),"")</f>
        <v/>
      </c>
      <c r="E390">
        <f>IFERROR(IF(AND(A390&gt;=129,A390&lt;=2176),INDEX(Fields!$C$2:$C$206,MATCH(A390-129,Fields!$D$2:$D$206,1)),""),"")</f>
        <v/>
      </c>
    </row>
    <row r="391">
      <c r="A391" t="n">
        <v>390</v>
      </c>
      <c r="B391">
        <f>IFERROR(INDEX(RawBits!$A:$A,MATCH($A391,RawBits!$H:$H,0)),"?")</f>
        <v/>
      </c>
      <c r="C391">
        <f>IFERROR(INDEX(RawBits!$G:$G,MATCH($A391,RawBits!$H:$H,0)),"")</f>
        <v/>
      </c>
      <c r="D391">
        <f>IFERROR(IF(AND(A391&gt;=129,A391&lt;=2176),INDEX(Fields!$B$2:$B$206,MATCH(A391-129,Fields!$D$2:$D$206,1)),""),"")</f>
        <v/>
      </c>
      <c r="E391">
        <f>IFERROR(IF(AND(A391&gt;=129,A391&lt;=2176),INDEX(Fields!$C$2:$C$206,MATCH(A391-129,Fields!$D$2:$D$206,1)),""),"")</f>
        <v/>
      </c>
    </row>
    <row r="392">
      <c r="A392" t="n">
        <v>391</v>
      </c>
      <c r="B392">
        <f>IFERROR(INDEX(RawBits!$A:$A,MATCH($A392,RawBits!$H:$H,0)),"?")</f>
        <v/>
      </c>
      <c r="C392">
        <f>IFERROR(INDEX(RawBits!$G:$G,MATCH($A392,RawBits!$H:$H,0)),"")</f>
        <v/>
      </c>
      <c r="D392">
        <f>IFERROR(IF(AND(A392&gt;=129,A392&lt;=2176),INDEX(Fields!$B$2:$B$206,MATCH(A392-129,Fields!$D$2:$D$206,1)),""),"")</f>
        <v/>
      </c>
      <c r="E392">
        <f>IFERROR(IF(AND(A392&gt;=129,A392&lt;=2176),INDEX(Fields!$C$2:$C$206,MATCH(A392-129,Fields!$D$2:$D$206,1)),""),"")</f>
        <v/>
      </c>
    </row>
    <row r="393">
      <c r="A393" t="n">
        <v>392</v>
      </c>
      <c r="B393">
        <f>IFERROR(INDEX(RawBits!$A:$A,MATCH($A393,RawBits!$H:$H,0)),"?")</f>
        <v/>
      </c>
      <c r="C393">
        <f>IFERROR(INDEX(RawBits!$G:$G,MATCH($A393,RawBits!$H:$H,0)),"")</f>
        <v/>
      </c>
      <c r="D393">
        <f>IFERROR(IF(AND(A393&gt;=129,A393&lt;=2176),INDEX(Fields!$B$2:$B$206,MATCH(A393-129,Fields!$D$2:$D$206,1)),""),"")</f>
        <v/>
      </c>
      <c r="E393">
        <f>IFERROR(IF(AND(A393&gt;=129,A393&lt;=2176),INDEX(Fields!$C$2:$C$206,MATCH(A393-129,Fields!$D$2:$D$206,1)),""),"")</f>
        <v/>
      </c>
    </row>
    <row r="394">
      <c r="A394" t="n">
        <v>393</v>
      </c>
      <c r="B394">
        <f>IFERROR(INDEX(RawBits!$A:$A,MATCH($A394,RawBits!$H:$H,0)),"?")</f>
        <v/>
      </c>
      <c r="C394">
        <f>IFERROR(INDEX(RawBits!$G:$G,MATCH($A394,RawBits!$H:$H,0)),"")</f>
        <v/>
      </c>
      <c r="D394">
        <f>IFERROR(IF(AND(A394&gt;=129,A394&lt;=2176),INDEX(Fields!$B$2:$B$206,MATCH(A394-129,Fields!$D$2:$D$206,1)),""),"")</f>
        <v/>
      </c>
      <c r="E394">
        <f>IFERROR(IF(AND(A394&gt;=129,A394&lt;=2176),INDEX(Fields!$C$2:$C$206,MATCH(A394-129,Fields!$D$2:$D$206,1)),""),"")</f>
        <v/>
      </c>
    </row>
    <row r="395">
      <c r="A395" t="n">
        <v>394</v>
      </c>
      <c r="B395">
        <f>IFERROR(INDEX(RawBits!$A:$A,MATCH($A395,RawBits!$H:$H,0)),"?")</f>
        <v/>
      </c>
      <c r="C395">
        <f>IFERROR(INDEX(RawBits!$G:$G,MATCH($A395,RawBits!$H:$H,0)),"")</f>
        <v/>
      </c>
      <c r="D395">
        <f>IFERROR(IF(AND(A395&gt;=129,A395&lt;=2176),INDEX(Fields!$B$2:$B$206,MATCH(A395-129,Fields!$D$2:$D$206,1)),""),"")</f>
        <v/>
      </c>
      <c r="E395">
        <f>IFERROR(IF(AND(A395&gt;=129,A395&lt;=2176),INDEX(Fields!$C$2:$C$206,MATCH(A395-129,Fields!$D$2:$D$206,1)),""),"")</f>
        <v/>
      </c>
    </row>
    <row r="396">
      <c r="A396" t="n">
        <v>395</v>
      </c>
      <c r="B396">
        <f>IFERROR(INDEX(RawBits!$A:$A,MATCH($A396,RawBits!$H:$H,0)),"?")</f>
        <v/>
      </c>
      <c r="C396">
        <f>IFERROR(INDEX(RawBits!$G:$G,MATCH($A396,RawBits!$H:$H,0)),"")</f>
        <v/>
      </c>
      <c r="D396">
        <f>IFERROR(IF(AND(A396&gt;=129,A396&lt;=2176),INDEX(Fields!$B$2:$B$206,MATCH(A396-129,Fields!$D$2:$D$206,1)),""),"")</f>
        <v/>
      </c>
      <c r="E396">
        <f>IFERROR(IF(AND(A396&gt;=129,A396&lt;=2176),INDEX(Fields!$C$2:$C$206,MATCH(A396-129,Fields!$D$2:$D$206,1)),""),"")</f>
        <v/>
      </c>
    </row>
    <row r="397">
      <c r="A397" t="n">
        <v>396</v>
      </c>
      <c r="B397">
        <f>IFERROR(INDEX(RawBits!$A:$A,MATCH($A397,RawBits!$H:$H,0)),"?")</f>
        <v/>
      </c>
      <c r="C397">
        <f>IFERROR(INDEX(RawBits!$G:$G,MATCH($A397,RawBits!$H:$H,0)),"")</f>
        <v/>
      </c>
      <c r="D397">
        <f>IFERROR(IF(AND(A397&gt;=129,A397&lt;=2176),INDEX(Fields!$B$2:$B$206,MATCH(A397-129,Fields!$D$2:$D$206,1)),""),"")</f>
        <v/>
      </c>
      <c r="E397">
        <f>IFERROR(IF(AND(A397&gt;=129,A397&lt;=2176),INDEX(Fields!$C$2:$C$206,MATCH(A397-129,Fields!$D$2:$D$206,1)),""),"")</f>
        <v/>
      </c>
    </row>
    <row r="398">
      <c r="A398" t="n">
        <v>397</v>
      </c>
      <c r="B398">
        <f>IFERROR(INDEX(RawBits!$A:$A,MATCH($A398,RawBits!$H:$H,0)),"?")</f>
        <v/>
      </c>
      <c r="C398">
        <f>IFERROR(INDEX(RawBits!$G:$G,MATCH($A398,RawBits!$H:$H,0)),"")</f>
        <v/>
      </c>
      <c r="D398">
        <f>IFERROR(IF(AND(A398&gt;=129,A398&lt;=2176),INDEX(Fields!$B$2:$B$206,MATCH(A398-129,Fields!$D$2:$D$206,1)),""),"")</f>
        <v/>
      </c>
      <c r="E398">
        <f>IFERROR(IF(AND(A398&gt;=129,A398&lt;=2176),INDEX(Fields!$C$2:$C$206,MATCH(A398-129,Fields!$D$2:$D$206,1)),""),"")</f>
        <v/>
      </c>
    </row>
    <row r="399">
      <c r="A399" t="n">
        <v>398</v>
      </c>
      <c r="B399">
        <f>IFERROR(INDEX(RawBits!$A:$A,MATCH($A399,RawBits!$H:$H,0)),"?")</f>
        <v/>
      </c>
      <c r="C399">
        <f>IFERROR(INDEX(RawBits!$G:$G,MATCH($A399,RawBits!$H:$H,0)),"")</f>
        <v/>
      </c>
      <c r="D399">
        <f>IFERROR(IF(AND(A399&gt;=129,A399&lt;=2176),INDEX(Fields!$B$2:$B$206,MATCH(A399-129,Fields!$D$2:$D$206,1)),""),"")</f>
        <v/>
      </c>
      <c r="E399">
        <f>IFERROR(IF(AND(A399&gt;=129,A399&lt;=2176),INDEX(Fields!$C$2:$C$206,MATCH(A399-129,Fields!$D$2:$D$206,1)),""),"")</f>
        <v/>
      </c>
    </row>
    <row r="400">
      <c r="A400" t="n">
        <v>399</v>
      </c>
      <c r="B400">
        <f>IFERROR(INDEX(RawBits!$A:$A,MATCH($A400,RawBits!$H:$H,0)),"?")</f>
        <v/>
      </c>
      <c r="C400">
        <f>IFERROR(INDEX(RawBits!$G:$G,MATCH($A400,RawBits!$H:$H,0)),"")</f>
        <v/>
      </c>
      <c r="D400">
        <f>IFERROR(IF(AND(A400&gt;=129,A400&lt;=2176),INDEX(Fields!$B$2:$B$206,MATCH(A400-129,Fields!$D$2:$D$206,1)),""),"")</f>
        <v/>
      </c>
      <c r="E400">
        <f>IFERROR(IF(AND(A400&gt;=129,A400&lt;=2176),INDEX(Fields!$C$2:$C$206,MATCH(A400-129,Fields!$D$2:$D$206,1)),""),"")</f>
        <v/>
      </c>
    </row>
    <row r="401">
      <c r="A401" t="n">
        <v>400</v>
      </c>
      <c r="B401">
        <f>IFERROR(INDEX(RawBits!$A:$A,MATCH($A401,RawBits!$H:$H,0)),"?")</f>
        <v/>
      </c>
      <c r="C401">
        <f>IFERROR(INDEX(RawBits!$G:$G,MATCH($A401,RawBits!$H:$H,0)),"")</f>
        <v/>
      </c>
      <c r="D401">
        <f>IFERROR(IF(AND(A401&gt;=129,A401&lt;=2176),INDEX(Fields!$B$2:$B$206,MATCH(A401-129,Fields!$D$2:$D$206,1)),""),"")</f>
        <v/>
      </c>
      <c r="E401">
        <f>IFERROR(IF(AND(A401&gt;=129,A401&lt;=2176),INDEX(Fields!$C$2:$C$206,MATCH(A401-129,Fields!$D$2:$D$206,1)),""),"")</f>
        <v/>
      </c>
    </row>
    <row r="402">
      <c r="A402" t="n">
        <v>401</v>
      </c>
      <c r="B402">
        <f>IFERROR(INDEX(RawBits!$A:$A,MATCH($A402,RawBits!$H:$H,0)),"?")</f>
        <v/>
      </c>
      <c r="C402">
        <f>IFERROR(INDEX(RawBits!$G:$G,MATCH($A402,RawBits!$H:$H,0)),"")</f>
        <v/>
      </c>
      <c r="D402">
        <f>IFERROR(IF(AND(A402&gt;=129,A402&lt;=2176),INDEX(Fields!$B$2:$B$206,MATCH(A402-129,Fields!$D$2:$D$206,1)),""),"")</f>
        <v/>
      </c>
      <c r="E402">
        <f>IFERROR(IF(AND(A402&gt;=129,A402&lt;=2176),INDEX(Fields!$C$2:$C$206,MATCH(A402-129,Fields!$D$2:$D$206,1)),""),"")</f>
        <v/>
      </c>
    </row>
    <row r="403">
      <c r="A403" t="n">
        <v>402</v>
      </c>
      <c r="B403">
        <f>IFERROR(INDEX(RawBits!$A:$A,MATCH($A403,RawBits!$H:$H,0)),"?")</f>
        <v/>
      </c>
      <c r="C403">
        <f>IFERROR(INDEX(RawBits!$G:$G,MATCH($A403,RawBits!$H:$H,0)),"")</f>
        <v/>
      </c>
      <c r="D403">
        <f>IFERROR(IF(AND(A403&gt;=129,A403&lt;=2176),INDEX(Fields!$B$2:$B$206,MATCH(A403-129,Fields!$D$2:$D$206,1)),""),"")</f>
        <v/>
      </c>
      <c r="E403">
        <f>IFERROR(IF(AND(A403&gt;=129,A403&lt;=2176),INDEX(Fields!$C$2:$C$206,MATCH(A403-129,Fields!$D$2:$D$206,1)),""),"")</f>
        <v/>
      </c>
    </row>
    <row r="404">
      <c r="A404" t="n">
        <v>403</v>
      </c>
      <c r="B404">
        <f>IFERROR(INDEX(RawBits!$A:$A,MATCH($A404,RawBits!$H:$H,0)),"?")</f>
        <v/>
      </c>
      <c r="C404">
        <f>IFERROR(INDEX(RawBits!$G:$G,MATCH($A404,RawBits!$H:$H,0)),"")</f>
        <v/>
      </c>
      <c r="D404">
        <f>IFERROR(IF(AND(A404&gt;=129,A404&lt;=2176),INDEX(Fields!$B$2:$B$206,MATCH(A404-129,Fields!$D$2:$D$206,1)),""),"")</f>
        <v/>
      </c>
      <c r="E404">
        <f>IFERROR(IF(AND(A404&gt;=129,A404&lt;=2176),INDEX(Fields!$C$2:$C$206,MATCH(A404-129,Fields!$D$2:$D$206,1)),""),"")</f>
        <v/>
      </c>
    </row>
    <row r="405">
      <c r="A405" t="n">
        <v>404</v>
      </c>
      <c r="B405">
        <f>IFERROR(INDEX(RawBits!$A:$A,MATCH($A405,RawBits!$H:$H,0)),"?")</f>
        <v/>
      </c>
      <c r="C405">
        <f>IFERROR(INDEX(RawBits!$G:$G,MATCH($A405,RawBits!$H:$H,0)),"")</f>
        <v/>
      </c>
      <c r="D405">
        <f>IFERROR(IF(AND(A405&gt;=129,A405&lt;=2176),INDEX(Fields!$B$2:$B$206,MATCH(A405-129,Fields!$D$2:$D$206,1)),""),"")</f>
        <v/>
      </c>
      <c r="E405">
        <f>IFERROR(IF(AND(A405&gt;=129,A405&lt;=2176),INDEX(Fields!$C$2:$C$206,MATCH(A405-129,Fields!$D$2:$D$206,1)),""),"")</f>
        <v/>
      </c>
    </row>
    <row r="406">
      <c r="A406" t="n">
        <v>405</v>
      </c>
      <c r="B406">
        <f>IFERROR(INDEX(RawBits!$A:$A,MATCH($A406,RawBits!$H:$H,0)),"?")</f>
        <v/>
      </c>
      <c r="C406">
        <f>IFERROR(INDEX(RawBits!$G:$G,MATCH($A406,RawBits!$H:$H,0)),"")</f>
        <v/>
      </c>
      <c r="D406">
        <f>IFERROR(IF(AND(A406&gt;=129,A406&lt;=2176),INDEX(Fields!$B$2:$B$206,MATCH(A406-129,Fields!$D$2:$D$206,1)),""),"")</f>
        <v/>
      </c>
      <c r="E406">
        <f>IFERROR(IF(AND(A406&gt;=129,A406&lt;=2176),INDEX(Fields!$C$2:$C$206,MATCH(A406-129,Fields!$D$2:$D$206,1)),""),"")</f>
        <v/>
      </c>
    </row>
    <row r="407">
      <c r="A407" t="n">
        <v>406</v>
      </c>
      <c r="B407">
        <f>IFERROR(INDEX(RawBits!$A:$A,MATCH($A407,RawBits!$H:$H,0)),"?")</f>
        <v/>
      </c>
      <c r="C407">
        <f>IFERROR(INDEX(RawBits!$G:$G,MATCH($A407,RawBits!$H:$H,0)),"")</f>
        <v/>
      </c>
      <c r="D407">
        <f>IFERROR(IF(AND(A407&gt;=129,A407&lt;=2176),INDEX(Fields!$B$2:$B$206,MATCH(A407-129,Fields!$D$2:$D$206,1)),""),"")</f>
        <v/>
      </c>
      <c r="E407">
        <f>IFERROR(IF(AND(A407&gt;=129,A407&lt;=2176),INDEX(Fields!$C$2:$C$206,MATCH(A407-129,Fields!$D$2:$D$206,1)),""),"")</f>
        <v/>
      </c>
    </row>
    <row r="408">
      <c r="A408" t="n">
        <v>407</v>
      </c>
      <c r="B408">
        <f>IFERROR(INDEX(RawBits!$A:$A,MATCH($A408,RawBits!$H:$H,0)),"?")</f>
        <v/>
      </c>
      <c r="C408">
        <f>IFERROR(INDEX(RawBits!$G:$G,MATCH($A408,RawBits!$H:$H,0)),"")</f>
        <v/>
      </c>
      <c r="D408">
        <f>IFERROR(IF(AND(A408&gt;=129,A408&lt;=2176),INDEX(Fields!$B$2:$B$206,MATCH(A408-129,Fields!$D$2:$D$206,1)),""),"")</f>
        <v/>
      </c>
      <c r="E408">
        <f>IFERROR(IF(AND(A408&gt;=129,A408&lt;=2176),INDEX(Fields!$C$2:$C$206,MATCH(A408-129,Fields!$D$2:$D$206,1)),""),"")</f>
        <v/>
      </c>
    </row>
    <row r="409">
      <c r="A409" t="n">
        <v>408</v>
      </c>
      <c r="B409">
        <f>IFERROR(INDEX(RawBits!$A:$A,MATCH($A409,RawBits!$H:$H,0)),"?")</f>
        <v/>
      </c>
      <c r="C409">
        <f>IFERROR(INDEX(RawBits!$G:$G,MATCH($A409,RawBits!$H:$H,0)),"")</f>
        <v/>
      </c>
      <c r="D409">
        <f>IFERROR(IF(AND(A409&gt;=129,A409&lt;=2176),INDEX(Fields!$B$2:$B$206,MATCH(A409-129,Fields!$D$2:$D$206,1)),""),"")</f>
        <v/>
      </c>
      <c r="E409">
        <f>IFERROR(IF(AND(A409&gt;=129,A409&lt;=2176),INDEX(Fields!$C$2:$C$206,MATCH(A409-129,Fields!$D$2:$D$206,1)),""),"")</f>
        <v/>
      </c>
    </row>
    <row r="410">
      <c r="A410" t="n">
        <v>409</v>
      </c>
      <c r="B410">
        <f>IFERROR(INDEX(RawBits!$A:$A,MATCH($A410,RawBits!$H:$H,0)),"?")</f>
        <v/>
      </c>
      <c r="C410">
        <f>IFERROR(INDEX(RawBits!$G:$G,MATCH($A410,RawBits!$H:$H,0)),"")</f>
        <v/>
      </c>
      <c r="D410">
        <f>IFERROR(IF(AND(A410&gt;=129,A410&lt;=2176),INDEX(Fields!$B$2:$B$206,MATCH(A410-129,Fields!$D$2:$D$206,1)),""),"")</f>
        <v/>
      </c>
      <c r="E410">
        <f>IFERROR(IF(AND(A410&gt;=129,A410&lt;=2176),INDEX(Fields!$C$2:$C$206,MATCH(A410-129,Fields!$D$2:$D$206,1)),""),"")</f>
        <v/>
      </c>
    </row>
    <row r="411">
      <c r="A411" t="n">
        <v>410</v>
      </c>
      <c r="B411">
        <f>IFERROR(INDEX(RawBits!$A:$A,MATCH($A411,RawBits!$H:$H,0)),"?")</f>
        <v/>
      </c>
      <c r="C411">
        <f>IFERROR(INDEX(RawBits!$G:$G,MATCH($A411,RawBits!$H:$H,0)),"")</f>
        <v/>
      </c>
      <c r="D411">
        <f>IFERROR(IF(AND(A411&gt;=129,A411&lt;=2176),INDEX(Fields!$B$2:$B$206,MATCH(A411-129,Fields!$D$2:$D$206,1)),""),"")</f>
        <v/>
      </c>
      <c r="E411">
        <f>IFERROR(IF(AND(A411&gt;=129,A411&lt;=2176),INDEX(Fields!$C$2:$C$206,MATCH(A411-129,Fields!$D$2:$D$206,1)),""),"")</f>
        <v/>
      </c>
    </row>
    <row r="412">
      <c r="A412" t="n">
        <v>411</v>
      </c>
      <c r="B412">
        <f>IFERROR(INDEX(RawBits!$A:$A,MATCH($A412,RawBits!$H:$H,0)),"?")</f>
        <v/>
      </c>
      <c r="C412">
        <f>IFERROR(INDEX(RawBits!$G:$G,MATCH($A412,RawBits!$H:$H,0)),"")</f>
        <v/>
      </c>
      <c r="D412">
        <f>IFERROR(IF(AND(A412&gt;=129,A412&lt;=2176),INDEX(Fields!$B$2:$B$206,MATCH(A412-129,Fields!$D$2:$D$206,1)),""),"")</f>
        <v/>
      </c>
      <c r="E412">
        <f>IFERROR(IF(AND(A412&gt;=129,A412&lt;=2176),INDEX(Fields!$C$2:$C$206,MATCH(A412-129,Fields!$D$2:$D$206,1)),""),"")</f>
        <v/>
      </c>
    </row>
    <row r="413">
      <c r="A413" t="n">
        <v>412</v>
      </c>
      <c r="B413">
        <f>IFERROR(INDEX(RawBits!$A:$A,MATCH($A413,RawBits!$H:$H,0)),"?")</f>
        <v/>
      </c>
      <c r="C413">
        <f>IFERROR(INDEX(RawBits!$G:$G,MATCH($A413,RawBits!$H:$H,0)),"")</f>
        <v/>
      </c>
      <c r="D413">
        <f>IFERROR(IF(AND(A413&gt;=129,A413&lt;=2176),INDEX(Fields!$B$2:$B$206,MATCH(A413-129,Fields!$D$2:$D$206,1)),""),"")</f>
        <v/>
      </c>
      <c r="E413">
        <f>IFERROR(IF(AND(A413&gt;=129,A413&lt;=2176),INDEX(Fields!$C$2:$C$206,MATCH(A413-129,Fields!$D$2:$D$206,1)),""),"")</f>
        <v/>
      </c>
    </row>
    <row r="414">
      <c r="A414" t="n">
        <v>413</v>
      </c>
      <c r="B414">
        <f>IFERROR(INDEX(RawBits!$A:$A,MATCH($A414,RawBits!$H:$H,0)),"?")</f>
        <v/>
      </c>
      <c r="C414">
        <f>IFERROR(INDEX(RawBits!$G:$G,MATCH($A414,RawBits!$H:$H,0)),"")</f>
        <v/>
      </c>
      <c r="D414">
        <f>IFERROR(IF(AND(A414&gt;=129,A414&lt;=2176),INDEX(Fields!$B$2:$B$206,MATCH(A414-129,Fields!$D$2:$D$206,1)),""),"")</f>
        <v/>
      </c>
      <c r="E414">
        <f>IFERROR(IF(AND(A414&gt;=129,A414&lt;=2176),INDEX(Fields!$C$2:$C$206,MATCH(A414-129,Fields!$D$2:$D$206,1)),""),"")</f>
        <v/>
      </c>
    </row>
    <row r="415">
      <c r="A415" t="n">
        <v>414</v>
      </c>
      <c r="B415">
        <f>IFERROR(INDEX(RawBits!$A:$A,MATCH($A415,RawBits!$H:$H,0)),"?")</f>
        <v/>
      </c>
      <c r="C415">
        <f>IFERROR(INDEX(RawBits!$G:$G,MATCH($A415,RawBits!$H:$H,0)),"")</f>
        <v/>
      </c>
      <c r="D415">
        <f>IFERROR(IF(AND(A415&gt;=129,A415&lt;=2176),INDEX(Fields!$B$2:$B$206,MATCH(A415-129,Fields!$D$2:$D$206,1)),""),"")</f>
        <v/>
      </c>
      <c r="E415">
        <f>IFERROR(IF(AND(A415&gt;=129,A415&lt;=2176),INDEX(Fields!$C$2:$C$206,MATCH(A415-129,Fields!$D$2:$D$206,1)),""),"")</f>
        <v/>
      </c>
    </row>
    <row r="416">
      <c r="A416" t="n">
        <v>415</v>
      </c>
      <c r="B416">
        <f>IFERROR(INDEX(RawBits!$A:$A,MATCH($A416,RawBits!$H:$H,0)),"?")</f>
        <v/>
      </c>
      <c r="C416">
        <f>IFERROR(INDEX(RawBits!$G:$G,MATCH($A416,RawBits!$H:$H,0)),"")</f>
        <v/>
      </c>
      <c r="D416">
        <f>IFERROR(IF(AND(A416&gt;=129,A416&lt;=2176),INDEX(Fields!$B$2:$B$206,MATCH(A416-129,Fields!$D$2:$D$206,1)),""),"")</f>
        <v/>
      </c>
      <c r="E416">
        <f>IFERROR(IF(AND(A416&gt;=129,A416&lt;=2176),INDEX(Fields!$C$2:$C$206,MATCH(A416-129,Fields!$D$2:$D$206,1)),""),"")</f>
        <v/>
      </c>
    </row>
    <row r="417">
      <c r="A417" t="n">
        <v>416</v>
      </c>
      <c r="B417">
        <f>IFERROR(INDEX(RawBits!$A:$A,MATCH($A417,RawBits!$H:$H,0)),"?")</f>
        <v/>
      </c>
      <c r="C417">
        <f>IFERROR(INDEX(RawBits!$G:$G,MATCH($A417,RawBits!$H:$H,0)),"")</f>
        <v/>
      </c>
      <c r="D417">
        <f>IFERROR(IF(AND(A417&gt;=129,A417&lt;=2176),INDEX(Fields!$B$2:$B$206,MATCH(A417-129,Fields!$D$2:$D$206,1)),""),"")</f>
        <v/>
      </c>
      <c r="E417">
        <f>IFERROR(IF(AND(A417&gt;=129,A417&lt;=2176),INDEX(Fields!$C$2:$C$206,MATCH(A417-129,Fields!$D$2:$D$206,1)),""),"")</f>
        <v/>
      </c>
    </row>
    <row r="418">
      <c r="A418" t="n">
        <v>417</v>
      </c>
      <c r="B418">
        <f>IFERROR(INDEX(RawBits!$A:$A,MATCH($A418,RawBits!$H:$H,0)),"?")</f>
        <v/>
      </c>
      <c r="C418">
        <f>IFERROR(INDEX(RawBits!$G:$G,MATCH($A418,RawBits!$H:$H,0)),"")</f>
        <v/>
      </c>
      <c r="D418">
        <f>IFERROR(IF(AND(A418&gt;=129,A418&lt;=2176),INDEX(Fields!$B$2:$B$206,MATCH(A418-129,Fields!$D$2:$D$206,1)),""),"")</f>
        <v/>
      </c>
      <c r="E418">
        <f>IFERROR(IF(AND(A418&gt;=129,A418&lt;=2176),INDEX(Fields!$C$2:$C$206,MATCH(A418-129,Fields!$D$2:$D$206,1)),""),"")</f>
        <v/>
      </c>
    </row>
    <row r="419">
      <c r="A419" t="n">
        <v>418</v>
      </c>
      <c r="B419">
        <f>IFERROR(INDEX(RawBits!$A:$A,MATCH($A419,RawBits!$H:$H,0)),"?")</f>
        <v/>
      </c>
      <c r="C419">
        <f>IFERROR(INDEX(RawBits!$G:$G,MATCH($A419,RawBits!$H:$H,0)),"")</f>
        <v/>
      </c>
      <c r="D419">
        <f>IFERROR(IF(AND(A419&gt;=129,A419&lt;=2176),INDEX(Fields!$B$2:$B$206,MATCH(A419-129,Fields!$D$2:$D$206,1)),""),"")</f>
        <v/>
      </c>
      <c r="E419">
        <f>IFERROR(IF(AND(A419&gt;=129,A419&lt;=2176),INDEX(Fields!$C$2:$C$206,MATCH(A419-129,Fields!$D$2:$D$206,1)),""),"")</f>
        <v/>
      </c>
    </row>
    <row r="420">
      <c r="A420" t="n">
        <v>419</v>
      </c>
      <c r="B420">
        <f>IFERROR(INDEX(RawBits!$A:$A,MATCH($A420,RawBits!$H:$H,0)),"?")</f>
        <v/>
      </c>
      <c r="C420">
        <f>IFERROR(INDEX(RawBits!$G:$G,MATCH($A420,RawBits!$H:$H,0)),"")</f>
        <v/>
      </c>
      <c r="D420">
        <f>IFERROR(IF(AND(A420&gt;=129,A420&lt;=2176),INDEX(Fields!$B$2:$B$206,MATCH(A420-129,Fields!$D$2:$D$206,1)),""),"")</f>
        <v/>
      </c>
      <c r="E420">
        <f>IFERROR(IF(AND(A420&gt;=129,A420&lt;=2176),INDEX(Fields!$C$2:$C$206,MATCH(A420-129,Fields!$D$2:$D$206,1)),""),"")</f>
        <v/>
      </c>
    </row>
    <row r="421">
      <c r="A421" t="n">
        <v>420</v>
      </c>
      <c r="B421">
        <f>IFERROR(INDEX(RawBits!$A:$A,MATCH($A421,RawBits!$H:$H,0)),"?")</f>
        <v/>
      </c>
      <c r="C421">
        <f>IFERROR(INDEX(RawBits!$G:$G,MATCH($A421,RawBits!$H:$H,0)),"")</f>
        <v/>
      </c>
      <c r="D421">
        <f>IFERROR(IF(AND(A421&gt;=129,A421&lt;=2176),INDEX(Fields!$B$2:$B$206,MATCH(A421-129,Fields!$D$2:$D$206,1)),""),"")</f>
        <v/>
      </c>
      <c r="E421">
        <f>IFERROR(IF(AND(A421&gt;=129,A421&lt;=2176),INDEX(Fields!$C$2:$C$206,MATCH(A421-129,Fields!$D$2:$D$206,1)),""),"")</f>
        <v/>
      </c>
    </row>
    <row r="422">
      <c r="A422" t="n">
        <v>421</v>
      </c>
      <c r="B422">
        <f>IFERROR(INDEX(RawBits!$A:$A,MATCH($A422,RawBits!$H:$H,0)),"?")</f>
        <v/>
      </c>
      <c r="C422">
        <f>IFERROR(INDEX(RawBits!$G:$G,MATCH($A422,RawBits!$H:$H,0)),"")</f>
        <v/>
      </c>
      <c r="D422">
        <f>IFERROR(IF(AND(A422&gt;=129,A422&lt;=2176),INDEX(Fields!$B$2:$B$206,MATCH(A422-129,Fields!$D$2:$D$206,1)),""),"")</f>
        <v/>
      </c>
      <c r="E422">
        <f>IFERROR(IF(AND(A422&gt;=129,A422&lt;=2176),INDEX(Fields!$C$2:$C$206,MATCH(A422-129,Fields!$D$2:$D$206,1)),""),"")</f>
        <v/>
      </c>
    </row>
    <row r="423">
      <c r="A423" t="n">
        <v>422</v>
      </c>
      <c r="B423">
        <f>IFERROR(INDEX(RawBits!$A:$A,MATCH($A423,RawBits!$H:$H,0)),"?")</f>
        <v/>
      </c>
      <c r="C423">
        <f>IFERROR(INDEX(RawBits!$G:$G,MATCH($A423,RawBits!$H:$H,0)),"")</f>
        <v/>
      </c>
      <c r="D423">
        <f>IFERROR(IF(AND(A423&gt;=129,A423&lt;=2176),INDEX(Fields!$B$2:$B$206,MATCH(A423-129,Fields!$D$2:$D$206,1)),""),"")</f>
        <v/>
      </c>
      <c r="E423">
        <f>IFERROR(IF(AND(A423&gt;=129,A423&lt;=2176),INDEX(Fields!$C$2:$C$206,MATCH(A423-129,Fields!$D$2:$D$206,1)),""),"")</f>
        <v/>
      </c>
    </row>
    <row r="424">
      <c r="A424" t="n">
        <v>423</v>
      </c>
      <c r="B424">
        <f>IFERROR(INDEX(RawBits!$A:$A,MATCH($A424,RawBits!$H:$H,0)),"?")</f>
        <v/>
      </c>
      <c r="C424">
        <f>IFERROR(INDEX(RawBits!$G:$G,MATCH($A424,RawBits!$H:$H,0)),"")</f>
        <v/>
      </c>
      <c r="D424">
        <f>IFERROR(IF(AND(A424&gt;=129,A424&lt;=2176),INDEX(Fields!$B$2:$B$206,MATCH(A424-129,Fields!$D$2:$D$206,1)),""),"")</f>
        <v/>
      </c>
      <c r="E424">
        <f>IFERROR(IF(AND(A424&gt;=129,A424&lt;=2176),INDEX(Fields!$C$2:$C$206,MATCH(A424-129,Fields!$D$2:$D$206,1)),""),"")</f>
        <v/>
      </c>
    </row>
    <row r="425">
      <c r="A425" t="n">
        <v>424</v>
      </c>
      <c r="B425">
        <f>IFERROR(INDEX(RawBits!$A:$A,MATCH($A425,RawBits!$H:$H,0)),"?")</f>
        <v/>
      </c>
      <c r="C425">
        <f>IFERROR(INDEX(RawBits!$G:$G,MATCH($A425,RawBits!$H:$H,0)),"")</f>
        <v/>
      </c>
      <c r="D425">
        <f>IFERROR(IF(AND(A425&gt;=129,A425&lt;=2176),INDEX(Fields!$B$2:$B$206,MATCH(A425-129,Fields!$D$2:$D$206,1)),""),"")</f>
        <v/>
      </c>
      <c r="E425">
        <f>IFERROR(IF(AND(A425&gt;=129,A425&lt;=2176),INDEX(Fields!$C$2:$C$206,MATCH(A425-129,Fields!$D$2:$D$206,1)),""),"")</f>
        <v/>
      </c>
    </row>
    <row r="426">
      <c r="A426" t="n">
        <v>425</v>
      </c>
      <c r="B426">
        <f>IFERROR(INDEX(RawBits!$A:$A,MATCH($A426,RawBits!$H:$H,0)),"?")</f>
        <v/>
      </c>
      <c r="C426">
        <f>IFERROR(INDEX(RawBits!$G:$G,MATCH($A426,RawBits!$H:$H,0)),"")</f>
        <v/>
      </c>
      <c r="D426">
        <f>IFERROR(IF(AND(A426&gt;=129,A426&lt;=2176),INDEX(Fields!$B$2:$B$206,MATCH(A426-129,Fields!$D$2:$D$206,1)),""),"")</f>
        <v/>
      </c>
      <c r="E426">
        <f>IFERROR(IF(AND(A426&gt;=129,A426&lt;=2176),INDEX(Fields!$C$2:$C$206,MATCH(A426-129,Fields!$D$2:$D$206,1)),""),"")</f>
        <v/>
      </c>
    </row>
    <row r="427">
      <c r="A427" t="n">
        <v>426</v>
      </c>
      <c r="B427">
        <f>IFERROR(INDEX(RawBits!$A:$A,MATCH($A427,RawBits!$H:$H,0)),"?")</f>
        <v/>
      </c>
      <c r="C427">
        <f>IFERROR(INDEX(RawBits!$G:$G,MATCH($A427,RawBits!$H:$H,0)),"")</f>
        <v/>
      </c>
      <c r="D427">
        <f>IFERROR(IF(AND(A427&gt;=129,A427&lt;=2176),INDEX(Fields!$B$2:$B$206,MATCH(A427-129,Fields!$D$2:$D$206,1)),""),"")</f>
        <v/>
      </c>
      <c r="E427">
        <f>IFERROR(IF(AND(A427&gt;=129,A427&lt;=2176),INDEX(Fields!$C$2:$C$206,MATCH(A427-129,Fields!$D$2:$D$206,1)),""),"")</f>
        <v/>
      </c>
    </row>
    <row r="428">
      <c r="A428" t="n">
        <v>427</v>
      </c>
      <c r="B428">
        <f>IFERROR(INDEX(RawBits!$A:$A,MATCH($A428,RawBits!$H:$H,0)),"?")</f>
        <v/>
      </c>
      <c r="C428">
        <f>IFERROR(INDEX(RawBits!$G:$G,MATCH($A428,RawBits!$H:$H,0)),"")</f>
        <v/>
      </c>
      <c r="D428">
        <f>IFERROR(IF(AND(A428&gt;=129,A428&lt;=2176),INDEX(Fields!$B$2:$B$206,MATCH(A428-129,Fields!$D$2:$D$206,1)),""),"")</f>
        <v/>
      </c>
      <c r="E428">
        <f>IFERROR(IF(AND(A428&gt;=129,A428&lt;=2176),INDEX(Fields!$C$2:$C$206,MATCH(A428-129,Fields!$D$2:$D$206,1)),""),"")</f>
        <v/>
      </c>
    </row>
    <row r="429">
      <c r="A429" t="n">
        <v>428</v>
      </c>
      <c r="B429">
        <f>IFERROR(INDEX(RawBits!$A:$A,MATCH($A429,RawBits!$H:$H,0)),"?")</f>
        <v/>
      </c>
      <c r="C429">
        <f>IFERROR(INDEX(RawBits!$G:$G,MATCH($A429,RawBits!$H:$H,0)),"")</f>
        <v/>
      </c>
      <c r="D429">
        <f>IFERROR(IF(AND(A429&gt;=129,A429&lt;=2176),INDEX(Fields!$B$2:$B$206,MATCH(A429-129,Fields!$D$2:$D$206,1)),""),"")</f>
        <v/>
      </c>
      <c r="E429">
        <f>IFERROR(IF(AND(A429&gt;=129,A429&lt;=2176),INDEX(Fields!$C$2:$C$206,MATCH(A429-129,Fields!$D$2:$D$206,1)),""),"")</f>
        <v/>
      </c>
    </row>
    <row r="430">
      <c r="A430" t="n">
        <v>429</v>
      </c>
      <c r="B430">
        <f>IFERROR(INDEX(RawBits!$A:$A,MATCH($A430,RawBits!$H:$H,0)),"?")</f>
        <v/>
      </c>
      <c r="C430">
        <f>IFERROR(INDEX(RawBits!$G:$G,MATCH($A430,RawBits!$H:$H,0)),"")</f>
        <v/>
      </c>
      <c r="D430">
        <f>IFERROR(IF(AND(A430&gt;=129,A430&lt;=2176),INDEX(Fields!$B$2:$B$206,MATCH(A430-129,Fields!$D$2:$D$206,1)),""),"")</f>
        <v/>
      </c>
      <c r="E430">
        <f>IFERROR(IF(AND(A430&gt;=129,A430&lt;=2176),INDEX(Fields!$C$2:$C$206,MATCH(A430-129,Fields!$D$2:$D$206,1)),""),"")</f>
        <v/>
      </c>
    </row>
    <row r="431">
      <c r="A431" t="n">
        <v>430</v>
      </c>
      <c r="B431">
        <f>IFERROR(INDEX(RawBits!$A:$A,MATCH($A431,RawBits!$H:$H,0)),"?")</f>
        <v/>
      </c>
      <c r="C431">
        <f>IFERROR(INDEX(RawBits!$G:$G,MATCH($A431,RawBits!$H:$H,0)),"")</f>
        <v/>
      </c>
      <c r="D431">
        <f>IFERROR(IF(AND(A431&gt;=129,A431&lt;=2176),INDEX(Fields!$B$2:$B$206,MATCH(A431-129,Fields!$D$2:$D$206,1)),""),"")</f>
        <v/>
      </c>
      <c r="E431">
        <f>IFERROR(IF(AND(A431&gt;=129,A431&lt;=2176),INDEX(Fields!$C$2:$C$206,MATCH(A431-129,Fields!$D$2:$D$206,1)),""),"")</f>
        <v/>
      </c>
    </row>
    <row r="432">
      <c r="A432" t="n">
        <v>431</v>
      </c>
      <c r="B432">
        <f>IFERROR(INDEX(RawBits!$A:$A,MATCH($A432,RawBits!$H:$H,0)),"?")</f>
        <v/>
      </c>
      <c r="C432">
        <f>IFERROR(INDEX(RawBits!$G:$G,MATCH($A432,RawBits!$H:$H,0)),"")</f>
        <v/>
      </c>
      <c r="D432">
        <f>IFERROR(IF(AND(A432&gt;=129,A432&lt;=2176),INDEX(Fields!$B$2:$B$206,MATCH(A432-129,Fields!$D$2:$D$206,1)),""),"")</f>
        <v/>
      </c>
      <c r="E432">
        <f>IFERROR(IF(AND(A432&gt;=129,A432&lt;=2176),INDEX(Fields!$C$2:$C$206,MATCH(A432-129,Fields!$D$2:$D$206,1)),""),"")</f>
        <v/>
      </c>
    </row>
    <row r="433">
      <c r="A433" t="n">
        <v>432</v>
      </c>
      <c r="B433">
        <f>IFERROR(INDEX(RawBits!$A:$A,MATCH($A433,RawBits!$H:$H,0)),"?")</f>
        <v/>
      </c>
      <c r="C433">
        <f>IFERROR(INDEX(RawBits!$G:$G,MATCH($A433,RawBits!$H:$H,0)),"")</f>
        <v/>
      </c>
      <c r="D433">
        <f>IFERROR(IF(AND(A433&gt;=129,A433&lt;=2176),INDEX(Fields!$B$2:$B$206,MATCH(A433-129,Fields!$D$2:$D$206,1)),""),"")</f>
        <v/>
      </c>
      <c r="E433">
        <f>IFERROR(IF(AND(A433&gt;=129,A433&lt;=2176),INDEX(Fields!$C$2:$C$206,MATCH(A433-129,Fields!$D$2:$D$206,1)),""),"")</f>
        <v/>
      </c>
    </row>
    <row r="434">
      <c r="A434" t="n">
        <v>433</v>
      </c>
      <c r="B434">
        <f>IFERROR(INDEX(RawBits!$A:$A,MATCH($A434,RawBits!$H:$H,0)),"?")</f>
        <v/>
      </c>
      <c r="C434">
        <f>IFERROR(INDEX(RawBits!$G:$G,MATCH($A434,RawBits!$H:$H,0)),"")</f>
        <v/>
      </c>
      <c r="D434">
        <f>IFERROR(IF(AND(A434&gt;=129,A434&lt;=2176),INDEX(Fields!$B$2:$B$206,MATCH(A434-129,Fields!$D$2:$D$206,1)),""),"")</f>
        <v/>
      </c>
      <c r="E434">
        <f>IFERROR(IF(AND(A434&gt;=129,A434&lt;=2176),INDEX(Fields!$C$2:$C$206,MATCH(A434-129,Fields!$D$2:$D$206,1)),""),"")</f>
        <v/>
      </c>
    </row>
    <row r="435">
      <c r="A435" t="n">
        <v>434</v>
      </c>
      <c r="B435">
        <f>IFERROR(INDEX(RawBits!$A:$A,MATCH($A435,RawBits!$H:$H,0)),"?")</f>
        <v/>
      </c>
      <c r="C435">
        <f>IFERROR(INDEX(RawBits!$G:$G,MATCH($A435,RawBits!$H:$H,0)),"")</f>
        <v/>
      </c>
      <c r="D435">
        <f>IFERROR(IF(AND(A435&gt;=129,A435&lt;=2176),INDEX(Fields!$B$2:$B$206,MATCH(A435-129,Fields!$D$2:$D$206,1)),""),"")</f>
        <v/>
      </c>
      <c r="E435">
        <f>IFERROR(IF(AND(A435&gt;=129,A435&lt;=2176),INDEX(Fields!$C$2:$C$206,MATCH(A435-129,Fields!$D$2:$D$206,1)),""),"")</f>
        <v/>
      </c>
    </row>
    <row r="436">
      <c r="A436" t="n">
        <v>435</v>
      </c>
      <c r="B436">
        <f>IFERROR(INDEX(RawBits!$A:$A,MATCH($A436,RawBits!$H:$H,0)),"?")</f>
        <v/>
      </c>
      <c r="C436">
        <f>IFERROR(INDEX(RawBits!$G:$G,MATCH($A436,RawBits!$H:$H,0)),"")</f>
        <v/>
      </c>
      <c r="D436">
        <f>IFERROR(IF(AND(A436&gt;=129,A436&lt;=2176),INDEX(Fields!$B$2:$B$206,MATCH(A436-129,Fields!$D$2:$D$206,1)),""),"")</f>
        <v/>
      </c>
      <c r="E436">
        <f>IFERROR(IF(AND(A436&gt;=129,A436&lt;=2176),INDEX(Fields!$C$2:$C$206,MATCH(A436-129,Fields!$D$2:$D$206,1)),""),"")</f>
        <v/>
      </c>
    </row>
    <row r="437">
      <c r="A437" t="n">
        <v>436</v>
      </c>
      <c r="B437">
        <f>IFERROR(INDEX(RawBits!$A:$A,MATCH($A437,RawBits!$H:$H,0)),"?")</f>
        <v/>
      </c>
      <c r="C437">
        <f>IFERROR(INDEX(RawBits!$G:$G,MATCH($A437,RawBits!$H:$H,0)),"")</f>
        <v/>
      </c>
      <c r="D437">
        <f>IFERROR(IF(AND(A437&gt;=129,A437&lt;=2176),INDEX(Fields!$B$2:$B$206,MATCH(A437-129,Fields!$D$2:$D$206,1)),""),"")</f>
        <v/>
      </c>
      <c r="E437">
        <f>IFERROR(IF(AND(A437&gt;=129,A437&lt;=2176),INDEX(Fields!$C$2:$C$206,MATCH(A437-129,Fields!$D$2:$D$206,1)),""),"")</f>
        <v/>
      </c>
    </row>
    <row r="438">
      <c r="A438" t="n">
        <v>437</v>
      </c>
      <c r="B438">
        <f>IFERROR(INDEX(RawBits!$A:$A,MATCH($A438,RawBits!$H:$H,0)),"?")</f>
        <v/>
      </c>
      <c r="C438">
        <f>IFERROR(INDEX(RawBits!$G:$G,MATCH($A438,RawBits!$H:$H,0)),"")</f>
        <v/>
      </c>
      <c r="D438">
        <f>IFERROR(IF(AND(A438&gt;=129,A438&lt;=2176),INDEX(Fields!$B$2:$B$206,MATCH(A438-129,Fields!$D$2:$D$206,1)),""),"")</f>
        <v/>
      </c>
      <c r="E438">
        <f>IFERROR(IF(AND(A438&gt;=129,A438&lt;=2176),INDEX(Fields!$C$2:$C$206,MATCH(A438-129,Fields!$D$2:$D$206,1)),""),"")</f>
        <v/>
      </c>
    </row>
    <row r="439">
      <c r="A439" t="n">
        <v>438</v>
      </c>
      <c r="B439">
        <f>IFERROR(INDEX(RawBits!$A:$A,MATCH($A439,RawBits!$H:$H,0)),"?")</f>
        <v/>
      </c>
      <c r="C439">
        <f>IFERROR(INDEX(RawBits!$G:$G,MATCH($A439,RawBits!$H:$H,0)),"")</f>
        <v/>
      </c>
      <c r="D439">
        <f>IFERROR(IF(AND(A439&gt;=129,A439&lt;=2176),INDEX(Fields!$B$2:$B$206,MATCH(A439-129,Fields!$D$2:$D$206,1)),""),"")</f>
        <v/>
      </c>
      <c r="E439">
        <f>IFERROR(IF(AND(A439&gt;=129,A439&lt;=2176),INDEX(Fields!$C$2:$C$206,MATCH(A439-129,Fields!$D$2:$D$206,1)),""),"")</f>
        <v/>
      </c>
    </row>
    <row r="440">
      <c r="A440" t="n">
        <v>439</v>
      </c>
      <c r="B440">
        <f>IFERROR(INDEX(RawBits!$A:$A,MATCH($A440,RawBits!$H:$H,0)),"?")</f>
        <v/>
      </c>
      <c r="C440">
        <f>IFERROR(INDEX(RawBits!$G:$G,MATCH($A440,RawBits!$H:$H,0)),"")</f>
        <v/>
      </c>
      <c r="D440">
        <f>IFERROR(IF(AND(A440&gt;=129,A440&lt;=2176),INDEX(Fields!$B$2:$B$206,MATCH(A440-129,Fields!$D$2:$D$206,1)),""),"")</f>
        <v/>
      </c>
      <c r="E440">
        <f>IFERROR(IF(AND(A440&gt;=129,A440&lt;=2176),INDEX(Fields!$C$2:$C$206,MATCH(A440-129,Fields!$D$2:$D$206,1)),""),"")</f>
        <v/>
      </c>
    </row>
    <row r="441">
      <c r="A441" t="n">
        <v>440</v>
      </c>
      <c r="B441">
        <f>IFERROR(INDEX(RawBits!$A:$A,MATCH($A441,RawBits!$H:$H,0)),"?")</f>
        <v/>
      </c>
      <c r="C441">
        <f>IFERROR(INDEX(RawBits!$G:$G,MATCH($A441,RawBits!$H:$H,0)),"")</f>
        <v/>
      </c>
      <c r="D441">
        <f>IFERROR(IF(AND(A441&gt;=129,A441&lt;=2176),INDEX(Fields!$B$2:$B$206,MATCH(A441-129,Fields!$D$2:$D$206,1)),""),"")</f>
        <v/>
      </c>
      <c r="E441">
        <f>IFERROR(IF(AND(A441&gt;=129,A441&lt;=2176),INDEX(Fields!$C$2:$C$206,MATCH(A441-129,Fields!$D$2:$D$206,1)),""),"")</f>
        <v/>
      </c>
    </row>
    <row r="442">
      <c r="A442" t="n">
        <v>441</v>
      </c>
      <c r="B442">
        <f>IFERROR(INDEX(RawBits!$A:$A,MATCH($A442,RawBits!$H:$H,0)),"?")</f>
        <v/>
      </c>
      <c r="C442">
        <f>IFERROR(INDEX(RawBits!$G:$G,MATCH($A442,RawBits!$H:$H,0)),"")</f>
        <v/>
      </c>
      <c r="D442">
        <f>IFERROR(IF(AND(A442&gt;=129,A442&lt;=2176),INDEX(Fields!$B$2:$B$206,MATCH(A442-129,Fields!$D$2:$D$206,1)),""),"")</f>
        <v/>
      </c>
      <c r="E442">
        <f>IFERROR(IF(AND(A442&gt;=129,A442&lt;=2176),INDEX(Fields!$C$2:$C$206,MATCH(A442-129,Fields!$D$2:$D$206,1)),""),"")</f>
        <v/>
      </c>
    </row>
    <row r="443">
      <c r="A443" t="n">
        <v>442</v>
      </c>
      <c r="B443">
        <f>IFERROR(INDEX(RawBits!$A:$A,MATCH($A443,RawBits!$H:$H,0)),"?")</f>
        <v/>
      </c>
      <c r="C443">
        <f>IFERROR(INDEX(RawBits!$G:$G,MATCH($A443,RawBits!$H:$H,0)),"")</f>
        <v/>
      </c>
      <c r="D443">
        <f>IFERROR(IF(AND(A443&gt;=129,A443&lt;=2176),INDEX(Fields!$B$2:$B$206,MATCH(A443-129,Fields!$D$2:$D$206,1)),""),"")</f>
        <v/>
      </c>
      <c r="E443">
        <f>IFERROR(IF(AND(A443&gt;=129,A443&lt;=2176),INDEX(Fields!$C$2:$C$206,MATCH(A443-129,Fields!$D$2:$D$206,1)),""),"")</f>
        <v/>
      </c>
    </row>
    <row r="444">
      <c r="A444" t="n">
        <v>443</v>
      </c>
      <c r="B444">
        <f>IFERROR(INDEX(RawBits!$A:$A,MATCH($A444,RawBits!$H:$H,0)),"?")</f>
        <v/>
      </c>
      <c r="C444">
        <f>IFERROR(INDEX(RawBits!$G:$G,MATCH($A444,RawBits!$H:$H,0)),"")</f>
        <v/>
      </c>
      <c r="D444">
        <f>IFERROR(IF(AND(A444&gt;=129,A444&lt;=2176),INDEX(Fields!$B$2:$B$206,MATCH(A444-129,Fields!$D$2:$D$206,1)),""),"")</f>
        <v/>
      </c>
      <c r="E444">
        <f>IFERROR(IF(AND(A444&gt;=129,A444&lt;=2176),INDEX(Fields!$C$2:$C$206,MATCH(A444-129,Fields!$D$2:$D$206,1)),""),"")</f>
        <v/>
      </c>
    </row>
    <row r="445">
      <c r="A445" t="n">
        <v>444</v>
      </c>
      <c r="B445">
        <f>IFERROR(INDEX(RawBits!$A:$A,MATCH($A445,RawBits!$H:$H,0)),"?")</f>
        <v/>
      </c>
      <c r="C445">
        <f>IFERROR(INDEX(RawBits!$G:$G,MATCH($A445,RawBits!$H:$H,0)),"")</f>
        <v/>
      </c>
      <c r="D445">
        <f>IFERROR(IF(AND(A445&gt;=129,A445&lt;=2176),INDEX(Fields!$B$2:$B$206,MATCH(A445-129,Fields!$D$2:$D$206,1)),""),"")</f>
        <v/>
      </c>
      <c r="E445">
        <f>IFERROR(IF(AND(A445&gt;=129,A445&lt;=2176),INDEX(Fields!$C$2:$C$206,MATCH(A445-129,Fields!$D$2:$D$206,1)),""),"")</f>
        <v/>
      </c>
    </row>
    <row r="446">
      <c r="A446" t="n">
        <v>445</v>
      </c>
      <c r="B446">
        <f>IFERROR(INDEX(RawBits!$A:$A,MATCH($A446,RawBits!$H:$H,0)),"?")</f>
        <v/>
      </c>
      <c r="C446">
        <f>IFERROR(INDEX(RawBits!$G:$G,MATCH($A446,RawBits!$H:$H,0)),"")</f>
        <v/>
      </c>
      <c r="D446">
        <f>IFERROR(IF(AND(A446&gt;=129,A446&lt;=2176),INDEX(Fields!$B$2:$B$206,MATCH(A446-129,Fields!$D$2:$D$206,1)),""),"")</f>
        <v/>
      </c>
      <c r="E446">
        <f>IFERROR(IF(AND(A446&gt;=129,A446&lt;=2176),INDEX(Fields!$C$2:$C$206,MATCH(A446-129,Fields!$D$2:$D$206,1)),""),"")</f>
        <v/>
      </c>
    </row>
    <row r="447">
      <c r="A447" t="n">
        <v>446</v>
      </c>
      <c r="B447">
        <f>IFERROR(INDEX(RawBits!$A:$A,MATCH($A447,RawBits!$H:$H,0)),"?")</f>
        <v/>
      </c>
      <c r="C447">
        <f>IFERROR(INDEX(RawBits!$G:$G,MATCH($A447,RawBits!$H:$H,0)),"")</f>
        <v/>
      </c>
      <c r="D447">
        <f>IFERROR(IF(AND(A447&gt;=129,A447&lt;=2176),INDEX(Fields!$B$2:$B$206,MATCH(A447-129,Fields!$D$2:$D$206,1)),""),"")</f>
        <v/>
      </c>
      <c r="E447">
        <f>IFERROR(IF(AND(A447&gt;=129,A447&lt;=2176),INDEX(Fields!$C$2:$C$206,MATCH(A447-129,Fields!$D$2:$D$206,1)),""),"")</f>
        <v/>
      </c>
    </row>
    <row r="448">
      <c r="A448" t="n">
        <v>447</v>
      </c>
      <c r="B448">
        <f>IFERROR(INDEX(RawBits!$A:$A,MATCH($A448,RawBits!$H:$H,0)),"?")</f>
        <v/>
      </c>
      <c r="C448">
        <f>IFERROR(INDEX(RawBits!$G:$G,MATCH($A448,RawBits!$H:$H,0)),"")</f>
        <v/>
      </c>
      <c r="D448">
        <f>IFERROR(IF(AND(A448&gt;=129,A448&lt;=2176),INDEX(Fields!$B$2:$B$206,MATCH(A448-129,Fields!$D$2:$D$206,1)),""),"")</f>
        <v/>
      </c>
      <c r="E448">
        <f>IFERROR(IF(AND(A448&gt;=129,A448&lt;=2176),INDEX(Fields!$C$2:$C$206,MATCH(A448-129,Fields!$D$2:$D$206,1)),""),"")</f>
        <v/>
      </c>
    </row>
    <row r="449">
      <c r="A449" t="n">
        <v>448</v>
      </c>
      <c r="B449">
        <f>IFERROR(INDEX(RawBits!$A:$A,MATCH($A449,RawBits!$H:$H,0)),"?")</f>
        <v/>
      </c>
      <c r="C449">
        <f>IFERROR(INDEX(RawBits!$G:$G,MATCH($A449,RawBits!$H:$H,0)),"")</f>
        <v/>
      </c>
      <c r="D449">
        <f>IFERROR(IF(AND(A449&gt;=129,A449&lt;=2176),INDEX(Fields!$B$2:$B$206,MATCH(A449-129,Fields!$D$2:$D$206,1)),""),"")</f>
        <v/>
      </c>
      <c r="E449">
        <f>IFERROR(IF(AND(A449&gt;=129,A449&lt;=2176),INDEX(Fields!$C$2:$C$206,MATCH(A449-129,Fields!$D$2:$D$206,1)),""),"")</f>
        <v/>
      </c>
    </row>
    <row r="450">
      <c r="A450" t="n">
        <v>449</v>
      </c>
      <c r="B450">
        <f>IFERROR(INDEX(RawBits!$A:$A,MATCH($A450,RawBits!$H:$H,0)),"?")</f>
        <v/>
      </c>
      <c r="C450">
        <f>IFERROR(INDEX(RawBits!$G:$G,MATCH($A450,RawBits!$H:$H,0)),"")</f>
        <v/>
      </c>
      <c r="D450">
        <f>IFERROR(IF(AND(A450&gt;=129,A450&lt;=2176),INDEX(Fields!$B$2:$B$206,MATCH(A450-129,Fields!$D$2:$D$206,1)),""),"")</f>
        <v/>
      </c>
      <c r="E450">
        <f>IFERROR(IF(AND(A450&gt;=129,A450&lt;=2176),INDEX(Fields!$C$2:$C$206,MATCH(A450-129,Fields!$D$2:$D$206,1)),""),"")</f>
        <v/>
      </c>
    </row>
    <row r="451">
      <c r="A451" t="n">
        <v>450</v>
      </c>
      <c r="B451">
        <f>IFERROR(INDEX(RawBits!$A:$A,MATCH($A451,RawBits!$H:$H,0)),"?")</f>
        <v/>
      </c>
      <c r="C451">
        <f>IFERROR(INDEX(RawBits!$G:$G,MATCH($A451,RawBits!$H:$H,0)),"")</f>
        <v/>
      </c>
      <c r="D451">
        <f>IFERROR(IF(AND(A451&gt;=129,A451&lt;=2176),INDEX(Fields!$B$2:$B$206,MATCH(A451-129,Fields!$D$2:$D$206,1)),""),"")</f>
        <v/>
      </c>
      <c r="E451">
        <f>IFERROR(IF(AND(A451&gt;=129,A451&lt;=2176),INDEX(Fields!$C$2:$C$206,MATCH(A451-129,Fields!$D$2:$D$206,1)),""),"")</f>
        <v/>
      </c>
    </row>
    <row r="452">
      <c r="A452" t="n">
        <v>451</v>
      </c>
      <c r="B452">
        <f>IFERROR(INDEX(RawBits!$A:$A,MATCH($A452,RawBits!$H:$H,0)),"?")</f>
        <v/>
      </c>
      <c r="C452">
        <f>IFERROR(INDEX(RawBits!$G:$G,MATCH($A452,RawBits!$H:$H,0)),"")</f>
        <v/>
      </c>
      <c r="D452">
        <f>IFERROR(IF(AND(A452&gt;=129,A452&lt;=2176),INDEX(Fields!$B$2:$B$206,MATCH(A452-129,Fields!$D$2:$D$206,1)),""),"")</f>
        <v/>
      </c>
      <c r="E452">
        <f>IFERROR(IF(AND(A452&gt;=129,A452&lt;=2176),INDEX(Fields!$C$2:$C$206,MATCH(A452-129,Fields!$D$2:$D$206,1)),""),"")</f>
        <v/>
      </c>
    </row>
    <row r="453">
      <c r="A453" t="n">
        <v>452</v>
      </c>
      <c r="B453">
        <f>IFERROR(INDEX(RawBits!$A:$A,MATCH($A453,RawBits!$H:$H,0)),"?")</f>
        <v/>
      </c>
      <c r="C453">
        <f>IFERROR(INDEX(RawBits!$G:$G,MATCH($A453,RawBits!$H:$H,0)),"")</f>
        <v/>
      </c>
      <c r="D453">
        <f>IFERROR(IF(AND(A453&gt;=129,A453&lt;=2176),INDEX(Fields!$B$2:$B$206,MATCH(A453-129,Fields!$D$2:$D$206,1)),""),"")</f>
        <v/>
      </c>
      <c r="E453">
        <f>IFERROR(IF(AND(A453&gt;=129,A453&lt;=2176),INDEX(Fields!$C$2:$C$206,MATCH(A453-129,Fields!$D$2:$D$206,1)),""),"")</f>
        <v/>
      </c>
    </row>
    <row r="454">
      <c r="A454" t="n">
        <v>453</v>
      </c>
      <c r="B454">
        <f>IFERROR(INDEX(RawBits!$A:$A,MATCH($A454,RawBits!$H:$H,0)),"?")</f>
        <v/>
      </c>
      <c r="C454">
        <f>IFERROR(INDEX(RawBits!$G:$G,MATCH($A454,RawBits!$H:$H,0)),"")</f>
        <v/>
      </c>
      <c r="D454">
        <f>IFERROR(IF(AND(A454&gt;=129,A454&lt;=2176),INDEX(Fields!$B$2:$B$206,MATCH(A454-129,Fields!$D$2:$D$206,1)),""),"")</f>
        <v/>
      </c>
      <c r="E454">
        <f>IFERROR(IF(AND(A454&gt;=129,A454&lt;=2176),INDEX(Fields!$C$2:$C$206,MATCH(A454-129,Fields!$D$2:$D$206,1)),""),"")</f>
        <v/>
      </c>
    </row>
    <row r="455">
      <c r="A455" t="n">
        <v>454</v>
      </c>
      <c r="B455">
        <f>IFERROR(INDEX(RawBits!$A:$A,MATCH($A455,RawBits!$H:$H,0)),"?")</f>
        <v/>
      </c>
      <c r="C455">
        <f>IFERROR(INDEX(RawBits!$G:$G,MATCH($A455,RawBits!$H:$H,0)),"")</f>
        <v/>
      </c>
      <c r="D455">
        <f>IFERROR(IF(AND(A455&gt;=129,A455&lt;=2176),INDEX(Fields!$B$2:$B$206,MATCH(A455-129,Fields!$D$2:$D$206,1)),""),"")</f>
        <v/>
      </c>
      <c r="E455">
        <f>IFERROR(IF(AND(A455&gt;=129,A455&lt;=2176),INDEX(Fields!$C$2:$C$206,MATCH(A455-129,Fields!$D$2:$D$206,1)),""),"")</f>
        <v/>
      </c>
    </row>
    <row r="456">
      <c r="A456" t="n">
        <v>455</v>
      </c>
      <c r="B456">
        <f>IFERROR(INDEX(RawBits!$A:$A,MATCH($A456,RawBits!$H:$H,0)),"?")</f>
        <v/>
      </c>
      <c r="C456">
        <f>IFERROR(INDEX(RawBits!$G:$G,MATCH($A456,RawBits!$H:$H,0)),"")</f>
        <v/>
      </c>
      <c r="D456">
        <f>IFERROR(IF(AND(A456&gt;=129,A456&lt;=2176),INDEX(Fields!$B$2:$B$206,MATCH(A456-129,Fields!$D$2:$D$206,1)),""),"")</f>
        <v/>
      </c>
      <c r="E456">
        <f>IFERROR(IF(AND(A456&gt;=129,A456&lt;=2176),INDEX(Fields!$C$2:$C$206,MATCH(A456-129,Fields!$D$2:$D$206,1)),""),"")</f>
        <v/>
      </c>
    </row>
    <row r="457">
      <c r="A457" t="n">
        <v>456</v>
      </c>
      <c r="B457">
        <f>IFERROR(INDEX(RawBits!$A:$A,MATCH($A457,RawBits!$H:$H,0)),"?")</f>
        <v/>
      </c>
      <c r="C457">
        <f>IFERROR(INDEX(RawBits!$G:$G,MATCH($A457,RawBits!$H:$H,0)),"")</f>
        <v/>
      </c>
      <c r="D457">
        <f>IFERROR(IF(AND(A457&gt;=129,A457&lt;=2176),INDEX(Fields!$B$2:$B$206,MATCH(A457-129,Fields!$D$2:$D$206,1)),""),"")</f>
        <v/>
      </c>
      <c r="E457">
        <f>IFERROR(IF(AND(A457&gt;=129,A457&lt;=2176),INDEX(Fields!$C$2:$C$206,MATCH(A457-129,Fields!$D$2:$D$206,1)),""),"")</f>
        <v/>
      </c>
    </row>
    <row r="458">
      <c r="A458" t="n">
        <v>457</v>
      </c>
      <c r="B458">
        <f>IFERROR(INDEX(RawBits!$A:$A,MATCH($A458,RawBits!$H:$H,0)),"?")</f>
        <v/>
      </c>
      <c r="C458">
        <f>IFERROR(INDEX(RawBits!$G:$G,MATCH($A458,RawBits!$H:$H,0)),"")</f>
        <v/>
      </c>
      <c r="D458">
        <f>IFERROR(IF(AND(A458&gt;=129,A458&lt;=2176),INDEX(Fields!$B$2:$B$206,MATCH(A458-129,Fields!$D$2:$D$206,1)),""),"")</f>
        <v/>
      </c>
      <c r="E458">
        <f>IFERROR(IF(AND(A458&gt;=129,A458&lt;=2176),INDEX(Fields!$C$2:$C$206,MATCH(A458-129,Fields!$D$2:$D$206,1)),""),"")</f>
        <v/>
      </c>
    </row>
    <row r="459">
      <c r="A459" t="n">
        <v>458</v>
      </c>
      <c r="B459">
        <f>IFERROR(INDEX(RawBits!$A:$A,MATCH($A459,RawBits!$H:$H,0)),"?")</f>
        <v/>
      </c>
      <c r="C459">
        <f>IFERROR(INDEX(RawBits!$G:$G,MATCH($A459,RawBits!$H:$H,0)),"")</f>
        <v/>
      </c>
      <c r="D459">
        <f>IFERROR(IF(AND(A459&gt;=129,A459&lt;=2176),INDEX(Fields!$B$2:$B$206,MATCH(A459-129,Fields!$D$2:$D$206,1)),""),"")</f>
        <v/>
      </c>
      <c r="E459">
        <f>IFERROR(IF(AND(A459&gt;=129,A459&lt;=2176),INDEX(Fields!$C$2:$C$206,MATCH(A459-129,Fields!$D$2:$D$206,1)),""),"")</f>
        <v/>
      </c>
    </row>
    <row r="460">
      <c r="A460" t="n">
        <v>459</v>
      </c>
      <c r="B460">
        <f>IFERROR(INDEX(RawBits!$A:$A,MATCH($A460,RawBits!$H:$H,0)),"?")</f>
        <v/>
      </c>
      <c r="C460">
        <f>IFERROR(INDEX(RawBits!$G:$G,MATCH($A460,RawBits!$H:$H,0)),"")</f>
        <v/>
      </c>
      <c r="D460">
        <f>IFERROR(IF(AND(A460&gt;=129,A460&lt;=2176),INDEX(Fields!$B$2:$B$206,MATCH(A460-129,Fields!$D$2:$D$206,1)),""),"")</f>
        <v/>
      </c>
      <c r="E460">
        <f>IFERROR(IF(AND(A460&gt;=129,A460&lt;=2176),INDEX(Fields!$C$2:$C$206,MATCH(A460-129,Fields!$D$2:$D$206,1)),""),"")</f>
        <v/>
      </c>
    </row>
    <row r="461">
      <c r="A461" t="n">
        <v>460</v>
      </c>
      <c r="B461">
        <f>IFERROR(INDEX(RawBits!$A:$A,MATCH($A461,RawBits!$H:$H,0)),"?")</f>
        <v/>
      </c>
      <c r="C461">
        <f>IFERROR(INDEX(RawBits!$G:$G,MATCH($A461,RawBits!$H:$H,0)),"")</f>
        <v/>
      </c>
      <c r="D461">
        <f>IFERROR(IF(AND(A461&gt;=129,A461&lt;=2176),INDEX(Fields!$B$2:$B$206,MATCH(A461-129,Fields!$D$2:$D$206,1)),""),"")</f>
        <v/>
      </c>
      <c r="E461">
        <f>IFERROR(IF(AND(A461&gt;=129,A461&lt;=2176),INDEX(Fields!$C$2:$C$206,MATCH(A461-129,Fields!$D$2:$D$206,1)),""),"")</f>
        <v/>
      </c>
    </row>
    <row r="462">
      <c r="A462" t="n">
        <v>461</v>
      </c>
      <c r="B462">
        <f>IFERROR(INDEX(RawBits!$A:$A,MATCH($A462,RawBits!$H:$H,0)),"?")</f>
        <v/>
      </c>
      <c r="C462">
        <f>IFERROR(INDEX(RawBits!$G:$G,MATCH($A462,RawBits!$H:$H,0)),"")</f>
        <v/>
      </c>
      <c r="D462">
        <f>IFERROR(IF(AND(A462&gt;=129,A462&lt;=2176),INDEX(Fields!$B$2:$B$206,MATCH(A462-129,Fields!$D$2:$D$206,1)),""),"")</f>
        <v/>
      </c>
      <c r="E462">
        <f>IFERROR(IF(AND(A462&gt;=129,A462&lt;=2176),INDEX(Fields!$C$2:$C$206,MATCH(A462-129,Fields!$D$2:$D$206,1)),""),"")</f>
        <v/>
      </c>
    </row>
    <row r="463">
      <c r="A463" t="n">
        <v>462</v>
      </c>
      <c r="B463">
        <f>IFERROR(INDEX(RawBits!$A:$A,MATCH($A463,RawBits!$H:$H,0)),"?")</f>
        <v/>
      </c>
      <c r="C463">
        <f>IFERROR(INDEX(RawBits!$G:$G,MATCH($A463,RawBits!$H:$H,0)),"")</f>
        <v/>
      </c>
      <c r="D463">
        <f>IFERROR(IF(AND(A463&gt;=129,A463&lt;=2176),INDEX(Fields!$B$2:$B$206,MATCH(A463-129,Fields!$D$2:$D$206,1)),""),"")</f>
        <v/>
      </c>
      <c r="E463">
        <f>IFERROR(IF(AND(A463&gt;=129,A463&lt;=2176),INDEX(Fields!$C$2:$C$206,MATCH(A463-129,Fields!$D$2:$D$206,1)),""),"")</f>
        <v/>
      </c>
    </row>
    <row r="464">
      <c r="A464" t="n">
        <v>463</v>
      </c>
      <c r="B464">
        <f>IFERROR(INDEX(RawBits!$A:$A,MATCH($A464,RawBits!$H:$H,0)),"?")</f>
        <v/>
      </c>
      <c r="C464">
        <f>IFERROR(INDEX(RawBits!$G:$G,MATCH($A464,RawBits!$H:$H,0)),"")</f>
        <v/>
      </c>
      <c r="D464">
        <f>IFERROR(IF(AND(A464&gt;=129,A464&lt;=2176),INDEX(Fields!$B$2:$B$206,MATCH(A464-129,Fields!$D$2:$D$206,1)),""),"")</f>
        <v/>
      </c>
      <c r="E464">
        <f>IFERROR(IF(AND(A464&gt;=129,A464&lt;=2176),INDEX(Fields!$C$2:$C$206,MATCH(A464-129,Fields!$D$2:$D$206,1)),""),"")</f>
        <v/>
      </c>
    </row>
    <row r="465">
      <c r="A465" t="n">
        <v>464</v>
      </c>
      <c r="B465">
        <f>IFERROR(INDEX(RawBits!$A:$A,MATCH($A465,RawBits!$H:$H,0)),"?")</f>
        <v/>
      </c>
      <c r="C465">
        <f>IFERROR(INDEX(RawBits!$G:$G,MATCH($A465,RawBits!$H:$H,0)),"")</f>
        <v/>
      </c>
      <c r="D465">
        <f>IFERROR(IF(AND(A465&gt;=129,A465&lt;=2176),INDEX(Fields!$B$2:$B$206,MATCH(A465-129,Fields!$D$2:$D$206,1)),""),"")</f>
        <v/>
      </c>
      <c r="E465">
        <f>IFERROR(IF(AND(A465&gt;=129,A465&lt;=2176),INDEX(Fields!$C$2:$C$206,MATCH(A465-129,Fields!$D$2:$D$206,1)),""),"")</f>
        <v/>
      </c>
    </row>
    <row r="466">
      <c r="A466" t="n">
        <v>465</v>
      </c>
      <c r="B466">
        <f>IFERROR(INDEX(RawBits!$A:$A,MATCH($A466,RawBits!$H:$H,0)),"?")</f>
        <v/>
      </c>
      <c r="C466">
        <f>IFERROR(INDEX(RawBits!$G:$G,MATCH($A466,RawBits!$H:$H,0)),"")</f>
        <v/>
      </c>
      <c r="D466">
        <f>IFERROR(IF(AND(A466&gt;=129,A466&lt;=2176),INDEX(Fields!$B$2:$B$206,MATCH(A466-129,Fields!$D$2:$D$206,1)),""),"")</f>
        <v/>
      </c>
      <c r="E466">
        <f>IFERROR(IF(AND(A466&gt;=129,A466&lt;=2176),INDEX(Fields!$C$2:$C$206,MATCH(A466-129,Fields!$D$2:$D$206,1)),""),"")</f>
        <v/>
      </c>
    </row>
    <row r="467">
      <c r="A467" t="n">
        <v>466</v>
      </c>
      <c r="B467">
        <f>IFERROR(INDEX(RawBits!$A:$A,MATCH($A467,RawBits!$H:$H,0)),"?")</f>
        <v/>
      </c>
      <c r="C467">
        <f>IFERROR(INDEX(RawBits!$G:$G,MATCH($A467,RawBits!$H:$H,0)),"")</f>
        <v/>
      </c>
      <c r="D467">
        <f>IFERROR(IF(AND(A467&gt;=129,A467&lt;=2176),INDEX(Fields!$B$2:$B$206,MATCH(A467-129,Fields!$D$2:$D$206,1)),""),"")</f>
        <v/>
      </c>
      <c r="E467">
        <f>IFERROR(IF(AND(A467&gt;=129,A467&lt;=2176),INDEX(Fields!$C$2:$C$206,MATCH(A467-129,Fields!$D$2:$D$206,1)),""),"")</f>
        <v/>
      </c>
    </row>
    <row r="468">
      <c r="A468" t="n">
        <v>467</v>
      </c>
      <c r="B468">
        <f>IFERROR(INDEX(RawBits!$A:$A,MATCH($A468,RawBits!$H:$H,0)),"?")</f>
        <v/>
      </c>
      <c r="C468">
        <f>IFERROR(INDEX(RawBits!$G:$G,MATCH($A468,RawBits!$H:$H,0)),"")</f>
        <v/>
      </c>
      <c r="D468">
        <f>IFERROR(IF(AND(A468&gt;=129,A468&lt;=2176),INDEX(Fields!$B$2:$B$206,MATCH(A468-129,Fields!$D$2:$D$206,1)),""),"")</f>
        <v/>
      </c>
      <c r="E468">
        <f>IFERROR(IF(AND(A468&gt;=129,A468&lt;=2176),INDEX(Fields!$C$2:$C$206,MATCH(A468-129,Fields!$D$2:$D$206,1)),""),"")</f>
        <v/>
      </c>
    </row>
    <row r="469">
      <c r="A469" t="n">
        <v>468</v>
      </c>
      <c r="B469">
        <f>IFERROR(INDEX(RawBits!$A:$A,MATCH($A469,RawBits!$H:$H,0)),"?")</f>
        <v/>
      </c>
      <c r="C469">
        <f>IFERROR(INDEX(RawBits!$G:$G,MATCH($A469,RawBits!$H:$H,0)),"")</f>
        <v/>
      </c>
      <c r="D469">
        <f>IFERROR(IF(AND(A469&gt;=129,A469&lt;=2176),INDEX(Fields!$B$2:$B$206,MATCH(A469-129,Fields!$D$2:$D$206,1)),""),"")</f>
        <v/>
      </c>
      <c r="E469">
        <f>IFERROR(IF(AND(A469&gt;=129,A469&lt;=2176),INDEX(Fields!$C$2:$C$206,MATCH(A469-129,Fields!$D$2:$D$206,1)),""),"")</f>
        <v/>
      </c>
    </row>
    <row r="470">
      <c r="A470" t="n">
        <v>469</v>
      </c>
      <c r="B470">
        <f>IFERROR(INDEX(RawBits!$A:$A,MATCH($A470,RawBits!$H:$H,0)),"?")</f>
        <v/>
      </c>
      <c r="C470">
        <f>IFERROR(INDEX(RawBits!$G:$G,MATCH($A470,RawBits!$H:$H,0)),"")</f>
        <v/>
      </c>
      <c r="D470">
        <f>IFERROR(IF(AND(A470&gt;=129,A470&lt;=2176),INDEX(Fields!$B$2:$B$206,MATCH(A470-129,Fields!$D$2:$D$206,1)),""),"")</f>
        <v/>
      </c>
      <c r="E470">
        <f>IFERROR(IF(AND(A470&gt;=129,A470&lt;=2176),INDEX(Fields!$C$2:$C$206,MATCH(A470-129,Fields!$D$2:$D$206,1)),""),"")</f>
        <v/>
      </c>
    </row>
    <row r="471">
      <c r="A471" t="n">
        <v>470</v>
      </c>
      <c r="B471">
        <f>IFERROR(INDEX(RawBits!$A:$A,MATCH($A471,RawBits!$H:$H,0)),"?")</f>
        <v/>
      </c>
      <c r="C471">
        <f>IFERROR(INDEX(RawBits!$G:$G,MATCH($A471,RawBits!$H:$H,0)),"")</f>
        <v/>
      </c>
      <c r="D471">
        <f>IFERROR(IF(AND(A471&gt;=129,A471&lt;=2176),INDEX(Fields!$B$2:$B$206,MATCH(A471-129,Fields!$D$2:$D$206,1)),""),"")</f>
        <v/>
      </c>
      <c r="E471">
        <f>IFERROR(IF(AND(A471&gt;=129,A471&lt;=2176),INDEX(Fields!$C$2:$C$206,MATCH(A471-129,Fields!$D$2:$D$206,1)),""),"")</f>
        <v/>
      </c>
    </row>
    <row r="472">
      <c r="A472" t="n">
        <v>471</v>
      </c>
      <c r="B472">
        <f>IFERROR(INDEX(RawBits!$A:$A,MATCH($A472,RawBits!$H:$H,0)),"?")</f>
        <v/>
      </c>
      <c r="C472">
        <f>IFERROR(INDEX(RawBits!$G:$G,MATCH($A472,RawBits!$H:$H,0)),"")</f>
        <v/>
      </c>
      <c r="D472">
        <f>IFERROR(IF(AND(A472&gt;=129,A472&lt;=2176),INDEX(Fields!$B$2:$B$206,MATCH(A472-129,Fields!$D$2:$D$206,1)),""),"")</f>
        <v/>
      </c>
      <c r="E472">
        <f>IFERROR(IF(AND(A472&gt;=129,A472&lt;=2176),INDEX(Fields!$C$2:$C$206,MATCH(A472-129,Fields!$D$2:$D$206,1)),""),"")</f>
        <v/>
      </c>
    </row>
    <row r="473">
      <c r="A473" t="n">
        <v>472</v>
      </c>
      <c r="B473">
        <f>IFERROR(INDEX(RawBits!$A:$A,MATCH($A473,RawBits!$H:$H,0)),"?")</f>
        <v/>
      </c>
      <c r="C473">
        <f>IFERROR(INDEX(RawBits!$G:$G,MATCH($A473,RawBits!$H:$H,0)),"")</f>
        <v/>
      </c>
      <c r="D473">
        <f>IFERROR(IF(AND(A473&gt;=129,A473&lt;=2176),INDEX(Fields!$B$2:$B$206,MATCH(A473-129,Fields!$D$2:$D$206,1)),""),"")</f>
        <v/>
      </c>
      <c r="E473">
        <f>IFERROR(IF(AND(A473&gt;=129,A473&lt;=2176),INDEX(Fields!$C$2:$C$206,MATCH(A473-129,Fields!$D$2:$D$206,1)),""),"")</f>
        <v/>
      </c>
    </row>
    <row r="474">
      <c r="A474" t="n">
        <v>473</v>
      </c>
      <c r="B474">
        <f>IFERROR(INDEX(RawBits!$A:$A,MATCH($A474,RawBits!$H:$H,0)),"?")</f>
        <v/>
      </c>
      <c r="C474">
        <f>IFERROR(INDEX(RawBits!$G:$G,MATCH($A474,RawBits!$H:$H,0)),"")</f>
        <v/>
      </c>
      <c r="D474">
        <f>IFERROR(IF(AND(A474&gt;=129,A474&lt;=2176),INDEX(Fields!$B$2:$B$206,MATCH(A474-129,Fields!$D$2:$D$206,1)),""),"")</f>
        <v/>
      </c>
      <c r="E474">
        <f>IFERROR(IF(AND(A474&gt;=129,A474&lt;=2176),INDEX(Fields!$C$2:$C$206,MATCH(A474-129,Fields!$D$2:$D$206,1)),""),"")</f>
        <v/>
      </c>
    </row>
    <row r="475">
      <c r="A475" t="n">
        <v>474</v>
      </c>
      <c r="B475">
        <f>IFERROR(INDEX(RawBits!$A:$A,MATCH($A475,RawBits!$H:$H,0)),"?")</f>
        <v/>
      </c>
      <c r="C475">
        <f>IFERROR(INDEX(RawBits!$G:$G,MATCH($A475,RawBits!$H:$H,0)),"")</f>
        <v/>
      </c>
      <c r="D475">
        <f>IFERROR(IF(AND(A475&gt;=129,A475&lt;=2176),INDEX(Fields!$B$2:$B$206,MATCH(A475-129,Fields!$D$2:$D$206,1)),""),"")</f>
        <v/>
      </c>
      <c r="E475">
        <f>IFERROR(IF(AND(A475&gt;=129,A475&lt;=2176),INDEX(Fields!$C$2:$C$206,MATCH(A475-129,Fields!$D$2:$D$206,1)),""),"")</f>
        <v/>
      </c>
    </row>
    <row r="476">
      <c r="A476" t="n">
        <v>475</v>
      </c>
      <c r="B476">
        <f>IFERROR(INDEX(RawBits!$A:$A,MATCH($A476,RawBits!$H:$H,0)),"?")</f>
        <v/>
      </c>
      <c r="C476">
        <f>IFERROR(INDEX(RawBits!$G:$G,MATCH($A476,RawBits!$H:$H,0)),"")</f>
        <v/>
      </c>
      <c r="D476">
        <f>IFERROR(IF(AND(A476&gt;=129,A476&lt;=2176),INDEX(Fields!$B$2:$B$206,MATCH(A476-129,Fields!$D$2:$D$206,1)),""),"")</f>
        <v/>
      </c>
      <c r="E476">
        <f>IFERROR(IF(AND(A476&gt;=129,A476&lt;=2176),INDEX(Fields!$C$2:$C$206,MATCH(A476-129,Fields!$D$2:$D$206,1)),""),"")</f>
        <v/>
      </c>
    </row>
    <row r="477">
      <c r="A477" t="n">
        <v>476</v>
      </c>
      <c r="B477">
        <f>IFERROR(INDEX(RawBits!$A:$A,MATCH($A477,RawBits!$H:$H,0)),"?")</f>
        <v/>
      </c>
      <c r="C477">
        <f>IFERROR(INDEX(RawBits!$G:$G,MATCH($A477,RawBits!$H:$H,0)),"")</f>
        <v/>
      </c>
      <c r="D477">
        <f>IFERROR(IF(AND(A477&gt;=129,A477&lt;=2176),INDEX(Fields!$B$2:$B$206,MATCH(A477-129,Fields!$D$2:$D$206,1)),""),"")</f>
        <v/>
      </c>
      <c r="E477">
        <f>IFERROR(IF(AND(A477&gt;=129,A477&lt;=2176),INDEX(Fields!$C$2:$C$206,MATCH(A477-129,Fields!$D$2:$D$206,1)),""),"")</f>
        <v/>
      </c>
    </row>
    <row r="478">
      <c r="A478" t="n">
        <v>477</v>
      </c>
      <c r="B478">
        <f>IFERROR(INDEX(RawBits!$A:$A,MATCH($A478,RawBits!$H:$H,0)),"?")</f>
        <v/>
      </c>
      <c r="C478">
        <f>IFERROR(INDEX(RawBits!$G:$G,MATCH($A478,RawBits!$H:$H,0)),"")</f>
        <v/>
      </c>
      <c r="D478">
        <f>IFERROR(IF(AND(A478&gt;=129,A478&lt;=2176),INDEX(Fields!$B$2:$B$206,MATCH(A478-129,Fields!$D$2:$D$206,1)),""),"")</f>
        <v/>
      </c>
      <c r="E478">
        <f>IFERROR(IF(AND(A478&gt;=129,A478&lt;=2176),INDEX(Fields!$C$2:$C$206,MATCH(A478-129,Fields!$D$2:$D$206,1)),""),"")</f>
        <v/>
      </c>
    </row>
    <row r="479">
      <c r="A479" t="n">
        <v>478</v>
      </c>
      <c r="B479">
        <f>IFERROR(INDEX(RawBits!$A:$A,MATCH($A479,RawBits!$H:$H,0)),"?")</f>
        <v/>
      </c>
      <c r="C479">
        <f>IFERROR(INDEX(RawBits!$G:$G,MATCH($A479,RawBits!$H:$H,0)),"")</f>
        <v/>
      </c>
      <c r="D479">
        <f>IFERROR(IF(AND(A479&gt;=129,A479&lt;=2176),INDEX(Fields!$B$2:$B$206,MATCH(A479-129,Fields!$D$2:$D$206,1)),""),"")</f>
        <v/>
      </c>
      <c r="E479">
        <f>IFERROR(IF(AND(A479&gt;=129,A479&lt;=2176),INDEX(Fields!$C$2:$C$206,MATCH(A479-129,Fields!$D$2:$D$206,1)),""),"")</f>
        <v/>
      </c>
    </row>
    <row r="480">
      <c r="A480" t="n">
        <v>479</v>
      </c>
      <c r="B480">
        <f>IFERROR(INDEX(RawBits!$A:$A,MATCH($A480,RawBits!$H:$H,0)),"?")</f>
        <v/>
      </c>
      <c r="C480">
        <f>IFERROR(INDEX(RawBits!$G:$G,MATCH($A480,RawBits!$H:$H,0)),"")</f>
        <v/>
      </c>
      <c r="D480">
        <f>IFERROR(IF(AND(A480&gt;=129,A480&lt;=2176),INDEX(Fields!$B$2:$B$206,MATCH(A480-129,Fields!$D$2:$D$206,1)),""),"")</f>
        <v/>
      </c>
      <c r="E480">
        <f>IFERROR(IF(AND(A480&gt;=129,A480&lt;=2176),INDEX(Fields!$C$2:$C$206,MATCH(A480-129,Fields!$D$2:$D$206,1)),""),"")</f>
        <v/>
      </c>
    </row>
    <row r="481">
      <c r="A481" t="n">
        <v>480</v>
      </c>
      <c r="B481">
        <f>IFERROR(INDEX(RawBits!$A:$A,MATCH($A481,RawBits!$H:$H,0)),"?")</f>
        <v/>
      </c>
      <c r="C481">
        <f>IFERROR(INDEX(RawBits!$G:$G,MATCH($A481,RawBits!$H:$H,0)),"")</f>
        <v/>
      </c>
      <c r="D481">
        <f>IFERROR(IF(AND(A481&gt;=129,A481&lt;=2176),INDEX(Fields!$B$2:$B$206,MATCH(A481-129,Fields!$D$2:$D$206,1)),""),"")</f>
        <v/>
      </c>
      <c r="E481">
        <f>IFERROR(IF(AND(A481&gt;=129,A481&lt;=2176),INDEX(Fields!$C$2:$C$206,MATCH(A481-129,Fields!$D$2:$D$206,1)),""),"")</f>
        <v/>
      </c>
    </row>
    <row r="482">
      <c r="A482" t="n">
        <v>481</v>
      </c>
      <c r="B482">
        <f>IFERROR(INDEX(RawBits!$A:$A,MATCH($A482,RawBits!$H:$H,0)),"?")</f>
        <v/>
      </c>
      <c r="C482">
        <f>IFERROR(INDEX(RawBits!$G:$G,MATCH($A482,RawBits!$H:$H,0)),"")</f>
        <v/>
      </c>
      <c r="D482">
        <f>IFERROR(IF(AND(A482&gt;=129,A482&lt;=2176),INDEX(Fields!$B$2:$B$206,MATCH(A482-129,Fields!$D$2:$D$206,1)),""),"")</f>
        <v/>
      </c>
      <c r="E482">
        <f>IFERROR(IF(AND(A482&gt;=129,A482&lt;=2176),INDEX(Fields!$C$2:$C$206,MATCH(A482-129,Fields!$D$2:$D$206,1)),""),"")</f>
        <v/>
      </c>
    </row>
    <row r="483">
      <c r="A483" t="n">
        <v>482</v>
      </c>
      <c r="B483">
        <f>IFERROR(INDEX(RawBits!$A:$A,MATCH($A483,RawBits!$H:$H,0)),"?")</f>
        <v/>
      </c>
      <c r="C483">
        <f>IFERROR(INDEX(RawBits!$G:$G,MATCH($A483,RawBits!$H:$H,0)),"")</f>
        <v/>
      </c>
      <c r="D483">
        <f>IFERROR(IF(AND(A483&gt;=129,A483&lt;=2176),INDEX(Fields!$B$2:$B$206,MATCH(A483-129,Fields!$D$2:$D$206,1)),""),"")</f>
        <v/>
      </c>
      <c r="E483">
        <f>IFERROR(IF(AND(A483&gt;=129,A483&lt;=2176),INDEX(Fields!$C$2:$C$206,MATCH(A483-129,Fields!$D$2:$D$206,1)),""),"")</f>
        <v/>
      </c>
    </row>
    <row r="484">
      <c r="A484" t="n">
        <v>483</v>
      </c>
      <c r="B484">
        <f>IFERROR(INDEX(RawBits!$A:$A,MATCH($A484,RawBits!$H:$H,0)),"?")</f>
        <v/>
      </c>
      <c r="C484">
        <f>IFERROR(INDEX(RawBits!$G:$G,MATCH($A484,RawBits!$H:$H,0)),"")</f>
        <v/>
      </c>
      <c r="D484">
        <f>IFERROR(IF(AND(A484&gt;=129,A484&lt;=2176),INDEX(Fields!$B$2:$B$206,MATCH(A484-129,Fields!$D$2:$D$206,1)),""),"")</f>
        <v/>
      </c>
      <c r="E484">
        <f>IFERROR(IF(AND(A484&gt;=129,A484&lt;=2176),INDEX(Fields!$C$2:$C$206,MATCH(A484-129,Fields!$D$2:$D$206,1)),""),"")</f>
        <v/>
      </c>
    </row>
    <row r="485">
      <c r="A485" t="n">
        <v>484</v>
      </c>
      <c r="B485">
        <f>IFERROR(INDEX(RawBits!$A:$A,MATCH($A485,RawBits!$H:$H,0)),"?")</f>
        <v/>
      </c>
      <c r="C485">
        <f>IFERROR(INDEX(RawBits!$G:$G,MATCH($A485,RawBits!$H:$H,0)),"")</f>
        <v/>
      </c>
      <c r="D485">
        <f>IFERROR(IF(AND(A485&gt;=129,A485&lt;=2176),INDEX(Fields!$B$2:$B$206,MATCH(A485-129,Fields!$D$2:$D$206,1)),""),"")</f>
        <v/>
      </c>
      <c r="E485">
        <f>IFERROR(IF(AND(A485&gt;=129,A485&lt;=2176),INDEX(Fields!$C$2:$C$206,MATCH(A485-129,Fields!$D$2:$D$206,1)),""),"")</f>
        <v/>
      </c>
    </row>
    <row r="486">
      <c r="A486" t="n">
        <v>485</v>
      </c>
      <c r="B486">
        <f>IFERROR(INDEX(RawBits!$A:$A,MATCH($A486,RawBits!$H:$H,0)),"?")</f>
        <v/>
      </c>
      <c r="C486">
        <f>IFERROR(INDEX(RawBits!$G:$G,MATCH($A486,RawBits!$H:$H,0)),"")</f>
        <v/>
      </c>
      <c r="D486">
        <f>IFERROR(IF(AND(A486&gt;=129,A486&lt;=2176),INDEX(Fields!$B$2:$B$206,MATCH(A486-129,Fields!$D$2:$D$206,1)),""),"")</f>
        <v/>
      </c>
      <c r="E486">
        <f>IFERROR(IF(AND(A486&gt;=129,A486&lt;=2176),INDEX(Fields!$C$2:$C$206,MATCH(A486-129,Fields!$D$2:$D$206,1)),""),"")</f>
        <v/>
      </c>
    </row>
    <row r="487">
      <c r="A487" t="n">
        <v>486</v>
      </c>
      <c r="B487">
        <f>IFERROR(INDEX(RawBits!$A:$A,MATCH($A487,RawBits!$H:$H,0)),"?")</f>
        <v/>
      </c>
      <c r="C487">
        <f>IFERROR(INDEX(RawBits!$G:$G,MATCH($A487,RawBits!$H:$H,0)),"")</f>
        <v/>
      </c>
      <c r="D487">
        <f>IFERROR(IF(AND(A487&gt;=129,A487&lt;=2176),INDEX(Fields!$B$2:$B$206,MATCH(A487-129,Fields!$D$2:$D$206,1)),""),"")</f>
        <v/>
      </c>
      <c r="E487">
        <f>IFERROR(IF(AND(A487&gt;=129,A487&lt;=2176),INDEX(Fields!$C$2:$C$206,MATCH(A487-129,Fields!$D$2:$D$206,1)),""),"")</f>
        <v/>
      </c>
    </row>
    <row r="488">
      <c r="A488" t="n">
        <v>487</v>
      </c>
      <c r="B488">
        <f>IFERROR(INDEX(RawBits!$A:$A,MATCH($A488,RawBits!$H:$H,0)),"?")</f>
        <v/>
      </c>
      <c r="C488">
        <f>IFERROR(INDEX(RawBits!$G:$G,MATCH($A488,RawBits!$H:$H,0)),"")</f>
        <v/>
      </c>
      <c r="D488">
        <f>IFERROR(IF(AND(A488&gt;=129,A488&lt;=2176),INDEX(Fields!$B$2:$B$206,MATCH(A488-129,Fields!$D$2:$D$206,1)),""),"")</f>
        <v/>
      </c>
      <c r="E488">
        <f>IFERROR(IF(AND(A488&gt;=129,A488&lt;=2176),INDEX(Fields!$C$2:$C$206,MATCH(A488-129,Fields!$D$2:$D$206,1)),""),"")</f>
        <v/>
      </c>
    </row>
    <row r="489">
      <c r="A489" t="n">
        <v>488</v>
      </c>
      <c r="B489">
        <f>IFERROR(INDEX(RawBits!$A:$A,MATCH($A489,RawBits!$H:$H,0)),"?")</f>
        <v/>
      </c>
      <c r="C489">
        <f>IFERROR(INDEX(RawBits!$G:$G,MATCH($A489,RawBits!$H:$H,0)),"")</f>
        <v/>
      </c>
      <c r="D489">
        <f>IFERROR(IF(AND(A489&gt;=129,A489&lt;=2176),INDEX(Fields!$B$2:$B$206,MATCH(A489-129,Fields!$D$2:$D$206,1)),""),"")</f>
        <v/>
      </c>
      <c r="E489">
        <f>IFERROR(IF(AND(A489&gt;=129,A489&lt;=2176),INDEX(Fields!$C$2:$C$206,MATCH(A489-129,Fields!$D$2:$D$206,1)),""),"")</f>
        <v/>
      </c>
    </row>
    <row r="490">
      <c r="A490" t="n">
        <v>489</v>
      </c>
      <c r="B490">
        <f>IFERROR(INDEX(RawBits!$A:$A,MATCH($A490,RawBits!$H:$H,0)),"?")</f>
        <v/>
      </c>
      <c r="C490">
        <f>IFERROR(INDEX(RawBits!$G:$G,MATCH($A490,RawBits!$H:$H,0)),"")</f>
        <v/>
      </c>
      <c r="D490">
        <f>IFERROR(IF(AND(A490&gt;=129,A490&lt;=2176),INDEX(Fields!$B$2:$B$206,MATCH(A490-129,Fields!$D$2:$D$206,1)),""),"")</f>
        <v/>
      </c>
      <c r="E490">
        <f>IFERROR(IF(AND(A490&gt;=129,A490&lt;=2176),INDEX(Fields!$C$2:$C$206,MATCH(A490-129,Fields!$D$2:$D$206,1)),""),"")</f>
        <v/>
      </c>
    </row>
    <row r="491">
      <c r="A491" t="n">
        <v>490</v>
      </c>
      <c r="B491">
        <f>IFERROR(INDEX(RawBits!$A:$A,MATCH($A491,RawBits!$H:$H,0)),"?")</f>
        <v/>
      </c>
      <c r="C491">
        <f>IFERROR(INDEX(RawBits!$G:$G,MATCH($A491,RawBits!$H:$H,0)),"")</f>
        <v/>
      </c>
      <c r="D491">
        <f>IFERROR(IF(AND(A491&gt;=129,A491&lt;=2176),INDEX(Fields!$B$2:$B$206,MATCH(A491-129,Fields!$D$2:$D$206,1)),""),"")</f>
        <v/>
      </c>
      <c r="E491">
        <f>IFERROR(IF(AND(A491&gt;=129,A491&lt;=2176),INDEX(Fields!$C$2:$C$206,MATCH(A491-129,Fields!$D$2:$D$206,1)),""),"")</f>
        <v/>
      </c>
    </row>
    <row r="492">
      <c r="A492" t="n">
        <v>491</v>
      </c>
      <c r="B492">
        <f>IFERROR(INDEX(RawBits!$A:$A,MATCH($A492,RawBits!$H:$H,0)),"?")</f>
        <v/>
      </c>
      <c r="C492">
        <f>IFERROR(INDEX(RawBits!$G:$G,MATCH($A492,RawBits!$H:$H,0)),"")</f>
        <v/>
      </c>
      <c r="D492">
        <f>IFERROR(IF(AND(A492&gt;=129,A492&lt;=2176),INDEX(Fields!$B$2:$B$206,MATCH(A492-129,Fields!$D$2:$D$206,1)),""),"")</f>
        <v/>
      </c>
      <c r="E492">
        <f>IFERROR(IF(AND(A492&gt;=129,A492&lt;=2176),INDEX(Fields!$C$2:$C$206,MATCH(A492-129,Fields!$D$2:$D$206,1)),""),"")</f>
        <v/>
      </c>
    </row>
    <row r="493">
      <c r="A493" t="n">
        <v>492</v>
      </c>
      <c r="B493">
        <f>IFERROR(INDEX(RawBits!$A:$A,MATCH($A493,RawBits!$H:$H,0)),"?")</f>
        <v/>
      </c>
      <c r="C493">
        <f>IFERROR(INDEX(RawBits!$G:$G,MATCH($A493,RawBits!$H:$H,0)),"")</f>
        <v/>
      </c>
      <c r="D493">
        <f>IFERROR(IF(AND(A493&gt;=129,A493&lt;=2176),INDEX(Fields!$B$2:$B$206,MATCH(A493-129,Fields!$D$2:$D$206,1)),""),"")</f>
        <v/>
      </c>
      <c r="E493">
        <f>IFERROR(IF(AND(A493&gt;=129,A493&lt;=2176),INDEX(Fields!$C$2:$C$206,MATCH(A493-129,Fields!$D$2:$D$206,1)),""),"")</f>
        <v/>
      </c>
    </row>
    <row r="494">
      <c r="A494" t="n">
        <v>493</v>
      </c>
      <c r="B494">
        <f>IFERROR(INDEX(RawBits!$A:$A,MATCH($A494,RawBits!$H:$H,0)),"?")</f>
        <v/>
      </c>
      <c r="C494">
        <f>IFERROR(INDEX(RawBits!$G:$G,MATCH($A494,RawBits!$H:$H,0)),"")</f>
        <v/>
      </c>
      <c r="D494">
        <f>IFERROR(IF(AND(A494&gt;=129,A494&lt;=2176),INDEX(Fields!$B$2:$B$206,MATCH(A494-129,Fields!$D$2:$D$206,1)),""),"")</f>
        <v/>
      </c>
      <c r="E494">
        <f>IFERROR(IF(AND(A494&gt;=129,A494&lt;=2176),INDEX(Fields!$C$2:$C$206,MATCH(A494-129,Fields!$D$2:$D$206,1)),""),"")</f>
        <v/>
      </c>
    </row>
    <row r="495">
      <c r="A495" t="n">
        <v>494</v>
      </c>
      <c r="B495">
        <f>IFERROR(INDEX(RawBits!$A:$A,MATCH($A495,RawBits!$H:$H,0)),"?")</f>
        <v/>
      </c>
      <c r="C495">
        <f>IFERROR(INDEX(RawBits!$G:$G,MATCH($A495,RawBits!$H:$H,0)),"")</f>
        <v/>
      </c>
      <c r="D495">
        <f>IFERROR(IF(AND(A495&gt;=129,A495&lt;=2176),INDEX(Fields!$B$2:$B$206,MATCH(A495-129,Fields!$D$2:$D$206,1)),""),"")</f>
        <v/>
      </c>
      <c r="E495">
        <f>IFERROR(IF(AND(A495&gt;=129,A495&lt;=2176),INDEX(Fields!$C$2:$C$206,MATCH(A495-129,Fields!$D$2:$D$206,1)),""),"")</f>
        <v/>
      </c>
    </row>
    <row r="496">
      <c r="A496" t="n">
        <v>495</v>
      </c>
      <c r="B496">
        <f>IFERROR(INDEX(RawBits!$A:$A,MATCH($A496,RawBits!$H:$H,0)),"?")</f>
        <v/>
      </c>
      <c r="C496">
        <f>IFERROR(INDEX(RawBits!$G:$G,MATCH($A496,RawBits!$H:$H,0)),"")</f>
        <v/>
      </c>
      <c r="D496">
        <f>IFERROR(IF(AND(A496&gt;=129,A496&lt;=2176),INDEX(Fields!$B$2:$B$206,MATCH(A496-129,Fields!$D$2:$D$206,1)),""),"")</f>
        <v/>
      </c>
      <c r="E496">
        <f>IFERROR(IF(AND(A496&gt;=129,A496&lt;=2176),INDEX(Fields!$C$2:$C$206,MATCH(A496-129,Fields!$D$2:$D$206,1)),""),"")</f>
        <v/>
      </c>
    </row>
    <row r="497">
      <c r="A497" t="n">
        <v>496</v>
      </c>
      <c r="B497">
        <f>IFERROR(INDEX(RawBits!$A:$A,MATCH($A497,RawBits!$H:$H,0)),"?")</f>
        <v/>
      </c>
      <c r="C497">
        <f>IFERROR(INDEX(RawBits!$G:$G,MATCH($A497,RawBits!$H:$H,0)),"")</f>
        <v/>
      </c>
      <c r="D497">
        <f>IFERROR(IF(AND(A497&gt;=129,A497&lt;=2176),INDEX(Fields!$B$2:$B$206,MATCH(A497-129,Fields!$D$2:$D$206,1)),""),"")</f>
        <v/>
      </c>
      <c r="E497">
        <f>IFERROR(IF(AND(A497&gt;=129,A497&lt;=2176),INDEX(Fields!$C$2:$C$206,MATCH(A497-129,Fields!$D$2:$D$206,1)),""),"")</f>
        <v/>
      </c>
    </row>
    <row r="498">
      <c r="A498" t="n">
        <v>497</v>
      </c>
      <c r="B498">
        <f>IFERROR(INDEX(RawBits!$A:$A,MATCH($A498,RawBits!$H:$H,0)),"?")</f>
        <v/>
      </c>
      <c r="C498">
        <f>IFERROR(INDEX(RawBits!$G:$G,MATCH($A498,RawBits!$H:$H,0)),"")</f>
        <v/>
      </c>
      <c r="D498">
        <f>IFERROR(IF(AND(A498&gt;=129,A498&lt;=2176),INDEX(Fields!$B$2:$B$206,MATCH(A498-129,Fields!$D$2:$D$206,1)),""),"")</f>
        <v/>
      </c>
      <c r="E498">
        <f>IFERROR(IF(AND(A498&gt;=129,A498&lt;=2176),INDEX(Fields!$C$2:$C$206,MATCH(A498-129,Fields!$D$2:$D$206,1)),""),"")</f>
        <v/>
      </c>
    </row>
    <row r="499">
      <c r="A499" t="n">
        <v>498</v>
      </c>
      <c r="B499">
        <f>IFERROR(INDEX(RawBits!$A:$A,MATCH($A499,RawBits!$H:$H,0)),"?")</f>
        <v/>
      </c>
      <c r="C499">
        <f>IFERROR(INDEX(RawBits!$G:$G,MATCH($A499,RawBits!$H:$H,0)),"")</f>
        <v/>
      </c>
      <c r="D499">
        <f>IFERROR(IF(AND(A499&gt;=129,A499&lt;=2176),INDEX(Fields!$B$2:$B$206,MATCH(A499-129,Fields!$D$2:$D$206,1)),""),"")</f>
        <v/>
      </c>
      <c r="E499">
        <f>IFERROR(IF(AND(A499&gt;=129,A499&lt;=2176),INDEX(Fields!$C$2:$C$206,MATCH(A499-129,Fields!$D$2:$D$206,1)),""),"")</f>
        <v/>
      </c>
    </row>
    <row r="500">
      <c r="A500" t="n">
        <v>499</v>
      </c>
      <c r="B500">
        <f>IFERROR(INDEX(RawBits!$A:$A,MATCH($A500,RawBits!$H:$H,0)),"?")</f>
        <v/>
      </c>
      <c r="C500">
        <f>IFERROR(INDEX(RawBits!$G:$G,MATCH($A500,RawBits!$H:$H,0)),"")</f>
        <v/>
      </c>
      <c r="D500">
        <f>IFERROR(IF(AND(A500&gt;=129,A500&lt;=2176),INDEX(Fields!$B$2:$B$206,MATCH(A500-129,Fields!$D$2:$D$206,1)),""),"")</f>
        <v/>
      </c>
      <c r="E500">
        <f>IFERROR(IF(AND(A500&gt;=129,A500&lt;=2176),INDEX(Fields!$C$2:$C$206,MATCH(A500-129,Fields!$D$2:$D$206,1)),""),"")</f>
        <v/>
      </c>
    </row>
    <row r="501">
      <c r="A501" t="n">
        <v>500</v>
      </c>
      <c r="B501">
        <f>IFERROR(INDEX(RawBits!$A:$A,MATCH($A501,RawBits!$H:$H,0)),"?")</f>
        <v/>
      </c>
      <c r="C501">
        <f>IFERROR(INDEX(RawBits!$G:$G,MATCH($A501,RawBits!$H:$H,0)),"")</f>
        <v/>
      </c>
      <c r="D501">
        <f>IFERROR(IF(AND(A501&gt;=129,A501&lt;=2176),INDEX(Fields!$B$2:$B$206,MATCH(A501-129,Fields!$D$2:$D$206,1)),""),"")</f>
        <v/>
      </c>
      <c r="E501">
        <f>IFERROR(IF(AND(A501&gt;=129,A501&lt;=2176),INDEX(Fields!$C$2:$C$206,MATCH(A501-129,Fields!$D$2:$D$206,1)),""),"")</f>
        <v/>
      </c>
    </row>
    <row r="502">
      <c r="A502" t="n">
        <v>501</v>
      </c>
      <c r="B502">
        <f>IFERROR(INDEX(RawBits!$A:$A,MATCH($A502,RawBits!$H:$H,0)),"?")</f>
        <v/>
      </c>
      <c r="C502">
        <f>IFERROR(INDEX(RawBits!$G:$G,MATCH($A502,RawBits!$H:$H,0)),"")</f>
        <v/>
      </c>
      <c r="D502">
        <f>IFERROR(IF(AND(A502&gt;=129,A502&lt;=2176),INDEX(Fields!$B$2:$B$206,MATCH(A502-129,Fields!$D$2:$D$206,1)),""),"")</f>
        <v/>
      </c>
      <c r="E502">
        <f>IFERROR(IF(AND(A502&gt;=129,A502&lt;=2176),INDEX(Fields!$C$2:$C$206,MATCH(A502-129,Fields!$D$2:$D$206,1)),""),"")</f>
        <v/>
      </c>
    </row>
    <row r="503">
      <c r="A503" t="n">
        <v>502</v>
      </c>
      <c r="B503">
        <f>IFERROR(INDEX(RawBits!$A:$A,MATCH($A503,RawBits!$H:$H,0)),"?")</f>
        <v/>
      </c>
      <c r="C503">
        <f>IFERROR(INDEX(RawBits!$G:$G,MATCH($A503,RawBits!$H:$H,0)),"")</f>
        <v/>
      </c>
      <c r="D503">
        <f>IFERROR(IF(AND(A503&gt;=129,A503&lt;=2176),INDEX(Fields!$B$2:$B$206,MATCH(A503-129,Fields!$D$2:$D$206,1)),""),"")</f>
        <v/>
      </c>
      <c r="E503">
        <f>IFERROR(IF(AND(A503&gt;=129,A503&lt;=2176),INDEX(Fields!$C$2:$C$206,MATCH(A503-129,Fields!$D$2:$D$206,1)),""),"")</f>
        <v/>
      </c>
    </row>
    <row r="504">
      <c r="A504" t="n">
        <v>503</v>
      </c>
      <c r="B504">
        <f>IFERROR(INDEX(RawBits!$A:$A,MATCH($A504,RawBits!$H:$H,0)),"?")</f>
        <v/>
      </c>
      <c r="C504">
        <f>IFERROR(INDEX(RawBits!$G:$G,MATCH($A504,RawBits!$H:$H,0)),"")</f>
        <v/>
      </c>
      <c r="D504">
        <f>IFERROR(IF(AND(A504&gt;=129,A504&lt;=2176),INDEX(Fields!$B$2:$B$206,MATCH(A504-129,Fields!$D$2:$D$206,1)),""),"")</f>
        <v/>
      </c>
      <c r="E504">
        <f>IFERROR(IF(AND(A504&gt;=129,A504&lt;=2176),INDEX(Fields!$C$2:$C$206,MATCH(A504-129,Fields!$D$2:$D$206,1)),""),"")</f>
        <v/>
      </c>
    </row>
    <row r="505">
      <c r="A505" t="n">
        <v>504</v>
      </c>
      <c r="B505">
        <f>IFERROR(INDEX(RawBits!$A:$A,MATCH($A505,RawBits!$H:$H,0)),"?")</f>
        <v/>
      </c>
      <c r="C505">
        <f>IFERROR(INDEX(RawBits!$G:$G,MATCH($A505,RawBits!$H:$H,0)),"")</f>
        <v/>
      </c>
      <c r="D505">
        <f>IFERROR(IF(AND(A505&gt;=129,A505&lt;=2176),INDEX(Fields!$B$2:$B$206,MATCH(A505-129,Fields!$D$2:$D$206,1)),""),"")</f>
        <v/>
      </c>
      <c r="E505">
        <f>IFERROR(IF(AND(A505&gt;=129,A505&lt;=2176),INDEX(Fields!$C$2:$C$206,MATCH(A505-129,Fields!$D$2:$D$206,1)),""),"")</f>
        <v/>
      </c>
    </row>
    <row r="506">
      <c r="A506" t="n">
        <v>505</v>
      </c>
      <c r="B506">
        <f>IFERROR(INDEX(RawBits!$A:$A,MATCH($A506,RawBits!$H:$H,0)),"?")</f>
        <v/>
      </c>
      <c r="C506">
        <f>IFERROR(INDEX(RawBits!$G:$G,MATCH($A506,RawBits!$H:$H,0)),"")</f>
        <v/>
      </c>
      <c r="D506">
        <f>IFERROR(IF(AND(A506&gt;=129,A506&lt;=2176),INDEX(Fields!$B$2:$B$206,MATCH(A506-129,Fields!$D$2:$D$206,1)),""),"")</f>
        <v/>
      </c>
      <c r="E506">
        <f>IFERROR(IF(AND(A506&gt;=129,A506&lt;=2176),INDEX(Fields!$C$2:$C$206,MATCH(A506-129,Fields!$D$2:$D$206,1)),""),"")</f>
        <v/>
      </c>
    </row>
    <row r="507">
      <c r="A507" t="n">
        <v>506</v>
      </c>
      <c r="B507">
        <f>IFERROR(INDEX(RawBits!$A:$A,MATCH($A507,RawBits!$H:$H,0)),"?")</f>
        <v/>
      </c>
      <c r="C507">
        <f>IFERROR(INDEX(RawBits!$G:$G,MATCH($A507,RawBits!$H:$H,0)),"")</f>
        <v/>
      </c>
      <c r="D507">
        <f>IFERROR(IF(AND(A507&gt;=129,A507&lt;=2176),INDEX(Fields!$B$2:$B$206,MATCH(A507-129,Fields!$D$2:$D$206,1)),""),"")</f>
        <v/>
      </c>
      <c r="E507">
        <f>IFERROR(IF(AND(A507&gt;=129,A507&lt;=2176),INDEX(Fields!$C$2:$C$206,MATCH(A507-129,Fields!$D$2:$D$206,1)),""),"")</f>
        <v/>
      </c>
    </row>
    <row r="508">
      <c r="A508" t="n">
        <v>507</v>
      </c>
      <c r="B508">
        <f>IFERROR(INDEX(RawBits!$A:$A,MATCH($A508,RawBits!$H:$H,0)),"?")</f>
        <v/>
      </c>
      <c r="C508">
        <f>IFERROR(INDEX(RawBits!$G:$G,MATCH($A508,RawBits!$H:$H,0)),"")</f>
        <v/>
      </c>
      <c r="D508">
        <f>IFERROR(IF(AND(A508&gt;=129,A508&lt;=2176),INDEX(Fields!$B$2:$B$206,MATCH(A508-129,Fields!$D$2:$D$206,1)),""),"")</f>
        <v/>
      </c>
      <c r="E508">
        <f>IFERROR(IF(AND(A508&gt;=129,A508&lt;=2176),INDEX(Fields!$C$2:$C$206,MATCH(A508-129,Fields!$D$2:$D$206,1)),""),"")</f>
        <v/>
      </c>
    </row>
    <row r="509">
      <c r="A509" t="n">
        <v>508</v>
      </c>
      <c r="B509">
        <f>IFERROR(INDEX(RawBits!$A:$A,MATCH($A509,RawBits!$H:$H,0)),"?")</f>
        <v/>
      </c>
      <c r="C509">
        <f>IFERROR(INDEX(RawBits!$G:$G,MATCH($A509,RawBits!$H:$H,0)),"")</f>
        <v/>
      </c>
      <c r="D509">
        <f>IFERROR(IF(AND(A509&gt;=129,A509&lt;=2176),INDEX(Fields!$B$2:$B$206,MATCH(A509-129,Fields!$D$2:$D$206,1)),""),"")</f>
        <v/>
      </c>
      <c r="E509">
        <f>IFERROR(IF(AND(A509&gt;=129,A509&lt;=2176),INDEX(Fields!$C$2:$C$206,MATCH(A509-129,Fields!$D$2:$D$206,1)),""),"")</f>
        <v/>
      </c>
    </row>
    <row r="510">
      <c r="A510" t="n">
        <v>509</v>
      </c>
      <c r="B510">
        <f>IFERROR(INDEX(RawBits!$A:$A,MATCH($A510,RawBits!$H:$H,0)),"?")</f>
        <v/>
      </c>
      <c r="C510">
        <f>IFERROR(INDEX(RawBits!$G:$G,MATCH($A510,RawBits!$H:$H,0)),"")</f>
        <v/>
      </c>
      <c r="D510">
        <f>IFERROR(IF(AND(A510&gt;=129,A510&lt;=2176),INDEX(Fields!$B$2:$B$206,MATCH(A510-129,Fields!$D$2:$D$206,1)),""),"")</f>
        <v/>
      </c>
      <c r="E510">
        <f>IFERROR(IF(AND(A510&gt;=129,A510&lt;=2176),INDEX(Fields!$C$2:$C$206,MATCH(A510-129,Fields!$D$2:$D$206,1)),""),"")</f>
        <v/>
      </c>
    </row>
    <row r="511">
      <c r="A511" t="n">
        <v>510</v>
      </c>
      <c r="B511">
        <f>IFERROR(INDEX(RawBits!$A:$A,MATCH($A511,RawBits!$H:$H,0)),"?")</f>
        <v/>
      </c>
      <c r="C511">
        <f>IFERROR(INDEX(RawBits!$G:$G,MATCH($A511,RawBits!$H:$H,0)),"")</f>
        <v/>
      </c>
      <c r="D511">
        <f>IFERROR(IF(AND(A511&gt;=129,A511&lt;=2176),INDEX(Fields!$B$2:$B$206,MATCH(A511-129,Fields!$D$2:$D$206,1)),""),"")</f>
        <v/>
      </c>
      <c r="E511">
        <f>IFERROR(IF(AND(A511&gt;=129,A511&lt;=2176),INDEX(Fields!$C$2:$C$206,MATCH(A511-129,Fields!$D$2:$D$206,1)),""),"")</f>
        <v/>
      </c>
    </row>
    <row r="512">
      <c r="A512" t="n">
        <v>511</v>
      </c>
      <c r="B512">
        <f>IFERROR(INDEX(RawBits!$A:$A,MATCH($A512,RawBits!$H:$H,0)),"?")</f>
        <v/>
      </c>
      <c r="C512">
        <f>IFERROR(INDEX(RawBits!$G:$G,MATCH($A512,RawBits!$H:$H,0)),"")</f>
        <v/>
      </c>
      <c r="D512">
        <f>IFERROR(IF(AND(A512&gt;=129,A512&lt;=2176),INDEX(Fields!$B$2:$B$206,MATCH(A512-129,Fields!$D$2:$D$206,1)),""),"")</f>
        <v/>
      </c>
      <c r="E512">
        <f>IFERROR(IF(AND(A512&gt;=129,A512&lt;=2176),INDEX(Fields!$C$2:$C$206,MATCH(A512-129,Fields!$D$2:$D$206,1)),""),"")</f>
        <v/>
      </c>
    </row>
    <row r="513">
      <c r="A513" t="n">
        <v>512</v>
      </c>
      <c r="B513">
        <f>IFERROR(INDEX(RawBits!$A:$A,MATCH($A513,RawBits!$H:$H,0)),"?")</f>
        <v/>
      </c>
      <c r="C513">
        <f>IFERROR(INDEX(RawBits!$G:$G,MATCH($A513,RawBits!$H:$H,0)),"")</f>
        <v/>
      </c>
      <c r="D513">
        <f>IFERROR(IF(AND(A513&gt;=129,A513&lt;=2176),INDEX(Fields!$B$2:$B$206,MATCH(A513-129,Fields!$D$2:$D$206,1)),""),"")</f>
        <v/>
      </c>
      <c r="E513">
        <f>IFERROR(IF(AND(A513&gt;=129,A513&lt;=2176),INDEX(Fields!$C$2:$C$206,MATCH(A513-129,Fields!$D$2:$D$206,1)),""),"")</f>
        <v/>
      </c>
    </row>
    <row r="514">
      <c r="A514" t="n">
        <v>513</v>
      </c>
      <c r="B514">
        <f>IFERROR(INDEX(RawBits!$A:$A,MATCH($A514,RawBits!$H:$H,0)),"?")</f>
        <v/>
      </c>
      <c r="C514">
        <f>IFERROR(INDEX(RawBits!$G:$G,MATCH($A514,RawBits!$H:$H,0)),"")</f>
        <v/>
      </c>
      <c r="D514">
        <f>IFERROR(IF(AND(A514&gt;=129,A514&lt;=2176),INDEX(Fields!$B$2:$B$206,MATCH(A514-129,Fields!$D$2:$D$206,1)),""),"")</f>
        <v/>
      </c>
      <c r="E514">
        <f>IFERROR(IF(AND(A514&gt;=129,A514&lt;=2176),INDEX(Fields!$C$2:$C$206,MATCH(A514-129,Fields!$D$2:$D$206,1)),""),"")</f>
        <v/>
      </c>
    </row>
    <row r="515">
      <c r="A515" t="n">
        <v>514</v>
      </c>
      <c r="B515">
        <f>IFERROR(INDEX(RawBits!$A:$A,MATCH($A515,RawBits!$H:$H,0)),"?")</f>
        <v/>
      </c>
      <c r="C515">
        <f>IFERROR(INDEX(RawBits!$G:$G,MATCH($A515,RawBits!$H:$H,0)),"")</f>
        <v/>
      </c>
      <c r="D515">
        <f>IFERROR(IF(AND(A515&gt;=129,A515&lt;=2176),INDEX(Fields!$B$2:$B$206,MATCH(A515-129,Fields!$D$2:$D$206,1)),""),"")</f>
        <v/>
      </c>
      <c r="E515">
        <f>IFERROR(IF(AND(A515&gt;=129,A515&lt;=2176),INDEX(Fields!$C$2:$C$206,MATCH(A515-129,Fields!$D$2:$D$206,1)),""),"")</f>
        <v/>
      </c>
    </row>
    <row r="516">
      <c r="A516" t="n">
        <v>515</v>
      </c>
      <c r="B516">
        <f>IFERROR(INDEX(RawBits!$A:$A,MATCH($A516,RawBits!$H:$H,0)),"?")</f>
        <v/>
      </c>
      <c r="C516">
        <f>IFERROR(INDEX(RawBits!$G:$G,MATCH($A516,RawBits!$H:$H,0)),"")</f>
        <v/>
      </c>
      <c r="D516">
        <f>IFERROR(IF(AND(A516&gt;=129,A516&lt;=2176),INDEX(Fields!$B$2:$B$206,MATCH(A516-129,Fields!$D$2:$D$206,1)),""),"")</f>
        <v/>
      </c>
      <c r="E516">
        <f>IFERROR(IF(AND(A516&gt;=129,A516&lt;=2176),INDEX(Fields!$C$2:$C$206,MATCH(A516-129,Fields!$D$2:$D$206,1)),""),"")</f>
        <v/>
      </c>
    </row>
    <row r="517">
      <c r="A517" t="n">
        <v>516</v>
      </c>
      <c r="B517">
        <f>IFERROR(INDEX(RawBits!$A:$A,MATCH($A517,RawBits!$H:$H,0)),"?")</f>
        <v/>
      </c>
      <c r="C517">
        <f>IFERROR(INDEX(RawBits!$G:$G,MATCH($A517,RawBits!$H:$H,0)),"")</f>
        <v/>
      </c>
      <c r="D517">
        <f>IFERROR(IF(AND(A517&gt;=129,A517&lt;=2176),INDEX(Fields!$B$2:$B$206,MATCH(A517-129,Fields!$D$2:$D$206,1)),""),"")</f>
        <v/>
      </c>
      <c r="E517">
        <f>IFERROR(IF(AND(A517&gt;=129,A517&lt;=2176),INDEX(Fields!$C$2:$C$206,MATCH(A517-129,Fields!$D$2:$D$206,1)),""),"")</f>
        <v/>
      </c>
    </row>
    <row r="518">
      <c r="A518" t="n">
        <v>517</v>
      </c>
      <c r="B518">
        <f>IFERROR(INDEX(RawBits!$A:$A,MATCH($A518,RawBits!$H:$H,0)),"?")</f>
        <v/>
      </c>
      <c r="C518">
        <f>IFERROR(INDEX(RawBits!$G:$G,MATCH($A518,RawBits!$H:$H,0)),"")</f>
        <v/>
      </c>
      <c r="D518">
        <f>IFERROR(IF(AND(A518&gt;=129,A518&lt;=2176),INDEX(Fields!$B$2:$B$206,MATCH(A518-129,Fields!$D$2:$D$206,1)),""),"")</f>
        <v/>
      </c>
      <c r="E518">
        <f>IFERROR(IF(AND(A518&gt;=129,A518&lt;=2176),INDEX(Fields!$C$2:$C$206,MATCH(A518-129,Fields!$D$2:$D$206,1)),""),"")</f>
        <v/>
      </c>
    </row>
    <row r="519">
      <c r="A519" t="n">
        <v>518</v>
      </c>
      <c r="B519">
        <f>IFERROR(INDEX(RawBits!$A:$A,MATCH($A519,RawBits!$H:$H,0)),"?")</f>
        <v/>
      </c>
      <c r="C519">
        <f>IFERROR(INDEX(RawBits!$G:$G,MATCH($A519,RawBits!$H:$H,0)),"")</f>
        <v/>
      </c>
      <c r="D519">
        <f>IFERROR(IF(AND(A519&gt;=129,A519&lt;=2176),INDEX(Fields!$B$2:$B$206,MATCH(A519-129,Fields!$D$2:$D$206,1)),""),"")</f>
        <v/>
      </c>
      <c r="E519">
        <f>IFERROR(IF(AND(A519&gt;=129,A519&lt;=2176),INDEX(Fields!$C$2:$C$206,MATCH(A519-129,Fields!$D$2:$D$206,1)),""),"")</f>
        <v/>
      </c>
    </row>
    <row r="520">
      <c r="A520" t="n">
        <v>519</v>
      </c>
      <c r="B520">
        <f>IFERROR(INDEX(RawBits!$A:$A,MATCH($A520,RawBits!$H:$H,0)),"?")</f>
        <v/>
      </c>
      <c r="C520">
        <f>IFERROR(INDEX(RawBits!$G:$G,MATCH($A520,RawBits!$H:$H,0)),"")</f>
        <v/>
      </c>
      <c r="D520">
        <f>IFERROR(IF(AND(A520&gt;=129,A520&lt;=2176),INDEX(Fields!$B$2:$B$206,MATCH(A520-129,Fields!$D$2:$D$206,1)),""),"")</f>
        <v/>
      </c>
      <c r="E520">
        <f>IFERROR(IF(AND(A520&gt;=129,A520&lt;=2176),INDEX(Fields!$C$2:$C$206,MATCH(A520-129,Fields!$D$2:$D$206,1)),""),"")</f>
        <v/>
      </c>
    </row>
    <row r="521">
      <c r="A521" t="n">
        <v>520</v>
      </c>
      <c r="B521">
        <f>IFERROR(INDEX(RawBits!$A:$A,MATCH($A521,RawBits!$H:$H,0)),"?")</f>
        <v/>
      </c>
      <c r="C521">
        <f>IFERROR(INDEX(RawBits!$G:$G,MATCH($A521,RawBits!$H:$H,0)),"")</f>
        <v/>
      </c>
      <c r="D521">
        <f>IFERROR(IF(AND(A521&gt;=129,A521&lt;=2176),INDEX(Fields!$B$2:$B$206,MATCH(A521-129,Fields!$D$2:$D$206,1)),""),"")</f>
        <v/>
      </c>
      <c r="E521">
        <f>IFERROR(IF(AND(A521&gt;=129,A521&lt;=2176),INDEX(Fields!$C$2:$C$206,MATCH(A521-129,Fields!$D$2:$D$206,1)),""),"")</f>
        <v/>
      </c>
    </row>
    <row r="522">
      <c r="A522" t="n">
        <v>521</v>
      </c>
      <c r="B522">
        <f>IFERROR(INDEX(RawBits!$A:$A,MATCH($A522,RawBits!$H:$H,0)),"?")</f>
        <v/>
      </c>
      <c r="C522">
        <f>IFERROR(INDEX(RawBits!$G:$G,MATCH($A522,RawBits!$H:$H,0)),"")</f>
        <v/>
      </c>
      <c r="D522">
        <f>IFERROR(IF(AND(A522&gt;=129,A522&lt;=2176),INDEX(Fields!$B$2:$B$206,MATCH(A522-129,Fields!$D$2:$D$206,1)),""),"")</f>
        <v/>
      </c>
      <c r="E522">
        <f>IFERROR(IF(AND(A522&gt;=129,A522&lt;=2176),INDEX(Fields!$C$2:$C$206,MATCH(A522-129,Fields!$D$2:$D$206,1)),""),"")</f>
        <v/>
      </c>
    </row>
    <row r="523">
      <c r="A523" t="n">
        <v>522</v>
      </c>
      <c r="B523">
        <f>IFERROR(INDEX(RawBits!$A:$A,MATCH($A523,RawBits!$H:$H,0)),"?")</f>
        <v/>
      </c>
      <c r="C523">
        <f>IFERROR(INDEX(RawBits!$G:$G,MATCH($A523,RawBits!$H:$H,0)),"")</f>
        <v/>
      </c>
      <c r="D523">
        <f>IFERROR(IF(AND(A523&gt;=129,A523&lt;=2176),INDEX(Fields!$B$2:$B$206,MATCH(A523-129,Fields!$D$2:$D$206,1)),""),"")</f>
        <v/>
      </c>
      <c r="E523">
        <f>IFERROR(IF(AND(A523&gt;=129,A523&lt;=2176),INDEX(Fields!$C$2:$C$206,MATCH(A523-129,Fields!$D$2:$D$206,1)),""),"")</f>
        <v/>
      </c>
    </row>
    <row r="524">
      <c r="A524" t="n">
        <v>523</v>
      </c>
      <c r="B524">
        <f>IFERROR(INDEX(RawBits!$A:$A,MATCH($A524,RawBits!$H:$H,0)),"?")</f>
        <v/>
      </c>
      <c r="C524">
        <f>IFERROR(INDEX(RawBits!$G:$G,MATCH($A524,RawBits!$H:$H,0)),"")</f>
        <v/>
      </c>
      <c r="D524">
        <f>IFERROR(IF(AND(A524&gt;=129,A524&lt;=2176),INDEX(Fields!$B$2:$B$206,MATCH(A524-129,Fields!$D$2:$D$206,1)),""),"")</f>
        <v/>
      </c>
      <c r="E524">
        <f>IFERROR(IF(AND(A524&gt;=129,A524&lt;=2176),INDEX(Fields!$C$2:$C$206,MATCH(A524-129,Fields!$D$2:$D$206,1)),""),"")</f>
        <v/>
      </c>
    </row>
    <row r="525">
      <c r="A525" t="n">
        <v>524</v>
      </c>
      <c r="B525">
        <f>IFERROR(INDEX(RawBits!$A:$A,MATCH($A525,RawBits!$H:$H,0)),"?")</f>
        <v/>
      </c>
      <c r="C525">
        <f>IFERROR(INDEX(RawBits!$G:$G,MATCH($A525,RawBits!$H:$H,0)),"")</f>
        <v/>
      </c>
      <c r="D525">
        <f>IFERROR(IF(AND(A525&gt;=129,A525&lt;=2176),INDEX(Fields!$B$2:$B$206,MATCH(A525-129,Fields!$D$2:$D$206,1)),""),"")</f>
        <v/>
      </c>
      <c r="E525">
        <f>IFERROR(IF(AND(A525&gt;=129,A525&lt;=2176),INDEX(Fields!$C$2:$C$206,MATCH(A525-129,Fields!$D$2:$D$206,1)),""),"")</f>
        <v/>
      </c>
    </row>
    <row r="526">
      <c r="A526" t="n">
        <v>525</v>
      </c>
      <c r="B526">
        <f>IFERROR(INDEX(RawBits!$A:$A,MATCH($A526,RawBits!$H:$H,0)),"?")</f>
        <v/>
      </c>
      <c r="C526">
        <f>IFERROR(INDEX(RawBits!$G:$G,MATCH($A526,RawBits!$H:$H,0)),"")</f>
        <v/>
      </c>
      <c r="D526">
        <f>IFERROR(IF(AND(A526&gt;=129,A526&lt;=2176),INDEX(Fields!$B$2:$B$206,MATCH(A526-129,Fields!$D$2:$D$206,1)),""),"")</f>
        <v/>
      </c>
      <c r="E526">
        <f>IFERROR(IF(AND(A526&gt;=129,A526&lt;=2176),INDEX(Fields!$C$2:$C$206,MATCH(A526-129,Fields!$D$2:$D$206,1)),""),"")</f>
        <v/>
      </c>
    </row>
    <row r="527">
      <c r="A527" t="n">
        <v>526</v>
      </c>
      <c r="B527">
        <f>IFERROR(INDEX(RawBits!$A:$A,MATCH($A527,RawBits!$H:$H,0)),"?")</f>
        <v/>
      </c>
      <c r="C527">
        <f>IFERROR(INDEX(RawBits!$G:$G,MATCH($A527,RawBits!$H:$H,0)),"")</f>
        <v/>
      </c>
      <c r="D527">
        <f>IFERROR(IF(AND(A527&gt;=129,A527&lt;=2176),INDEX(Fields!$B$2:$B$206,MATCH(A527-129,Fields!$D$2:$D$206,1)),""),"")</f>
        <v/>
      </c>
      <c r="E527">
        <f>IFERROR(IF(AND(A527&gt;=129,A527&lt;=2176),INDEX(Fields!$C$2:$C$206,MATCH(A527-129,Fields!$D$2:$D$206,1)),""),"")</f>
        <v/>
      </c>
    </row>
    <row r="528">
      <c r="A528" t="n">
        <v>527</v>
      </c>
      <c r="B528">
        <f>IFERROR(INDEX(RawBits!$A:$A,MATCH($A528,RawBits!$H:$H,0)),"?")</f>
        <v/>
      </c>
      <c r="C528">
        <f>IFERROR(INDEX(RawBits!$G:$G,MATCH($A528,RawBits!$H:$H,0)),"")</f>
        <v/>
      </c>
      <c r="D528">
        <f>IFERROR(IF(AND(A528&gt;=129,A528&lt;=2176),INDEX(Fields!$B$2:$B$206,MATCH(A528-129,Fields!$D$2:$D$206,1)),""),"")</f>
        <v/>
      </c>
      <c r="E528">
        <f>IFERROR(IF(AND(A528&gt;=129,A528&lt;=2176),INDEX(Fields!$C$2:$C$206,MATCH(A528-129,Fields!$D$2:$D$206,1)),""),"")</f>
        <v/>
      </c>
    </row>
    <row r="529">
      <c r="A529" t="n">
        <v>528</v>
      </c>
      <c r="B529">
        <f>IFERROR(INDEX(RawBits!$A:$A,MATCH($A529,RawBits!$H:$H,0)),"?")</f>
        <v/>
      </c>
      <c r="C529">
        <f>IFERROR(INDEX(RawBits!$G:$G,MATCH($A529,RawBits!$H:$H,0)),"")</f>
        <v/>
      </c>
      <c r="D529">
        <f>IFERROR(IF(AND(A529&gt;=129,A529&lt;=2176),INDEX(Fields!$B$2:$B$206,MATCH(A529-129,Fields!$D$2:$D$206,1)),""),"")</f>
        <v/>
      </c>
      <c r="E529">
        <f>IFERROR(IF(AND(A529&gt;=129,A529&lt;=2176),INDEX(Fields!$C$2:$C$206,MATCH(A529-129,Fields!$D$2:$D$206,1)),""),"")</f>
        <v/>
      </c>
    </row>
    <row r="530">
      <c r="A530" t="n">
        <v>529</v>
      </c>
      <c r="B530">
        <f>IFERROR(INDEX(RawBits!$A:$A,MATCH($A530,RawBits!$H:$H,0)),"?")</f>
        <v/>
      </c>
      <c r="C530">
        <f>IFERROR(INDEX(RawBits!$G:$G,MATCH($A530,RawBits!$H:$H,0)),"")</f>
        <v/>
      </c>
      <c r="D530">
        <f>IFERROR(IF(AND(A530&gt;=129,A530&lt;=2176),INDEX(Fields!$B$2:$B$206,MATCH(A530-129,Fields!$D$2:$D$206,1)),""),"")</f>
        <v/>
      </c>
      <c r="E530">
        <f>IFERROR(IF(AND(A530&gt;=129,A530&lt;=2176),INDEX(Fields!$C$2:$C$206,MATCH(A530-129,Fields!$D$2:$D$206,1)),""),"")</f>
        <v/>
      </c>
    </row>
    <row r="531">
      <c r="A531" t="n">
        <v>530</v>
      </c>
      <c r="B531">
        <f>IFERROR(INDEX(RawBits!$A:$A,MATCH($A531,RawBits!$H:$H,0)),"?")</f>
        <v/>
      </c>
      <c r="C531">
        <f>IFERROR(INDEX(RawBits!$G:$G,MATCH($A531,RawBits!$H:$H,0)),"")</f>
        <v/>
      </c>
      <c r="D531">
        <f>IFERROR(IF(AND(A531&gt;=129,A531&lt;=2176),INDEX(Fields!$B$2:$B$206,MATCH(A531-129,Fields!$D$2:$D$206,1)),""),"")</f>
        <v/>
      </c>
      <c r="E531">
        <f>IFERROR(IF(AND(A531&gt;=129,A531&lt;=2176),INDEX(Fields!$C$2:$C$206,MATCH(A531-129,Fields!$D$2:$D$206,1)),""),"")</f>
        <v/>
      </c>
    </row>
    <row r="532">
      <c r="A532" t="n">
        <v>531</v>
      </c>
      <c r="B532">
        <f>IFERROR(INDEX(RawBits!$A:$A,MATCH($A532,RawBits!$H:$H,0)),"?")</f>
        <v/>
      </c>
      <c r="C532">
        <f>IFERROR(INDEX(RawBits!$G:$G,MATCH($A532,RawBits!$H:$H,0)),"")</f>
        <v/>
      </c>
      <c r="D532">
        <f>IFERROR(IF(AND(A532&gt;=129,A532&lt;=2176),INDEX(Fields!$B$2:$B$206,MATCH(A532-129,Fields!$D$2:$D$206,1)),""),"")</f>
        <v/>
      </c>
      <c r="E532">
        <f>IFERROR(IF(AND(A532&gt;=129,A532&lt;=2176),INDEX(Fields!$C$2:$C$206,MATCH(A532-129,Fields!$D$2:$D$206,1)),""),"")</f>
        <v/>
      </c>
    </row>
    <row r="533">
      <c r="A533" t="n">
        <v>532</v>
      </c>
      <c r="B533">
        <f>IFERROR(INDEX(RawBits!$A:$A,MATCH($A533,RawBits!$H:$H,0)),"?")</f>
        <v/>
      </c>
      <c r="C533">
        <f>IFERROR(INDEX(RawBits!$G:$G,MATCH($A533,RawBits!$H:$H,0)),"")</f>
        <v/>
      </c>
      <c r="D533">
        <f>IFERROR(IF(AND(A533&gt;=129,A533&lt;=2176),INDEX(Fields!$B$2:$B$206,MATCH(A533-129,Fields!$D$2:$D$206,1)),""),"")</f>
        <v/>
      </c>
      <c r="E533">
        <f>IFERROR(IF(AND(A533&gt;=129,A533&lt;=2176),INDEX(Fields!$C$2:$C$206,MATCH(A533-129,Fields!$D$2:$D$206,1)),""),"")</f>
        <v/>
      </c>
    </row>
    <row r="534">
      <c r="A534" t="n">
        <v>533</v>
      </c>
      <c r="B534">
        <f>IFERROR(INDEX(RawBits!$A:$A,MATCH($A534,RawBits!$H:$H,0)),"?")</f>
        <v/>
      </c>
      <c r="C534">
        <f>IFERROR(INDEX(RawBits!$G:$G,MATCH($A534,RawBits!$H:$H,0)),"")</f>
        <v/>
      </c>
      <c r="D534">
        <f>IFERROR(IF(AND(A534&gt;=129,A534&lt;=2176),INDEX(Fields!$B$2:$B$206,MATCH(A534-129,Fields!$D$2:$D$206,1)),""),"")</f>
        <v/>
      </c>
      <c r="E534">
        <f>IFERROR(IF(AND(A534&gt;=129,A534&lt;=2176),INDEX(Fields!$C$2:$C$206,MATCH(A534-129,Fields!$D$2:$D$206,1)),""),"")</f>
        <v/>
      </c>
    </row>
    <row r="535">
      <c r="A535" t="n">
        <v>534</v>
      </c>
      <c r="B535">
        <f>IFERROR(INDEX(RawBits!$A:$A,MATCH($A535,RawBits!$H:$H,0)),"?")</f>
        <v/>
      </c>
      <c r="C535">
        <f>IFERROR(INDEX(RawBits!$G:$G,MATCH($A535,RawBits!$H:$H,0)),"")</f>
        <v/>
      </c>
      <c r="D535">
        <f>IFERROR(IF(AND(A535&gt;=129,A535&lt;=2176),INDEX(Fields!$B$2:$B$206,MATCH(A535-129,Fields!$D$2:$D$206,1)),""),"")</f>
        <v/>
      </c>
      <c r="E535">
        <f>IFERROR(IF(AND(A535&gt;=129,A535&lt;=2176),INDEX(Fields!$C$2:$C$206,MATCH(A535-129,Fields!$D$2:$D$206,1)),""),"")</f>
        <v/>
      </c>
    </row>
    <row r="536">
      <c r="A536" t="n">
        <v>535</v>
      </c>
      <c r="B536">
        <f>IFERROR(INDEX(RawBits!$A:$A,MATCH($A536,RawBits!$H:$H,0)),"?")</f>
        <v/>
      </c>
      <c r="C536">
        <f>IFERROR(INDEX(RawBits!$G:$G,MATCH($A536,RawBits!$H:$H,0)),"")</f>
        <v/>
      </c>
      <c r="D536">
        <f>IFERROR(IF(AND(A536&gt;=129,A536&lt;=2176),INDEX(Fields!$B$2:$B$206,MATCH(A536-129,Fields!$D$2:$D$206,1)),""),"")</f>
        <v/>
      </c>
      <c r="E536">
        <f>IFERROR(IF(AND(A536&gt;=129,A536&lt;=2176),INDEX(Fields!$C$2:$C$206,MATCH(A536-129,Fields!$D$2:$D$206,1)),""),"")</f>
        <v/>
      </c>
    </row>
    <row r="537">
      <c r="A537" t="n">
        <v>536</v>
      </c>
      <c r="B537">
        <f>IFERROR(INDEX(RawBits!$A:$A,MATCH($A537,RawBits!$H:$H,0)),"?")</f>
        <v/>
      </c>
      <c r="C537">
        <f>IFERROR(INDEX(RawBits!$G:$G,MATCH($A537,RawBits!$H:$H,0)),"")</f>
        <v/>
      </c>
      <c r="D537">
        <f>IFERROR(IF(AND(A537&gt;=129,A537&lt;=2176),INDEX(Fields!$B$2:$B$206,MATCH(A537-129,Fields!$D$2:$D$206,1)),""),"")</f>
        <v/>
      </c>
      <c r="E537">
        <f>IFERROR(IF(AND(A537&gt;=129,A537&lt;=2176),INDEX(Fields!$C$2:$C$206,MATCH(A537-129,Fields!$D$2:$D$206,1)),""),"")</f>
        <v/>
      </c>
    </row>
    <row r="538">
      <c r="A538" t="n">
        <v>537</v>
      </c>
      <c r="B538">
        <f>IFERROR(INDEX(RawBits!$A:$A,MATCH($A538,RawBits!$H:$H,0)),"?")</f>
        <v/>
      </c>
      <c r="C538">
        <f>IFERROR(INDEX(RawBits!$G:$G,MATCH($A538,RawBits!$H:$H,0)),"")</f>
        <v/>
      </c>
      <c r="D538">
        <f>IFERROR(IF(AND(A538&gt;=129,A538&lt;=2176),INDEX(Fields!$B$2:$B$206,MATCH(A538-129,Fields!$D$2:$D$206,1)),""),"")</f>
        <v/>
      </c>
      <c r="E538">
        <f>IFERROR(IF(AND(A538&gt;=129,A538&lt;=2176),INDEX(Fields!$C$2:$C$206,MATCH(A538-129,Fields!$D$2:$D$206,1)),""),"")</f>
        <v/>
      </c>
    </row>
    <row r="539">
      <c r="A539" t="n">
        <v>538</v>
      </c>
      <c r="B539">
        <f>IFERROR(INDEX(RawBits!$A:$A,MATCH($A539,RawBits!$H:$H,0)),"?")</f>
        <v/>
      </c>
      <c r="C539">
        <f>IFERROR(INDEX(RawBits!$G:$G,MATCH($A539,RawBits!$H:$H,0)),"")</f>
        <v/>
      </c>
      <c r="D539">
        <f>IFERROR(IF(AND(A539&gt;=129,A539&lt;=2176),INDEX(Fields!$B$2:$B$206,MATCH(A539-129,Fields!$D$2:$D$206,1)),""),"")</f>
        <v/>
      </c>
      <c r="E539">
        <f>IFERROR(IF(AND(A539&gt;=129,A539&lt;=2176),INDEX(Fields!$C$2:$C$206,MATCH(A539-129,Fields!$D$2:$D$206,1)),""),"")</f>
        <v/>
      </c>
    </row>
    <row r="540">
      <c r="A540" t="n">
        <v>539</v>
      </c>
      <c r="B540">
        <f>IFERROR(INDEX(RawBits!$A:$A,MATCH($A540,RawBits!$H:$H,0)),"?")</f>
        <v/>
      </c>
      <c r="C540">
        <f>IFERROR(INDEX(RawBits!$G:$G,MATCH($A540,RawBits!$H:$H,0)),"")</f>
        <v/>
      </c>
      <c r="D540">
        <f>IFERROR(IF(AND(A540&gt;=129,A540&lt;=2176),INDEX(Fields!$B$2:$B$206,MATCH(A540-129,Fields!$D$2:$D$206,1)),""),"")</f>
        <v/>
      </c>
      <c r="E540">
        <f>IFERROR(IF(AND(A540&gt;=129,A540&lt;=2176),INDEX(Fields!$C$2:$C$206,MATCH(A540-129,Fields!$D$2:$D$206,1)),""),"")</f>
        <v/>
      </c>
    </row>
    <row r="541">
      <c r="A541" t="n">
        <v>540</v>
      </c>
      <c r="B541">
        <f>IFERROR(INDEX(RawBits!$A:$A,MATCH($A541,RawBits!$H:$H,0)),"?")</f>
        <v/>
      </c>
      <c r="C541">
        <f>IFERROR(INDEX(RawBits!$G:$G,MATCH($A541,RawBits!$H:$H,0)),"")</f>
        <v/>
      </c>
      <c r="D541">
        <f>IFERROR(IF(AND(A541&gt;=129,A541&lt;=2176),INDEX(Fields!$B$2:$B$206,MATCH(A541-129,Fields!$D$2:$D$206,1)),""),"")</f>
        <v/>
      </c>
      <c r="E541">
        <f>IFERROR(IF(AND(A541&gt;=129,A541&lt;=2176),INDEX(Fields!$C$2:$C$206,MATCH(A541-129,Fields!$D$2:$D$206,1)),""),"")</f>
        <v/>
      </c>
    </row>
    <row r="542">
      <c r="A542" t="n">
        <v>541</v>
      </c>
      <c r="B542">
        <f>IFERROR(INDEX(RawBits!$A:$A,MATCH($A542,RawBits!$H:$H,0)),"?")</f>
        <v/>
      </c>
      <c r="C542">
        <f>IFERROR(INDEX(RawBits!$G:$G,MATCH($A542,RawBits!$H:$H,0)),"")</f>
        <v/>
      </c>
      <c r="D542">
        <f>IFERROR(IF(AND(A542&gt;=129,A542&lt;=2176),INDEX(Fields!$B$2:$B$206,MATCH(A542-129,Fields!$D$2:$D$206,1)),""),"")</f>
        <v/>
      </c>
      <c r="E542">
        <f>IFERROR(IF(AND(A542&gt;=129,A542&lt;=2176),INDEX(Fields!$C$2:$C$206,MATCH(A542-129,Fields!$D$2:$D$206,1)),""),"")</f>
        <v/>
      </c>
    </row>
    <row r="543">
      <c r="A543" t="n">
        <v>542</v>
      </c>
      <c r="B543">
        <f>IFERROR(INDEX(RawBits!$A:$A,MATCH($A543,RawBits!$H:$H,0)),"?")</f>
        <v/>
      </c>
      <c r="C543">
        <f>IFERROR(INDEX(RawBits!$G:$G,MATCH($A543,RawBits!$H:$H,0)),"")</f>
        <v/>
      </c>
      <c r="D543">
        <f>IFERROR(IF(AND(A543&gt;=129,A543&lt;=2176),INDEX(Fields!$B$2:$B$206,MATCH(A543-129,Fields!$D$2:$D$206,1)),""),"")</f>
        <v/>
      </c>
      <c r="E543">
        <f>IFERROR(IF(AND(A543&gt;=129,A543&lt;=2176),INDEX(Fields!$C$2:$C$206,MATCH(A543-129,Fields!$D$2:$D$206,1)),""),"")</f>
        <v/>
      </c>
    </row>
    <row r="544">
      <c r="A544" t="n">
        <v>543</v>
      </c>
      <c r="B544">
        <f>IFERROR(INDEX(RawBits!$A:$A,MATCH($A544,RawBits!$H:$H,0)),"?")</f>
        <v/>
      </c>
      <c r="C544">
        <f>IFERROR(INDEX(RawBits!$G:$G,MATCH($A544,RawBits!$H:$H,0)),"")</f>
        <v/>
      </c>
      <c r="D544">
        <f>IFERROR(IF(AND(A544&gt;=129,A544&lt;=2176),INDEX(Fields!$B$2:$B$206,MATCH(A544-129,Fields!$D$2:$D$206,1)),""),"")</f>
        <v/>
      </c>
      <c r="E544">
        <f>IFERROR(IF(AND(A544&gt;=129,A544&lt;=2176),INDEX(Fields!$C$2:$C$206,MATCH(A544-129,Fields!$D$2:$D$206,1)),""),"")</f>
        <v/>
      </c>
    </row>
    <row r="545">
      <c r="A545" t="n">
        <v>544</v>
      </c>
      <c r="B545">
        <f>IFERROR(INDEX(RawBits!$A:$A,MATCH($A545,RawBits!$H:$H,0)),"?")</f>
        <v/>
      </c>
      <c r="C545">
        <f>IFERROR(INDEX(RawBits!$G:$G,MATCH($A545,RawBits!$H:$H,0)),"")</f>
        <v/>
      </c>
      <c r="D545">
        <f>IFERROR(IF(AND(A545&gt;=129,A545&lt;=2176),INDEX(Fields!$B$2:$B$206,MATCH(A545-129,Fields!$D$2:$D$206,1)),""),"")</f>
        <v/>
      </c>
      <c r="E545">
        <f>IFERROR(IF(AND(A545&gt;=129,A545&lt;=2176),INDEX(Fields!$C$2:$C$206,MATCH(A545-129,Fields!$D$2:$D$206,1)),""),"")</f>
        <v/>
      </c>
    </row>
    <row r="546">
      <c r="A546" t="n">
        <v>545</v>
      </c>
      <c r="B546">
        <f>IFERROR(INDEX(RawBits!$A:$A,MATCH($A546,RawBits!$H:$H,0)),"?")</f>
        <v/>
      </c>
      <c r="C546">
        <f>IFERROR(INDEX(RawBits!$G:$G,MATCH($A546,RawBits!$H:$H,0)),"")</f>
        <v/>
      </c>
      <c r="D546">
        <f>IFERROR(IF(AND(A546&gt;=129,A546&lt;=2176),INDEX(Fields!$B$2:$B$206,MATCH(A546-129,Fields!$D$2:$D$206,1)),""),"")</f>
        <v/>
      </c>
      <c r="E546">
        <f>IFERROR(IF(AND(A546&gt;=129,A546&lt;=2176),INDEX(Fields!$C$2:$C$206,MATCH(A546-129,Fields!$D$2:$D$206,1)),""),"")</f>
        <v/>
      </c>
    </row>
    <row r="547">
      <c r="A547" t="n">
        <v>546</v>
      </c>
      <c r="B547">
        <f>IFERROR(INDEX(RawBits!$A:$A,MATCH($A547,RawBits!$H:$H,0)),"?")</f>
        <v/>
      </c>
      <c r="C547">
        <f>IFERROR(INDEX(RawBits!$G:$G,MATCH($A547,RawBits!$H:$H,0)),"")</f>
        <v/>
      </c>
      <c r="D547">
        <f>IFERROR(IF(AND(A547&gt;=129,A547&lt;=2176),INDEX(Fields!$B$2:$B$206,MATCH(A547-129,Fields!$D$2:$D$206,1)),""),"")</f>
        <v/>
      </c>
      <c r="E547">
        <f>IFERROR(IF(AND(A547&gt;=129,A547&lt;=2176),INDEX(Fields!$C$2:$C$206,MATCH(A547-129,Fields!$D$2:$D$206,1)),""),"")</f>
        <v/>
      </c>
    </row>
    <row r="548">
      <c r="A548" t="n">
        <v>547</v>
      </c>
      <c r="B548">
        <f>IFERROR(INDEX(RawBits!$A:$A,MATCH($A548,RawBits!$H:$H,0)),"?")</f>
        <v/>
      </c>
      <c r="C548">
        <f>IFERROR(INDEX(RawBits!$G:$G,MATCH($A548,RawBits!$H:$H,0)),"")</f>
        <v/>
      </c>
      <c r="D548">
        <f>IFERROR(IF(AND(A548&gt;=129,A548&lt;=2176),INDEX(Fields!$B$2:$B$206,MATCH(A548-129,Fields!$D$2:$D$206,1)),""),"")</f>
        <v/>
      </c>
      <c r="E548">
        <f>IFERROR(IF(AND(A548&gt;=129,A548&lt;=2176),INDEX(Fields!$C$2:$C$206,MATCH(A548-129,Fields!$D$2:$D$206,1)),""),"")</f>
        <v/>
      </c>
    </row>
    <row r="549">
      <c r="A549" t="n">
        <v>548</v>
      </c>
      <c r="B549">
        <f>IFERROR(INDEX(RawBits!$A:$A,MATCH($A549,RawBits!$H:$H,0)),"?")</f>
        <v/>
      </c>
      <c r="C549">
        <f>IFERROR(INDEX(RawBits!$G:$G,MATCH($A549,RawBits!$H:$H,0)),"")</f>
        <v/>
      </c>
      <c r="D549">
        <f>IFERROR(IF(AND(A549&gt;=129,A549&lt;=2176),INDEX(Fields!$B$2:$B$206,MATCH(A549-129,Fields!$D$2:$D$206,1)),""),"")</f>
        <v/>
      </c>
      <c r="E549">
        <f>IFERROR(IF(AND(A549&gt;=129,A549&lt;=2176),INDEX(Fields!$C$2:$C$206,MATCH(A549-129,Fields!$D$2:$D$206,1)),""),"")</f>
        <v/>
      </c>
    </row>
    <row r="550">
      <c r="A550" t="n">
        <v>549</v>
      </c>
      <c r="B550">
        <f>IFERROR(INDEX(RawBits!$A:$A,MATCH($A550,RawBits!$H:$H,0)),"?")</f>
        <v/>
      </c>
      <c r="C550">
        <f>IFERROR(INDEX(RawBits!$G:$G,MATCH($A550,RawBits!$H:$H,0)),"")</f>
        <v/>
      </c>
      <c r="D550">
        <f>IFERROR(IF(AND(A550&gt;=129,A550&lt;=2176),INDEX(Fields!$B$2:$B$206,MATCH(A550-129,Fields!$D$2:$D$206,1)),""),"")</f>
        <v/>
      </c>
      <c r="E550">
        <f>IFERROR(IF(AND(A550&gt;=129,A550&lt;=2176),INDEX(Fields!$C$2:$C$206,MATCH(A550-129,Fields!$D$2:$D$206,1)),""),"")</f>
        <v/>
      </c>
    </row>
    <row r="551">
      <c r="A551" t="n">
        <v>550</v>
      </c>
      <c r="B551">
        <f>IFERROR(INDEX(RawBits!$A:$A,MATCH($A551,RawBits!$H:$H,0)),"?")</f>
        <v/>
      </c>
      <c r="C551">
        <f>IFERROR(INDEX(RawBits!$G:$G,MATCH($A551,RawBits!$H:$H,0)),"")</f>
        <v/>
      </c>
      <c r="D551">
        <f>IFERROR(IF(AND(A551&gt;=129,A551&lt;=2176),INDEX(Fields!$B$2:$B$206,MATCH(A551-129,Fields!$D$2:$D$206,1)),""),"")</f>
        <v/>
      </c>
      <c r="E551">
        <f>IFERROR(IF(AND(A551&gt;=129,A551&lt;=2176),INDEX(Fields!$C$2:$C$206,MATCH(A551-129,Fields!$D$2:$D$206,1)),""),"")</f>
        <v/>
      </c>
    </row>
    <row r="552">
      <c r="A552" t="n">
        <v>551</v>
      </c>
      <c r="B552">
        <f>IFERROR(INDEX(RawBits!$A:$A,MATCH($A552,RawBits!$H:$H,0)),"?")</f>
        <v/>
      </c>
      <c r="C552">
        <f>IFERROR(INDEX(RawBits!$G:$G,MATCH($A552,RawBits!$H:$H,0)),"")</f>
        <v/>
      </c>
      <c r="D552">
        <f>IFERROR(IF(AND(A552&gt;=129,A552&lt;=2176),INDEX(Fields!$B$2:$B$206,MATCH(A552-129,Fields!$D$2:$D$206,1)),""),"")</f>
        <v/>
      </c>
      <c r="E552">
        <f>IFERROR(IF(AND(A552&gt;=129,A552&lt;=2176),INDEX(Fields!$C$2:$C$206,MATCH(A552-129,Fields!$D$2:$D$206,1)),""),"")</f>
        <v/>
      </c>
    </row>
    <row r="553">
      <c r="A553" t="n">
        <v>552</v>
      </c>
      <c r="B553">
        <f>IFERROR(INDEX(RawBits!$A:$A,MATCH($A553,RawBits!$H:$H,0)),"?")</f>
        <v/>
      </c>
      <c r="C553">
        <f>IFERROR(INDEX(RawBits!$G:$G,MATCH($A553,RawBits!$H:$H,0)),"")</f>
        <v/>
      </c>
      <c r="D553">
        <f>IFERROR(IF(AND(A553&gt;=129,A553&lt;=2176),INDEX(Fields!$B$2:$B$206,MATCH(A553-129,Fields!$D$2:$D$206,1)),""),"")</f>
        <v/>
      </c>
      <c r="E553">
        <f>IFERROR(IF(AND(A553&gt;=129,A553&lt;=2176),INDEX(Fields!$C$2:$C$206,MATCH(A553-129,Fields!$D$2:$D$206,1)),""),"")</f>
        <v/>
      </c>
    </row>
    <row r="554">
      <c r="A554" t="n">
        <v>553</v>
      </c>
      <c r="B554">
        <f>IFERROR(INDEX(RawBits!$A:$A,MATCH($A554,RawBits!$H:$H,0)),"?")</f>
        <v/>
      </c>
      <c r="C554">
        <f>IFERROR(INDEX(RawBits!$G:$G,MATCH($A554,RawBits!$H:$H,0)),"")</f>
        <v/>
      </c>
      <c r="D554">
        <f>IFERROR(IF(AND(A554&gt;=129,A554&lt;=2176),INDEX(Fields!$B$2:$B$206,MATCH(A554-129,Fields!$D$2:$D$206,1)),""),"")</f>
        <v/>
      </c>
      <c r="E554">
        <f>IFERROR(IF(AND(A554&gt;=129,A554&lt;=2176),INDEX(Fields!$C$2:$C$206,MATCH(A554-129,Fields!$D$2:$D$206,1)),""),"")</f>
        <v/>
      </c>
    </row>
    <row r="555">
      <c r="A555" t="n">
        <v>554</v>
      </c>
      <c r="B555">
        <f>IFERROR(INDEX(RawBits!$A:$A,MATCH($A555,RawBits!$H:$H,0)),"?")</f>
        <v/>
      </c>
      <c r="C555">
        <f>IFERROR(INDEX(RawBits!$G:$G,MATCH($A555,RawBits!$H:$H,0)),"")</f>
        <v/>
      </c>
      <c r="D555">
        <f>IFERROR(IF(AND(A555&gt;=129,A555&lt;=2176),INDEX(Fields!$B$2:$B$206,MATCH(A555-129,Fields!$D$2:$D$206,1)),""),"")</f>
        <v/>
      </c>
      <c r="E555">
        <f>IFERROR(IF(AND(A555&gt;=129,A555&lt;=2176),INDEX(Fields!$C$2:$C$206,MATCH(A555-129,Fields!$D$2:$D$206,1)),""),"")</f>
        <v/>
      </c>
    </row>
    <row r="556">
      <c r="A556" t="n">
        <v>555</v>
      </c>
      <c r="B556">
        <f>IFERROR(INDEX(RawBits!$A:$A,MATCH($A556,RawBits!$H:$H,0)),"?")</f>
        <v/>
      </c>
      <c r="C556">
        <f>IFERROR(INDEX(RawBits!$G:$G,MATCH($A556,RawBits!$H:$H,0)),"")</f>
        <v/>
      </c>
      <c r="D556">
        <f>IFERROR(IF(AND(A556&gt;=129,A556&lt;=2176),INDEX(Fields!$B$2:$B$206,MATCH(A556-129,Fields!$D$2:$D$206,1)),""),"")</f>
        <v/>
      </c>
      <c r="E556">
        <f>IFERROR(IF(AND(A556&gt;=129,A556&lt;=2176),INDEX(Fields!$C$2:$C$206,MATCH(A556-129,Fields!$D$2:$D$206,1)),""),"")</f>
        <v/>
      </c>
    </row>
    <row r="557">
      <c r="A557" t="n">
        <v>556</v>
      </c>
      <c r="B557">
        <f>IFERROR(INDEX(RawBits!$A:$A,MATCH($A557,RawBits!$H:$H,0)),"?")</f>
        <v/>
      </c>
      <c r="C557">
        <f>IFERROR(INDEX(RawBits!$G:$G,MATCH($A557,RawBits!$H:$H,0)),"")</f>
        <v/>
      </c>
      <c r="D557">
        <f>IFERROR(IF(AND(A557&gt;=129,A557&lt;=2176),INDEX(Fields!$B$2:$B$206,MATCH(A557-129,Fields!$D$2:$D$206,1)),""),"")</f>
        <v/>
      </c>
      <c r="E557">
        <f>IFERROR(IF(AND(A557&gt;=129,A557&lt;=2176),INDEX(Fields!$C$2:$C$206,MATCH(A557-129,Fields!$D$2:$D$206,1)),""),"")</f>
        <v/>
      </c>
    </row>
    <row r="558">
      <c r="A558" t="n">
        <v>557</v>
      </c>
      <c r="B558">
        <f>IFERROR(INDEX(RawBits!$A:$A,MATCH($A558,RawBits!$H:$H,0)),"?")</f>
        <v/>
      </c>
      <c r="C558">
        <f>IFERROR(INDEX(RawBits!$G:$G,MATCH($A558,RawBits!$H:$H,0)),"")</f>
        <v/>
      </c>
      <c r="D558">
        <f>IFERROR(IF(AND(A558&gt;=129,A558&lt;=2176),INDEX(Fields!$B$2:$B$206,MATCH(A558-129,Fields!$D$2:$D$206,1)),""),"")</f>
        <v/>
      </c>
      <c r="E558">
        <f>IFERROR(IF(AND(A558&gt;=129,A558&lt;=2176),INDEX(Fields!$C$2:$C$206,MATCH(A558-129,Fields!$D$2:$D$206,1)),""),"")</f>
        <v/>
      </c>
    </row>
    <row r="559">
      <c r="A559" t="n">
        <v>558</v>
      </c>
      <c r="B559">
        <f>IFERROR(INDEX(RawBits!$A:$A,MATCH($A559,RawBits!$H:$H,0)),"?")</f>
        <v/>
      </c>
      <c r="C559">
        <f>IFERROR(INDEX(RawBits!$G:$G,MATCH($A559,RawBits!$H:$H,0)),"")</f>
        <v/>
      </c>
      <c r="D559">
        <f>IFERROR(IF(AND(A559&gt;=129,A559&lt;=2176),INDEX(Fields!$B$2:$B$206,MATCH(A559-129,Fields!$D$2:$D$206,1)),""),"")</f>
        <v/>
      </c>
      <c r="E559">
        <f>IFERROR(IF(AND(A559&gt;=129,A559&lt;=2176),INDEX(Fields!$C$2:$C$206,MATCH(A559-129,Fields!$D$2:$D$206,1)),""),"")</f>
        <v/>
      </c>
    </row>
    <row r="560">
      <c r="A560" t="n">
        <v>559</v>
      </c>
      <c r="B560">
        <f>IFERROR(INDEX(RawBits!$A:$A,MATCH($A560,RawBits!$H:$H,0)),"?")</f>
        <v/>
      </c>
      <c r="C560">
        <f>IFERROR(INDEX(RawBits!$G:$G,MATCH($A560,RawBits!$H:$H,0)),"")</f>
        <v/>
      </c>
      <c r="D560">
        <f>IFERROR(IF(AND(A560&gt;=129,A560&lt;=2176),INDEX(Fields!$B$2:$B$206,MATCH(A560-129,Fields!$D$2:$D$206,1)),""),"")</f>
        <v/>
      </c>
      <c r="E560">
        <f>IFERROR(IF(AND(A560&gt;=129,A560&lt;=2176),INDEX(Fields!$C$2:$C$206,MATCH(A560-129,Fields!$D$2:$D$206,1)),""),"")</f>
        <v/>
      </c>
    </row>
    <row r="561">
      <c r="A561" t="n">
        <v>560</v>
      </c>
      <c r="B561">
        <f>IFERROR(INDEX(RawBits!$A:$A,MATCH($A561,RawBits!$H:$H,0)),"?")</f>
        <v/>
      </c>
      <c r="C561">
        <f>IFERROR(INDEX(RawBits!$G:$G,MATCH($A561,RawBits!$H:$H,0)),"")</f>
        <v/>
      </c>
      <c r="D561">
        <f>IFERROR(IF(AND(A561&gt;=129,A561&lt;=2176),INDEX(Fields!$B$2:$B$206,MATCH(A561-129,Fields!$D$2:$D$206,1)),""),"")</f>
        <v/>
      </c>
      <c r="E561">
        <f>IFERROR(IF(AND(A561&gt;=129,A561&lt;=2176),INDEX(Fields!$C$2:$C$206,MATCH(A561-129,Fields!$D$2:$D$206,1)),""),"")</f>
        <v/>
      </c>
    </row>
    <row r="562">
      <c r="A562" t="n">
        <v>561</v>
      </c>
      <c r="B562">
        <f>IFERROR(INDEX(RawBits!$A:$A,MATCH($A562,RawBits!$H:$H,0)),"?")</f>
        <v/>
      </c>
      <c r="C562">
        <f>IFERROR(INDEX(RawBits!$G:$G,MATCH($A562,RawBits!$H:$H,0)),"")</f>
        <v/>
      </c>
      <c r="D562">
        <f>IFERROR(IF(AND(A562&gt;=129,A562&lt;=2176),INDEX(Fields!$B$2:$B$206,MATCH(A562-129,Fields!$D$2:$D$206,1)),""),"")</f>
        <v/>
      </c>
      <c r="E562">
        <f>IFERROR(IF(AND(A562&gt;=129,A562&lt;=2176),INDEX(Fields!$C$2:$C$206,MATCH(A562-129,Fields!$D$2:$D$206,1)),""),"")</f>
        <v/>
      </c>
    </row>
    <row r="563">
      <c r="A563" t="n">
        <v>562</v>
      </c>
      <c r="B563">
        <f>IFERROR(INDEX(RawBits!$A:$A,MATCH($A563,RawBits!$H:$H,0)),"?")</f>
        <v/>
      </c>
      <c r="C563">
        <f>IFERROR(INDEX(RawBits!$G:$G,MATCH($A563,RawBits!$H:$H,0)),"")</f>
        <v/>
      </c>
      <c r="D563">
        <f>IFERROR(IF(AND(A563&gt;=129,A563&lt;=2176),INDEX(Fields!$B$2:$B$206,MATCH(A563-129,Fields!$D$2:$D$206,1)),""),"")</f>
        <v/>
      </c>
      <c r="E563">
        <f>IFERROR(IF(AND(A563&gt;=129,A563&lt;=2176),INDEX(Fields!$C$2:$C$206,MATCH(A563-129,Fields!$D$2:$D$206,1)),""),"")</f>
        <v/>
      </c>
    </row>
    <row r="564">
      <c r="A564" t="n">
        <v>563</v>
      </c>
      <c r="B564">
        <f>IFERROR(INDEX(RawBits!$A:$A,MATCH($A564,RawBits!$H:$H,0)),"?")</f>
        <v/>
      </c>
      <c r="C564">
        <f>IFERROR(INDEX(RawBits!$G:$G,MATCH($A564,RawBits!$H:$H,0)),"")</f>
        <v/>
      </c>
      <c r="D564">
        <f>IFERROR(IF(AND(A564&gt;=129,A564&lt;=2176),INDEX(Fields!$B$2:$B$206,MATCH(A564-129,Fields!$D$2:$D$206,1)),""),"")</f>
        <v/>
      </c>
      <c r="E564">
        <f>IFERROR(IF(AND(A564&gt;=129,A564&lt;=2176),INDEX(Fields!$C$2:$C$206,MATCH(A564-129,Fields!$D$2:$D$206,1)),""),"")</f>
        <v/>
      </c>
    </row>
    <row r="565">
      <c r="A565" t="n">
        <v>564</v>
      </c>
      <c r="B565">
        <f>IFERROR(INDEX(RawBits!$A:$A,MATCH($A565,RawBits!$H:$H,0)),"?")</f>
        <v/>
      </c>
      <c r="C565">
        <f>IFERROR(INDEX(RawBits!$G:$G,MATCH($A565,RawBits!$H:$H,0)),"")</f>
        <v/>
      </c>
      <c r="D565">
        <f>IFERROR(IF(AND(A565&gt;=129,A565&lt;=2176),INDEX(Fields!$B$2:$B$206,MATCH(A565-129,Fields!$D$2:$D$206,1)),""),"")</f>
        <v/>
      </c>
      <c r="E565">
        <f>IFERROR(IF(AND(A565&gt;=129,A565&lt;=2176),INDEX(Fields!$C$2:$C$206,MATCH(A565-129,Fields!$D$2:$D$206,1)),""),"")</f>
        <v/>
      </c>
    </row>
    <row r="566">
      <c r="A566" t="n">
        <v>565</v>
      </c>
      <c r="B566">
        <f>IFERROR(INDEX(RawBits!$A:$A,MATCH($A566,RawBits!$H:$H,0)),"?")</f>
        <v/>
      </c>
      <c r="C566">
        <f>IFERROR(INDEX(RawBits!$G:$G,MATCH($A566,RawBits!$H:$H,0)),"")</f>
        <v/>
      </c>
      <c r="D566">
        <f>IFERROR(IF(AND(A566&gt;=129,A566&lt;=2176),INDEX(Fields!$B$2:$B$206,MATCH(A566-129,Fields!$D$2:$D$206,1)),""),"")</f>
        <v/>
      </c>
      <c r="E566">
        <f>IFERROR(IF(AND(A566&gt;=129,A566&lt;=2176),INDEX(Fields!$C$2:$C$206,MATCH(A566-129,Fields!$D$2:$D$206,1)),""),"")</f>
        <v/>
      </c>
    </row>
    <row r="567">
      <c r="A567" t="n">
        <v>566</v>
      </c>
      <c r="B567">
        <f>IFERROR(INDEX(RawBits!$A:$A,MATCH($A567,RawBits!$H:$H,0)),"?")</f>
        <v/>
      </c>
      <c r="C567">
        <f>IFERROR(INDEX(RawBits!$G:$G,MATCH($A567,RawBits!$H:$H,0)),"")</f>
        <v/>
      </c>
      <c r="D567">
        <f>IFERROR(IF(AND(A567&gt;=129,A567&lt;=2176),INDEX(Fields!$B$2:$B$206,MATCH(A567-129,Fields!$D$2:$D$206,1)),""),"")</f>
        <v/>
      </c>
      <c r="E567">
        <f>IFERROR(IF(AND(A567&gt;=129,A567&lt;=2176),INDEX(Fields!$C$2:$C$206,MATCH(A567-129,Fields!$D$2:$D$206,1)),""),"")</f>
        <v/>
      </c>
    </row>
    <row r="568">
      <c r="A568" t="n">
        <v>567</v>
      </c>
      <c r="B568">
        <f>IFERROR(INDEX(RawBits!$A:$A,MATCH($A568,RawBits!$H:$H,0)),"?")</f>
        <v/>
      </c>
      <c r="C568">
        <f>IFERROR(INDEX(RawBits!$G:$G,MATCH($A568,RawBits!$H:$H,0)),"")</f>
        <v/>
      </c>
      <c r="D568">
        <f>IFERROR(IF(AND(A568&gt;=129,A568&lt;=2176),INDEX(Fields!$B$2:$B$206,MATCH(A568-129,Fields!$D$2:$D$206,1)),""),"")</f>
        <v/>
      </c>
      <c r="E568">
        <f>IFERROR(IF(AND(A568&gt;=129,A568&lt;=2176),INDEX(Fields!$C$2:$C$206,MATCH(A568-129,Fields!$D$2:$D$206,1)),""),"")</f>
        <v/>
      </c>
    </row>
    <row r="569">
      <c r="A569" t="n">
        <v>568</v>
      </c>
      <c r="B569">
        <f>IFERROR(INDEX(RawBits!$A:$A,MATCH($A569,RawBits!$H:$H,0)),"?")</f>
        <v/>
      </c>
      <c r="C569">
        <f>IFERROR(INDEX(RawBits!$G:$G,MATCH($A569,RawBits!$H:$H,0)),"")</f>
        <v/>
      </c>
      <c r="D569">
        <f>IFERROR(IF(AND(A569&gt;=129,A569&lt;=2176),INDEX(Fields!$B$2:$B$206,MATCH(A569-129,Fields!$D$2:$D$206,1)),""),"")</f>
        <v/>
      </c>
      <c r="E569">
        <f>IFERROR(IF(AND(A569&gt;=129,A569&lt;=2176),INDEX(Fields!$C$2:$C$206,MATCH(A569-129,Fields!$D$2:$D$206,1)),""),"")</f>
        <v/>
      </c>
    </row>
    <row r="570">
      <c r="A570" t="n">
        <v>569</v>
      </c>
      <c r="B570">
        <f>IFERROR(INDEX(RawBits!$A:$A,MATCH($A570,RawBits!$H:$H,0)),"?")</f>
        <v/>
      </c>
      <c r="C570">
        <f>IFERROR(INDEX(RawBits!$G:$G,MATCH($A570,RawBits!$H:$H,0)),"")</f>
        <v/>
      </c>
      <c r="D570">
        <f>IFERROR(IF(AND(A570&gt;=129,A570&lt;=2176),INDEX(Fields!$B$2:$B$206,MATCH(A570-129,Fields!$D$2:$D$206,1)),""),"")</f>
        <v/>
      </c>
      <c r="E570">
        <f>IFERROR(IF(AND(A570&gt;=129,A570&lt;=2176),INDEX(Fields!$C$2:$C$206,MATCH(A570-129,Fields!$D$2:$D$206,1)),""),"")</f>
        <v/>
      </c>
    </row>
    <row r="571">
      <c r="A571" t="n">
        <v>570</v>
      </c>
      <c r="B571">
        <f>IFERROR(INDEX(RawBits!$A:$A,MATCH($A571,RawBits!$H:$H,0)),"?")</f>
        <v/>
      </c>
      <c r="C571">
        <f>IFERROR(INDEX(RawBits!$G:$G,MATCH($A571,RawBits!$H:$H,0)),"")</f>
        <v/>
      </c>
      <c r="D571">
        <f>IFERROR(IF(AND(A571&gt;=129,A571&lt;=2176),INDEX(Fields!$B$2:$B$206,MATCH(A571-129,Fields!$D$2:$D$206,1)),""),"")</f>
        <v/>
      </c>
      <c r="E571">
        <f>IFERROR(IF(AND(A571&gt;=129,A571&lt;=2176),INDEX(Fields!$C$2:$C$206,MATCH(A571-129,Fields!$D$2:$D$206,1)),""),"")</f>
        <v/>
      </c>
    </row>
    <row r="572">
      <c r="A572" t="n">
        <v>571</v>
      </c>
      <c r="B572">
        <f>IFERROR(INDEX(RawBits!$A:$A,MATCH($A572,RawBits!$H:$H,0)),"?")</f>
        <v/>
      </c>
      <c r="C572">
        <f>IFERROR(INDEX(RawBits!$G:$G,MATCH($A572,RawBits!$H:$H,0)),"")</f>
        <v/>
      </c>
      <c r="D572">
        <f>IFERROR(IF(AND(A572&gt;=129,A572&lt;=2176),INDEX(Fields!$B$2:$B$206,MATCH(A572-129,Fields!$D$2:$D$206,1)),""),"")</f>
        <v/>
      </c>
      <c r="E572">
        <f>IFERROR(IF(AND(A572&gt;=129,A572&lt;=2176),INDEX(Fields!$C$2:$C$206,MATCH(A572-129,Fields!$D$2:$D$206,1)),""),"")</f>
        <v/>
      </c>
    </row>
    <row r="573">
      <c r="A573" t="n">
        <v>572</v>
      </c>
      <c r="B573">
        <f>IFERROR(INDEX(RawBits!$A:$A,MATCH($A573,RawBits!$H:$H,0)),"?")</f>
        <v/>
      </c>
      <c r="C573">
        <f>IFERROR(INDEX(RawBits!$G:$G,MATCH($A573,RawBits!$H:$H,0)),"")</f>
        <v/>
      </c>
      <c r="D573">
        <f>IFERROR(IF(AND(A573&gt;=129,A573&lt;=2176),INDEX(Fields!$B$2:$B$206,MATCH(A573-129,Fields!$D$2:$D$206,1)),""),"")</f>
        <v/>
      </c>
      <c r="E573">
        <f>IFERROR(IF(AND(A573&gt;=129,A573&lt;=2176),INDEX(Fields!$C$2:$C$206,MATCH(A573-129,Fields!$D$2:$D$206,1)),""),"")</f>
        <v/>
      </c>
    </row>
    <row r="574">
      <c r="A574" t="n">
        <v>573</v>
      </c>
      <c r="B574">
        <f>IFERROR(INDEX(RawBits!$A:$A,MATCH($A574,RawBits!$H:$H,0)),"?")</f>
        <v/>
      </c>
      <c r="C574">
        <f>IFERROR(INDEX(RawBits!$G:$G,MATCH($A574,RawBits!$H:$H,0)),"")</f>
        <v/>
      </c>
      <c r="D574">
        <f>IFERROR(IF(AND(A574&gt;=129,A574&lt;=2176),INDEX(Fields!$B$2:$B$206,MATCH(A574-129,Fields!$D$2:$D$206,1)),""),"")</f>
        <v/>
      </c>
      <c r="E574">
        <f>IFERROR(IF(AND(A574&gt;=129,A574&lt;=2176),INDEX(Fields!$C$2:$C$206,MATCH(A574-129,Fields!$D$2:$D$206,1)),""),"")</f>
        <v/>
      </c>
    </row>
    <row r="575">
      <c r="A575" t="n">
        <v>574</v>
      </c>
      <c r="B575">
        <f>IFERROR(INDEX(RawBits!$A:$A,MATCH($A575,RawBits!$H:$H,0)),"?")</f>
        <v/>
      </c>
      <c r="C575">
        <f>IFERROR(INDEX(RawBits!$G:$G,MATCH($A575,RawBits!$H:$H,0)),"")</f>
        <v/>
      </c>
      <c r="D575">
        <f>IFERROR(IF(AND(A575&gt;=129,A575&lt;=2176),INDEX(Fields!$B$2:$B$206,MATCH(A575-129,Fields!$D$2:$D$206,1)),""),"")</f>
        <v/>
      </c>
      <c r="E575">
        <f>IFERROR(IF(AND(A575&gt;=129,A575&lt;=2176),INDEX(Fields!$C$2:$C$206,MATCH(A575-129,Fields!$D$2:$D$206,1)),""),"")</f>
        <v/>
      </c>
    </row>
    <row r="576">
      <c r="A576" t="n">
        <v>575</v>
      </c>
      <c r="B576">
        <f>IFERROR(INDEX(RawBits!$A:$A,MATCH($A576,RawBits!$H:$H,0)),"?")</f>
        <v/>
      </c>
      <c r="C576">
        <f>IFERROR(INDEX(RawBits!$G:$G,MATCH($A576,RawBits!$H:$H,0)),"")</f>
        <v/>
      </c>
      <c r="D576">
        <f>IFERROR(IF(AND(A576&gt;=129,A576&lt;=2176),INDEX(Fields!$B$2:$B$206,MATCH(A576-129,Fields!$D$2:$D$206,1)),""),"")</f>
        <v/>
      </c>
      <c r="E576">
        <f>IFERROR(IF(AND(A576&gt;=129,A576&lt;=2176),INDEX(Fields!$C$2:$C$206,MATCH(A576-129,Fields!$D$2:$D$206,1)),""),"")</f>
        <v/>
      </c>
    </row>
    <row r="577">
      <c r="A577" t="n">
        <v>576</v>
      </c>
      <c r="B577">
        <f>IFERROR(INDEX(RawBits!$A:$A,MATCH($A577,RawBits!$H:$H,0)),"?")</f>
        <v/>
      </c>
      <c r="C577">
        <f>IFERROR(INDEX(RawBits!$G:$G,MATCH($A577,RawBits!$H:$H,0)),"")</f>
        <v/>
      </c>
      <c r="D577">
        <f>IFERROR(IF(AND(A577&gt;=129,A577&lt;=2176),INDEX(Fields!$B$2:$B$206,MATCH(A577-129,Fields!$D$2:$D$206,1)),""),"")</f>
        <v/>
      </c>
      <c r="E577">
        <f>IFERROR(IF(AND(A577&gt;=129,A577&lt;=2176),INDEX(Fields!$C$2:$C$206,MATCH(A577-129,Fields!$D$2:$D$206,1)),""),"")</f>
        <v/>
      </c>
    </row>
    <row r="578">
      <c r="A578" t="n">
        <v>577</v>
      </c>
      <c r="B578">
        <f>IFERROR(INDEX(RawBits!$A:$A,MATCH($A578,RawBits!$H:$H,0)),"?")</f>
        <v/>
      </c>
      <c r="C578">
        <f>IFERROR(INDEX(RawBits!$G:$G,MATCH($A578,RawBits!$H:$H,0)),"")</f>
        <v/>
      </c>
      <c r="D578">
        <f>IFERROR(IF(AND(A578&gt;=129,A578&lt;=2176),INDEX(Fields!$B$2:$B$206,MATCH(A578-129,Fields!$D$2:$D$206,1)),""),"")</f>
        <v/>
      </c>
      <c r="E578">
        <f>IFERROR(IF(AND(A578&gt;=129,A578&lt;=2176),INDEX(Fields!$C$2:$C$206,MATCH(A578-129,Fields!$D$2:$D$206,1)),""),"")</f>
        <v/>
      </c>
    </row>
    <row r="579">
      <c r="A579" t="n">
        <v>578</v>
      </c>
      <c r="B579">
        <f>IFERROR(INDEX(RawBits!$A:$A,MATCH($A579,RawBits!$H:$H,0)),"?")</f>
        <v/>
      </c>
      <c r="C579">
        <f>IFERROR(INDEX(RawBits!$G:$G,MATCH($A579,RawBits!$H:$H,0)),"")</f>
        <v/>
      </c>
      <c r="D579">
        <f>IFERROR(IF(AND(A579&gt;=129,A579&lt;=2176),INDEX(Fields!$B$2:$B$206,MATCH(A579-129,Fields!$D$2:$D$206,1)),""),"")</f>
        <v/>
      </c>
      <c r="E579">
        <f>IFERROR(IF(AND(A579&gt;=129,A579&lt;=2176),INDEX(Fields!$C$2:$C$206,MATCH(A579-129,Fields!$D$2:$D$206,1)),""),"")</f>
        <v/>
      </c>
    </row>
    <row r="580">
      <c r="A580" t="n">
        <v>579</v>
      </c>
      <c r="B580">
        <f>IFERROR(INDEX(RawBits!$A:$A,MATCH($A580,RawBits!$H:$H,0)),"?")</f>
        <v/>
      </c>
      <c r="C580">
        <f>IFERROR(INDEX(RawBits!$G:$G,MATCH($A580,RawBits!$H:$H,0)),"")</f>
        <v/>
      </c>
      <c r="D580">
        <f>IFERROR(IF(AND(A580&gt;=129,A580&lt;=2176),INDEX(Fields!$B$2:$B$206,MATCH(A580-129,Fields!$D$2:$D$206,1)),""),"")</f>
        <v/>
      </c>
      <c r="E580">
        <f>IFERROR(IF(AND(A580&gt;=129,A580&lt;=2176),INDEX(Fields!$C$2:$C$206,MATCH(A580-129,Fields!$D$2:$D$206,1)),""),"")</f>
        <v/>
      </c>
    </row>
    <row r="581">
      <c r="A581" t="n">
        <v>580</v>
      </c>
      <c r="B581">
        <f>IFERROR(INDEX(RawBits!$A:$A,MATCH($A581,RawBits!$H:$H,0)),"?")</f>
        <v/>
      </c>
      <c r="C581">
        <f>IFERROR(INDEX(RawBits!$G:$G,MATCH($A581,RawBits!$H:$H,0)),"")</f>
        <v/>
      </c>
      <c r="D581">
        <f>IFERROR(IF(AND(A581&gt;=129,A581&lt;=2176),INDEX(Fields!$B$2:$B$206,MATCH(A581-129,Fields!$D$2:$D$206,1)),""),"")</f>
        <v/>
      </c>
      <c r="E581">
        <f>IFERROR(IF(AND(A581&gt;=129,A581&lt;=2176),INDEX(Fields!$C$2:$C$206,MATCH(A581-129,Fields!$D$2:$D$206,1)),""),"")</f>
        <v/>
      </c>
    </row>
    <row r="582">
      <c r="A582" t="n">
        <v>581</v>
      </c>
      <c r="B582">
        <f>IFERROR(INDEX(RawBits!$A:$A,MATCH($A582,RawBits!$H:$H,0)),"?")</f>
        <v/>
      </c>
      <c r="C582">
        <f>IFERROR(INDEX(RawBits!$G:$G,MATCH($A582,RawBits!$H:$H,0)),"")</f>
        <v/>
      </c>
      <c r="D582">
        <f>IFERROR(IF(AND(A582&gt;=129,A582&lt;=2176),INDEX(Fields!$B$2:$B$206,MATCH(A582-129,Fields!$D$2:$D$206,1)),""),"")</f>
        <v/>
      </c>
      <c r="E582">
        <f>IFERROR(IF(AND(A582&gt;=129,A582&lt;=2176),INDEX(Fields!$C$2:$C$206,MATCH(A582-129,Fields!$D$2:$D$206,1)),""),"")</f>
        <v/>
      </c>
    </row>
    <row r="583">
      <c r="A583" t="n">
        <v>582</v>
      </c>
      <c r="B583">
        <f>IFERROR(INDEX(RawBits!$A:$A,MATCH($A583,RawBits!$H:$H,0)),"?")</f>
        <v/>
      </c>
      <c r="C583">
        <f>IFERROR(INDEX(RawBits!$G:$G,MATCH($A583,RawBits!$H:$H,0)),"")</f>
        <v/>
      </c>
      <c r="D583">
        <f>IFERROR(IF(AND(A583&gt;=129,A583&lt;=2176),INDEX(Fields!$B$2:$B$206,MATCH(A583-129,Fields!$D$2:$D$206,1)),""),"")</f>
        <v/>
      </c>
      <c r="E583">
        <f>IFERROR(IF(AND(A583&gt;=129,A583&lt;=2176),INDEX(Fields!$C$2:$C$206,MATCH(A583-129,Fields!$D$2:$D$206,1)),""),"")</f>
        <v/>
      </c>
    </row>
    <row r="584">
      <c r="A584" t="n">
        <v>583</v>
      </c>
      <c r="B584">
        <f>IFERROR(INDEX(RawBits!$A:$A,MATCH($A584,RawBits!$H:$H,0)),"?")</f>
        <v/>
      </c>
      <c r="C584">
        <f>IFERROR(INDEX(RawBits!$G:$G,MATCH($A584,RawBits!$H:$H,0)),"")</f>
        <v/>
      </c>
      <c r="D584">
        <f>IFERROR(IF(AND(A584&gt;=129,A584&lt;=2176),INDEX(Fields!$B$2:$B$206,MATCH(A584-129,Fields!$D$2:$D$206,1)),""),"")</f>
        <v/>
      </c>
      <c r="E584">
        <f>IFERROR(IF(AND(A584&gt;=129,A584&lt;=2176),INDEX(Fields!$C$2:$C$206,MATCH(A584-129,Fields!$D$2:$D$206,1)),""),"")</f>
        <v/>
      </c>
    </row>
    <row r="585">
      <c r="A585" t="n">
        <v>584</v>
      </c>
      <c r="B585">
        <f>IFERROR(INDEX(RawBits!$A:$A,MATCH($A585,RawBits!$H:$H,0)),"?")</f>
        <v/>
      </c>
      <c r="C585">
        <f>IFERROR(INDEX(RawBits!$G:$G,MATCH($A585,RawBits!$H:$H,0)),"")</f>
        <v/>
      </c>
      <c r="D585">
        <f>IFERROR(IF(AND(A585&gt;=129,A585&lt;=2176),INDEX(Fields!$B$2:$B$206,MATCH(A585-129,Fields!$D$2:$D$206,1)),""),"")</f>
        <v/>
      </c>
      <c r="E585">
        <f>IFERROR(IF(AND(A585&gt;=129,A585&lt;=2176),INDEX(Fields!$C$2:$C$206,MATCH(A585-129,Fields!$D$2:$D$206,1)),""),"")</f>
        <v/>
      </c>
    </row>
    <row r="586">
      <c r="A586" t="n">
        <v>585</v>
      </c>
      <c r="B586">
        <f>IFERROR(INDEX(RawBits!$A:$A,MATCH($A586,RawBits!$H:$H,0)),"?")</f>
        <v/>
      </c>
      <c r="C586">
        <f>IFERROR(INDEX(RawBits!$G:$G,MATCH($A586,RawBits!$H:$H,0)),"")</f>
        <v/>
      </c>
      <c r="D586">
        <f>IFERROR(IF(AND(A586&gt;=129,A586&lt;=2176),INDEX(Fields!$B$2:$B$206,MATCH(A586-129,Fields!$D$2:$D$206,1)),""),"")</f>
        <v/>
      </c>
      <c r="E586">
        <f>IFERROR(IF(AND(A586&gt;=129,A586&lt;=2176),INDEX(Fields!$C$2:$C$206,MATCH(A586-129,Fields!$D$2:$D$206,1)),""),"")</f>
        <v/>
      </c>
    </row>
    <row r="587">
      <c r="A587" t="n">
        <v>586</v>
      </c>
      <c r="B587">
        <f>IFERROR(INDEX(RawBits!$A:$A,MATCH($A587,RawBits!$H:$H,0)),"?")</f>
        <v/>
      </c>
      <c r="C587">
        <f>IFERROR(INDEX(RawBits!$G:$G,MATCH($A587,RawBits!$H:$H,0)),"")</f>
        <v/>
      </c>
      <c r="D587">
        <f>IFERROR(IF(AND(A587&gt;=129,A587&lt;=2176),INDEX(Fields!$B$2:$B$206,MATCH(A587-129,Fields!$D$2:$D$206,1)),""),"")</f>
        <v/>
      </c>
      <c r="E587">
        <f>IFERROR(IF(AND(A587&gt;=129,A587&lt;=2176),INDEX(Fields!$C$2:$C$206,MATCH(A587-129,Fields!$D$2:$D$206,1)),""),"")</f>
        <v/>
      </c>
    </row>
    <row r="588">
      <c r="A588" t="n">
        <v>587</v>
      </c>
      <c r="B588">
        <f>IFERROR(INDEX(RawBits!$A:$A,MATCH($A588,RawBits!$H:$H,0)),"?")</f>
        <v/>
      </c>
      <c r="C588">
        <f>IFERROR(INDEX(RawBits!$G:$G,MATCH($A588,RawBits!$H:$H,0)),"")</f>
        <v/>
      </c>
      <c r="D588">
        <f>IFERROR(IF(AND(A588&gt;=129,A588&lt;=2176),INDEX(Fields!$B$2:$B$206,MATCH(A588-129,Fields!$D$2:$D$206,1)),""),"")</f>
        <v/>
      </c>
      <c r="E588">
        <f>IFERROR(IF(AND(A588&gt;=129,A588&lt;=2176),INDEX(Fields!$C$2:$C$206,MATCH(A588-129,Fields!$D$2:$D$206,1)),""),"")</f>
        <v/>
      </c>
    </row>
    <row r="589">
      <c r="A589" t="n">
        <v>588</v>
      </c>
      <c r="B589">
        <f>IFERROR(INDEX(RawBits!$A:$A,MATCH($A589,RawBits!$H:$H,0)),"?")</f>
        <v/>
      </c>
      <c r="C589">
        <f>IFERROR(INDEX(RawBits!$G:$G,MATCH($A589,RawBits!$H:$H,0)),"")</f>
        <v/>
      </c>
      <c r="D589">
        <f>IFERROR(IF(AND(A589&gt;=129,A589&lt;=2176),INDEX(Fields!$B$2:$B$206,MATCH(A589-129,Fields!$D$2:$D$206,1)),""),"")</f>
        <v/>
      </c>
      <c r="E589">
        <f>IFERROR(IF(AND(A589&gt;=129,A589&lt;=2176),INDEX(Fields!$C$2:$C$206,MATCH(A589-129,Fields!$D$2:$D$206,1)),""),"")</f>
        <v/>
      </c>
    </row>
    <row r="590">
      <c r="A590" t="n">
        <v>589</v>
      </c>
      <c r="B590">
        <f>IFERROR(INDEX(RawBits!$A:$A,MATCH($A590,RawBits!$H:$H,0)),"?")</f>
        <v/>
      </c>
      <c r="C590">
        <f>IFERROR(INDEX(RawBits!$G:$G,MATCH($A590,RawBits!$H:$H,0)),"")</f>
        <v/>
      </c>
      <c r="D590">
        <f>IFERROR(IF(AND(A590&gt;=129,A590&lt;=2176),INDEX(Fields!$B$2:$B$206,MATCH(A590-129,Fields!$D$2:$D$206,1)),""),"")</f>
        <v/>
      </c>
      <c r="E590">
        <f>IFERROR(IF(AND(A590&gt;=129,A590&lt;=2176),INDEX(Fields!$C$2:$C$206,MATCH(A590-129,Fields!$D$2:$D$206,1)),""),"")</f>
        <v/>
      </c>
    </row>
    <row r="591">
      <c r="A591" t="n">
        <v>590</v>
      </c>
      <c r="B591">
        <f>IFERROR(INDEX(RawBits!$A:$A,MATCH($A591,RawBits!$H:$H,0)),"?")</f>
        <v/>
      </c>
      <c r="C591">
        <f>IFERROR(INDEX(RawBits!$G:$G,MATCH($A591,RawBits!$H:$H,0)),"")</f>
        <v/>
      </c>
      <c r="D591">
        <f>IFERROR(IF(AND(A591&gt;=129,A591&lt;=2176),INDEX(Fields!$B$2:$B$206,MATCH(A591-129,Fields!$D$2:$D$206,1)),""),"")</f>
        <v/>
      </c>
      <c r="E591">
        <f>IFERROR(IF(AND(A591&gt;=129,A591&lt;=2176),INDEX(Fields!$C$2:$C$206,MATCH(A591-129,Fields!$D$2:$D$206,1)),""),"")</f>
        <v/>
      </c>
    </row>
    <row r="592">
      <c r="A592" t="n">
        <v>591</v>
      </c>
      <c r="B592">
        <f>IFERROR(INDEX(RawBits!$A:$A,MATCH($A592,RawBits!$H:$H,0)),"?")</f>
        <v/>
      </c>
      <c r="C592">
        <f>IFERROR(INDEX(RawBits!$G:$G,MATCH($A592,RawBits!$H:$H,0)),"")</f>
        <v/>
      </c>
      <c r="D592">
        <f>IFERROR(IF(AND(A592&gt;=129,A592&lt;=2176),INDEX(Fields!$B$2:$B$206,MATCH(A592-129,Fields!$D$2:$D$206,1)),""),"")</f>
        <v/>
      </c>
      <c r="E592">
        <f>IFERROR(IF(AND(A592&gt;=129,A592&lt;=2176),INDEX(Fields!$C$2:$C$206,MATCH(A592-129,Fields!$D$2:$D$206,1)),""),"")</f>
        <v/>
      </c>
    </row>
    <row r="593">
      <c r="A593" t="n">
        <v>592</v>
      </c>
      <c r="B593">
        <f>IFERROR(INDEX(RawBits!$A:$A,MATCH($A593,RawBits!$H:$H,0)),"?")</f>
        <v/>
      </c>
      <c r="C593">
        <f>IFERROR(INDEX(RawBits!$G:$G,MATCH($A593,RawBits!$H:$H,0)),"")</f>
        <v/>
      </c>
      <c r="D593">
        <f>IFERROR(IF(AND(A593&gt;=129,A593&lt;=2176),INDEX(Fields!$B$2:$B$206,MATCH(A593-129,Fields!$D$2:$D$206,1)),""),"")</f>
        <v/>
      </c>
      <c r="E593">
        <f>IFERROR(IF(AND(A593&gt;=129,A593&lt;=2176),INDEX(Fields!$C$2:$C$206,MATCH(A593-129,Fields!$D$2:$D$206,1)),""),"")</f>
        <v/>
      </c>
    </row>
    <row r="594">
      <c r="A594" t="n">
        <v>593</v>
      </c>
      <c r="B594">
        <f>IFERROR(INDEX(RawBits!$A:$A,MATCH($A594,RawBits!$H:$H,0)),"?")</f>
        <v/>
      </c>
      <c r="C594">
        <f>IFERROR(INDEX(RawBits!$G:$G,MATCH($A594,RawBits!$H:$H,0)),"")</f>
        <v/>
      </c>
      <c r="D594">
        <f>IFERROR(IF(AND(A594&gt;=129,A594&lt;=2176),INDEX(Fields!$B$2:$B$206,MATCH(A594-129,Fields!$D$2:$D$206,1)),""),"")</f>
        <v/>
      </c>
      <c r="E594">
        <f>IFERROR(IF(AND(A594&gt;=129,A594&lt;=2176),INDEX(Fields!$C$2:$C$206,MATCH(A594-129,Fields!$D$2:$D$206,1)),""),"")</f>
        <v/>
      </c>
    </row>
    <row r="595">
      <c r="A595" t="n">
        <v>594</v>
      </c>
      <c r="B595">
        <f>IFERROR(INDEX(RawBits!$A:$A,MATCH($A595,RawBits!$H:$H,0)),"?")</f>
        <v/>
      </c>
      <c r="C595">
        <f>IFERROR(INDEX(RawBits!$G:$G,MATCH($A595,RawBits!$H:$H,0)),"")</f>
        <v/>
      </c>
      <c r="D595">
        <f>IFERROR(IF(AND(A595&gt;=129,A595&lt;=2176),INDEX(Fields!$B$2:$B$206,MATCH(A595-129,Fields!$D$2:$D$206,1)),""),"")</f>
        <v/>
      </c>
      <c r="E595">
        <f>IFERROR(IF(AND(A595&gt;=129,A595&lt;=2176),INDEX(Fields!$C$2:$C$206,MATCH(A595-129,Fields!$D$2:$D$206,1)),""),"")</f>
        <v/>
      </c>
    </row>
    <row r="596">
      <c r="A596" t="n">
        <v>595</v>
      </c>
      <c r="B596">
        <f>IFERROR(INDEX(RawBits!$A:$A,MATCH($A596,RawBits!$H:$H,0)),"?")</f>
        <v/>
      </c>
      <c r="C596">
        <f>IFERROR(INDEX(RawBits!$G:$G,MATCH($A596,RawBits!$H:$H,0)),"")</f>
        <v/>
      </c>
      <c r="D596">
        <f>IFERROR(IF(AND(A596&gt;=129,A596&lt;=2176),INDEX(Fields!$B$2:$B$206,MATCH(A596-129,Fields!$D$2:$D$206,1)),""),"")</f>
        <v/>
      </c>
      <c r="E596">
        <f>IFERROR(IF(AND(A596&gt;=129,A596&lt;=2176),INDEX(Fields!$C$2:$C$206,MATCH(A596-129,Fields!$D$2:$D$206,1)),""),"")</f>
        <v/>
      </c>
    </row>
    <row r="597">
      <c r="A597" t="n">
        <v>596</v>
      </c>
      <c r="B597">
        <f>IFERROR(INDEX(RawBits!$A:$A,MATCH($A597,RawBits!$H:$H,0)),"?")</f>
        <v/>
      </c>
      <c r="C597">
        <f>IFERROR(INDEX(RawBits!$G:$G,MATCH($A597,RawBits!$H:$H,0)),"")</f>
        <v/>
      </c>
      <c r="D597">
        <f>IFERROR(IF(AND(A597&gt;=129,A597&lt;=2176),INDEX(Fields!$B$2:$B$206,MATCH(A597-129,Fields!$D$2:$D$206,1)),""),"")</f>
        <v/>
      </c>
      <c r="E597">
        <f>IFERROR(IF(AND(A597&gt;=129,A597&lt;=2176),INDEX(Fields!$C$2:$C$206,MATCH(A597-129,Fields!$D$2:$D$206,1)),""),"")</f>
        <v/>
      </c>
    </row>
    <row r="598">
      <c r="A598" t="n">
        <v>597</v>
      </c>
      <c r="B598">
        <f>IFERROR(INDEX(RawBits!$A:$A,MATCH($A598,RawBits!$H:$H,0)),"?")</f>
        <v/>
      </c>
      <c r="C598">
        <f>IFERROR(INDEX(RawBits!$G:$G,MATCH($A598,RawBits!$H:$H,0)),"")</f>
        <v/>
      </c>
      <c r="D598">
        <f>IFERROR(IF(AND(A598&gt;=129,A598&lt;=2176),INDEX(Fields!$B$2:$B$206,MATCH(A598-129,Fields!$D$2:$D$206,1)),""),"")</f>
        <v/>
      </c>
      <c r="E598">
        <f>IFERROR(IF(AND(A598&gt;=129,A598&lt;=2176),INDEX(Fields!$C$2:$C$206,MATCH(A598-129,Fields!$D$2:$D$206,1)),""),"")</f>
        <v/>
      </c>
    </row>
    <row r="599">
      <c r="A599" t="n">
        <v>598</v>
      </c>
      <c r="B599">
        <f>IFERROR(INDEX(RawBits!$A:$A,MATCH($A599,RawBits!$H:$H,0)),"?")</f>
        <v/>
      </c>
      <c r="C599">
        <f>IFERROR(INDEX(RawBits!$G:$G,MATCH($A599,RawBits!$H:$H,0)),"")</f>
        <v/>
      </c>
      <c r="D599">
        <f>IFERROR(IF(AND(A599&gt;=129,A599&lt;=2176),INDEX(Fields!$B$2:$B$206,MATCH(A599-129,Fields!$D$2:$D$206,1)),""),"")</f>
        <v/>
      </c>
      <c r="E599">
        <f>IFERROR(IF(AND(A599&gt;=129,A599&lt;=2176),INDEX(Fields!$C$2:$C$206,MATCH(A599-129,Fields!$D$2:$D$206,1)),""),"")</f>
        <v/>
      </c>
    </row>
    <row r="600">
      <c r="A600" t="n">
        <v>599</v>
      </c>
      <c r="B600">
        <f>IFERROR(INDEX(RawBits!$A:$A,MATCH($A600,RawBits!$H:$H,0)),"?")</f>
        <v/>
      </c>
      <c r="C600">
        <f>IFERROR(INDEX(RawBits!$G:$G,MATCH($A600,RawBits!$H:$H,0)),"")</f>
        <v/>
      </c>
      <c r="D600">
        <f>IFERROR(IF(AND(A600&gt;=129,A600&lt;=2176),INDEX(Fields!$B$2:$B$206,MATCH(A600-129,Fields!$D$2:$D$206,1)),""),"")</f>
        <v/>
      </c>
      <c r="E600">
        <f>IFERROR(IF(AND(A600&gt;=129,A600&lt;=2176),INDEX(Fields!$C$2:$C$206,MATCH(A600-129,Fields!$D$2:$D$206,1)),""),"")</f>
        <v/>
      </c>
    </row>
    <row r="601">
      <c r="A601" t="n">
        <v>600</v>
      </c>
      <c r="B601">
        <f>IFERROR(INDEX(RawBits!$A:$A,MATCH($A601,RawBits!$H:$H,0)),"?")</f>
        <v/>
      </c>
      <c r="C601">
        <f>IFERROR(INDEX(RawBits!$G:$G,MATCH($A601,RawBits!$H:$H,0)),"")</f>
        <v/>
      </c>
      <c r="D601">
        <f>IFERROR(IF(AND(A601&gt;=129,A601&lt;=2176),INDEX(Fields!$B$2:$B$206,MATCH(A601-129,Fields!$D$2:$D$206,1)),""),"")</f>
        <v/>
      </c>
      <c r="E601">
        <f>IFERROR(IF(AND(A601&gt;=129,A601&lt;=2176),INDEX(Fields!$C$2:$C$206,MATCH(A601-129,Fields!$D$2:$D$206,1)),""),"")</f>
        <v/>
      </c>
    </row>
    <row r="602">
      <c r="A602" t="n">
        <v>601</v>
      </c>
      <c r="B602">
        <f>IFERROR(INDEX(RawBits!$A:$A,MATCH($A602,RawBits!$H:$H,0)),"?")</f>
        <v/>
      </c>
      <c r="C602">
        <f>IFERROR(INDEX(RawBits!$G:$G,MATCH($A602,RawBits!$H:$H,0)),"")</f>
        <v/>
      </c>
      <c r="D602">
        <f>IFERROR(IF(AND(A602&gt;=129,A602&lt;=2176),INDEX(Fields!$B$2:$B$206,MATCH(A602-129,Fields!$D$2:$D$206,1)),""),"")</f>
        <v/>
      </c>
      <c r="E602">
        <f>IFERROR(IF(AND(A602&gt;=129,A602&lt;=2176),INDEX(Fields!$C$2:$C$206,MATCH(A602-129,Fields!$D$2:$D$206,1)),""),"")</f>
        <v/>
      </c>
    </row>
    <row r="603">
      <c r="A603" t="n">
        <v>602</v>
      </c>
      <c r="B603">
        <f>IFERROR(INDEX(RawBits!$A:$A,MATCH($A603,RawBits!$H:$H,0)),"?")</f>
        <v/>
      </c>
      <c r="C603">
        <f>IFERROR(INDEX(RawBits!$G:$G,MATCH($A603,RawBits!$H:$H,0)),"")</f>
        <v/>
      </c>
      <c r="D603">
        <f>IFERROR(IF(AND(A603&gt;=129,A603&lt;=2176),INDEX(Fields!$B$2:$B$206,MATCH(A603-129,Fields!$D$2:$D$206,1)),""),"")</f>
        <v/>
      </c>
      <c r="E603">
        <f>IFERROR(IF(AND(A603&gt;=129,A603&lt;=2176),INDEX(Fields!$C$2:$C$206,MATCH(A603-129,Fields!$D$2:$D$206,1)),""),"")</f>
        <v/>
      </c>
    </row>
    <row r="604">
      <c r="A604" t="n">
        <v>603</v>
      </c>
      <c r="B604">
        <f>IFERROR(INDEX(RawBits!$A:$A,MATCH($A604,RawBits!$H:$H,0)),"?")</f>
        <v/>
      </c>
      <c r="C604">
        <f>IFERROR(INDEX(RawBits!$G:$G,MATCH($A604,RawBits!$H:$H,0)),"")</f>
        <v/>
      </c>
      <c r="D604">
        <f>IFERROR(IF(AND(A604&gt;=129,A604&lt;=2176),INDEX(Fields!$B$2:$B$206,MATCH(A604-129,Fields!$D$2:$D$206,1)),""),"")</f>
        <v/>
      </c>
      <c r="E604">
        <f>IFERROR(IF(AND(A604&gt;=129,A604&lt;=2176),INDEX(Fields!$C$2:$C$206,MATCH(A604-129,Fields!$D$2:$D$206,1)),""),"")</f>
        <v/>
      </c>
    </row>
    <row r="605">
      <c r="A605" t="n">
        <v>604</v>
      </c>
      <c r="B605">
        <f>IFERROR(INDEX(RawBits!$A:$A,MATCH($A605,RawBits!$H:$H,0)),"?")</f>
        <v/>
      </c>
      <c r="C605">
        <f>IFERROR(INDEX(RawBits!$G:$G,MATCH($A605,RawBits!$H:$H,0)),"")</f>
        <v/>
      </c>
      <c r="D605">
        <f>IFERROR(IF(AND(A605&gt;=129,A605&lt;=2176),INDEX(Fields!$B$2:$B$206,MATCH(A605-129,Fields!$D$2:$D$206,1)),""),"")</f>
        <v/>
      </c>
      <c r="E605">
        <f>IFERROR(IF(AND(A605&gt;=129,A605&lt;=2176),INDEX(Fields!$C$2:$C$206,MATCH(A605-129,Fields!$D$2:$D$206,1)),""),"")</f>
        <v/>
      </c>
    </row>
    <row r="606">
      <c r="A606" t="n">
        <v>605</v>
      </c>
      <c r="B606">
        <f>IFERROR(INDEX(RawBits!$A:$A,MATCH($A606,RawBits!$H:$H,0)),"?")</f>
        <v/>
      </c>
      <c r="C606">
        <f>IFERROR(INDEX(RawBits!$G:$G,MATCH($A606,RawBits!$H:$H,0)),"")</f>
        <v/>
      </c>
      <c r="D606">
        <f>IFERROR(IF(AND(A606&gt;=129,A606&lt;=2176),INDEX(Fields!$B$2:$B$206,MATCH(A606-129,Fields!$D$2:$D$206,1)),""),"")</f>
        <v/>
      </c>
      <c r="E606">
        <f>IFERROR(IF(AND(A606&gt;=129,A606&lt;=2176),INDEX(Fields!$C$2:$C$206,MATCH(A606-129,Fields!$D$2:$D$206,1)),""),"")</f>
        <v/>
      </c>
    </row>
    <row r="607">
      <c r="A607" t="n">
        <v>606</v>
      </c>
      <c r="B607">
        <f>IFERROR(INDEX(RawBits!$A:$A,MATCH($A607,RawBits!$H:$H,0)),"?")</f>
        <v/>
      </c>
      <c r="C607">
        <f>IFERROR(INDEX(RawBits!$G:$G,MATCH($A607,RawBits!$H:$H,0)),"")</f>
        <v/>
      </c>
      <c r="D607">
        <f>IFERROR(IF(AND(A607&gt;=129,A607&lt;=2176),INDEX(Fields!$B$2:$B$206,MATCH(A607-129,Fields!$D$2:$D$206,1)),""),"")</f>
        <v/>
      </c>
      <c r="E607">
        <f>IFERROR(IF(AND(A607&gt;=129,A607&lt;=2176),INDEX(Fields!$C$2:$C$206,MATCH(A607-129,Fields!$D$2:$D$206,1)),""),"")</f>
        <v/>
      </c>
    </row>
    <row r="608">
      <c r="A608" t="n">
        <v>607</v>
      </c>
      <c r="B608">
        <f>IFERROR(INDEX(RawBits!$A:$A,MATCH($A608,RawBits!$H:$H,0)),"?")</f>
        <v/>
      </c>
      <c r="C608">
        <f>IFERROR(INDEX(RawBits!$G:$G,MATCH($A608,RawBits!$H:$H,0)),"")</f>
        <v/>
      </c>
      <c r="D608">
        <f>IFERROR(IF(AND(A608&gt;=129,A608&lt;=2176),INDEX(Fields!$B$2:$B$206,MATCH(A608-129,Fields!$D$2:$D$206,1)),""),"")</f>
        <v/>
      </c>
      <c r="E608">
        <f>IFERROR(IF(AND(A608&gt;=129,A608&lt;=2176),INDEX(Fields!$C$2:$C$206,MATCH(A608-129,Fields!$D$2:$D$206,1)),""),"")</f>
        <v/>
      </c>
    </row>
    <row r="609">
      <c r="A609" t="n">
        <v>608</v>
      </c>
      <c r="B609">
        <f>IFERROR(INDEX(RawBits!$A:$A,MATCH($A609,RawBits!$H:$H,0)),"?")</f>
        <v/>
      </c>
      <c r="C609">
        <f>IFERROR(INDEX(RawBits!$G:$G,MATCH($A609,RawBits!$H:$H,0)),"")</f>
        <v/>
      </c>
      <c r="D609">
        <f>IFERROR(IF(AND(A609&gt;=129,A609&lt;=2176),INDEX(Fields!$B$2:$B$206,MATCH(A609-129,Fields!$D$2:$D$206,1)),""),"")</f>
        <v/>
      </c>
      <c r="E609">
        <f>IFERROR(IF(AND(A609&gt;=129,A609&lt;=2176),INDEX(Fields!$C$2:$C$206,MATCH(A609-129,Fields!$D$2:$D$206,1)),""),"")</f>
        <v/>
      </c>
    </row>
    <row r="610">
      <c r="A610" t="n">
        <v>609</v>
      </c>
      <c r="B610">
        <f>IFERROR(INDEX(RawBits!$A:$A,MATCH($A610,RawBits!$H:$H,0)),"?")</f>
        <v/>
      </c>
      <c r="C610">
        <f>IFERROR(INDEX(RawBits!$G:$G,MATCH($A610,RawBits!$H:$H,0)),"")</f>
        <v/>
      </c>
      <c r="D610">
        <f>IFERROR(IF(AND(A610&gt;=129,A610&lt;=2176),INDEX(Fields!$B$2:$B$206,MATCH(A610-129,Fields!$D$2:$D$206,1)),""),"")</f>
        <v/>
      </c>
      <c r="E610">
        <f>IFERROR(IF(AND(A610&gt;=129,A610&lt;=2176),INDEX(Fields!$C$2:$C$206,MATCH(A610-129,Fields!$D$2:$D$206,1)),""),"")</f>
        <v/>
      </c>
    </row>
    <row r="611">
      <c r="A611" t="n">
        <v>610</v>
      </c>
      <c r="B611">
        <f>IFERROR(INDEX(RawBits!$A:$A,MATCH($A611,RawBits!$H:$H,0)),"?")</f>
        <v/>
      </c>
      <c r="C611">
        <f>IFERROR(INDEX(RawBits!$G:$G,MATCH($A611,RawBits!$H:$H,0)),"")</f>
        <v/>
      </c>
      <c r="D611">
        <f>IFERROR(IF(AND(A611&gt;=129,A611&lt;=2176),INDEX(Fields!$B$2:$B$206,MATCH(A611-129,Fields!$D$2:$D$206,1)),""),"")</f>
        <v/>
      </c>
      <c r="E611">
        <f>IFERROR(IF(AND(A611&gt;=129,A611&lt;=2176),INDEX(Fields!$C$2:$C$206,MATCH(A611-129,Fields!$D$2:$D$206,1)),""),"")</f>
        <v/>
      </c>
    </row>
    <row r="612">
      <c r="A612" t="n">
        <v>611</v>
      </c>
      <c r="B612">
        <f>IFERROR(INDEX(RawBits!$A:$A,MATCH($A612,RawBits!$H:$H,0)),"?")</f>
        <v/>
      </c>
      <c r="C612">
        <f>IFERROR(INDEX(RawBits!$G:$G,MATCH($A612,RawBits!$H:$H,0)),"")</f>
        <v/>
      </c>
      <c r="D612">
        <f>IFERROR(IF(AND(A612&gt;=129,A612&lt;=2176),INDEX(Fields!$B$2:$B$206,MATCH(A612-129,Fields!$D$2:$D$206,1)),""),"")</f>
        <v/>
      </c>
      <c r="E612">
        <f>IFERROR(IF(AND(A612&gt;=129,A612&lt;=2176),INDEX(Fields!$C$2:$C$206,MATCH(A612-129,Fields!$D$2:$D$206,1)),""),"")</f>
        <v/>
      </c>
    </row>
    <row r="613">
      <c r="A613" t="n">
        <v>612</v>
      </c>
      <c r="B613">
        <f>IFERROR(INDEX(RawBits!$A:$A,MATCH($A613,RawBits!$H:$H,0)),"?")</f>
        <v/>
      </c>
      <c r="C613">
        <f>IFERROR(INDEX(RawBits!$G:$G,MATCH($A613,RawBits!$H:$H,0)),"")</f>
        <v/>
      </c>
      <c r="D613">
        <f>IFERROR(IF(AND(A613&gt;=129,A613&lt;=2176),INDEX(Fields!$B$2:$B$206,MATCH(A613-129,Fields!$D$2:$D$206,1)),""),"")</f>
        <v/>
      </c>
      <c r="E613">
        <f>IFERROR(IF(AND(A613&gt;=129,A613&lt;=2176),INDEX(Fields!$C$2:$C$206,MATCH(A613-129,Fields!$D$2:$D$206,1)),""),"")</f>
        <v/>
      </c>
    </row>
    <row r="614">
      <c r="A614" t="n">
        <v>613</v>
      </c>
      <c r="B614">
        <f>IFERROR(INDEX(RawBits!$A:$A,MATCH($A614,RawBits!$H:$H,0)),"?")</f>
        <v/>
      </c>
      <c r="C614">
        <f>IFERROR(INDEX(RawBits!$G:$G,MATCH($A614,RawBits!$H:$H,0)),"")</f>
        <v/>
      </c>
      <c r="D614">
        <f>IFERROR(IF(AND(A614&gt;=129,A614&lt;=2176),INDEX(Fields!$B$2:$B$206,MATCH(A614-129,Fields!$D$2:$D$206,1)),""),"")</f>
        <v/>
      </c>
      <c r="E614">
        <f>IFERROR(IF(AND(A614&gt;=129,A614&lt;=2176),INDEX(Fields!$C$2:$C$206,MATCH(A614-129,Fields!$D$2:$D$206,1)),""),"")</f>
        <v/>
      </c>
    </row>
    <row r="615">
      <c r="A615" t="n">
        <v>614</v>
      </c>
      <c r="B615">
        <f>IFERROR(INDEX(RawBits!$A:$A,MATCH($A615,RawBits!$H:$H,0)),"?")</f>
        <v/>
      </c>
      <c r="C615">
        <f>IFERROR(INDEX(RawBits!$G:$G,MATCH($A615,RawBits!$H:$H,0)),"")</f>
        <v/>
      </c>
      <c r="D615">
        <f>IFERROR(IF(AND(A615&gt;=129,A615&lt;=2176),INDEX(Fields!$B$2:$B$206,MATCH(A615-129,Fields!$D$2:$D$206,1)),""),"")</f>
        <v/>
      </c>
      <c r="E615">
        <f>IFERROR(IF(AND(A615&gt;=129,A615&lt;=2176),INDEX(Fields!$C$2:$C$206,MATCH(A615-129,Fields!$D$2:$D$206,1)),""),"")</f>
        <v/>
      </c>
    </row>
    <row r="616">
      <c r="A616" t="n">
        <v>615</v>
      </c>
      <c r="B616">
        <f>IFERROR(INDEX(RawBits!$A:$A,MATCH($A616,RawBits!$H:$H,0)),"?")</f>
        <v/>
      </c>
      <c r="C616">
        <f>IFERROR(INDEX(RawBits!$G:$G,MATCH($A616,RawBits!$H:$H,0)),"")</f>
        <v/>
      </c>
      <c r="D616">
        <f>IFERROR(IF(AND(A616&gt;=129,A616&lt;=2176),INDEX(Fields!$B$2:$B$206,MATCH(A616-129,Fields!$D$2:$D$206,1)),""),"")</f>
        <v/>
      </c>
      <c r="E616">
        <f>IFERROR(IF(AND(A616&gt;=129,A616&lt;=2176),INDEX(Fields!$C$2:$C$206,MATCH(A616-129,Fields!$D$2:$D$206,1)),""),"")</f>
        <v/>
      </c>
    </row>
    <row r="617">
      <c r="A617" t="n">
        <v>616</v>
      </c>
      <c r="B617">
        <f>IFERROR(INDEX(RawBits!$A:$A,MATCH($A617,RawBits!$H:$H,0)),"?")</f>
        <v/>
      </c>
      <c r="C617">
        <f>IFERROR(INDEX(RawBits!$G:$G,MATCH($A617,RawBits!$H:$H,0)),"")</f>
        <v/>
      </c>
      <c r="D617">
        <f>IFERROR(IF(AND(A617&gt;=129,A617&lt;=2176),INDEX(Fields!$B$2:$B$206,MATCH(A617-129,Fields!$D$2:$D$206,1)),""),"")</f>
        <v/>
      </c>
      <c r="E617">
        <f>IFERROR(IF(AND(A617&gt;=129,A617&lt;=2176),INDEX(Fields!$C$2:$C$206,MATCH(A617-129,Fields!$D$2:$D$206,1)),""),"")</f>
        <v/>
      </c>
    </row>
    <row r="618">
      <c r="A618" t="n">
        <v>617</v>
      </c>
      <c r="B618">
        <f>IFERROR(INDEX(RawBits!$A:$A,MATCH($A618,RawBits!$H:$H,0)),"?")</f>
        <v/>
      </c>
      <c r="C618">
        <f>IFERROR(INDEX(RawBits!$G:$G,MATCH($A618,RawBits!$H:$H,0)),"")</f>
        <v/>
      </c>
      <c r="D618">
        <f>IFERROR(IF(AND(A618&gt;=129,A618&lt;=2176),INDEX(Fields!$B$2:$B$206,MATCH(A618-129,Fields!$D$2:$D$206,1)),""),"")</f>
        <v/>
      </c>
      <c r="E618">
        <f>IFERROR(IF(AND(A618&gt;=129,A618&lt;=2176),INDEX(Fields!$C$2:$C$206,MATCH(A618-129,Fields!$D$2:$D$206,1)),""),"")</f>
        <v/>
      </c>
    </row>
    <row r="619">
      <c r="A619" t="n">
        <v>618</v>
      </c>
      <c r="B619">
        <f>IFERROR(INDEX(RawBits!$A:$A,MATCH($A619,RawBits!$H:$H,0)),"?")</f>
        <v/>
      </c>
      <c r="C619">
        <f>IFERROR(INDEX(RawBits!$G:$G,MATCH($A619,RawBits!$H:$H,0)),"")</f>
        <v/>
      </c>
      <c r="D619">
        <f>IFERROR(IF(AND(A619&gt;=129,A619&lt;=2176),INDEX(Fields!$B$2:$B$206,MATCH(A619-129,Fields!$D$2:$D$206,1)),""),"")</f>
        <v/>
      </c>
      <c r="E619">
        <f>IFERROR(IF(AND(A619&gt;=129,A619&lt;=2176),INDEX(Fields!$C$2:$C$206,MATCH(A619-129,Fields!$D$2:$D$206,1)),""),"")</f>
        <v/>
      </c>
    </row>
    <row r="620">
      <c r="A620" t="n">
        <v>619</v>
      </c>
      <c r="B620">
        <f>IFERROR(INDEX(RawBits!$A:$A,MATCH($A620,RawBits!$H:$H,0)),"?")</f>
        <v/>
      </c>
      <c r="C620">
        <f>IFERROR(INDEX(RawBits!$G:$G,MATCH($A620,RawBits!$H:$H,0)),"")</f>
        <v/>
      </c>
      <c r="D620">
        <f>IFERROR(IF(AND(A620&gt;=129,A620&lt;=2176),INDEX(Fields!$B$2:$B$206,MATCH(A620-129,Fields!$D$2:$D$206,1)),""),"")</f>
        <v/>
      </c>
      <c r="E620">
        <f>IFERROR(IF(AND(A620&gt;=129,A620&lt;=2176),INDEX(Fields!$C$2:$C$206,MATCH(A620-129,Fields!$D$2:$D$206,1)),""),"")</f>
        <v/>
      </c>
    </row>
    <row r="621">
      <c r="A621" t="n">
        <v>620</v>
      </c>
      <c r="B621">
        <f>IFERROR(INDEX(RawBits!$A:$A,MATCH($A621,RawBits!$H:$H,0)),"?")</f>
        <v/>
      </c>
      <c r="C621">
        <f>IFERROR(INDEX(RawBits!$G:$G,MATCH($A621,RawBits!$H:$H,0)),"")</f>
        <v/>
      </c>
      <c r="D621">
        <f>IFERROR(IF(AND(A621&gt;=129,A621&lt;=2176),INDEX(Fields!$B$2:$B$206,MATCH(A621-129,Fields!$D$2:$D$206,1)),""),"")</f>
        <v/>
      </c>
      <c r="E621">
        <f>IFERROR(IF(AND(A621&gt;=129,A621&lt;=2176),INDEX(Fields!$C$2:$C$206,MATCH(A621-129,Fields!$D$2:$D$206,1)),""),"")</f>
        <v/>
      </c>
    </row>
    <row r="622">
      <c r="A622" t="n">
        <v>621</v>
      </c>
      <c r="B622">
        <f>IFERROR(INDEX(RawBits!$A:$A,MATCH($A622,RawBits!$H:$H,0)),"?")</f>
        <v/>
      </c>
      <c r="C622">
        <f>IFERROR(INDEX(RawBits!$G:$G,MATCH($A622,RawBits!$H:$H,0)),"")</f>
        <v/>
      </c>
      <c r="D622">
        <f>IFERROR(IF(AND(A622&gt;=129,A622&lt;=2176),INDEX(Fields!$B$2:$B$206,MATCH(A622-129,Fields!$D$2:$D$206,1)),""),"")</f>
        <v/>
      </c>
      <c r="E622">
        <f>IFERROR(IF(AND(A622&gt;=129,A622&lt;=2176),INDEX(Fields!$C$2:$C$206,MATCH(A622-129,Fields!$D$2:$D$206,1)),""),"")</f>
        <v/>
      </c>
    </row>
    <row r="623">
      <c r="A623" t="n">
        <v>622</v>
      </c>
      <c r="B623">
        <f>IFERROR(INDEX(RawBits!$A:$A,MATCH($A623,RawBits!$H:$H,0)),"?")</f>
        <v/>
      </c>
      <c r="C623">
        <f>IFERROR(INDEX(RawBits!$G:$G,MATCH($A623,RawBits!$H:$H,0)),"")</f>
        <v/>
      </c>
      <c r="D623">
        <f>IFERROR(IF(AND(A623&gt;=129,A623&lt;=2176),INDEX(Fields!$B$2:$B$206,MATCH(A623-129,Fields!$D$2:$D$206,1)),""),"")</f>
        <v/>
      </c>
      <c r="E623">
        <f>IFERROR(IF(AND(A623&gt;=129,A623&lt;=2176),INDEX(Fields!$C$2:$C$206,MATCH(A623-129,Fields!$D$2:$D$206,1)),""),"")</f>
        <v/>
      </c>
    </row>
    <row r="624">
      <c r="A624" t="n">
        <v>623</v>
      </c>
      <c r="B624">
        <f>IFERROR(INDEX(RawBits!$A:$A,MATCH($A624,RawBits!$H:$H,0)),"?")</f>
        <v/>
      </c>
      <c r="C624">
        <f>IFERROR(INDEX(RawBits!$G:$G,MATCH($A624,RawBits!$H:$H,0)),"")</f>
        <v/>
      </c>
      <c r="D624">
        <f>IFERROR(IF(AND(A624&gt;=129,A624&lt;=2176),INDEX(Fields!$B$2:$B$206,MATCH(A624-129,Fields!$D$2:$D$206,1)),""),"")</f>
        <v/>
      </c>
      <c r="E624">
        <f>IFERROR(IF(AND(A624&gt;=129,A624&lt;=2176),INDEX(Fields!$C$2:$C$206,MATCH(A624-129,Fields!$D$2:$D$206,1)),""),"")</f>
        <v/>
      </c>
    </row>
    <row r="625">
      <c r="A625" t="n">
        <v>624</v>
      </c>
      <c r="B625">
        <f>IFERROR(INDEX(RawBits!$A:$A,MATCH($A625,RawBits!$H:$H,0)),"?")</f>
        <v/>
      </c>
      <c r="C625">
        <f>IFERROR(INDEX(RawBits!$G:$G,MATCH($A625,RawBits!$H:$H,0)),"")</f>
        <v/>
      </c>
      <c r="D625">
        <f>IFERROR(IF(AND(A625&gt;=129,A625&lt;=2176),INDEX(Fields!$B$2:$B$206,MATCH(A625-129,Fields!$D$2:$D$206,1)),""),"")</f>
        <v/>
      </c>
      <c r="E625">
        <f>IFERROR(IF(AND(A625&gt;=129,A625&lt;=2176),INDEX(Fields!$C$2:$C$206,MATCH(A625-129,Fields!$D$2:$D$206,1)),""),"")</f>
        <v/>
      </c>
    </row>
    <row r="626">
      <c r="A626" t="n">
        <v>625</v>
      </c>
      <c r="B626">
        <f>IFERROR(INDEX(RawBits!$A:$A,MATCH($A626,RawBits!$H:$H,0)),"?")</f>
        <v/>
      </c>
      <c r="C626">
        <f>IFERROR(INDEX(RawBits!$G:$G,MATCH($A626,RawBits!$H:$H,0)),"")</f>
        <v/>
      </c>
      <c r="D626">
        <f>IFERROR(IF(AND(A626&gt;=129,A626&lt;=2176),INDEX(Fields!$B$2:$B$206,MATCH(A626-129,Fields!$D$2:$D$206,1)),""),"")</f>
        <v/>
      </c>
      <c r="E626">
        <f>IFERROR(IF(AND(A626&gt;=129,A626&lt;=2176),INDEX(Fields!$C$2:$C$206,MATCH(A626-129,Fields!$D$2:$D$206,1)),""),"")</f>
        <v/>
      </c>
    </row>
    <row r="627">
      <c r="A627" t="n">
        <v>626</v>
      </c>
      <c r="B627">
        <f>IFERROR(INDEX(RawBits!$A:$A,MATCH($A627,RawBits!$H:$H,0)),"?")</f>
        <v/>
      </c>
      <c r="C627">
        <f>IFERROR(INDEX(RawBits!$G:$G,MATCH($A627,RawBits!$H:$H,0)),"")</f>
        <v/>
      </c>
      <c r="D627">
        <f>IFERROR(IF(AND(A627&gt;=129,A627&lt;=2176),INDEX(Fields!$B$2:$B$206,MATCH(A627-129,Fields!$D$2:$D$206,1)),""),"")</f>
        <v/>
      </c>
      <c r="E627">
        <f>IFERROR(IF(AND(A627&gt;=129,A627&lt;=2176),INDEX(Fields!$C$2:$C$206,MATCH(A627-129,Fields!$D$2:$D$206,1)),""),"")</f>
        <v/>
      </c>
    </row>
    <row r="628">
      <c r="A628" t="n">
        <v>627</v>
      </c>
      <c r="B628">
        <f>IFERROR(INDEX(RawBits!$A:$A,MATCH($A628,RawBits!$H:$H,0)),"?")</f>
        <v/>
      </c>
      <c r="C628">
        <f>IFERROR(INDEX(RawBits!$G:$G,MATCH($A628,RawBits!$H:$H,0)),"")</f>
        <v/>
      </c>
      <c r="D628">
        <f>IFERROR(IF(AND(A628&gt;=129,A628&lt;=2176),INDEX(Fields!$B$2:$B$206,MATCH(A628-129,Fields!$D$2:$D$206,1)),""),"")</f>
        <v/>
      </c>
      <c r="E628">
        <f>IFERROR(IF(AND(A628&gt;=129,A628&lt;=2176),INDEX(Fields!$C$2:$C$206,MATCH(A628-129,Fields!$D$2:$D$206,1)),""),"")</f>
        <v/>
      </c>
    </row>
    <row r="629">
      <c r="A629" t="n">
        <v>628</v>
      </c>
      <c r="B629">
        <f>IFERROR(INDEX(RawBits!$A:$A,MATCH($A629,RawBits!$H:$H,0)),"?")</f>
        <v/>
      </c>
      <c r="C629">
        <f>IFERROR(INDEX(RawBits!$G:$G,MATCH($A629,RawBits!$H:$H,0)),"")</f>
        <v/>
      </c>
      <c r="D629">
        <f>IFERROR(IF(AND(A629&gt;=129,A629&lt;=2176),INDEX(Fields!$B$2:$B$206,MATCH(A629-129,Fields!$D$2:$D$206,1)),""),"")</f>
        <v/>
      </c>
      <c r="E629">
        <f>IFERROR(IF(AND(A629&gt;=129,A629&lt;=2176),INDEX(Fields!$C$2:$C$206,MATCH(A629-129,Fields!$D$2:$D$206,1)),""),"")</f>
        <v/>
      </c>
    </row>
    <row r="630">
      <c r="A630" t="n">
        <v>629</v>
      </c>
      <c r="B630">
        <f>IFERROR(INDEX(RawBits!$A:$A,MATCH($A630,RawBits!$H:$H,0)),"?")</f>
        <v/>
      </c>
      <c r="C630">
        <f>IFERROR(INDEX(RawBits!$G:$G,MATCH($A630,RawBits!$H:$H,0)),"")</f>
        <v/>
      </c>
      <c r="D630">
        <f>IFERROR(IF(AND(A630&gt;=129,A630&lt;=2176),INDEX(Fields!$B$2:$B$206,MATCH(A630-129,Fields!$D$2:$D$206,1)),""),"")</f>
        <v/>
      </c>
      <c r="E630">
        <f>IFERROR(IF(AND(A630&gt;=129,A630&lt;=2176),INDEX(Fields!$C$2:$C$206,MATCH(A630-129,Fields!$D$2:$D$206,1)),""),"")</f>
        <v/>
      </c>
    </row>
    <row r="631">
      <c r="A631" t="n">
        <v>630</v>
      </c>
      <c r="B631">
        <f>IFERROR(INDEX(RawBits!$A:$A,MATCH($A631,RawBits!$H:$H,0)),"?")</f>
        <v/>
      </c>
      <c r="C631">
        <f>IFERROR(INDEX(RawBits!$G:$G,MATCH($A631,RawBits!$H:$H,0)),"")</f>
        <v/>
      </c>
      <c r="D631">
        <f>IFERROR(IF(AND(A631&gt;=129,A631&lt;=2176),INDEX(Fields!$B$2:$B$206,MATCH(A631-129,Fields!$D$2:$D$206,1)),""),"")</f>
        <v/>
      </c>
      <c r="E631">
        <f>IFERROR(IF(AND(A631&gt;=129,A631&lt;=2176),INDEX(Fields!$C$2:$C$206,MATCH(A631-129,Fields!$D$2:$D$206,1)),""),"")</f>
        <v/>
      </c>
    </row>
    <row r="632">
      <c r="A632" t="n">
        <v>631</v>
      </c>
      <c r="B632">
        <f>IFERROR(INDEX(RawBits!$A:$A,MATCH($A632,RawBits!$H:$H,0)),"?")</f>
        <v/>
      </c>
      <c r="C632">
        <f>IFERROR(INDEX(RawBits!$G:$G,MATCH($A632,RawBits!$H:$H,0)),"")</f>
        <v/>
      </c>
      <c r="D632">
        <f>IFERROR(IF(AND(A632&gt;=129,A632&lt;=2176),INDEX(Fields!$B$2:$B$206,MATCH(A632-129,Fields!$D$2:$D$206,1)),""),"")</f>
        <v/>
      </c>
      <c r="E632">
        <f>IFERROR(IF(AND(A632&gt;=129,A632&lt;=2176),INDEX(Fields!$C$2:$C$206,MATCH(A632-129,Fields!$D$2:$D$206,1)),""),"")</f>
        <v/>
      </c>
    </row>
    <row r="633">
      <c r="A633" t="n">
        <v>632</v>
      </c>
      <c r="B633">
        <f>IFERROR(INDEX(RawBits!$A:$A,MATCH($A633,RawBits!$H:$H,0)),"?")</f>
        <v/>
      </c>
      <c r="C633">
        <f>IFERROR(INDEX(RawBits!$G:$G,MATCH($A633,RawBits!$H:$H,0)),"")</f>
        <v/>
      </c>
      <c r="D633">
        <f>IFERROR(IF(AND(A633&gt;=129,A633&lt;=2176),INDEX(Fields!$B$2:$B$206,MATCH(A633-129,Fields!$D$2:$D$206,1)),""),"")</f>
        <v/>
      </c>
      <c r="E633">
        <f>IFERROR(IF(AND(A633&gt;=129,A633&lt;=2176),INDEX(Fields!$C$2:$C$206,MATCH(A633-129,Fields!$D$2:$D$206,1)),""),"")</f>
        <v/>
      </c>
    </row>
    <row r="634">
      <c r="A634" t="n">
        <v>633</v>
      </c>
      <c r="B634">
        <f>IFERROR(INDEX(RawBits!$A:$A,MATCH($A634,RawBits!$H:$H,0)),"?")</f>
        <v/>
      </c>
      <c r="C634">
        <f>IFERROR(INDEX(RawBits!$G:$G,MATCH($A634,RawBits!$H:$H,0)),"")</f>
        <v/>
      </c>
      <c r="D634">
        <f>IFERROR(IF(AND(A634&gt;=129,A634&lt;=2176),INDEX(Fields!$B$2:$B$206,MATCH(A634-129,Fields!$D$2:$D$206,1)),""),"")</f>
        <v/>
      </c>
      <c r="E634">
        <f>IFERROR(IF(AND(A634&gt;=129,A634&lt;=2176),INDEX(Fields!$C$2:$C$206,MATCH(A634-129,Fields!$D$2:$D$206,1)),""),"")</f>
        <v/>
      </c>
    </row>
    <row r="635">
      <c r="A635" t="n">
        <v>634</v>
      </c>
      <c r="B635">
        <f>IFERROR(INDEX(RawBits!$A:$A,MATCH($A635,RawBits!$H:$H,0)),"?")</f>
        <v/>
      </c>
      <c r="C635">
        <f>IFERROR(INDEX(RawBits!$G:$G,MATCH($A635,RawBits!$H:$H,0)),"")</f>
        <v/>
      </c>
      <c r="D635">
        <f>IFERROR(IF(AND(A635&gt;=129,A635&lt;=2176),INDEX(Fields!$B$2:$B$206,MATCH(A635-129,Fields!$D$2:$D$206,1)),""),"")</f>
        <v/>
      </c>
      <c r="E635">
        <f>IFERROR(IF(AND(A635&gt;=129,A635&lt;=2176),INDEX(Fields!$C$2:$C$206,MATCH(A635-129,Fields!$D$2:$D$206,1)),""),"")</f>
        <v/>
      </c>
    </row>
    <row r="636">
      <c r="A636" t="n">
        <v>635</v>
      </c>
      <c r="B636">
        <f>IFERROR(INDEX(RawBits!$A:$A,MATCH($A636,RawBits!$H:$H,0)),"?")</f>
        <v/>
      </c>
      <c r="C636">
        <f>IFERROR(INDEX(RawBits!$G:$G,MATCH($A636,RawBits!$H:$H,0)),"")</f>
        <v/>
      </c>
      <c r="D636">
        <f>IFERROR(IF(AND(A636&gt;=129,A636&lt;=2176),INDEX(Fields!$B$2:$B$206,MATCH(A636-129,Fields!$D$2:$D$206,1)),""),"")</f>
        <v/>
      </c>
      <c r="E636">
        <f>IFERROR(IF(AND(A636&gt;=129,A636&lt;=2176),INDEX(Fields!$C$2:$C$206,MATCH(A636-129,Fields!$D$2:$D$206,1)),""),"")</f>
        <v/>
      </c>
    </row>
    <row r="637">
      <c r="A637" t="n">
        <v>636</v>
      </c>
      <c r="B637">
        <f>IFERROR(INDEX(RawBits!$A:$A,MATCH($A637,RawBits!$H:$H,0)),"?")</f>
        <v/>
      </c>
      <c r="C637">
        <f>IFERROR(INDEX(RawBits!$G:$G,MATCH($A637,RawBits!$H:$H,0)),"")</f>
        <v/>
      </c>
      <c r="D637">
        <f>IFERROR(IF(AND(A637&gt;=129,A637&lt;=2176),INDEX(Fields!$B$2:$B$206,MATCH(A637-129,Fields!$D$2:$D$206,1)),""),"")</f>
        <v/>
      </c>
      <c r="E637">
        <f>IFERROR(IF(AND(A637&gt;=129,A637&lt;=2176),INDEX(Fields!$C$2:$C$206,MATCH(A637-129,Fields!$D$2:$D$206,1)),""),"")</f>
        <v/>
      </c>
    </row>
    <row r="638">
      <c r="A638" t="n">
        <v>637</v>
      </c>
      <c r="B638">
        <f>IFERROR(INDEX(RawBits!$A:$A,MATCH($A638,RawBits!$H:$H,0)),"?")</f>
        <v/>
      </c>
      <c r="C638">
        <f>IFERROR(INDEX(RawBits!$G:$G,MATCH($A638,RawBits!$H:$H,0)),"")</f>
        <v/>
      </c>
      <c r="D638">
        <f>IFERROR(IF(AND(A638&gt;=129,A638&lt;=2176),INDEX(Fields!$B$2:$B$206,MATCH(A638-129,Fields!$D$2:$D$206,1)),""),"")</f>
        <v/>
      </c>
      <c r="E638">
        <f>IFERROR(IF(AND(A638&gt;=129,A638&lt;=2176),INDEX(Fields!$C$2:$C$206,MATCH(A638-129,Fields!$D$2:$D$206,1)),""),"")</f>
        <v/>
      </c>
    </row>
    <row r="639">
      <c r="A639" t="n">
        <v>638</v>
      </c>
      <c r="B639">
        <f>IFERROR(INDEX(RawBits!$A:$A,MATCH($A639,RawBits!$H:$H,0)),"?")</f>
        <v/>
      </c>
      <c r="C639">
        <f>IFERROR(INDEX(RawBits!$G:$G,MATCH($A639,RawBits!$H:$H,0)),"")</f>
        <v/>
      </c>
      <c r="D639">
        <f>IFERROR(IF(AND(A639&gt;=129,A639&lt;=2176),INDEX(Fields!$B$2:$B$206,MATCH(A639-129,Fields!$D$2:$D$206,1)),""),"")</f>
        <v/>
      </c>
      <c r="E639">
        <f>IFERROR(IF(AND(A639&gt;=129,A639&lt;=2176),INDEX(Fields!$C$2:$C$206,MATCH(A639-129,Fields!$D$2:$D$206,1)),""),"")</f>
        <v/>
      </c>
    </row>
    <row r="640">
      <c r="A640" t="n">
        <v>639</v>
      </c>
      <c r="B640">
        <f>IFERROR(INDEX(RawBits!$A:$A,MATCH($A640,RawBits!$H:$H,0)),"?")</f>
        <v/>
      </c>
      <c r="C640">
        <f>IFERROR(INDEX(RawBits!$G:$G,MATCH($A640,RawBits!$H:$H,0)),"")</f>
        <v/>
      </c>
      <c r="D640">
        <f>IFERROR(IF(AND(A640&gt;=129,A640&lt;=2176),INDEX(Fields!$B$2:$B$206,MATCH(A640-129,Fields!$D$2:$D$206,1)),""),"")</f>
        <v/>
      </c>
      <c r="E640">
        <f>IFERROR(IF(AND(A640&gt;=129,A640&lt;=2176),INDEX(Fields!$C$2:$C$206,MATCH(A640-129,Fields!$D$2:$D$206,1)),""),"")</f>
        <v/>
      </c>
    </row>
    <row r="641">
      <c r="A641" t="n">
        <v>640</v>
      </c>
      <c r="B641">
        <f>IFERROR(INDEX(RawBits!$A:$A,MATCH($A641,RawBits!$H:$H,0)),"?")</f>
        <v/>
      </c>
      <c r="C641">
        <f>IFERROR(INDEX(RawBits!$G:$G,MATCH($A641,RawBits!$H:$H,0)),"")</f>
        <v/>
      </c>
      <c r="D641">
        <f>IFERROR(IF(AND(A641&gt;=129,A641&lt;=2176),INDEX(Fields!$B$2:$B$206,MATCH(A641-129,Fields!$D$2:$D$206,1)),""),"")</f>
        <v/>
      </c>
      <c r="E641">
        <f>IFERROR(IF(AND(A641&gt;=129,A641&lt;=2176),INDEX(Fields!$C$2:$C$206,MATCH(A641-129,Fields!$D$2:$D$206,1)),""),"")</f>
        <v/>
      </c>
    </row>
    <row r="642">
      <c r="A642" t="n">
        <v>641</v>
      </c>
      <c r="B642">
        <f>IFERROR(INDEX(RawBits!$A:$A,MATCH($A642,RawBits!$H:$H,0)),"?")</f>
        <v/>
      </c>
      <c r="C642">
        <f>IFERROR(INDEX(RawBits!$G:$G,MATCH($A642,RawBits!$H:$H,0)),"")</f>
        <v/>
      </c>
      <c r="D642">
        <f>IFERROR(IF(AND(A642&gt;=129,A642&lt;=2176),INDEX(Fields!$B$2:$B$206,MATCH(A642-129,Fields!$D$2:$D$206,1)),""),"")</f>
        <v/>
      </c>
      <c r="E642">
        <f>IFERROR(IF(AND(A642&gt;=129,A642&lt;=2176),INDEX(Fields!$C$2:$C$206,MATCH(A642-129,Fields!$D$2:$D$206,1)),""),"")</f>
        <v/>
      </c>
    </row>
    <row r="643">
      <c r="A643" t="n">
        <v>642</v>
      </c>
      <c r="B643">
        <f>IFERROR(INDEX(RawBits!$A:$A,MATCH($A643,RawBits!$H:$H,0)),"?")</f>
        <v/>
      </c>
      <c r="C643">
        <f>IFERROR(INDEX(RawBits!$G:$G,MATCH($A643,RawBits!$H:$H,0)),"")</f>
        <v/>
      </c>
      <c r="D643">
        <f>IFERROR(IF(AND(A643&gt;=129,A643&lt;=2176),INDEX(Fields!$B$2:$B$206,MATCH(A643-129,Fields!$D$2:$D$206,1)),""),"")</f>
        <v/>
      </c>
      <c r="E643">
        <f>IFERROR(IF(AND(A643&gt;=129,A643&lt;=2176),INDEX(Fields!$C$2:$C$206,MATCH(A643-129,Fields!$D$2:$D$206,1)),""),"")</f>
        <v/>
      </c>
    </row>
    <row r="644">
      <c r="A644" t="n">
        <v>643</v>
      </c>
      <c r="B644">
        <f>IFERROR(INDEX(RawBits!$A:$A,MATCH($A644,RawBits!$H:$H,0)),"?")</f>
        <v/>
      </c>
      <c r="C644">
        <f>IFERROR(INDEX(RawBits!$G:$G,MATCH($A644,RawBits!$H:$H,0)),"")</f>
        <v/>
      </c>
      <c r="D644">
        <f>IFERROR(IF(AND(A644&gt;=129,A644&lt;=2176),INDEX(Fields!$B$2:$B$206,MATCH(A644-129,Fields!$D$2:$D$206,1)),""),"")</f>
        <v/>
      </c>
      <c r="E644">
        <f>IFERROR(IF(AND(A644&gt;=129,A644&lt;=2176),INDEX(Fields!$C$2:$C$206,MATCH(A644-129,Fields!$D$2:$D$206,1)),""),"")</f>
        <v/>
      </c>
    </row>
    <row r="645">
      <c r="A645" t="n">
        <v>644</v>
      </c>
      <c r="B645">
        <f>IFERROR(INDEX(RawBits!$A:$A,MATCH($A645,RawBits!$H:$H,0)),"?")</f>
        <v/>
      </c>
      <c r="C645">
        <f>IFERROR(INDEX(RawBits!$G:$G,MATCH($A645,RawBits!$H:$H,0)),"")</f>
        <v/>
      </c>
      <c r="D645">
        <f>IFERROR(IF(AND(A645&gt;=129,A645&lt;=2176),INDEX(Fields!$B$2:$B$206,MATCH(A645-129,Fields!$D$2:$D$206,1)),""),"")</f>
        <v/>
      </c>
      <c r="E645">
        <f>IFERROR(IF(AND(A645&gt;=129,A645&lt;=2176),INDEX(Fields!$C$2:$C$206,MATCH(A645-129,Fields!$D$2:$D$206,1)),""),"")</f>
        <v/>
      </c>
    </row>
    <row r="646">
      <c r="A646" t="n">
        <v>645</v>
      </c>
      <c r="B646">
        <f>IFERROR(INDEX(RawBits!$A:$A,MATCH($A646,RawBits!$H:$H,0)),"?")</f>
        <v/>
      </c>
      <c r="C646">
        <f>IFERROR(INDEX(RawBits!$G:$G,MATCH($A646,RawBits!$H:$H,0)),"")</f>
        <v/>
      </c>
      <c r="D646">
        <f>IFERROR(IF(AND(A646&gt;=129,A646&lt;=2176),INDEX(Fields!$B$2:$B$206,MATCH(A646-129,Fields!$D$2:$D$206,1)),""),"")</f>
        <v/>
      </c>
      <c r="E646">
        <f>IFERROR(IF(AND(A646&gt;=129,A646&lt;=2176),INDEX(Fields!$C$2:$C$206,MATCH(A646-129,Fields!$D$2:$D$206,1)),""),"")</f>
        <v/>
      </c>
    </row>
    <row r="647">
      <c r="A647" t="n">
        <v>646</v>
      </c>
      <c r="B647">
        <f>IFERROR(INDEX(RawBits!$A:$A,MATCH($A647,RawBits!$H:$H,0)),"?")</f>
        <v/>
      </c>
      <c r="C647">
        <f>IFERROR(INDEX(RawBits!$G:$G,MATCH($A647,RawBits!$H:$H,0)),"")</f>
        <v/>
      </c>
      <c r="D647">
        <f>IFERROR(IF(AND(A647&gt;=129,A647&lt;=2176),INDEX(Fields!$B$2:$B$206,MATCH(A647-129,Fields!$D$2:$D$206,1)),""),"")</f>
        <v/>
      </c>
      <c r="E647">
        <f>IFERROR(IF(AND(A647&gt;=129,A647&lt;=2176),INDEX(Fields!$C$2:$C$206,MATCH(A647-129,Fields!$D$2:$D$206,1)),""),"")</f>
        <v/>
      </c>
    </row>
    <row r="648">
      <c r="A648" t="n">
        <v>647</v>
      </c>
      <c r="B648">
        <f>IFERROR(INDEX(RawBits!$A:$A,MATCH($A648,RawBits!$H:$H,0)),"?")</f>
        <v/>
      </c>
      <c r="C648">
        <f>IFERROR(INDEX(RawBits!$G:$G,MATCH($A648,RawBits!$H:$H,0)),"")</f>
        <v/>
      </c>
      <c r="D648">
        <f>IFERROR(IF(AND(A648&gt;=129,A648&lt;=2176),INDEX(Fields!$B$2:$B$206,MATCH(A648-129,Fields!$D$2:$D$206,1)),""),"")</f>
        <v/>
      </c>
      <c r="E648">
        <f>IFERROR(IF(AND(A648&gt;=129,A648&lt;=2176),INDEX(Fields!$C$2:$C$206,MATCH(A648-129,Fields!$D$2:$D$206,1)),""),"")</f>
        <v/>
      </c>
    </row>
    <row r="649">
      <c r="A649" t="n">
        <v>648</v>
      </c>
      <c r="B649">
        <f>IFERROR(INDEX(RawBits!$A:$A,MATCH($A649,RawBits!$H:$H,0)),"?")</f>
        <v/>
      </c>
      <c r="C649">
        <f>IFERROR(INDEX(RawBits!$G:$G,MATCH($A649,RawBits!$H:$H,0)),"")</f>
        <v/>
      </c>
      <c r="D649">
        <f>IFERROR(IF(AND(A649&gt;=129,A649&lt;=2176),INDEX(Fields!$B$2:$B$206,MATCH(A649-129,Fields!$D$2:$D$206,1)),""),"")</f>
        <v/>
      </c>
      <c r="E649">
        <f>IFERROR(IF(AND(A649&gt;=129,A649&lt;=2176),INDEX(Fields!$C$2:$C$206,MATCH(A649-129,Fields!$D$2:$D$206,1)),""),"")</f>
        <v/>
      </c>
    </row>
    <row r="650">
      <c r="A650" t="n">
        <v>649</v>
      </c>
      <c r="B650">
        <f>IFERROR(INDEX(RawBits!$A:$A,MATCH($A650,RawBits!$H:$H,0)),"?")</f>
        <v/>
      </c>
      <c r="C650">
        <f>IFERROR(INDEX(RawBits!$G:$G,MATCH($A650,RawBits!$H:$H,0)),"")</f>
        <v/>
      </c>
      <c r="D650">
        <f>IFERROR(IF(AND(A650&gt;=129,A650&lt;=2176),INDEX(Fields!$B$2:$B$206,MATCH(A650-129,Fields!$D$2:$D$206,1)),""),"")</f>
        <v/>
      </c>
      <c r="E650">
        <f>IFERROR(IF(AND(A650&gt;=129,A650&lt;=2176),INDEX(Fields!$C$2:$C$206,MATCH(A650-129,Fields!$D$2:$D$206,1)),""),"")</f>
        <v/>
      </c>
    </row>
    <row r="651">
      <c r="A651" t="n">
        <v>650</v>
      </c>
      <c r="B651">
        <f>IFERROR(INDEX(RawBits!$A:$A,MATCH($A651,RawBits!$H:$H,0)),"?")</f>
        <v/>
      </c>
      <c r="C651">
        <f>IFERROR(INDEX(RawBits!$G:$G,MATCH($A651,RawBits!$H:$H,0)),"")</f>
        <v/>
      </c>
      <c r="D651">
        <f>IFERROR(IF(AND(A651&gt;=129,A651&lt;=2176),INDEX(Fields!$B$2:$B$206,MATCH(A651-129,Fields!$D$2:$D$206,1)),""),"")</f>
        <v/>
      </c>
      <c r="E651">
        <f>IFERROR(IF(AND(A651&gt;=129,A651&lt;=2176),INDEX(Fields!$C$2:$C$206,MATCH(A651-129,Fields!$D$2:$D$206,1)),""),"")</f>
        <v/>
      </c>
    </row>
    <row r="652">
      <c r="A652" t="n">
        <v>651</v>
      </c>
      <c r="B652">
        <f>IFERROR(INDEX(RawBits!$A:$A,MATCH($A652,RawBits!$H:$H,0)),"?")</f>
        <v/>
      </c>
      <c r="C652">
        <f>IFERROR(INDEX(RawBits!$G:$G,MATCH($A652,RawBits!$H:$H,0)),"")</f>
        <v/>
      </c>
      <c r="D652">
        <f>IFERROR(IF(AND(A652&gt;=129,A652&lt;=2176),INDEX(Fields!$B$2:$B$206,MATCH(A652-129,Fields!$D$2:$D$206,1)),""),"")</f>
        <v/>
      </c>
      <c r="E652">
        <f>IFERROR(IF(AND(A652&gt;=129,A652&lt;=2176),INDEX(Fields!$C$2:$C$206,MATCH(A652-129,Fields!$D$2:$D$206,1)),""),"")</f>
        <v/>
      </c>
    </row>
    <row r="653">
      <c r="A653" t="n">
        <v>652</v>
      </c>
      <c r="B653">
        <f>IFERROR(INDEX(RawBits!$A:$A,MATCH($A653,RawBits!$H:$H,0)),"?")</f>
        <v/>
      </c>
      <c r="C653">
        <f>IFERROR(INDEX(RawBits!$G:$G,MATCH($A653,RawBits!$H:$H,0)),"")</f>
        <v/>
      </c>
      <c r="D653">
        <f>IFERROR(IF(AND(A653&gt;=129,A653&lt;=2176),INDEX(Fields!$B$2:$B$206,MATCH(A653-129,Fields!$D$2:$D$206,1)),""),"")</f>
        <v/>
      </c>
      <c r="E653">
        <f>IFERROR(IF(AND(A653&gt;=129,A653&lt;=2176),INDEX(Fields!$C$2:$C$206,MATCH(A653-129,Fields!$D$2:$D$206,1)),""),"")</f>
        <v/>
      </c>
    </row>
    <row r="654">
      <c r="A654" t="n">
        <v>653</v>
      </c>
      <c r="B654">
        <f>IFERROR(INDEX(RawBits!$A:$A,MATCH($A654,RawBits!$H:$H,0)),"?")</f>
        <v/>
      </c>
      <c r="C654">
        <f>IFERROR(INDEX(RawBits!$G:$G,MATCH($A654,RawBits!$H:$H,0)),"")</f>
        <v/>
      </c>
      <c r="D654">
        <f>IFERROR(IF(AND(A654&gt;=129,A654&lt;=2176),INDEX(Fields!$B$2:$B$206,MATCH(A654-129,Fields!$D$2:$D$206,1)),""),"")</f>
        <v/>
      </c>
      <c r="E654">
        <f>IFERROR(IF(AND(A654&gt;=129,A654&lt;=2176),INDEX(Fields!$C$2:$C$206,MATCH(A654-129,Fields!$D$2:$D$206,1)),""),"")</f>
        <v/>
      </c>
    </row>
    <row r="655">
      <c r="A655" t="n">
        <v>654</v>
      </c>
      <c r="B655">
        <f>IFERROR(INDEX(RawBits!$A:$A,MATCH($A655,RawBits!$H:$H,0)),"?")</f>
        <v/>
      </c>
      <c r="C655">
        <f>IFERROR(INDEX(RawBits!$G:$G,MATCH($A655,RawBits!$H:$H,0)),"")</f>
        <v/>
      </c>
      <c r="D655">
        <f>IFERROR(IF(AND(A655&gt;=129,A655&lt;=2176),INDEX(Fields!$B$2:$B$206,MATCH(A655-129,Fields!$D$2:$D$206,1)),""),"")</f>
        <v/>
      </c>
      <c r="E655">
        <f>IFERROR(IF(AND(A655&gt;=129,A655&lt;=2176),INDEX(Fields!$C$2:$C$206,MATCH(A655-129,Fields!$D$2:$D$206,1)),""),"")</f>
        <v/>
      </c>
    </row>
    <row r="656">
      <c r="A656" t="n">
        <v>655</v>
      </c>
      <c r="B656">
        <f>IFERROR(INDEX(RawBits!$A:$A,MATCH($A656,RawBits!$H:$H,0)),"?")</f>
        <v/>
      </c>
      <c r="C656">
        <f>IFERROR(INDEX(RawBits!$G:$G,MATCH($A656,RawBits!$H:$H,0)),"")</f>
        <v/>
      </c>
      <c r="D656">
        <f>IFERROR(IF(AND(A656&gt;=129,A656&lt;=2176),INDEX(Fields!$B$2:$B$206,MATCH(A656-129,Fields!$D$2:$D$206,1)),""),"")</f>
        <v/>
      </c>
      <c r="E656">
        <f>IFERROR(IF(AND(A656&gt;=129,A656&lt;=2176),INDEX(Fields!$C$2:$C$206,MATCH(A656-129,Fields!$D$2:$D$206,1)),""),"")</f>
        <v/>
      </c>
    </row>
    <row r="657">
      <c r="A657" t="n">
        <v>656</v>
      </c>
      <c r="B657">
        <f>IFERROR(INDEX(RawBits!$A:$A,MATCH($A657,RawBits!$H:$H,0)),"?")</f>
        <v/>
      </c>
      <c r="C657">
        <f>IFERROR(INDEX(RawBits!$G:$G,MATCH($A657,RawBits!$H:$H,0)),"")</f>
        <v/>
      </c>
      <c r="D657">
        <f>IFERROR(IF(AND(A657&gt;=129,A657&lt;=2176),INDEX(Fields!$B$2:$B$206,MATCH(A657-129,Fields!$D$2:$D$206,1)),""),"")</f>
        <v/>
      </c>
      <c r="E657">
        <f>IFERROR(IF(AND(A657&gt;=129,A657&lt;=2176),INDEX(Fields!$C$2:$C$206,MATCH(A657-129,Fields!$D$2:$D$206,1)),""),"")</f>
        <v/>
      </c>
    </row>
    <row r="658">
      <c r="A658" t="n">
        <v>657</v>
      </c>
      <c r="B658">
        <f>IFERROR(INDEX(RawBits!$A:$A,MATCH($A658,RawBits!$H:$H,0)),"?")</f>
        <v/>
      </c>
      <c r="C658">
        <f>IFERROR(INDEX(RawBits!$G:$G,MATCH($A658,RawBits!$H:$H,0)),"")</f>
        <v/>
      </c>
      <c r="D658">
        <f>IFERROR(IF(AND(A658&gt;=129,A658&lt;=2176),INDEX(Fields!$B$2:$B$206,MATCH(A658-129,Fields!$D$2:$D$206,1)),""),"")</f>
        <v/>
      </c>
      <c r="E658">
        <f>IFERROR(IF(AND(A658&gt;=129,A658&lt;=2176),INDEX(Fields!$C$2:$C$206,MATCH(A658-129,Fields!$D$2:$D$206,1)),""),"")</f>
        <v/>
      </c>
    </row>
    <row r="659">
      <c r="A659" t="n">
        <v>658</v>
      </c>
      <c r="B659">
        <f>IFERROR(INDEX(RawBits!$A:$A,MATCH($A659,RawBits!$H:$H,0)),"?")</f>
        <v/>
      </c>
      <c r="C659">
        <f>IFERROR(INDEX(RawBits!$G:$G,MATCH($A659,RawBits!$H:$H,0)),"")</f>
        <v/>
      </c>
      <c r="D659">
        <f>IFERROR(IF(AND(A659&gt;=129,A659&lt;=2176),INDEX(Fields!$B$2:$B$206,MATCH(A659-129,Fields!$D$2:$D$206,1)),""),"")</f>
        <v/>
      </c>
      <c r="E659">
        <f>IFERROR(IF(AND(A659&gt;=129,A659&lt;=2176),INDEX(Fields!$C$2:$C$206,MATCH(A659-129,Fields!$D$2:$D$206,1)),""),"")</f>
        <v/>
      </c>
    </row>
    <row r="660">
      <c r="A660" t="n">
        <v>659</v>
      </c>
      <c r="B660">
        <f>IFERROR(INDEX(RawBits!$A:$A,MATCH($A660,RawBits!$H:$H,0)),"?")</f>
        <v/>
      </c>
      <c r="C660">
        <f>IFERROR(INDEX(RawBits!$G:$G,MATCH($A660,RawBits!$H:$H,0)),"")</f>
        <v/>
      </c>
      <c r="D660">
        <f>IFERROR(IF(AND(A660&gt;=129,A660&lt;=2176),INDEX(Fields!$B$2:$B$206,MATCH(A660-129,Fields!$D$2:$D$206,1)),""),"")</f>
        <v/>
      </c>
      <c r="E660">
        <f>IFERROR(IF(AND(A660&gt;=129,A660&lt;=2176),INDEX(Fields!$C$2:$C$206,MATCH(A660-129,Fields!$D$2:$D$206,1)),""),"")</f>
        <v/>
      </c>
    </row>
    <row r="661">
      <c r="A661" t="n">
        <v>660</v>
      </c>
      <c r="B661">
        <f>IFERROR(INDEX(RawBits!$A:$A,MATCH($A661,RawBits!$H:$H,0)),"?")</f>
        <v/>
      </c>
      <c r="C661">
        <f>IFERROR(INDEX(RawBits!$G:$G,MATCH($A661,RawBits!$H:$H,0)),"")</f>
        <v/>
      </c>
      <c r="D661">
        <f>IFERROR(IF(AND(A661&gt;=129,A661&lt;=2176),INDEX(Fields!$B$2:$B$206,MATCH(A661-129,Fields!$D$2:$D$206,1)),""),"")</f>
        <v/>
      </c>
      <c r="E661">
        <f>IFERROR(IF(AND(A661&gt;=129,A661&lt;=2176),INDEX(Fields!$C$2:$C$206,MATCH(A661-129,Fields!$D$2:$D$206,1)),""),"")</f>
        <v/>
      </c>
    </row>
    <row r="662">
      <c r="A662" t="n">
        <v>661</v>
      </c>
      <c r="B662">
        <f>IFERROR(INDEX(RawBits!$A:$A,MATCH($A662,RawBits!$H:$H,0)),"?")</f>
        <v/>
      </c>
      <c r="C662">
        <f>IFERROR(INDEX(RawBits!$G:$G,MATCH($A662,RawBits!$H:$H,0)),"")</f>
        <v/>
      </c>
      <c r="D662">
        <f>IFERROR(IF(AND(A662&gt;=129,A662&lt;=2176),INDEX(Fields!$B$2:$B$206,MATCH(A662-129,Fields!$D$2:$D$206,1)),""),"")</f>
        <v/>
      </c>
      <c r="E662">
        <f>IFERROR(IF(AND(A662&gt;=129,A662&lt;=2176),INDEX(Fields!$C$2:$C$206,MATCH(A662-129,Fields!$D$2:$D$206,1)),""),"")</f>
        <v/>
      </c>
    </row>
    <row r="663">
      <c r="A663" t="n">
        <v>662</v>
      </c>
      <c r="B663">
        <f>IFERROR(INDEX(RawBits!$A:$A,MATCH($A663,RawBits!$H:$H,0)),"?")</f>
        <v/>
      </c>
      <c r="C663">
        <f>IFERROR(INDEX(RawBits!$G:$G,MATCH($A663,RawBits!$H:$H,0)),"")</f>
        <v/>
      </c>
      <c r="D663">
        <f>IFERROR(IF(AND(A663&gt;=129,A663&lt;=2176),INDEX(Fields!$B$2:$B$206,MATCH(A663-129,Fields!$D$2:$D$206,1)),""),"")</f>
        <v/>
      </c>
      <c r="E663">
        <f>IFERROR(IF(AND(A663&gt;=129,A663&lt;=2176),INDEX(Fields!$C$2:$C$206,MATCH(A663-129,Fields!$D$2:$D$206,1)),""),"")</f>
        <v/>
      </c>
    </row>
    <row r="664">
      <c r="A664" t="n">
        <v>663</v>
      </c>
      <c r="B664">
        <f>IFERROR(INDEX(RawBits!$A:$A,MATCH($A664,RawBits!$H:$H,0)),"?")</f>
        <v/>
      </c>
      <c r="C664">
        <f>IFERROR(INDEX(RawBits!$G:$G,MATCH($A664,RawBits!$H:$H,0)),"")</f>
        <v/>
      </c>
      <c r="D664">
        <f>IFERROR(IF(AND(A664&gt;=129,A664&lt;=2176),INDEX(Fields!$B$2:$B$206,MATCH(A664-129,Fields!$D$2:$D$206,1)),""),"")</f>
        <v/>
      </c>
      <c r="E664">
        <f>IFERROR(IF(AND(A664&gt;=129,A664&lt;=2176),INDEX(Fields!$C$2:$C$206,MATCH(A664-129,Fields!$D$2:$D$206,1)),""),"")</f>
        <v/>
      </c>
    </row>
    <row r="665">
      <c r="A665" t="n">
        <v>664</v>
      </c>
      <c r="B665">
        <f>IFERROR(INDEX(RawBits!$A:$A,MATCH($A665,RawBits!$H:$H,0)),"?")</f>
        <v/>
      </c>
      <c r="C665">
        <f>IFERROR(INDEX(RawBits!$G:$G,MATCH($A665,RawBits!$H:$H,0)),"")</f>
        <v/>
      </c>
      <c r="D665">
        <f>IFERROR(IF(AND(A665&gt;=129,A665&lt;=2176),INDEX(Fields!$B$2:$B$206,MATCH(A665-129,Fields!$D$2:$D$206,1)),""),"")</f>
        <v/>
      </c>
      <c r="E665">
        <f>IFERROR(IF(AND(A665&gt;=129,A665&lt;=2176),INDEX(Fields!$C$2:$C$206,MATCH(A665-129,Fields!$D$2:$D$206,1)),""),"")</f>
        <v/>
      </c>
    </row>
    <row r="666">
      <c r="A666" t="n">
        <v>665</v>
      </c>
      <c r="B666">
        <f>IFERROR(INDEX(RawBits!$A:$A,MATCH($A666,RawBits!$H:$H,0)),"?")</f>
        <v/>
      </c>
      <c r="C666">
        <f>IFERROR(INDEX(RawBits!$G:$G,MATCH($A666,RawBits!$H:$H,0)),"")</f>
        <v/>
      </c>
      <c r="D666">
        <f>IFERROR(IF(AND(A666&gt;=129,A666&lt;=2176),INDEX(Fields!$B$2:$B$206,MATCH(A666-129,Fields!$D$2:$D$206,1)),""),"")</f>
        <v/>
      </c>
      <c r="E666">
        <f>IFERROR(IF(AND(A666&gt;=129,A666&lt;=2176),INDEX(Fields!$C$2:$C$206,MATCH(A666-129,Fields!$D$2:$D$206,1)),""),"")</f>
        <v/>
      </c>
    </row>
    <row r="667">
      <c r="A667" t="n">
        <v>666</v>
      </c>
      <c r="B667">
        <f>IFERROR(INDEX(RawBits!$A:$A,MATCH($A667,RawBits!$H:$H,0)),"?")</f>
        <v/>
      </c>
      <c r="C667">
        <f>IFERROR(INDEX(RawBits!$G:$G,MATCH($A667,RawBits!$H:$H,0)),"")</f>
        <v/>
      </c>
      <c r="D667">
        <f>IFERROR(IF(AND(A667&gt;=129,A667&lt;=2176),INDEX(Fields!$B$2:$B$206,MATCH(A667-129,Fields!$D$2:$D$206,1)),""),"")</f>
        <v/>
      </c>
      <c r="E667">
        <f>IFERROR(IF(AND(A667&gt;=129,A667&lt;=2176),INDEX(Fields!$C$2:$C$206,MATCH(A667-129,Fields!$D$2:$D$206,1)),""),"")</f>
        <v/>
      </c>
    </row>
    <row r="668">
      <c r="A668" t="n">
        <v>667</v>
      </c>
      <c r="B668">
        <f>IFERROR(INDEX(RawBits!$A:$A,MATCH($A668,RawBits!$H:$H,0)),"?")</f>
        <v/>
      </c>
      <c r="C668">
        <f>IFERROR(INDEX(RawBits!$G:$G,MATCH($A668,RawBits!$H:$H,0)),"")</f>
        <v/>
      </c>
      <c r="D668">
        <f>IFERROR(IF(AND(A668&gt;=129,A668&lt;=2176),INDEX(Fields!$B$2:$B$206,MATCH(A668-129,Fields!$D$2:$D$206,1)),""),"")</f>
        <v/>
      </c>
      <c r="E668">
        <f>IFERROR(IF(AND(A668&gt;=129,A668&lt;=2176),INDEX(Fields!$C$2:$C$206,MATCH(A668-129,Fields!$D$2:$D$206,1)),""),"")</f>
        <v/>
      </c>
    </row>
    <row r="669">
      <c r="A669" t="n">
        <v>668</v>
      </c>
      <c r="B669">
        <f>IFERROR(INDEX(RawBits!$A:$A,MATCH($A669,RawBits!$H:$H,0)),"?")</f>
        <v/>
      </c>
      <c r="C669">
        <f>IFERROR(INDEX(RawBits!$G:$G,MATCH($A669,RawBits!$H:$H,0)),"")</f>
        <v/>
      </c>
      <c r="D669">
        <f>IFERROR(IF(AND(A669&gt;=129,A669&lt;=2176),INDEX(Fields!$B$2:$B$206,MATCH(A669-129,Fields!$D$2:$D$206,1)),""),"")</f>
        <v/>
      </c>
      <c r="E669">
        <f>IFERROR(IF(AND(A669&gt;=129,A669&lt;=2176),INDEX(Fields!$C$2:$C$206,MATCH(A669-129,Fields!$D$2:$D$206,1)),""),"")</f>
        <v/>
      </c>
    </row>
    <row r="670">
      <c r="A670" t="n">
        <v>669</v>
      </c>
      <c r="B670">
        <f>IFERROR(INDEX(RawBits!$A:$A,MATCH($A670,RawBits!$H:$H,0)),"?")</f>
        <v/>
      </c>
      <c r="C670">
        <f>IFERROR(INDEX(RawBits!$G:$G,MATCH($A670,RawBits!$H:$H,0)),"")</f>
        <v/>
      </c>
      <c r="D670">
        <f>IFERROR(IF(AND(A670&gt;=129,A670&lt;=2176),INDEX(Fields!$B$2:$B$206,MATCH(A670-129,Fields!$D$2:$D$206,1)),""),"")</f>
        <v/>
      </c>
      <c r="E670">
        <f>IFERROR(IF(AND(A670&gt;=129,A670&lt;=2176),INDEX(Fields!$C$2:$C$206,MATCH(A670-129,Fields!$D$2:$D$206,1)),""),"")</f>
        <v/>
      </c>
    </row>
    <row r="671">
      <c r="A671" t="n">
        <v>670</v>
      </c>
      <c r="B671">
        <f>IFERROR(INDEX(RawBits!$A:$A,MATCH($A671,RawBits!$H:$H,0)),"?")</f>
        <v/>
      </c>
      <c r="C671">
        <f>IFERROR(INDEX(RawBits!$G:$G,MATCH($A671,RawBits!$H:$H,0)),"")</f>
        <v/>
      </c>
      <c r="D671">
        <f>IFERROR(IF(AND(A671&gt;=129,A671&lt;=2176),INDEX(Fields!$B$2:$B$206,MATCH(A671-129,Fields!$D$2:$D$206,1)),""),"")</f>
        <v/>
      </c>
      <c r="E671">
        <f>IFERROR(IF(AND(A671&gt;=129,A671&lt;=2176),INDEX(Fields!$C$2:$C$206,MATCH(A671-129,Fields!$D$2:$D$206,1)),""),"")</f>
        <v/>
      </c>
    </row>
    <row r="672">
      <c r="A672" t="n">
        <v>671</v>
      </c>
      <c r="B672">
        <f>IFERROR(INDEX(RawBits!$A:$A,MATCH($A672,RawBits!$H:$H,0)),"?")</f>
        <v/>
      </c>
      <c r="C672">
        <f>IFERROR(INDEX(RawBits!$G:$G,MATCH($A672,RawBits!$H:$H,0)),"")</f>
        <v/>
      </c>
      <c r="D672">
        <f>IFERROR(IF(AND(A672&gt;=129,A672&lt;=2176),INDEX(Fields!$B$2:$B$206,MATCH(A672-129,Fields!$D$2:$D$206,1)),""),"")</f>
        <v/>
      </c>
      <c r="E672">
        <f>IFERROR(IF(AND(A672&gt;=129,A672&lt;=2176),INDEX(Fields!$C$2:$C$206,MATCH(A672-129,Fields!$D$2:$D$206,1)),""),"")</f>
        <v/>
      </c>
    </row>
    <row r="673">
      <c r="A673" t="n">
        <v>672</v>
      </c>
      <c r="B673">
        <f>IFERROR(INDEX(RawBits!$A:$A,MATCH($A673,RawBits!$H:$H,0)),"?")</f>
        <v/>
      </c>
      <c r="C673">
        <f>IFERROR(INDEX(RawBits!$G:$G,MATCH($A673,RawBits!$H:$H,0)),"")</f>
        <v/>
      </c>
      <c r="D673">
        <f>IFERROR(IF(AND(A673&gt;=129,A673&lt;=2176),INDEX(Fields!$B$2:$B$206,MATCH(A673-129,Fields!$D$2:$D$206,1)),""),"")</f>
        <v/>
      </c>
      <c r="E673">
        <f>IFERROR(IF(AND(A673&gt;=129,A673&lt;=2176),INDEX(Fields!$C$2:$C$206,MATCH(A673-129,Fields!$D$2:$D$206,1)),""),"")</f>
        <v/>
      </c>
    </row>
    <row r="674">
      <c r="A674" t="n">
        <v>673</v>
      </c>
      <c r="B674">
        <f>IFERROR(INDEX(RawBits!$A:$A,MATCH($A674,RawBits!$H:$H,0)),"?")</f>
        <v/>
      </c>
      <c r="C674">
        <f>IFERROR(INDEX(RawBits!$G:$G,MATCH($A674,RawBits!$H:$H,0)),"")</f>
        <v/>
      </c>
      <c r="D674">
        <f>IFERROR(IF(AND(A674&gt;=129,A674&lt;=2176),INDEX(Fields!$B$2:$B$206,MATCH(A674-129,Fields!$D$2:$D$206,1)),""),"")</f>
        <v/>
      </c>
      <c r="E674">
        <f>IFERROR(IF(AND(A674&gt;=129,A674&lt;=2176),INDEX(Fields!$C$2:$C$206,MATCH(A674-129,Fields!$D$2:$D$206,1)),""),"")</f>
        <v/>
      </c>
    </row>
    <row r="675">
      <c r="A675" t="n">
        <v>674</v>
      </c>
      <c r="B675">
        <f>IFERROR(INDEX(RawBits!$A:$A,MATCH($A675,RawBits!$H:$H,0)),"?")</f>
        <v/>
      </c>
      <c r="C675">
        <f>IFERROR(INDEX(RawBits!$G:$G,MATCH($A675,RawBits!$H:$H,0)),"")</f>
        <v/>
      </c>
      <c r="D675">
        <f>IFERROR(IF(AND(A675&gt;=129,A675&lt;=2176),INDEX(Fields!$B$2:$B$206,MATCH(A675-129,Fields!$D$2:$D$206,1)),""),"")</f>
        <v/>
      </c>
      <c r="E675">
        <f>IFERROR(IF(AND(A675&gt;=129,A675&lt;=2176),INDEX(Fields!$C$2:$C$206,MATCH(A675-129,Fields!$D$2:$D$206,1)),""),"")</f>
        <v/>
      </c>
    </row>
    <row r="676">
      <c r="A676" t="n">
        <v>675</v>
      </c>
      <c r="B676">
        <f>IFERROR(INDEX(RawBits!$A:$A,MATCH($A676,RawBits!$H:$H,0)),"?")</f>
        <v/>
      </c>
      <c r="C676">
        <f>IFERROR(INDEX(RawBits!$G:$G,MATCH($A676,RawBits!$H:$H,0)),"")</f>
        <v/>
      </c>
      <c r="D676">
        <f>IFERROR(IF(AND(A676&gt;=129,A676&lt;=2176),INDEX(Fields!$B$2:$B$206,MATCH(A676-129,Fields!$D$2:$D$206,1)),""),"")</f>
        <v/>
      </c>
      <c r="E676">
        <f>IFERROR(IF(AND(A676&gt;=129,A676&lt;=2176),INDEX(Fields!$C$2:$C$206,MATCH(A676-129,Fields!$D$2:$D$206,1)),""),"")</f>
        <v/>
      </c>
    </row>
    <row r="677">
      <c r="A677" t="n">
        <v>676</v>
      </c>
      <c r="B677">
        <f>IFERROR(INDEX(RawBits!$A:$A,MATCH($A677,RawBits!$H:$H,0)),"?")</f>
        <v/>
      </c>
      <c r="C677">
        <f>IFERROR(INDEX(RawBits!$G:$G,MATCH($A677,RawBits!$H:$H,0)),"")</f>
        <v/>
      </c>
      <c r="D677">
        <f>IFERROR(IF(AND(A677&gt;=129,A677&lt;=2176),INDEX(Fields!$B$2:$B$206,MATCH(A677-129,Fields!$D$2:$D$206,1)),""),"")</f>
        <v/>
      </c>
      <c r="E677">
        <f>IFERROR(IF(AND(A677&gt;=129,A677&lt;=2176),INDEX(Fields!$C$2:$C$206,MATCH(A677-129,Fields!$D$2:$D$206,1)),""),"")</f>
        <v/>
      </c>
    </row>
    <row r="678">
      <c r="A678" t="n">
        <v>677</v>
      </c>
      <c r="B678">
        <f>IFERROR(INDEX(RawBits!$A:$A,MATCH($A678,RawBits!$H:$H,0)),"?")</f>
        <v/>
      </c>
      <c r="C678">
        <f>IFERROR(INDEX(RawBits!$G:$G,MATCH($A678,RawBits!$H:$H,0)),"")</f>
        <v/>
      </c>
      <c r="D678">
        <f>IFERROR(IF(AND(A678&gt;=129,A678&lt;=2176),INDEX(Fields!$B$2:$B$206,MATCH(A678-129,Fields!$D$2:$D$206,1)),""),"")</f>
        <v/>
      </c>
      <c r="E678">
        <f>IFERROR(IF(AND(A678&gt;=129,A678&lt;=2176),INDEX(Fields!$C$2:$C$206,MATCH(A678-129,Fields!$D$2:$D$206,1)),""),"")</f>
        <v/>
      </c>
    </row>
    <row r="679">
      <c r="A679" t="n">
        <v>678</v>
      </c>
      <c r="B679">
        <f>IFERROR(INDEX(RawBits!$A:$A,MATCH($A679,RawBits!$H:$H,0)),"?")</f>
        <v/>
      </c>
      <c r="C679">
        <f>IFERROR(INDEX(RawBits!$G:$G,MATCH($A679,RawBits!$H:$H,0)),"")</f>
        <v/>
      </c>
      <c r="D679">
        <f>IFERROR(IF(AND(A679&gt;=129,A679&lt;=2176),INDEX(Fields!$B$2:$B$206,MATCH(A679-129,Fields!$D$2:$D$206,1)),""),"")</f>
        <v/>
      </c>
      <c r="E679">
        <f>IFERROR(IF(AND(A679&gt;=129,A679&lt;=2176),INDEX(Fields!$C$2:$C$206,MATCH(A679-129,Fields!$D$2:$D$206,1)),""),"")</f>
        <v/>
      </c>
    </row>
    <row r="680">
      <c r="A680" t="n">
        <v>679</v>
      </c>
      <c r="B680">
        <f>IFERROR(INDEX(RawBits!$A:$A,MATCH($A680,RawBits!$H:$H,0)),"?")</f>
        <v/>
      </c>
      <c r="C680">
        <f>IFERROR(INDEX(RawBits!$G:$G,MATCH($A680,RawBits!$H:$H,0)),"")</f>
        <v/>
      </c>
      <c r="D680">
        <f>IFERROR(IF(AND(A680&gt;=129,A680&lt;=2176),INDEX(Fields!$B$2:$B$206,MATCH(A680-129,Fields!$D$2:$D$206,1)),""),"")</f>
        <v/>
      </c>
      <c r="E680">
        <f>IFERROR(IF(AND(A680&gt;=129,A680&lt;=2176),INDEX(Fields!$C$2:$C$206,MATCH(A680-129,Fields!$D$2:$D$206,1)),""),"")</f>
        <v/>
      </c>
    </row>
    <row r="681">
      <c r="A681" t="n">
        <v>680</v>
      </c>
      <c r="B681">
        <f>IFERROR(INDEX(RawBits!$A:$A,MATCH($A681,RawBits!$H:$H,0)),"?")</f>
        <v/>
      </c>
      <c r="C681">
        <f>IFERROR(INDEX(RawBits!$G:$G,MATCH($A681,RawBits!$H:$H,0)),"")</f>
        <v/>
      </c>
      <c r="D681">
        <f>IFERROR(IF(AND(A681&gt;=129,A681&lt;=2176),INDEX(Fields!$B$2:$B$206,MATCH(A681-129,Fields!$D$2:$D$206,1)),""),"")</f>
        <v/>
      </c>
      <c r="E681">
        <f>IFERROR(IF(AND(A681&gt;=129,A681&lt;=2176),INDEX(Fields!$C$2:$C$206,MATCH(A681-129,Fields!$D$2:$D$206,1)),""),"")</f>
        <v/>
      </c>
    </row>
    <row r="682">
      <c r="A682" t="n">
        <v>681</v>
      </c>
      <c r="B682">
        <f>IFERROR(INDEX(RawBits!$A:$A,MATCH($A682,RawBits!$H:$H,0)),"?")</f>
        <v/>
      </c>
      <c r="C682">
        <f>IFERROR(INDEX(RawBits!$G:$G,MATCH($A682,RawBits!$H:$H,0)),"")</f>
        <v/>
      </c>
      <c r="D682">
        <f>IFERROR(IF(AND(A682&gt;=129,A682&lt;=2176),INDEX(Fields!$B$2:$B$206,MATCH(A682-129,Fields!$D$2:$D$206,1)),""),"")</f>
        <v/>
      </c>
      <c r="E682">
        <f>IFERROR(IF(AND(A682&gt;=129,A682&lt;=2176),INDEX(Fields!$C$2:$C$206,MATCH(A682-129,Fields!$D$2:$D$206,1)),""),"")</f>
        <v/>
      </c>
    </row>
    <row r="683">
      <c r="A683" t="n">
        <v>682</v>
      </c>
      <c r="B683">
        <f>IFERROR(INDEX(RawBits!$A:$A,MATCH($A683,RawBits!$H:$H,0)),"?")</f>
        <v/>
      </c>
      <c r="C683">
        <f>IFERROR(INDEX(RawBits!$G:$G,MATCH($A683,RawBits!$H:$H,0)),"")</f>
        <v/>
      </c>
      <c r="D683">
        <f>IFERROR(IF(AND(A683&gt;=129,A683&lt;=2176),INDEX(Fields!$B$2:$B$206,MATCH(A683-129,Fields!$D$2:$D$206,1)),""),"")</f>
        <v/>
      </c>
      <c r="E683">
        <f>IFERROR(IF(AND(A683&gt;=129,A683&lt;=2176),INDEX(Fields!$C$2:$C$206,MATCH(A683-129,Fields!$D$2:$D$206,1)),""),"")</f>
        <v/>
      </c>
    </row>
    <row r="684">
      <c r="A684" t="n">
        <v>683</v>
      </c>
      <c r="B684">
        <f>IFERROR(INDEX(RawBits!$A:$A,MATCH($A684,RawBits!$H:$H,0)),"?")</f>
        <v/>
      </c>
      <c r="C684">
        <f>IFERROR(INDEX(RawBits!$G:$G,MATCH($A684,RawBits!$H:$H,0)),"")</f>
        <v/>
      </c>
      <c r="D684">
        <f>IFERROR(IF(AND(A684&gt;=129,A684&lt;=2176),INDEX(Fields!$B$2:$B$206,MATCH(A684-129,Fields!$D$2:$D$206,1)),""),"")</f>
        <v/>
      </c>
      <c r="E684">
        <f>IFERROR(IF(AND(A684&gt;=129,A684&lt;=2176),INDEX(Fields!$C$2:$C$206,MATCH(A684-129,Fields!$D$2:$D$206,1)),""),"")</f>
        <v/>
      </c>
    </row>
    <row r="685">
      <c r="A685" t="n">
        <v>684</v>
      </c>
      <c r="B685">
        <f>IFERROR(INDEX(RawBits!$A:$A,MATCH($A685,RawBits!$H:$H,0)),"?")</f>
        <v/>
      </c>
      <c r="C685">
        <f>IFERROR(INDEX(RawBits!$G:$G,MATCH($A685,RawBits!$H:$H,0)),"")</f>
        <v/>
      </c>
      <c r="D685">
        <f>IFERROR(IF(AND(A685&gt;=129,A685&lt;=2176),INDEX(Fields!$B$2:$B$206,MATCH(A685-129,Fields!$D$2:$D$206,1)),""),"")</f>
        <v/>
      </c>
      <c r="E685">
        <f>IFERROR(IF(AND(A685&gt;=129,A685&lt;=2176),INDEX(Fields!$C$2:$C$206,MATCH(A685-129,Fields!$D$2:$D$206,1)),""),"")</f>
        <v/>
      </c>
    </row>
    <row r="686">
      <c r="A686" t="n">
        <v>685</v>
      </c>
      <c r="B686">
        <f>IFERROR(INDEX(RawBits!$A:$A,MATCH($A686,RawBits!$H:$H,0)),"?")</f>
        <v/>
      </c>
      <c r="C686">
        <f>IFERROR(INDEX(RawBits!$G:$G,MATCH($A686,RawBits!$H:$H,0)),"")</f>
        <v/>
      </c>
      <c r="D686">
        <f>IFERROR(IF(AND(A686&gt;=129,A686&lt;=2176),INDEX(Fields!$B$2:$B$206,MATCH(A686-129,Fields!$D$2:$D$206,1)),""),"")</f>
        <v/>
      </c>
      <c r="E686">
        <f>IFERROR(IF(AND(A686&gt;=129,A686&lt;=2176),INDEX(Fields!$C$2:$C$206,MATCH(A686-129,Fields!$D$2:$D$206,1)),""),"")</f>
        <v/>
      </c>
    </row>
    <row r="687">
      <c r="A687" t="n">
        <v>686</v>
      </c>
      <c r="B687">
        <f>IFERROR(INDEX(RawBits!$A:$A,MATCH($A687,RawBits!$H:$H,0)),"?")</f>
        <v/>
      </c>
      <c r="C687">
        <f>IFERROR(INDEX(RawBits!$G:$G,MATCH($A687,RawBits!$H:$H,0)),"")</f>
        <v/>
      </c>
      <c r="D687">
        <f>IFERROR(IF(AND(A687&gt;=129,A687&lt;=2176),INDEX(Fields!$B$2:$B$206,MATCH(A687-129,Fields!$D$2:$D$206,1)),""),"")</f>
        <v/>
      </c>
      <c r="E687">
        <f>IFERROR(IF(AND(A687&gt;=129,A687&lt;=2176),INDEX(Fields!$C$2:$C$206,MATCH(A687-129,Fields!$D$2:$D$206,1)),""),"")</f>
        <v/>
      </c>
    </row>
    <row r="688">
      <c r="A688" t="n">
        <v>687</v>
      </c>
      <c r="B688">
        <f>IFERROR(INDEX(RawBits!$A:$A,MATCH($A688,RawBits!$H:$H,0)),"?")</f>
        <v/>
      </c>
      <c r="C688">
        <f>IFERROR(INDEX(RawBits!$G:$G,MATCH($A688,RawBits!$H:$H,0)),"")</f>
        <v/>
      </c>
      <c r="D688">
        <f>IFERROR(IF(AND(A688&gt;=129,A688&lt;=2176),INDEX(Fields!$B$2:$B$206,MATCH(A688-129,Fields!$D$2:$D$206,1)),""),"")</f>
        <v/>
      </c>
      <c r="E688">
        <f>IFERROR(IF(AND(A688&gt;=129,A688&lt;=2176),INDEX(Fields!$C$2:$C$206,MATCH(A688-129,Fields!$D$2:$D$206,1)),""),"")</f>
        <v/>
      </c>
    </row>
    <row r="689">
      <c r="A689" t="n">
        <v>688</v>
      </c>
      <c r="B689">
        <f>IFERROR(INDEX(RawBits!$A:$A,MATCH($A689,RawBits!$H:$H,0)),"?")</f>
        <v/>
      </c>
      <c r="C689">
        <f>IFERROR(INDEX(RawBits!$G:$G,MATCH($A689,RawBits!$H:$H,0)),"")</f>
        <v/>
      </c>
      <c r="D689">
        <f>IFERROR(IF(AND(A689&gt;=129,A689&lt;=2176),INDEX(Fields!$B$2:$B$206,MATCH(A689-129,Fields!$D$2:$D$206,1)),""),"")</f>
        <v/>
      </c>
      <c r="E689">
        <f>IFERROR(IF(AND(A689&gt;=129,A689&lt;=2176),INDEX(Fields!$C$2:$C$206,MATCH(A689-129,Fields!$D$2:$D$206,1)),""),"")</f>
        <v/>
      </c>
    </row>
    <row r="690">
      <c r="A690" t="n">
        <v>689</v>
      </c>
      <c r="B690">
        <f>IFERROR(INDEX(RawBits!$A:$A,MATCH($A690,RawBits!$H:$H,0)),"?")</f>
        <v/>
      </c>
      <c r="C690">
        <f>IFERROR(INDEX(RawBits!$G:$G,MATCH($A690,RawBits!$H:$H,0)),"")</f>
        <v/>
      </c>
      <c r="D690">
        <f>IFERROR(IF(AND(A690&gt;=129,A690&lt;=2176),INDEX(Fields!$B$2:$B$206,MATCH(A690-129,Fields!$D$2:$D$206,1)),""),"")</f>
        <v/>
      </c>
      <c r="E690">
        <f>IFERROR(IF(AND(A690&gt;=129,A690&lt;=2176),INDEX(Fields!$C$2:$C$206,MATCH(A690-129,Fields!$D$2:$D$206,1)),""),"")</f>
        <v/>
      </c>
    </row>
    <row r="691">
      <c r="A691" t="n">
        <v>690</v>
      </c>
      <c r="B691">
        <f>IFERROR(INDEX(RawBits!$A:$A,MATCH($A691,RawBits!$H:$H,0)),"?")</f>
        <v/>
      </c>
      <c r="C691">
        <f>IFERROR(INDEX(RawBits!$G:$G,MATCH($A691,RawBits!$H:$H,0)),"")</f>
        <v/>
      </c>
      <c r="D691">
        <f>IFERROR(IF(AND(A691&gt;=129,A691&lt;=2176),INDEX(Fields!$B$2:$B$206,MATCH(A691-129,Fields!$D$2:$D$206,1)),""),"")</f>
        <v/>
      </c>
      <c r="E691">
        <f>IFERROR(IF(AND(A691&gt;=129,A691&lt;=2176),INDEX(Fields!$C$2:$C$206,MATCH(A691-129,Fields!$D$2:$D$206,1)),""),"")</f>
        <v/>
      </c>
    </row>
    <row r="692">
      <c r="A692" t="n">
        <v>691</v>
      </c>
      <c r="B692">
        <f>IFERROR(INDEX(RawBits!$A:$A,MATCH($A692,RawBits!$H:$H,0)),"?")</f>
        <v/>
      </c>
      <c r="C692">
        <f>IFERROR(INDEX(RawBits!$G:$G,MATCH($A692,RawBits!$H:$H,0)),"")</f>
        <v/>
      </c>
      <c r="D692">
        <f>IFERROR(IF(AND(A692&gt;=129,A692&lt;=2176),INDEX(Fields!$B$2:$B$206,MATCH(A692-129,Fields!$D$2:$D$206,1)),""),"")</f>
        <v/>
      </c>
      <c r="E692">
        <f>IFERROR(IF(AND(A692&gt;=129,A692&lt;=2176),INDEX(Fields!$C$2:$C$206,MATCH(A692-129,Fields!$D$2:$D$206,1)),""),"")</f>
        <v/>
      </c>
    </row>
    <row r="693">
      <c r="A693" t="n">
        <v>692</v>
      </c>
      <c r="B693">
        <f>IFERROR(INDEX(RawBits!$A:$A,MATCH($A693,RawBits!$H:$H,0)),"?")</f>
        <v/>
      </c>
      <c r="C693">
        <f>IFERROR(INDEX(RawBits!$G:$G,MATCH($A693,RawBits!$H:$H,0)),"")</f>
        <v/>
      </c>
      <c r="D693">
        <f>IFERROR(IF(AND(A693&gt;=129,A693&lt;=2176),INDEX(Fields!$B$2:$B$206,MATCH(A693-129,Fields!$D$2:$D$206,1)),""),"")</f>
        <v/>
      </c>
      <c r="E693">
        <f>IFERROR(IF(AND(A693&gt;=129,A693&lt;=2176),INDEX(Fields!$C$2:$C$206,MATCH(A693-129,Fields!$D$2:$D$206,1)),""),"")</f>
        <v/>
      </c>
    </row>
    <row r="694">
      <c r="A694" t="n">
        <v>693</v>
      </c>
      <c r="B694">
        <f>IFERROR(INDEX(RawBits!$A:$A,MATCH($A694,RawBits!$H:$H,0)),"?")</f>
        <v/>
      </c>
      <c r="C694">
        <f>IFERROR(INDEX(RawBits!$G:$G,MATCH($A694,RawBits!$H:$H,0)),"")</f>
        <v/>
      </c>
      <c r="D694">
        <f>IFERROR(IF(AND(A694&gt;=129,A694&lt;=2176),INDEX(Fields!$B$2:$B$206,MATCH(A694-129,Fields!$D$2:$D$206,1)),""),"")</f>
        <v/>
      </c>
      <c r="E694">
        <f>IFERROR(IF(AND(A694&gt;=129,A694&lt;=2176),INDEX(Fields!$C$2:$C$206,MATCH(A694-129,Fields!$D$2:$D$206,1)),""),"")</f>
        <v/>
      </c>
    </row>
    <row r="695">
      <c r="A695" t="n">
        <v>694</v>
      </c>
      <c r="B695">
        <f>IFERROR(INDEX(RawBits!$A:$A,MATCH($A695,RawBits!$H:$H,0)),"?")</f>
        <v/>
      </c>
      <c r="C695">
        <f>IFERROR(INDEX(RawBits!$G:$G,MATCH($A695,RawBits!$H:$H,0)),"")</f>
        <v/>
      </c>
      <c r="D695">
        <f>IFERROR(IF(AND(A695&gt;=129,A695&lt;=2176),INDEX(Fields!$B$2:$B$206,MATCH(A695-129,Fields!$D$2:$D$206,1)),""),"")</f>
        <v/>
      </c>
      <c r="E695">
        <f>IFERROR(IF(AND(A695&gt;=129,A695&lt;=2176),INDEX(Fields!$C$2:$C$206,MATCH(A695-129,Fields!$D$2:$D$206,1)),""),"")</f>
        <v/>
      </c>
    </row>
    <row r="696">
      <c r="A696" t="n">
        <v>695</v>
      </c>
      <c r="B696">
        <f>IFERROR(INDEX(RawBits!$A:$A,MATCH($A696,RawBits!$H:$H,0)),"?")</f>
        <v/>
      </c>
      <c r="C696">
        <f>IFERROR(INDEX(RawBits!$G:$G,MATCH($A696,RawBits!$H:$H,0)),"")</f>
        <v/>
      </c>
      <c r="D696">
        <f>IFERROR(IF(AND(A696&gt;=129,A696&lt;=2176),INDEX(Fields!$B$2:$B$206,MATCH(A696-129,Fields!$D$2:$D$206,1)),""),"")</f>
        <v/>
      </c>
      <c r="E696">
        <f>IFERROR(IF(AND(A696&gt;=129,A696&lt;=2176),INDEX(Fields!$C$2:$C$206,MATCH(A696-129,Fields!$D$2:$D$206,1)),""),"")</f>
        <v/>
      </c>
    </row>
    <row r="697">
      <c r="A697" t="n">
        <v>696</v>
      </c>
      <c r="B697">
        <f>IFERROR(INDEX(RawBits!$A:$A,MATCH($A697,RawBits!$H:$H,0)),"?")</f>
        <v/>
      </c>
      <c r="C697">
        <f>IFERROR(INDEX(RawBits!$G:$G,MATCH($A697,RawBits!$H:$H,0)),"")</f>
        <v/>
      </c>
      <c r="D697">
        <f>IFERROR(IF(AND(A697&gt;=129,A697&lt;=2176),INDEX(Fields!$B$2:$B$206,MATCH(A697-129,Fields!$D$2:$D$206,1)),""),"")</f>
        <v/>
      </c>
      <c r="E697">
        <f>IFERROR(IF(AND(A697&gt;=129,A697&lt;=2176),INDEX(Fields!$C$2:$C$206,MATCH(A697-129,Fields!$D$2:$D$206,1)),""),"")</f>
        <v/>
      </c>
    </row>
    <row r="698">
      <c r="A698" t="n">
        <v>697</v>
      </c>
      <c r="B698">
        <f>IFERROR(INDEX(RawBits!$A:$A,MATCH($A698,RawBits!$H:$H,0)),"?")</f>
        <v/>
      </c>
      <c r="C698">
        <f>IFERROR(INDEX(RawBits!$G:$G,MATCH($A698,RawBits!$H:$H,0)),"")</f>
        <v/>
      </c>
      <c r="D698">
        <f>IFERROR(IF(AND(A698&gt;=129,A698&lt;=2176),INDEX(Fields!$B$2:$B$206,MATCH(A698-129,Fields!$D$2:$D$206,1)),""),"")</f>
        <v/>
      </c>
      <c r="E698">
        <f>IFERROR(IF(AND(A698&gt;=129,A698&lt;=2176),INDEX(Fields!$C$2:$C$206,MATCH(A698-129,Fields!$D$2:$D$206,1)),""),"")</f>
        <v/>
      </c>
    </row>
    <row r="699">
      <c r="A699" t="n">
        <v>698</v>
      </c>
      <c r="B699">
        <f>IFERROR(INDEX(RawBits!$A:$A,MATCH($A699,RawBits!$H:$H,0)),"?")</f>
        <v/>
      </c>
      <c r="C699">
        <f>IFERROR(INDEX(RawBits!$G:$G,MATCH($A699,RawBits!$H:$H,0)),"")</f>
        <v/>
      </c>
      <c r="D699">
        <f>IFERROR(IF(AND(A699&gt;=129,A699&lt;=2176),INDEX(Fields!$B$2:$B$206,MATCH(A699-129,Fields!$D$2:$D$206,1)),""),"")</f>
        <v/>
      </c>
      <c r="E699">
        <f>IFERROR(IF(AND(A699&gt;=129,A699&lt;=2176),INDEX(Fields!$C$2:$C$206,MATCH(A699-129,Fields!$D$2:$D$206,1)),""),"")</f>
        <v/>
      </c>
    </row>
    <row r="700">
      <c r="A700" t="n">
        <v>699</v>
      </c>
      <c r="B700">
        <f>IFERROR(INDEX(RawBits!$A:$A,MATCH($A700,RawBits!$H:$H,0)),"?")</f>
        <v/>
      </c>
      <c r="C700">
        <f>IFERROR(INDEX(RawBits!$G:$G,MATCH($A700,RawBits!$H:$H,0)),"")</f>
        <v/>
      </c>
      <c r="D700">
        <f>IFERROR(IF(AND(A700&gt;=129,A700&lt;=2176),INDEX(Fields!$B$2:$B$206,MATCH(A700-129,Fields!$D$2:$D$206,1)),""),"")</f>
        <v/>
      </c>
      <c r="E700">
        <f>IFERROR(IF(AND(A700&gt;=129,A700&lt;=2176),INDEX(Fields!$C$2:$C$206,MATCH(A700-129,Fields!$D$2:$D$206,1)),""),"")</f>
        <v/>
      </c>
    </row>
    <row r="701">
      <c r="A701" t="n">
        <v>700</v>
      </c>
      <c r="B701">
        <f>IFERROR(INDEX(RawBits!$A:$A,MATCH($A701,RawBits!$H:$H,0)),"?")</f>
        <v/>
      </c>
      <c r="C701">
        <f>IFERROR(INDEX(RawBits!$G:$G,MATCH($A701,RawBits!$H:$H,0)),"")</f>
        <v/>
      </c>
      <c r="D701">
        <f>IFERROR(IF(AND(A701&gt;=129,A701&lt;=2176),INDEX(Fields!$B$2:$B$206,MATCH(A701-129,Fields!$D$2:$D$206,1)),""),"")</f>
        <v/>
      </c>
      <c r="E701">
        <f>IFERROR(IF(AND(A701&gt;=129,A701&lt;=2176),INDEX(Fields!$C$2:$C$206,MATCH(A701-129,Fields!$D$2:$D$206,1)),""),"")</f>
        <v/>
      </c>
    </row>
    <row r="702">
      <c r="A702" t="n">
        <v>701</v>
      </c>
      <c r="B702">
        <f>IFERROR(INDEX(RawBits!$A:$A,MATCH($A702,RawBits!$H:$H,0)),"?")</f>
        <v/>
      </c>
      <c r="C702">
        <f>IFERROR(INDEX(RawBits!$G:$G,MATCH($A702,RawBits!$H:$H,0)),"")</f>
        <v/>
      </c>
      <c r="D702">
        <f>IFERROR(IF(AND(A702&gt;=129,A702&lt;=2176),INDEX(Fields!$B$2:$B$206,MATCH(A702-129,Fields!$D$2:$D$206,1)),""),"")</f>
        <v/>
      </c>
      <c r="E702">
        <f>IFERROR(IF(AND(A702&gt;=129,A702&lt;=2176),INDEX(Fields!$C$2:$C$206,MATCH(A702-129,Fields!$D$2:$D$206,1)),""),"")</f>
        <v/>
      </c>
    </row>
    <row r="703">
      <c r="A703" t="n">
        <v>702</v>
      </c>
      <c r="B703">
        <f>IFERROR(INDEX(RawBits!$A:$A,MATCH($A703,RawBits!$H:$H,0)),"?")</f>
        <v/>
      </c>
      <c r="C703">
        <f>IFERROR(INDEX(RawBits!$G:$G,MATCH($A703,RawBits!$H:$H,0)),"")</f>
        <v/>
      </c>
      <c r="D703">
        <f>IFERROR(IF(AND(A703&gt;=129,A703&lt;=2176),INDEX(Fields!$B$2:$B$206,MATCH(A703-129,Fields!$D$2:$D$206,1)),""),"")</f>
        <v/>
      </c>
      <c r="E703">
        <f>IFERROR(IF(AND(A703&gt;=129,A703&lt;=2176),INDEX(Fields!$C$2:$C$206,MATCH(A703-129,Fields!$D$2:$D$206,1)),""),"")</f>
        <v/>
      </c>
    </row>
    <row r="704">
      <c r="A704" t="n">
        <v>703</v>
      </c>
      <c r="B704">
        <f>IFERROR(INDEX(RawBits!$A:$A,MATCH($A704,RawBits!$H:$H,0)),"?")</f>
        <v/>
      </c>
      <c r="C704">
        <f>IFERROR(INDEX(RawBits!$G:$G,MATCH($A704,RawBits!$H:$H,0)),"")</f>
        <v/>
      </c>
      <c r="D704">
        <f>IFERROR(IF(AND(A704&gt;=129,A704&lt;=2176),INDEX(Fields!$B$2:$B$206,MATCH(A704-129,Fields!$D$2:$D$206,1)),""),"")</f>
        <v/>
      </c>
      <c r="E704">
        <f>IFERROR(IF(AND(A704&gt;=129,A704&lt;=2176),INDEX(Fields!$C$2:$C$206,MATCH(A704-129,Fields!$D$2:$D$206,1)),""),"")</f>
        <v/>
      </c>
    </row>
    <row r="705">
      <c r="A705" t="n">
        <v>704</v>
      </c>
      <c r="B705">
        <f>IFERROR(INDEX(RawBits!$A:$A,MATCH($A705,RawBits!$H:$H,0)),"?")</f>
        <v/>
      </c>
      <c r="C705">
        <f>IFERROR(INDEX(RawBits!$G:$G,MATCH($A705,RawBits!$H:$H,0)),"")</f>
        <v/>
      </c>
      <c r="D705">
        <f>IFERROR(IF(AND(A705&gt;=129,A705&lt;=2176),INDEX(Fields!$B$2:$B$206,MATCH(A705-129,Fields!$D$2:$D$206,1)),""),"")</f>
        <v/>
      </c>
      <c r="E705">
        <f>IFERROR(IF(AND(A705&gt;=129,A705&lt;=2176),INDEX(Fields!$C$2:$C$206,MATCH(A705-129,Fields!$D$2:$D$206,1)),""),"")</f>
        <v/>
      </c>
    </row>
    <row r="706">
      <c r="A706" t="n">
        <v>705</v>
      </c>
      <c r="B706">
        <f>IFERROR(INDEX(RawBits!$A:$A,MATCH($A706,RawBits!$H:$H,0)),"?")</f>
        <v/>
      </c>
      <c r="C706">
        <f>IFERROR(INDEX(RawBits!$G:$G,MATCH($A706,RawBits!$H:$H,0)),"")</f>
        <v/>
      </c>
      <c r="D706">
        <f>IFERROR(IF(AND(A706&gt;=129,A706&lt;=2176),INDEX(Fields!$B$2:$B$206,MATCH(A706-129,Fields!$D$2:$D$206,1)),""),"")</f>
        <v/>
      </c>
      <c r="E706">
        <f>IFERROR(IF(AND(A706&gt;=129,A706&lt;=2176),INDEX(Fields!$C$2:$C$206,MATCH(A706-129,Fields!$D$2:$D$206,1)),""),"")</f>
        <v/>
      </c>
    </row>
    <row r="707">
      <c r="A707" t="n">
        <v>706</v>
      </c>
      <c r="B707">
        <f>IFERROR(INDEX(RawBits!$A:$A,MATCH($A707,RawBits!$H:$H,0)),"?")</f>
        <v/>
      </c>
      <c r="C707">
        <f>IFERROR(INDEX(RawBits!$G:$G,MATCH($A707,RawBits!$H:$H,0)),"")</f>
        <v/>
      </c>
      <c r="D707">
        <f>IFERROR(IF(AND(A707&gt;=129,A707&lt;=2176),INDEX(Fields!$B$2:$B$206,MATCH(A707-129,Fields!$D$2:$D$206,1)),""),"")</f>
        <v/>
      </c>
      <c r="E707">
        <f>IFERROR(IF(AND(A707&gt;=129,A707&lt;=2176),INDEX(Fields!$C$2:$C$206,MATCH(A707-129,Fields!$D$2:$D$206,1)),""),"")</f>
        <v/>
      </c>
    </row>
    <row r="708">
      <c r="A708" t="n">
        <v>707</v>
      </c>
      <c r="B708">
        <f>IFERROR(INDEX(RawBits!$A:$A,MATCH($A708,RawBits!$H:$H,0)),"?")</f>
        <v/>
      </c>
      <c r="C708">
        <f>IFERROR(INDEX(RawBits!$G:$G,MATCH($A708,RawBits!$H:$H,0)),"")</f>
        <v/>
      </c>
      <c r="D708">
        <f>IFERROR(IF(AND(A708&gt;=129,A708&lt;=2176),INDEX(Fields!$B$2:$B$206,MATCH(A708-129,Fields!$D$2:$D$206,1)),""),"")</f>
        <v/>
      </c>
      <c r="E708">
        <f>IFERROR(IF(AND(A708&gt;=129,A708&lt;=2176),INDEX(Fields!$C$2:$C$206,MATCH(A708-129,Fields!$D$2:$D$206,1)),""),"")</f>
        <v/>
      </c>
    </row>
    <row r="709">
      <c r="A709" t="n">
        <v>708</v>
      </c>
      <c r="B709">
        <f>IFERROR(INDEX(RawBits!$A:$A,MATCH($A709,RawBits!$H:$H,0)),"?")</f>
        <v/>
      </c>
      <c r="C709">
        <f>IFERROR(INDEX(RawBits!$G:$G,MATCH($A709,RawBits!$H:$H,0)),"")</f>
        <v/>
      </c>
      <c r="D709">
        <f>IFERROR(IF(AND(A709&gt;=129,A709&lt;=2176),INDEX(Fields!$B$2:$B$206,MATCH(A709-129,Fields!$D$2:$D$206,1)),""),"")</f>
        <v/>
      </c>
      <c r="E709">
        <f>IFERROR(IF(AND(A709&gt;=129,A709&lt;=2176),INDEX(Fields!$C$2:$C$206,MATCH(A709-129,Fields!$D$2:$D$206,1)),""),"")</f>
        <v/>
      </c>
    </row>
    <row r="710">
      <c r="A710" t="n">
        <v>709</v>
      </c>
      <c r="B710">
        <f>IFERROR(INDEX(RawBits!$A:$A,MATCH($A710,RawBits!$H:$H,0)),"?")</f>
        <v/>
      </c>
      <c r="C710">
        <f>IFERROR(INDEX(RawBits!$G:$G,MATCH($A710,RawBits!$H:$H,0)),"")</f>
        <v/>
      </c>
      <c r="D710">
        <f>IFERROR(IF(AND(A710&gt;=129,A710&lt;=2176),INDEX(Fields!$B$2:$B$206,MATCH(A710-129,Fields!$D$2:$D$206,1)),""),"")</f>
        <v/>
      </c>
      <c r="E710">
        <f>IFERROR(IF(AND(A710&gt;=129,A710&lt;=2176),INDEX(Fields!$C$2:$C$206,MATCH(A710-129,Fields!$D$2:$D$206,1)),""),"")</f>
        <v/>
      </c>
    </row>
    <row r="711">
      <c r="A711" t="n">
        <v>710</v>
      </c>
      <c r="B711">
        <f>IFERROR(INDEX(RawBits!$A:$A,MATCH($A711,RawBits!$H:$H,0)),"?")</f>
        <v/>
      </c>
      <c r="C711">
        <f>IFERROR(INDEX(RawBits!$G:$G,MATCH($A711,RawBits!$H:$H,0)),"")</f>
        <v/>
      </c>
      <c r="D711">
        <f>IFERROR(IF(AND(A711&gt;=129,A711&lt;=2176),INDEX(Fields!$B$2:$B$206,MATCH(A711-129,Fields!$D$2:$D$206,1)),""),"")</f>
        <v/>
      </c>
      <c r="E711">
        <f>IFERROR(IF(AND(A711&gt;=129,A711&lt;=2176),INDEX(Fields!$C$2:$C$206,MATCH(A711-129,Fields!$D$2:$D$206,1)),""),"")</f>
        <v/>
      </c>
    </row>
    <row r="712">
      <c r="A712" t="n">
        <v>711</v>
      </c>
      <c r="B712">
        <f>IFERROR(INDEX(RawBits!$A:$A,MATCH($A712,RawBits!$H:$H,0)),"?")</f>
        <v/>
      </c>
      <c r="C712">
        <f>IFERROR(INDEX(RawBits!$G:$G,MATCH($A712,RawBits!$H:$H,0)),"")</f>
        <v/>
      </c>
      <c r="D712">
        <f>IFERROR(IF(AND(A712&gt;=129,A712&lt;=2176),INDEX(Fields!$B$2:$B$206,MATCH(A712-129,Fields!$D$2:$D$206,1)),""),"")</f>
        <v/>
      </c>
      <c r="E712">
        <f>IFERROR(IF(AND(A712&gt;=129,A712&lt;=2176),INDEX(Fields!$C$2:$C$206,MATCH(A712-129,Fields!$D$2:$D$206,1)),""),"")</f>
        <v/>
      </c>
    </row>
    <row r="713">
      <c r="A713" t="n">
        <v>712</v>
      </c>
      <c r="B713">
        <f>IFERROR(INDEX(RawBits!$A:$A,MATCH($A713,RawBits!$H:$H,0)),"?")</f>
        <v/>
      </c>
      <c r="C713">
        <f>IFERROR(INDEX(RawBits!$G:$G,MATCH($A713,RawBits!$H:$H,0)),"")</f>
        <v/>
      </c>
      <c r="D713">
        <f>IFERROR(IF(AND(A713&gt;=129,A713&lt;=2176),INDEX(Fields!$B$2:$B$206,MATCH(A713-129,Fields!$D$2:$D$206,1)),""),"")</f>
        <v/>
      </c>
      <c r="E713">
        <f>IFERROR(IF(AND(A713&gt;=129,A713&lt;=2176),INDEX(Fields!$C$2:$C$206,MATCH(A713-129,Fields!$D$2:$D$206,1)),""),"")</f>
        <v/>
      </c>
    </row>
    <row r="714">
      <c r="A714" t="n">
        <v>713</v>
      </c>
      <c r="B714">
        <f>IFERROR(INDEX(RawBits!$A:$A,MATCH($A714,RawBits!$H:$H,0)),"?")</f>
        <v/>
      </c>
      <c r="C714">
        <f>IFERROR(INDEX(RawBits!$G:$G,MATCH($A714,RawBits!$H:$H,0)),"")</f>
        <v/>
      </c>
      <c r="D714">
        <f>IFERROR(IF(AND(A714&gt;=129,A714&lt;=2176),INDEX(Fields!$B$2:$B$206,MATCH(A714-129,Fields!$D$2:$D$206,1)),""),"")</f>
        <v/>
      </c>
      <c r="E714">
        <f>IFERROR(IF(AND(A714&gt;=129,A714&lt;=2176),INDEX(Fields!$C$2:$C$206,MATCH(A714-129,Fields!$D$2:$D$206,1)),""),"")</f>
        <v/>
      </c>
    </row>
    <row r="715">
      <c r="A715" t="n">
        <v>714</v>
      </c>
      <c r="B715">
        <f>IFERROR(INDEX(RawBits!$A:$A,MATCH($A715,RawBits!$H:$H,0)),"?")</f>
        <v/>
      </c>
      <c r="C715">
        <f>IFERROR(INDEX(RawBits!$G:$G,MATCH($A715,RawBits!$H:$H,0)),"")</f>
        <v/>
      </c>
      <c r="D715">
        <f>IFERROR(IF(AND(A715&gt;=129,A715&lt;=2176),INDEX(Fields!$B$2:$B$206,MATCH(A715-129,Fields!$D$2:$D$206,1)),""),"")</f>
        <v/>
      </c>
      <c r="E715">
        <f>IFERROR(IF(AND(A715&gt;=129,A715&lt;=2176),INDEX(Fields!$C$2:$C$206,MATCH(A715-129,Fields!$D$2:$D$206,1)),""),"")</f>
        <v/>
      </c>
    </row>
    <row r="716">
      <c r="A716" t="n">
        <v>715</v>
      </c>
      <c r="B716">
        <f>IFERROR(INDEX(RawBits!$A:$A,MATCH($A716,RawBits!$H:$H,0)),"?")</f>
        <v/>
      </c>
      <c r="C716">
        <f>IFERROR(INDEX(RawBits!$G:$G,MATCH($A716,RawBits!$H:$H,0)),"")</f>
        <v/>
      </c>
      <c r="D716">
        <f>IFERROR(IF(AND(A716&gt;=129,A716&lt;=2176),INDEX(Fields!$B$2:$B$206,MATCH(A716-129,Fields!$D$2:$D$206,1)),""),"")</f>
        <v/>
      </c>
      <c r="E716">
        <f>IFERROR(IF(AND(A716&gt;=129,A716&lt;=2176),INDEX(Fields!$C$2:$C$206,MATCH(A716-129,Fields!$D$2:$D$206,1)),""),"")</f>
        <v/>
      </c>
    </row>
    <row r="717">
      <c r="A717" t="n">
        <v>716</v>
      </c>
      <c r="B717">
        <f>IFERROR(INDEX(RawBits!$A:$A,MATCH($A717,RawBits!$H:$H,0)),"?")</f>
        <v/>
      </c>
      <c r="C717">
        <f>IFERROR(INDEX(RawBits!$G:$G,MATCH($A717,RawBits!$H:$H,0)),"")</f>
        <v/>
      </c>
      <c r="D717">
        <f>IFERROR(IF(AND(A717&gt;=129,A717&lt;=2176),INDEX(Fields!$B$2:$B$206,MATCH(A717-129,Fields!$D$2:$D$206,1)),""),"")</f>
        <v/>
      </c>
      <c r="E717">
        <f>IFERROR(IF(AND(A717&gt;=129,A717&lt;=2176),INDEX(Fields!$C$2:$C$206,MATCH(A717-129,Fields!$D$2:$D$206,1)),""),"")</f>
        <v/>
      </c>
    </row>
    <row r="718">
      <c r="A718" t="n">
        <v>717</v>
      </c>
      <c r="B718">
        <f>IFERROR(INDEX(RawBits!$A:$A,MATCH($A718,RawBits!$H:$H,0)),"?")</f>
        <v/>
      </c>
      <c r="C718">
        <f>IFERROR(INDEX(RawBits!$G:$G,MATCH($A718,RawBits!$H:$H,0)),"")</f>
        <v/>
      </c>
      <c r="D718">
        <f>IFERROR(IF(AND(A718&gt;=129,A718&lt;=2176),INDEX(Fields!$B$2:$B$206,MATCH(A718-129,Fields!$D$2:$D$206,1)),""),"")</f>
        <v/>
      </c>
      <c r="E718">
        <f>IFERROR(IF(AND(A718&gt;=129,A718&lt;=2176),INDEX(Fields!$C$2:$C$206,MATCH(A718-129,Fields!$D$2:$D$206,1)),""),"")</f>
        <v/>
      </c>
    </row>
    <row r="719">
      <c r="A719" t="n">
        <v>718</v>
      </c>
      <c r="B719">
        <f>IFERROR(INDEX(RawBits!$A:$A,MATCH($A719,RawBits!$H:$H,0)),"?")</f>
        <v/>
      </c>
      <c r="C719">
        <f>IFERROR(INDEX(RawBits!$G:$G,MATCH($A719,RawBits!$H:$H,0)),"")</f>
        <v/>
      </c>
      <c r="D719">
        <f>IFERROR(IF(AND(A719&gt;=129,A719&lt;=2176),INDEX(Fields!$B$2:$B$206,MATCH(A719-129,Fields!$D$2:$D$206,1)),""),"")</f>
        <v/>
      </c>
      <c r="E719">
        <f>IFERROR(IF(AND(A719&gt;=129,A719&lt;=2176),INDEX(Fields!$C$2:$C$206,MATCH(A719-129,Fields!$D$2:$D$206,1)),""),"")</f>
        <v/>
      </c>
    </row>
    <row r="720">
      <c r="A720" t="n">
        <v>719</v>
      </c>
      <c r="B720">
        <f>IFERROR(INDEX(RawBits!$A:$A,MATCH($A720,RawBits!$H:$H,0)),"?")</f>
        <v/>
      </c>
      <c r="C720">
        <f>IFERROR(INDEX(RawBits!$G:$G,MATCH($A720,RawBits!$H:$H,0)),"")</f>
        <v/>
      </c>
      <c r="D720">
        <f>IFERROR(IF(AND(A720&gt;=129,A720&lt;=2176),INDEX(Fields!$B$2:$B$206,MATCH(A720-129,Fields!$D$2:$D$206,1)),""),"")</f>
        <v/>
      </c>
      <c r="E720">
        <f>IFERROR(IF(AND(A720&gt;=129,A720&lt;=2176),INDEX(Fields!$C$2:$C$206,MATCH(A720-129,Fields!$D$2:$D$206,1)),""),"")</f>
        <v/>
      </c>
    </row>
    <row r="721">
      <c r="A721" t="n">
        <v>720</v>
      </c>
      <c r="B721">
        <f>IFERROR(INDEX(RawBits!$A:$A,MATCH($A721,RawBits!$H:$H,0)),"?")</f>
        <v/>
      </c>
      <c r="C721">
        <f>IFERROR(INDEX(RawBits!$G:$G,MATCH($A721,RawBits!$H:$H,0)),"")</f>
        <v/>
      </c>
      <c r="D721">
        <f>IFERROR(IF(AND(A721&gt;=129,A721&lt;=2176),INDEX(Fields!$B$2:$B$206,MATCH(A721-129,Fields!$D$2:$D$206,1)),""),"")</f>
        <v/>
      </c>
      <c r="E721">
        <f>IFERROR(IF(AND(A721&gt;=129,A721&lt;=2176),INDEX(Fields!$C$2:$C$206,MATCH(A721-129,Fields!$D$2:$D$206,1)),""),"")</f>
        <v/>
      </c>
    </row>
    <row r="722">
      <c r="A722" t="n">
        <v>721</v>
      </c>
      <c r="B722">
        <f>IFERROR(INDEX(RawBits!$A:$A,MATCH($A722,RawBits!$H:$H,0)),"?")</f>
        <v/>
      </c>
      <c r="C722">
        <f>IFERROR(INDEX(RawBits!$G:$G,MATCH($A722,RawBits!$H:$H,0)),"")</f>
        <v/>
      </c>
      <c r="D722">
        <f>IFERROR(IF(AND(A722&gt;=129,A722&lt;=2176),INDEX(Fields!$B$2:$B$206,MATCH(A722-129,Fields!$D$2:$D$206,1)),""),"")</f>
        <v/>
      </c>
      <c r="E722">
        <f>IFERROR(IF(AND(A722&gt;=129,A722&lt;=2176),INDEX(Fields!$C$2:$C$206,MATCH(A722-129,Fields!$D$2:$D$206,1)),""),"")</f>
        <v/>
      </c>
    </row>
    <row r="723">
      <c r="A723" t="n">
        <v>722</v>
      </c>
      <c r="B723">
        <f>IFERROR(INDEX(RawBits!$A:$A,MATCH($A723,RawBits!$H:$H,0)),"?")</f>
        <v/>
      </c>
      <c r="C723">
        <f>IFERROR(INDEX(RawBits!$G:$G,MATCH($A723,RawBits!$H:$H,0)),"")</f>
        <v/>
      </c>
      <c r="D723">
        <f>IFERROR(IF(AND(A723&gt;=129,A723&lt;=2176),INDEX(Fields!$B$2:$B$206,MATCH(A723-129,Fields!$D$2:$D$206,1)),""),"")</f>
        <v/>
      </c>
      <c r="E723">
        <f>IFERROR(IF(AND(A723&gt;=129,A723&lt;=2176),INDEX(Fields!$C$2:$C$206,MATCH(A723-129,Fields!$D$2:$D$206,1)),""),"")</f>
        <v/>
      </c>
    </row>
    <row r="724">
      <c r="A724" t="n">
        <v>723</v>
      </c>
      <c r="B724">
        <f>IFERROR(INDEX(RawBits!$A:$A,MATCH($A724,RawBits!$H:$H,0)),"?")</f>
        <v/>
      </c>
      <c r="C724">
        <f>IFERROR(INDEX(RawBits!$G:$G,MATCH($A724,RawBits!$H:$H,0)),"")</f>
        <v/>
      </c>
      <c r="D724">
        <f>IFERROR(IF(AND(A724&gt;=129,A724&lt;=2176),INDEX(Fields!$B$2:$B$206,MATCH(A724-129,Fields!$D$2:$D$206,1)),""),"")</f>
        <v/>
      </c>
      <c r="E724">
        <f>IFERROR(IF(AND(A724&gt;=129,A724&lt;=2176),INDEX(Fields!$C$2:$C$206,MATCH(A724-129,Fields!$D$2:$D$206,1)),""),"")</f>
        <v/>
      </c>
    </row>
    <row r="725">
      <c r="A725" t="n">
        <v>724</v>
      </c>
      <c r="B725">
        <f>IFERROR(INDEX(RawBits!$A:$A,MATCH($A725,RawBits!$H:$H,0)),"?")</f>
        <v/>
      </c>
      <c r="C725">
        <f>IFERROR(INDEX(RawBits!$G:$G,MATCH($A725,RawBits!$H:$H,0)),"")</f>
        <v/>
      </c>
      <c r="D725">
        <f>IFERROR(IF(AND(A725&gt;=129,A725&lt;=2176),INDEX(Fields!$B$2:$B$206,MATCH(A725-129,Fields!$D$2:$D$206,1)),""),"")</f>
        <v/>
      </c>
      <c r="E725">
        <f>IFERROR(IF(AND(A725&gt;=129,A725&lt;=2176),INDEX(Fields!$C$2:$C$206,MATCH(A725-129,Fields!$D$2:$D$206,1)),""),"")</f>
        <v/>
      </c>
    </row>
    <row r="726">
      <c r="A726" t="n">
        <v>725</v>
      </c>
      <c r="B726">
        <f>IFERROR(INDEX(RawBits!$A:$A,MATCH($A726,RawBits!$H:$H,0)),"?")</f>
        <v/>
      </c>
      <c r="C726">
        <f>IFERROR(INDEX(RawBits!$G:$G,MATCH($A726,RawBits!$H:$H,0)),"")</f>
        <v/>
      </c>
      <c r="D726">
        <f>IFERROR(IF(AND(A726&gt;=129,A726&lt;=2176),INDEX(Fields!$B$2:$B$206,MATCH(A726-129,Fields!$D$2:$D$206,1)),""),"")</f>
        <v/>
      </c>
      <c r="E726">
        <f>IFERROR(IF(AND(A726&gt;=129,A726&lt;=2176),INDEX(Fields!$C$2:$C$206,MATCH(A726-129,Fields!$D$2:$D$206,1)),""),"")</f>
        <v/>
      </c>
    </row>
    <row r="727">
      <c r="A727" t="n">
        <v>726</v>
      </c>
      <c r="B727">
        <f>IFERROR(INDEX(RawBits!$A:$A,MATCH($A727,RawBits!$H:$H,0)),"?")</f>
        <v/>
      </c>
      <c r="C727">
        <f>IFERROR(INDEX(RawBits!$G:$G,MATCH($A727,RawBits!$H:$H,0)),"")</f>
        <v/>
      </c>
      <c r="D727">
        <f>IFERROR(IF(AND(A727&gt;=129,A727&lt;=2176),INDEX(Fields!$B$2:$B$206,MATCH(A727-129,Fields!$D$2:$D$206,1)),""),"")</f>
        <v/>
      </c>
      <c r="E727">
        <f>IFERROR(IF(AND(A727&gt;=129,A727&lt;=2176),INDEX(Fields!$C$2:$C$206,MATCH(A727-129,Fields!$D$2:$D$206,1)),""),"")</f>
        <v/>
      </c>
    </row>
    <row r="728">
      <c r="A728" t="n">
        <v>727</v>
      </c>
      <c r="B728">
        <f>IFERROR(INDEX(RawBits!$A:$A,MATCH($A728,RawBits!$H:$H,0)),"?")</f>
        <v/>
      </c>
      <c r="C728">
        <f>IFERROR(INDEX(RawBits!$G:$G,MATCH($A728,RawBits!$H:$H,0)),"")</f>
        <v/>
      </c>
      <c r="D728">
        <f>IFERROR(IF(AND(A728&gt;=129,A728&lt;=2176),INDEX(Fields!$B$2:$B$206,MATCH(A728-129,Fields!$D$2:$D$206,1)),""),"")</f>
        <v/>
      </c>
      <c r="E728">
        <f>IFERROR(IF(AND(A728&gt;=129,A728&lt;=2176),INDEX(Fields!$C$2:$C$206,MATCH(A728-129,Fields!$D$2:$D$206,1)),""),"")</f>
        <v/>
      </c>
    </row>
    <row r="729">
      <c r="A729" t="n">
        <v>728</v>
      </c>
      <c r="B729">
        <f>IFERROR(INDEX(RawBits!$A:$A,MATCH($A729,RawBits!$H:$H,0)),"?")</f>
        <v/>
      </c>
      <c r="C729">
        <f>IFERROR(INDEX(RawBits!$G:$G,MATCH($A729,RawBits!$H:$H,0)),"")</f>
        <v/>
      </c>
      <c r="D729">
        <f>IFERROR(IF(AND(A729&gt;=129,A729&lt;=2176),INDEX(Fields!$B$2:$B$206,MATCH(A729-129,Fields!$D$2:$D$206,1)),""),"")</f>
        <v/>
      </c>
      <c r="E729">
        <f>IFERROR(IF(AND(A729&gt;=129,A729&lt;=2176),INDEX(Fields!$C$2:$C$206,MATCH(A729-129,Fields!$D$2:$D$206,1)),""),"")</f>
        <v/>
      </c>
    </row>
    <row r="730">
      <c r="A730" t="n">
        <v>729</v>
      </c>
      <c r="B730">
        <f>IFERROR(INDEX(RawBits!$A:$A,MATCH($A730,RawBits!$H:$H,0)),"?")</f>
        <v/>
      </c>
      <c r="C730">
        <f>IFERROR(INDEX(RawBits!$G:$G,MATCH($A730,RawBits!$H:$H,0)),"")</f>
        <v/>
      </c>
      <c r="D730">
        <f>IFERROR(IF(AND(A730&gt;=129,A730&lt;=2176),INDEX(Fields!$B$2:$B$206,MATCH(A730-129,Fields!$D$2:$D$206,1)),""),"")</f>
        <v/>
      </c>
      <c r="E730">
        <f>IFERROR(IF(AND(A730&gt;=129,A730&lt;=2176),INDEX(Fields!$C$2:$C$206,MATCH(A730-129,Fields!$D$2:$D$206,1)),""),"")</f>
        <v/>
      </c>
    </row>
    <row r="731">
      <c r="A731" t="n">
        <v>730</v>
      </c>
      <c r="B731">
        <f>IFERROR(INDEX(RawBits!$A:$A,MATCH($A731,RawBits!$H:$H,0)),"?")</f>
        <v/>
      </c>
      <c r="C731">
        <f>IFERROR(INDEX(RawBits!$G:$G,MATCH($A731,RawBits!$H:$H,0)),"")</f>
        <v/>
      </c>
      <c r="D731">
        <f>IFERROR(IF(AND(A731&gt;=129,A731&lt;=2176),INDEX(Fields!$B$2:$B$206,MATCH(A731-129,Fields!$D$2:$D$206,1)),""),"")</f>
        <v/>
      </c>
      <c r="E731">
        <f>IFERROR(IF(AND(A731&gt;=129,A731&lt;=2176),INDEX(Fields!$C$2:$C$206,MATCH(A731-129,Fields!$D$2:$D$206,1)),""),"")</f>
        <v/>
      </c>
    </row>
    <row r="732">
      <c r="A732" t="n">
        <v>731</v>
      </c>
      <c r="B732">
        <f>IFERROR(INDEX(RawBits!$A:$A,MATCH($A732,RawBits!$H:$H,0)),"?")</f>
        <v/>
      </c>
      <c r="C732">
        <f>IFERROR(INDEX(RawBits!$G:$G,MATCH($A732,RawBits!$H:$H,0)),"")</f>
        <v/>
      </c>
      <c r="D732">
        <f>IFERROR(IF(AND(A732&gt;=129,A732&lt;=2176),INDEX(Fields!$B$2:$B$206,MATCH(A732-129,Fields!$D$2:$D$206,1)),""),"")</f>
        <v/>
      </c>
      <c r="E732">
        <f>IFERROR(IF(AND(A732&gt;=129,A732&lt;=2176),INDEX(Fields!$C$2:$C$206,MATCH(A732-129,Fields!$D$2:$D$206,1)),""),"")</f>
        <v/>
      </c>
    </row>
    <row r="733">
      <c r="A733" t="n">
        <v>732</v>
      </c>
      <c r="B733">
        <f>IFERROR(INDEX(RawBits!$A:$A,MATCH($A733,RawBits!$H:$H,0)),"?")</f>
        <v/>
      </c>
      <c r="C733">
        <f>IFERROR(INDEX(RawBits!$G:$G,MATCH($A733,RawBits!$H:$H,0)),"")</f>
        <v/>
      </c>
      <c r="D733">
        <f>IFERROR(IF(AND(A733&gt;=129,A733&lt;=2176),INDEX(Fields!$B$2:$B$206,MATCH(A733-129,Fields!$D$2:$D$206,1)),""),"")</f>
        <v/>
      </c>
      <c r="E733">
        <f>IFERROR(IF(AND(A733&gt;=129,A733&lt;=2176),INDEX(Fields!$C$2:$C$206,MATCH(A733-129,Fields!$D$2:$D$206,1)),""),"")</f>
        <v/>
      </c>
    </row>
    <row r="734">
      <c r="A734" t="n">
        <v>733</v>
      </c>
      <c r="B734">
        <f>IFERROR(INDEX(RawBits!$A:$A,MATCH($A734,RawBits!$H:$H,0)),"?")</f>
        <v/>
      </c>
      <c r="C734">
        <f>IFERROR(INDEX(RawBits!$G:$G,MATCH($A734,RawBits!$H:$H,0)),"")</f>
        <v/>
      </c>
      <c r="D734">
        <f>IFERROR(IF(AND(A734&gt;=129,A734&lt;=2176),INDEX(Fields!$B$2:$B$206,MATCH(A734-129,Fields!$D$2:$D$206,1)),""),"")</f>
        <v/>
      </c>
      <c r="E734">
        <f>IFERROR(IF(AND(A734&gt;=129,A734&lt;=2176),INDEX(Fields!$C$2:$C$206,MATCH(A734-129,Fields!$D$2:$D$206,1)),""),"")</f>
        <v/>
      </c>
    </row>
    <row r="735">
      <c r="A735" t="n">
        <v>734</v>
      </c>
      <c r="B735">
        <f>IFERROR(INDEX(RawBits!$A:$A,MATCH($A735,RawBits!$H:$H,0)),"?")</f>
        <v/>
      </c>
      <c r="C735">
        <f>IFERROR(INDEX(RawBits!$G:$G,MATCH($A735,RawBits!$H:$H,0)),"")</f>
        <v/>
      </c>
      <c r="D735">
        <f>IFERROR(IF(AND(A735&gt;=129,A735&lt;=2176),INDEX(Fields!$B$2:$B$206,MATCH(A735-129,Fields!$D$2:$D$206,1)),""),"")</f>
        <v/>
      </c>
      <c r="E735">
        <f>IFERROR(IF(AND(A735&gt;=129,A735&lt;=2176),INDEX(Fields!$C$2:$C$206,MATCH(A735-129,Fields!$D$2:$D$206,1)),""),"")</f>
        <v/>
      </c>
    </row>
    <row r="736">
      <c r="A736" t="n">
        <v>735</v>
      </c>
      <c r="B736">
        <f>IFERROR(INDEX(RawBits!$A:$A,MATCH($A736,RawBits!$H:$H,0)),"?")</f>
        <v/>
      </c>
      <c r="C736">
        <f>IFERROR(INDEX(RawBits!$G:$G,MATCH($A736,RawBits!$H:$H,0)),"")</f>
        <v/>
      </c>
      <c r="D736">
        <f>IFERROR(IF(AND(A736&gt;=129,A736&lt;=2176),INDEX(Fields!$B$2:$B$206,MATCH(A736-129,Fields!$D$2:$D$206,1)),""),"")</f>
        <v/>
      </c>
      <c r="E736">
        <f>IFERROR(IF(AND(A736&gt;=129,A736&lt;=2176),INDEX(Fields!$C$2:$C$206,MATCH(A736-129,Fields!$D$2:$D$206,1)),""),"")</f>
        <v/>
      </c>
    </row>
    <row r="737">
      <c r="A737" t="n">
        <v>736</v>
      </c>
      <c r="B737">
        <f>IFERROR(INDEX(RawBits!$A:$A,MATCH($A737,RawBits!$H:$H,0)),"?")</f>
        <v/>
      </c>
      <c r="C737">
        <f>IFERROR(INDEX(RawBits!$G:$G,MATCH($A737,RawBits!$H:$H,0)),"")</f>
        <v/>
      </c>
      <c r="D737">
        <f>IFERROR(IF(AND(A737&gt;=129,A737&lt;=2176),INDEX(Fields!$B$2:$B$206,MATCH(A737-129,Fields!$D$2:$D$206,1)),""),"")</f>
        <v/>
      </c>
      <c r="E737">
        <f>IFERROR(IF(AND(A737&gt;=129,A737&lt;=2176),INDEX(Fields!$C$2:$C$206,MATCH(A737-129,Fields!$D$2:$D$206,1)),""),"")</f>
        <v/>
      </c>
    </row>
    <row r="738">
      <c r="A738" t="n">
        <v>737</v>
      </c>
      <c r="B738">
        <f>IFERROR(INDEX(RawBits!$A:$A,MATCH($A738,RawBits!$H:$H,0)),"?")</f>
        <v/>
      </c>
      <c r="C738">
        <f>IFERROR(INDEX(RawBits!$G:$G,MATCH($A738,RawBits!$H:$H,0)),"")</f>
        <v/>
      </c>
      <c r="D738">
        <f>IFERROR(IF(AND(A738&gt;=129,A738&lt;=2176),INDEX(Fields!$B$2:$B$206,MATCH(A738-129,Fields!$D$2:$D$206,1)),""),"")</f>
        <v/>
      </c>
      <c r="E738">
        <f>IFERROR(IF(AND(A738&gt;=129,A738&lt;=2176),INDEX(Fields!$C$2:$C$206,MATCH(A738-129,Fields!$D$2:$D$206,1)),""),"")</f>
        <v/>
      </c>
    </row>
    <row r="739">
      <c r="A739" t="n">
        <v>738</v>
      </c>
      <c r="B739">
        <f>IFERROR(INDEX(RawBits!$A:$A,MATCH($A739,RawBits!$H:$H,0)),"?")</f>
        <v/>
      </c>
      <c r="C739">
        <f>IFERROR(INDEX(RawBits!$G:$G,MATCH($A739,RawBits!$H:$H,0)),"")</f>
        <v/>
      </c>
      <c r="D739">
        <f>IFERROR(IF(AND(A739&gt;=129,A739&lt;=2176),INDEX(Fields!$B$2:$B$206,MATCH(A739-129,Fields!$D$2:$D$206,1)),""),"")</f>
        <v/>
      </c>
      <c r="E739">
        <f>IFERROR(IF(AND(A739&gt;=129,A739&lt;=2176),INDEX(Fields!$C$2:$C$206,MATCH(A739-129,Fields!$D$2:$D$206,1)),""),"")</f>
        <v/>
      </c>
    </row>
    <row r="740">
      <c r="A740" t="n">
        <v>739</v>
      </c>
      <c r="B740">
        <f>IFERROR(INDEX(RawBits!$A:$A,MATCH($A740,RawBits!$H:$H,0)),"?")</f>
        <v/>
      </c>
      <c r="C740">
        <f>IFERROR(INDEX(RawBits!$G:$G,MATCH($A740,RawBits!$H:$H,0)),"")</f>
        <v/>
      </c>
      <c r="D740">
        <f>IFERROR(IF(AND(A740&gt;=129,A740&lt;=2176),INDEX(Fields!$B$2:$B$206,MATCH(A740-129,Fields!$D$2:$D$206,1)),""),"")</f>
        <v/>
      </c>
      <c r="E740">
        <f>IFERROR(IF(AND(A740&gt;=129,A740&lt;=2176),INDEX(Fields!$C$2:$C$206,MATCH(A740-129,Fields!$D$2:$D$206,1)),""),"")</f>
        <v/>
      </c>
    </row>
    <row r="741">
      <c r="A741" t="n">
        <v>740</v>
      </c>
      <c r="B741">
        <f>IFERROR(INDEX(RawBits!$A:$A,MATCH($A741,RawBits!$H:$H,0)),"?")</f>
        <v/>
      </c>
      <c r="C741">
        <f>IFERROR(INDEX(RawBits!$G:$G,MATCH($A741,RawBits!$H:$H,0)),"")</f>
        <v/>
      </c>
      <c r="D741">
        <f>IFERROR(IF(AND(A741&gt;=129,A741&lt;=2176),INDEX(Fields!$B$2:$B$206,MATCH(A741-129,Fields!$D$2:$D$206,1)),""),"")</f>
        <v/>
      </c>
      <c r="E741">
        <f>IFERROR(IF(AND(A741&gt;=129,A741&lt;=2176),INDEX(Fields!$C$2:$C$206,MATCH(A741-129,Fields!$D$2:$D$206,1)),""),"")</f>
        <v/>
      </c>
    </row>
    <row r="742">
      <c r="A742" t="n">
        <v>741</v>
      </c>
      <c r="B742">
        <f>IFERROR(INDEX(RawBits!$A:$A,MATCH($A742,RawBits!$H:$H,0)),"?")</f>
        <v/>
      </c>
      <c r="C742">
        <f>IFERROR(INDEX(RawBits!$G:$G,MATCH($A742,RawBits!$H:$H,0)),"")</f>
        <v/>
      </c>
      <c r="D742">
        <f>IFERROR(IF(AND(A742&gt;=129,A742&lt;=2176),INDEX(Fields!$B$2:$B$206,MATCH(A742-129,Fields!$D$2:$D$206,1)),""),"")</f>
        <v/>
      </c>
      <c r="E742">
        <f>IFERROR(IF(AND(A742&gt;=129,A742&lt;=2176),INDEX(Fields!$C$2:$C$206,MATCH(A742-129,Fields!$D$2:$D$206,1)),""),"")</f>
        <v/>
      </c>
    </row>
    <row r="743">
      <c r="A743" t="n">
        <v>742</v>
      </c>
      <c r="B743">
        <f>IFERROR(INDEX(RawBits!$A:$A,MATCH($A743,RawBits!$H:$H,0)),"?")</f>
        <v/>
      </c>
      <c r="C743">
        <f>IFERROR(INDEX(RawBits!$G:$G,MATCH($A743,RawBits!$H:$H,0)),"")</f>
        <v/>
      </c>
      <c r="D743">
        <f>IFERROR(IF(AND(A743&gt;=129,A743&lt;=2176),INDEX(Fields!$B$2:$B$206,MATCH(A743-129,Fields!$D$2:$D$206,1)),""),"")</f>
        <v/>
      </c>
      <c r="E743">
        <f>IFERROR(IF(AND(A743&gt;=129,A743&lt;=2176),INDEX(Fields!$C$2:$C$206,MATCH(A743-129,Fields!$D$2:$D$206,1)),""),"")</f>
        <v/>
      </c>
    </row>
    <row r="744">
      <c r="A744" t="n">
        <v>743</v>
      </c>
      <c r="B744">
        <f>IFERROR(INDEX(RawBits!$A:$A,MATCH($A744,RawBits!$H:$H,0)),"?")</f>
        <v/>
      </c>
      <c r="C744">
        <f>IFERROR(INDEX(RawBits!$G:$G,MATCH($A744,RawBits!$H:$H,0)),"")</f>
        <v/>
      </c>
      <c r="D744">
        <f>IFERROR(IF(AND(A744&gt;=129,A744&lt;=2176),INDEX(Fields!$B$2:$B$206,MATCH(A744-129,Fields!$D$2:$D$206,1)),""),"")</f>
        <v/>
      </c>
      <c r="E744">
        <f>IFERROR(IF(AND(A744&gt;=129,A744&lt;=2176),INDEX(Fields!$C$2:$C$206,MATCH(A744-129,Fields!$D$2:$D$206,1)),""),"")</f>
        <v/>
      </c>
    </row>
    <row r="745">
      <c r="A745" t="n">
        <v>744</v>
      </c>
      <c r="B745">
        <f>IFERROR(INDEX(RawBits!$A:$A,MATCH($A745,RawBits!$H:$H,0)),"?")</f>
        <v/>
      </c>
      <c r="C745">
        <f>IFERROR(INDEX(RawBits!$G:$G,MATCH($A745,RawBits!$H:$H,0)),"")</f>
        <v/>
      </c>
      <c r="D745">
        <f>IFERROR(IF(AND(A745&gt;=129,A745&lt;=2176),INDEX(Fields!$B$2:$B$206,MATCH(A745-129,Fields!$D$2:$D$206,1)),""),"")</f>
        <v/>
      </c>
      <c r="E745">
        <f>IFERROR(IF(AND(A745&gt;=129,A745&lt;=2176),INDEX(Fields!$C$2:$C$206,MATCH(A745-129,Fields!$D$2:$D$206,1)),""),"")</f>
        <v/>
      </c>
    </row>
    <row r="746">
      <c r="A746" t="n">
        <v>745</v>
      </c>
      <c r="B746">
        <f>IFERROR(INDEX(RawBits!$A:$A,MATCH($A746,RawBits!$H:$H,0)),"?")</f>
        <v/>
      </c>
      <c r="C746">
        <f>IFERROR(INDEX(RawBits!$G:$G,MATCH($A746,RawBits!$H:$H,0)),"")</f>
        <v/>
      </c>
      <c r="D746">
        <f>IFERROR(IF(AND(A746&gt;=129,A746&lt;=2176),INDEX(Fields!$B$2:$B$206,MATCH(A746-129,Fields!$D$2:$D$206,1)),""),"")</f>
        <v/>
      </c>
      <c r="E746">
        <f>IFERROR(IF(AND(A746&gt;=129,A746&lt;=2176),INDEX(Fields!$C$2:$C$206,MATCH(A746-129,Fields!$D$2:$D$206,1)),""),"")</f>
        <v/>
      </c>
    </row>
    <row r="747">
      <c r="A747" t="n">
        <v>746</v>
      </c>
      <c r="B747">
        <f>IFERROR(INDEX(RawBits!$A:$A,MATCH($A747,RawBits!$H:$H,0)),"?")</f>
        <v/>
      </c>
      <c r="C747">
        <f>IFERROR(INDEX(RawBits!$G:$G,MATCH($A747,RawBits!$H:$H,0)),"")</f>
        <v/>
      </c>
      <c r="D747">
        <f>IFERROR(IF(AND(A747&gt;=129,A747&lt;=2176),INDEX(Fields!$B$2:$B$206,MATCH(A747-129,Fields!$D$2:$D$206,1)),""),"")</f>
        <v/>
      </c>
      <c r="E747">
        <f>IFERROR(IF(AND(A747&gt;=129,A747&lt;=2176),INDEX(Fields!$C$2:$C$206,MATCH(A747-129,Fields!$D$2:$D$206,1)),""),"")</f>
        <v/>
      </c>
    </row>
    <row r="748">
      <c r="A748" t="n">
        <v>747</v>
      </c>
      <c r="B748">
        <f>IFERROR(INDEX(RawBits!$A:$A,MATCH($A748,RawBits!$H:$H,0)),"?")</f>
        <v/>
      </c>
      <c r="C748">
        <f>IFERROR(INDEX(RawBits!$G:$G,MATCH($A748,RawBits!$H:$H,0)),"")</f>
        <v/>
      </c>
      <c r="D748">
        <f>IFERROR(IF(AND(A748&gt;=129,A748&lt;=2176),INDEX(Fields!$B$2:$B$206,MATCH(A748-129,Fields!$D$2:$D$206,1)),""),"")</f>
        <v/>
      </c>
      <c r="E748">
        <f>IFERROR(IF(AND(A748&gt;=129,A748&lt;=2176),INDEX(Fields!$C$2:$C$206,MATCH(A748-129,Fields!$D$2:$D$206,1)),""),"")</f>
        <v/>
      </c>
    </row>
    <row r="749">
      <c r="A749" t="n">
        <v>748</v>
      </c>
      <c r="B749">
        <f>IFERROR(INDEX(RawBits!$A:$A,MATCH($A749,RawBits!$H:$H,0)),"?")</f>
        <v/>
      </c>
      <c r="C749">
        <f>IFERROR(INDEX(RawBits!$G:$G,MATCH($A749,RawBits!$H:$H,0)),"")</f>
        <v/>
      </c>
      <c r="D749">
        <f>IFERROR(IF(AND(A749&gt;=129,A749&lt;=2176),INDEX(Fields!$B$2:$B$206,MATCH(A749-129,Fields!$D$2:$D$206,1)),""),"")</f>
        <v/>
      </c>
      <c r="E749">
        <f>IFERROR(IF(AND(A749&gt;=129,A749&lt;=2176),INDEX(Fields!$C$2:$C$206,MATCH(A749-129,Fields!$D$2:$D$206,1)),""),"")</f>
        <v/>
      </c>
    </row>
    <row r="750">
      <c r="A750" t="n">
        <v>749</v>
      </c>
      <c r="B750">
        <f>IFERROR(INDEX(RawBits!$A:$A,MATCH($A750,RawBits!$H:$H,0)),"?")</f>
        <v/>
      </c>
      <c r="C750">
        <f>IFERROR(INDEX(RawBits!$G:$G,MATCH($A750,RawBits!$H:$H,0)),"")</f>
        <v/>
      </c>
      <c r="D750">
        <f>IFERROR(IF(AND(A750&gt;=129,A750&lt;=2176),INDEX(Fields!$B$2:$B$206,MATCH(A750-129,Fields!$D$2:$D$206,1)),""),"")</f>
        <v/>
      </c>
      <c r="E750">
        <f>IFERROR(IF(AND(A750&gt;=129,A750&lt;=2176),INDEX(Fields!$C$2:$C$206,MATCH(A750-129,Fields!$D$2:$D$206,1)),""),"")</f>
        <v/>
      </c>
    </row>
    <row r="751">
      <c r="A751" t="n">
        <v>750</v>
      </c>
      <c r="B751">
        <f>IFERROR(INDEX(RawBits!$A:$A,MATCH($A751,RawBits!$H:$H,0)),"?")</f>
        <v/>
      </c>
      <c r="C751">
        <f>IFERROR(INDEX(RawBits!$G:$G,MATCH($A751,RawBits!$H:$H,0)),"")</f>
        <v/>
      </c>
      <c r="D751">
        <f>IFERROR(IF(AND(A751&gt;=129,A751&lt;=2176),INDEX(Fields!$B$2:$B$206,MATCH(A751-129,Fields!$D$2:$D$206,1)),""),"")</f>
        <v/>
      </c>
      <c r="E751">
        <f>IFERROR(IF(AND(A751&gt;=129,A751&lt;=2176),INDEX(Fields!$C$2:$C$206,MATCH(A751-129,Fields!$D$2:$D$206,1)),""),"")</f>
        <v/>
      </c>
    </row>
    <row r="752">
      <c r="A752" t="n">
        <v>751</v>
      </c>
      <c r="B752">
        <f>IFERROR(INDEX(RawBits!$A:$A,MATCH($A752,RawBits!$H:$H,0)),"?")</f>
        <v/>
      </c>
      <c r="C752">
        <f>IFERROR(INDEX(RawBits!$G:$G,MATCH($A752,RawBits!$H:$H,0)),"")</f>
        <v/>
      </c>
      <c r="D752">
        <f>IFERROR(IF(AND(A752&gt;=129,A752&lt;=2176),INDEX(Fields!$B$2:$B$206,MATCH(A752-129,Fields!$D$2:$D$206,1)),""),"")</f>
        <v/>
      </c>
      <c r="E752">
        <f>IFERROR(IF(AND(A752&gt;=129,A752&lt;=2176),INDEX(Fields!$C$2:$C$206,MATCH(A752-129,Fields!$D$2:$D$206,1)),""),"")</f>
        <v/>
      </c>
    </row>
    <row r="753">
      <c r="A753" t="n">
        <v>752</v>
      </c>
      <c r="B753">
        <f>IFERROR(INDEX(RawBits!$A:$A,MATCH($A753,RawBits!$H:$H,0)),"?")</f>
        <v/>
      </c>
      <c r="C753">
        <f>IFERROR(INDEX(RawBits!$G:$G,MATCH($A753,RawBits!$H:$H,0)),"")</f>
        <v/>
      </c>
      <c r="D753">
        <f>IFERROR(IF(AND(A753&gt;=129,A753&lt;=2176),INDEX(Fields!$B$2:$B$206,MATCH(A753-129,Fields!$D$2:$D$206,1)),""),"")</f>
        <v/>
      </c>
      <c r="E753">
        <f>IFERROR(IF(AND(A753&gt;=129,A753&lt;=2176),INDEX(Fields!$C$2:$C$206,MATCH(A753-129,Fields!$D$2:$D$206,1)),""),"")</f>
        <v/>
      </c>
    </row>
    <row r="754">
      <c r="A754" t="n">
        <v>753</v>
      </c>
      <c r="B754">
        <f>IFERROR(INDEX(RawBits!$A:$A,MATCH($A754,RawBits!$H:$H,0)),"?")</f>
        <v/>
      </c>
      <c r="C754">
        <f>IFERROR(INDEX(RawBits!$G:$G,MATCH($A754,RawBits!$H:$H,0)),"")</f>
        <v/>
      </c>
      <c r="D754">
        <f>IFERROR(IF(AND(A754&gt;=129,A754&lt;=2176),INDEX(Fields!$B$2:$B$206,MATCH(A754-129,Fields!$D$2:$D$206,1)),""),"")</f>
        <v/>
      </c>
      <c r="E754">
        <f>IFERROR(IF(AND(A754&gt;=129,A754&lt;=2176),INDEX(Fields!$C$2:$C$206,MATCH(A754-129,Fields!$D$2:$D$206,1)),""),"")</f>
        <v/>
      </c>
    </row>
    <row r="755">
      <c r="A755" t="n">
        <v>754</v>
      </c>
      <c r="B755">
        <f>IFERROR(INDEX(RawBits!$A:$A,MATCH($A755,RawBits!$H:$H,0)),"?")</f>
        <v/>
      </c>
      <c r="C755">
        <f>IFERROR(INDEX(RawBits!$G:$G,MATCH($A755,RawBits!$H:$H,0)),"")</f>
        <v/>
      </c>
      <c r="D755">
        <f>IFERROR(IF(AND(A755&gt;=129,A755&lt;=2176),INDEX(Fields!$B$2:$B$206,MATCH(A755-129,Fields!$D$2:$D$206,1)),""),"")</f>
        <v/>
      </c>
      <c r="E755">
        <f>IFERROR(IF(AND(A755&gt;=129,A755&lt;=2176),INDEX(Fields!$C$2:$C$206,MATCH(A755-129,Fields!$D$2:$D$206,1)),""),"")</f>
        <v/>
      </c>
    </row>
    <row r="756">
      <c r="A756" t="n">
        <v>755</v>
      </c>
      <c r="B756">
        <f>IFERROR(INDEX(RawBits!$A:$A,MATCH($A756,RawBits!$H:$H,0)),"?")</f>
        <v/>
      </c>
      <c r="C756">
        <f>IFERROR(INDEX(RawBits!$G:$G,MATCH($A756,RawBits!$H:$H,0)),"")</f>
        <v/>
      </c>
      <c r="D756">
        <f>IFERROR(IF(AND(A756&gt;=129,A756&lt;=2176),INDEX(Fields!$B$2:$B$206,MATCH(A756-129,Fields!$D$2:$D$206,1)),""),"")</f>
        <v/>
      </c>
      <c r="E756">
        <f>IFERROR(IF(AND(A756&gt;=129,A756&lt;=2176),INDEX(Fields!$C$2:$C$206,MATCH(A756-129,Fields!$D$2:$D$206,1)),""),"")</f>
        <v/>
      </c>
    </row>
    <row r="757">
      <c r="A757" t="n">
        <v>756</v>
      </c>
      <c r="B757">
        <f>IFERROR(INDEX(RawBits!$A:$A,MATCH($A757,RawBits!$H:$H,0)),"?")</f>
        <v/>
      </c>
      <c r="C757">
        <f>IFERROR(INDEX(RawBits!$G:$G,MATCH($A757,RawBits!$H:$H,0)),"")</f>
        <v/>
      </c>
      <c r="D757">
        <f>IFERROR(IF(AND(A757&gt;=129,A757&lt;=2176),INDEX(Fields!$B$2:$B$206,MATCH(A757-129,Fields!$D$2:$D$206,1)),""),"")</f>
        <v/>
      </c>
      <c r="E757">
        <f>IFERROR(IF(AND(A757&gt;=129,A757&lt;=2176),INDEX(Fields!$C$2:$C$206,MATCH(A757-129,Fields!$D$2:$D$206,1)),""),"")</f>
        <v/>
      </c>
    </row>
    <row r="758">
      <c r="A758" t="n">
        <v>757</v>
      </c>
      <c r="B758">
        <f>IFERROR(INDEX(RawBits!$A:$A,MATCH($A758,RawBits!$H:$H,0)),"?")</f>
        <v/>
      </c>
      <c r="C758">
        <f>IFERROR(INDEX(RawBits!$G:$G,MATCH($A758,RawBits!$H:$H,0)),"")</f>
        <v/>
      </c>
      <c r="D758">
        <f>IFERROR(IF(AND(A758&gt;=129,A758&lt;=2176),INDEX(Fields!$B$2:$B$206,MATCH(A758-129,Fields!$D$2:$D$206,1)),""),"")</f>
        <v/>
      </c>
      <c r="E758">
        <f>IFERROR(IF(AND(A758&gt;=129,A758&lt;=2176),INDEX(Fields!$C$2:$C$206,MATCH(A758-129,Fields!$D$2:$D$206,1)),""),"")</f>
        <v/>
      </c>
    </row>
    <row r="759">
      <c r="A759" t="n">
        <v>758</v>
      </c>
      <c r="B759">
        <f>IFERROR(INDEX(RawBits!$A:$A,MATCH($A759,RawBits!$H:$H,0)),"?")</f>
        <v/>
      </c>
      <c r="C759">
        <f>IFERROR(INDEX(RawBits!$G:$G,MATCH($A759,RawBits!$H:$H,0)),"")</f>
        <v/>
      </c>
      <c r="D759">
        <f>IFERROR(IF(AND(A759&gt;=129,A759&lt;=2176),INDEX(Fields!$B$2:$B$206,MATCH(A759-129,Fields!$D$2:$D$206,1)),""),"")</f>
        <v/>
      </c>
      <c r="E759">
        <f>IFERROR(IF(AND(A759&gt;=129,A759&lt;=2176),INDEX(Fields!$C$2:$C$206,MATCH(A759-129,Fields!$D$2:$D$206,1)),""),"")</f>
        <v/>
      </c>
    </row>
    <row r="760">
      <c r="A760" t="n">
        <v>759</v>
      </c>
      <c r="B760">
        <f>IFERROR(INDEX(RawBits!$A:$A,MATCH($A760,RawBits!$H:$H,0)),"?")</f>
        <v/>
      </c>
      <c r="C760">
        <f>IFERROR(INDEX(RawBits!$G:$G,MATCH($A760,RawBits!$H:$H,0)),"")</f>
        <v/>
      </c>
      <c r="D760">
        <f>IFERROR(IF(AND(A760&gt;=129,A760&lt;=2176),INDEX(Fields!$B$2:$B$206,MATCH(A760-129,Fields!$D$2:$D$206,1)),""),"")</f>
        <v/>
      </c>
      <c r="E760">
        <f>IFERROR(IF(AND(A760&gt;=129,A760&lt;=2176),INDEX(Fields!$C$2:$C$206,MATCH(A760-129,Fields!$D$2:$D$206,1)),""),"")</f>
        <v/>
      </c>
    </row>
    <row r="761">
      <c r="A761" t="n">
        <v>760</v>
      </c>
      <c r="B761">
        <f>IFERROR(INDEX(RawBits!$A:$A,MATCH($A761,RawBits!$H:$H,0)),"?")</f>
        <v/>
      </c>
      <c r="C761">
        <f>IFERROR(INDEX(RawBits!$G:$G,MATCH($A761,RawBits!$H:$H,0)),"")</f>
        <v/>
      </c>
      <c r="D761">
        <f>IFERROR(IF(AND(A761&gt;=129,A761&lt;=2176),INDEX(Fields!$B$2:$B$206,MATCH(A761-129,Fields!$D$2:$D$206,1)),""),"")</f>
        <v/>
      </c>
      <c r="E761">
        <f>IFERROR(IF(AND(A761&gt;=129,A761&lt;=2176),INDEX(Fields!$C$2:$C$206,MATCH(A761-129,Fields!$D$2:$D$206,1)),""),"")</f>
        <v/>
      </c>
    </row>
    <row r="762">
      <c r="A762" t="n">
        <v>761</v>
      </c>
      <c r="B762">
        <f>IFERROR(INDEX(RawBits!$A:$A,MATCH($A762,RawBits!$H:$H,0)),"?")</f>
        <v/>
      </c>
      <c r="C762">
        <f>IFERROR(INDEX(RawBits!$G:$G,MATCH($A762,RawBits!$H:$H,0)),"")</f>
        <v/>
      </c>
      <c r="D762">
        <f>IFERROR(IF(AND(A762&gt;=129,A762&lt;=2176),INDEX(Fields!$B$2:$B$206,MATCH(A762-129,Fields!$D$2:$D$206,1)),""),"")</f>
        <v/>
      </c>
      <c r="E762">
        <f>IFERROR(IF(AND(A762&gt;=129,A762&lt;=2176),INDEX(Fields!$C$2:$C$206,MATCH(A762-129,Fields!$D$2:$D$206,1)),""),"")</f>
        <v/>
      </c>
    </row>
    <row r="763">
      <c r="A763" t="n">
        <v>762</v>
      </c>
      <c r="B763">
        <f>IFERROR(INDEX(RawBits!$A:$A,MATCH($A763,RawBits!$H:$H,0)),"?")</f>
        <v/>
      </c>
      <c r="C763">
        <f>IFERROR(INDEX(RawBits!$G:$G,MATCH($A763,RawBits!$H:$H,0)),"")</f>
        <v/>
      </c>
      <c r="D763">
        <f>IFERROR(IF(AND(A763&gt;=129,A763&lt;=2176),INDEX(Fields!$B$2:$B$206,MATCH(A763-129,Fields!$D$2:$D$206,1)),""),"")</f>
        <v/>
      </c>
      <c r="E763">
        <f>IFERROR(IF(AND(A763&gt;=129,A763&lt;=2176),INDEX(Fields!$C$2:$C$206,MATCH(A763-129,Fields!$D$2:$D$206,1)),""),"")</f>
        <v/>
      </c>
    </row>
    <row r="764">
      <c r="A764" t="n">
        <v>763</v>
      </c>
      <c r="B764">
        <f>IFERROR(INDEX(RawBits!$A:$A,MATCH($A764,RawBits!$H:$H,0)),"?")</f>
        <v/>
      </c>
      <c r="C764">
        <f>IFERROR(INDEX(RawBits!$G:$G,MATCH($A764,RawBits!$H:$H,0)),"")</f>
        <v/>
      </c>
      <c r="D764">
        <f>IFERROR(IF(AND(A764&gt;=129,A764&lt;=2176),INDEX(Fields!$B$2:$B$206,MATCH(A764-129,Fields!$D$2:$D$206,1)),""),"")</f>
        <v/>
      </c>
      <c r="E764">
        <f>IFERROR(IF(AND(A764&gt;=129,A764&lt;=2176),INDEX(Fields!$C$2:$C$206,MATCH(A764-129,Fields!$D$2:$D$206,1)),""),"")</f>
        <v/>
      </c>
    </row>
    <row r="765">
      <c r="A765" t="n">
        <v>764</v>
      </c>
      <c r="B765">
        <f>IFERROR(INDEX(RawBits!$A:$A,MATCH($A765,RawBits!$H:$H,0)),"?")</f>
        <v/>
      </c>
      <c r="C765">
        <f>IFERROR(INDEX(RawBits!$G:$G,MATCH($A765,RawBits!$H:$H,0)),"")</f>
        <v/>
      </c>
      <c r="D765">
        <f>IFERROR(IF(AND(A765&gt;=129,A765&lt;=2176),INDEX(Fields!$B$2:$B$206,MATCH(A765-129,Fields!$D$2:$D$206,1)),""),"")</f>
        <v/>
      </c>
      <c r="E765">
        <f>IFERROR(IF(AND(A765&gt;=129,A765&lt;=2176),INDEX(Fields!$C$2:$C$206,MATCH(A765-129,Fields!$D$2:$D$206,1)),""),"")</f>
        <v/>
      </c>
    </row>
    <row r="766">
      <c r="A766" t="n">
        <v>765</v>
      </c>
      <c r="B766">
        <f>IFERROR(INDEX(RawBits!$A:$A,MATCH($A766,RawBits!$H:$H,0)),"?")</f>
        <v/>
      </c>
      <c r="C766">
        <f>IFERROR(INDEX(RawBits!$G:$G,MATCH($A766,RawBits!$H:$H,0)),"")</f>
        <v/>
      </c>
      <c r="D766">
        <f>IFERROR(IF(AND(A766&gt;=129,A766&lt;=2176),INDEX(Fields!$B$2:$B$206,MATCH(A766-129,Fields!$D$2:$D$206,1)),""),"")</f>
        <v/>
      </c>
      <c r="E766">
        <f>IFERROR(IF(AND(A766&gt;=129,A766&lt;=2176),INDEX(Fields!$C$2:$C$206,MATCH(A766-129,Fields!$D$2:$D$206,1)),""),"")</f>
        <v/>
      </c>
    </row>
    <row r="767">
      <c r="A767" t="n">
        <v>766</v>
      </c>
      <c r="B767">
        <f>IFERROR(INDEX(RawBits!$A:$A,MATCH($A767,RawBits!$H:$H,0)),"?")</f>
        <v/>
      </c>
      <c r="C767">
        <f>IFERROR(INDEX(RawBits!$G:$G,MATCH($A767,RawBits!$H:$H,0)),"")</f>
        <v/>
      </c>
      <c r="D767">
        <f>IFERROR(IF(AND(A767&gt;=129,A767&lt;=2176),INDEX(Fields!$B$2:$B$206,MATCH(A767-129,Fields!$D$2:$D$206,1)),""),"")</f>
        <v/>
      </c>
      <c r="E767">
        <f>IFERROR(IF(AND(A767&gt;=129,A767&lt;=2176),INDEX(Fields!$C$2:$C$206,MATCH(A767-129,Fields!$D$2:$D$206,1)),""),"")</f>
        <v/>
      </c>
    </row>
    <row r="768">
      <c r="A768" t="n">
        <v>767</v>
      </c>
      <c r="B768">
        <f>IFERROR(INDEX(RawBits!$A:$A,MATCH($A768,RawBits!$H:$H,0)),"?")</f>
        <v/>
      </c>
      <c r="C768">
        <f>IFERROR(INDEX(RawBits!$G:$G,MATCH($A768,RawBits!$H:$H,0)),"")</f>
        <v/>
      </c>
      <c r="D768">
        <f>IFERROR(IF(AND(A768&gt;=129,A768&lt;=2176),INDEX(Fields!$B$2:$B$206,MATCH(A768-129,Fields!$D$2:$D$206,1)),""),"")</f>
        <v/>
      </c>
      <c r="E768">
        <f>IFERROR(IF(AND(A768&gt;=129,A768&lt;=2176),INDEX(Fields!$C$2:$C$206,MATCH(A768-129,Fields!$D$2:$D$206,1)),""),"")</f>
        <v/>
      </c>
    </row>
    <row r="769">
      <c r="A769" t="n">
        <v>768</v>
      </c>
      <c r="B769">
        <f>IFERROR(INDEX(RawBits!$A:$A,MATCH($A769,RawBits!$H:$H,0)),"?")</f>
        <v/>
      </c>
      <c r="C769">
        <f>IFERROR(INDEX(RawBits!$G:$G,MATCH($A769,RawBits!$H:$H,0)),"")</f>
        <v/>
      </c>
      <c r="D769">
        <f>IFERROR(IF(AND(A769&gt;=129,A769&lt;=2176),INDEX(Fields!$B$2:$B$206,MATCH(A769-129,Fields!$D$2:$D$206,1)),""),"")</f>
        <v/>
      </c>
      <c r="E769">
        <f>IFERROR(IF(AND(A769&gt;=129,A769&lt;=2176),INDEX(Fields!$C$2:$C$206,MATCH(A769-129,Fields!$D$2:$D$206,1)),""),"")</f>
        <v/>
      </c>
    </row>
    <row r="770">
      <c r="A770" t="n">
        <v>769</v>
      </c>
      <c r="B770">
        <f>IFERROR(INDEX(RawBits!$A:$A,MATCH($A770,RawBits!$H:$H,0)),"?")</f>
        <v/>
      </c>
      <c r="C770">
        <f>IFERROR(INDEX(RawBits!$G:$G,MATCH($A770,RawBits!$H:$H,0)),"")</f>
        <v/>
      </c>
      <c r="D770">
        <f>IFERROR(IF(AND(A770&gt;=129,A770&lt;=2176),INDEX(Fields!$B$2:$B$206,MATCH(A770-129,Fields!$D$2:$D$206,1)),""),"")</f>
        <v/>
      </c>
      <c r="E770">
        <f>IFERROR(IF(AND(A770&gt;=129,A770&lt;=2176),INDEX(Fields!$C$2:$C$206,MATCH(A770-129,Fields!$D$2:$D$206,1)),""),"")</f>
        <v/>
      </c>
    </row>
    <row r="771">
      <c r="A771" t="n">
        <v>770</v>
      </c>
      <c r="B771">
        <f>IFERROR(INDEX(RawBits!$A:$A,MATCH($A771,RawBits!$H:$H,0)),"?")</f>
        <v/>
      </c>
      <c r="C771">
        <f>IFERROR(INDEX(RawBits!$G:$G,MATCH($A771,RawBits!$H:$H,0)),"")</f>
        <v/>
      </c>
      <c r="D771">
        <f>IFERROR(IF(AND(A771&gt;=129,A771&lt;=2176),INDEX(Fields!$B$2:$B$206,MATCH(A771-129,Fields!$D$2:$D$206,1)),""),"")</f>
        <v/>
      </c>
      <c r="E771">
        <f>IFERROR(IF(AND(A771&gt;=129,A771&lt;=2176),INDEX(Fields!$C$2:$C$206,MATCH(A771-129,Fields!$D$2:$D$206,1)),""),"")</f>
        <v/>
      </c>
    </row>
    <row r="772">
      <c r="A772" t="n">
        <v>771</v>
      </c>
      <c r="B772">
        <f>IFERROR(INDEX(RawBits!$A:$A,MATCH($A772,RawBits!$H:$H,0)),"?")</f>
        <v/>
      </c>
      <c r="C772">
        <f>IFERROR(INDEX(RawBits!$G:$G,MATCH($A772,RawBits!$H:$H,0)),"")</f>
        <v/>
      </c>
      <c r="D772">
        <f>IFERROR(IF(AND(A772&gt;=129,A772&lt;=2176),INDEX(Fields!$B$2:$B$206,MATCH(A772-129,Fields!$D$2:$D$206,1)),""),"")</f>
        <v/>
      </c>
      <c r="E772">
        <f>IFERROR(IF(AND(A772&gt;=129,A772&lt;=2176),INDEX(Fields!$C$2:$C$206,MATCH(A772-129,Fields!$D$2:$D$206,1)),""),"")</f>
        <v/>
      </c>
    </row>
    <row r="773">
      <c r="A773" t="n">
        <v>772</v>
      </c>
      <c r="B773">
        <f>IFERROR(INDEX(RawBits!$A:$A,MATCH($A773,RawBits!$H:$H,0)),"?")</f>
        <v/>
      </c>
      <c r="C773">
        <f>IFERROR(INDEX(RawBits!$G:$G,MATCH($A773,RawBits!$H:$H,0)),"")</f>
        <v/>
      </c>
      <c r="D773">
        <f>IFERROR(IF(AND(A773&gt;=129,A773&lt;=2176),INDEX(Fields!$B$2:$B$206,MATCH(A773-129,Fields!$D$2:$D$206,1)),""),"")</f>
        <v/>
      </c>
      <c r="E773">
        <f>IFERROR(IF(AND(A773&gt;=129,A773&lt;=2176),INDEX(Fields!$C$2:$C$206,MATCH(A773-129,Fields!$D$2:$D$206,1)),""),"")</f>
        <v/>
      </c>
    </row>
    <row r="774">
      <c r="A774" t="n">
        <v>773</v>
      </c>
      <c r="B774">
        <f>IFERROR(INDEX(RawBits!$A:$A,MATCH($A774,RawBits!$H:$H,0)),"?")</f>
        <v/>
      </c>
      <c r="C774">
        <f>IFERROR(INDEX(RawBits!$G:$G,MATCH($A774,RawBits!$H:$H,0)),"")</f>
        <v/>
      </c>
      <c r="D774">
        <f>IFERROR(IF(AND(A774&gt;=129,A774&lt;=2176),INDEX(Fields!$B$2:$B$206,MATCH(A774-129,Fields!$D$2:$D$206,1)),""),"")</f>
        <v/>
      </c>
      <c r="E774">
        <f>IFERROR(IF(AND(A774&gt;=129,A774&lt;=2176),INDEX(Fields!$C$2:$C$206,MATCH(A774-129,Fields!$D$2:$D$206,1)),""),"")</f>
        <v/>
      </c>
    </row>
    <row r="775">
      <c r="A775" t="n">
        <v>774</v>
      </c>
      <c r="B775">
        <f>IFERROR(INDEX(RawBits!$A:$A,MATCH($A775,RawBits!$H:$H,0)),"?")</f>
        <v/>
      </c>
      <c r="C775">
        <f>IFERROR(INDEX(RawBits!$G:$G,MATCH($A775,RawBits!$H:$H,0)),"")</f>
        <v/>
      </c>
      <c r="D775">
        <f>IFERROR(IF(AND(A775&gt;=129,A775&lt;=2176),INDEX(Fields!$B$2:$B$206,MATCH(A775-129,Fields!$D$2:$D$206,1)),""),"")</f>
        <v/>
      </c>
      <c r="E775">
        <f>IFERROR(IF(AND(A775&gt;=129,A775&lt;=2176),INDEX(Fields!$C$2:$C$206,MATCH(A775-129,Fields!$D$2:$D$206,1)),""),"")</f>
        <v/>
      </c>
    </row>
    <row r="776">
      <c r="A776" t="n">
        <v>775</v>
      </c>
      <c r="B776">
        <f>IFERROR(INDEX(RawBits!$A:$A,MATCH($A776,RawBits!$H:$H,0)),"?")</f>
        <v/>
      </c>
      <c r="C776">
        <f>IFERROR(INDEX(RawBits!$G:$G,MATCH($A776,RawBits!$H:$H,0)),"")</f>
        <v/>
      </c>
      <c r="D776">
        <f>IFERROR(IF(AND(A776&gt;=129,A776&lt;=2176),INDEX(Fields!$B$2:$B$206,MATCH(A776-129,Fields!$D$2:$D$206,1)),""),"")</f>
        <v/>
      </c>
      <c r="E776">
        <f>IFERROR(IF(AND(A776&gt;=129,A776&lt;=2176),INDEX(Fields!$C$2:$C$206,MATCH(A776-129,Fields!$D$2:$D$206,1)),""),"")</f>
        <v/>
      </c>
    </row>
    <row r="777">
      <c r="A777" t="n">
        <v>776</v>
      </c>
      <c r="B777">
        <f>IFERROR(INDEX(RawBits!$A:$A,MATCH($A777,RawBits!$H:$H,0)),"?")</f>
        <v/>
      </c>
      <c r="C777">
        <f>IFERROR(INDEX(RawBits!$G:$G,MATCH($A777,RawBits!$H:$H,0)),"")</f>
        <v/>
      </c>
      <c r="D777">
        <f>IFERROR(IF(AND(A777&gt;=129,A777&lt;=2176),INDEX(Fields!$B$2:$B$206,MATCH(A777-129,Fields!$D$2:$D$206,1)),""),"")</f>
        <v/>
      </c>
      <c r="E777">
        <f>IFERROR(IF(AND(A777&gt;=129,A777&lt;=2176),INDEX(Fields!$C$2:$C$206,MATCH(A777-129,Fields!$D$2:$D$206,1)),""),"")</f>
        <v/>
      </c>
    </row>
    <row r="778">
      <c r="A778" t="n">
        <v>777</v>
      </c>
      <c r="B778">
        <f>IFERROR(INDEX(RawBits!$A:$A,MATCH($A778,RawBits!$H:$H,0)),"?")</f>
        <v/>
      </c>
      <c r="C778">
        <f>IFERROR(INDEX(RawBits!$G:$G,MATCH($A778,RawBits!$H:$H,0)),"")</f>
        <v/>
      </c>
      <c r="D778">
        <f>IFERROR(IF(AND(A778&gt;=129,A778&lt;=2176),INDEX(Fields!$B$2:$B$206,MATCH(A778-129,Fields!$D$2:$D$206,1)),""),"")</f>
        <v/>
      </c>
      <c r="E778">
        <f>IFERROR(IF(AND(A778&gt;=129,A778&lt;=2176),INDEX(Fields!$C$2:$C$206,MATCH(A778-129,Fields!$D$2:$D$206,1)),""),"")</f>
        <v/>
      </c>
    </row>
    <row r="779">
      <c r="A779" t="n">
        <v>778</v>
      </c>
      <c r="B779">
        <f>IFERROR(INDEX(RawBits!$A:$A,MATCH($A779,RawBits!$H:$H,0)),"?")</f>
        <v/>
      </c>
      <c r="C779">
        <f>IFERROR(INDEX(RawBits!$G:$G,MATCH($A779,RawBits!$H:$H,0)),"")</f>
        <v/>
      </c>
      <c r="D779">
        <f>IFERROR(IF(AND(A779&gt;=129,A779&lt;=2176),INDEX(Fields!$B$2:$B$206,MATCH(A779-129,Fields!$D$2:$D$206,1)),""),"")</f>
        <v/>
      </c>
      <c r="E779">
        <f>IFERROR(IF(AND(A779&gt;=129,A779&lt;=2176),INDEX(Fields!$C$2:$C$206,MATCH(A779-129,Fields!$D$2:$D$206,1)),""),"")</f>
        <v/>
      </c>
    </row>
    <row r="780">
      <c r="A780" t="n">
        <v>779</v>
      </c>
      <c r="B780">
        <f>IFERROR(INDEX(RawBits!$A:$A,MATCH($A780,RawBits!$H:$H,0)),"?")</f>
        <v/>
      </c>
      <c r="C780">
        <f>IFERROR(INDEX(RawBits!$G:$G,MATCH($A780,RawBits!$H:$H,0)),"")</f>
        <v/>
      </c>
      <c r="D780">
        <f>IFERROR(IF(AND(A780&gt;=129,A780&lt;=2176),INDEX(Fields!$B$2:$B$206,MATCH(A780-129,Fields!$D$2:$D$206,1)),""),"")</f>
        <v/>
      </c>
      <c r="E780">
        <f>IFERROR(IF(AND(A780&gt;=129,A780&lt;=2176),INDEX(Fields!$C$2:$C$206,MATCH(A780-129,Fields!$D$2:$D$206,1)),""),"")</f>
        <v/>
      </c>
    </row>
    <row r="781">
      <c r="A781" t="n">
        <v>780</v>
      </c>
      <c r="B781">
        <f>IFERROR(INDEX(RawBits!$A:$A,MATCH($A781,RawBits!$H:$H,0)),"?")</f>
        <v/>
      </c>
      <c r="C781">
        <f>IFERROR(INDEX(RawBits!$G:$G,MATCH($A781,RawBits!$H:$H,0)),"")</f>
        <v/>
      </c>
      <c r="D781">
        <f>IFERROR(IF(AND(A781&gt;=129,A781&lt;=2176),INDEX(Fields!$B$2:$B$206,MATCH(A781-129,Fields!$D$2:$D$206,1)),""),"")</f>
        <v/>
      </c>
      <c r="E781">
        <f>IFERROR(IF(AND(A781&gt;=129,A781&lt;=2176),INDEX(Fields!$C$2:$C$206,MATCH(A781-129,Fields!$D$2:$D$206,1)),""),"")</f>
        <v/>
      </c>
    </row>
    <row r="782">
      <c r="A782" t="n">
        <v>781</v>
      </c>
      <c r="B782">
        <f>IFERROR(INDEX(RawBits!$A:$A,MATCH($A782,RawBits!$H:$H,0)),"?")</f>
        <v/>
      </c>
      <c r="C782">
        <f>IFERROR(INDEX(RawBits!$G:$G,MATCH($A782,RawBits!$H:$H,0)),"")</f>
        <v/>
      </c>
      <c r="D782">
        <f>IFERROR(IF(AND(A782&gt;=129,A782&lt;=2176),INDEX(Fields!$B$2:$B$206,MATCH(A782-129,Fields!$D$2:$D$206,1)),""),"")</f>
        <v/>
      </c>
      <c r="E782">
        <f>IFERROR(IF(AND(A782&gt;=129,A782&lt;=2176),INDEX(Fields!$C$2:$C$206,MATCH(A782-129,Fields!$D$2:$D$206,1)),""),"")</f>
        <v/>
      </c>
    </row>
    <row r="783">
      <c r="A783" t="n">
        <v>782</v>
      </c>
      <c r="B783">
        <f>IFERROR(INDEX(RawBits!$A:$A,MATCH($A783,RawBits!$H:$H,0)),"?")</f>
        <v/>
      </c>
      <c r="C783">
        <f>IFERROR(INDEX(RawBits!$G:$G,MATCH($A783,RawBits!$H:$H,0)),"")</f>
        <v/>
      </c>
      <c r="D783">
        <f>IFERROR(IF(AND(A783&gt;=129,A783&lt;=2176),INDEX(Fields!$B$2:$B$206,MATCH(A783-129,Fields!$D$2:$D$206,1)),""),"")</f>
        <v/>
      </c>
      <c r="E783">
        <f>IFERROR(IF(AND(A783&gt;=129,A783&lt;=2176),INDEX(Fields!$C$2:$C$206,MATCH(A783-129,Fields!$D$2:$D$206,1)),""),"")</f>
        <v/>
      </c>
    </row>
    <row r="784">
      <c r="A784" t="n">
        <v>783</v>
      </c>
      <c r="B784">
        <f>IFERROR(INDEX(RawBits!$A:$A,MATCH($A784,RawBits!$H:$H,0)),"?")</f>
        <v/>
      </c>
      <c r="C784">
        <f>IFERROR(INDEX(RawBits!$G:$G,MATCH($A784,RawBits!$H:$H,0)),"")</f>
        <v/>
      </c>
      <c r="D784">
        <f>IFERROR(IF(AND(A784&gt;=129,A784&lt;=2176),INDEX(Fields!$B$2:$B$206,MATCH(A784-129,Fields!$D$2:$D$206,1)),""),"")</f>
        <v/>
      </c>
      <c r="E784">
        <f>IFERROR(IF(AND(A784&gt;=129,A784&lt;=2176),INDEX(Fields!$C$2:$C$206,MATCH(A784-129,Fields!$D$2:$D$206,1)),""),"")</f>
        <v/>
      </c>
    </row>
    <row r="785">
      <c r="A785" t="n">
        <v>784</v>
      </c>
      <c r="B785">
        <f>IFERROR(INDEX(RawBits!$A:$A,MATCH($A785,RawBits!$H:$H,0)),"?")</f>
        <v/>
      </c>
      <c r="C785">
        <f>IFERROR(INDEX(RawBits!$G:$G,MATCH($A785,RawBits!$H:$H,0)),"")</f>
        <v/>
      </c>
      <c r="D785">
        <f>IFERROR(IF(AND(A785&gt;=129,A785&lt;=2176),INDEX(Fields!$B$2:$B$206,MATCH(A785-129,Fields!$D$2:$D$206,1)),""),"")</f>
        <v/>
      </c>
      <c r="E785">
        <f>IFERROR(IF(AND(A785&gt;=129,A785&lt;=2176),INDEX(Fields!$C$2:$C$206,MATCH(A785-129,Fields!$D$2:$D$206,1)),""),"")</f>
        <v/>
      </c>
    </row>
    <row r="786">
      <c r="A786" t="n">
        <v>785</v>
      </c>
      <c r="B786">
        <f>IFERROR(INDEX(RawBits!$A:$A,MATCH($A786,RawBits!$H:$H,0)),"?")</f>
        <v/>
      </c>
      <c r="C786">
        <f>IFERROR(INDEX(RawBits!$G:$G,MATCH($A786,RawBits!$H:$H,0)),"")</f>
        <v/>
      </c>
      <c r="D786">
        <f>IFERROR(IF(AND(A786&gt;=129,A786&lt;=2176),INDEX(Fields!$B$2:$B$206,MATCH(A786-129,Fields!$D$2:$D$206,1)),""),"")</f>
        <v/>
      </c>
      <c r="E786">
        <f>IFERROR(IF(AND(A786&gt;=129,A786&lt;=2176),INDEX(Fields!$C$2:$C$206,MATCH(A786-129,Fields!$D$2:$D$206,1)),""),"")</f>
        <v/>
      </c>
    </row>
    <row r="787">
      <c r="A787" t="n">
        <v>786</v>
      </c>
      <c r="B787">
        <f>IFERROR(INDEX(RawBits!$A:$A,MATCH($A787,RawBits!$H:$H,0)),"?")</f>
        <v/>
      </c>
      <c r="C787">
        <f>IFERROR(INDEX(RawBits!$G:$G,MATCH($A787,RawBits!$H:$H,0)),"")</f>
        <v/>
      </c>
      <c r="D787">
        <f>IFERROR(IF(AND(A787&gt;=129,A787&lt;=2176),INDEX(Fields!$B$2:$B$206,MATCH(A787-129,Fields!$D$2:$D$206,1)),""),"")</f>
        <v/>
      </c>
      <c r="E787">
        <f>IFERROR(IF(AND(A787&gt;=129,A787&lt;=2176),INDEX(Fields!$C$2:$C$206,MATCH(A787-129,Fields!$D$2:$D$206,1)),""),"")</f>
        <v/>
      </c>
    </row>
    <row r="788">
      <c r="A788" t="n">
        <v>787</v>
      </c>
      <c r="B788">
        <f>IFERROR(INDEX(RawBits!$A:$A,MATCH($A788,RawBits!$H:$H,0)),"?")</f>
        <v/>
      </c>
      <c r="C788">
        <f>IFERROR(INDEX(RawBits!$G:$G,MATCH($A788,RawBits!$H:$H,0)),"")</f>
        <v/>
      </c>
      <c r="D788">
        <f>IFERROR(IF(AND(A788&gt;=129,A788&lt;=2176),INDEX(Fields!$B$2:$B$206,MATCH(A788-129,Fields!$D$2:$D$206,1)),""),"")</f>
        <v/>
      </c>
      <c r="E788">
        <f>IFERROR(IF(AND(A788&gt;=129,A788&lt;=2176),INDEX(Fields!$C$2:$C$206,MATCH(A788-129,Fields!$D$2:$D$206,1)),""),"")</f>
        <v/>
      </c>
    </row>
    <row r="789">
      <c r="A789" t="n">
        <v>788</v>
      </c>
      <c r="B789">
        <f>IFERROR(INDEX(RawBits!$A:$A,MATCH($A789,RawBits!$H:$H,0)),"?")</f>
        <v/>
      </c>
      <c r="C789">
        <f>IFERROR(INDEX(RawBits!$G:$G,MATCH($A789,RawBits!$H:$H,0)),"")</f>
        <v/>
      </c>
      <c r="D789">
        <f>IFERROR(IF(AND(A789&gt;=129,A789&lt;=2176),INDEX(Fields!$B$2:$B$206,MATCH(A789-129,Fields!$D$2:$D$206,1)),""),"")</f>
        <v/>
      </c>
      <c r="E789">
        <f>IFERROR(IF(AND(A789&gt;=129,A789&lt;=2176),INDEX(Fields!$C$2:$C$206,MATCH(A789-129,Fields!$D$2:$D$206,1)),""),"")</f>
        <v/>
      </c>
    </row>
    <row r="790">
      <c r="A790" t="n">
        <v>789</v>
      </c>
      <c r="B790">
        <f>IFERROR(INDEX(RawBits!$A:$A,MATCH($A790,RawBits!$H:$H,0)),"?")</f>
        <v/>
      </c>
      <c r="C790">
        <f>IFERROR(INDEX(RawBits!$G:$G,MATCH($A790,RawBits!$H:$H,0)),"")</f>
        <v/>
      </c>
      <c r="D790">
        <f>IFERROR(IF(AND(A790&gt;=129,A790&lt;=2176),INDEX(Fields!$B$2:$B$206,MATCH(A790-129,Fields!$D$2:$D$206,1)),""),"")</f>
        <v/>
      </c>
      <c r="E790">
        <f>IFERROR(IF(AND(A790&gt;=129,A790&lt;=2176),INDEX(Fields!$C$2:$C$206,MATCH(A790-129,Fields!$D$2:$D$206,1)),""),"")</f>
        <v/>
      </c>
    </row>
    <row r="791">
      <c r="A791" t="n">
        <v>790</v>
      </c>
      <c r="B791">
        <f>IFERROR(INDEX(RawBits!$A:$A,MATCH($A791,RawBits!$H:$H,0)),"?")</f>
        <v/>
      </c>
      <c r="C791">
        <f>IFERROR(INDEX(RawBits!$G:$G,MATCH($A791,RawBits!$H:$H,0)),"")</f>
        <v/>
      </c>
      <c r="D791">
        <f>IFERROR(IF(AND(A791&gt;=129,A791&lt;=2176),INDEX(Fields!$B$2:$B$206,MATCH(A791-129,Fields!$D$2:$D$206,1)),""),"")</f>
        <v/>
      </c>
      <c r="E791">
        <f>IFERROR(IF(AND(A791&gt;=129,A791&lt;=2176),INDEX(Fields!$C$2:$C$206,MATCH(A791-129,Fields!$D$2:$D$206,1)),""),"")</f>
        <v/>
      </c>
    </row>
    <row r="792">
      <c r="A792" t="n">
        <v>791</v>
      </c>
      <c r="B792">
        <f>IFERROR(INDEX(RawBits!$A:$A,MATCH($A792,RawBits!$H:$H,0)),"?")</f>
        <v/>
      </c>
      <c r="C792">
        <f>IFERROR(INDEX(RawBits!$G:$G,MATCH($A792,RawBits!$H:$H,0)),"")</f>
        <v/>
      </c>
      <c r="D792">
        <f>IFERROR(IF(AND(A792&gt;=129,A792&lt;=2176),INDEX(Fields!$B$2:$B$206,MATCH(A792-129,Fields!$D$2:$D$206,1)),""),"")</f>
        <v/>
      </c>
      <c r="E792">
        <f>IFERROR(IF(AND(A792&gt;=129,A792&lt;=2176),INDEX(Fields!$C$2:$C$206,MATCH(A792-129,Fields!$D$2:$D$206,1)),""),"")</f>
        <v/>
      </c>
    </row>
    <row r="793">
      <c r="A793" t="n">
        <v>792</v>
      </c>
      <c r="B793">
        <f>IFERROR(INDEX(RawBits!$A:$A,MATCH($A793,RawBits!$H:$H,0)),"?")</f>
        <v/>
      </c>
      <c r="C793">
        <f>IFERROR(INDEX(RawBits!$G:$G,MATCH($A793,RawBits!$H:$H,0)),"")</f>
        <v/>
      </c>
      <c r="D793">
        <f>IFERROR(IF(AND(A793&gt;=129,A793&lt;=2176),INDEX(Fields!$B$2:$B$206,MATCH(A793-129,Fields!$D$2:$D$206,1)),""),"")</f>
        <v/>
      </c>
      <c r="E793">
        <f>IFERROR(IF(AND(A793&gt;=129,A793&lt;=2176),INDEX(Fields!$C$2:$C$206,MATCH(A793-129,Fields!$D$2:$D$206,1)),""),"")</f>
        <v/>
      </c>
    </row>
    <row r="794">
      <c r="A794" t="n">
        <v>793</v>
      </c>
      <c r="B794">
        <f>IFERROR(INDEX(RawBits!$A:$A,MATCH($A794,RawBits!$H:$H,0)),"?")</f>
        <v/>
      </c>
      <c r="C794">
        <f>IFERROR(INDEX(RawBits!$G:$G,MATCH($A794,RawBits!$H:$H,0)),"")</f>
        <v/>
      </c>
      <c r="D794">
        <f>IFERROR(IF(AND(A794&gt;=129,A794&lt;=2176),INDEX(Fields!$B$2:$B$206,MATCH(A794-129,Fields!$D$2:$D$206,1)),""),"")</f>
        <v/>
      </c>
      <c r="E794">
        <f>IFERROR(IF(AND(A794&gt;=129,A794&lt;=2176),INDEX(Fields!$C$2:$C$206,MATCH(A794-129,Fields!$D$2:$D$206,1)),""),"")</f>
        <v/>
      </c>
    </row>
    <row r="795">
      <c r="A795" t="n">
        <v>794</v>
      </c>
      <c r="B795">
        <f>IFERROR(INDEX(RawBits!$A:$A,MATCH($A795,RawBits!$H:$H,0)),"?")</f>
        <v/>
      </c>
      <c r="C795">
        <f>IFERROR(INDEX(RawBits!$G:$G,MATCH($A795,RawBits!$H:$H,0)),"")</f>
        <v/>
      </c>
      <c r="D795">
        <f>IFERROR(IF(AND(A795&gt;=129,A795&lt;=2176),INDEX(Fields!$B$2:$B$206,MATCH(A795-129,Fields!$D$2:$D$206,1)),""),"")</f>
        <v/>
      </c>
      <c r="E795">
        <f>IFERROR(IF(AND(A795&gt;=129,A795&lt;=2176),INDEX(Fields!$C$2:$C$206,MATCH(A795-129,Fields!$D$2:$D$206,1)),""),"")</f>
        <v/>
      </c>
    </row>
    <row r="796">
      <c r="A796" t="n">
        <v>795</v>
      </c>
      <c r="B796">
        <f>IFERROR(INDEX(RawBits!$A:$A,MATCH($A796,RawBits!$H:$H,0)),"?")</f>
        <v/>
      </c>
      <c r="C796">
        <f>IFERROR(INDEX(RawBits!$G:$G,MATCH($A796,RawBits!$H:$H,0)),"")</f>
        <v/>
      </c>
      <c r="D796">
        <f>IFERROR(IF(AND(A796&gt;=129,A796&lt;=2176),INDEX(Fields!$B$2:$B$206,MATCH(A796-129,Fields!$D$2:$D$206,1)),""),"")</f>
        <v/>
      </c>
      <c r="E796">
        <f>IFERROR(IF(AND(A796&gt;=129,A796&lt;=2176),INDEX(Fields!$C$2:$C$206,MATCH(A796-129,Fields!$D$2:$D$206,1)),""),"")</f>
        <v/>
      </c>
    </row>
    <row r="797">
      <c r="A797" t="n">
        <v>796</v>
      </c>
      <c r="B797">
        <f>IFERROR(INDEX(RawBits!$A:$A,MATCH($A797,RawBits!$H:$H,0)),"?")</f>
        <v/>
      </c>
      <c r="C797">
        <f>IFERROR(INDEX(RawBits!$G:$G,MATCH($A797,RawBits!$H:$H,0)),"")</f>
        <v/>
      </c>
      <c r="D797">
        <f>IFERROR(IF(AND(A797&gt;=129,A797&lt;=2176),INDEX(Fields!$B$2:$B$206,MATCH(A797-129,Fields!$D$2:$D$206,1)),""),"")</f>
        <v/>
      </c>
      <c r="E797">
        <f>IFERROR(IF(AND(A797&gt;=129,A797&lt;=2176),INDEX(Fields!$C$2:$C$206,MATCH(A797-129,Fields!$D$2:$D$206,1)),""),"")</f>
        <v/>
      </c>
    </row>
    <row r="798">
      <c r="A798" t="n">
        <v>797</v>
      </c>
      <c r="B798">
        <f>IFERROR(INDEX(RawBits!$A:$A,MATCH($A798,RawBits!$H:$H,0)),"?")</f>
        <v/>
      </c>
      <c r="C798">
        <f>IFERROR(INDEX(RawBits!$G:$G,MATCH($A798,RawBits!$H:$H,0)),"")</f>
        <v/>
      </c>
      <c r="D798">
        <f>IFERROR(IF(AND(A798&gt;=129,A798&lt;=2176),INDEX(Fields!$B$2:$B$206,MATCH(A798-129,Fields!$D$2:$D$206,1)),""),"")</f>
        <v/>
      </c>
      <c r="E798">
        <f>IFERROR(IF(AND(A798&gt;=129,A798&lt;=2176),INDEX(Fields!$C$2:$C$206,MATCH(A798-129,Fields!$D$2:$D$206,1)),""),"")</f>
        <v/>
      </c>
    </row>
    <row r="799">
      <c r="A799" t="n">
        <v>798</v>
      </c>
      <c r="B799">
        <f>IFERROR(INDEX(RawBits!$A:$A,MATCH($A799,RawBits!$H:$H,0)),"?")</f>
        <v/>
      </c>
      <c r="C799">
        <f>IFERROR(INDEX(RawBits!$G:$G,MATCH($A799,RawBits!$H:$H,0)),"")</f>
        <v/>
      </c>
      <c r="D799">
        <f>IFERROR(IF(AND(A799&gt;=129,A799&lt;=2176),INDEX(Fields!$B$2:$B$206,MATCH(A799-129,Fields!$D$2:$D$206,1)),""),"")</f>
        <v/>
      </c>
      <c r="E799">
        <f>IFERROR(IF(AND(A799&gt;=129,A799&lt;=2176),INDEX(Fields!$C$2:$C$206,MATCH(A799-129,Fields!$D$2:$D$206,1)),""),"")</f>
        <v/>
      </c>
    </row>
    <row r="800">
      <c r="A800" t="n">
        <v>799</v>
      </c>
      <c r="B800">
        <f>IFERROR(INDEX(RawBits!$A:$A,MATCH($A800,RawBits!$H:$H,0)),"?")</f>
        <v/>
      </c>
      <c r="C800">
        <f>IFERROR(INDEX(RawBits!$G:$G,MATCH($A800,RawBits!$H:$H,0)),"")</f>
        <v/>
      </c>
      <c r="D800">
        <f>IFERROR(IF(AND(A800&gt;=129,A800&lt;=2176),INDEX(Fields!$B$2:$B$206,MATCH(A800-129,Fields!$D$2:$D$206,1)),""),"")</f>
        <v/>
      </c>
      <c r="E800">
        <f>IFERROR(IF(AND(A800&gt;=129,A800&lt;=2176),INDEX(Fields!$C$2:$C$206,MATCH(A800-129,Fields!$D$2:$D$206,1)),""),"")</f>
        <v/>
      </c>
    </row>
    <row r="801">
      <c r="A801" t="n">
        <v>800</v>
      </c>
      <c r="B801">
        <f>IFERROR(INDEX(RawBits!$A:$A,MATCH($A801,RawBits!$H:$H,0)),"?")</f>
        <v/>
      </c>
      <c r="C801">
        <f>IFERROR(INDEX(RawBits!$G:$G,MATCH($A801,RawBits!$H:$H,0)),"")</f>
        <v/>
      </c>
      <c r="D801">
        <f>IFERROR(IF(AND(A801&gt;=129,A801&lt;=2176),INDEX(Fields!$B$2:$B$206,MATCH(A801-129,Fields!$D$2:$D$206,1)),""),"")</f>
        <v/>
      </c>
      <c r="E801">
        <f>IFERROR(IF(AND(A801&gt;=129,A801&lt;=2176),INDEX(Fields!$C$2:$C$206,MATCH(A801-129,Fields!$D$2:$D$206,1)),""),"")</f>
        <v/>
      </c>
    </row>
    <row r="802">
      <c r="A802" t="n">
        <v>801</v>
      </c>
      <c r="B802">
        <f>IFERROR(INDEX(RawBits!$A:$A,MATCH($A802,RawBits!$H:$H,0)),"?")</f>
        <v/>
      </c>
      <c r="C802">
        <f>IFERROR(INDEX(RawBits!$G:$G,MATCH($A802,RawBits!$H:$H,0)),"")</f>
        <v/>
      </c>
      <c r="D802">
        <f>IFERROR(IF(AND(A802&gt;=129,A802&lt;=2176),INDEX(Fields!$B$2:$B$206,MATCH(A802-129,Fields!$D$2:$D$206,1)),""),"")</f>
        <v/>
      </c>
      <c r="E802">
        <f>IFERROR(IF(AND(A802&gt;=129,A802&lt;=2176),INDEX(Fields!$C$2:$C$206,MATCH(A802-129,Fields!$D$2:$D$206,1)),""),"")</f>
        <v/>
      </c>
    </row>
    <row r="803">
      <c r="A803" t="n">
        <v>802</v>
      </c>
      <c r="B803">
        <f>IFERROR(INDEX(RawBits!$A:$A,MATCH($A803,RawBits!$H:$H,0)),"?")</f>
        <v/>
      </c>
      <c r="C803">
        <f>IFERROR(INDEX(RawBits!$G:$G,MATCH($A803,RawBits!$H:$H,0)),"")</f>
        <v/>
      </c>
      <c r="D803">
        <f>IFERROR(IF(AND(A803&gt;=129,A803&lt;=2176),INDEX(Fields!$B$2:$B$206,MATCH(A803-129,Fields!$D$2:$D$206,1)),""),"")</f>
        <v/>
      </c>
      <c r="E803">
        <f>IFERROR(IF(AND(A803&gt;=129,A803&lt;=2176),INDEX(Fields!$C$2:$C$206,MATCH(A803-129,Fields!$D$2:$D$206,1)),""),"")</f>
        <v/>
      </c>
    </row>
    <row r="804">
      <c r="A804" t="n">
        <v>803</v>
      </c>
      <c r="B804">
        <f>IFERROR(INDEX(RawBits!$A:$A,MATCH($A804,RawBits!$H:$H,0)),"?")</f>
        <v/>
      </c>
      <c r="C804">
        <f>IFERROR(INDEX(RawBits!$G:$G,MATCH($A804,RawBits!$H:$H,0)),"")</f>
        <v/>
      </c>
      <c r="D804">
        <f>IFERROR(IF(AND(A804&gt;=129,A804&lt;=2176),INDEX(Fields!$B$2:$B$206,MATCH(A804-129,Fields!$D$2:$D$206,1)),""),"")</f>
        <v/>
      </c>
      <c r="E804">
        <f>IFERROR(IF(AND(A804&gt;=129,A804&lt;=2176),INDEX(Fields!$C$2:$C$206,MATCH(A804-129,Fields!$D$2:$D$206,1)),""),"")</f>
        <v/>
      </c>
    </row>
    <row r="805">
      <c r="A805" t="n">
        <v>804</v>
      </c>
      <c r="B805">
        <f>IFERROR(INDEX(RawBits!$A:$A,MATCH($A805,RawBits!$H:$H,0)),"?")</f>
        <v/>
      </c>
      <c r="C805">
        <f>IFERROR(INDEX(RawBits!$G:$G,MATCH($A805,RawBits!$H:$H,0)),"")</f>
        <v/>
      </c>
      <c r="D805">
        <f>IFERROR(IF(AND(A805&gt;=129,A805&lt;=2176),INDEX(Fields!$B$2:$B$206,MATCH(A805-129,Fields!$D$2:$D$206,1)),""),"")</f>
        <v/>
      </c>
      <c r="E805">
        <f>IFERROR(IF(AND(A805&gt;=129,A805&lt;=2176),INDEX(Fields!$C$2:$C$206,MATCH(A805-129,Fields!$D$2:$D$206,1)),""),"")</f>
        <v/>
      </c>
    </row>
    <row r="806">
      <c r="A806" t="n">
        <v>805</v>
      </c>
      <c r="B806">
        <f>IFERROR(INDEX(RawBits!$A:$A,MATCH($A806,RawBits!$H:$H,0)),"?")</f>
        <v/>
      </c>
      <c r="C806">
        <f>IFERROR(INDEX(RawBits!$G:$G,MATCH($A806,RawBits!$H:$H,0)),"")</f>
        <v/>
      </c>
      <c r="D806">
        <f>IFERROR(IF(AND(A806&gt;=129,A806&lt;=2176),INDEX(Fields!$B$2:$B$206,MATCH(A806-129,Fields!$D$2:$D$206,1)),""),"")</f>
        <v/>
      </c>
      <c r="E806">
        <f>IFERROR(IF(AND(A806&gt;=129,A806&lt;=2176),INDEX(Fields!$C$2:$C$206,MATCH(A806-129,Fields!$D$2:$D$206,1)),""),"")</f>
        <v/>
      </c>
    </row>
    <row r="807">
      <c r="A807" t="n">
        <v>806</v>
      </c>
      <c r="B807">
        <f>IFERROR(INDEX(RawBits!$A:$A,MATCH($A807,RawBits!$H:$H,0)),"?")</f>
        <v/>
      </c>
      <c r="C807">
        <f>IFERROR(INDEX(RawBits!$G:$G,MATCH($A807,RawBits!$H:$H,0)),"")</f>
        <v/>
      </c>
      <c r="D807">
        <f>IFERROR(IF(AND(A807&gt;=129,A807&lt;=2176),INDEX(Fields!$B$2:$B$206,MATCH(A807-129,Fields!$D$2:$D$206,1)),""),"")</f>
        <v/>
      </c>
      <c r="E807">
        <f>IFERROR(IF(AND(A807&gt;=129,A807&lt;=2176),INDEX(Fields!$C$2:$C$206,MATCH(A807-129,Fields!$D$2:$D$206,1)),""),"")</f>
        <v/>
      </c>
    </row>
    <row r="808">
      <c r="A808" t="n">
        <v>807</v>
      </c>
      <c r="B808">
        <f>IFERROR(INDEX(RawBits!$A:$A,MATCH($A808,RawBits!$H:$H,0)),"?")</f>
        <v/>
      </c>
      <c r="C808">
        <f>IFERROR(INDEX(RawBits!$G:$G,MATCH($A808,RawBits!$H:$H,0)),"")</f>
        <v/>
      </c>
      <c r="D808">
        <f>IFERROR(IF(AND(A808&gt;=129,A808&lt;=2176),INDEX(Fields!$B$2:$B$206,MATCH(A808-129,Fields!$D$2:$D$206,1)),""),"")</f>
        <v/>
      </c>
      <c r="E808">
        <f>IFERROR(IF(AND(A808&gt;=129,A808&lt;=2176),INDEX(Fields!$C$2:$C$206,MATCH(A808-129,Fields!$D$2:$D$206,1)),""),"")</f>
        <v/>
      </c>
    </row>
    <row r="809">
      <c r="A809" t="n">
        <v>808</v>
      </c>
      <c r="B809">
        <f>IFERROR(INDEX(RawBits!$A:$A,MATCH($A809,RawBits!$H:$H,0)),"?")</f>
        <v/>
      </c>
      <c r="C809">
        <f>IFERROR(INDEX(RawBits!$G:$G,MATCH($A809,RawBits!$H:$H,0)),"")</f>
        <v/>
      </c>
      <c r="D809">
        <f>IFERROR(IF(AND(A809&gt;=129,A809&lt;=2176),INDEX(Fields!$B$2:$B$206,MATCH(A809-129,Fields!$D$2:$D$206,1)),""),"")</f>
        <v/>
      </c>
      <c r="E809">
        <f>IFERROR(IF(AND(A809&gt;=129,A809&lt;=2176),INDEX(Fields!$C$2:$C$206,MATCH(A809-129,Fields!$D$2:$D$206,1)),""),"")</f>
        <v/>
      </c>
    </row>
    <row r="810">
      <c r="A810" t="n">
        <v>809</v>
      </c>
      <c r="B810">
        <f>IFERROR(INDEX(RawBits!$A:$A,MATCH($A810,RawBits!$H:$H,0)),"?")</f>
        <v/>
      </c>
      <c r="C810">
        <f>IFERROR(INDEX(RawBits!$G:$G,MATCH($A810,RawBits!$H:$H,0)),"")</f>
        <v/>
      </c>
      <c r="D810">
        <f>IFERROR(IF(AND(A810&gt;=129,A810&lt;=2176),INDEX(Fields!$B$2:$B$206,MATCH(A810-129,Fields!$D$2:$D$206,1)),""),"")</f>
        <v/>
      </c>
      <c r="E810">
        <f>IFERROR(IF(AND(A810&gt;=129,A810&lt;=2176),INDEX(Fields!$C$2:$C$206,MATCH(A810-129,Fields!$D$2:$D$206,1)),""),"")</f>
        <v/>
      </c>
    </row>
    <row r="811">
      <c r="A811" t="n">
        <v>810</v>
      </c>
      <c r="B811">
        <f>IFERROR(INDEX(RawBits!$A:$A,MATCH($A811,RawBits!$H:$H,0)),"?")</f>
        <v/>
      </c>
      <c r="C811">
        <f>IFERROR(INDEX(RawBits!$G:$G,MATCH($A811,RawBits!$H:$H,0)),"")</f>
        <v/>
      </c>
      <c r="D811">
        <f>IFERROR(IF(AND(A811&gt;=129,A811&lt;=2176),INDEX(Fields!$B$2:$B$206,MATCH(A811-129,Fields!$D$2:$D$206,1)),""),"")</f>
        <v/>
      </c>
      <c r="E811">
        <f>IFERROR(IF(AND(A811&gt;=129,A811&lt;=2176),INDEX(Fields!$C$2:$C$206,MATCH(A811-129,Fields!$D$2:$D$206,1)),""),"")</f>
        <v/>
      </c>
    </row>
    <row r="812">
      <c r="A812" t="n">
        <v>811</v>
      </c>
      <c r="B812">
        <f>IFERROR(INDEX(RawBits!$A:$A,MATCH($A812,RawBits!$H:$H,0)),"?")</f>
        <v/>
      </c>
      <c r="C812">
        <f>IFERROR(INDEX(RawBits!$G:$G,MATCH($A812,RawBits!$H:$H,0)),"")</f>
        <v/>
      </c>
      <c r="D812">
        <f>IFERROR(IF(AND(A812&gt;=129,A812&lt;=2176),INDEX(Fields!$B$2:$B$206,MATCH(A812-129,Fields!$D$2:$D$206,1)),""),"")</f>
        <v/>
      </c>
      <c r="E812">
        <f>IFERROR(IF(AND(A812&gt;=129,A812&lt;=2176),INDEX(Fields!$C$2:$C$206,MATCH(A812-129,Fields!$D$2:$D$206,1)),""),"")</f>
        <v/>
      </c>
    </row>
    <row r="813">
      <c r="A813" t="n">
        <v>812</v>
      </c>
      <c r="B813">
        <f>IFERROR(INDEX(RawBits!$A:$A,MATCH($A813,RawBits!$H:$H,0)),"?")</f>
        <v/>
      </c>
      <c r="C813">
        <f>IFERROR(INDEX(RawBits!$G:$G,MATCH($A813,RawBits!$H:$H,0)),"")</f>
        <v/>
      </c>
      <c r="D813">
        <f>IFERROR(IF(AND(A813&gt;=129,A813&lt;=2176),INDEX(Fields!$B$2:$B$206,MATCH(A813-129,Fields!$D$2:$D$206,1)),""),"")</f>
        <v/>
      </c>
      <c r="E813">
        <f>IFERROR(IF(AND(A813&gt;=129,A813&lt;=2176),INDEX(Fields!$C$2:$C$206,MATCH(A813-129,Fields!$D$2:$D$206,1)),""),"")</f>
        <v/>
      </c>
    </row>
    <row r="814">
      <c r="A814" t="n">
        <v>813</v>
      </c>
      <c r="B814">
        <f>IFERROR(INDEX(RawBits!$A:$A,MATCH($A814,RawBits!$H:$H,0)),"?")</f>
        <v/>
      </c>
      <c r="C814">
        <f>IFERROR(INDEX(RawBits!$G:$G,MATCH($A814,RawBits!$H:$H,0)),"")</f>
        <v/>
      </c>
      <c r="D814">
        <f>IFERROR(IF(AND(A814&gt;=129,A814&lt;=2176),INDEX(Fields!$B$2:$B$206,MATCH(A814-129,Fields!$D$2:$D$206,1)),""),"")</f>
        <v/>
      </c>
      <c r="E814">
        <f>IFERROR(IF(AND(A814&gt;=129,A814&lt;=2176),INDEX(Fields!$C$2:$C$206,MATCH(A814-129,Fields!$D$2:$D$206,1)),""),"")</f>
        <v/>
      </c>
    </row>
    <row r="815">
      <c r="A815" t="n">
        <v>814</v>
      </c>
      <c r="B815">
        <f>IFERROR(INDEX(RawBits!$A:$A,MATCH($A815,RawBits!$H:$H,0)),"?")</f>
        <v/>
      </c>
      <c r="C815">
        <f>IFERROR(INDEX(RawBits!$G:$G,MATCH($A815,RawBits!$H:$H,0)),"")</f>
        <v/>
      </c>
      <c r="D815">
        <f>IFERROR(IF(AND(A815&gt;=129,A815&lt;=2176),INDEX(Fields!$B$2:$B$206,MATCH(A815-129,Fields!$D$2:$D$206,1)),""),"")</f>
        <v/>
      </c>
      <c r="E815">
        <f>IFERROR(IF(AND(A815&gt;=129,A815&lt;=2176),INDEX(Fields!$C$2:$C$206,MATCH(A815-129,Fields!$D$2:$D$206,1)),""),"")</f>
        <v/>
      </c>
    </row>
    <row r="816">
      <c r="A816" t="n">
        <v>815</v>
      </c>
      <c r="B816">
        <f>IFERROR(INDEX(RawBits!$A:$A,MATCH($A816,RawBits!$H:$H,0)),"?")</f>
        <v/>
      </c>
      <c r="C816">
        <f>IFERROR(INDEX(RawBits!$G:$G,MATCH($A816,RawBits!$H:$H,0)),"")</f>
        <v/>
      </c>
      <c r="D816">
        <f>IFERROR(IF(AND(A816&gt;=129,A816&lt;=2176),INDEX(Fields!$B$2:$B$206,MATCH(A816-129,Fields!$D$2:$D$206,1)),""),"")</f>
        <v/>
      </c>
      <c r="E816">
        <f>IFERROR(IF(AND(A816&gt;=129,A816&lt;=2176),INDEX(Fields!$C$2:$C$206,MATCH(A816-129,Fields!$D$2:$D$206,1)),""),"")</f>
        <v/>
      </c>
    </row>
    <row r="817">
      <c r="A817" t="n">
        <v>816</v>
      </c>
      <c r="B817">
        <f>IFERROR(INDEX(RawBits!$A:$A,MATCH($A817,RawBits!$H:$H,0)),"?")</f>
        <v/>
      </c>
      <c r="C817">
        <f>IFERROR(INDEX(RawBits!$G:$G,MATCH($A817,RawBits!$H:$H,0)),"")</f>
        <v/>
      </c>
      <c r="D817">
        <f>IFERROR(IF(AND(A817&gt;=129,A817&lt;=2176),INDEX(Fields!$B$2:$B$206,MATCH(A817-129,Fields!$D$2:$D$206,1)),""),"")</f>
        <v/>
      </c>
      <c r="E817">
        <f>IFERROR(IF(AND(A817&gt;=129,A817&lt;=2176),INDEX(Fields!$C$2:$C$206,MATCH(A817-129,Fields!$D$2:$D$206,1)),""),"")</f>
        <v/>
      </c>
    </row>
    <row r="818">
      <c r="A818" t="n">
        <v>817</v>
      </c>
      <c r="B818">
        <f>IFERROR(INDEX(RawBits!$A:$A,MATCH($A818,RawBits!$H:$H,0)),"?")</f>
        <v/>
      </c>
      <c r="C818">
        <f>IFERROR(INDEX(RawBits!$G:$G,MATCH($A818,RawBits!$H:$H,0)),"")</f>
        <v/>
      </c>
      <c r="D818">
        <f>IFERROR(IF(AND(A818&gt;=129,A818&lt;=2176),INDEX(Fields!$B$2:$B$206,MATCH(A818-129,Fields!$D$2:$D$206,1)),""),"")</f>
        <v/>
      </c>
      <c r="E818">
        <f>IFERROR(IF(AND(A818&gt;=129,A818&lt;=2176),INDEX(Fields!$C$2:$C$206,MATCH(A818-129,Fields!$D$2:$D$206,1)),""),"")</f>
        <v/>
      </c>
    </row>
    <row r="819">
      <c r="A819" t="n">
        <v>818</v>
      </c>
      <c r="B819">
        <f>IFERROR(INDEX(RawBits!$A:$A,MATCH($A819,RawBits!$H:$H,0)),"?")</f>
        <v/>
      </c>
      <c r="C819">
        <f>IFERROR(INDEX(RawBits!$G:$G,MATCH($A819,RawBits!$H:$H,0)),"")</f>
        <v/>
      </c>
      <c r="D819">
        <f>IFERROR(IF(AND(A819&gt;=129,A819&lt;=2176),INDEX(Fields!$B$2:$B$206,MATCH(A819-129,Fields!$D$2:$D$206,1)),""),"")</f>
        <v/>
      </c>
      <c r="E819">
        <f>IFERROR(IF(AND(A819&gt;=129,A819&lt;=2176),INDEX(Fields!$C$2:$C$206,MATCH(A819-129,Fields!$D$2:$D$206,1)),""),"")</f>
        <v/>
      </c>
    </row>
    <row r="820">
      <c r="A820" t="n">
        <v>819</v>
      </c>
      <c r="B820">
        <f>IFERROR(INDEX(RawBits!$A:$A,MATCH($A820,RawBits!$H:$H,0)),"?")</f>
        <v/>
      </c>
      <c r="C820">
        <f>IFERROR(INDEX(RawBits!$G:$G,MATCH($A820,RawBits!$H:$H,0)),"")</f>
        <v/>
      </c>
      <c r="D820">
        <f>IFERROR(IF(AND(A820&gt;=129,A820&lt;=2176),INDEX(Fields!$B$2:$B$206,MATCH(A820-129,Fields!$D$2:$D$206,1)),""),"")</f>
        <v/>
      </c>
      <c r="E820">
        <f>IFERROR(IF(AND(A820&gt;=129,A820&lt;=2176),INDEX(Fields!$C$2:$C$206,MATCH(A820-129,Fields!$D$2:$D$206,1)),""),"")</f>
        <v/>
      </c>
    </row>
    <row r="821">
      <c r="A821" t="n">
        <v>820</v>
      </c>
      <c r="B821">
        <f>IFERROR(INDEX(RawBits!$A:$A,MATCH($A821,RawBits!$H:$H,0)),"?")</f>
        <v/>
      </c>
      <c r="C821">
        <f>IFERROR(INDEX(RawBits!$G:$G,MATCH($A821,RawBits!$H:$H,0)),"")</f>
        <v/>
      </c>
      <c r="D821">
        <f>IFERROR(IF(AND(A821&gt;=129,A821&lt;=2176),INDEX(Fields!$B$2:$B$206,MATCH(A821-129,Fields!$D$2:$D$206,1)),""),"")</f>
        <v/>
      </c>
      <c r="E821">
        <f>IFERROR(IF(AND(A821&gt;=129,A821&lt;=2176),INDEX(Fields!$C$2:$C$206,MATCH(A821-129,Fields!$D$2:$D$206,1)),""),"")</f>
        <v/>
      </c>
    </row>
    <row r="822">
      <c r="A822" t="n">
        <v>821</v>
      </c>
      <c r="B822">
        <f>IFERROR(INDEX(RawBits!$A:$A,MATCH($A822,RawBits!$H:$H,0)),"?")</f>
        <v/>
      </c>
      <c r="C822">
        <f>IFERROR(INDEX(RawBits!$G:$G,MATCH($A822,RawBits!$H:$H,0)),"")</f>
        <v/>
      </c>
      <c r="D822">
        <f>IFERROR(IF(AND(A822&gt;=129,A822&lt;=2176),INDEX(Fields!$B$2:$B$206,MATCH(A822-129,Fields!$D$2:$D$206,1)),""),"")</f>
        <v/>
      </c>
      <c r="E822">
        <f>IFERROR(IF(AND(A822&gt;=129,A822&lt;=2176),INDEX(Fields!$C$2:$C$206,MATCH(A822-129,Fields!$D$2:$D$206,1)),""),"")</f>
        <v/>
      </c>
    </row>
    <row r="823">
      <c r="A823" t="n">
        <v>822</v>
      </c>
      <c r="B823">
        <f>IFERROR(INDEX(RawBits!$A:$A,MATCH($A823,RawBits!$H:$H,0)),"?")</f>
        <v/>
      </c>
      <c r="C823">
        <f>IFERROR(INDEX(RawBits!$G:$G,MATCH($A823,RawBits!$H:$H,0)),"")</f>
        <v/>
      </c>
      <c r="D823">
        <f>IFERROR(IF(AND(A823&gt;=129,A823&lt;=2176),INDEX(Fields!$B$2:$B$206,MATCH(A823-129,Fields!$D$2:$D$206,1)),""),"")</f>
        <v/>
      </c>
      <c r="E823">
        <f>IFERROR(IF(AND(A823&gt;=129,A823&lt;=2176),INDEX(Fields!$C$2:$C$206,MATCH(A823-129,Fields!$D$2:$D$206,1)),""),"")</f>
        <v/>
      </c>
    </row>
    <row r="824">
      <c r="A824" t="n">
        <v>823</v>
      </c>
      <c r="B824">
        <f>IFERROR(INDEX(RawBits!$A:$A,MATCH($A824,RawBits!$H:$H,0)),"?")</f>
        <v/>
      </c>
      <c r="C824">
        <f>IFERROR(INDEX(RawBits!$G:$G,MATCH($A824,RawBits!$H:$H,0)),"")</f>
        <v/>
      </c>
      <c r="D824">
        <f>IFERROR(IF(AND(A824&gt;=129,A824&lt;=2176),INDEX(Fields!$B$2:$B$206,MATCH(A824-129,Fields!$D$2:$D$206,1)),""),"")</f>
        <v/>
      </c>
      <c r="E824">
        <f>IFERROR(IF(AND(A824&gt;=129,A824&lt;=2176),INDEX(Fields!$C$2:$C$206,MATCH(A824-129,Fields!$D$2:$D$206,1)),""),"")</f>
        <v/>
      </c>
    </row>
    <row r="825">
      <c r="A825" t="n">
        <v>824</v>
      </c>
      <c r="B825">
        <f>IFERROR(INDEX(RawBits!$A:$A,MATCH($A825,RawBits!$H:$H,0)),"?")</f>
        <v/>
      </c>
      <c r="C825">
        <f>IFERROR(INDEX(RawBits!$G:$G,MATCH($A825,RawBits!$H:$H,0)),"")</f>
        <v/>
      </c>
      <c r="D825">
        <f>IFERROR(IF(AND(A825&gt;=129,A825&lt;=2176),INDEX(Fields!$B$2:$B$206,MATCH(A825-129,Fields!$D$2:$D$206,1)),""),"")</f>
        <v/>
      </c>
      <c r="E825">
        <f>IFERROR(IF(AND(A825&gt;=129,A825&lt;=2176),INDEX(Fields!$C$2:$C$206,MATCH(A825-129,Fields!$D$2:$D$206,1)),""),"")</f>
        <v/>
      </c>
    </row>
    <row r="826">
      <c r="A826" t="n">
        <v>825</v>
      </c>
      <c r="B826">
        <f>IFERROR(INDEX(RawBits!$A:$A,MATCH($A826,RawBits!$H:$H,0)),"?")</f>
        <v/>
      </c>
      <c r="C826">
        <f>IFERROR(INDEX(RawBits!$G:$G,MATCH($A826,RawBits!$H:$H,0)),"")</f>
        <v/>
      </c>
      <c r="D826">
        <f>IFERROR(IF(AND(A826&gt;=129,A826&lt;=2176),INDEX(Fields!$B$2:$B$206,MATCH(A826-129,Fields!$D$2:$D$206,1)),""),"")</f>
        <v/>
      </c>
      <c r="E826">
        <f>IFERROR(IF(AND(A826&gt;=129,A826&lt;=2176),INDEX(Fields!$C$2:$C$206,MATCH(A826-129,Fields!$D$2:$D$206,1)),""),"")</f>
        <v/>
      </c>
    </row>
    <row r="827">
      <c r="A827" t="n">
        <v>826</v>
      </c>
      <c r="B827">
        <f>IFERROR(INDEX(RawBits!$A:$A,MATCH($A827,RawBits!$H:$H,0)),"?")</f>
        <v/>
      </c>
      <c r="C827">
        <f>IFERROR(INDEX(RawBits!$G:$G,MATCH($A827,RawBits!$H:$H,0)),"")</f>
        <v/>
      </c>
      <c r="D827">
        <f>IFERROR(IF(AND(A827&gt;=129,A827&lt;=2176),INDEX(Fields!$B$2:$B$206,MATCH(A827-129,Fields!$D$2:$D$206,1)),""),"")</f>
        <v/>
      </c>
      <c r="E827">
        <f>IFERROR(IF(AND(A827&gt;=129,A827&lt;=2176),INDEX(Fields!$C$2:$C$206,MATCH(A827-129,Fields!$D$2:$D$206,1)),""),"")</f>
        <v/>
      </c>
    </row>
    <row r="828">
      <c r="A828" t="n">
        <v>827</v>
      </c>
      <c r="B828">
        <f>IFERROR(INDEX(RawBits!$A:$A,MATCH($A828,RawBits!$H:$H,0)),"?")</f>
        <v/>
      </c>
      <c r="C828">
        <f>IFERROR(INDEX(RawBits!$G:$G,MATCH($A828,RawBits!$H:$H,0)),"")</f>
        <v/>
      </c>
      <c r="D828">
        <f>IFERROR(IF(AND(A828&gt;=129,A828&lt;=2176),INDEX(Fields!$B$2:$B$206,MATCH(A828-129,Fields!$D$2:$D$206,1)),""),"")</f>
        <v/>
      </c>
      <c r="E828">
        <f>IFERROR(IF(AND(A828&gt;=129,A828&lt;=2176),INDEX(Fields!$C$2:$C$206,MATCH(A828-129,Fields!$D$2:$D$206,1)),""),"")</f>
        <v/>
      </c>
    </row>
    <row r="829">
      <c r="A829" t="n">
        <v>828</v>
      </c>
      <c r="B829">
        <f>IFERROR(INDEX(RawBits!$A:$A,MATCH($A829,RawBits!$H:$H,0)),"?")</f>
        <v/>
      </c>
      <c r="C829">
        <f>IFERROR(INDEX(RawBits!$G:$G,MATCH($A829,RawBits!$H:$H,0)),"")</f>
        <v/>
      </c>
      <c r="D829">
        <f>IFERROR(IF(AND(A829&gt;=129,A829&lt;=2176),INDEX(Fields!$B$2:$B$206,MATCH(A829-129,Fields!$D$2:$D$206,1)),""),"")</f>
        <v/>
      </c>
      <c r="E829">
        <f>IFERROR(IF(AND(A829&gt;=129,A829&lt;=2176),INDEX(Fields!$C$2:$C$206,MATCH(A829-129,Fields!$D$2:$D$206,1)),""),"")</f>
        <v/>
      </c>
    </row>
    <row r="830">
      <c r="A830" t="n">
        <v>829</v>
      </c>
      <c r="B830">
        <f>IFERROR(INDEX(RawBits!$A:$A,MATCH($A830,RawBits!$H:$H,0)),"?")</f>
        <v/>
      </c>
      <c r="C830">
        <f>IFERROR(INDEX(RawBits!$G:$G,MATCH($A830,RawBits!$H:$H,0)),"")</f>
        <v/>
      </c>
      <c r="D830">
        <f>IFERROR(IF(AND(A830&gt;=129,A830&lt;=2176),INDEX(Fields!$B$2:$B$206,MATCH(A830-129,Fields!$D$2:$D$206,1)),""),"")</f>
        <v/>
      </c>
      <c r="E830">
        <f>IFERROR(IF(AND(A830&gt;=129,A830&lt;=2176),INDEX(Fields!$C$2:$C$206,MATCH(A830-129,Fields!$D$2:$D$206,1)),""),"")</f>
        <v/>
      </c>
    </row>
    <row r="831">
      <c r="A831" t="n">
        <v>830</v>
      </c>
      <c r="B831">
        <f>IFERROR(INDEX(RawBits!$A:$A,MATCH($A831,RawBits!$H:$H,0)),"?")</f>
        <v/>
      </c>
      <c r="C831">
        <f>IFERROR(INDEX(RawBits!$G:$G,MATCH($A831,RawBits!$H:$H,0)),"")</f>
        <v/>
      </c>
      <c r="D831">
        <f>IFERROR(IF(AND(A831&gt;=129,A831&lt;=2176),INDEX(Fields!$B$2:$B$206,MATCH(A831-129,Fields!$D$2:$D$206,1)),""),"")</f>
        <v/>
      </c>
      <c r="E831">
        <f>IFERROR(IF(AND(A831&gt;=129,A831&lt;=2176),INDEX(Fields!$C$2:$C$206,MATCH(A831-129,Fields!$D$2:$D$206,1)),""),"")</f>
        <v/>
      </c>
    </row>
    <row r="832">
      <c r="A832" t="n">
        <v>831</v>
      </c>
      <c r="B832">
        <f>IFERROR(INDEX(RawBits!$A:$A,MATCH($A832,RawBits!$H:$H,0)),"?")</f>
        <v/>
      </c>
      <c r="C832">
        <f>IFERROR(INDEX(RawBits!$G:$G,MATCH($A832,RawBits!$H:$H,0)),"")</f>
        <v/>
      </c>
      <c r="D832">
        <f>IFERROR(IF(AND(A832&gt;=129,A832&lt;=2176),INDEX(Fields!$B$2:$B$206,MATCH(A832-129,Fields!$D$2:$D$206,1)),""),"")</f>
        <v/>
      </c>
      <c r="E832">
        <f>IFERROR(IF(AND(A832&gt;=129,A832&lt;=2176),INDEX(Fields!$C$2:$C$206,MATCH(A832-129,Fields!$D$2:$D$206,1)),""),"")</f>
        <v/>
      </c>
    </row>
    <row r="833">
      <c r="A833" t="n">
        <v>832</v>
      </c>
      <c r="B833">
        <f>IFERROR(INDEX(RawBits!$A:$A,MATCH($A833,RawBits!$H:$H,0)),"?")</f>
        <v/>
      </c>
      <c r="C833">
        <f>IFERROR(INDEX(RawBits!$G:$G,MATCH($A833,RawBits!$H:$H,0)),"")</f>
        <v/>
      </c>
      <c r="D833">
        <f>IFERROR(IF(AND(A833&gt;=129,A833&lt;=2176),INDEX(Fields!$B$2:$B$206,MATCH(A833-129,Fields!$D$2:$D$206,1)),""),"")</f>
        <v/>
      </c>
      <c r="E833">
        <f>IFERROR(IF(AND(A833&gt;=129,A833&lt;=2176),INDEX(Fields!$C$2:$C$206,MATCH(A833-129,Fields!$D$2:$D$206,1)),""),"")</f>
        <v/>
      </c>
    </row>
    <row r="834">
      <c r="A834" t="n">
        <v>833</v>
      </c>
      <c r="B834">
        <f>IFERROR(INDEX(RawBits!$A:$A,MATCH($A834,RawBits!$H:$H,0)),"?")</f>
        <v/>
      </c>
      <c r="C834">
        <f>IFERROR(INDEX(RawBits!$G:$G,MATCH($A834,RawBits!$H:$H,0)),"")</f>
        <v/>
      </c>
      <c r="D834">
        <f>IFERROR(IF(AND(A834&gt;=129,A834&lt;=2176),INDEX(Fields!$B$2:$B$206,MATCH(A834-129,Fields!$D$2:$D$206,1)),""),"")</f>
        <v/>
      </c>
      <c r="E834">
        <f>IFERROR(IF(AND(A834&gt;=129,A834&lt;=2176),INDEX(Fields!$C$2:$C$206,MATCH(A834-129,Fields!$D$2:$D$206,1)),""),"")</f>
        <v/>
      </c>
    </row>
    <row r="835">
      <c r="A835" t="n">
        <v>834</v>
      </c>
      <c r="B835">
        <f>IFERROR(INDEX(RawBits!$A:$A,MATCH($A835,RawBits!$H:$H,0)),"?")</f>
        <v/>
      </c>
      <c r="C835">
        <f>IFERROR(INDEX(RawBits!$G:$G,MATCH($A835,RawBits!$H:$H,0)),"")</f>
        <v/>
      </c>
      <c r="D835">
        <f>IFERROR(IF(AND(A835&gt;=129,A835&lt;=2176),INDEX(Fields!$B$2:$B$206,MATCH(A835-129,Fields!$D$2:$D$206,1)),""),"")</f>
        <v/>
      </c>
      <c r="E835">
        <f>IFERROR(IF(AND(A835&gt;=129,A835&lt;=2176),INDEX(Fields!$C$2:$C$206,MATCH(A835-129,Fields!$D$2:$D$206,1)),""),"")</f>
        <v/>
      </c>
    </row>
    <row r="836">
      <c r="A836" t="n">
        <v>835</v>
      </c>
      <c r="B836">
        <f>IFERROR(INDEX(RawBits!$A:$A,MATCH($A836,RawBits!$H:$H,0)),"?")</f>
        <v/>
      </c>
      <c r="C836">
        <f>IFERROR(INDEX(RawBits!$G:$G,MATCH($A836,RawBits!$H:$H,0)),"")</f>
        <v/>
      </c>
      <c r="D836">
        <f>IFERROR(IF(AND(A836&gt;=129,A836&lt;=2176),INDEX(Fields!$B$2:$B$206,MATCH(A836-129,Fields!$D$2:$D$206,1)),""),"")</f>
        <v/>
      </c>
      <c r="E836">
        <f>IFERROR(IF(AND(A836&gt;=129,A836&lt;=2176),INDEX(Fields!$C$2:$C$206,MATCH(A836-129,Fields!$D$2:$D$206,1)),""),"")</f>
        <v/>
      </c>
    </row>
    <row r="837">
      <c r="A837" t="n">
        <v>836</v>
      </c>
      <c r="B837">
        <f>IFERROR(INDEX(RawBits!$A:$A,MATCH($A837,RawBits!$H:$H,0)),"?")</f>
        <v/>
      </c>
      <c r="C837">
        <f>IFERROR(INDEX(RawBits!$G:$G,MATCH($A837,RawBits!$H:$H,0)),"")</f>
        <v/>
      </c>
      <c r="D837">
        <f>IFERROR(IF(AND(A837&gt;=129,A837&lt;=2176),INDEX(Fields!$B$2:$B$206,MATCH(A837-129,Fields!$D$2:$D$206,1)),""),"")</f>
        <v/>
      </c>
      <c r="E837">
        <f>IFERROR(IF(AND(A837&gt;=129,A837&lt;=2176),INDEX(Fields!$C$2:$C$206,MATCH(A837-129,Fields!$D$2:$D$206,1)),""),"")</f>
        <v/>
      </c>
    </row>
    <row r="838">
      <c r="A838" t="n">
        <v>837</v>
      </c>
      <c r="B838">
        <f>IFERROR(INDEX(RawBits!$A:$A,MATCH($A838,RawBits!$H:$H,0)),"?")</f>
        <v/>
      </c>
      <c r="C838">
        <f>IFERROR(INDEX(RawBits!$G:$G,MATCH($A838,RawBits!$H:$H,0)),"")</f>
        <v/>
      </c>
      <c r="D838">
        <f>IFERROR(IF(AND(A838&gt;=129,A838&lt;=2176),INDEX(Fields!$B$2:$B$206,MATCH(A838-129,Fields!$D$2:$D$206,1)),""),"")</f>
        <v/>
      </c>
      <c r="E838">
        <f>IFERROR(IF(AND(A838&gt;=129,A838&lt;=2176),INDEX(Fields!$C$2:$C$206,MATCH(A838-129,Fields!$D$2:$D$206,1)),""),"")</f>
        <v/>
      </c>
    </row>
    <row r="839">
      <c r="A839" t="n">
        <v>838</v>
      </c>
      <c r="B839">
        <f>IFERROR(INDEX(RawBits!$A:$A,MATCH($A839,RawBits!$H:$H,0)),"?")</f>
        <v/>
      </c>
      <c r="C839">
        <f>IFERROR(INDEX(RawBits!$G:$G,MATCH($A839,RawBits!$H:$H,0)),"")</f>
        <v/>
      </c>
      <c r="D839">
        <f>IFERROR(IF(AND(A839&gt;=129,A839&lt;=2176),INDEX(Fields!$B$2:$B$206,MATCH(A839-129,Fields!$D$2:$D$206,1)),""),"")</f>
        <v/>
      </c>
      <c r="E839">
        <f>IFERROR(IF(AND(A839&gt;=129,A839&lt;=2176),INDEX(Fields!$C$2:$C$206,MATCH(A839-129,Fields!$D$2:$D$206,1)),""),"")</f>
        <v/>
      </c>
    </row>
    <row r="840">
      <c r="A840" t="n">
        <v>839</v>
      </c>
      <c r="B840">
        <f>IFERROR(INDEX(RawBits!$A:$A,MATCH($A840,RawBits!$H:$H,0)),"?")</f>
        <v/>
      </c>
      <c r="C840">
        <f>IFERROR(INDEX(RawBits!$G:$G,MATCH($A840,RawBits!$H:$H,0)),"")</f>
        <v/>
      </c>
      <c r="D840">
        <f>IFERROR(IF(AND(A840&gt;=129,A840&lt;=2176),INDEX(Fields!$B$2:$B$206,MATCH(A840-129,Fields!$D$2:$D$206,1)),""),"")</f>
        <v/>
      </c>
      <c r="E840">
        <f>IFERROR(IF(AND(A840&gt;=129,A840&lt;=2176),INDEX(Fields!$C$2:$C$206,MATCH(A840-129,Fields!$D$2:$D$206,1)),""),"")</f>
        <v/>
      </c>
    </row>
    <row r="841">
      <c r="A841" t="n">
        <v>840</v>
      </c>
      <c r="B841">
        <f>IFERROR(INDEX(RawBits!$A:$A,MATCH($A841,RawBits!$H:$H,0)),"?")</f>
        <v/>
      </c>
      <c r="C841">
        <f>IFERROR(INDEX(RawBits!$G:$G,MATCH($A841,RawBits!$H:$H,0)),"")</f>
        <v/>
      </c>
      <c r="D841">
        <f>IFERROR(IF(AND(A841&gt;=129,A841&lt;=2176),INDEX(Fields!$B$2:$B$206,MATCH(A841-129,Fields!$D$2:$D$206,1)),""),"")</f>
        <v/>
      </c>
      <c r="E841">
        <f>IFERROR(IF(AND(A841&gt;=129,A841&lt;=2176),INDEX(Fields!$C$2:$C$206,MATCH(A841-129,Fields!$D$2:$D$206,1)),""),"")</f>
        <v/>
      </c>
    </row>
    <row r="842">
      <c r="A842" t="n">
        <v>841</v>
      </c>
      <c r="B842">
        <f>IFERROR(INDEX(RawBits!$A:$A,MATCH($A842,RawBits!$H:$H,0)),"?")</f>
        <v/>
      </c>
      <c r="C842">
        <f>IFERROR(INDEX(RawBits!$G:$G,MATCH($A842,RawBits!$H:$H,0)),"")</f>
        <v/>
      </c>
      <c r="D842">
        <f>IFERROR(IF(AND(A842&gt;=129,A842&lt;=2176),INDEX(Fields!$B$2:$B$206,MATCH(A842-129,Fields!$D$2:$D$206,1)),""),"")</f>
        <v/>
      </c>
      <c r="E842">
        <f>IFERROR(IF(AND(A842&gt;=129,A842&lt;=2176),INDEX(Fields!$C$2:$C$206,MATCH(A842-129,Fields!$D$2:$D$206,1)),""),"")</f>
        <v/>
      </c>
    </row>
    <row r="843">
      <c r="A843" t="n">
        <v>842</v>
      </c>
      <c r="B843">
        <f>IFERROR(INDEX(RawBits!$A:$A,MATCH($A843,RawBits!$H:$H,0)),"?")</f>
        <v/>
      </c>
      <c r="C843">
        <f>IFERROR(INDEX(RawBits!$G:$G,MATCH($A843,RawBits!$H:$H,0)),"")</f>
        <v/>
      </c>
      <c r="D843">
        <f>IFERROR(IF(AND(A843&gt;=129,A843&lt;=2176),INDEX(Fields!$B$2:$B$206,MATCH(A843-129,Fields!$D$2:$D$206,1)),""),"")</f>
        <v/>
      </c>
      <c r="E843">
        <f>IFERROR(IF(AND(A843&gt;=129,A843&lt;=2176),INDEX(Fields!$C$2:$C$206,MATCH(A843-129,Fields!$D$2:$D$206,1)),""),"")</f>
        <v/>
      </c>
    </row>
    <row r="844">
      <c r="A844" t="n">
        <v>843</v>
      </c>
      <c r="B844">
        <f>IFERROR(INDEX(RawBits!$A:$A,MATCH($A844,RawBits!$H:$H,0)),"?")</f>
        <v/>
      </c>
      <c r="C844">
        <f>IFERROR(INDEX(RawBits!$G:$G,MATCH($A844,RawBits!$H:$H,0)),"")</f>
        <v/>
      </c>
      <c r="D844">
        <f>IFERROR(IF(AND(A844&gt;=129,A844&lt;=2176),INDEX(Fields!$B$2:$B$206,MATCH(A844-129,Fields!$D$2:$D$206,1)),""),"")</f>
        <v/>
      </c>
      <c r="E844">
        <f>IFERROR(IF(AND(A844&gt;=129,A844&lt;=2176),INDEX(Fields!$C$2:$C$206,MATCH(A844-129,Fields!$D$2:$D$206,1)),""),"")</f>
        <v/>
      </c>
    </row>
    <row r="845">
      <c r="A845" t="n">
        <v>844</v>
      </c>
      <c r="B845">
        <f>IFERROR(INDEX(RawBits!$A:$A,MATCH($A845,RawBits!$H:$H,0)),"?")</f>
        <v/>
      </c>
      <c r="C845">
        <f>IFERROR(INDEX(RawBits!$G:$G,MATCH($A845,RawBits!$H:$H,0)),"")</f>
        <v/>
      </c>
      <c r="D845">
        <f>IFERROR(IF(AND(A845&gt;=129,A845&lt;=2176),INDEX(Fields!$B$2:$B$206,MATCH(A845-129,Fields!$D$2:$D$206,1)),""),"")</f>
        <v/>
      </c>
      <c r="E845">
        <f>IFERROR(IF(AND(A845&gt;=129,A845&lt;=2176),INDEX(Fields!$C$2:$C$206,MATCH(A845-129,Fields!$D$2:$D$206,1)),""),"")</f>
        <v/>
      </c>
    </row>
    <row r="846">
      <c r="A846" t="n">
        <v>845</v>
      </c>
      <c r="B846">
        <f>IFERROR(INDEX(RawBits!$A:$A,MATCH($A846,RawBits!$H:$H,0)),"?")</f>
        <v/>
      </c>
      <c r="C846">
        <f>IFERROR(INDEX(RawBits!$G:$G,MATCH($A846,RawBits!$H:$H,0)),"")</f>
        <v/>
      </c>
      <c r="D846">
        <f>IFERROR(IF(AND(A846&gt;=129,A846&lt;=2176),INDEX(Fields!$B$2:$B$206,MATCH(A846-129,Fields!$D$2:$D$206,1)),""),"")</f>
        <v/>
      </c>
      <c r="E846">
        <f>IFERROR(IF(AND(A846&gt;=129,A846&lt;=2176),INDEX(Fields!$C$2:$C$206,MATCH(A846-129,Fields!$D$2:$D$206,1)),""),"")</f>
        <v/>
      </c>
    </row>
    <row r="847">
      <c r="A847" t="n">
        <v>846</v>
      </c>
      <c r="B847">
        <f>IFERROR(INDEX(RawBits!$A:$A,MATCH($A847,RawBits!$H:$H,0)),"?")</f>
        <v/>
      </c>
      <c r="C847">
        <f>IFERROR(INDEX(RawBits!$G:$G,MATCH($A847,RawBits!$H:$H,0)),"")</f>
        <v/>
      </c>
      <c r="D847">
        <f>IFERROR(IF(AND(A847&gt;=129,A847&lt;=2176),INDEX(Fields!$B$2:$B$206,MATCH(A847-129,Fields!$D$2:$D$206,1)),""),"")</f>
        <v/>
      </c>
      <c r="E847">
        <f>IFERROR(IF(AND(A847&gt;=129,A847&lt;=2176),INDEX(Fields!$C$2:$C$206,MATCH(A847-129,Fields!$D$2:$D$206,1)),""),"")</f>
        <v/>
      </c>
    </row>
    <row r="848">
      <c r="A848" t="n">
        <v>847</v>
      </c>
      <c r="B848">
        <f>IFERROR(INDEX(RawBits!$A:$A,MATCH($A848,RawBits!$H:$H,0)),"?")</f>
        <v/>
      </c>
      <c r="C848">
        <f>IFERROR(INDEX(RawBits!$G:$G,MATCH($A848,RawBits!$H:$H,0)),"")</f>
        <v/>
      </c>
      <c r="D848">
        <f>IFERROR(IF(AND(A848&gt;=129,A848&lt;=2176),INDEX(Fields!$B$2:$B$206,MATCH(A848-129,Fields!$D$2:$D$206,1)),""),"")</f>
        <v/>
      </c>
      <c r="E848">
        <f>IFERROR(IF(AND(A848&gt;=129,A848&lt;=2176),INDEX(Fields!$C$2:$C$206,MATCH(A848-129,Fields!$D$2:$D$206,1)),""),"")</f>
        <v/>
      </c>
    </row>
    <row r="849">
      <c r="A849" t="n">
        <v>848</v>
      </c>
      <c r="B849">
        <f>IFERROR(INDEX(RawBits!$A:$A,MATCH($A849,RawBits!$H:$H,0)),"?")</f>
        <v/>
      </c>
      <c r="C849">
        <f>IFERROR(INDEX(RawBits!$G:$G,MATCH($A849,RawBits!$H:$H,0)),"")</f>
        <v/>
      </c>
      <c r="D849">
        <f>IFERROR(IF(AND(A849&gt;=129,A849&lt;=2176),INDEX(Fields!$B$2:$B$206,MATCH(A849-129,Fields!$D$2:$D$206,1)),""),"")</f>
        <v/>
      </c>
      <c r="E849">
        <f>IFERROR(IF(AND(A849&gt;=129,A849&lt;=2176),INDEX(Fields!$C$2:$C$206,MATCH(A849-129,Fields!$D$2:$D$206,1)),""),"")</f>
        <v/>
      </c>
    </row>
    <row r="850">
      <c r="A850" t="n">
        <v>849</v>
      </c>
      <c r="B850">
        <f>IFERROR(INDEX(RawBits!$A:$A,MATCH($A850,RawBits!$H:$H,0)),"?")</f>
        <v/>
      </c>
      <c r="C850">
        <f>IFERROR(INDEX(RawBits!$G:$G,MATCH($A850,RawBits!$H:$H,0)),"")</f>
        <v/>
      </c>
      <c r="D850">
        <f>IFERROR(IF(AND(A850&gt;=129,A850&lt;=2176),INDEX(Fields!$B$2:$B$206,MATCH(A850-129,Fields!$D$2:$D$206,1)),""),"")</f>
        <v/>
      </c>
      <c r="E850">
        <f>IFERROR(IF(AND(A850&gt;=129,A850&lt;=2176),INDEX(Fields!$C$2:$C$206,MATCH(A850-129,Fields!$D$2:$D$206,1)),""),"")</f>
        <v/>
      </c>
    </row>
    <row r="851">
      <c r="A851" t="n">
        <v>850</v>
      </c>
      <c r="B851">
        <f>IFERROR(INDEX(RawBits!$A:$A,MATCH($A851,RawBits!$H:$H,0)),"?")</f>
        <v/>
      </c>
      <c r="C851">
        <f>IFERROR(INDEX(RawBits!$G:$G,MATCH($A851,RawBits!$H:$H,0)),"")</f>
        <v/>
      </c>
      <c r="D851">
        <f>IFERROR(IF(AND(A851&gt;=129,A851&lt;=2176),INDEX(Fields!$B$2:$B$206,MATCH(A851-129,Fields!$D$2:$D$206,1)),""),"")</f>
        <v/>
      </c>
      <c r="E851">
        <f>IFERROR(IF(AND(A851&gt;=129,A851&lt;=2176),INDEX(Fields!$C$2:$C$206,MATCH(A851-129,Fields!$D$2:$D$206,1)),""),"")</f>
        <v/>
      </c>
    </row>
    <row r="852">
      <c r="A852" t="n">
        <v>851</v>
      </c>
      <c r="B852">
        <f>IFERROR(INDEX(RawBits!$A:$A,MATCH($A852,RawBits!$H:$H,0)),"?")</f>
        <v/>
      </c>
      <c r="C852">
        <f>IFERROR(INDEX(RawBits!$G:$G,MATCH($A852,RawBits!$H:$H,0)),"")</f>
        <v/>
      </c>
      <c r="D852">
        <f>IFERROR(IF(AND(A852&gt;=129,A852&lt;=2176),INDEX(Fields!$B$2:$B$206,MATCH(A852-129,Fields!$D$2:$D$206,1)),""),"")</f>
        <v/>
      </c>
      <c r="E852">
        <f>IFERROR(IF(AND(A852&gt;=129,A852&lt;=2176),INDEX(Fields!$C$2:$C$206,MATCH(A852-129,Fields!$D$2:$D$206,1)),""),"")</f>
        <v/>
      </c>
    </row>
    <row r="853">
      <c r="A853" t="n">
        <v>852</v>
      </c>
      <c r="B853">
        <f>IFERROR(INDEX(RawBits!$A:$A,MATCH($A853,RawBits!$H:$H,0)),"?")</f>
        <v/>
      </c>
      <c r="C853">
        <f>IFERROR(INDEX(RawBits!$G:$G,MATCH($A853,RawBits!$H:$H,0)),"")</f>
        <v/>
      </c>
      <c r="D853">
        <f>IFERROR(IF(AND(A853&gt;=129,A853&lt;=2176),INDEX(Fields!$B$2:$B$206,MATCH(A853-129,Fields!$D$2:$D$206,1)),""),"")</f>
        <v/>
      </c>
      <c r="E853">
        <f>IFERROR(IF(AND(A853&gt;=129,A853&lt;=2176),INDEX(Fields!$C$2:$C$206,MATCH(A853-129,Fields!$D$2:$D$206,1)),""),"")</f>
        <v/>
      </c>
    </row>
    <row r="854">
      <c r="A854" t="n">
        <v>853</v>
      </c>
      <c r="B854">
        <f>IFERROR(INDEX(RawBits!$A:$A,MATCH($A854,RawBits!$H:$H,0)),"?")</f>
        <v/>
      </c>
      <c r="C854">
        <f>IFERROR(INDEX(RawBits!$G:$G,MATCH($A854,RawBits!$H:$H,0)),"")</f>
        <v/>
      </c>
      <c r="D854">
        <f>IFERROR(IF(AND(A854&gt;=129,A854&lt;=2176),INDEX(Fields!$B$2:$B$206,MATCH(A854-129,Fields!$D$2:$D$206,1)),""),"")</f>
        <v/>
      </c>
      <c r="E854">
        <f>IFERROR(IF(AND(A854&gt;=129,A854&lt;=2176),INDEX(Fields!$C$2:$C$206,MATCH(A854-129,Fields!$D$2:$D$206,1)),""),"")</f>
        <v/>
      </c>
    </row>
    <row r="855">
      <c r="A855" t="n">
        <v>854</v>
      </c>
      <c r="B855">
        <f>IFERROR(INDEX(RawBits!$A:$A,MATCH($A855,RawBits!$H:$H,0)),"?")</f>
        <v/>
      </c>
      <c r="C855">
        <f>IFERROR(INDEX(RawBits!$G:$G,MATCH($A855,RawBits!$H:$H,0)),"")</f>
        <v/>
      </c>
      <c r="D855">
        <f>IFERROR(IF(AND(A855&gt;=129,A855&lt;=2176),INDEX(Fields!$B$2:$B$206,MATCH(A855-129,Fields!$D$2:$D$206,1)),""),"")</f>
        <v/>
      </c>
      <c r="E855">
        <f>IFERROR(IF(AND(A855&gt;=129,A855&lt;=2176),INDEX(Fields!$C$2:$C$206,MATCH(A855-129,Fields!$D$2:$D$206,1)),""),"")</f>
        <v/>
      </c>
    </row>
    <row r="856">
      <c r="A856" t="n">
        <v>855</v>
      </c>
      <c r="B856">
        <f>IFERROR(INDEX(RawBits!$A:$A,MATCH($A856,RawBits!$H:$H,0)),"?")</f>
        <v/>
      </c>
      <c r="C856">
        <f>IFERROR(INDEX(RawBits!$G:$G,MATCH($A856,RawBits!$H:$H,0)),"")</f>
        <v/>
      </c>
      <c r="D856">
        <f>IFERROR(IF(AND(A856&gt;=129,A856&lt;=2176),INDEX(Fields!$B$2:$B$206,MATCH(A856-129,Fields!$D$2:$D$206,1)),""),"")</f>
        <v/>
      </c>
      <c r="E856">
        <f>IFERROR(IF(AND(A856&gt;=129,A856&lt;=2176),INDEX(Fields!$C$2:$C$206,MATCH(A856-129,Fields!$D$2:$D$206,1)),""),"")</f>
        <v/>
      </c>
    </row>
    <row r="857">
      <c r="A857" t="n">
        <v>856</v>
      </c>
      <c r="B857">
        <f>IFERROR(INDEX(RawBits!$A:$A,MATCH($A857,RawBits!$H:$H,0)),"?")</f>
        <v/>
      </c>
      <c r="C857">
        <f>IFERROR(INDEX(RawBits!$G:$G,MATCH($A857,RawBits!$H:$H,0)),"")</f>
        <v/>
      </c>
      <c r="D857">
        <f>IFERROR(IF(AND(A857&gt;=129,A857&lt;=2176),INDEX(Fields!$B$2:$B$206,MATCH(A857-129,Fields!$D$2:$D$206,1)),""),"")</f>
        <v/>
      </c>
      <c r="E857">
        <f>IFERROR(IF(AND(A857&gt;=129,A857&lt;=2176),INDEX(Fields!$C$2:$C$206,MATCH(A857-129,Fields!$D$2:$D$206,1)),""),"")</f>
        <v/>
      </c>
    </row>
    <row r="858">
      <c r="A858" t="n">
        <v>857</v>
      </c>
      <c r="B858">
        <f>IFERROR(INDEX(RawBits!$A:$A,MATCH($A858,RawBits!$H:$H,0)),"?")</f>
        <v/>
      </c>
      <c r="C858">
        <f>IFERROR(INDEX(RawBits!$G:$G,MATCH($A858,RawBits!$H:$H,0)),"")</f>
        <v/>
      </c>
      <c r="D858">
        <f>IFERROR(IF(AND(A858&gt;=129,A858&lt;=2176),INDEX(Fields!$B$2:$B$206,MATCH(A858-129,Fields!$D$2:$D$206,1)),""),"")</f>
        <v/>
      </c>
      <c r="E858">
        <f>IFERROR(IF(AND(A858&gt;=129,A858&lt;=2176),INDEX(Fields!$C$2:$C$206,MATCH(A858-129,Fields!$D$2:$D$206,1)),""),"")</f>
        <v/>
      </c>
    </row>
    <row r="859">
      <c r="A859" t="n">
        <v>858</v>
      </c>
      <c r="B859">
        <f>IFERROR(INDEX(RawBits!$A:$A,MATCH($A859,RawBits!$H:$H,0)),"?")</f>
        <v/>
      </c>
      <c r="C859">
        <f>IFERROR(INDEX(RawBits!$G:$G,MATCH($A859,RawBits!$H:$H,0)),"")</f>
        <v/>
      </c>
      <c r="D859">
        <f>IFERROR(IF(AND(A859&gt;=129,A859&lt;=2176),INDEX(Fields!$B$2:$B$206,MATCH(A859-129,Fields!$D$2:$D$206,1)),""),"")</f>
        <v/>
      </c>
      <c r="E859">
        <f>IFERROR(IF(AND(A859&gt;=129,A859&lt;=2176),INDEX(Fields!$C$2:$C$206,MATCH(A859-129,Fields!$D$2:$D$206,1)),""),"")</f>
        <v/>
      </c>
    </row>
    <row r="860">
      <c r="A860" t="n">
        <v>859</v>
      </c>
      <c r="B860">
        <f>IFERROR(INDEX(RawBits!$A:$A,MATCH($A860,RawBits!$H:$H,0)),"?")</f>
        <v/>
      </c>
      <c r="C860">
        <f>IFERROR(INDEX(RawBits!$G:$G,MATCH($A860,RawBits!$H:$H,0)),"")</f>
        <v/>
      </c>
      <c r="D860">
        <f>IFERROR(IF(AND(A860&gt;=129,A860&lt;=2176),INDEX(Fields!$B$2:$B$206,MATCH(A860-129,Fields!$D$2:$D$206,1)),""),"")</f>
        <v/>
      </c>
      <c r="E860">
        <f>IFERROR(IF(AND(A860&gt;=129,A860&lt;=2176),INDEX(Fields!$C$2:$C$206,MATCH(A860-129,Fields!$D$2:$D$206,1)),""),"")</f>
        <v/>
      </c>
    </row>
    <row r="861">
      <c r="A861" t="n">
        <v>860</v>
      </c>
      <c r="B861">
        <f>IFERROR(INDEX(RawBits!$A:$A,MATCH($A861,RawBits!$H:$H,0)),"?")</f>
        <v/>
      </c>
      <c r="C861">
        <f>IFERROR(INDEX(RawBits!$G:$G,MATCH($A861,RawBits!$H:$H,0)),"")</f>
        <v/>
      </c>
      <c r="D861">
        <f>IFERROR(IF(AND(A861&gt;=129,A861&lt;=2176),INDEX(Fields!$B$2:$B$206,MATCH(A861-129,Fields!$D$2:$D$206,1)),""),"")</f>
        <v/>
      </c>
      <c r="E861">
        <f>IFERROR(IF(AND(A861&gt;=129,A861&lt;=2176),INDEX(Fields!$C$2:$C$206,MATCH(A861-129,Fields!$D$2:$D$206,1)),""),"")</f>
        <v/>
      </c>
    </row>
    <row r="862">
      <c r="A862" t="n">
        <v>861</v>
      </c>
      <c r="B862">
        <f>IFERROR(INDEX(RawBits!$A:$A,MATCH($A862,RawBits!$H:$H,0)),"?")</f>
        <v/>
      </c>
      <c r="C862">
        <f>IFERROR(INDEX(RawBits!$G:$G,MATCH($A862,RawBits!$H:$H,0)),"")</f>
        <v/>
      </c>
      <c r="D862">
        <f>IFERROR(IF(AND(A862&gt;=129,A862&lt;=2176),INDEX(Fields!$B$2:$B$206,MATCH(A862-129,Fields!$D$2:$D$206,1)),""),"")</f>
        <v/>
      </c>
      <c r="E862">
        <f>IFERROR(IF(AND(A862&gt;=129,A862&lt;=2176),INDEX(Fields!$C$2:$C$206,MATCH(A862-129,Fields!$D$2:$D$206,1)),""),"")</f>
        <v/>
      </c>
    </row>
    <row r="863">
      <c r="A863" t="n">
        <v>862</v>
      </c>
      <c r="B863">
        <f>IFERROR(INDEX(RawBits!$A:$A,MATCH($A863,RawBits!$H:$H,0)),"?")</f>
        <v/>
      </c>
      <c r="C863">
        <f>IFERROR(INDEX(RawBits!$G:$G,MATCH($A863,RawBits!$H:$H,0)),"")</f>
        <v/>
      </c>
      <c r="D863">
        <f>IFERROR(IF(AND(A863&gt;=129,A863&lt;=2176),INDEX(Fields!$B$2:$B$206,MATCH(A863-129,Fields!$D$2:$D$206,1)),""),"")</f>
        <v/>
      </c>
      <c r="E863">
        <f>IFERROR(IF(AND(A863&gt;=129,A863&lt;=2176),INDEX(Fields!$C$2:$C$206,MATCH(A863-129,Fields!$D$2:$D$206,1)),""),"")</f>
        <v/>
      </c>
    </row>
    <row r="864">
      <c r="A864" t="n">
        <v>863</v>
      </c>
      <c r="B864">
        <f>IFERROR(INDEX(RawBits!$A:$A,MATCH($A864,RawBits!$H:$H,0)),"?")</f>
        <v/>
      </c>
      <c r="C864">
        <f>IFERROR(INDEX(RawBits!$G:$G,MATCH($A864,RawBits!$H:$H,0)),"")</f>
        <v/>
      </c>
      <c r="D864">
        <f>IFERROR(IF(AND(A864&gt;=129,A864&lt;=2176),INDEX(Fields!$B$2:$B$206,MATCH(A864-129,Fields!$D$2:$D$206,1)),""),"")</f>
        <v/>
      </c>
      <c r="E864">
        <f>IFERROR(IF(AND(A864&gt;=129,A864&lt;=2176),INDEX(Fields!$C$2:$C$206,MATCH(A864-129,Fields!$D$2:$D$206,1)),""),"")</f>
        <v/>
      </c>
    </row>
    <row r="865">
      <c r="A865" t="n">
        <v>864</v>
      </c>
      <c r="B865">
        <f>IFERROR(INDEX(RawBits!$A:$A,MATCH($A865,RawBits!$H:$H,0)),"?")</f>
        <v/>
      </c>
      <c r="C865">
        <f>IFERROR(INDEX(RawBits!$G:$G,MATCH($A865,RawBits!$H:$H,0)),"")</f>
        <v/>
      </c>
      <c r="D865">
        <f>IFERROR(IF(AND(A865&gt;=129,A865&lt;=2176),INDEX(Fields!$B$2:$B$206,MATCH(A865-129,Fields!$D$2:$D$206,1)),""),"")</f>
        <v/>
      </c>
      <c r="E865">
        <f>IFERROR(IF(AND(A865&gt;=129,A865&lt;=2176),INDEX(Fields!$C$2:$C$206,MATCH(A865-129,Fields!$D$2:$D$206,1)),""),"")</f>
        <v/>
      </c>
    </row>
    <row r="866">
      <c r="A866" t="n">
        <v>865</v>
      </c>
      <c r="B866">
        <f>IFERROR(INDEX(RawBits!$A:$A,MATCH($A866,RawBits!$H:$H,0)),"?")</f>
        <v/>
      </c>
      <c r="C866">
        <f>IFERROR(INDEX(RawBits!$G:$G,MATCH($A866,RawBits!$H:$H,0)),"")</f>
        <v/>
      </c>
      <c r="D866">
        <f>IFERROR(IF(AND(A866&gt;=129,A866&lt;=2176),INDEX(Fields!$B$2:$B$206,MATCH(A866-129,Fields!$D$2:$D$206,1)),""),"")</f>
        <v/>
      </c>
      <c r="E866">
        <f>IFERROR(IF(AND(A866&gt;=129,A866&lt;=2176),INDEX(Fields!$C$2:$C$206,MATCH(A866-129,Fields!$D$2:$D$206,1)),""),"")</f>
        <v/>
      </c>
    </row>
    <row r="867">
      <c r="A867" t="n">
        <v>866</v>
      </c>
      <c r="B867">
        <f>IFERROR(INDEX(RawBits!$A:$A,MATCH($A867,RawBits!$H:$H,0)),"?")</f>
        <v/>
      </c>
      <c r="C867">
        <f>IFERROR(INDEX(RawBits!$G:$G,MATCH($A867,RawBits!$H:$H,0)),"")</f>
        <v/>
      </c>
      <c r="D867">
        <f>IFERROR(IF(AND(A867&gt;=129,A867&lt;=2176),INDEX(Fields!$B$2:$B$206,MATCH(A867-129,Fields!$D$2:$D$206,1)),""),"")</f>
        <v/>
      </c>
      <c r="E867">
        <f>IFERROR(IF(AND(A867&gt;=129,A867&lt;=2176),INDEX(Fields!$C$2:$C$206,MATCH(A867-129,Fields!$D$2:$D$206,1)),""),"")</f>
        <v/>
      </c>
    </row>
    <row r="868">
      <c r="A868" t="n">
        <v>867</v>
      </c>
      <c r="B868">
        <f>IFERROR(INDEX(RawBits!$A:$A,MATCH($A868,RawBits!$H:$H,0)),"?")</f>
        <v/>
      </c>
      <c r="C868">
        <f>IFERROR(INDEX(RawBits!$G:$G,MATCH($A868,RawBits!$H:$H,0)),"")</f>
        <v/>
      </c>
      <c r="D868">
        <f>IFERROR(IF(AND(A868&gt;=129,A868&lt;=2176),INDEX(Fields!$B$2:$B$206,MATCH(A868-129,Fields!$D$2:$D$206,1)),""),"")</f>
        <v/>
      </c>
      <c r="E868">
        <f>IFERROR(IF(AND(A868&gt;=129,A868&lt;=2176),INDEX(Fields!$C$2:$C$206,MATCH(A868-129,Fields!$D$2:$D$206,1)),""),"")</f>
        <v/>
      </c>
    </row>
    <row r="869">
      <c r="A869" t="n">
        <v>868</v>
      </c>
      <c r="B869">
        <f>IFERROR(INDEX(RawBits!$A:$A,MATCH($A869,RawBits!$H:$H,0)),"?")</f>
        <v/>
      </c>
      <c r="C869">
        <f>IFERROR(INDEX(RawBits!$G:$G,MATCH($A869,RawBits!$H:$H,0)),"")</f>
        <v/>
      </c>
      <c r="D869">
        <f>IFERROR(IF(AND(A869&gt;=129,A869&lt;=2176),INDEX(Fields!$B$2:$B$206,MATCH(A869-129,Fields!$D$2:$D$206,1)),""),"")</f>
        <v/>
      </c>
      <c r="E869">
        <f>IFERROR(IF(AND(A869&gt;=129,A869&lt;=2176),INDEX(Fields!$C$2:$C$206,MATCH(A869-129,Fields!$D$2:$D$206,1)),""),"")</f>
        <v/>
      </c>
    </row>
    <row r="870">
      <c r="A870" t="n">
        <v>869</v>
      </c>
      <c r="B870">
        <f>IFERROR(INDEX(RawBits!$A:$A,MATCH($A870,RawBits!$H:$H,0)),"?")</f>
        <v/>
      </c>
      <c r="C870">
        <f>IFERROR(INDEX(RawBits!$G:$G,MATCH($A870,RawBits!$H:$H,0)),"")</f>
        <v/>
      </c>
      <c r="D870">
        <f>IFERROR(IF(AND(A870&gt;=129,A870&lt;=2176),INDEX(Fields!$B$2:$B$206,MATCH(A870-129,Fields!$D$2:$D$206,1)),""),"")</f>
        <v/>
      </c>
      <c r="E870">
        <f>IFERROR(IF(AND(A870&gt;=129,A870&lt;=2176),INDEX(Fields!$C$2:$C$206,MATCH(A870-129,Fields!$D$2:$D$206,1)),""),"")</f>
        <v/>
      </c>
    </row>
    <row r="871">
      <c r="A871" t="n">
        <v>870</v>
      </c>
      <c r="B871">
        <f>IFERROR(INDEX(RawBits!$A:$A,MATCH($A871,RawBits!$H:$H,0)),"?")</f>
        <v/>
      </c>
      <c r="C871">
        <f>IFERROR(INDEX(RawBits!$G:$G,MATCH($A871,RawBits!$H:$H,0)),"")</f>
        <v/>
      </c>
      <c r="D871">
        <f>IFERROR(IF(AND(A871&gt;=129,A871&lt;=2176),INDEX(Fields!$B$2:$B$206,MATCH(A871-129,Fields!$D$2:$D$206,1)),""),"")</f>
        <v/>
      </c>
      <c r="E871">
        <f>IFERROR(IF(AND(A871&gt;=129,A871&lt;=2176),INDEX(Fields!$C$2:$C$206,MATCH(A871-129,Fields!$D$2:$D$206,1)),""),"")</f>
        <v/>
      </c>
    </row>
    <row r="872">
      <c r="A872" t="n">
        <v>871</v>
      </c>
      <c r="B872">
        <f>IFERROR(INDEX(RawBits!$A:$A,MATCH($A872,RawBits!$H:$H,0)),"?")</f>
        <v/>
      </c>
      <c r="C872">
        <f>IFERROR(INDEX(RawBits!$G:$G,MATCH($A872,RawBits!$H:$H,0)),"")</f>
        <v/>
      </c>
      <c r="D872">
        <f>IFERROR(IF(AND(A872&gt;=129,A872&lt;=2176),INDEX(Fields!$B$2:$B$206,MATCH(A872-129,Fields!$D$2:$D$206,1)),""),"")</f>
        <v/>
      </c>
      <c r="E872">
        <f>IFERROR(IF(AND(A872&gt;=129,A872&lt;=2176),INDEX(Fields!$C$2:$C$206,MATCH(A872-129,Fields!$D$2:$D$206,1)),""),"")</f>
        <v/>
      </c>
    </row>
    <row r="873">
      <c r="A873" t="n">
        <v>872</v>
      </c>
      <c r="B873">
        <f>IFERROR(INDEX(RawBits!$A:$A,MATCH($A873,RawBits!$H:$H,0)),"?")</f>
        <v/>
      </c>
      <c r="C873">
        <f>IFERROR(INDEX(RawBits!$G:$G,MATCH($A873,RawBits!$H:$H,0)),"")</f>
        <v/>
      </c>
      <c r="D873">
        <f>IFERROR(IF(AND(A873&gt;=129,A873&lt;=2176),INDEX(Fields!$B$2:$B$206,MATCH(A873-129,Fields!$D$2:$D$206,1)),""),"")</f>
        <v/>
      </c>
      <c r="E873">
        <f>IFERROR(IF(AND(A873&gt;=129,A873&lt;=2176),INDEX(Fields!$C$2:$C$206,MATCH(A873-129,Fields!$D$2:$D$206,1)),""),"")</f>
        <v/>
      </c>
    </row>
    <row r="874">
      <c r="A874" t="n">
        <v>873</v>
      </c>
      <c r="B874">
        <f>IFERROR(INDEX(RawBits!$A:$A,MATCH($A874,RawBits!$H:$H,0)),"?")</f>
        <v/>
      </c>
      <c r="C874">
        <f>IFERROR(INDEX(RawBits!$G:$G,MATCH($A874,RawBits!$H:$H,0)),"")</f>
        <v/>
      </c>
      <c r="D874">
        <f>IFERROR(IF(AND(A874&gt;=129,A874&lt;=2176),INDEX(Fields!$B$2:$B$206,MATCH(A874-129,Fields!$D$2:$D$206,1)),""),"")</f>
        <v/>
      </c>
      <c r="E874">
        <f>IFERROR(IF(AND(A874&gt;=129,A874&lt;=2176),INDEX(Fields!$C$2:$C$206,MATCH(A874-129,Fields!$D$2:$D$206,1)),""),"")</f>
        <v/>
      </c>
    </row>
    <row r="875">
      <c r="A875" t="n">
        <v>874</v>
      </c>
      <c r="B875">
        <f>IFERROR(INDEX(RawBits!$A:$A,MATCH($A875,RawBits!$H:$H,0)),"?")</f>
        <v/>
      </c>
      <c r="C875">
        <f>IFERROR(INDEX(RawBits!$G:$G,MATCH($A875,RawBits!$H:$H,0)),"")</f>
        <v/>
      </c>
      <c r="D875">
        <f>IFERROR(IF(AND(A875&gt;=129,A875&lt;=2176),INDEX(Fields!$B$2:$B$206,MATCH(A875-129,Fields!$D$2:$D$206,1)),""),"")</f>
        <v/>
      </c>
      <c r="E875">
        <f>IFERROR(IF(AND(A875&gt;=129,A875&lt;=2176),INDEX(Fields!$C$2:$C$206,MATCH(A875-129,Fields!$D$2:$D$206,1)),""),"")</f>
        <v/>
      </c>
    </row>
    <row r="876">
      <c r="A876" t="n">
        <v>875</v>
      </c>
      <c r="B876">
        <f>IFERROR(INDEX(RawBits!$A:$A,MATCH($A876,RawBits!$H:$H,0)),"?")</f>
        <v/>
      </c>
      <c r="C876">
        <f>IFERROR(INDEX(RawBits!$G:$G,MATCH($A876,RawBits!$H:$H,0)),"")</f>
        <v/>
      </c>
      <c r="D876">
        <f>IFERROR(IF(AND(A876&gt;=129,A876&lt;=2176),INDEX(Fields!$B$2:$B$206,MATCH(A876-129,Fields!$D$2:$D$206,1)),""),"")</f>
        <v/>
      </c>
      <c r="E876">
        <f>IFERROR(IF(AND(A876&gt;=129,A876&lt;=2176),INDEX(Fields!$C$2:$C$206,MATCH(A876-129,Fields!$D$2:$D$206,1)),""),"")</f>
        <v/>
      </c>
    </row>
    <row r="877">
      <c r="A877" t="n">
        <v>876</v>
      </c>
      <c r="B877">
        <f>IFERROR(INDEX(RawBits!$A:$A,MATCH($A877,RawBits!$H:$H,0)),"?")</f>
        <v/>
      </c>
      <c r="C877">
        <f>IFERROR(INDEX(RawBits!$G:$G,MATCH($A877,RawBits!$H:$H,0)),"")</f>
        <v/>
      </c>
      <c r="D877">
        <f>IFERROR(IF(AND(A877&gt;=129,A877&lt;=2176),INDEX(Fields!$B$2:$B$206,MATCH(A877-129,Fields!$D$2:$D$206,1)),""),"")</f>
        <v/>
      </c>
      <c r="E877">
        <f>IFERROR(IF(AND(A877&gt;=129,A877&lt;=2176),INDEX(Fields!$C$2:$C$206,MATCH(A877-129,Fields!$D$2:$D$206,1)),""),"")</f>
        <v/>
      </c>
    </row>
    <row r="878">
      <c r="A878" t="n">
        <v>877</v>
      </c>
      <c r="B878">
        <f>IFERROR(INDEX(RawBits!$A:$A,MATCH($A878,RawBits!$H:$H,0)),"?")</f>
        <v/>
      </c>
      <c r="C878">
        <f>IFERROR(INDEX(RawBits!$G:$G,MATCH($A878,RawBits!$H:$H,0)),"")</f>
        <v/>
      </c>
      <c r="D878">
        <f>IFERROR(IF(AND(A878&gt;=129,A878&lt;=2176),INDEX(Fields!$B$2:$B$206,MATCH(A878-129,Fields!$D$2:$D$206,1)),""),"")</f>
        <v/>
      </c>
      <c r="E878">
        <f>IFERROR(IF(AND(A878&gt;=129,A878&lt;=2176),INDEX(Fields!$C$2:$C$206,MATCH(A878-129,Fields!$D$2:$D$206,1)),""),"")</f>
        <v/>
      </c>
    </row>
    <row r="879">
      <c r="A879" t="n">
        <v>878</v>
      </c>
      <c r="B879">
        <f>IFERROR(INDEX(RawBits!$A:$A,MATCH($A879,RawBits!$H:$H,0)),"?")</f>
        <v/>
      </c>
      <c r="C879">
        <f>IFERROR(INDEX(RawBits!$G:$G,MATCH($A879,RawBits!$H:$H,0)),"")</f>
        <v/>
      </c>
      <c r="D879">
        <f>IFERROR(IF(AND(A879&gt;=129,A879&lt;=2176),INDEX(Fields!$B$2:$B$206,MATCH(A879-129,Fields!$D$2:$D$206,1)),""),"")</f>
        <v/>
      </c>
      <c r="E879">
        <f>IFERROR(IF(AND(A879&gt;=129,A879&lt;=2176),INDEX(Fields!$C$2:$C$206,MATCH(A879-129,Fields!$D$2:$D$206,1)),""),"")</f>
        <v/>
      </c>
    </row>
    <row r="880">
      <c r="A880" t="n">
        <v>879</v>
      </c>
      <c r="B880">
        <f>IFERROR(INDEX(RawBits!$A:$A,MATCH($A880,RawBits!$H:$H,0)),"?")</f>
        <v/>
      </c>
      <c r="C880">
        <f>IFERROR(INDEX(RawBits!$G:$G,MATCH($A880,RawBits!$H:$H,0)),"")</f>
        <v/>
      </c>
      <c r="D880">
        <f>IFERROR(IF(AND(A880&gt;=129,A880&lt;=2176),INDEX(Fields!$B$2:$B$206,MATCH(A880-129,Fields!$D$2:$D$206,1)),""),"")</f>
        <v/>
      </c>
      <c r="E880">
        <f>IFERROR(IF(AND(A880&gt;=129,A880&lt;=2176),INDEX(Fields!$C$2:$C$206,MATCH(A880-129,Fields!$D$2:$D$206,1)),""),"")</f>
        <v/>
      </c>
    </row>
    <row r="881">
      <c r="A881" t="n">
        <v>880</v>
      </c>
      <c r="B881">
        <f>IFERROR(INDEX(RawBits!$A:$A,MATCH($A881,RawBits!$H:$H,0)),"?")</f>
        <v/>
      </c>
      <c r="C881">
        <f>IFERROR(INDEX(RawBits!$G:$G,MATCH($A881,RawBits!$H:$H,0)),"")</f>
        <v/>
      </c>
      <c r="D881">
        <f>IFERROR(IF(AND(A881&gt;=129,A881&lt;=2176),INDEX(Fields!$B$2:$B$206,MATCH(A881-129,Fields!$D$2:$D$206,1)),""),"")</f>
        <v/>
      </c>
      <c r="E881">
        <f>IFERROR(IF(AND(A881&gt;=129,A881&lt;=2176),INDEX(Fields!$C$2:$C$206,MATCH(A881-129,Fields!$D$2:$D$206,1)),""),"")</f>
        <v/>
      </c>
    </row>
    <row r="882">
      <c r="A882" t="n">
        <v>881</v>
      </c>
      <c r="B882">
        <f>IFERROR(INDEX(RawBits!$A:$A,MATCH($A882,RawBits!$H:$H,0)),"?")</f>
        <v/>
      </c>
      <c r="C882">
        <f>IFERROR(INDEX(RawBits!$G:$G,MATCH($A882,RawBits!$H:$H,0)),"")</f>
        <v/>
      </c>
      <c r="D882">
        <f>IFERROR(IF(AND(A882&gt;=129,A882&lt;=2176),INDEX(Fields!$B$2:$B$206,MATCH(A882-129,Fields!$D$2:$D$206,1)),""),"")</f>
        <v/>
      </c>
      <c r="E882">
        <f>IFERROR(IF(AND(A882&gt;=129,A882&lt;=2176),INDEX(Fields!$C$2:$C$206,MATCH(A882-129,Fields!$D$2:$D$206,1)),""),"")</f>
        <v/>
      </c>
    </row>
    <row r="883">
      <c r="A883" t="n">
        <v>882</v>
      </c>
      <c r="B883">
        <f>IFERROR(INDEX(RawBits!$A:$A,MATCH($A883,RawBits!$H:$H,0)),"?")</f>
        <v/>
      </c>
      <c r="C883">
        <f>IFERROR(INDEX(RawBits!$G:$G,MATCH($A883,RawBits!$H:$H,0)),"")</f>
        <v/>
      </c>
      <c r="D883">
        <f>IFERROR(IF(AND(A883&gt;=129,A883&lt;=2176),INDEX(Fields!$B$2:$B$206,MATCH(A883-129,Fields!$D$2:$D$206,1)),""),"")</f>
        <v/>
      </c>
      <c r="E883">
        <f>IFERROR(IF(AND(A883&gt;=129,A883&lt;=2176),INDEX(Fields!$C$2:$C$206,MATCH(A883-129,Fields!$D$2:$D$206,1)),""),"")</f>
        <v/>
      </c>
    </row>
    <row r="884">
      <c r="A884" t="n">
        <v>883</v>
      </c>
      <c r="B884">
        <f>IFERROR(INDEX(RawBits!$A:$A,MATCH($A884,RawBits!$H:$H,0)),"?")</f>
        <v/>
      </c>
      <c r="C884">
        <f>IFERROR(INDEX(RawBits!$G:$G,MATCH($A884,RawBits!$H:$H,0)),"")</f>
        <v/>
      </c>
      <c r="D884">
        <f>IFERROR(IF(AND(A884&gt;=129,A884&lt;=2176),INDEX(Fields!$B$2:$B$206,MATCH(A884-129,Fields!$D$2:$D$206,1)),""),"")</f>
        <v/>
      </c>
      <c r="E884">
        <f>IFERROR(IF(AND(A884&gt;=129,A884&lt;=2176),INDEX(Fields!$C$2:$C$206,MATCH(A884-129,Fields!$D$2:$D$206,1)),""),"")</f>
        <v/>
      </c>
    </row>
    <row r="885">
      <c r="A885" t="n">
        <v>884</v>
      </c>
      <c r="B885">
        <f>IFERROR(INDEX(RawBits!$A:$A,MATCH($A885,RawBits!$H:$H,0)),"?")</f>
        <v/>
      </c>
      <c r="C885">
        <f>IFERROR(INDEX(RawBits!$G:$G,MATCH($A885,RawBits!$H:$H,0)),"")</f>
        <v/>
      </c>
      <c r="D885">
        <f>IFERROR(IF(AND(A885&gt;=129,A885&lt;=2176),INDEX(Fields!$B$2:$B$206,MATCH(A885-129,Fields!$D$2:$D$206,1)),""),"")</f>
        <v/>
      </c>
      <c r="E885">
        <f>IFERROR(IF(AND(A885&gt;=129,A885&lt;=2176),INDEX(Fields!$C$2:$C$206,MATCH(A885-129,Fields!$D$2:$D$206,1)),""),"")</f>
        <v/>
      </c>
    </row>
    <row r="886">
      <c r="A886" t="n">
        <v>885</v>
      </c>
      <c r="B886">
        <f>IFERROR(INDEX(RawBits!$A:$A,MATCH($A886,RawBits!$H:$H,0)),"?")</f>
        <v/>
      </c>
      <c r="C886">
        <f>IFERROR(INDEX(RawBits!$G:$G,MATCH($A886,RawBits!$H:$H,0)),"")</f>
        <v/>
      </c>
      <c r="D886">
        <f>IFERROR(IF(AND(A886&gt;=129,A886&lt;=2176),INDEX(Fields!$B$2:$B$206,MATCH(A886-129,Fields!$D$2:$D$206,1)),""),"")</f>
        <v/>
      </c>
      <c r="E886">
        <f>IFERROR(IF(AND(A886&gt;=129,A886&lt;=2176),INDEX(Fields!$C$2:$C$206,MATCH(A886-129,Fields!$D$2:$D$206,1)),""),"")</f>
        <v/>
      </c>
    </row>
    <row r="887">
      <c r="A887" t="n">
        <v>886</v>
      </c>
      <c r="B887">
        <f>IFERROR(INDEX(RawBits!$A:$A,MATCH($A887,RawBits!$H:$H,0)),"?")</f>
        <v/>
      </c>
      <c r="C887">
        <f>IFERROR(INDEX(RawBits!$G:$G,MATCH($A887,RawBits!$H:$H,0)),"")</f>
        <v/>
      </c>
      <c r="D887">
        <f>IFERROR(IF(AND(A887&gt;=129,A887&lt;=2176),INDEX(Fields!$B$2:$B$206,MATCH(A887-129,Fields!$D$2:$D$206,1)),""),"")</f>
        <v/>
      </c>
      <c r="E887">
        <f>IFERROR(IF(AND(A887&gt;=129,A887&lt;=2176),INDEX(Fields!$C$2:$C$206,MATCH(A887-129,Fields!$D$2:$D$206,1)),""),"")</f>
        <v/>
      </c>
    </row>
    <row r="888">
      <c r="A888" t="n">
        <v>887</v>
      </c>
      <c r="B888">
        <f>IFERROR(INDEX(RawBits!$A:$A,MATCH($A888,RawBits!$H:$H,0)),"?")</f>
        <v/>
      </c>
      <c r="C888">
        <f>IFERROR(INDEX(RawBits!$G:$G,MATCH($A888,RawBits!$H:$H,0)),"")</f>
        <v/>
      </c>
      <c r="D888">
        <f>IFERROR(IF(AND(A888&gt;=129,A888&lt;=2176),INDEX(Fields!$B$2:$B$206,MATCH(A888-129,Fields!$D$2:$D$206,1)),""),"")</f>
        <v/>
      </c>
      <c r="E888">
        <f>IFERROR(IF(AND(A888&gt;=129,A888&lt;=2176),INDEX(Fields!$C$2:$C$206,MATCH(A888-129,Fields!$D$2:$D$206,1)),""),"")</f>
        <v/>
      </c>
    </row>
    <row r="889">
      <c r="A889" t="n">
        <v>888</v>
      </c>
      <c r="B889">
        <f>IFERROR(INDEX(RawBits!$A:$A,MATCH($A889,RawBits!$H:$H,0)),"?")</f>
        <v/>
      </c>
      <c r="C889">
        <f>IFERROR(INDEX(RawBits!$G:$G,MATCH($A889,RawBits!$H:$H,0)),"")</f>
        <v/>
      </c>
      <c r="D889">
        <f>IFERROR(IF(AND(A889&gt;=129,A889&lt;=2176),INDEX(Fields!$B$2:$B$206,MATCH(A889-129,Fields!$D$2:$D$206,1)),""),"")</f>
        <v/>
      </c>
      <c r="E889">
        <f>IFERROR(IF(AND(A889&gt;=129,A889&lt;=2176),INDEX(Fields!$C$2:$C$206,MATCH(A889-129,Fields!$D$2:$D$206,1)),""),"")</f>
        <v/>
      </c>
    </row>
    <row r="890">
      <c r="A890" t="n">
        <v>889</v>
      </c>
      <c r="B890">
        <f>IFERROR(INDEX(RawBits!$A:$A,MATCH($A890,RawBits!$H:$H,0)),"?")</f>
        <v/>
      </c>
      <c r="C890">
        <f>IFERROR(INDEX(RawBits!$G:$G,MATCH($A890,RawBits!$H:$H,0)),"")</f>
        <v/>
      </c>
      <c r="D890">
        <f>IFERROR(IF(AND(A890&gt;=129,A890&lt;=2176),INDEX(Fields!$B$2:$B$206,MATCH(A890-129,Fields!$D$2:$D$206,1)),""),"")</f>
        <v/>
      </c>
      <c r="E890">
        <f>IFERROR(IF(AND(A890&gt;=129,A890&lt;=2176),INDEX(Fields!$C$2:$C$206,MATCH(A890-129,Fields!$D$2:$D$206,1)),""),"")</f>
        <v/>
      </c>
    </row>
    <row r="891">
      <c r="A891" t="n">
        <v>890</v>
      </c>
      <c r="B891">
        <f>IFERROR(INDEX(RawBits!$A:$A,MATCH($A891,RawBits!$H:$H,0)),"?")</f>
        <v/>
      </c>
      <c r="C891">
        <f>IFERROR(INDEX(RawBits!$G:$G,MATCH($A891,RawBits!$H:$H,0)),"")</f>
        <v/>
      </c>
      <c r="D891">
        <f>IFERROR(IF(AND(A891&gt;=129,A891&lt;=2176),INDEX(Fields!$B$2:$B$206,MATCH(A891-129,Fields!$D$2:$D$206,1)),""),"")</f>
        <v/>
      </c>
      <c r="E891">
        <f>IFERROR(IF(AND(A891&gt;=129,A891&lt;=2176),INDEX(Fields!$C$2:$C$206,MATCH(A891-129,Fields!$D$2:$D$206,1)),""),"")</f>
        <v/>
      </c>
    </row>
    <row r="892">
      <c r="A892" t="n">
        <v>891</v>
      </c>
      <c r="B892">
        <f>IFERROR(INDEX(RawBits!$A:$A,MATCH($A892,RawBits!$H:$H,0)),"?")</f>
        <v/>
      </c>
      <c r="C892">
        <f>IFERROR(INDEX(RawBits!$G:$G,MATCH($A892,RawBits!$H:$H,0)),"")</f>
        <v/>
      </c>
      <c r="D892">
        <f>IFERROR(IF(AND(A892&gt;=129,A892&lt;=2176),INDEX(Fields!$B$2:$B$206,MATCH(A892-129,Fields!$D$2:$D$206,1)),""),"")</f>
        <v/>
      </c>
      <c r="E892">
        <f>IFERROR(IF(AND(A892&gt;=129,A892&lt;=2176),INDEX(Fields!$C$2:$C$206,MATCH(A892-129,Fields!$D$2:$D$206,1)),""),"")</f>
        <v/>
      </c>
    </row>
    <row r="893">
      <c r="A893" t="n">
        <v>892</v>
      </c>
      <c r="B893">
        <f>IFERROR(INDEX(RawBits!$A:$A,MATCH($A893,RawBits!$H:$H,0)),"?")</f>
        <v/>
      </c>
      <c r="C893">
        <f>IFERROR(INDEX(RawBits!$G:$G,MATCH($A893,RawBits!$H:$H,0)),"")</f>
        <v/>
      </c>
      <c r="D893">
        <f>IFERROR(IF(AND(A893&gt;=129,A893&lt;=2176),INDEX(Fields!$B$2:$B$206,MATCH(A893-129,Fields!$D$2:$D$206,1)),""),"")</f>
        <v/>
      </c>
      <c r="E893">
        <f>IFERROR(IF(AND(A893&gt;=129,A893&lt;=2176),INDEX(Fields!$C$2:$C$206,MATCH(A893-129,Fields!$D$2:$D$206,1)),""),"")</f>
        <v/>
      </c>
    </row>
    <row r="894">
      <c r="A894" t="n">
        <v>893</v>
      </c>
      <c r="B894">
        <f>IFERROR(INDEX(RawBits!$A:$A,MATCH($A894,RawBits!$H:$H,0)),"?")</f>
        <v/>
      </c>
      <c r="C894">
        <f>IFERROR(INDEX(RawBits!$G:$G,MATCH($A894,RawBits!$H:$H,0)),"")</f>
        <v/>
      </c>
      <c r="D894">
        <f>IFERROR(IF(AND(A894&gt;=129,A894&lt;=2176),INDEX(Fields!$B$2:$B$206,MATCH(A894-129,Fields!$D$2:$D$206,1)),""),"")</f>
        <v/>
      </c>
      <c r="E894">
        <f>IFERROR(IF(AND(A894&gt;=129,A894&lt;=2176),INDEX(Fields!$C$2:$C$206,MATCH(A894-129,Fields!$D$2:$D$206,1)),""),"")</f>
        <v/>
      </c>
    </row>
    <row r="895">
      <c r="A895" t="n">
        <v>894</v>
      </c>
      <c r="B895">
        <f>IFERROR(INDEX(RawBits!$A:$A,MATCH($A895,RawBits!$H:$H,0)),"?")</f>
        <v/>
      </c>
      <c r="C895">
        <f>IFERROR(INDEX(RawBits!$G:$G,MATCH($A895,RawBits!$H:$H,0)),"")</f>
        <v/>
      </c>
      <c r="D895">
        <f>IFERROR(IF(AND(A895&gt;=129,A895&lt;=2176),INDEX(Fields!$B$2:$B$206,MATCH(A895-129,Fields!$D$2:$D$206,1)),""),"")</f>
        <v/>
      </c>
      <c r="E895">
        <f>IFERROR(IF(AND(A895&gt;=129,A895&lt;=2176),INDEX(Fields!$C$2:$C$206,MATCH(A895-129,Fields!$D$2:$D$206,1)),""),"")</f>
        <v/>
      </c>
    </row>
    <row r="896">
      <c r="A896" t="n">
        <v>895</v>
      </c>
      <c r="B896">
        <f>IFERROR(INDEX(RawBits!$A:$A,MATCH($A896,RawBits!$H:$H,0)),"?")</f>
        <v/>
      </c>
      <c r="C896">
        <f>IFERROR(INDEX(RawBits!$G:$G,MATCH($A896,RawBits!$H:$H,0)),"")</f>
        <v/>
      </c>
      <c r="D896">
        <f>IFERROR(IF(AND(A896&gt;=129,A896&lt;=2176),INDEX(Fields!$B$2:$B$206,MATCH(A896-129,Fields!$D$2:$D$206,1)),""),"")</f>
        <v/>
      </c>
      <c r="E896">
        <f>IFERROR(IF(AND(A896&gt;=129,A896&lt;=2176),INDEX(Fields!$C$2:$C$206,MATCH(A896-129,Fields!$D$2:$D$206,1)),""),"")</f>
        <v/>
      </c>
    </row>
    <row r="897">
      <c r="A897" t="n">
        <v>896</v>
      </c>
      <c r="B897">
        <f>IFERROR(INDEX(RawBits!$A:$A,MATCH($A897,RawBits!$H:$H,0)),"?")</f>
        <v/>
      </c>
      <c r="C897">
        <f>IFERROR(INDEX(RawBits!$G:$G,MATCH($A897,RawBits!$H:$H,0)),"")</f>
        <v/>
      </c>
      <c r="D897">
        <f>IFERROR(IF(AND(A897&gt;=129,A897&lt;=2176),INDEX(Fields!$B$2:$B$206,MATCH(A897-129,Fields!$D$2:$D$206,1)),""),"")</f>
        <v/>
      </c>
      <c r="E897">
        <f>IFERROR(IF(AND(A897&gt;=129,A897&lt;=2176),INDEX(Fields!$C$2:$C$206,MATCH(A897-129,Fields!$D$2:$D$206,1)),""),"")</f>
        <v/>
      </c>
    </row>
    <row r="898">
      <c r="A898" t="n">
        <v>897</v>
      </c>
      <c r="B898">
        <f>IFERROR(INDEX(RawBits!$A:$A,MATCH($A898,RawBits!$H:$H,0)),"?")</f>
        <v/>
      </c>
      <c r="C898">
        <f>IFERROR(INDEX(RawBits!$G:$G,MATCH($A898,RawBits!$H:$H,0)),"")</f>
        <v/>
      </c>
      <c r="D898">
        <f>IFERROR(IF(AND(A898&gt;=129,A898&lt;=2176),INDEX(Fields!$B$2:$B$206,MATCH(A898-129,Fields!$D$2:$D$206,1)),""),"")</f>
        <v/>
      </c>
      <c r="E898">
        <f>IFERROR(IF(AND(A898&gt;=129,A898&lt;=2176),INDEX(Fields!$C$2:$C$206,MATCH(A898-129,Fields!$D$2:$D$206,1)),""),"")</f>
        <v/>
      </c>
    </row>
    <row r="899">
      <c r="A899" t="n">
        <v>898</v>
      </c>
      <c r="B899">
        <f>IFERROR(INDEX(RawBits!$A:$A,MATCH($A899,RawBits!$H:$H,0)),"?")</f>
        <v/>
      </c>
      <c r="C899">
        <f>IFERROR(INDEX(RawBits!$G:$G,MATCH($A899,RawBits!$H:$H,0)),"")</f>
        <v/>
      </c>
      <c r="D899">
        <f>IFERROR(IF(AND(A899&gt;=129,A899&lt;=2176),INDEX(Fields!$B$2:$B$206,MATCH(A899-129,Fields!$D$2:$D$206,1)),""),"")</f>
        <v/>
      </c>
      <c r="E899">
        <f>IFERROR(IF(AND(A899&gt;=129,A899&lt;=2176),INDEX(Fields!$C$2:$C$206,MATCH(A899-129,Fields!$D$2:$D$206,1)),""),"")</f>
        <v/>
      </c>
    </row>
    <row r="900">
      <c r="A900" t="n">
        <v>899</v>
      </c>
      <c r="B900">
        <f>IFERROR(INDEX(RawBits!$A:$A,MATCH($A900,RawBits!$H:$H,0)),"?")</f>
        <v/>
      </c>
      <c r="C900">
        <f>IFERROR(INDEX(RawBits!$G:$G,MATCH($A900,RawBits!$H:$H,0)),"")</f>
        <v/>
      </c>
      <c r="D900">
        <f>IFERROR(IF(AND(A900&gt;=129,A900&lt;=2176),INDEX(Fields!$B$2:$B$206,MATCH(A900-129,Fields!$D$2:$D$206,1)),""),"")</f>
        <v/>
      </c>
      <c r="E900">
        <f>IFERROR(IF(AND(A900&gt;=129,A900&lt;=2176),INDEX(Fields!$C$2:$C$206,MATCH(A900-129,Fields!$D$2:$D$206,1)),""),"")</f>
        <v/>
      </c>
    </row>
    <row r="901">
      <c r="A901" t="n">
        <v>900</v>
      </c>
      <c r="B901">
        <f>IFERROR(INDEX(RawBits!$A:$A,MATCH($A901,RawBits!$H:$H,0)),"?")</f>
        <v/>
      </c>
      <c r="C901">
        <f>IFERROR(INDEX(RawBits!$G:$G,MATCH($A901,RawBits!$H:$H,0)),"")</f>
        <v/>
      </c>
      <c r="D901">
        <f>IFERROR(IF(AND(A901&gt;=129,A901&lt;=2176),INDEX(Fields!$B$2:$B$206,MATCH(A901-129,Fields!$D$2:$D$206,1)),""),"")</f>
        <v/>
      </c>
      <c r="E901">
        <f>IFERROR(IF(AND(A901&gt;=129,A901&lt;=2176),INDEX(Fields!$C$2:$C$206,MATCH(A901-129,Fields!$D$2:$D$206,1)),""),"")</f>
        <v/>
      </c>
    </row>
    <row r="902">
      <c r="A902" t="n">
        <v>901</v>
      </c>
      <c r="B902">
        <f>IFERROR(INDEX(RawBits!$A:$A,MATCH($A902,RawBits!$H:$H,0)),"?")</f>
        <v/>
      </c>
      <c r="C902">
        <f>IFERROR(INDEX(RawBits!$G:$G,MATCH($A902,RawBits!$H:$H,0)),"")</f>
        <v/>
      </c>
      <c r="D902">
        <f>IFERROR(IF(AND(A902&gt;=129,A902&lt;=2176),INDEX(Fields!$B$2:$B$206,MATCH(A902-129,Fields!$D$2:$D$206,1)),""),"")</f>
        <v/>
      </c>
      <c r="E902">
        <f>IFERROR(IF(AND(A902&gt;=129,A902&lt;=2176),INDEX(Fields!$C$2:$C$206,MATCH(A902-129,Fields!$D$2:$D$206,1)),""),"")</f>
        <v/>
      </c>
    </row>
    <row r="903">
      <c r="A903" t="n">
        <v>902</v>
      </c>
      <c r="B903">
        <f>IFERROR(INDEX(RawBits!$A:$A,MATCH($A903,RawBits!$H:$H,0)),"?")</f>
        <v/>
      </c>
      <c r="C903">
        <f>IFERROR(INDEX(RawBits!$G:$G,MATCH($A903,RawBits!$H:$H,0)),"")</f>
        <v/>
      </c>
      <c r="D903">
        <f>IFERROR(IF(AND(A903&gt;=129,A903&lt;=2176),INDEX(Fields!$B$2:$B$206,MATCH(A903-129,Fields!$D$2:$D$206,1)),""),"")</f>
        <v/>
      </c>
      <c r="E903">
        <f>IFERROR(IF(AND(A903&gt;=129,A903&lt;=2176),INDEX(Fields!$C$2:$C$206,MATCH(A903-129,Fields!$D$2:$D$206,1)),""),"")</f>
        <v/>
      </c>
    </row>
    <row r="904">
      <c r="A904" t="n">
        <v>903</v>
      </c>
      <c r="B904">
        <f>IFERROR(INDEX(RawBits!$A:$A,MATCH($A904,RawBits!$H:$H,0)),"?")</f>
        <v/>
      </c>
      <c r="C904">
        <f>IFERROR(INDEX(RawBits!$G:$G,MATCH($A904,RawBits!$H:$H,0)),"")</f>
        <v/>
      </c>
      <c r="D904">
        <f>IFERROR(IF(AND(A904&gt;=129,A904&lt;=2176),INDEX(Fields!$B$2:$B$206,MATCH(A904-129,Fields!$D$2:$D$206,1)),""),"")</f>
        <v/>
      </c>
      <c r="E904">
        <f>IFERROR(IF(AND(A904&gt;=129,A904&lt;=2176),INDEX(Fields!$C$2:$C$206,MATCH(A904-129,Fields!$D$2:$D$206,1)),""),"")</f>
        <v/>
      </c>
    </row>
    <row r="905">
      <c r="A905" t="n">
        <v>904</v>
      </c>
      <c r="B905">
        <f>IFERROR(INDEX(RawBits!$A:$A,MATCH($A905,RawBits!$H:$H,0)),"?")</f>
        <v/>
      </c>
      <c r="C905">
        <f>IFERROR(INDEX(RawBits!$G:$G,MATCH($A905,RawBits!$H:$H,0)),"")</f>
        <v/>
      </c>
      <c r="D905">
        <f>IFERROR(IF(AND(A905&gt;=129,A905&lt;=2176),INDEX(Fields!$B$2:$B$206,MATCH(A905-129,Fields!$D$2:$D$206,1)),""),"")</f>
        <v/>
      </c>
      <c r="E905">
        <f>IFERROR(IF(AND(A905&gt;=129,A905&lt;=2176),INDEX(Fields!$C$2:$C$206,MATCH(A905-129,Fields!$D$2:$D$206,1)),""),"")</f>
        <v/>
      </c>
    </row>
    <row r="906">
      <c r="A906" t="n">
        <v>905</v>
      </c>
      <c r="B906">
        <f>IFERROR(INDEX(RawBits!$A:$A,MATCH($A906,RawBits!$H:$H,0)),"?")</f>
        <v/>
      </c>
      <c r="C906">
        <f>IFERROR(INDEX(RawBits!$G:$G,MATCH($A906,RawBits!$H:$H,0)),"")</f>
        <v/>
      </c>
      <c r="D906">
        <f>IFERROR(IF(AND(A906&gt;=129,A906&lt;=2176),INDEX(Fields!$B$2:$B$206,MATCH(A906-129,Fields!$D$2:$D$206,1)),""),"")</f>
        <v/>
      </c>
      <c r="E906">
        <f>IFERROR(IF(AND(A906&gt;=129,A906&lt;=2176),INDEX(Fields!$C$2:$C$206,MATCH(A906-129,Fields!$D$2:$D$206,1)),""),"")</f>
        <v/>
      </c>
    </row>
    <row r="907">
      <c r="A907" t="n">
        <v>906</v>
      </c>
      <c r="B907">
        <f>IFERROR(INDEX(RawBits!$A:$A,MATCH($A907,RawBits!$H:$H,0)),"?")</f>
        <v/>
      </c>
      <c r="C907">
        <f>IFERROR(INDEX(RawBits!$G:$G,MATCH($A907,RawBits!$H:$H,0)),"")</f>
        <v/>
      </c>
      <c r="D907">
        <f>IFERROR(IF(AND(A907&gt;=129,A907&lt;=2176),INDEX(Fields!$B$2:$B$206,MATCH(A907-129,Fields!$D$2:$D$206,1)),""),"")</f>
        <v/>
      </c>
      <c r="E907">
        <f>IFERROR(IF(AND(A907&gt;=129,A907&lt;=2176),INDEX(Fields!$C$2:$C$206,MATCH(A907-129,Fields!$D$2:$D$206,1)),""),"")</f>
        <v/>
      </c>
    </row>
    <row r="908">
      <c r="A908" t="n">
        <v>907</v>
      </c>
      <c r="B908">
        <f>IFERROR(INDEX(RawBits!$A:$A,MATCH($A908,RawBits!$H:$H,0)),"?")</f>
        <v/>
      </c>
      <c r="C908">
        <f>IFERROR(INDEX(RawBits!$G:$G,MATCH($A908,RawBits!$H:$H,0)),"")</f>
        <v/>
      </c>
      <c r="D908">
        <f>IFERROR(IF(AND(A908&gt;=129,A908&lt;=2176),INDEX(Fields!$B$2:$B$206,MATCH(A908-129,Fields!$D$2:$D$206,1)),""),"")</f>
        <v/>
      </c>
      <c r="E908">
        <f>IFERROR(IF(AND(A908&gt;=129,A908&lt;=2176),INDEX(Fields!$C$2:$C$206,MATCH(A908-129,Fields!$D$2:$D$206,1)),""),"")</f>
        <v/>
      </c>
    </row>
    <row r="909">
      <c r="A909" t="n">
        <v>908</v>
      </c>
      <c r="B909">
        <f>IFERROR(INDEX(RawBits!$A:$A,MATCH($A909,RawBits!$H:$H,0)),"?")</f>
        <v/>
      </c>
      <c r="C909">
        <f>IFERROR(INDEX(RawBits!$G:$G,MATCH($A909,RawBits!$H:$H,0)),"")</f>
        <v/>
      </c>
      <c r="D909">
        <f>IFERROR(IF(AND(A909&gt;=129,A909&lt;=2176),INDEX(Fields!$B$2:$B$206,MATCH(A909-129,Fields!$D$2:$D$206,1)),""),"")</f>
        <v/>
      </c>
      <c r="E909">
        <f>IFERROR(IF(AND(A909&gt;=129,A909&lt;=2176),INDEX(Fields!$C$2:$C$206,MATCH(A909-129,Fields!$D$2:$D$206,1)),""),"")</f>
        <v/>
      </c>
    </row>
    <row r="910">
      <c r="A910" t="n">
        <v>909</v>
      </c>
      <c r="B910">
        <f>IFERROR(INDEX(RawBits!$A:$A,MATCH($A910,RawBits!$H:$H,0)),"?")</f>
        <v/>
      </c>
      <c r="C910">
        <f>IFERROR(INDEX(RawBits!$G:$G,MATCH($A910,RawBits!$H:$H,0)),"")</f>
        <v/>
      </c>
      <c r="D910">
        <f>IFERROR(IF(AND(A910&gt;=129,A910&lt;=2176),INDEX(Fields!$B$2:$B$206,MATCH(A910-129,Fields!$D$2:$D$206,1)),""),"")</f>
        <v/>
      </c>
      <c r="E910">
        <f>IFERROR(IF(AND(A910&gt;=129,A910&lt;=2176),INDEX(Fields!$C$2:$C$206,MATCH(A910-129,Fields!$D$2:$D$206,1)),""),"")</f>
        <v/>
      </c>
    </row>
    <row r="911">
      <c r="A911" t="n">
        <v>910</v>
      </c>
      <c r="B911">
        <f>IFERROR(INDEX(RawBits!$A:$A,MATCH($A911,RawBits!$H:$H,0)),"?")</f>
        <v/>
      </c>
      <c r="C911">
        <f>IFERROR(INDEX(RawBits!$G:$G,MATCH($A911,RawBits!$H:$H,0)),"")</f>
        <v/>
      </c>
      <c r="D911">
        <f>IFERROR(IF(AND(A911&gt;=129,A911&lt;=2176),INDEX(Fields!$B$2:$B$206,MATCH(A911-129,Fields!$D$2:$D$206,1)),""),"")</f>
        <v/>
      </c>
      <c r="E911">
        <f>IFERROR(IF(AND(A911&gt;=129,A911&lt;=2176),INDEX(Fields!$C$2:$C$206,MATCH(A911-129,Fields!$D$2:$D$206,1)),""),"")</f>
        <v/>
      </c>
    </row>
    <row r="912">
      <c r="A912" t="n">
        <v>911</v>
      </c>
      <c r="B912">
        <f>IFERROR(INDEX(RawBits!$A:$A,MATCH($A912,RawBits!$H:$H,0)),"?")</f>
        <v/>
      </c>
      <c r="C912">
        <f>IFERROR(INDEX(RawBits!$G:$G,MATCH($A912,RawBits!$H:$H,0)),"")</f>
        <v/>
      </c>
      <c r="D912">
        <f>IFERROR(IF(AND(A912&gt;=129,A912&lt;=2176),INDEX(Fields!$B$2:$B$206,MATCH(A912-129,Fields!$D$2:$D$206,1)),""),"")</f>
        <v/>
      </c>
      <c r="E912">
        <f>IFERROR(IF(AND(A912&gt;=129,A912&lt;=2176),INDEX(Fields!$C$2:$C$206,MATCH(A912-129,Fields!$D$2:$D$206,1)),""),"")</f>
        <v/>
      </c>
    </row>
    <row r="913">
      <c r="A913" t="n">
        <v>912</v>
      </c>
      <c r="B913">
        <f>IFERROR(INDEX(RawBits!$A:$A,MATCH($A913,RawBits!$H:$H,0)),"?")</f>
        <v/>
      </c>
      <c r="C913">
        <f>IFERROR(INDEX(RawBits!$G:$G,MATCH($A913,RawBits!$H:$H,0)),"")</f>
        <v/>
      </c>
      <c r="D913">
        <f>IFERROR(IF(AND(A913&gt;=129,A913&lt;=2176),INDEX(Fields!$B$2:$B$206,MATCH(A913-129,Fields!$D$2:$D$206,1)),""),"")</f>
        <v/>
      </c>
      <c r="E913">
        <f>IFERROR(IF(AND(A913&gt;=129,A913&lt;=2176),INDEX(Fields!$C$2:$C$206,MATCH(A913-129,Fields!$D$2:$D$206,1)),""),"")</f>
        <v/>
      </c>
    </row>
    <row r="914">
      <c r="A914" t="n">
        <v>913</v>
      </c>
      <c r="B914">
        <f>IFERROR(INDEX(RawBits!$A:$A,MATCH($A914,RawBits!$H:$H,0)),"?")</f>
        <v/>
      </c>
      <c r="C914">
        <f>IFERROR(INDEX(RawBits!$G:$G,MATCH($A914,RawBits!$H:$H,0)),"")</f>
        <v/>
      </c>
      <c r="D914">
        <f>IFERROR(IF(AND(A914&gt;=129,A914&lt;=2176),INDEX(Fields!$B$2:$B$206,MATCH(A914-129,Fields!$D$2:$D$206,1)),""),"")</f>
        <v/>
      </c>
      <c r="E914">
        <f>IFERROR(IF(AND(A914&gt;=129,A914&lt;=2176),INDEX(Fields!$C$2:$C$206,MATCH(A914-129,Fields!$D$2:$D$206,1)),""),"")</f>
        <v/>
      </c>
    </row>
    <row r="915">
      <c r="A915" t="n">
        <v>914</v>
      </c>
      <c r="B915">
        <f>IFERROR(INDEX(RawBits!$A:$A,MATCH($A915,RawBits!$H:$H,0)),"?")</f>
        <v/>
      </c>
      <c r="C915">
        <f>IFERROR(INDEX(RawBits!$G:$G,MATCH($A915,RawBits!$H:$H,0)),"")</f>
        <v/>
      </c>
      <c r="D915">
        <f>IFERROR(IF(AND(A915&gt;=129,A915&lt;=2176),INDEX(Fields!$B$2:$B$206,MATCH(A915-129,Fields!$D$2:$D$206,1)),""),"")</f>
        <v/>
      </c>
      <c r="E915">
        <f>IFERROR(IF(AND(A915&gt;=129,A915&lt;=2176),INDEX(Fields!$C$2:$C$206,MATCH(A915-129,Fields!$D$2:$D$206,1)),""),"")</f>
        <v/>
      </c>
    </row>
    <row r="916">
      <c r="A916" t="n">
        <v>915</v>
      </c>
      <c r="B916">
        <f>IFERROR(INDEX(RawBits!$A:$A,MATCH($A916,RawBits!$H:$H,0)),"?")</f>
        <v/>
      </c>
      <c r="C916">
        <f>IFERROR(INDEX(RawBits!$G:$G,MATCH($A916,RawBits!$H:$H,0)),"")</f>
        <v/>
      </c>
      <c r="D916">
        <f>IFERROR(IF(AND(A916&gt;=129,A916&lt;=2176),INDEX(Fields!$B$2:$B$206,MATCH(A916-129,Fields!$D$2:$D$206,1)),""),"")</f>
        <v/>
      </c>
      <c r="E916">
        <f>IFERROR(IF(AND(A916&gt;=129,A916&lt;=2176),INDEX(Fields!$C$2:$C$206,MATCH(A916-129,Fields!$D$2:$D$206,1)),""),"")</f>
        <v/>
      </c>
    </row>
    <row r="917">
      <c r="A917" t="n">
        <v>916</v>
      </c>
      <c r="B917">
        <f>IFERROR(INDEX(RawBits!$A:$A,MATCH($A917,RawBits!$H:$H,0)),"?")</f>
        <v/>
      </c>
      <c r="C917">
        <f>IFERROR(INDEX(RawBits!$G:$G,MATCH($A917,RawBits!$H:$H,0)),"")</f>
        <v/>
      </c>
      <c r="D917">
        <f>IFERROR(IF(AND(A917&gt;=129,A917&lt;=2176),INDEX(Fields!$B$2:$B$206,MATCH(A917-129,Fields!$D$2:$D$206,1)),""),"")</f>
        <v/>
      </c>
      <c r="E917">
        <f>IFERROR(IF(AND(A917&gt;=129,A917&lt;=2176),INDEX(Fields!$C$2:$C$206,MATCH(A917-129,Fields!$D$2:$D$206,1)),""),"")</f>
        <v/>
      </c>
    </row>
    <row r="918">
      <c r="A918" t="n">
        <v>917</v>
      </c>
      <c r="B918">
        <f>IFERROR(INDEX(RawBits!$A:$A,MATCH($A918,RawBits!$H:$H,0)),"?")</f>
        <v/>
      </c>
      <c r="C918">
        <f>IFERROR(INDEX(RawBits!$G:$G,MATCH($A918,RawBits!$H:$H,0)),"")</f>
        <v/>
      </c>
      <c r="D918">
        <f>IFERROR(IF(AND(A918&gt;=129,A918&lt;=2176),INDEX(Fields!$B$2:$B$206,MATCH(A918-129,Fields!$D$2:$D$206,1)),""),"")</f>
        <v/>
      </c>
      <c r="E918">
        <f>IFERROR(IF(AND(A918&gt;=129,A918&lt;=2176),INDEX(Fields!$C$2:$C$206,MATCH(A918-129,Fields!$D$2:$D$206,1)),""),"")</f>
        <v/>
      </c>
    </row>
    <row r="919">
      <c r="A919" t="n">
        <v>918</v>
      </c>
      <c r="B919">
        <f>IFERROR(INDEX(RawBits!$A:$A,MATCH($A919,RawBits!$H:$H,0)),"?")</f>
        <v/>
      </c>
      <c r="C919">
        <f>IFERROR(INDEX(RawBits!$G:$G,MATCH($A919,RawBits!$H:$H,0)),"")</f>
        <v/>
      </c>
      <c r="D919">
        <f>IFERROR(IF(AND(A919&gt;=129,A919&lt;=2176),INDEX(Fields!$B$2:$B$206,MATCH(A919-129,Fields!$D$2:$D$206,1)),""),"")</f>
        <v/>
      </c>
      <c r="E919">
        <f>IFERROR(IF(AND(A919&gt;=129,A919&lt;=2176),INDEX(Fields!$C$2:$C$206,MATCH(A919-129,Fields!$D$2:$D$206,1)),""),"")</f>
        <v/>
      </c>
    </row>
    <row r="920">
      <c r="A920" t="n">
        <v>919</v>
      </c>
      <c r="B920">
        <f>IFERROR(INDEX(RawBits!$A:$A,MATCH($A920,RawBits!$H:$H,0)),"?")</f>
        <v/>
      </c>
      <c r="C920">
        <f>IFERROR(INDEX(RawBits!$G:$G,MATCH($A920,RawBits!$H:$H,0)),"")</f>
        <v/>
      </c>
      <c r="D920">
        <f>IFERROR(IF(AND(A920&gt;=129,A920&lt;=2176),INDEX(Fields!$B$2:$B$206,MATCH(A920-129,Fields!$D$2:$D$206,1)),""),"")</f>
        <v/>
      </c>
      <c r="E920">
        <f>IFERROR(IF(AND(A920&gt;=129,A920&lt;=2176),INDEX(Fields!$C$2:$C$206,MATCH(A920-129,Fields!$D$2:$D$206,1)),""),"")</f>
        <v/>
      </c>
    </row>
    <row r="921">
      <c r="A921" t="n">
        <v>920</v>
      </c>
      <c r="B921">
        <f>IFERROR(INDEX(RawBits!$A:$A,MATCH($A921,RawBits!$H:$H,0)),"?")</f>
        <v/>
      </c>
      <c r="C921">
        <f>IFERROR(INDEX(RawBits!$G:$G,MATCH($A921,RawBits!$H:$H,0)),"")</f>
        <v/>
      </c>
      <c r="D921">
        <f>IFERROR(IF(AND(A921&gt;=129,A921&lt;=2176),INDEX(Fields!$B$2:$B$206,MATCH(A921-129,Fields!$D$2:$D$206,1)),""),"")</f>
        <v/>
      </c>
      <c r="E921">
        <f>IFERROR(IF(AND(A921&gt;=129,A921&lt;=2176),INDEX(Fields!$C$2:$C$206,MATCH(A921-129,Fields!$D$2:$D$206,1)),""),"")</f>
        <v/>
      </c>
    </row>
    <row r="922">
      <c r="A922" t="n">
        <v>921</v>
      </c>
      <c r="B922">
        <f>IFERROR(INDEX(RawBits!$A:$A,MATCH($A922,RawBits!$H:$H,0)),"?")</f>
        <v/>
      </c>
      <c r="C922">
        <f>IFERROR(INDEX(RawBits!$G:$G,MATCH($A922,RawBits!$H:$H,0)),"")</f>
        <v/>
      </c>
      <c r="D922">
        <f>IFERROR(IF(AND(A922&gt;=129,A922&lt;=2176),INDEX(Fields!$B$2:$B$206,MATCH(A922-129,Fields!$D$2:$D$206,1)),""),"")</f>
        <v/>
      </c>
      <c r="E922">
        <f>IFERROR(IF(AND(A922&gt;=129,A922&lt;=2176),INDEX(Fields!$C$2:$C$206,MATCH(A922-129,Fields!$D$2:$D$206,1)),""),"")</f>
        <v/>
      </c>
    </row>
    <row r="923">
      <c r="A923" t="n">
        <v>922</v>
      </c>
      <c r="B923">
        <f>IFERROR(INDEX(RawBits!$A:$A,MATCH($A923,RawBits!$H:$H,0)),"?")</f>
        <v/>
      </c>
      <c r="C923">
        <f>IFERROR(INDEX(RawBits!$G:$G,MATCH($A923,RawBits!$H:$H,0)),"")</f>
        <v/>
      </c>
      <c r="D923">
        <f>IFERROR(IF(AND(A923&gt;=129,A923&lt;=2176),INDEX(Fields!$B$2:$B$206,MATCH(A923-129,Fields!$D$2:$D$206,1)),""),"")</f>
        <v/>
      </c>
      <c r="E923">
        <f>IFERROR(IF(AND(A923&gt;=129,A923&lt;=2176),INDEX(Fields!$C$2:$C$206,MATCH(A923-129,Fields!$D$2:$D$206,1)),""),"")</f>
        <v/>
      </c>
    </row>
    <row r="924">
      <c r="A924" t="n">
        <v>923</v>
      </c>
      <c r="B924">
        <f>IFERROR(INDEX(RawBits!$A:$A,MATCH($A924,RawBits!$H:$H,0)),"?")</f>
        <v/>
      </c>
      <c r="C924">
        <f>IFERROR(INDEX(RawBits!$G:$G,MATCH($A924,RawBits!$H:$H,0)),"")</f>
        <v/>
      </c>
      <c r="D924">
        <f>IFERROR(IF(AND(A924&gt;=129,A924&lt;=2176),INDEX(Fields!$B$2:$B$206,MATCH(A924-129,Fields!$D$2:$D$206,1)),""),"")</f>
        <v/>
      </c>
      <c r="E924">
        <f>IFERROR(IF(AND(A924&gt;=129,A924&lt;=2176),INDEX(Fields!$C$2:$C$206,MATCH(A924-129,Fields!$D$2:$D$206,1)),""),"")</f>
        <v/>
      </c>
    </row>
    <row r="925">
      <c r="A925" t="n">
        <v>924</v>
      </c>
      <c r="B925">
        <f>IFERROR(INDEX(RawBits!$A:$A,MATCH($A925,RawBits!$H:$H,0)),"?")</f>
        <v/>
      </c>
      <c r="C925">
        <f>IFERROR(INDEX(RawBits!$G:$G,MATCH($A925,RawBits!$H:$H,0)),"")</f>
        <v/>
      </c>
      <c r="D925">
        <f>IFERROR(IF(AND(A925&gt;=129,A925&lt;=2176),INDEX(Fields!$B$2:$B$206,MATCH(A925-129,Fields!$D$2:$D$206,1)),""),"")</f>
        <v/>
      </c>
      <c r="E925">
        <f>IFERROR(IF(AND(A925&gt;=129,A925&lt;=2176),INDEX(Fields!$C$2:$C$206,MATCH(A925-129,Fields!$D$2:$D$206,1)),""),"")</f>
        <v/>
      </c>
    </row>
    <row r="926">
      <c r="A926" t="n">
        <v>925</v>
      </c>
      <c r="B926">
        <f>IFERROR(INDEX(RawBits!$A:$A,MATCH($A926,RawBits!$H:$H,0)),"?")</f>
        <v/>
      </c>
      <c r="C926">
        <f>IFERROR(INDEX(RawBits!$G:$G,MATCH($A926,RawBits!$H:$H,0)),"")</f>
        <v/>
      </c>
      <c r="D926">
        <f>IFERROR(IF(AND(A926&gt;=129,A926&lt;=2176),INDEX(Fields!$B$2:$B$206,MATCH(A926-129,Fields!$D$2:$D$206,1)),""),"")</f>
        <v/>
      </c>
      <c r="E926">
        <f>IFERROR(IF(AND(A926&gt;=129,A926&lt;=2176),INDEX(Fields!$C$2:$C$206,MATCH(A926-129,Fields!$D$2:$D$206,1)),""),"")</f>
        <v/>
      </c>
    </row>
    <row r="927">
      <c r="A927" t="n">
        <v>926</v>
      </c>
      <c r="B927">
        <f>IFERROR(INDEX(RawBits!$A:$A,MATCH($A927,RawBits!$H:$H,0)),"?")</f>
        <v/>
      </c>
      <c r="C927">
        <f>IFERROR(INDEX(RawBits!$G:$G,MATCH($A927,RawBits!$H:$H,0)),"")</f>
        <v/>
      </c>
      <c r="D927">
        <f>IFERROR(IF(AND(A927&gt;=129,A927&lt;=2176),INDEX(Fields!$B$2:$B$206,MATCH(A927-129,Fields!$D$2:$D$206,1)),""),"")</f>
        <v/>
      </c>
      <c r="E927">
        <f>IFERROR(IF(AND(A927&gt;=129,A927&lt;=2176),INDEX(Fields!$C$2:$C$206,MATCH(A927-129,Fields!$D$2:$D$206,1)),""),"")</f>
        <v/>
      </c>
    </row>
    <row r="928">
      <c r="A928" t="n">
        <v>927</v>
      </c>
      <c r="B928">
        <f>IFERROR(INDEX(RawBits!$A:$A,MATCH($A928,RawBits!$H:$H,0)),"?")</f>
        <v/>
      </c>
      <c r="C928">
        <f>IFERROR(INDEX(RawBits!$G:$G,MATCH($A928,RawBits!$H:$H,0)),"")</f>
        <v/>
      </c>
      <c r="D928">
        <f>IFERROR(IF(AND(A928&gt;=129,A928&lt;=2176),INDEX(Fields!$B$2:$B$206,MATCH(A928-129,Fields!$D$2:$D$206,1)),""),"")</f>
        <v/>
      </c>
      <c r="E928">
        <f>IFERROR(IF(AND(A928&gt;=129,A928&lt;=2176),INDEX(Fields!$C$2:$C$206,MATCH(A928-129,Fields!$D$2:$D$206,1)),""),"")</f>
        <v/>
      </c>
    </row>
    <row r="929">
      <c r="A929" t="n">
        <v>928</v>
      </c>
      <c r="B929">
        <f>IFERROR(INDEX(RawBits!$A:$A,MATCH($A929,RawBits!$H:$H,0)),"?")</f>
        <v/>
      </c>
      <c r="C929">
        <f>IFERROR(INDEX(RawBits!$G:$G,MATCH($A929,RawBits!$H:$H,0)),"")</f>
        <v/>
      </c>
      <c r="D929">
        <f>IFERROR(IF(AND(A929&gt;=129,A929&lt;=2176),INDEX(Fields!$B$2:$B$206,MATCH(A929-129,Fields!$D$2:$D$206,1)),""),"")</f>
        <v/>
      </c>
      <c r="E929">
        <f>IFERROR(IF(AND(A929&gt;=129,A929&lt;=2176),INDEX(Fields!$C$2:$C$206,MATCH(A929-129,Fields!$D$2:$D$206,1)),""),"")</f>
        <v/>
      </c>
    </row>
    <row r="930">
      <c r="A930" t="n">
        <v>929</v>
      </c>
      <c r="B930">
        <f>IFERROR(INDEX(RawBits!$A:$A,MATCH($A930,RawBits!$H:$H,0)),"?")</f>
        <v/>
      </c>
      <c r="C930">
        <f>IFERROR(INDEX(RawBits!$G:$G,MATCH($A930,RawBits!$H:$H,0)),"")</f>
        <v/>
      </c>
      <c r="D930">
        <f>IFERROR(IF(AND(A930&gt;=129,A930&lt;=2176),INDEX(Fields!$B$2:$B$206,MATCH(A930-129,Fields!$D$2:$D$206,1)),""),"")</f>
        <v/>
      </c>
      <c r="E930">
        <f>IFERROR(IF(AND(A930&gt;=129,A930&lt;=2176),INDEX(Fields!$C$2:$C$206,MATCH(A930-129,Fields!$D$2:$D$206,1)),""),"")</f>
        <v/>
      </c>
    </row>
    <row r="931">
      <c r="A931" t="n">
        <v>930</v>
      </c>
      <c r="B931">
        <f>IFERROR(INDEX(RawBits!$A:$A,MATCH($A931,RawBits!$H:$H,0)),"?")</f>
        <v/>
      </c>
      <c r="C931">
        <f>IFERROR(INDEX(RawBits!$G:$G,MATCH($A931,RawBits!$H:$H,0)),"")</f>
        <v/>
      </c>
      <c r="D931">
        <f>IFERROR(IF(AND(A931&gt;=129,A931&lt;=2176),INDEX(Fields!$B$2:$B$206,MATCH(A931-129,Fields!$D$2:$D$206,1)),""),"")</f>
        <v/>
      </c>
      <c r="E931">
        <f>IFERROR(IF(AND(A931&gt;=129,A931&lt;=2176),INDEX(Fields!$C$2:$C$206,MATCH(A931-129,Fields!$D$2:$D$206,1)),""),"")</f>
        <v/>
      </c>
    </row>
    <row r="932">
      <c r="A932" t="n">
        <v>931</v>
      </c>
      <c r="B932">
        <f>IFERROR(INDEX(RawBits!$A:$A,MATCH($A932,RawBits!$H:$H,0)),"?")</f>
        <v/>
      </c>
      <c r="C932">
        <f>IFERROR(INDEX(RawBits!$G:$G,MATCH($A932,RawBits!$H:$H,0)),"")</f>
        <v/>
      </c>
      <c r="D932">
        <f>IFERROR(IF(AND(A932&gt;=129,A932&lt;=2176),INDEX(Fields!$B$2:$B$206,MATCH(A932-129,Fields!$D$2:$D$206,1)),""),"")</f>
        <v/>
      </c>
      <c r="E932">
        <f>IFERROR(IF(AND(A932&gt;=129,A932&lt;=2176),INDEX(Fields!$C$2:$C$206,MATCH(A932-129,Fields!$D$2:$D$206,1)),""),"")</f>
        <v/>
      </c>
    </row>
    <row r="933">
      <c r="A933" t="n">
        <v>932</v>
      </c>
      <c r="B933">
        <f>IFERROR(INDEX(RawBits!$A:$A,MATCH($A933,RawBits!$H:$H,0)),"?")</f>
        <v/>
      </c>
      <c r="C933">
        <f>IFERROR(INDEX(RawBits!$G:$G,MATCH($A933,RawBits!$H:$H,0)),"")</f>
        <v/>
      </c>
      <c r="D933">
        <f>IFERROR(IF(AND(A933&gt;=129,A933&lt;=2176),INDEX(Fields!$B$2:$B$206,MATCH(A933-129,Fields!$D$2:$D$206,1)),""),"")</f>
        <v/>
      </c>
      <c r="E933">
        <f>IFERROR(IF(AND(A933&gt;=129,A933&lt;=2176),INDEX(Fields!$C$2:$C$206,MATCH(A933-129,Fields!$D$2:$D$206,1)),""),"")</f>
        <v/>
      </c>
    </row>
    <row r="934">
      <c r="A934" t="n">
        <v>933</v>
      </c>
      <c r="B934">
        <f>IFERROR(INDEX(RawBits!$A:$A,MATCH($A934,RawBits!$H:$H,0)),"?")</f>
        <v/>
      </c>
      <c r="C934">
        <f>IFERROR(INDEX(RawBits!$G:$G,MATCH($A934,RawBits!$H:$H,0)),"")</f>
        <v/>
      </c>
      <c r="D934">
        <f>IFERROR(IF(AND(A934&gt;=129,A934&lt;=2176),INDEX(Fields!$B$2:$B$206,MATCH(A934-129,Fields!$D$2:$D$206,1)),""),"")</f>
        <v/>
      </c>
      <c r="E934">
        <f>IFERROR(IF(AND(A934&gt;=129,A934&lt;=2176),INDEX(Fields!$C$2:$C$206,MATCH(A934-129,Fields!$D$2:$D$206,1)),""),"")</f>
        <v/>
      </c>
    </row>
    <row r="935">
      <c r="A935" t="n">
        <v>934</v>
      </c>
      <c r="B935">
        <f>IFERROR(INDEX(RawBits!$A:$A,MATCH($A935,RawBits!$H:$H,0)),"?")</f>
        <v/>
      </c>
      <c r="C935">
        <f>IFERROR(INDEX(RawBits!$G:$G,MATCH($A935,RawBits!$H:$H,0)),"")</f>
        <v/>
      </c>
      <c r="D935">
        <f>IFERROR(IF(AND(A935&gt;=129,A935&lt;=2176),INDEX(Fields!$B$2:$B$206,MATCH(A935-129,Fields!$D$2:$D$206,1)),""),"")</f>
        <v/>
      </c>
      <c r="E935">
        <f>IFERROR(IF(AND(A935&gt;=129,A935&lt;=2176),INDEX(Fields!$C$2:$C$206,MATCH(A935-129,Fields!$D$2:$D$206,1)),""),"")</f>
        <v/>
      </c>
    </row>
    <row r="936">
      <c r="A936" t="n">
        <v>935</v>
      </c>
      <c r="B936">
        <f>IFERROR(INDEX(RawBits!$A:$A,MATCH($A936,RawBits!$H:$H,0)),"?")</f>
        <v/>
      </c>
      <c r="C936">
        <f>IFERROR(INDEX(RawBits!$G:$G,MATCH($A936,RawBits!$H:$H,0)),"")</f>
        <v/>
      </c>
      <c r="D936">
        <f>IFERROR(IF(AND(A936&gt;=129,A936&lt;=2176),INDEX(Fields!$B$2:$B$206,MATCH(A936-129,Fields!$D$2:$D$206,1)),""),"")</f>
        <v/>
      </c>
      <c r="E936">
        <f>IFERROR(IF(AND(A936&gt;=129,A936&lt;=2176),INDEX(Fields!$C$2:$C$206,MATCH(A936-129,Fields!$D$2:$D$206,1)),""),"")</f>
        <v/>
      </c>
    </row>
    <row r="937">
      <c r="A937" t="n">
        <v>936</v>
      </c>
      <c r="B937">
        <f>IFERROR(INDEX(RawBits!$A:$A,MATCH($A937,RawBits!$H:$H,0)),"?")</f>
        <v/>
      </c>
      <c r="C937">
        <f>IFERROR(INDEX(RawBits!$G:$G,MATCH($A937,RawBits!$H:$H,0)),"")</f>
        <v/>
      </c>
      <c r="D937">
        <f>IFERROR(IF(AND(A937&gt;=129,A937&lt;=2176),INDEX(Fields!$B$2:$B$206,MATCH(A937-129,Fields!$D$2:$D$206,1)),""),"")</f>
        <v/>
      </c>
      <c r="E937">
        <f>IFERROR(IF(AND(A937&gt;=129,A937&lt;=2176),INDEX(Fields!$C$2:$C$206,MATCH(A937-129,Fields!$D$2:$D$206,1)),""),"")</f>
        <v/>
      </c>
    </row>
    <row r="938">
      <c r="A938" t="n">
        <v>937</v>
      </c>
      <c r="B938">
        <f>IFERROR(INDEX(RawBits!$A:$A,MATCH($A938,RawBits!$H:$H,0)),"?")</f>
        <v/>
      </c>
      <c r="C938">
        <f>IFERROR(INDEX(RawBits!$G:$G,MATCH($A938,RawBits!$H:$H,0)),"")</f>
        <v/>
      </c>
      <c r="D938">
        <f>IFERROR(IF(AND(A938&gt;=129,A938&lt;=2176),INDEX(Fields!$B$2:$B$206,MATCH(A938-129,Fields!$D$2:$D$206,1)),""),"")</f>
        <v/>
      </c>
      <c r="E938">
        <f>IFERROR(IF(AND(A938&gt;=129,A938&lt;=2176),INDEX(Fields!$C$2:$C$206,MATCH(A938-129,Fields!$D$2:$D$206,1)),""),"")</f>
        <v/>
      </c>
    </row>
    <row r="939">
      <c r="A939" t="n">
        <v>938</v>
      </c>
      <c r="B939">
        <f>IFERROR(INDEX(RawBits!$A:$A,MATCH($A939,RawBits!$H:$H,0)),"?")</f>
        <v/>
      </c>
      <c r="C939">
        <f>IFERROR(INDEX(RawBits!$G:$G,MATCH($A939,RawBits!$H:$H,0)),"")</f>
        <v/>
      </c>
      <c r="D939">
        <f>IFERROR(IF(AND(A939&gt;=129,A939&lt;=2176),INDEX(Fields!$B$2:$B$206,MATCH(A939-129,Fields!$D$2:$D$206,1)),""),"")</f>
        <v/>
      </c>
      <c r="E939">
        <f>IFERROR(IF(AND(A939&gt;=129,A939&lt;=2176),INDEX(Fields!$C$2:$C$206,MATCH(A939-129,Fields!$D$2:$D$206,1)),""),"")</f>
        <v/>
      </c>
    </row>
    <row r="940">
      <c r="A940" t="n">
        <v>939</v>
      </c>
      <c r="B940">
        <f>IFERROR(INDEX(RawBits!$A:$A,MATCH($A940,RawBits!$H:$H,0)),"?")</f>
        <v/>
      </c>
      <c r="C940">
        <f>IFERROR(INDEX(RawBits!$G:$G,MATCH($A940,RawBits!$H:$H,0)),"")</f>
        <v/>
      </c>
      <c r="D940">
        <f>IFERROR(IF(AND(A940&gt;=129,A940&lt;=2176),INDEX(Fields!$B$2:$B$206,MATCH(A940-129,Fields!$D$2:$D$206,1)),""),"")</f>
        <v/>
      </c>
      <c r="E940">
        <f>IFERROR(IF(AND(A940&gt;=129,A940&lt;=2176),INDEX(Fields!$C$2:$C$206,MATCH(A940-129,Fields!$D$2:$D$206,1)),""),"")</f>
        <v/>
      </c>
    </row>
    <row r="941">
      <c r="A941" t="n">
        <v>940</v>
      </c>
      <c r="B941">
        <f>IFERROR(INDEX(RawBits!$A:$A,MATCH($A941,RawBits!$H:$H,0)),"?")</f>
        <v/>
      </c>
      <c r="C941">
        <f>IFERROR(INDEX(RawBits!$G:$G,MATCH($A941,RawBits!$H:$H,0)),"")</f>
        <v/>
      </c>
      <c r="D941">
        <f>IFERROR(IF(AND(A941&gt;=129,A941&lt;=2176),INDEX(Fields!$B$2:$B$206,MATCH(A941-129,Fields!$D$2:$D$206,1)),""),"")</f>
        <v/>
      </c>
      <c r="E941">
        <f>IFERROR(IF(AND(A941&gt;=129,A941&lt;=2176),INDEX(Fields!$C$2:$C$206,MATCH(A941-129,Fields!$D$2:$D$206,1)),""),"")</f>
        <v/>
      </c>
    </row>
    <row r="942">
      <c r="A942" t="n">
        <v>941</v>
      </c>
      <c r="B942">
        <f>IFERROR(INDEX(RawBits!$A:$A,MATCH($A942,RawBits!$H:$H,0)),"?")</f>
        <v/>
      </c>
      <c r="C942">
        <f>IFERROR(INDEX(RawBits!$G:$G,MATCH($A942,RawBits!$H:$H,0)),"")</f>
        <v/>
      </c>
      <c r="D942">
        <f>IFERROR(IF(AND(A942&gt;=129,A942&lt;=2176),INDEX(Fields!$B$2:$B$206,MATCH(A942-129,Fields!$D$2:$D$206,1)),""),"")</f>
        <v/>
      </c>
      <c r="E942">
        <f>IFERROR(IF(AND(A942&gt;=129,A942&lt;=2176),INDEX(Fields!$C$2:$C$206,MATCH(A942-129,Fields!$D$2:$D$206,1)),""),"")</f>
        <v/>
      </c>
    </row>
    <row r="943">
      <c r="A943" t="n">
        <v>942</v>
      </c>
      <c r="B943">
        <f>IFERROR(INDEX(RawBits!$A:$A,MATCH($A943,RawBits!$H:$H,0)),"?")</f>
        <v/>
      </c>
      <c r="C943">
        <f>IFERROR(INDEX(RawBits!$G:$G,MATCH($A943,RawBits!$H:$H,0)),"")</f>
        <v/>
      </c>
      <c r="D943">
        <f>IFERROR(IF(AND(A943&gt;=129,A943&lt;=2176),INDEX(Fields!$B$2:$B$206,MATCH(A943-129,Fields!$D$2:$D$206,1)),""),"")</f>
        <v/>
      </c>
      <c r="E943">
        <f>IFERROR(IF(AND(A943&gt;=129,A943&lt;=2176),INDEX(Fields!$C$2:$C$206,MATCH(A943-129,Fields!$D$2:$D$206,1)),""),"")</f>
        <v/>
      </c>
    </row>
    <row r="944">
      <c r="A944" t="n">
        <v>943</v>
      </c>
      <c r="B944">
        <f>IFERROR(INDEX(RawBits!$A:$A,MATCH($A944,RawBits!$H:$H,0)),"?")</f>
        <v/>
      </c>
      <c r="C944">
        <f>IFERROR(INDEX(RawBits!$G:$G,MATCH($A944,RawBits!$H:$H,0)),"")</f>
        <v/>
      </c>
      <c r="D944">
        <f>IFERROR(IF(AND(A944&gt;=129,A944&lt;=2176),INDEX(Fields!$B$2:$B$206,MATCH(A944-129,Fields!$D$2:$D$206,1)),""),"")</f>
        <v/>
      </c>
      <c r="E944">
        <f>IFERROR(IF(AND(A944&gt;=129,A944&lt;=2176),INDEX(Fields!$C$2:$C$206,MATCH(A944-129,Fields!$D$2:$D$206,1)),""),"")</f>
        <v/>
      </c>
    </row>
    <row r="945">
      <c r="A945" t="n">
        <v>944</v>
      </c>
      <c r="B945">
        <f>IFERROR(INDEX(RawBits!$A:$A,MATCH($A945,RawBits!$H:$H,0)),"?")</f>
        <v/>
      </c>
      <c r="C945">
        <f>IFERROR(INDEX(RawBits!$G:$G,MATCH($A945,RawBits!$H:$H,0)),"")</f>
        <v/>
      </c>
      <c r="D945">
        <f>IFERROR(IF(AND(A945&gt;=129,A945&lt;=2176),INDEX(Fields!$B$2:$B$206,MATCH(A945-129,Fields!$D$2:$D$206,1)),""),"")</f>
        <v/>
      </c>
      <c r="E945">
        <f>IFERROR(IF(AND(A945&gt;=129,A945&lt;=2176),INDEX(Fields!$C$2:$C$206,MATCH(A945-129,Fields!$D$2:$D$206,1)),""),"")</f>
        <v/>
      </c>
    </row>
    <row r="946">
      <c r="A946" t="n">
        <v>945</v>
      </c>
      <c r="B946">
        <f>IFERROR(INDEX(RawBits!$A:$A,MATCH($A946,RawBits!$H:$H,0)),"?")</f>
        <v/>
      </c>
      <c r="C946">
        <f>IFERROR(INDEX(RawBits!$G:$G,MATCH($A946,RawBits!$H:$H,0)),"")</f>
        <v/>
      </c>
      <c r="D946">
        <f>IFERROR(IF(AND(A946&gt;=129,A946&lt;=2176),INDEX(Fields!$B$2:$B$206,MATCH(A946-129,Fields!$D$2:$D$206,1)),""),"")</f>
        <v/>
      </c>
      <c r="E946">
        <f>IFERROR(IF(AND(A946&gt;=129,A946&lt;=2176),INDEX(Fields!$C$2:$C$206,MATCH(A946-129,Fields!$D$2:$D$206,1)),""),"")</f>
        <v/>
      </c>
    </row>
    <row r="947">
      <c r="A947" t="n">
        <v>946</v>
      </c>
      <c r="B947">
        <f>IFERROR(INDEX(RawBits!$A:$A,MATCH($A947,RawBits!$H:$H,0)),"?")</f>
        <v/>
      </c>
      <c r="C947">
        <f>IFERROR(INDEX(RawBits!$G:$G,MATCH($A947,RawBits!$H:$H,0)),"")</f>
        <v/>
      </c>
      <c r="D947">
        <f>IFERROR(IF(AND(A947&gt;=129,A947&lt;=2176),INDEX(Fields!$B$2:$B$206,MATCH(A947-129,Fields!$D$2:$D$206,1)),""),"")</f>
        <v/>
      </c>
      <c r="E947">
        <f>IFERROR(IF(AND(A947&gt;=129,A947&lt;=2176),INDEX(Fields!$C$2:$C$206,MATCH(A947-129,Fields!$D$2:$D$206,1)),""),"")</f>
        <v/>
      </c>
    </row>
    <row r="948">
      <c r="A948" t="n">
        <v>947</v>
      </c>
      <c r="B948">
        <f>IFERROR(INDEX(RawBits!$A:$A,MATCH($A948,RawBits!$H:$H,0)),"?")</f>
        <v/>
      </c>
      <c r="C948">
        <f>IFERROR(INDEX(RawBits!$G:$G,MATCH($A948,RawBits!$H:$H,0)),"")</f>
        <v/>
      </c>
      <c r="D948">
        <f>IFERROR(IF(AND(A948&gt;=129,A948&lt;=2176),INDEX(Fields!$B$2:$B$206,MATCH(A948-129,Fields!$D$2:$D$206,1)),""),"")</f>
        <v/>
      </c>
      <c r="E948">
        <f>IFERROR(IF(AND(A948&gt;=129,A948&lt;=2176),INDEX(Fields!$C$2:$C$206,MATCH(A948-129,Fields!$D$2:$D$206,1)),""),"")</f>
        <v/>
      </c>
    </row>
    <row r="949">
      <c r="A949" t="n">
        <v>948</v>
      </c>
      <c r="B949">
        <f>IFERROR(INDEX(RawBits!$A:$A,MATCH($A949,RawBits!$H:$H,0)),"?")</f>
        <v/>
      </c>
      <c r="C949">
        <f>IFERROR(INDEX(RawBits!$G:$G,MATCH($A949,RawBits!$H:$H,0)),"")</f>
        <v/>
      </c>
      <c r="D949">
        <f>IFERROR(IF(AND(A949&gt;=129,A949&lt;=2176),INDEX(Fields!$B$2:$B$206,MATCH(A949-129,Fields!$D$2:$D$206,1)),""),"")</f>
        <v/>
      </c>
      <c r="E949">
        <f>IFERROR(IF(AND(A949&gt;=129,A949&lt;=2176),INDEX(Fields!$C$2:$C$206,MATCH(A949-129,Fields!$D$2:$D$206,1)),""),"")</f>
        <v/>
      </c>
    </row>
    <row r="950">
      <c r="A950" t="n">
        <v>949</v>
      </c>
      <c r="B950">
        <f>IFERROR(INDEX(RawBits!$A:$A,MATCH($A950,RawBits!$H:$H,0)),"?")</f>
        <v/>
      </c>
      <c r="C950">
        <f>IFERROR(INDEX(RawBits!$G:$G,MATCH($A950,RawBits!$H:$H,0)),"")</f>
        <v/>
      </c>
      <c r="D950">
        <f>IFERROR(IF(AND(A950&gt;=129,A950&lt;=2176),INDEX(Fields!$B$2:$B$206,MATCH(A950-129,Fields!$D$2:$D$206,1)),""),"")</f>
        <v/>
      </c>
      <c r="E950">
        <f>IFERROR(IF(AND(A950&gt;=129,A950&lt;=2176),INDEX(Fields!$C$2:$C$206,MATCH(A950-129,Fields!$D$2:$D$206,1)),""),"")</f>
        <v/>
      </c>
    </row>
    <row r="951">
      <c r="A951" t="n">
        <v>950</v>
      </c>
      <c r="B951">
        <f>IFERROR(INDEX(RawBits!$A:$A,MATCH($A951,RawBits!$H:$H,0)),"?")</f>
        <v/>
      </c>
      <c r="C951">
        <f>IFERROR(INDEX(RawBits!$G:$G,MATCH($A951,RawBits!$H:$H,0)),"")</f>
        <v/>
      </c>
      <c r="D951">
        <f>IFERROR(IF(AND(A951&gt;=129,A951&lt;=2176),INDEX(Fields!$B$2:$B$206,MATCH(A951-129,Fields!$D$2:$D$206,1)),""),"")</f>
        <v/>
      </c>
      <c r="E951">
        <f>IFERROR(IF(AND(A951&gt;=129,A951&lt;=2176),INDEX(Fields!$C$2:$C$206,MATCH(A951-129,Fields!$D$2:$D$206,1)),""),"")</f>
        <v/>
      </c>
    </row>
    <row r="952">
      <c r="A952" t="n">
        <v>951</v>
      </c>
      <c r="B952">
        <f>IFERROR(INDEX(RawBits!$A:$A,MATCH($A952,RawBits!$H:$H,0)),"?")</f>
        <v/>
      </c>
      <c r="C952">
        <f>IFERROR(INDEX(RawBits!$G:$G,MATCH($A952,RawBits!$H:$H,0)),"")</f>
        <v/>
      </c>
      <c r="D952">
        <f>IFERROR(IF(AND(A952&gt;=129,A952&lt;=2176),INDEX(Fields!$B$2:$B$206,MATCH(A952-129,Fields!$D$2:$D$206,1)),""),"")</f>
        <v/>
      </c>
      <c r="E952">
        <f>IFERROR(IF(AND(A952&gt;=129,A952&lt;=2176),INDEX(Fields!$C$2:$C$206,MATCH(A952-129,Fields!$D$2:$D$206,1)),""),"")</f>
        <v/>
      </c>
    </row>
    <row r="953">
      <c r="A953" t="n">
        <v>952</v>
      </c>
      <c r="B953">
        <f>IFERROR(INDEX(RawBits!$A:$A,MATCH($A953,RawBits!$H:$H,0)),"?")</f>
        <v/>
      </c>
      <c r="C953">
        <f>IFERROR(INDEX(RawBits!$G:$G,MATCH($A953,RawBits!$H:$H,0)),"")</f>
        <v/>
      </c>
      <c r="D953">
        <f>IFERROR(IF(AND(A953&gt;=129,A953&lt;=2176),INDEX(Fields!$B$2:$B$206,MATCH(A953-129,Fields!$D$2:$D$206,1)),""),"")</f>
        <v/>
      </c>
      <c r="E953">
        <f>IFERROR(IF(AND(A953&gt;=129,A953&lt;=2176),INDEX(Fields!$C$2:$C$206,MATCH(A953-129,Fields!$D$2:$D$206,1)),""),"")</f>
        <v/>
      </c>
    </row>
    <row r="954">
      <c r="A954" t="n">
        <v>953</v>
      </c>
      <c r="B954">
        <f>IFERROR(INDEX(RawBits!$A:$A,MATCH($A954,RawBits!$H:$H,0)),"?")</f>
        <v/>
      </c>
      <c r="C954">
        <f>IFERROR(INDEX(RawBits!$G:$G,MATCH($A954,RawBits!$H:$H,0)),"")</f>
        <v/>
      </c>
      <c r="D954">
        <f>IFERROR(IF(AND(A954&gt;=129,A954&lt;=2176),INDEX(Fields!$B$2:$B$206,MATCH(A954-129,Fields!$D$2:$D$206,1)),""),"")</f>
        <v/>
      </c>
      <c r="E954">
        <f>IFERROR(IF(AND(A954&gt;=129,A954&lt;=2176),INDEX(Fields!$C$2:$C$206,MATCH(A954-129,Fields!$D$2:$D$206,1)),""),"")</f>
        <v/>
      </c>
    </row>
    <row r="955">
      <c r="A955" t="n">
        <v>954</v>
      </c>
      <c r="B955">
        <f>IFERROR(INDEX(RawBits!$A:$A,MATCH($A955,RawBits!$H:$H,0)),"?")</f>
        <v/>
      </c>
      <c r="C955">
        <f>IFERROR(INDEX(RawBits!$G:$G,MATCH($A955,RawBits!$H:$H,0)),"")</f>
        <v/>
      </c>
      <c r="D955">
        <f>IFERROR(IF(AND(A955&gt;=129,A955&lt;=2176),INDEX(Fields!$B$2:$B$206,MATCH(A955-129,Fields!$D$2:$D$206,1)),""),"")</f>
        <v/>
      </c>
      <c r="E955">
        <f>IFERROR(IF(AND(A955&gt;=129,A955&lt;=2176),INDEX(Fields!$C$2:$C$206,MATCH(A955-129,Fields!$D$2:$D$206,1)),""),"")</f>
        <v/>
      </c>
    </row>
    <row r="956">
      <c r="A956" t="n">
        <v>955</v>
      </c>
      <c r="B956">
        <f>IFERROR(INDEX(RawBits!$A:$A,MATCH($A956,RawBits!$H:$H,0)),"?")</f>
        <v/>
      </c>
      <c r="C956">
        <f>IFERROR(INDEX(RawBits!$G:$G,MATCH($A956,RawBits!$H:$H,0)),"")</f>
        <v/>
      </c>
      <c r="D956">
        <f>IFERROR(IF(AND(A956&gt;=129,A956&lt;=2176),INDEX(Fields!$B$2:$B$206,MATCH(A956-129,Fields!$D$2:$D$206,1)),""),"")</f>
        <v/>
      </c>
      <c r="E956">
        <f>IFERROR(IF(AND(A956&gt;=129,A956&lt;=2176),INDEX(Fields!$C$2:$C$206,MATCH(A956-129,Fields!$D$2:$D$206,1)),""),"")</f>
        <v/>
      </c>
    </row>
    <row r="957">
      <c r="A957" t="n">
        <v>956</v>
      </c>
      <c r="B957">
        <f>IFERROR(INDEX(RawBits!$A:$A,MATCH($A957,RawBits!$H:$H,0)),"?")</f>
        <v/>
      </c>
      <c r="C957">
        <f>IFERROR(INDEX(RawBits!$G:$G,MATCH($A957,RawBits!$H:$H,0)),"")</f>
        <v/>
      </c>
      <c r="D957">
        <f>IFERROR(IF(AND(A957&gt;=129,A957&lt;=2176),INDEX(Fields!$B$2:$B$206,MATCH(A957-129,Fields!$D$2:$D$206,1)),""),"")</f>
        <v/>
      </c>
      <c r="E957">
        <f>IFERROR(IF(AND(A957&gt;=129,A957&lt;=2176),INDEX(Fields!$C$2:$C$206,MATCH(A957-129,Fields!$D$2:$D$206,1)),""),"")</f>
        <v/>
      </c>
    </row>
    <row r="958">
      <c r="A958" t="n">
        <v>957</v>
      </c>
      <c r="B958">
        <f>IFERROR(INDEX(RawBits!$A:$A,MATCH($A958,RawBits!$H:$H,0)),"?")</f>
        <v/>
      </c>
      <c r="C958">
        <f>IFERROR(INDEX(RawBits!$G:$G,MATCH($A958,RawBits!$H:$H,0)),"")</f>
        <v/>
      </c>
      <c r="D958">
        <f>IFERROR(IF(AND(A958&gt;=129,A958&lt;=2176),INDEX(Fields!$B$2:$B$206,MATCH(A958-129,Fields!$D$2:$D$206,1)),""),"")</f>
        <v/>
      </c>
      <c r="E958">
        <f>IFERROR(IF(AND(A958&gt;=129,A958&lt;=2176),INDEX(Fields!$C$2:$C$206,MATCH(A958-129,Fields!$D$2:$D$206,1)),""),"")</f>
        <v/>
      </c>
    </row>
    <row r="959">
      <c r="A959" t="n">
        <v>958</v>
      </c>
      <c r="B959">
        <f>IFERROR(INDEX(RawBits!$A:$A,MATCH($A959,RawBits!$H:$H,0)),"?")</f>
        <v/>
      </c>
      <c r="C959">
        <f>IFERROR(INDEX(RawBits!$G:$G,MATCH($A959,RawBits!$H:$H,0)),"")</f>
        <v/>
      </c>
      <c r="D959">
        <f>IFERROR(IF(AND(A959&gt;=129,A959&lt;=2176),INDEX(Fields!$B$2:$B$206,MATCH(A959-129,Fields!$D$2:$D$206,1)),""),"")</f>
        <v/>
      </c>
      <c r="E959">
        <f>IFERROR(IF(AND(A959&gt;=129,A959&lt;=2176),INDEX(Fields!$C$2:$C$206,MATCH(A959-129,Fields!$D$2:$D$206,1)),""),"")</f>
        <v/>
      </c>
    </row>
    <row r="960">
      <c r="A960" t="n">
        <v>959</v>
      </c>
      <c r="B960">
        <f>IFERROR(INDEX(RawBits!$A:$A,MATCH($A960,RawBits!$H:$H,0)),"?")</f>
        <v/>
      </c>
      <c r="C960">
        <f>IFERROR(INDEX(RawBits!$G:$G,MATCH($A960,RawBits!$H:$H,0)),"")</f>
        <v/>
      </c>
      <c r="D960">
        <f>IFERROR(IF(AND(A960&gt;=129,A960&lt;=2176),INDEX(Fields!$B$2:$B$206,MATCH(A960-129,Fields!$D$2:$D$206,1)),""),"")</f>
        <v/>
      </c>
      <c r="E960">
        <f>IFERROR(IF(AND(A960&gt;=129,A960&lt;=2176),INDEX(Fields!$C$2:$C$206,MATCH(A960-129,Fields!$D$2:$D$206,1)),""),"")</f>
        <v/>
      </c>
    </row>
    <row r="961">
      <c r="A961" t="n">
        <v>960</v>
      </c>
      <c r="B961">
        <f>IFERROR(INDEX(RawBits!$A:$A,MATCH($A961,RawBits!$H:$H,0)),"?")</f>
        <v/>
      </c>
      <c r="C961">
        <f>IFERROR(INDEX(RawBits!$G:$G,MATCH($A961,RawBits!$H:$H,0)),"")</f>
        <v/>
      </c>
      <c r="D961">
        <f>IFERROR(IF(AND(A961&gt;=129,A961&lt;=2176),INDEX(Fields!$B$2:$B$206,MATCH(A961-129,Fields!$D$2:$D$206,1)),""),"")</f>
        <v/>
      </c>
      <c r="E961">
        <f>IFERROR(IF(AND(A961&gt;=129,A961&lt;=2176),INDEX(Fields!$C$2:$C$206,MATCH(A961-129,Fields!$D$2:$D$206,1)),""),"")</f>
        <v/>
      </c>
    </row>
    <row r="962">
      <c r="A962" t="n">
        <v>961</v>
      </c>
      <c r="B962">
        <f>IFERROR(INDEX(RawBits!$A:$A,MATCH($A962,RawBits!$H:$H,0)),"?")</f>
        <v/>
      </c>
      <c r="C962">
        <f>IFERROR(INDEX(RawBits!$G:$G,MATCH($A962,RawBits!$H:$H,0)),"")</f>
        <v/>
      </c>
      <c r="D962">
        <f>IFERROR(IF(AND(A962&gt;=129,A962&lt;=2176),INDEX(Fields!$B$2:$B$206,MATCH(A962-129,Fields!$D$2:$D$206,1)),""),"")</f>
        <v/>
      </c>
      <c r="E962">
        <f>IFERROR(IF(AND(A962&gt;=129,A962&lt;=2176),INDEX(Fields!$C$2:$C$206,MATCH(A962-129,Fields!$D$2:$D$206,1)),""),"")</f>
        <v/>
      </c>
    </row>
    <row r="963">
      <c r="A963" t="n">
        <v>962</v>
      </c>
      <c r="B963">
        <f>IFERROR(INDEX(RawBits!$A:$A,MATCH($A963,RawBits!$H:$H,0)),"?")</f>
        <v/>
      </c>
      <c r="C963">
        <f>IFERROR(INDEX(RawBits!$G:$G,MATCH($A963,RawBits!$H:$H,0)),"")</f>
        <v/>
      </c>
      <c r="D963">
        <f>IFERROR(IF(AND(A963&gt;=129,A963&lt;=2176),INDEX(Fields!$B$2:$B$206,MATCH(A963-129,Fields!$D$2:$D$206,1)),""),"")</f>
        <v/>
      </c>
      <c r="E963">
        <f>IFERROR(IF(AND(A963&gt;=129,A963&lt;=2176),INDEX(Fields!$C$2:$C$206,MATCH(A963-129,Fields!$D$2:$D$206,1)),""),"")</f>
        <v/>
      </c>
    </row>
    <row r="964">
      <c r="A964" t="n">
        <v>963</v>
      </c>
      <c r="B964">
        <f>IFERROR(INDEX(RawBits!$A:$A,MATCH($A964,RawBits!$H:$H,0)),"?")</f>
        <v/>
      </c>
      <c r="C964">
        <f>IFERROR(INDEX(RawBits!$G:$G,MATCH($A964,RawBits!$H:$H,0)),"")</f>
        <v/>
      </c>
      <c r="D964">
        <f>IFERROR(IF(AND(A964&gt;=129,A964&lt;=2176),INDEX(Fields!$B$2:$B$206,MATCH(A964-129,Fields!$D$2:$D$206,1)),""),"")</f>
        <v/>
      </c>
      <c r="E964">
        <f>IFERROR(IF(AND(A964&gt;=129,A964&lt;=2176),INDEX(Fields!$C$2:$C$206,MATCH(A964-129,Fields!$D$2:$D$206,1)),""),"")</f>
        <v/>
      </c>
    </row>
    <row r="965">
      <c r="A965" t="n">
        <v>964</v>
      </c>
      <c r="B965">
        <f>IFERROR(INDEX(RawBits!$A:$A,MATCH($A965,RawBits!$H:$H,0)),"?")</f>
        <v/>
      </c>
      <c r="C965">
        <f>IFERROR(INDEX(RawBits!$G:$G,MATCH($A965,RawBits!$H:$H,0)),"")</f>
        <v/>
      </c>
      <c r="D965">
        <f>IFERROR(IF(AND(A965&gt;=129,A965&lt;=2176),INDEX(Fields!$B$2:$B$206,MATCH(A965-129,Fields!$D$2:$D$206,1)),""),"")</f>
        <v/>
      </c>
      <c r="E965">
        <f>IFERROR(IF(AND(A965&gt;=129,A965&lt;=2176),INDEX(Fields!$C$2:$C$206,MATCH(A965-129,Fields!$D$2:$D$206,1)),""),"")</f>
        <v/>
      </c>
    </row>
    <row r="966">
      <c r="A966" t="n">
        <v>965</v>
      </c>
      <c r="B966">
        <f>IFERROR(INDEX(RawBits!$A:$A,MATCH($A966,RawBits!$H:$H,0)),"?")</f>
        <v/>
      </c>
      <c r="C966">
        <f>IFERROR(INDEX(RawBits!$G:$G,MATCH($A966,RawBits!$H:$H,0)),"")</f>
        <v/>
      </c>
      <c r="D966">
        <f>IFERROR(IF(AND(A966&gt;=129,A966&lt;=2176),INDEX(Fields!$B$2:$B$206,MATCH(A966-129,Fields!$D$2:$D$206,1)),""),"")</f>
        <v/>
      </c>
      <c r="E966">
        <f>IFERROR(IF(AND(A966&gt;=129,A966&lt;=2176),INDEX(Fields!$C$2:$C$206,MATCH(A966-129,Fields!$D$2:$D$206,1)),""),"")</f>
        <v/>
      </c>
    </row>
    <row r="967">
      <c r="A967" t="n">
        <v>966</v>
      </c>
      <c r="B967">
        <f>IFERROR(INDEX(RawBits!$A:$A,MATCH($A967,RawBits!$H:$H,0)),"?")</f>
        <v/>
      </c>
      <c r="C967">
        <f>IFERROR(INDEX(RawBits!$G:$G,MATCH($A967,RawBits!$H:$H,0)),"")</f>
        <v/>
      </c>
      <c r="D967">
        <f>IFERROR(IF(AND(A967&gt;=129,A967&lt;=2176),INDEX(Fields!$B$2:$B$206,MATCH(A967-129,Fields!$D$2:$D$206,1)),""),"")</f>
        <v/>
      </c>
      <c r="E967">
        <f>IFERROR(IF(AND(A967&gt;=129,A967&lt;=2176),INDEX(Fields!$C$2:$C$206,MATCH(A967-129,Fields!$D$2:$D$206,1)),""),"")</f>
        <v/>
      </c>
    </row>
    <row r="968">
      <c r="A968" t="n">
        <v>967</v>
      </c>
      <c r="B968">
        <f>IFERROR(INDEX(RawBits!$A:$A,MATCH($A968,RawBits!$H:$H,0)),"?")</f>
        <v/>
      </c>
      <c r="C968">
        <f>IFERROR(INDEX(RawBits!$G:$G,MATCH($A968,RawBits!$H:$H,0)),"")</f>
        <v/>
      </c>
      <c r="D968">
        <f>IFERROR(IF(AND(A968&gt;=129,A968&lt;=2176),INDEX(Fields!$B$2:$B$206,MATCH(A968-129,Fields!$D$2:$D$206,1)),""),"")</f>
        <v/>
      </c>
      <c r="E968">
        <f>IFERROR(IF(AND(A968&gt;=129,A968&lt;=2176),INDEX(Fields!$C$2:$C$206,MATCH(A968-129,Fields!$D$2:$D$206,1)),""),"")</f>
        <v/>
      </c>
    </row>
    <row r="969">
      <c r="A969" t="n">
        <v>968</v>
      </c>
      <c r="B969">
        <f>IFERROR(INDEX(RawBits!$A:$A,MATCH($A969,RawBits!$H:$H,0)),"?")</f>
        <v/>
      </c>
      <c r="C969">
        <f>IFERROR(INDEX(RawBits!$G:$G,MATCH($A969,RawBits!$H:$H,0)),"")</f>
        <v/>
      </c>
      <c r="D969">
        <f>IFERROR(IF(AND(A969&gt;=129,A969&lt;=2176),INDEX(Fields!$B$2:$B$206,MATCH(A969-129,Fields!$D$2:$D$206,1)),""),"")</f>
        <v/>
      </c>
      <c r="E969">
        <f>IFERROR(IF(AND(A969&gt;=129,A969&lt;=2176),INDEX(Fields!$C$2:$C$206,MATCH(A969-129,Fields!$D$2:$D$206,1)),""),"")</f>
        <v/>
      </c>
    </row>
    <row r="970">
      <c r="A970" t="n">
        <v>969</v>
      </c>
      <c r="B970">
        <f>IFERROR(INDEX(RawBits!$A:$A,MATCH($A970,RawBits!$H:$H,0)),"?")</f>
        <v/>
      </c>
      <c r="C970">
        <f>IFERROR(INDEX(RawBits!$G:$G,MATCH($A970,RawBits!$H:$H,0)),"")</f>
        <v/>
      </c>
      <c r="D970">
        <f>IFERROR(IF(AND(A970&gt;=129,A970&lt;=2176),INDEX(Fields!$B$2:$B$206,MATCH(A970-129,Fields!$D$2:$D$206,1)),""),"")</f>
        <v/>
      </c>
      <c r="E970">
        <f>IFERROR(IF(AND(A970&gt;=129,A970&lt;=2176),INDEX(Fields!$C$2:$C$206,MATCH(A970-129,Fields!$D$2:$D$206,1)),""),"")</f>
        <v/>
      </c>
    </row>
    <row r="971">
      <c r="A971" t="n">
        <v>970</v>
      </c>
      <c r="B971">
        <f>IFERROR(INDEX(RawBits!$A:$A,MATCH($A971,RawBits!$H:$H,0)),"?")</f>
        <v/>
      </c>
      <c r="C971">
        <f>IFERROR(INDEX(RawBits!$G:$G,MATCH($A971,RawBits!$H:$H,0)),"")</f>
        <v/>
      </c>
      <c r="D971">
        <f>IFERROR(IF(AND(A971&gt;=129,A971&lt;=2176),INDEX(Fields!$B$2:$B$206,MATCH(A971-129,Fields!$D$2:$D$206,1)),""),"")</f>
        <v/>
      </c>
      <c r="E971">
        <f>IFERROR(IF(AND(A971&gt;=129,A971&lt;=2176),INDEX(Fields!$C$2:$C$206,MATCH(A971-129,Fields!$D$2:$D$206,1)),""),"")</f>
        <v/>
      </c>
    </row>
    <row r="972">
      <c r="A972" t="n">
        <v>971</v>
      </c>
      <c r="B972">
        <f>IFERROR(INDEX(RawBits!$A:$A,MATCH($A972,RawBits!$H:$H,0)),"?")</f>
        <v/>
      </c>
      <c r="C972">
        <f>IFERROR(INDEX(RawBits!$G:$G,MATCH($A972,RawBits!$H:$H,0)),"")</f>
        <v/>
      </c>
      <c r="D972">
        <f>IFERROR(IF(AND(A972&gt;=129,A972&lt;=2176),INDEX(Fields!$B$2:$B$206,MATCH(A972-129,Fields!$D$2:$D$206,1)),""),"")</f>
        <v/>
      </c>
      <c r="E972">
        <f>IFERROR(IF(AND(A972&gt;=129,A972&lt;=2176),INDEX(Fields!$C$2:$C$206,MATCH(A972-129,Fields!$D$2:$D$206,1)),""),"")</f>
        <v/>
      </c>
    </row>
    <row r="973">
      <c r="A973" t="n">
        <v>972</v>
      </c>
      <c r="B973">
        <f>IFERROR(INDEX(RawBits!$A:$A,MATCH($A973,RawBits!$H:$H,0)),"?")</f>
        <v/>
      </c>
      <c r="C973">
        <f>IFERROR(INDEX(RawBits!$G:$G,MATCH($A973,RawBits!$H:$H,0)),"")</f>
        <v/>
      </c>
      <c r="D973">
        <f>IFERROR(IF(AND(A973&gt;=129,A973&lt;=2176),INDEX(Fields!$B$2:$B$206,MATCH(A973-129,Fields!$D$2:$D$206,1)),""),"")</f>
        <v/>
      </c>
      <c r="E973">
        <f>IFERROR(IF(AND(A973&gt;=129,A973&lt;=2176),INDEX(Fields!$C$2:$C$206,MATCH(A973-129,Fields!$D$2:$D$206,1)),""),"")</f>
        <v/>
      </c>
    </row>
    <row r="974">
      <c r="A974" t="n">
        <v>973</v>
      </c>
      <c r="B974">
        <f>IFERROR(INDEX(RawBits!$A:$A,MATCH($A974,RawBits!$H:$H,0)),"?")</f>
        <v/>
      </c>
      <c r="C974">
        <f>IFERROR(INDEX(RawBits!$G:$G,MATCH($A974,RawBits!$H:$H,0)),"")</f>
        <v/>
      </c>
      <c r="D974">
        <f>IFERROR(IF(AND(A974&gt;=129,A974&lt;=2176),INDEX(Fields!$B$2:$B$206,MATCH(A974-129,Fields!$D$2:$D$206,1)),""),"")</f>
        <v/>
      </c>
      <c r="E974">
        <f>IFERROR(IF(AND(A974&gt;=129,A974&lt;=2176),INDEX(Fields!$C$2:$C$206,MATCH(A974-129,Fields!$D$2:$D$206,1)),""),"")</f>
        <v/>
      </c>
    </row>
    <row r="975">
      <c r="A975" t="n">
        <v>974</v>
      </c>
      <c r="B975">
        <f>IFERROR(INDEX(RawBits!$A:$A,MATCH($A975,RawBits!$H:$H,0)),"?")</f>
        <v/>
      </c>
      <c r="C975">
        <f>IFERROR(INDEX(RawBits!$G:$G,MATCH($A975,RawBits!$H:$H,0)),"")</f>
        <v/>
      </c>
      <c r="D975">
        <f>IFERROR(IF(AND(A975&gt;=129,A975&lt;=2176),INDEX(Fields!$B$2:$B$206,MATCH(A975-129,Fields!$D$2:$D$206,1)),""),"")</f>
        <v/>
      </c>
      <c r="E975">
        <f>IFERROR(IF(AND(A975&gt;=129,A975&lt;=2176),INDEX(Fields!$C$2:$C$206,MATCH(A975-129,Fields!$D$2:$D$206,1)),""),"")</f>
        <v/>
      </c>
    </row>
    <row r="976">
      <c r="A976" t="n">
        <v>975</v>
      </c>
      <c r="B976">
        <f>IFERROR(INDEX(RawBits!$A:$A,MATCH($A976,RawBits!$H:$H,0)),"?")</f>
        <v/>
      </c>
      <c r="C976">
        <f>IFERROR(INDEX(RawBits!$G:$G,MATCH($A976,RawBits!$H:$H,0)),"")</f>
        <v/>
      </c>
      <c r="D976">
        <f>IFERROR(IF(AND(A976&gt;=129,A976&lt;=2176),INDEX(Fields!$B$2:$B$206,MATCH(A976-129,Fields!$D$2:$D$206,1)),""),"")</f>
        <v/>
      </c>
      <c r="E976">
        <f>IFERROR(IF(AND(A976&gt;=129,A976&lt;=2176),INDEX(Fields!$C$2:$C$206,MATCH(A976-129,Fields!$D$2:$D$206,1)),""),"")</f>
        <v/>
      </c>
    </row>
    <row r="977">
      <c r="A977" t="n">
        <v>976</v>
      </c>
      <c r="B977">
        <f>IFERROR(INDEX(RawBits!$A:$A,MATCH($A977,RawBits!$H:$H,0)),"?")</f>
        <v/>
      </c>
      <c r="C977">
        <f>IFERROR(INDEX(RawBits!$G:$G,MATCH($A977,RawBits!$H:$H,0)),"")</f>
        <v/>
      </c>
      <c r="D977">
        <f>IFERROR(IF(AND(A977&gt;=129,A977&lt;=2176),INDEX(Fields!$B$2:$B$206,MATCH(A977-129,Fields!$D$2:$D$206,1)),""),"")</f>
        <v/>
      </c>
      <c r="E977">
        <f>IFERROR(IF(AND(A977&gt;=129,A977&lt;=2176),INDEX(Fields!$C$2:$C$206,MATCH(A977-129,Fields!$D$2:$D$206,1)),""),"")</f>
        <v/>
      </c>
    </row>
    <row r="978">
      <c r="A978" t="n">
        <v>977</v>
      </c>
      <c r="B978">
        <f>IFERROR(INDEX(RawBits!$A:$A,MATCH($A978,RawBits!$H:$H,0)),"?")</f>
        <v/>
      </c>
      <c r="C978">
        <f>IFERROR(INDEX(RawBits!$G:$G,MATCH($A978,RawBits!$H:$H,0)),"")</f>
        <v/>
      </c>
      <c r="D978">
        <f>IFERROR(IF(AND(A978&gt;=129,A978&lt;=2176),INDEX(Fields!$B$2:$B$206,MATCH(A978-129,Fields!$D$2:$D$206,1)),""),"")</f>
        <v/>
      </c>
      <c r="E978">
        <f>IFERROR(IF(AND(A978&gt;=129,A978&lt;=2176),INDEX(Fields!$C$2:$C$206,MATCH(A978-129,Fields!$D$2:$D$206,1)),""),"")</f>
        <v/>
      </c>
    </row>
    <row r="979">
      <c r="A979" t="n">
        <v>978</v>
      </c>
      <c r="B979">
        <f>IFERROR(INDEX(RawBits!$A:$A,MATCH($A979,RawBits!$H:$H,0)),"?")</f>
        <v/>
      </c>
      <c r="C979">
        <f>IFERROR(INDEX(RawBits!$G:$G,MATCH($A979,RawBits!$H:$H,0)),"")</f>
        <v/>
      </c>
      <c r="D979">
        <f>IFERROR(IF(AND(A979&gt;=129,A979&lt;=2176),INDEX(Fields!$B$2:$B$206,MATCH(A979-129,Fields!$D$2:$D$206,1)),""),"")</f>
        <v/>
      </c>
      <c r="E979">
        <f>IFERROR(IF(AND(A979&gt;=129,A979&lt;=2176),INDEX(Fields!$C$2:$C$206,MATCH(A979-129,Fields!$D$2:$D$206,1)),""),"")</f>
        <v/>
      </c>
    </row>
    <row r="980">
      <c r="A980" t="n">
        <v>979</v>
      </c>
      <c r="B980">
        <f>IFERROR(INDEX(RawBits!$A:$A,MATCH($A980,RawBits!$H:$H,0)),"?")</f>
        <v/>
      </c>
      <c r="C980">
        <f>IFERROR(INDEX(RawBits!$G:$G,MATCH($A980,RawBits!$H:$H,0)),"")</f>
        <v/>
      </c>
      <c r="D980">
        <f>IFERROR(IF(AND(A980&gt;=129,A980&lt;=2176),INDEX(Fields!$B$2:$B$206,MATCH(A980-129,Fields!$D$2:$D$206,1)),""),"")</f>
        <v/>
      </c>
      <c r="E980">
        <f>IFERROR(IF(AND(A980&gt;=129,A980&lt;=2176),INDEX(Fields!$C$2:$C$206,MATCH(A980-129,Fields!$D$2:$D$206,1)),""),"")</f>
        <v/>
      </c>
    </row>
    <row r="981">
      <c r="A981" t="n">
        <v>980</v>
      </c>
      <c r="B981">
        <f>IFERROR(INDEX(RawBits!$A:$A,MATCH($A981,RawBits!$H:$H,0)),"?")</f>
        <v/>
      </c>
      <c r="C981">
        <f>IFERROR(INDEX(RawBits!$G:$G,MATCH($A981,RawBits!$H:$H,0)),"")</f>
        <v/>
      </c>
      <c r="D981">
        <f>IFERROR(IF(AND(A981&gt;=129,A981&lt;=2176),INDEX(Fields!$B$2:$B$206,MATCH(A981-129,Fields!$D$2:$D$206,1)),""),"")</f>
        <v/>
      </c>
      <c r="E981">
        <f>IFERROR(IF(AND(A981&gt;=129,A981&lt;=2176),INDEX(Fields!$C$2:$C$206,MATCH(A981-129,Fields!$D$2:$D$206,1)),""),"")</f>
        <v/>
      </c>
    </row>
    <row r="982">
      <c r="A982" t="n">
        <v>981</v>
      </c>
      <c r="B982">
        <f>IFERROR(INDEX(RawBits!$A:$A,MATCH($A982,RawBits!$H:$H,0)),"?")</f>
        <v/>
      </c>
      <c r="C982">
        <f>IFERROR(INDEX(RawBits!$G:$G,MATCH($A982,RawBits!$H:$H,0)),"")</f>
        <v/>
      </c>
      <c r="D982">
        <f>IFERROR(IF(AND(A982&gt;=129,A982&lt;=2176),INDEX(Fields!$B$2:$B$206,MATCH(A982-129,Fields!$D$2:$D$206,1)),""),"")</f>
        <v/>
      </c>
      <c r="E982">
        <f>IFERROR(IF(AND(A982&gt;=129,A982&lt;=2176),INDEX(Fields!$C$2:$C$206,MATCH(A982-129,Fields!$D$2:$D$206,1)),""),"")</f>
        <v/>
      </c>
    </row>
    <row r="983">
      <c r="A983" t="n">
        <v>982</v>
      </c>
      <c r="B983">
        <f>IFERROR(INDEX(RawBits!$A:$A,MATCH($A983,RawBits!$H:$H,0)),"?")</f>
        <v/>
      </c>
      <c r="C983">
        <f>IFERROR(INDEX(RawBits!$G:$G,MATCH($A983,RawBits!$H:$H,0)),"")</f>
        <v/>
      </c>
      <c r="D983">
        <f>IFERROR(IF(AND(A983&gt;=129,A983&lt;=2176),INDEX(Fields!$B$2:$B$206,MATCH(A983-129,Fields!$D$2:$D$206,1)),""),"")</f>
        <v/>
      </c>
      <c r="E983">
        <f>IFERROR(IF(AND(A983&gt;=129,A983&lt;=2176),INDEX(Fields!$C$2:$C$206,MATCH(A983-129,Fields!$D$2:$D$206,1)),""),"")</f>
        <v/>
      </c>
    </row>
    <row r="984">
      <c r="A984" t="n">
        <v>983</v>
      </c>
      <c r="B984">
        <f>IFERROR(INDEX(RawBits!$A:$A,MATCH($A984,RawBits!$H:$H,0)),"?")</f>
        <v/>
      </c>
      <c r="C984">
        <f>IFERROR(INDEX(RawBits!$G:$G,MATCH($A984,RawBits!$H:$H,0)),"")</f>
        <v/>
      </c>
      <c r="D984">
        <f>IFERROR(IF(AND(A984&gt;=129,A984&lt;=2176),INDEX(Fields!$B$2:$B$206,MATCH(A984-129,Fields!$D$2:$D$206,1)),""),"")</f>
        <v/>
      </c>
      <c r="E984">
        <f>IFERROR(IF(AND(A984&gt;=129,A984&lt;=2176),INDEX(Fields!$C$2:$C$206,MATCH(A984-129,Fields!$D$2:$D$206,1)),""),"")</f>
        <v/>
      </c>
    </row>
    <row r="985">
      <c r="A985" t="n">
        <v>984</v>
      </c>
      <c r="B985">
        <f>IFERROR(INDEX(RawBits!$A:$A,MATCH($A985,RawBits!$H:$H,0)),"?")</f>
        <v/>
      </c>
      <c r="C985">
        <f>IFERROR(INDEX(RawBits!$G:$G,MATCH($A985,RawBits!$H:$H,0)),"")</f>
        <v/>
      </c>
      <c r="D985">
        <f>IFERROR(IF(AND(A985&gt;=129,A985&lt;=2176),INDEX(Fields!$B$2:$B$206,MATCH(A985-129,Fields!$D$2:$D$206,1)),""),"")</f>
        <v/>
      </c>
      <c r="E985">
        <f>IFERROR(IF(AND(A985&gt;=129,A985&lt;=2176),INDEX(Fields!$C$2:$C$206,MATCH(A985-129,Fields!$D$2:$D$206,1)),""),"")</f>
        <v/>
      </c>
    </row>
    <row r="986">
      <c r="A986" t="n">
        <v>985</v>
      </c>
      <c r="B986">
        <f>IFERROR(INDEX(RawBits!$A:$A,MATCH($A986,RawBits!$H:$H,0)),"?")</f>
        <v/>
      </c>
      <c r="C986">
        <f>IFERROR(INDEX(RawBits!$G:$G,MATCH($A986,RawBits!$H:$H,0)),"")</f>
        <v/>
      </c>
      <c r="D986">
        <f>IFERROR(IF(AND(A986&gt;=129,A986&lt;=2176),INDEX(Fields!$B$2:$B$206,MATCH(A986-129,Fields!$D$2:$D$206,1)),""),"")</f>
        <v/>
      </c>
      <c r="E986">
        <f>IFERROR(IF(AND(A986&gt;=129,A986&lt;=2176),INDEX(Fields!$C$2:$C$206,MATCH(A986-129,Fields!$D$2:$D$206,1)),""),"")</f>
        <v/>
      </c>
    </row>
    <row r="987">
      <c r="A987" t="n">
        <v>986</v>
      </c>
      <c r="B987">
        <f>IFERROR(INDEX(RawBits!$A:$A,MATCH($A987,RawBits!$H:$H,0)),"?")</f>
        <v/>
      </c>
      <c r="C987">
        <f>IFERROR(INDEX(RawBits!$G:$G,MATCH($A987,RawBits!$H:$H,0)),"")</f>
        <v/>
      </c>
      <c r="D987">
        <f>IFERROR(IF(AND(A987&gt;=129,A987&lt;=2176),INDEX(Fields!$B$2:$B$206,MATCH(A987-129,Fields!$D$2:$D$206,1)),""),"")</f>
        <v/>
      </c>
      <c r="E987">
        <f>IFERROR(IF(AND(A987&gt;=129,A987&lt;=2176),INDEX(Fields!$C$2:$C$206,MATCH(A987-129,Fields!$D$2:$D$206,1)),""),"")</f>
        <v/>
      </c>
    </row>
    <row r="988">
      <c r="A988" t="n">
        <v>987</v>
      </c>
      <c r="B988">
        <f>IFERROR(INDEX(RawBits!$A:$A,MATCH($A988,RawBits!$H:$H,0)),"?")</f>
        <v/>
      </c>
      <c r="C988">
        <f>IFERROR(INDEX(RawBits!$G:$G,MATCH($A988,RawBits!$H:$H,0)),"")</f>
        <v/>
      </c>
      <c r="D988">
        <f>IFERROR(IF(AND(A988&gt;=129,A988&lt;=2176),INDEX(Fields!$B$2:$B$206,MATCH(A988-129,Fields!$D$2:$D$206,1)),""),"")</f>
        <v/>
      </c>
      <c r="E988">
        <f>IFERROR(IF(AND(A988&gt;=129,A988&lt;=2176),INDEX(Fields!$C$2:$C$206,MATCH(A988-129,Fields!$D$2:$D$206,1)),""),"")</f>
        <v/>
      </c>
    </row>
    <row r="989">
      <c r="A989" t="n">
        <v>988</v>
      </c>
      <c r="B989">
        <f>IFERROR(INDEX(RawBits!$A:$A,MATCH($A989,RawBits!$H:$H,0)),"?")</f>
        <v/>
      </c>
      <c r="C989">
        <f>IFERROR(INDEX(RawBits!$G:$G,MATCH($A989,RawBits!$H:$H,0)),"")</f>
        <v/>
      </c>
      <c r="D989">
        <f>IFERROR(IF(AND(A989&gt;=129,A989&lt;=2176),INDEX(Fields!$B$2:$B$206,MATCH(A989-129,Fields!$D$2:$D$206,1)),""),"")</f>
        <v/>
      </c>
      <c r="E989">
        <f>IFERROR(IF(AND(A989&gt;=129,A989&lt;=2176),INDEX(Fields!$C$2:$C$206,MATCH(A989-129,Fields!$D$2:$D$206,1)),""),"")</f>
        <v/>
      </c>
    </row>
    <row r="990">
      <c r="A990" t="n">
        <v>989</v>
      </c>
      <c r="B990">
        <f>IFERROR(INDEX(RawBits!$A:$A,MATCH($A990,RawBits!$H:$H,0)),"?")</f>
        <v/>
      </c>
      <c r="C990">
        <f>IFERROR(INDEX(RawBits!$G:$G,MATCH($A990,RawBits!$H:$H,0)),"")</f>
        <v/>
      </c>
      <c r="D990">
        <f>IFERROR(IF(AND(A990&gt;=129,A990&lt;=2176),INDEX(Fields!$B$2:$B$206,MATCH(A990-129,Fields!$D$2:$D$206,1)),""),"")</f>
        <v/>
      </c>
      <c r="E990">
        <f>IFERROR(IF(AND(A990&gt;=129,A990&lt;=2176),INDEX(Fields!$C$2:$C$206,MATCH(A990-129,Fields!$D$2:$D$206,1)),""),"")</f>
        <v/>
      </c>
    </row>
    <row r="991">
      <c r="A991" t="n">
        <v>990</v>
      </c>
      <c r="B991">
        <f>IFERROR(INDEX(RawBits!$A:$A,MATCH($A991,RawBits!$H:$H,0)),"?")</f>
        <v/>
      </c>
      <c r="C991">
        <f>IFERROR(INDEX(RawBits!$G:$G,MATCH($A991,RawBits!$H:$H,0)),"")</f>
        <v/>
      </c>
      <c r="D991">
        <f>IFERROR(IF(AND(A991&gt;=129,A991&lt;=2176),INDEX(Fields!$B$2:$B$206,MATCH(A991-129,Fields!$D$2:$D$206,1)),""),"")</f>
        <v/>
      </c>
      <c r="E991">
        <f>IFERROR(IF(AND(A991&gt;=129,A991&lt;=2176),INDEX(Fields!$C$2:$C$206,MATCH(A991-129,Fields!$D$2:$D$206,1)),""),"")</f>
        <v/>
      </c>
    </row>
    <row r="992">
      <c r="A992" t="n">
        <v>991</v>
      </c>
      <c r="B992">
        <f>IFERROR(INDEX(RawBits!$A:$A,MATCH($A992,RawBits!$H:$H,0)),"?")</f>
        <v/>
      </c>
      <c r="C992">
        <f>IFERROR(INDEX(RawBits!$G:$G,MATCH($A992,RawBits!$H:$H,0)),"")</f>
        <v/>
      </c>
      <c r="D992">
        <f>IFERROR(IF(AND(A992&gt;=129,A992&lt;=2176),INDEX(Fields!$B$2:$B$206,MATCH(A992-129,Fields!$D$2:$D$206,1)),""),"")</f>
        <v/>
      </c>
      <c r="E992">
        <f>IFERROR(IF(AND(A992&gt;=129,A992&lt;=2176),INDEX(Fields!$C$2:$C$206,MATCH(A992-129,Fields!$D$2:$D$206,1)),""),"")</f>
        <v/>
      </c>
    </row>
    <row r="993">
      <c r="A993" t="n">
        <v>992</v>
      </c>
      <c r="B993">
        <f>IFERROR(INDEX(RawBits!$A:$A,MATCH($A993,RawBits!$H:$H,0)),"?")</f>
        <v/>
      </c>
      <c r="C993">
        <f>IFERROR(INDEX(RawBits!$G:$G,MATCH($A993,RawBits!$H:$H,0)),"")</f>
        <v/>
      </c>
      <c r="D993">
        <f>IFERROR(IF(AND(A993&gt;=129,A993&lt;=2176),INDEX(Fields!$B$2:$B$206,MATCH(A993-129,Fields!$D$2:$D$206,1)),""),"")</f>
        <v/>
      </c>
      <c r="E993">
        <f>IFERROR(IF(AND(A993&gt;=129,A993&lt;=2176),INDEX(Fields!$C$2:$C$206,MATCH(A993-129,Fields!$D$2:$D$206,1)),""),"")</f>
        <v/>
      </c>
    </row>
    <row r="994">
      <c r="A994" t="n">
        <v>993</v>
      </c>
      <c r="B994">
        <f>IFERROR(INDEX(RawBits!$A:$A,MATCH($A994,RawBits!$H:$H,0)),"?")</f>
        <v/>
      </c>
      <c r="C994">
        <f>IFERROR(INDEX(RawBits!$G:$G,MATCH($A994,RawBits!$H:$H,0)),"")</f>
        <v/>
      </c>
      <c r="D994">
        <f>IFERROR(IF(AND(A994&gt;=129,A994&lt;=2176),INDEX(Fields!$B$2:$B$206,MATCH(A994-129,Fields!$D$2:$D$206,1)),""),"")</f>
        <v/>
      </c>
      <c r="E994">
        <f>IFERROR(IF(AND(A994&gt;=129,A994&lt;=2176),INDEX(Fields!$C$2:$C$206,MATCH(A994-129,Fields!$D$2:$D$206,1)),""),"")</f>
        <v/>
      </c>
    </row>
    <row r="995">
      <c r="A995" t="n">
        <v>994</v>
      </c>
      <c r="B995">
        <f>IFERROR(INDEX(RawBits!$A:$A,MATCH($A995,RawBits!$H:$H,0)),"?")</f>
        <v/>
      </c>
      <c r="C995">
        <f>IFERROR(INDEX(RawBits!$G:$G,MATCH($A995,RawBits!$H:$H,0)),"")</f>
        <v/>
      </c>
      <c r="D995">
        <f>IFERROR(IF(AND(A995&gt;=129,A995&lt;=2176),INDEX(Fields!$B$2:$B$206,MATCH(A995-129,Fields!$D$2:$D$206,1)),""),"")</f>
        <v/>
      </c>
      <c r="E995">
        <f>IFERROR(IF(AND(A995&gt;=129,A995&lt;=2176),INDEX(Fields!$C$2:$C$206,MATCH(A995-129,Fields!$D$2:$D$206,1)),""),"")</f>
        <v/>
      </c>
    </row>
    <row r="996">
      <c r="A996" t="n">
        <v>995</v>
      </c>
      <c r="B996">
        <f>IFERROR(INDEX(RawBits!$A:$A,MATCH($A996,RawBits!$H:$H,0)),"?")</f>
        <v/>
      </c>
      <c r="C996">
        <f>IFERROR(INDEX(RawBits!$G:$G,MATCH($A996,RawBits!$H:$H,0)),"")</f>
        <v/>
      </c>
      <c r="D996">
        <f>IFERROR(IF(AND(A996&gt;=129,A996&lt;=2176),INDEX(Fields!$B$2:$B$206,MATCH(A996-129,Fields!$D$2:$D$206,1)),""),"")</f>
        <v/>
      </c>
      <c r="E996">
        <f>IFERROR(IF(AND(A996&gt;=129,A996&lt;=2176),INDEX(Fields!$C$2:$C$206,MATCH(A996-129,Fields!$D$2:$D$206,1)),""),"")</f>
        <v/>
      </c>
    </row>
    <row r="997">
      <c r="A997" t="n">
        <v>996</v>
      </c>
      <c r="B997">
        <f>IFERROR(INDEX(RawBits!$A:$A,MATCH($A997,RawBits!$H:$H,0)),"?")</f>
        <v/>
      </c>
      <c r="C997">
        <f>IFERROR(INDEX(RawBits!$G:$G,MATCH($A997,RawBits!$H:$H,0)),"")</f>
        <v/>
      </c>
      <c r="D997">
        <f>IFERROR(IF(AND(A997&gt;=129,A997&lt;=2176),INDEX(Fields!$B$2:$B$206,MATCH(A997-129,Fields!$D$2:$D$206,1)),""),"")</f>
        <v/>
      </c>
      <c r="E997">
        <f>IFERROR(IF(AND(A997&gt;=129,A997&lt;=2176),INDEX(Fields!$C$2:$C$206,MATCH(A997-129,Fields!$D$2:$D$206,1)),""),"")</f>
        <v/>
      </c>
    </row>
    <row r="998">
      <c r="A998" t="n">
        <v>997</v>
      </c>
      <c r="B998">
        <f>IFERROR(INDEX(RawBits!$A:$A,MATCH($A998,RawBits!$H:$H,0)),"?")</f>
        <v/>
      </c>
      <c r="C998">
        <f>IFERROR(INDEX(RawBits!$G:$G,MATCH($A998,RawBits!$H:$H,0)),"")</f>
        <v/>
      </c>
      <c r="D998">
        <f>IFERROR(IF(AND(A998&gt;=129,A998&lt;=2176),INDEX(Fields!$B$2:$B$206,MATCH(A998-129,Fields!$D$2:$D$206,1)),""),"")</f>
        <v/>
      </c>
      <c r="E998">
        <f>IFERROR(IF(AND(A998&gt;=129,A998&lt;=2176),INDEX(Fields!$C$2:$C$206,MATCH(A998-129,Fields!$D$2:$D$206,1)),""),"")</f>
        <v/>
      </c>
    </row>
    <row r="999">
      <c r="A999" t="n">
        <v>998</v>
      </c>
      <c r="B999">
        <f>IFERROR(INDEX(RawBits!$A:$A,MATCH($A999,RawBits!$H:$H,0)),"?")</f>
        <v/>
      </c>
      <c r="C999">
        <f>IFERROR(INDEX(RawBits!$G:$G,MATCH($A999,RawBits!$H:$H,0)),"")</f>
        <v/>
      </c>
      <c r="D999">
        <f>IFERROR(IF(AND(A999&gt;=129,A999&lt;=2176),INDEX(Fields!$B$2:$B$206,MATCH(A999-129,Fields!$D$2:$D$206,1)),""),"")</f>
        <v/>
      </c>
      <c r="E999">
        <f>IFERROR(IF(AND(A999&gt;=129,A999&lt;=2176),INDEX(Fields!$C$2:$C$206,MATCH(A999-129,Fields!$D$2:$D$206,1)),""),"")</f>
        <v/>
      </c>
    </row>
    <row r="1000">
      <c r="A1000" t="n">
        <v>999</v>
      </c>
      <c r="B1000">
        <f>IFERROR(INDEX(RawBits!$A:$A,MATCH($A1000,RawBits!$H:$H,0)),"?")</f>
        <v/>
      </c>
      <c r="C1000">
        <f>IFERROR(INDEX(RawBits!$G:$G,MATCH($A1000,RawBits!$H:$H,0)),"")</f>
        <v/>
      </c>
      <c r="D1000">
        <f>IFERROR(IF(AND(A1000&gt;=129,A1000&lt;=2176),INDEX(Fields!$B$2:$B$206,MATCH(A1000-129,Fields!$D$2:$D$206,1)),""),"")</f>
        <v/>
      </c>
      <c r="E1000">
        <f>IFERROR(IF(AND(A1000&gt;=129,A1000&lt;=2176),INDEX(Fields!$C$2:$C$206,MATCH(A1000-129,Fields!$D$2:$D$206,1)),""),"")</f>
        <v/>
      </c>
    </row>
    <row r="1001">
      <c r="A1001" t="n">
        <v>1000</v>
      </c>
      <c r="B1001">
        <f>IFERROR(INDEX(RawBits!$A:$A,MATCH($A1001,RawBits!$H:$H,0)),"?")</f>
        <v/>
      </c>
      <c r="C1001">
        <f>IFERROR(INDEX(RawBits!$G:$G,MATCH($A1001,RawBits!$H:$H,0)),"")</f>
        <v/>
      </c>
      <c r="D1001">
        <f>IFERROR(IF(AND(A1001&gt;=129,A1001&lt;=2176),INDEX(Fields!$B$2:$B$206,MATCH(A1001-129,Fields!$D$2:$D$206,1)),""),"")</f>
        <v/>
      </c>
      <c r="E1001">
        <f>IFERROR(IF(AND(A1001&gt;=129,A1001&lt;=2176),INDEX(Fields!$C$2:$C$206,MATCH(A1001-129,Fields!$D$2:$D$206,1)),""),"")</f>
        <v/>
      </c>
    </row>
    <row r="1002">
      <c r="A1002" t="n">
        <v>1001</v>
      </c>
      <c r="B1002">
        <f>IFERROR(INDEX(RawBits!$A:$A,MATCH($A1002,RawBits!$H:$H,0)),"?")</f>
        <v/>
      </c>
      <c r="C1002">
        <f>IFERROR(INDEX(RawBits!$G:$G,MATCH($A1002,RawBits!$H:$H,0)),"")</f>
        <v/>
      </c>
      <c r="D1002">
        <f>IFERROR(IF(AND(A1002&gt;=129,A1002&lt;=2176),INDEX(Fields!$B$2:$B$206,MATCH(A1002-129,Fields!$D$2:$D$206,1)),""),"")</f>
        <v/>
      </c>
      <c r="E1002">
        <f>IFERROR(IF(AND(A1002&gt;=129,A1002&lt;=2176),INDEX(Fields!$C$2:$C$206,MATCH(A1002-129,Fields!$D$2:$D$206,1)),""),"")</f>
        <v/>
      </c>
    </row>
    <row r="1003">
      <c r="A1003" t="n">
        <v>1002</v>
      </c>
      <c r="B1003">
        <f>IFERROR(INDEX(RawBits!$A:$A,MATCH($A1003,RawBits!$H:$H,0)),"?")</f>
        <v/>
      </c>
      <c r="C1003">
        <f>IFERROR(INDEX(RawBits!$G:$G,MATCH($A1003,RawBits!$H:$H,0)),"")</f>
        <v/>
      </c>
      <c r="D1003">
        <f>IFERROR(IF(AND(A1003&gt;=129,A1003&lt;=2176),INDEX(Fields!$B$2:$B$206,MATCH(A1003-129,Fields!$D$2:$D$206,1)),""),"")</f>
        <v/>
      </c>
      <c r="E1003">
        <f>IFERROR(IF(AND(A1003&gt;=129,A1003&lt;=2176),INDEX(Fields!$C$2:$C$206,MATCH(A1003-129,Fields!$D$2:$D$206,1)),""),"")</f>
        <v/>
      </c>
    </row>
    <row r="1004">
      <c r="A1004" t="n">
        <v>1003</v>
      </c>
      <c r="B1004">
        <f>IFERROR(INDEX(RawBits!$A:$A,MATCH($A1004,RawBits!$H:$H,0)),"?")</f>
        <v/>
      </c>
      <c r="C1004">
        <f>IFERROR(INDEX(RawBits!$G:$G,MATCH($A1004,RawBits!$H:$H,0)),"")</f>
        <v/>
      </c>
      <c r="D1004">
        <f>IFERROR(IF(AND(A1004&gt;=129,A1004&lt;=2176),INDEX(Fields!$B$2:$B$206,MATCH(A1004-129,Fields!$D$2:$D$206,1)),""),"")</f>
        <v/>
      </c>
      <c r="E1004">
        <f>IFERROR(IF(AND(A1004&gt;=129,A1004&lt;=2176),INDEX(Fields!$C$2:$C$206,MATCH(A1004-129,Fields!$D$2:$D$206,1)),""),"")</f>
        <v/>
      </c>
    </row>
    <row r="1005">
      <c r="A1005" t="n">
        <v>1004</v>
      </c>
      <c r="B1005">
        <f>IFERROR(INDEX(RawBits!$A:$A,MATCH($A1005,RawBits!$H:$H,0)),"?")</f>
        <v/>
      </c>
      <c r="C1005">
        <f>IFERROR(INDEX(RawBits!$G:$G,MATCH($A1005,RawBits!$H:$H,0)),"")</f>
        <v/>
      </c>
      <c r="D1005">
        <f>IFERROR(IF(AND(A1005&gt;=129,A1005&lt;=2176),INDEX(Fields!$B$2:$B$206,MATCH(A1005-129,Fields!$D$2:$D$206,1)),""),"")</f>
        <v/>
      </c>
      <c r="E1005">
        <f>IFERROR(IF(AND(A1005&gt;=129,A1005&lt;=2176),INDEX(Fields!$C$2:$C$206,MATCH(A1005-129,Fields!$D$2:$D$206,1)),""),"")</f>
        <v/>
      </c>
    </row>
    <row r="1006">
      <c r="A1006" t="n">
        <v>1005</v>
      </c>
      <c r="B1006">
        <f>IFERROR(INDEX(RawBits!$A:$A,MATCH($A1006,RawBits!$H:$H,0)),"?")</f>
        <v/>
      </c>
      <c r="C1006">
        <f>IFERROR(INDEX(RawBits!$G:$G,MATCH($A1006,RawBits!$H:$H,0)),"")</f>
        <v/>
      </c>
      <c r="D1006">
        <f>IFERROR(IF(AND(A1006&gt;=129,A1006&lt;=2176),INDEX(Fields!$B$2:$B$206,MATCH(A1006-129,Fields!$D$2:$D$206,1)),""),"")</f>
        <v/>
      </c>
      <c r="E1006">
        <f>IFERROR(IF(AND(A1006&gt;=129,A1006&lt;=2176),INDEX(Fields!$C$2:$C$206,MATCH(A1006-129,Fields!$D$2:$D$206,1)),""),"")</f>
        <v/>
      </c>
    </row>
    <row r="1007">
      <c r="A1007" t="n">
        <v>1006</v>
      </c>
      <c r="B1007">
        <f>IFERROR(INDEX(RawBits!$A:$A,MATCH($A1007,RawBits!$H:$H,0)),"?")</f>
        <v/>
      </c>
      <c r="C1007">
        <f>IFERROR(INDEX(RawBits!$G:$G,MATCH($A1007,RawBits!$H:$H,0)),"")</f>
        <v/>
      </c>
      <c r="D1007">
        <f>IFERROR(IF(AND(A1007&gt;=129,A1007&lt;=2176),INDEX(Fields!$B$2:$B$206,MATCH(A1007-129,Fields!$D$2:$D$206,1)),""),"")</f>
        <v/>
      </c>
      <c r="E1007">
        <f>IFERROR(IF(AND(A1007&gt;=129,A1007&lt;=2176),INDEX(Fields!$C$2:$C$206,MATCH(A1007-129,Fields!$D$2:$D$206,1)),""),"")</f>
        <v/>
      </c>
    </row>
    <row r="1008">
      <c r="A1008" t="n">
        <v>1007</v>
      </c>
      <c r="B1008">
        <f>IFERROR(INDEX(RawBits!$A:$A,MATCH($A1008,RawBits!$H:$H,0)),"?")</f>
        <v/>
      </c>
      <c r="C1008">
        <f>IFERROR(INDEX(RawBits!$G:$G,MATCH($A1008,RawBits!$H:$H,0)),"")</f>
        <v/>
      </c>
      <c r="D1008">
        <f>IFERROR(IF(AND(A1008&gt;=129,A1008&lt;=2176),INDEX(Fields!$B$2:$B$206,MATCH(A1008-129,Fields!$D$2:$D$206,1)),""),"")</f>
        <v/>
      </c>
      <c r="E1008">
        <f>IFERROR(IF(AND(A1008&gt;=129,A1008&lt;=2176),INDEX(Fields!$C$2:$C$206,MATCH(A1008-129,Fields!$D$2:$D$206,1)),""),"")</f>
        <v/>
      </c>
    </row>
    <row r="1009">
      <c r="A1009" t="n">
        <v>1008</v>
      </c>
      <c r="B1009">
        <f>IFERROR(INDEX(RawBits!$A:$A,MATCH($A1009,RawBits!$H:$H,0)),"?")</f>
        <v/>
      </c>
      <c r="C1009">
        <f>IFERROR(INDEX(RawBits!$G:$G,MATCH($A1009,RawBits!$H:$H,0)),"")</f>
        <v/>
      </c>
      <c r="D1009">
        <f>IFERROR(IF(AND(A1009&gt;=129,A1009&lt;=2176),INDEX(Fields!$B$2:$B$206,MATCH(A1009-129,Fields!$D$2:$D$206,1)),""),"")</f>
        <v/>
      </c>
      <c r="E1009">
        <f>IFERROR(IF(AND(A1009&gt;=129,A1009&lt;=2176),INDEX(Fields!$C$2:$C$206,MATCH(A1009-129,Fields!$D$2:$D$206,1)),""),"")</f>
        <v/>
      </c>
    </row>
    <row r="1010">
      <c r="A1010" t="n">
        <v>1009</v>
      </c>
      <c r="B1010">
        <f>IFERROR(INDEX(RawBits!$A:$A,MATCH($A1010,RawBits!$H:$H,0)),"?")</f>
        <v/>
      </c>
      <c r="C1010">
        <f>IFERROR(INDEX(RawBits!$G:$G,MATCH($A1010,RawBits!$H:$H,0)),"")</f>
        <v/>
      </c>
      <c r="D1010">
        <f>IFERROR(IF(AND(A1010&gt;=129,A1010&lt;=2176),INDEX(Fields!$B$2:$B$206,MATCH(A1010-129,Fields!$D$2:$D$206,1)),""),"")</f>
        <v/>
      </c>
      <c r="E1010">
        <f>IFERROR(IF(AND(A1010&gt;=129,A1010&lt;=2176),INDEX(Fields!$C$2:$C$206,MATCH(A1010-129,Fields!$D$2:$D$206,1)),""),"")</f>
        <v/>
      </c>
    </row>
    <row r="1011">
      <c r="A1011" t="n">
        <v>1010</v>
      </c>
      <c r="B1011">
        <f>IFERROR(INDEX(RawBits!$A:$A,MATCH($A1011,RawBits!$H:$H,0)),"?")</f>
        <v/>
      </c>
      <c r="C1011">
        <f>IFERROR(INDEX(RawBits!$G:$G,MATCH($A1011,RawBits!$H:$H,0)),"")</f>
        <v/>
      </c>
      <c r="D1011">
        <f>IFERROR(IF(AND(A1011&gt;=129,A1011&lt;=2176),INDEX(Fields!$B$2:$B$206,MATCH(A1011-129,Fields!$D$2:$D$206,1)),""),"")</f>
        <v/>
      </c>
      <c r="E1011">
        <f>IFERROR(IF(AND(A1011&gt;=129,A1011&lt;=2176),INDEX(Fields!$C$2:$C$206,MATCH(A1011-129,Fields!$D$2:$D$206,1)),""),"")</f>
        <v/>
      </c>
    </row>
    <row r="1012">
      <c r="A1012" t="n">
        <v>1011</v>
      </c>
      <c r="B1012">
        <f>IFERROR(INDEX(RawBits!$A:$A,MATCH($A1012,RawBits!$H:$H,0)),"?")</f>
        <v/>
      </c>
      <c r="C1012">
        <f>IFERROR(INDEX(RawBits!$G:$G,MATCH($A1012,RawBits!$H:$H,0)),"")</f>
        <v/>
      </c>
      <c r="D1012">
        <f>IFERROR(IF(AND(A1012&gt;=129,A1012&lt;=2176),INDEX(Fields!$B$2:$B$206,MATCH(A1012-129,Fields!$D$2:$D$206,1)),""),"")</f>
        <v/>
      </c>
      <c r="E1012">
        <f>IFERROR(IF(AND(A1012&gt;=129,A1012&lt;=2176),INDEX(Fields!$C$2:$C$206,MATCH(A1012-129,Fields!$D$2:$D$206,1)),""),"")</f>
        <v/>
      </c>
    </row>
    <row r="1013">
      <c r="A1013" t="n">
        <v>1012</v>
      </c>
      <c r="B1013">
        <f>IFERROR(INDEX(RawBits!$A:$A,MATCH($A1013,RawBits!$H:$H,0)),"?")</f>
        <v/>
      </c>
      <c r="C1013">
        <f>IFERROR(INDEX(RawBits!$G:$G,MATCH($A1013,RawBits!$H:$H,0)),"")</f>
        <v/>
      </c>
      <c r="D1013">
        <f>IFERROR(IF(AND(A1013&gt;=129,A1013&lt;=2176),INDEX(Fields!$B$2:$B$206,MATCH(A1013-129,Fields!$D$2:$D$206,1)),""),"")</f>
        <v/>
      </c>
      <c r="E1013">
        <f>IFERROR(IF(AND(A1013&gt;=129,A1013&lt;=2176),INDEX(Fields!$C$2:$C$206,MATCH(A1013-129,Fields!$D$2:$D$206,1)),""),"")</f>
        <v/>
      </c>
    </row>
    <row r="1014">
      <c r="A1014" t="n">
        <v>1013</v>
      </c>
      <c r="B1014">
        <f>IFERROR(INDEX(RawBits!$A:$A,MATCH($A1014,RawBits!$H:$H,0)),"?")</f>
        <v/>
      </c>
      <c r="C1014">
        <f>IFERROR(INDEX(RawBits!$G:$G,MATCH($A1014,RawBits!$H:$H,0)),"")</f>
        <v/>
      </c>
      <c r="D1014">
        <f>IFERROR(IF(AND(A1014&gt;=129,A1014&lt;=2176),INDEX(Fields!$B$2:$B$206,MATCH(A1014-129,Fields!$D$2:$D$206,1)),""),"")</f>
        <v/>
      </c>
      <c r="E1014">
        <f>IFERROR(IF(AND(A1014&gt;=129,A1014&lt;=2176),INDEX(Fields!$C$2:$C$206,MATCH(A1014-129,Fields!$D$2:$D$206,1)),""),"")</f>
        <v/>
      </c>
    </row>
    <row r="1015">
      <c r="A1015" t="n">
        <v>1014</v>
      </c>
      <c r="B1015">
        <f>IFERROR(INDEX(RawBits!$A:$A,MATCH($A1015,RawBits!$H:$H,0)),"?")</f>
        <v/>
      </c>
      <c r="C1015">
        <f>IFERROR(INDEX(RawBits!$G:$G,MATCH($A1015,RawBits!$H:$H,0)),"")</f>
        <v/>
      </c>
      <c r="D1015">
        <f>IFERROR(IF(AND(A1015&gt;=129,A1015&lt;=2176),INDEX(Fields!$B$2:$B$206,MATCH(A1015-129,Fields!$D$2:$D$206,1)),""),"")</f>
        <v/>
      </c>
      <c r="E1015">
        <f>IFERROR(IF(AND(A1015&gt;=129,A1015&lt;=2176),INDEX(Fields!$C$2:$C$206,MATCH(A1015-129,Fields!$D$2:$D$206,1)),""),"")</f>
        <v/>
      </c>
    </row>
    <row r="1016">
      <c r="A1016" t="n">
        <v>1015</v>
      </c>
      <c r="B1016">
        <f>IFERROR(INDEX(RawBits!$A:$A,MATCH($A1016,RawBits!$H:$H,0)),"?")</f>
        <v/>
      </c>
      <c r="C1016">
        <f>IFERROR(INDEX(RawBits!$G:$G,MATCH($A1016,RawBits!$H:$H,0)),"")</f>
        <v/>
      </c>
      <c r="D1016">
        <f>IFERROR(IF(AND(A1016&gt;=129,A1016&lt;=2176),INDEX(Fields!$B$2:$B$206,MATCH(A1016-129,Fields!$D$2:$D$206,1)),""),"")</f>
        <v/>
      </c>
      <c r="E1016">
        <f>IFERROR(IF(AND(A1016&gt;=129,A1016&lt;=2176),INDEX(Fields!$C$2:$C$206,MATCH(A1016-129,Fields!$D$2:$D$206,1)),""),"")</f>
        <v/>
      </c>
    </row>
    <row r="1017">
      <c r="A1017" t="n">
        <v>1016</v>
      </c>
      <c r="B1017">
        <f>IFERROR(INDEX(RawBits!$A:$A,MATCH($A1017,RawBits!$H:$H,0)),"?")</f>
        <v/>
      </c>
      <c r="C1017">
        <f>IFERROR(INDEX(RawBits!$G:$G,MATCH($A1017,RawBits!$H:$H,0)),"")</f>
        <v/>
      </c>
      <c r="D1017">
        <f>IFERROR(IF(AND(A1017&gt;=129,A1017&lt;=2176),INDEX(Fields!$B$2:$B$206,MATCH(A1017-129,Fields!$D$2:$D$206,1)),""),"")</f>
        <v/>
      </c>
      <c r="E1017">
        <f>IFERROR(IF(AND(A1017&gt;=129,A1017&lt;=2176),INDEX(Fields!$C$2:$C$206,MATCH(A1017-129,Fields!$D$2:$D$206,1)),""),"")</f>
        <v/>
      </c>
    </row>
    <row r="1018">
      <c r="A1018" t="n">
        <v>1017</v>
      </c>
      <c r="B1018">
        <f>IFERROR(INDEX(RawBits!$A:$A,MATCH($A1018,RawBits!$H:$H,0)),"?")</f>
        <v/>
      </c>
      <c r="C1018">
        <f>IFERROR(INDEX(RawBits!$G:$G,MATCH($A1018,RawBits!$H:$H,0)),"")</f>
        <v/>
      </c>
      <c r="D1018">
        <f>IFERROR(IF(AND(A1018&gt;=129,A1018&lt;=2176),INDEX(Fields!$B$2:$B$206,MATCH(A1018-129,Fields!$D$2:$D$206,1)),""),"")</f>
        <v/>
      </c>
      <c r="E1018">
        <f>IFERROR(IF(AND(A1018&gt;=129,A1018&lt;=2176),INDEX(Fields!$C$2:$C$206,MATCH(A1018-129,Fields!$D$2:$D$206,1)),""),"")</f>
        <v/>
      </c>
    </row>
    <row r="1019">
      <c r="A1019" t="n">
        <v>1018</v>
      </c>
      <c r="B1019">
        <f>IFERROR(INDEX(RawBits!$A:$A,MATCH($A1019,RawBits!$H:$H,0)),"?")</f>
        <v/>
      </c>
      <c r="C1019">
        <f>IFERROR(INDEX(RawBits!$G:$G,MATCH($A1019,RawBits!$H:$H,0)),"")</f>
        <v/>
      </c>
      <c r="D1019">
        <f>IFERROR(IF(AND(A1019&gt;=129,A1019&lt;=2176),INDEX(Fields!$B$2:$B$206,MATCH(A1019-129,Fields!$D$2:$D$206,1)),""),"")</f>
        <v/>
      </c>
      <c r="E1019">
        <f>IFERROR(IF(AND(A1019&gt;=129,A1019&lt;=2176),INDEX(Fields!$C$2:$C$206,MATCH(A1019-129,Fields!$D$2:$D$206,1)),""),"")</f>
        <v/>
      </c>
    </row>
    <row r="1020">
      <c r="A1020" t="n">
        <v>1019</v>
      </c>
      <c r="B1020">
        <f>IFERROR(INDEX(RawBits!$A:$A,MATCH($A1020,RawBits!$H:$H,0)),"?")</f>
        <v/>
      </c>
      <c r="C1020">
        <f>IFERROR(INDEX(RawBits!$G:$G,MATCH($A1020,RawBits!$H:$H,0)),"")</f>
        <v/>
      </c>
      <c r="D1020">
        <f>IFERROR(IF(AND(A1020&gt;=129,A1020&lt;=2176),INDEX(Fields!$B$2:$B$206,MATCH(A1020-129,Fields!$D$2:$D$206,1)),""),"")</f>
        <v/>
      </c>
      <c r="E1020">
        <f>IFERROR(IF(AND(A1020&gt;=129,A1020&lt;=2176),INDEX(Fields!$C$2:$C$206,MATCH(A1020-129,Fields!$D$2:$D$206,1)),""),"")</f>
        <v/>
      </c>
    </row>
    <row r="1021">
      <c r="A1021" t="n">
        <v>1020</v>
      </c>
      <c r="B1021">
        <f>IFERROR(INDEX(RawBits!$A:$A,MATCH($A1021,RawBits!$H:$H,0)),"?")</f>
        <v/>
      </c>
      <c r="C1021">
        <f>IFERROR(INDEX(RawBits!$G:$G,MATCH($A1021,RawBits!$H:$H,0)),"")</f>
        <v/>
      </c>
      <c r="D1021">
        <f>IFERROR(IF(AND(A1021&gt;=129,A1021&lt;=2176),INDEX(Fields!$B$2:$B$206,MATCH(A1021-129,Fields!$D$2:$D$206,1)),""),"")</f>
        <v/>
      </c>
      <c r="E1021">
        <f>IFERROR(IF(AND(A1021&gt;=129,A1021&lt;=2176),INDEX(Fields!$C$2:$C$206,MATCH(A1021-129,Fields!$D$2:$D$206,1)),""),"")</f>
        <v/>
      </c>
    </row>
    <row r="1022">
      <c r="A1022" t="n">
        <v>1021</v>
      </c>
      <c r="B1022">
        <f>IFERROR(INDEX(RawBits!$A:$A,MATCH($A1022,RawBits!$H:$H,0)),"?")</f>
        <v/>
      </c>
      <c r="C1022">
        <f>IFERROR(INDEX(RawBits!$G:$G,MATCH($A1022,RawBits!$H:$H,0)),"")</f>
        <v/>
      </c>
      <c r="D1022">
        <f>IFERROR(IF(AND(A1022&gt;=129,A1022&lt;=2176),INDEX(Fields!$B$2:$B$206,MATCH(A1022-129,Fields!$D$2:$D$206,1)),""),"")</f>
        <v/>
      </c>
      <c r="E1022">
        <f>IFERROR(IF(AND(A1022&gt;=129,A1022&lt;=2176),INDEX(Fields!$C$2:$C$206,MATCH(A1022-129,Fields!$D$2:$D$206,1)),""),"")</f>
        <v/>
      </c>
    </row>
    <row r="1023">
      <c r="A1023" t="n">
        <v>1022</v>
      </c>
      <c r="B1023">
        <f>IFERROR(INDEX(RawBits!$A:$A,MATCH($A1023,RawBits!$H:$H,0)),"?")</f>
        <v/>
      </c>
      <c r="C1023">
        <f>IFERROR(INDEX(RawBits!$G:$G,MATCH($A1023,RawBits!$H:$H,0)),"")</f>
        <v/>
      </c>
      <c r="D1023">
        <f>IFERROR(IF(AND(A1023&gt;=129,A1023&lt;=2176),INDEX(Fields!$B$2:$B$206,MATCH(A1023-129,Fields!$D$2:$D$206,1)),""),"")</f>
        <v/>
      </c>
      <c r="E1023">
        <f>IFERROR(IF(AND(A1023&gt;=129,A1023&lt;=2176),INDEX(Fields!$C$2:$C$206,MATCH(A1023-129,Fields!$D$2:$D$206,1)),""),"")</f>
        <v/>
      </c>
    </row>
    <row r="1024">
      <c r="A1024" t="n">
        <v>1023</v>
      </c>
      <c r="B1024">
        <f>IFERROR(INDEX(RawBits!$A:$A,MATCH($A1024,RawBits!$H:$H,0)),"?")</f>
        <v/>
      </c>
      <c r="C1024">
        <f>IFERROR(INDEX(RawBits!$G:$G,MATCH($A1024,RawBits!$H:$H,0)),"")</f>
        <v/>
      </c>
      <c r="D1024">
        <f>IFERROR(IF(AND(A1024&gt;=129,A1024&lt;=2176),INDEX(Fields!$B$2:$B$206,MATCH(A1024-129,Fields!$D$2:$D$206,1)),""),"")</f>
        <v/>
      </c>
      <c r="E1024">
        <f>IFERROR(IF(AND(A1024&gt;=129,A1024&lt;=2176),INDEX(Fields!$C$2:$C$206,MATCH(A1024-129,Fields!$D$2:$D$206,1)),""),"")</f>
        <v/>
      </c>
    </row>
    <row r="1025">
      <c r="A1025" t="n">
        <v>1024</v>
      </c>
      <c r="B1025">
        <f>IFERROR(INDEX(RawBits!$A:$A,MATCH($A1025,RawBits!$H:$H,0)),"?")</f>
        <v/>
      </c>
      <c r="C1025">
        <f>IFERROR(INDEX(RawBits!$G:$G,MATCH($A1025,RawBits!$H:$H,0)),"")</f>
        <v/>
      </c>
      <c r="D1025">
        <f>IFERROR(IF(AND(A1025&gt;=129,A1025&lt;=2176),INDEX(Fields!$B$2:$B$206,MATCH(A1025-129,Fields!$D$2:$D$206,1)),""),"")</f>
        <v/>
      </c>
      <c r="E1025">
        <f>IFERROR(IF(AND(A1025&gt;=129,A1025&lt;=2176),INDEX(Fields!$C$2:$C$206,MATCH(A1025-129,Fields!$D$2:$D$206,1)),""),"")</f>
        <v/>
      </c>
    </row>
    <row r="1026">
      <c r="A1026" t="n">
        <v>1025</v>
      </c>
      <c r="B1026">
        <f>IFERROR(INDEX(RawBits!$A:$A,MATCH($A1026,RawBits!$H:$H,0)),"?")</f>
        <v/>
      </c>
      <c r="C1026">
        <f>IFERROR(INDEX(RawBits!$G:$G,MATCH($A1026,RawBits!$H:$H,0)),"")</f>
        <v/>
      </c>
      <c r="D1026">
        <f>IFERROR(IF(AND(A1026&gt;=129,A1026&lt;=2176),INDEX(Fields!$B$2:$B$206,MATCH(A1026-129,Fields!$D$2:$D$206,1)),""),"")</f>
        <v/>
      </c>
      <c r="E1026">
        <f>IFERROR(IF(AND(A1026&gt;=129,A1026&lt;=2176),INDEX(Fields!$C$2:$C$206,MATCH(A1026-129,Fields!$D$2:$D$206,1)),""),"")</f>
        <v/>
      </c>
    </row>
    <row r="1027">
      <c r="A1027" t="n">
        <v>1026</v>
      </c>
      <c r="B1027">
        <f>IFERROR(INDEX(RawBits!$A:$A,MATCH($A1027,RawBits!$H:$H,0)),"?")</f>
        <v/>
      </c>
      <c r="C1027">
        <f>IFERROR(INDEX(RawBits!$G:$G,MATCH($A1027,RawBits!$H:$H,0)),"")</f>
        <v/>
      </c>
      <c r="D1027">
        <f>IFERROR(IF(AND(A1027&gt;=129,A1027&lt;=2176),INDEX(Fields!$B$2:$B$206,MATCH(A1027-129,Fields!$D$2:$D$206,1)),""),"")</f>
        <v/>
      </c>
      <c r="E1027">
        <f>IFERROR(IF(AND(A1027&gt;=129,A1027&lt;=2176),INDEX(Fields!$C$2:$C$206,MATCH(A1027-129,Fields!$D$2:$D$206,1)),""),"")</f>
        <v/>
      </c>
    </row>
    <row r="1028">
      <c r="A1028" t="n">
        <v>1027</v>
      </c>
      <c r="B1028">
        <f>IFERROR(INDEX(RawBits!$A:$A,MATCH($A1028,RawBits!$H:$H,0)),"?")</f>
        <v/>
      </c>
      <c r="C1028">
        <f>IFERROR(INDEX(RawBits!$G:$G,MATCH($A1028,RawBits!$H:$H,0)),"")</f>
        <v/>
      </c>
      <c r="D1028">
        <f>IFERROR(IF(AND(A1028&gt;=129,A1028&lt;=2176),INDEX(Fields!$B$2:$B$206,MATCH(A1028-129,Fields!$D$2:$D$206,1)),""),"")</f>
        <v/>
      </c>
      <c r="E1028">
        <f>IFERROR(IF(AND(A1028&gt;=129,A1028&lt;=2176),INDEX(Fields!$C$2:$C$206,MATCH(A1028-129,Fields!$D$2:$D$206,1)),""),"")</f>
        <v/>
      </c>
    </row>
    <row r="1029">
      <c r="A1029" t="n">
        <v>1028</v>
      </c>
      <c r="B1029">
        <f>IFERROR(INDEX(RawBits!$A:$A,MATCH($A1029,RawBits!$H:$H,0)),"?")</f>
        <v/>
      </c>
      <c r="C1029">
        <f>IFERROR(INDEX(RawBits!$G:$G,MATCH($A1029,RawBits!$H:$H,0)),"")</f>
        <v/>
      </c>
      <c r="D1029">
        <f>IFERROR(IF(AND(A1029&gt;=129,A1029&lt;=2176),INDEX(Fields!$B$2:$B$206,MATCH(A1029-129,Fields!$D$2:$D$206,1)),""),"")</f>
        <v/>
      </c>
      <c r="E1029">
        <f>IFERROR(IF(AND(A1029&gt;=129,A1029&lt;=2176),INDEX(Fields!$C$2:$C$206,MATCH(A1029-129,Fields!$D$2:$D$206,1)),""),"")</f>
        <v/>
      </c>
    </row>
    <row r="1030">
      <c r="A1030" t="n">
        <v>1029</v>
      </c>
      <c r="B1030">
        <f>IFERROR(INDEX(RawBits!$A:$A,MATCH($A1030,RawBits!$H:$H,0)),"?")</f>
        <v/>
      </c>
      <c r="C1030">
        <f>IFERROR(INDEX(RawBits!$G:$G,MATCH($A1030,RawBits!$H:$H,0)),"")</f>
        <v/>
      </c>
      <c r="D1030">
        <f>IFERROR(IF(AND(A1030&gt;=129,A1030&lt;=2176),INDEX(Fields!$B$2:$B$206,MATCH(A1030-129,Fields!$D$2:$D$206,1)),""),"")</f>
        <v/>
      </c>
      <c r="E1030">
        <f>IFERROR(IF(AND(A1030&gt;=129,A1030&lt;=2176),INDEX(Fields!$C$2:$C$206,MATCH(A1030-129,Fields!$D$2:$D$206,1)),""),"")</f>
        <v/>
      </c>
    </row>
    <row r="1031">
      <c r="A1031" t="n">
        <v>1030</v>
      </c>
      <c r="B1031">
        <f>IFERROR(INDEX(RawBits!$A:$A,MATCH($A1031,RawBits!$H:$H,0)),"?")</f>
        <v/>
      </c>
      <c r="C1031">
        <f>IFERROR(INDEX(RawBits!$G:$G,MATCH($A1031,RawBits!$H:$H,0)),"")</f>
        <v/>
      </c>
      <c r="D1031">
        <f>IFERROR(IF(AND(A1031&gt;=129,A1031&lt;=2176),INDEX(Fields!$B$2:$B$206,MATCH(A1031-129,Fields!$D$2:$D$206,1)),""),"")</f>
        <v/>
      </c>
      <c r="E1031">
        <f>IFERROR(IF(AND(A1031&gt;=129,A1031&lt;=2176),INDEX(Fields!$C$2:$C$206,MATCH(A1031-129,Fields!$D$2:$D$206,1)),""),"")</f>
        <v/>
      </c>
    </row>
    <row r="1032">
      <c r="A1032" t="n">
        <v>1031</v>
      </c>
      <c r="B1032">
        <f>IFERROR(INDEX(RawBits!$A:$A,MATCH($A1032,RawBits!$H:$H,0)),"?")</f>
        <v/>
      </c>
      <c r="C1032">
        <f>IFERROR(INDEX(RawBits!$G:$G,MATCH($A1032,RawBits!$H:$H,0)),"")</f>
        <v/>
      </c>
      <c r="D1032">
        <f>IFERROR(IF(AND(A1032&gt;=129,A1032&lt;=2176),INDEX(Fields!$B$2:$B$206,MATCH(A1032-129,Fields!$D$2:$D$206,1)),""),"")</f>
        <v/>
      </c>
      <c r="E1032">
        <f>IFERROR(IF(AND(A1032&gt;=129,A1032&lt;=2176),INDEX(Fields!$C$2:$C$206,MATCH(A1032-129,Fields!$D$2:$D$206,1)),""),"")</f>
        <v/>
      </c>
    </row>
    <row r="1033">
      <c r="A1033" t="n">
        <v>1032</v>
      </c>
      <c r="B1033">
        <f>IFERROR(INDEX(RawBits!$A:$A,MATCH($A1033,RawBits!$H:$H,0)),"?")</f>
        <v/>
      </c>
      <c r="C1033">
        <f>IFERROR(INDEX(RawBits!$G:$G,MATCH($A1033,RawBits!$H:$H,0)),"")</f>
        <v/>
      </c>
      <c r="D1033">
        <f>IFERROR(IF(AND(A1033&gt;=129,A1033&lt;=2176),INDEX(Fields!$B$2:$B$206,MATCH(A1033-129,Fields!$D$2:$D$206,1)),""),"")</f>
        <v/>
      </c>
      <c r="E1033">
        <f>IFERROR(IF(AND(A1033&gt;=129,A1033&lt;=2176),INDEX(Fields!$C$2:$C$206,MATCH(A1033-129,Fields!$D$2:$D$206,1)),""),"")</f>
        <v/>
      </c>
    </row>
    <row r="1034">
      <c r="A1034" t="n">
        <v>1033</v>
      </c>
      <c r="B1034">
        <f>IFERROR(INDEX(RawBits!$A:$A,MATCH($A1034,RawBits!$H:$H,0)),"?")</f>
        <v/>
      </c>
      <c r="C1034">
        <f>IFERROR(INDEX(RawBits!$G:$G,MATCH($A1034,RawBits!$H:$H,0)),"")</f>
        <v/>
      </c>
      <c r="D1034">
        <f>IFERROR(IF(AND(A1034&gt;=129,A1034&lt;=2176),INDEX(Fields!$B$2:$B$206,MATCH(A1034-129,Fields!$D$2:$D$206,1)),""),"")</f>
        <v/>
      </c>
      <c r="E1034">
        <f>IFERROR(IF(AND(A1034&gt;=129,A1034&lt;=2176),INDEX(Fields!$C$2:$C$206,MATCH(A1034-129,Fields!$D$2:$D$206,1)),""),"")</f>
        <v/>
      </c>
    </row>
    <row r="1035">
      <c r="A1035" t="n">
        <v>1034</v>
      </c>
      <c r="B1035">
        <f>IFERROR(INDEX(RawBits!$A:$A,MATCH($A1035,RawBits!$H:$H,0)),"?")</f>
        <v/>
      </c>
      <c r="C1035">
        <f>IFERROR(INDEX(RawBits!$G:$G,MATCH($A1035,RawBits!$H:$H,0)),"")</f>
        <v/>
      </c>
      <c r="D1035">
        <f>IFERROR(IF(AND(A1035&gt;=129,A1035&lt;=2176),INDEX(Fields!$B$2:$B$206,MATCH(A1035-129,Fields!$D$2:$D$206,1)),""),"")</f>
        <v/>
      </c>
      <c r="E1035">
        <f>IFERROR(IF(AND(A1035&gt;=129,A1035&lt;=2176),INDEX(Fields!$C$2:$C$206,MATCH(A1035-129,Fields!$D$2:$D$206,1)),""),"")</f>
        <v/>
      </c>
    </row>
    <row r="1036">
      <c r="A1036" t="n">
        <v>1035</v>
      </c>
      <c r="B1036">
        <f>IFERROR(INDEX(RawBits!$A:$A,MATCH($A1036,RawBits!$H:$H,0)),"?")</f>
        <v/>
      </c>
      <c r="C1036">
        <f>IFERROR(INDEX(RawBits!$G:$G,MATCH($A1036,RawBits!$H:$H,0)),"")</f>
        <v/>
      </c>
      <c r="D1036">
        <f>IFERROR(IF(AND(A1036&gt;=129,A1036&lt;=2176),INDEX(Fields!$B$2:$B$206,MATCH(A1036-129,Fields!$D$2:$D$206,1)),""),"")</f>
        <v/>
      </c>
      <c r="E1036">
        <f>IFERROR(IF(AND(A1036&gt;=129,A1036&lt;=2176),INDEX(Fields!$C$2:$C$206,MATCH(A1036-129,Fields!$D$2:$D$206,1)),""),"")</f>
        <v/>
      </c>
    </row>
    <row r="1037">
      <c r="A1037" t="n">
        <v>1036</v>
      </c>
      <c r="B1037">
        <f>IFERROR(INDEX(RawBits!$A:$A,MATCH($A1037,RawBits!$H:$H,0)),"?")</f>
        <v/>
      </c>
      <c r="C1037">
        <f>IFERROR(INDEX(RawBits!$G:$G,MATCH($A1037,RawBits!$H:$H,0)),"")</f>
        <v/>
      </c>
      <c r="D1037">
        <f>IFERROR(IF(AND(A1037&gt;=129,A1037&lt;=2176),INDEX(Fields!$B$2:$B$206,MATCH(A1037-129,Fields!$D$2:$D$206,1)),""),"")</f>
        <v/>
      </c>
      <c r="E1037">
        <f>IFERROR(IF(AND(A1037&gt;=129,A1037&lt;=2176),INDEX(Fields!$C$2:$C$206,MATCH(A1037-129,Fields!$D$2:$D$206,1)),""),"")</f>
        <v/>
      </c>
    </row>
    <row r="1038">
      <c r="A1038" t="n">
        <v>1037</v>
      </c>
      <c r="B1038">
        <f>IFERROR(INDEX(RawBits!$A:$A,MATCH($A1038,RawBits!$H:$H,0)),"?")</f>
        <v/>
      </c>
      <c r="C1038">
        <f>IFERROR(INDEX(RawBits!$G:$G,MATCH($A1038,RawBits!$H:$H,0)),"")</f>
        <v/>
      </c>
      <c r="D1038">
        <f>IFERROR(IF(AND(A1038&gt;=129,A1038&lt;=2176),INDEX(Fields!$B$2:$B$206,MATCH(A1038-129,Fields!$D$2:$D$206,1)),""),"")</f>
        <v/>
      </c>
      <c r="E1038">
        <f>IFERROR(IF(AND(A1038&gt;=129,A1038&lt;=2176),INDEX(Fields!$C$2:$C$206,MATCH(A1038-129,Fields!$D$2:$D$206,1)),""),"")</f>
        <v/>
      </c>
    </row>
    <row r="1039">
      <c r="A1039" t="n">
        <v>1038</v>
      </c>
      <c r="B1039">
        <f>IFERROR(INDEX(RawBits!$A:$A,MATCH($A1039,RawBits!$H:$H,0)),"?")</f>
        <v/>
      </c>
      <c r="C1039">
        <f>IFERROR(INDEX(RawBits!$G:$G,MATCH($A1039,RawBits!$H:$H,0)),"")</f>
        <v/>
      </c>
      <c r="D1039">
        <f>IFERROR(IF(AND(A1039&gt;=129,A1039&lt;=2176),INDEX(Fields!$B$2:$B$206,MATCH(A1039-129,Fields!$D$2:$D$206,1)),""),"")</f>
        <v/>
      </c>
      <c r="E1039">
        <f>IFERROR(IF(AND(A1039&gt;=129,A1039&lt;=2176),INDEX(Fields!$C$2:$C$206,MATCH(A1039-129,Fields!$D$2:$D$206,1)),""),"")</f>
        <v/>
      </c>
    </row>
    <row r="1040">
      <c r="A1040" t="n">
        <v>1039</v>
      </c>
      <c r="B1040">
        <f>IFERROR(INDEX(RawBits!$A:$A,MATCH($A1040,RawBits!$H:$H,0)),"?")</f>
        <v/>
      </c>
      <c r="C1040">
        <f>IFERROR(INDEX(RawBits!$G:$G,MATCH($A1040,RawBits!$H:$H,0)),"")</f>
        <v/>
      </c>
      <c r="D1040">
        <f>IFERROR(IF(AND(A1040&gt;=129,A1040&lt;=2176),INDEX(Fields!$B$2:$B$206,MATCH(A1040-129,Fields!$D$2:$D$206,1)),""),"")</f>
        <v/>
      </c>
      <c r="E1040">
        <f>IFERROR(IF(AND(A1040&gt;=129,A1040&lt;=2176),INDEX(Fields!$C$2:$C$206,MATCH(A1040-129,Fields!$D$2:$D$206,1)),""),"")</f>
        <v/>
      </c>
    </row>
    <row r="1041">
      <c r="A1041" t="n">
        <v>1040</v>
      </c>
      <c r="B1041">
        <f>IFERROR(INDEX(RawBits!$A:$A,MATCH($A1041,RawBits!$H:$H,0)),"?")</f>
        <v/>
      </c>
      <c r="C1041">
        <f>IFERROR(INDEX(RawBits!$G:$G,MATCH($A1041,RawBits!$H:$H,0)),"")</f>
        <v/>
      </c>
      <c r="D1041">
        <f>IFERROR(IF(AND(A1041&gt;=129,A1041&lt;=2176),INDEX(Fields!$B$2:$B$206,MATCH(A1041-129,Fields!$D$2:$D$206,1)),""),"")</f>
        <v/>
      </c>
      <c r="E1041">
        <f>IFERROR(IF(AND(A1041&gt;=129,A1041&lt;=2176),INDEX(Fields!$C$2:$C$206,MATCH(A1041-129,Fields!$D$2:$D$206,1)),""),"")</f>
        <v/>
      </c>
    </row>
    <row r="1042">
      <c r="A1042" t="n">
        <v>1041</v>
      </c>
      <c r="B1042">
        <f>IFERROR(INDEX(RawBits!$A:$A,MATCH($A1042,RawBits!$H:$H,0)),"?")</f>
        <v/>
      </c>
      <c r="C1042">
        <f>IFERROR(INDEX(RawBits!$G:$G,MATCH($A1042,RawBits!$H:$H,0)),"")</f>
        <v/>
      </c>
      <c r="D1042">
        <f>IFERROR(IF(AND(A1042&gt;=129,A1042&lt;=2176),INDEX(Fields!$B$2:$B$206,MATCH(A1042-129,Fields!$D$2:$D$206,1)),""),"")</f>
        <v/>
      </c>
      <c r="E1042">
        <f>IFERROR(IF(AND(A1042&gt;=129,A1042&lt;=2176),INDEX(Fields!$C$2:$C$206,MATCH(A1042-129,Fields!$D$2:$D$206,1)),""),"")</f>
        <v/>
      </c>
    </row>
    <row r="1043">
      <c r="A1043" t="n">
        <v>1042</v>
      </c>
      <c r="B1043">
        <f>IFERROR(INDEX(RawBits!$A:$A,MATCH($A1043,RawBits!$H:$H,0)),"?")</f>
        <v/>
      </c>
      <c r="C1043">
        <f>IFERROR(INDEX(RawBits!$G:$G,MATCH($A1043,RawBits!$H:$H,0)),"")</f>
        <v/>
      </c>
      <c r="D1043">
        <f>IFERROR(IF(AND(A1043&gt;=129,A1043&lt;=2176),INDEX(Fields!$B$2:$B$206,MATCH(A1043-129,Fields!$D$2:$D$206,1)),""),"")</f>
        <v/>
      </c>
      <c r="E1043">
        <f>IFERROR(IF(AND(A1043&gt;=129,A1043&lt;=2176),INDEX(Fields!$C$2:$C$206,MATCH(A1043-129,Fields!$D$2:$D$206,1)),""),"")</f>
        <v/>
      </c>
    </row>
    <row r="1044">
      <c r="A1044" t="n">
        <v>1043</v>
      </c>
      <c r="B1044">
        <f>IFERROR(INDEX(RawBits!$A:$A,MATCH($A1044,RawBits!$H:$H,0)),"?")</f>
        <v/>
      </c>
      <c r="C1044">
        <f>IFERROR(INDEX(RawBits!$G:$G,MATCH($A1044,RawBits!$H:$H,0)),"")</f>
        <v/>
      </c>
      <c r="D1044">
        <f>IFERROR(IF(AND(A1044&gt;=129,A1044&lt;=2176),INDEX(Fields!$B$2:$B$206,MATCH(A1044-129,Fields!$D$2:$D$206,1)),""),"")</f>
        <v/>
      </c>
      <c r="E1044">
        <f>IFERROR(IF(AND(A1044&gt;=129,A1044&lt;=2176),INDEX(Fields!$C$2:$C$206,MATCH(A1044-129,Fields!$D$2:$D$206,1)),""),"")</f>
        <v/>
      </c>
    </row>
    <row r="1045">
      <c r="A1045" t="n">
        <v>1044</v>
      </c>
      <c r="B1045">
        <f>IFERROR(INDEX(RawBits!$A:$A,MATCH($A1045,RawBits!$H:$H,0)),"?")</f>
        <v/>
      </c>
      <c r="C1045">
        <f>IFERROR(INDEX(RawBits!$G:$G,MATCH($A1045,RawBits!$H:$H,0)),"")</f>
        <v/>
      </c>
      <c r="D1045">
        <f>IFERROR(IF(AND(A1045&gt;=129,A1045&lt;=2176),INDEX(Fields!$B$2:$B$206,MATCH(A1045-129,Fields!$D$2:$D$206,1)),""),"")</f>
        <v/>
      </c>
      <c r="E1045">
        <f>IFERROR(IF(AND(A1045&gt;=129,A1045&lt;=2176),INDEX(Fields!$C$2:$C$206,MATCH(A1045-129,Fields!$D$2:$D$206,1)),""),"")</f>
        <v/>
      </c>
    </row>
    <row r="1046">
      <c r="A1046" t="n">
        <v>1045</v>
      </c>
      <c r="B1046">
        <f>IFERROR(INDEX(RawBits!$A:$A,MATCH($A1046,RawBits!$H:$H,0)),"?")</f>
        <v/>
      </c>
      <c r="C1046">
        <f>IFERROR(INDEX(RawBits!$G:$G,MATCH($A1046,RawBits!$H:$H,0)),"")</f>
        <v/>
      </c>
      <c r="D1046">
        <f>IFERROR(IF(AND(A1046&gt;=129,A1046&lt;=2176),INDEX(Fields!$B$2:$B$206,MATCH(A1046-129,Fields!$D$2:$D$206,1)),""),"")</f>
        <v/>
      </c>
      <c r="E1046">
        <f>IFERROR(IF(AND(A1046&gt;=129,A1046&lt;=2176),INDEX(Fields!$C$2:$C$206,MATCH(A1046-129,Fields!$D$2:$D$206,1)),""),"")</f>
        <v/>
      </c>
    </row>
    <row r="1047">
      <c r="A1047" t="n">
        <v>1046</v>
      </c>
      <c r="B1047">
        <f>IFERROR(INDEX(RawBits!$A:$A,MATCH($A1047,RawBits!$H:$H,0)),"?")</f>
        <v/>
      </c>
      <c r="C1047">
        <f>IFERROR(INDEX(RawBits!$G:$G,MATCH($A1047,RawBits!$H:$H,0)),"")</f>
        <v/>
      </c>
      <c r="D1047">
        <f>IFERROR(IF(AND(A1047&gt;=129,A1047&lt;=2176),INDEX(Fields!$B$2:$B$206,MATCH(A1047-129,Fields!$D$2:$D$206,1)),""),"")</f>
        <v/>
      </c>
      <c r="E1047">
        <f>IFERROR(IF(AND(A1047&gt;=129,A1047&lt;=2176),INDEX(Fields!$C$2:$C$206,MATCH(A1047-129,Fields!$D$2:$D$206,1)),""),"")</f>
        <v/>
      </c>
    </row>
    <row r="1048">
      <c r="A1048" t="n">
        <v>1047</v>
      </c>
      <c r="B1048">
        <f>IFERROR(INDEX(RawBits!$A:$A,MATCH($A1048,RawBits!$H:$H,0)),"?")</f>
        <v/>
      </c>
      <c r="C1048">
        <f>IFERROR(INDEX(RawBits!$G:$G,MATCH($A1048,RawBits!$H:$H,0)),"")</f>
        <v/>
      </c>
      <c r="D1048">
        <f>IFERROR(IF(AND(A1048&gt;=129,A1048&lt;=2176),INDEX(Fields!$B$2:$B$206,MATCH(A1048-129,Fields!$D$2:$D$206,1)),""),"")</f>
        <v/>
      </c>
      <c r="E1048">
        <f>IFERROR(IF(AND(A1048&gt;=129,A1048&lt;=2176),INDEX(Fields!$C$2:$C$206,MATCH(A1048-129,Fields!$D$2:$D$206,1)),""),"")</f>
        <v/>
      </c>
    </row>
    <row r="1049">
      <c r="A1049" t="n">
        <v>1048</v>
      </c>
      <c r="B1049">
        <f>IFERROR(INDEX(RawBits!$A:$A,MATCH($A1049,RawBits!$H:$H,0)),"?")</f>
        <v/>
      </c>
      <c r="C1049">
        <f>IFERROR(INDEX(RawBits!$G:$G,MATCH($A1049,RawBits!$H:$H,0)),"")</f>
        <v/>
      </c>
      <c r="D1049">
        <f>IFERROR(IF(AND(A1049&gt;=129,A1049&lt;=2176),INDEX(Fields!$B$2:$B$206,MATCH(A1049-129,Fields!$D$2:$D$206,1)),""),"")</f>
        <v/>
      </c>
      <c r="E1049">
        <f>IFERROR(IF(AND(A1049&gt;=129,A1049&lt;=2176),INDEX(Fields!$C$2:$C$206,MATCH(A1049-129,Fields!$D$2:$D$206,1)),""),"")</f>
        <v/>
      </c>
    </row>
    <row r="1050">
      <c r="A1050" t="n">
        <v>1049</v>
      </c>
      <c r="B1050">
        <f>IFERROR(INDEX(RawBits!$A:$A,MATCH($A1050,RawBits!$H:$H,0)),"?")</f>
        <v/>
      </c>
      <c r="C1050">
        <f>IFERROR(INDEX(RawBits!$G:$G,MATCH($A1050,RawBits!$H:$H,0)),"")</f>
        <v/>
      </c>
      <c r="D1050">
        <f>IFERROR(IF(AND(A1050&gt;=129,A1050&lt;=2176),INDEX(Fields!$B$2:$B$206,MATCH(A1050-129,Fields!$D$2:$D$206,1)),""),"")</f>
        <v/>
      </c>
      <c r="E1050">
        <f>IFERROR(IF(AND(A1050&gt;=129,A1050&lt;=2176),INDEX(Fields!$C$2:$C$206,MATCH(A1050-129,Fields!$D$2:$D$206,1)),""),"")</f>
        <v/>
      </c>
    </row>
    <row r="1051">
      <c r="A1051" t="n">
        <v>1050</v>
      </c>
      <c r="B1051">
        <f>IFERROR(INDEX(RawBits!$A:$A,MATCH($A1051,RawBits!$H:$H,0)),"?")</f>
        <v/>
      </c>
      <c r="C1051">
        <f>IFERROR(INDEX(RawBits!$G:$G,MATCH($A1051,RawBits!$H:$H,0)),"")</f>
        <v/>
      </c>
      <c r="D1051">
        <f>IFERROR(IF(AND(A1051&gt;=129,A1051&lt;=2176),INDEX(Fields!$B$2:$B$206,MATCH(A1051-129,Fields!$D$2:$D$206,1)),""),"")</f>
        <v/>
      </c>
      <c r="E1051">
        <f>IFERROR(IF(AND(A1051&gt;=129,A1051&lt;=2176),INDEX(Fields!$C$2:$C$206,MATCH(A1051-129,Fields!$D$2:$D$206,1)),""),"")</f>
        <v/>
      </c>
    </row>
    <row r="1052">
      <c r="A1052" t="n">
        <v>1051</v>
      </c>
      <c r="B1052">
        <f>IFERROR(INDEX(RawBits!$A:$A,MATCH($A1052,RawBits!$H:$H,0)),"?")</f>
        <v/>
      </c>
      <c r="C1052">
        <f>IFERROR(INDEX(RawBits!$G:$G,MATCH($A1052,RawBits!$H:$H,0)),"")</f>
        <v/>
      </c>
      <c r="D1052">
        <f>IFERROR(IF(AND(A1052&gt;=129,A1052&lt;=2176),INDEX(Fields!$B$2:$B$206,MATCH(A1052-129,Fields!$D$2:$D$206,1)),""),"")</f>
        <v/>
      </c>
      <c r="E1052">
        <f>IFERROR(IF(AND(A1052&gt;=129,A1052&lt;=2176),INDEX(Fields!$C$2:$C$206,MATCH(A1052-129,Fields!$D$2:$D$206,1)),""),"")</f>
        <v/>
      </c>
    </row>
    <row r="1053">
      <c r="A1053" t="n">
        <v>1052</v>
      </c>
      <c r="B1053">
        <f>IFERROR(INDEX(RawBits!$A:$A,MATCH($A1053,RawBits!$H:$H,0)),"?")</f>
        <v/>
      </c>
      <c r="C1053">
        <f>IFERROR(INDEX(RawBits!$G:$G,MATCH($A1053,RawBits!$H:$H,0)),"")</f>
        <v/>
      </c>
      <c r="D1053">
        <f>IFERROR(IF(AND(A1053&gt;=129,A1053&lt;=2176),INDEX(Fields!$B$2:$B$206,MATCH(A1053-129,Fields!$D$2:$D$206,1)),""),"")</f>
        <v/>
      </c>
      <c r="E1053">
        <f>IFERROR(IF(AND(A1053&gt;=129,A1053&lt;=2176),INDEX(Fields!$C$2:$C$206,MATCH(A1053-129,Fields!$D$2:$D$206,1)),""),"")</f>
        <v/>
      </c>
    </row>
    <row r="1054">
      <c r="A1054" t="n">
        <v>1053</v>
      </c>
      <c r="B1054">
        <f>IFERROR(INDEX(RawBits!$A:$A,MATCH($A1054,RawBits!$H:$H,0)),"?")</f>
        <v/>
      </c>
      <c r="C1054">
        <f>IFERROR(INDEX(RawBits!$G:$G,MATCH($A1054,RawBits!$H:$H,0)),"")</f>
        <v/>
      </c>
      <c r="D1054">
        <f>IFERROR(IF(AND(A1054&gt;=129,A1054&lt;=2176),INDEX(Fields!$B$2:$B$206,MATCH(A1054-129,Fields!$D$2:$D$206,1)),""),"")</f>
        <v/>
      </c>
      <c r="E1054">
        <f>IFERROR(IF(AND(A1054&gt;=129,A1054&lt;=2176),INDEX(Fields!$C$2:$C$206,MATCH(A1054-129,Fields!$D$2:$D$206,1)),""),"")</f>
        <v/>
      </c>
    </row>
    <row r="1055">
      <c r="A1055" t="n">
        <v>1054</v>
      </c>
      <c r="B1055">
        <f>IFERROR(INDEX(RawBits!$A:$A,MATCH($A1055,RawBits!$H:$H,0)),"?")</f>
        <v/>
      </c>
      <c r="C1055">
        <f>IFERROR(INDEX(RawBits!$G:$G,MATCH($A1055,RawBits!$H:$H,0)),"")</f>
        <v/>
      </c>
      <c r="D1055">
        <f>IFERROR(IF(AND(A1055&gt;=129,A1055&lt;=2176),INDEX(Fields!$B$2:$B$206,MATCH(A1055-129,Fields!$D$2:$D$206,1)),""),"")</f>
        <v/>
      </c>
      <c r="E1055">
        <f>IFERROR(IF(AND(A1055&gt;=129,A1055&lt;=2176),INDEX(Fields!$C$2:$C$206,MATCH(A1055-129,Fields!$D$2:$D$206,1)),""),"")</f>
        <v/>
      </c>
    </row>
    <row r="1056">
      <c r="A1056" t="n">
        <v>1055</v>
      </c>
      <c r="B1056">
        <f>IFERROR(INDEX(RawBits!$A:$A,MATCH($A1056,RawBits!$H:$H,0)),"?")</f>
        <v/>
      </c>
      <c r="C1056">
        <f>IFERROR(INDEX(RawBits!$G:$G,MATCH($A1056,RawBits!$H:$H,0)),"")</f>
        <v/>
      </c>
      <c r="D1056">
        <f>IFERROR(IF(AND(A1056&gt;=129,A1056&lt;=2176),INDEX(Fields!$B$2:$B$206,MATCH(A1056-129,Fields!$D$2:$D$206,1)),""),"")</f>
        <v/>
      </c>
      <c r="E1056">
        <f>IFERROR(IF(AND(A1056&gt;=129,A1056&lt;=2176),INDEX(Fields!$C$2:$C$206,MATCH(A1056-129,Fields!$D$2:$D$206,1)),""),"")</f>
        <v/>
      </c>
    </row>
    <row r="1057">
      <c r="A1057" t="n">
        <v>1056</v>
      </c>
      <c r="B1057">
        <f>IFERROR(INDEX(RawBits!$A:$A,MATCH($A1057,RawBits!$H:$H,0)),"?")</f>
        <v/>
      </c>
      <c r="C1057">
        <f>IFERROR(INDEX(RawBits!$G:$G,MATCH($A1057,RawBits!$H:$H,0)),"")</f>
        <v/>
      </c>
      <c r="D1057">
        <f>IFERROR(IF(AND(A1057&gt;=129,A1057&lt;=2176),INDEX(Fields!$B$2:$B$206,MATCH(A1057-129,Fields!$D$2:$D$206,1)),""),"")</f>
        <v/>
      </c>
      <c r="E1057">
        <f>IFERROR(IF(AND(A1057&gt;=129,A1057&lt;=2176),INDEX(Fields!$C$2:$C$206,MATCH(A1057-129,Fields!$D$2:$D$206,1)),""),"")</f>
        <v/>
      </c>
    </row>
    <row r="1058">
      <c r="A1058" t="n">
        <v>1057</v>
      </c>
      <c r="B1058">
        <f>IFERROR(INDEX(RawBits!$A:$A,MATCH($A1058,RawBits!$H:$H,0)),"?")</f>
        <v/>
      </c>
      <c r="C1058">
        <f>IFERROR(INDEX(RawBits!$G:$G,MATCH($A1058,RawBits!$H:$H,0)),"")</f>
        <v/>
      </c>
      <c r="D1058">
        <f>IFERROR(IF(AND(A1058&gt;=129,A1058&lt;=2176),INDEX(Fields!$B$2:$B$206,MATCH(A1058-129,Fields!$D$2:$D$206,1)),""),"")</f>
        <v/>
      </c>
      <c r="E1058">
        <f>IFERROR(IF(AND(A1058&gt;=129,A1058&lt;=2176),INDEX(Fields!$C$2:$C$206,MATCH(A1058-129,Fields!$D$2:$D$206,1)),""),"")</f>
        <v/>
      </c>
    </row>
    <row r="1059">
      <c r="A1059" t="n">
        <v>1058</v>
      </c>
      <c r="B1059">
        <f>IFERROR(INDEX(RawBits!$A:$A,MATCH($A1059,RawBits!$H:$H,0)),"?")</f>
        <v/>
      </c>
      <c r="C1059">
        <f>IFERROR(INDEX(RawBits!$G:$G,MATCH($A1059,RawBits!$H:$H,0)),"")</f>
        <v/>
      </c>
      <c r="D1059">
        <f>IFERROR(IF(AND(A1059&gt;=129,A1059&lt;=2176),INDEX(Fields!$B$2:$B$206,MATCH(A1059-129,Fields!$D$2:$D$206,1)),""),"")</f>
        <v/>
      </c>
      <c r="E1059">
        <f>IFERROR(IF(AND(A1059&gt;=129,A1059&lt;=2176),INDEX(Fields!$C$2:$C$206,MATCH(A1059-129,Fields!$D$2:$D$206,1)),""),"")</f>
        <v/>
      </c>
    </row>
    <row r="1060">
      <c r="A1060" t="n">
        <v>1059</v>
      </c>
      <c r="B1060">
        <f>IFERROR(INDEX(RawBits!$A:$A,MATCH($A1060,RawBits!$H:$H,0)),"?")</f>
        <v/>
      </c>
      <c r="C1060">
        <f>IFERROR(INDEX(RawBits!$G:$G,MATCH($A1060,RawBits!$H:$H,0)),"")</f>
        <v/>
      </c>
      <c r="D1060">
        <f>IFERROR(IF(AND(A1060&gt;=129,A1060&lt;=2176),INDEX(Fields!$B$2:$B$206,MATCH(A1060-129,Fields!$D$2:$D$206,1)),""),"")</f>
        <v/>
      </c>
      <c r="E1060">
        <f>IFERROR(IF(AND(A1060&gt;=129,A1060&lt;=2176),INDEX(Fields!$C$2:$C$206,MATCH(A1060-129,Fields!$D$2:$D$206,1)),""),"")</f>
        <v/>
      </c>
    </row>
    <row r="1061">
      <c r="A1061" t="n">
        <v>1060</v>
      </c>
      <c r="B1061">
        <f>IFERROR(INDEX(RawBits!$A:$A,MATCH($A1061,RawBits!$H:$H,0)),"?")</f>
        <v/>
      </c>
      <c r="C1061">
        <f>IFERROR(INDEX(RawBits!$G:$G,MATCH($A1061,RawBits!$H:$H,0)),"")</f>
        <v/>
      </c>
      <c r="D1061">
        <f>IFERROR(IF(AND(A1061&gt;=129,A1061&lt;=2176),INDEX(Fields!$B$2:$B$206,MATCH(A1061-129,Fields!$D$2:$D$206,1)),""),"")</f>
        <v/>
      </c>
      <c r="E1061">
        <f>IFERROR(IF(AND(A1061&gt;=129,A1061&lt;=2176),INDEX(Fields!$C$2:$C$206,MATCH(A1061-129,Fields!$D$2:$D$206,1)),""),"")</f>
        <v/>
      </c>
    </row>
    <row r="1062">
      <c r="A1062" t="n">
        <v>1061</v>
      </c>
      <c r="B1062">
        <f>IFERROR(INDEX(RawBits!$A:$A,MATCH($A1062,RawBits!$H:$H,0)),"?")</f>
        <v/>
      </c>
      <c r="C1062">
        <f>IFERROR(INDEX(RawBits!$G:$G,MATCH($A1062,RawBits!$H:$H,0)),"")</f>
        <v/>
      </c>
      <c r="D1062">
        <f>IFERROR(IF(AND(A1062&gt;=129,A1062&lt;=2176),INDEX(Fields!$B$2:$B$206,MATCH(A1062-129,Fields!$D$2:$D$206,1)),""),"")</f>
        <v/>
      </c>
      <c r="E1062">
        <f>IFERROR(IF(AND(A1062&gt;=129,A1062&lt;=2176),INDEX(Fields!$C$2:$C$206,MATCH(A1062-129,Fields!$D$2:$D$206,1)),""),"")</f>
        <v/>
      </c>
    </row>
    <row r="1063">
      <c r="A1063" t="n">
        <v>1062</v>
      </c>
      <c r="B1063">
        <f>IFERROR(INDEX(RawBits!$A:$A,MATCH($A1063,RawBits!$H:$H,0)),"?")</f>
        <v/>
      </c>
      <c r="C1063">
        <f>IFERROR(INDEX(RawBits!$G:$G,MATCH($A1063,RawBits!$H:$H,0)),"")</f>
        <v/>
      </c>
      <c r="D1063">
        <f>IFERROR(IF(AND(A1063&gt;=129,A1063&lt;=2176),INDEX(Fields!$B$2:$B$206,MATCH(A1063-129,Fields!$D$2:$D$206,1)),""),"")</f>
        <v/>
      </c>
      <c r="E1063">
        <f>IFERROR(IF(AND(A1063&gt;=129,A1063&lt;=2176),INDEX(Fields!$C$2:$C$206,MATCH(A1063-129,Fields!$D$2:$D$206,1)),""),"")</f>
        <v/>
      </c>
    </row>
    <row r="1064">
      <c r="A1064" t="n">
        <v>1063</v>
      </c>
      <c r="B1064">
        <f>IFERROR(INDEX(RawBits!$A:$A,MATCH($A1064,RawBits!$H:$H,0)),"?")</f>
        <v/>
      </c>
      <c r="C1064">
        <f>IFERROR(INDEX(RawBits!$G:$G,MATCH($A1064,RawBits!$H:$H,0)),"")</f>
        <v/>
      </c>
      <c r="D1064">
        <f>IFERROR(IF(AND(A1064&gt;=129,A1064&lt;=2176),INDEX(Fields!$B$2:$B$206,MATCH(A1064-129,Fields!$D$2:$D$206,1)),""),"")</f>
        <v/>
      </c>
      <c r="E1064">
        <f>IFERROR(IF(AND(A1064&gt;=129,A1064&lt;=2176),INDEX(Fields!$C$2:$C$206,MATCH(A1064-129,Fields!$D$2:$D$206,1)),""),"")</f>
        <v/>
      </c>
    </row>
    <row r="1065">
      <c r="A1065" t="n">
        <v>1064</v>
      </c>
      <c r="B1065">
        <f>IFERROR(INDEX(RawBits!$A:$A,MATCH($A1065,RawBits!$H:$H,0)),"?")</f>
        <v/>
      </c>
      <c r="C1065">
        <f>IFERROR(INDEX(RawBits!$G:$G,MATCH($A1065,RawBits!$H:$H,0)),"")</f>
        <v/>
      </c>
      <c r="D1065">
        <f>IFERROR(IF(AND(A1065&gt;=129,A1065&lt;=2176),INDEX(Fields!$B$2:$B$206,MATCH(A1065-129,Fields!$D$2:$D$206,1)),""),"")</f>
        <v/>
      </c>
      <c r="E1065">
        <f>IFERROR(IF(AND(A1065&gt;=129,A1065&lt;=2176),INDEX(Fields!$C$2:$C$206,MATCH(A1065-129,Fields!$D$2:$D$206,1)),""),"")</f>
        <v/>
      </c>
    </row>
    <row r="1066">
      <c r="A1066" t="n">
        <v>1065</v>
      </c>
      <c r="B1066">
        <f>IFERROR(INDEX(RawBits!$A:$A,MATCH($A1066,RawBits!$H:$H,0)),"?")</f>
        <v/>
      </c>
      <c r="C1066">
        <f>IFERROR(INDEX(RawBits!$G:$G,MATCH($A1066,RawBits!$H:$H,0)),"")</f>
        <v/>
      </c>
      <c r="D1066">
        <f>IFERROR(IF(AND(A1066&gt;=129,A1066&lt;=2176),INDEX(Fields!$B$2:$B$206,MATCH(A1066-129,Fields!$D$2:$D$206,1)),""),"")</f>
        <v/>
      </c>
      <c r="E1066">
        <f>IFERROR(IF(AND(A1066&gt;=129,A1066&lt;=2176),INDEX(Fields!$C$2:$C$206,MATCH(A1066-129,Fields!$D$2:$D$206,1)),""),"")</f>
        <v/>
      </c>
    </row>
    <row r="1067">
      <c r="A1067" t="n">
        <v>1066</v>
      </c>
      <c r="B1067">
        <f>IFERROR(INDEX(RawBits!$A:$A,MATCH($A1067,RawBits!$H:$H,0)),"?")</f>
        <v/>
      </c>
      <c r="C1067">
        <f>IFERROR(INDEX(RawBits!$G:$G,MATCH($A1067,RawBits!$H:$H,0)),"")</f>
        <v/>
      </c>
      <c r="D1067">
        <f>IFERROR(IF(AND(A1067&gt;=129,A1067&lt;=2176),INDEX(Fields!$B$2:$B$206,MATCH(A1067-129,Fields!$D$2:$D$206,1)),""),"")</f>
        <v/>
      </c>
      <c r="E1067">
        <f>IFERROR(IF(AND(A1067&gt;=129,A1067&lt;=2176),INDEX(Fields!$C$2:$C$206,MATCH(A1067-129,Fields!$D$2:$D$206,1)),""),"")</f>
        <v/>
      </c>
    </row>
    <row r="1068">
      <c r="A1068" t="n">
        <v>1067</v>
      </c>
      <c r="B1068">
        <f>IFERROR(INDEX(RawBits!$A:$A,MATCH($A1068,RawBits!$H:$H,0)),"?")</f>
        <v/>
      </c>
      <c r="C1068">
        <f>IFERROR(INDEX(RawBits!$G:$G,MATCH($A1068,RawBits!$H:$H,0)),"")</f>
        <v/>
      </c>
      <c r="D1068">
        <f>IFERROR(IF(AND(A1068&gt;=129,A1068&lt;=2176),INDEX(Fields!$B$2:$B$206,MATCH(A1068-129,Fields!$D$2:$D$206,1)),""),"")</f>
        <v/>
      </c>
      <c r="E1068">
        <f>IFERROR(IF(AND(A1068&gt;=129,A1068&lt;=2176),INDEX(Fields!$C$2:$C$206,MATCH(A1068-129,Fields!$D$2:$D$206,1)),""),"")</f>
        <v/>
      </c>
    </row>
    <row r="1069">
      <c r="A1069" t="n">
        <v>1068</v>
      </c>
      <c r="B1069">
        <f>IFERROR(INDEX(RawBits!$A:$A,MATCH($A1069,RawBits!$H:$H,0)),"?")</f>
        <v/>
      </c>
      <c r="C1069">
        <f>IFERROR(INDEX(RawBits!$G:$G,MATCH($A1069,RawBits!$H:$H,0)),"")</f>
        <v/>
      </c>
      <c r="D1069">
        <f>IFERROR(IF(AND(A1069&gt;=129,A1069&lt;=2176),INDEX(Fields!$B$2:$B$206,MATCH(A1069-129,Fields!$D$2:$D$206,1)),""),"")</f>
        <v/>
      </c>
      <c r="E1069">
        <f>IFERROR(IF(AND(A1069&gt;=129,A1069&lt;=2176),INDEX(Fields!$C$2:$C$206,MATCH(A1069-129,Fields!$D$2:$D$206,1)),""),"")</f>
        <v/>
      </c>
    </row>
    <row r="1070">
      <c r="A1070" t="n">
        <v>1069</v>
      </c>
      <c r="B1070">
        <f>IFERROR(INDEX(RawBits!$A:$A,MATCH($A1070,RawBits!$H:$H,0)),"?")</f>
        <v/>
      </c>
      <c r="C1070">
        <f>IFERROR(INDEX(RawBits!$G:$G,MATCH($A1070,RawBits!$H:$H,0)),"")</f>
        <v/>
      </c>
      <c r="D1070">
        <f>IFERROR(IF(AND(A1070&gt;=129,A1070&lt;=2176),INDEX(Fields!$B$2:$B$206,MATCH(A1070-129,Fields!$D$2:$D$206,1)),""),"")</f>
        <v/>
      </c>
      <c r="E1070">
        <f>IFERROR(IF(AND(A1070&gt;=129,A1070&lt;=2176),INDEX(Fields!$C$2:$C$206,MATCH(A1070-129,Fields!$D$2:$D$206,1)),""),"")</f>
        <v/>
      </c>
    </row>
    <row r="1071">
      <c r="A1071" t="n">
        <v>1070</v>
      </c>
      <c r="B1071">
        <f>IFERROR(INDEX(RawBits!$A:$A,MATCH($A1071,RawBits!$H:$H,0)),"?")</f>
        <v/>
      </c>
      <c r="C1071">
        <f>IFERROR(INDEX(RawBits!$G:$G,MATCH($A1071,RawBits!$H:$H,0)),"")</f>
        <v/>
      </c>
      <c r="D1071">
        <f>IFERROR(IF(AND(A1071&gt;=129,A1071&lt;=2176),INDEX(Fields!$B$2:$B$206,MATCH(A1071-129,Fields!$D$2:$D$206,1)),""),"")</f>
        <v/>
      </c>
      <c r="E1071">
        <f>IFERROR(IF(AND(A1071&gt;=129,A1071&lt;=2176),INDEX(Fields!$C$2:$C$206,MATCH(A1071-129,Fields!$D$2:$D$206,1)),""),"")</f>
        <v/>
      </c>
    </row>
    <row r="1072">
      <c r="A1072" t="n">
        <v>1071</v>
      </c>
      <c r="B1072">
        <f>IFERROR(INDEX(RawBits!$A:$A,MATCH($A1072,RawBits!$H:$H,0)),"?")</f>
        <v/>
      </c>
      <c r="C1072">
        <f>IFERROR(INDEX(RawBits!$G:$G,MATCH($A1072,RawBits!$H:$H,0)),"")</f>
        <v/>
      </c>
      <c r="D1072">
        <f>IFERROR(IF(AND(A1072&gt;=129,A1072&lt;=2176),INDEX(Fields!$B$2:$B$206,MATCH(A1072-129,Fields!$D$2:$D$206,1)),""),"")</f>
        <v/>
      </c>
      <c r="E1072">
        <f>IFERROR(IF(AND(A1072&gt;=129,A1072&lt;=2176),INDEX(Fields!$C$2:$C$206,MATCH(A1072-129,Fields!$D$2:$D$206,1)),""),"")</f>
        <v/>
      </c>
    </row>
    <row r="1073">
      <c r="A1073" t="n">
        <v>1072</v>
      </c>
      <c r="B1073">
        <f>IFERROR(INDEX(RawBits!$A:$A,MATCH($A1073,RawBits!$H:$H,0)),"?")</f>
        <v/>
      </c>
      <c r="C1073">
        <f>IFERROR(INDEX(RawBits!$G:$G,MATCH($A1073,RawBits!$H:$H,0)),"")</f>
        <v/>
      </c>
      <c r="D1073">
        <f>IFERROR(IF(AND(A1073&gt;=129,A1073&lt;=2176),INDEX(Fields!$B$2:$B$206,MATCH(A1073-129,Fields!$D$2:$D$206,1)),""),"")</f>
        <v/>
      </c>
      <c r="E1073">
        <f>IFERROR(IF(AND(A1073&gt;=129,A1073&lt;=2176),INDEX(Fields!$C$2:$C$206,MATCH(A1073-129,Fields!$D$2:$D$206,1)),""),"")</f>
        <v/>
      </c>
    </row>
    <row r="1074">
      <c r="A1074" t="n">
        <v>1073</v>
      </c>
      <c r="B1074">
        <f>IFERROR(INDEX(RawBits!$A:$A,MATCH($A1074,RawBits!$H:$H,0)),"?")</f>
        <v/>
      </c>
      <c r="C1074">
        <f>IFERROR(INDEX(RawBits!$G:$G,MATCH($A1074,RawBits!$H:$H,0)),"")</f>
        <v/>
      </c>
      <c r="D1074">
        <f>IFERROR(IF(AND(A1074&gt;=129,A1074&lt;=2176),INDEX(Fields!$B$2:$B$206,MATCH(A1074-129,Fields!$D$2:$D$206,1)),""),"")</f>
        <v/>
      </c>
      <c r="E1074">
        <f>IFERROR(IF(AND(A1074&gt;=129,A1074&lt;=2176),INDEX(Fields!$C$2:$C$206,MATCH(A1074-129,Fields!$D$2:$D$206,1)),""),"")</f>
        <v/>
      </c>
    </row>
    <row r="1075">
      <c r="A1075" t="n">
        <v>1074</v>
      </c>
      <c r="B1075">
        <f>IFERROR(INDEX(RawBits!$A:$A,MATCH($A1075,RawBits!$H:$H,0)),"?")</f>
        <v/>
      </c>
      <c r="C1075">
        <f>IFERROR(INDEX(RawBits!$G:$G,MATCH($A1075,RawBits!$H:$H,0)),"")</f>
        <v/>
      </c>
      <c r="D1075">
        <f>IFERROR(IF(AND(A1075&gt;=129,A1075&lt;=2176),INDEX(Fields!$B$2:$B$206,MATCH(A1075-129,Fields!$D$2:$D$206,1)),""),"")</f>
        <v/>
      </c>
      <c r="E1075">
        <f>IFERROR(IF(AND(A1075&gt;=129,A1075&lt;=2176),INDEX(Fields!$C$2:$C$206,MATCH(A1075-129,Fields!$D$2:$D$206,1)),""),"")</f>
        <v/>
      </c>
    </row>
    <row r="1076">
      <c r="A1076" t="n">
        <v>1075</v>
      </c>
      <c r="B1076">
        <f>IFERROR(INDEX(RawBits!$A:$A,MATCH($A1076,RawBits!$H:$H,0)),"?")</f>
        <v/>
      </c>
      <c r="C1076">
        <f>IFERROR(INDEX(RawBits!$G:$G,MATCH($A1076,RawBits!$H:$H,0)),"")</f>
        <v/>
      </c>
      <c r="D1076">
        <f>IFERROR(IF(AND(A1076&gt;=129,A1076&lt;=2176),INDEX(Fields!$B$2:$B$206,MATCH(A1076-129,Fields!$D$2:$D$206,1)),""),"")</f>
        <v/>
      </c>
      <c r="E1076">
        <f>IFERROR(IF(AND(A1076&gt;=129,A1076&lt;=2176),INDEX(Fields!$C$2:$C$206,MATCH(A1076-129,Fields!$D$2:$D$206,1)),""),"")</f>
        <v/>
      </c>
    </row>
    <row r="1077">
      <c r="A1077" t="n">
        <v>1076</v>
      </c>
      <c r="B1077">
        <f>IFERROR(INDEX(RawBits!$A:$A,MATCH($A1077,RawBits!$H:$H,0)),"?")</f>
        <v/>
      </c>
      <c r="C1077">
        <f>IFERROR(INDEX(RawBits!$G:$G,MATCH($A1077,RawBits!$H:$H,0)),"")</f>
        <v/>
      </c>
      <c r="D1077">
        <f>IFERROR(IF(AND(A1077&gt;=129,A1077&lt;=2176),INDEX(Fields!$B$2:$B$206,MATCH(A1077-129,Fields!$D$2:$D$206,1)),""),"")</f>
        <v/>
      </c>
      <c r="E1077">
        <f>IFERROR(IF(AND(A1077&gt;=129,A1077&lt;=2176),INDEX(Fields!$C$2:$C$206,MATCH(A1077-129,Fields!$D$2:$D$206,1)),""),"")</f>
        <v/>
      </c>
    </row>
    <row r="1078">
      <c r="A1078" t="n">
        <v>1077</v>
      </c>
      <c r="B1078">
        <f>IFERROR(INDEX(RawBits!$A:$A,MATCH($A1078,RawBits!$H:$H,0)),"?")</f>
        <v/>
      </c>
      <c r="C1078">
        <f>IFERROR(INDEX(RawBits!$G:$G,MATCH($A1078,RawBits!$H:$H,0)),"")</f>
        <v/>
      </c>
      <c r="D1078">
        <f>IFERROR(IF(AND(A1078&gt;=129,A1078&lt;=2176),INDEX(Fields!$B$2:$B$206,MATCH(A1078-129,Fields!$D$2:$D$206,1)),""),"")</f>
        <v/>
      </c>
      <c r="E1078">
        <f>IFERROR(IF(AND(A1078&gt;=129,A1078&lt;=2176),INDEX(Fields!$C$2:$C$206,MATCH(A1078-129,Fields!$D$2:$D$206,1)),""),"")</f>
        <v/>
      </c>
    </row>
    <row r="1079">
      <c r="A1079" t="n">
        <v>1078</v>
      </c>
      <c r="B1079">
        <f>IFERROR(INDEX(RawBits!$A:$A,MATCH($A1079,RawBits!$H:$H,0)),"?")</f>
        <v/>
      </c>
      <c r="C1079">
        <f>IFERROR(INDEX(RawBits!$G:$G,MATCH($A1079,RawBits!$H:$H,0)),"")</f>
        <v/>
      </c>
      <c r="D1079">
        <f>IFERROR(IF(AND(A1079&gt;=129,A1079&lt;=2176),INDEX(Fields!$B$2:$B$206,MATCH(A1079-129,Fields!$D$2:$D$206,1)),""),"")</f>
        <v/>
      </c>
      <c r="E1079">
        <f>IFERROR(IF(AND(A1079&gt;=129,A1079&lt;=2176),INDEX(Fields!$C$2:$C$206,MATCH(A1079-129,Fields!$D$2:$D$206,1)),""),"")</f>
        <v/>
      </c>
    </row>
    <row r="1080">
      <c r="A1080" t="n">
        <v>1079</v>
      </c>
      <c r="B1080">
        <f>IFERROR(INDEX(RawBits!$A:$A,MATCH($A1080,RawBits!$H:$H,0)),"?")</f>
        <v/>
      </c>
      <c r="C1080">
        <f>IFERROR(INDEX(RawBits!$G:$G,MATCH($A1080,RawBits!$H:$H,0)),"")</f>
        <v/>
      </c>
      <c r="D1080">
        <f>IFERROR(IF(AND(A1080&gt;=129,A1080&lt;=2176),INDEX(Fields!$B$2:$B$206,MATCH(A1080-129,Fields!$D$2:$D$206,1)),""),"")</f>
        <v/>
      </c>
      <c r="E1080">
        <f>IFERROR(IF(AND(A1080&gt;=129,A1080&lt;=2176),INDEX(Fields!$C$2:$C$206,MATCH(A1080-129,Fields!$D$2:$D$206,1)),""),"")</f>
        <v/>
      </c>
    </row>
    <row r="1081">
      <c r="A1081" t="n">
        <v>1080</v>
      </c>
      <c r="B1081">
        <f>IFERROR(INDEX(RawBits!$A:$A,MATCH($A1081,RawBits!$H:$H,0)),"?")</f>
        <v/>
      </c>
      <c r="C1081">
        <f>IFERROR(INDEX(RawBits!$G:$G,MATCH($A1081,RawBits!$H:$H,0)),"")</f>
        <v/>
      </c>
      <c r="D1081">
        <f>IFERROR(IF(AND(A1081&gt;=129,A1081&lt;=2176),INDEX(Fields!$B$2:$B$206,MATCH(A1081-129,Fields!$D$2:$D$206,1)),""),"")</f>
        <v/>
      </c>
      <c r="E1081">
        <f>IFERROR(IF(AND(A1081&gt;=129,A1081&lt;=2176),INDEX(Fields!$C$2:$C$206,MATCH(A1081-129,Fields!$D$2:$D$206,1)),""),"")</f>
        <v/>
      </c>
    </row>
    <row r="1082">
      <c r="A1082" t="n">
        <v>1081</v>
      </c>
      <c r="B1082">
        <f>IFERROR(INDEX(RawBits!$A:$A,MATCH($A1082,RawBits!$H:$H,0)),"?")</f>
        <v/>
      </c>
      <c r="C1082">
        <f>IFERROR(INDEX(RawBits!$G:$G,MATCH($A1082,RawBits!$H:$H,0)),"")</f>
        <v/>
      </c>
      <c r="D1082">
        <f>IFERROR(IF(AND(A1082&gt;=129,A1082&lt;=2176),INDEX(Fields!$B$2:$B$206,MATCH(A1082-129,Fields!$D$2:$D$206,1)),""),"")</f>
        <v/>
      </c>
      <c r="E1082">
        <f>IFERROR(IF(AND(A1082&gt;=129,A1082&lt;=2176),INDEX(Fields!$C$2:$C$206,MATCH(A1082-129,Fields!$D$2:$D$206,1)),""),"")</f>
        <v/>
      </c>
    </row>
    <row r="1083">
      <c r="A1083" t="n">
        <v>1082</v>
      </c>
      <c r="B1083">
        <f>IFERROR(INDEX(RawBits!$A:$A,MATCH($A1083,RawBits!$H:$H,0)),"?")</f>
        <v/>
      </c>
      <c r="C1083">
        <f>IFERROR(INDEX(RawBits!$G:$G,MATCH($A1083,RawBits!$H:$H,0)),"")</f>
        <v/>
      </c>
      <c r="D1083">
        <f>IFERROR(IF(AND(A1083&gt;=129,A1083&lt;=2176),INDEX(Fields!$B$2:$B$206,MATCH(A1083-129,Fields!$D$2:$D$206,1)),""),"")</f>
        <v/>
      </c>
      <c r="E1083">
        <f>IFERROR(IF(AND(A1083&gt;=129,A1083&lt;=2176),INDEX(Fields!$C$2:$C$206,MATCH(A1083-129,Fields!$D$2:$D$206,1)),""),"")</f>
        <v/>
      </c>
    </row>
    <row r="1084">
      <c r="A1084" t="n">
        <v>1083</v>
      </c>
      <c r="B1084">
        <f>IFERROR(INDEX(RawBits!$A:$A,MATCH($A1084,RawBits!$H:$H,0)),"?")</f>
        <v/>
      </c>
      <c r="C1084">
        <f>IFERROR(INDEX(RawBits!$G:$G,MATCH($A1084,RawBits!$H:$H,0)),"")</f>
        <v/>
      </c>
      <c r="D1084">
        <f>IFERROR(IF(AND(A1084&gt;=129,A1084&lt;=2176),INDEX(Fields!$B$2:$B$206,MATCH(A1084-129,Fields!$D$2:$D$206,1)),""),"")</f>
        <v/>
      </c>
      <c r="E1084">
        <f>IFERROR(IF(AND(A1084&gt;=129,A1084&lt;=2176),INDEX(Fields!$C$2:$C$206,MATCH(A1084-129,Fields!$D$2:$D$206,1)),""),"")</f>
        <v/>
      </c>
    </row>
    <row r="1085">
      <c r="A1085" t="n">
        <v>1084</v>
      </c>
      <c r="B1085">
        <f>IFERROR(INDEX(RawBits!$A:$A,MATCH($A1085,RawBits!$H:$H,0)),"?")</f>
        <v/>
      </c>
      <c r="C1085">
        <f>IFERROR(INDEX(RawBits!$G:$G,MATCH($A1085,RawBits!$H:$H,0)),"")</f>
        <v/>
      </c>
      <c r="D1085">
        <f>IFERROR(IF(AND(A1085&gt;=129,A1085&lt;=2176),INDEX(Fields!$B$2:$B$206,MATCH(A1085-129,Fields!$D$2:$D$206,1)),""),"")</f>
        <v/>
      </c>
      <c r="E1085">
        <f>IFERROR(IF(AND(A1085&gt;=129,A1085&lt;=2176),INDEX(Fields!$C$2:$C$206,MATCH(A1085-129,Fields!$D$2:$D$206,1)),""),"")</f>
        <v/>
      </c>
    </row>
    <row r="1086">
      <c r="A1086" t="n">
        <v>1085</v>
      </c>
      <c r="B1086">
        <f>IFERROR(INDEX(RawBits!$A:$A,MATCH($A1086,RawBits!$H:$H,0)),"?")</f>
        <v/>
      </c>
      <c r="C1086">
        <f>IFERROR(INDEX(RawBits!$G:$G,MATCH($A1086,RawBits!$H:$H,0)),"")</f>
        <v/>
      </c>
      <c r="D1086">
        <f>IFERROR(IF(AND(A1086&gt;=129,A1086&lt;=2176),INDEX(Fields!$B$2:$B$206,MATCH(A1086-129,Fields!$D$2:$D$206,1)),""),"")</f>
        <v/>
      </c>
      <c r="E1086">
        <f>IFERROR(IF(AND(A1086&gt;=129,A1086&lt;=2176),INDEX(Fields!$C$2:$C$206,MATCH(A1086-129,Fields!$D$2:$D$206,1)),""),"")</f>
        <v/>
      </c>
    </row>
    <row r="1087">
      <c r="A1087" t="n">
        <v>1086</v>
      </c>
      <c r="B1087">
        <f>IFERROR(INDEX(RawBits!$A:$A,MATCH($A1087,RawBits!$H:$H,0)),"?")</f>
        <v/>
      </c>
      <c r="C1087">
        <f>IFERROR(INDEX(RawBits!$G:$G,MATCH($A1087,RawBits!$H:$H,0)),"")</f>
        <v/>
      </c>
      <c r="D1087">
        <f>IFERROR(IF(AND(A1087&gt;=129,A1087&lt;=2176),INDEX(Fields!$B$2:$B$206,MATCH(A1087-129,Fields!$D$2:$D$206,1)),""),"")</f>
        <v/>
      </c>
      <c r="E1087">
        <f>IFERROR(IF(AND(A1087&gt;=129,A1087&lt;=2176),INDEX(Fields!$C$2:$C$206,MATCH(A1087-129,Fields!$D$2:$D$206,1)),""),"")</f>
        <v/>
      </c>
    </row>
    <row r="1088">
      <c r="A1088" t="n">
        <v>1087</v>
      </c>
      <c r="B1088">
        <f>IFERROR(INDEX(RawBits!$A:$A,MATCH($A1088,RawBits!$H:$H,0)),"?")</f>
        <v/>
      </c>
      <c r="C1088">
        <f>IFERROR(INDEX(RawBits!$G:$G,MATCH($A1088,RawBits!$H:$H,0)),"")</f>
        <v/>
      </c>
      <c r="D1088">
        <f>IFERROR(IF(AND(A1088&gt;=129,A1088&lt;=2176),INDEX(Fields!$B$2:$B$206,MATCH(A1088-129,Fields!$D$2:$D$206,1)),""),"")</f>
        <v/>
      </c>
      <c r="E1088">
        <f>IFERROR(IF(AND(A1088&gt;=129,A1088&lt;=2176),INDEX(Fields!$C$2:$C$206,MATCH(A1088-129,Fields!$D$2:$D$206,1)),""),"")</f>
        <v/>
      </c>
    </row>
    <row r="1089">
      <c r="A1089" t="n">
        <v>1088</v>
      </c>
      <c r="B1089">
        <f>IFERROR(INDEX(RawBits!$A:$A,MATCH($A1089,RawBits!$H:$H,0)),"?")</f>
        <v/>
      </c>
      <c r="C1089">
        <f>IFERROR(INDEX(RawBits!$G:$G,MATCH($A1089,RawBits!$H:$H,0)),"")</f>
        <v/>
      </c>
      <c r="D1089">
        <f>IFERROR(IF(AND(A1089&gt;=129,A1089&lt;=2176),INDEX(Fields!$B$2:$B$206,MATCH(A1089-129,Fields!$D$2:$D$206,1)),""),"")</f>
        <v/>
      </c>
      <c r="E1089">
        <f>IFERROR(IF(AND(A1089&gt;=129,A1089&lt;=2176),INDEX(Fields!$C$2:$C$206,MATCH(A1089-129,Fields!$D$2:$D$206,1)),""),"")</f>
        <v/>
      </c>
    </row>
    <row r="1090">
      <c r="A1090" t="n">
        <v>1089</v>
      </c>
      <c r="B1090">
        <f>IFERROR(INDEX(RawBits!$A:$A,MATCH($A1090,RawBits!$H:$H,0)),"?")</f>
        <v/>
      </c>
      <c r="C1090">
        <f>IFERROR(INDEX(RawBits!$G:$G,MATCH($A1090,RawBits!$H:$H,0)),"")</f>
        <v/>
      </c>
      <c r="D1090">
        <f>IFERROR(IF(AND(A1090&gt;=129,A1090&lt;=2176),INDEX(Fields!$B$2:$B$206,MATCH(A1090-129,Fields!$D$2:$D$206,1)),""),"")</f>
        <v/>
      </c>
      <c r="E1090">
        <f>IFERROR(IF(AND(A1090&gt;=129,A1090&lt;=2176),INDEX(Fields!$C$2:$C$206,MATCH(A1090-129,Fields!$D$2:$D$206,1)),""),"")</f>
        <v/>
      </c>
    </row>
    <row r="1091">
      <c r="A1091" t="n">
        <v>1090</v>
      </c>
      <c r="B1091">
        <f>IFERROR(INDEX(RawBits!$A:$A,MATCH($A1091,RawBits!$H:$H,0)),"?")</f>
        <v/>
      </c>
      <c r="C1091">
        <f>IFERROR(INDEX(RawBits!$G:$G,MATCH($A1091,RawBits!$H:$H,0)),"")</f>
        <v/>
      </c>
      <c r="D1091">
        <f>IFERROR(IF(AND(A1091&gt;=129,A1091&lt;=2176),INDEX(Fields!$B$2:$B$206,MATCH(A1091-129,Fields!$D$2:$D$206,1)),""),"")</f>
        <v/>
      </c>
      <c r="E1091">
        <f>IFERROR(IF(AND(A1091&gt;=129,A1091&lt;=2176),INDEX(Fields!$C$2:$C$206,MATCH(A1091-129,Fields!$D$2:$D$206,1)),""),"")</f>
        <v/>
      </c>
    </row>
    <row r="1092">
      <c r="A1092" t="n">
        <v>1091</v>
      </c>
      <c r="B1092">
        <f>IFERROR(INDEX(RawBits!$A:$A,MATCH($A1092,RawBits!$H:$H,0)),"?")</f>
        <v/>
      </c>
      <c r="C1092">
        <f>IFERROR(INDEX(RawBits!$G:$G,MATCH($A1092,RawBits!$H:$H,0)),"")</f>
        <v/>
      </c>
      <c r="D1092">
        <f>IFERROR(IF(AND(A1092&gt;=129,A1092&lt;=2176),INDEX(Fields!$B$2:$B$206,MATCH(A1092-129,Fields!$D$2:$D$206,1)),""),"")</f>
        <v/>
      </c>
      <c r="E1092">
        <f>IFERROR(IF(AND(A1092&gt;=129,A1092&lt;=2176),INDEX(Fields!$C$2:$C$206,MATCH(A1092-129,Fields!$D$2:$D$206,1)),""),"")</f>
        <v/>
      </c>
    </row>
    <row r="1093">
      <c r="A1093" t="n">
        <v>1092</v>
      </c>
      <c r="B1093">
        <f>IFERROR(INDEX(RawBits!$A:$A,MATCH($A1093,RawBits!$H:$H,0)),"?")</f>
        <v/>
      </c>
      <c r="C1093">
        <f>IFERROR(INDEX(RawBits!$G:$G,MATCH($A1093,RawBits!$H:$H,0)),"")</f>
        <v/>
      </c>
      <c r="D1093">
        <f>IFERROR(IF(AND(A1093&gt;=129,A1093&lt;=2176),INDEX(Fields!$B$2:$B$206,MATCH(A1093-129,Fields!$D$2:$D$206,1)),""),"")</f>
        <v/>
      </c>
      <c r="E1093">
        <f>IFERROR(IF(AND(A1093&gt;=129,A1093&lt;=2176),INDEX(Fields!$C$2:$C$206,MATCH(A1093-129,Fields!$D$2:$D$206,1)),""),"")</f>
        <v/>
      </c>
    </row>
    <row r="1094">
      <c r="A1094" t="n">
        <v>1093</v>
      </c>
      <c r="B1094">
        <f>IFERROR(INDEX(RawBits!$A:$A,MATCH($A1094,RawBits!$H:$H,0)),"?")</f>
        <v/>
      </c>
      <c r="C1094">
        <f>IFERROR(INDEX(RawBits!$G:$G,MATCH($A1094,RawBits!$H:$H,0)),"")</f>
        <v/>
      </c>
      <c r="D1094">
        <f>IFERROR(IF(AND(A1094&gt;=129,A1094&lt;=2176),INDEX(Fields!$B$2:$B$206,MATCH(A1094-129,Fields!$D$2:$D$206,1)),""),"")</f>
        <v/>
      </c>
      <c r="E1094">
        <f>IFERROR(IF(AND(A1094&gt;=129,A1094&lt;=2176),INDEX(Fields!$C$2:$C$206,MATCH(A1094-129,Fields!$D$2:$D$206,1)),""),"")</f>
        <v/>
      </c>
    </row>
    <row r="1095">
      <c r="A1095" t="n">
        <v>1094</v>
      </c>
      <c r="B1095">
        <f>IFERROR(INDEX(RawBits!$A:$A,MATCH($A1095,RawBits!$H:$H,0)),"?")</f>
        <v/>
      </c>
      <c r="C1095">
        <f>IFERROR(INDEX(RawBits!$G:$G,MATCH($A1095,RawBits!$H:$H,0)),"")</f>
        <v/>
      </c>
      <c r="D1095">
        <f>IFERROR(IF(AND(A1095&gt;=129,A1095&lt;=2176),INDEX(Fields!$B$2:$B$206,MATCH(A1095-129,Fields!$D$2:$D$206,1)),""),"")</f>
        <v/>
      </c>
      <c r="E1095">
        <f>IFERROR(IF(AND(A1095&gt;=129,A1095&lt;=2176),INDEX(Fields!$C$2:$C$206,MATCH(A1095-129,Fields!$D$2:$D$206,1)),""),"")</f>
        <v/>
      </c>
    </row>
    <row r="1096">
      <c r="A1096" t="n">
        <v>1095</v>
      </c>
      <c r="B1096">
        <f>IFERROR(INDEX(RawBits!$A:$A,MATCH($A1096,RawBits!$H:$H,0)),"?")</f>
        <v/>
      </c>
      <c r="C1096">
        <f>IFERROR(INDEX(RawBits!$G:$G,MATCH($A1096,RawBits!$H:$H,0)),"")</f>
        <v/>
      </c>
      <c r="D1096">
        <f>IFERROR(IF(AND(A1096&gt;=129,A1096&lt;=2176),INDEX(Fields!$B$2:$B$206,MATCH(A1096-129,Fields!$D$2:$D$206,1)),""),"")</f>
        <v/>
      </c>
      <c r="E1096">
        <f>IFERROR(IF(AND(A1096&gt;=129,A1096&lt;=2176),INDEX(Fields!$C$2:$C$206,MATCH(A1096-129,Fields!$D$2:$D$206,1)),""),"")</f>
        <v/>
      </c>
    </row>
    <row r="1097">
      <c r="A1097" t="n">
        <v>1096</v>
      </c>
      <c r="B1097">
        <f>IFERROR(INDEX(RawBits!$A:$A,MATCH($A1097,RawBits!$H:$H,0)),"?")</f>
        <v/>
      </c>
      <c r="C1097">
        <f>IFERROR(INDEX(RawBits!$G:$G,MATCH($A1097,RawBits!$H:$H,0)),"")</f>
        <v/>
      </c>
      <c r="D1097">
        <f>IFERROR(IF(AND(A1097&gt;=129,A1097&lt;=2176),INDEX(Fields!$B$2:$B$206,MATCH(A1097-129,Fields!$D$2:$D$206,1)),""),"")</f>
        <v/>
      </c>
      <c r="E1097">
        <f>IFERROR(IF(AND(A1097&gt;=129,A1097&lt;=2176),INDEX(Fields!$C$2:$C$206,MATCH(A1097-129,Fields!$D$2:$D$206,1)),""),"")</f>
        <v/>
      </c>
    </row>
    <row r="1098">
      <c r="A1098" t="n">
        <v>1097</v>
      </c>
      <c r="B1098">
        <f>IFERROR(INDEX(RawBits!$A:$A,MATCH($A1098,RawBits!$H:$H,0)),"?")</f>
        <v/>
      </c>
      <c r="C1098">
        <f>IFERROR(INDEX(RawBits!$G:$G,MATCH($A1098,RawBits!$H:$H,0)),"")</f>
        <v/>
      </c>
      <c r="D1098">
        <f>IFERROR(IF(AND(A1098&gt;=129,A1098&lt;=2176),INDEX(Fields!$B$2:$B$206,MATCH(A1098-129,Fields!$D$2:$D$206,1)),""),"")</f>
        <v/>
      </c>
      <c r="E1098">
        <f>IFERROR(IF(AND(A1098&gt;=129,A1098&lt;=2176),INDEX(Fields!$C$2:$C$206,MATCH(A1098-129,Fields!$D$2:$D$206,1)),""),"")</f>
        <v/>
      </c>
    </row>
    <row r="1099">
      <c r="A1099" t="n">
        <v>1098</v>
      </c>
      <c r="B1099">
        <f>IFERROR(INDEX(RawBits!$A:$A,MATCH($A1099,RawBits!$H:$H,0)),"?")</f>
        <v/>
      </c>
      <c r="C1099">
        <f>IFERROR(INDEX(RawBits!$G:$G,MATCH($A1099,RawBits!$H:$H,0)),"")</f>
        <v/>
      </c>
      <c r="D1099">
        <f>IFERROR(IF(AND(A1099&gt;=129,A1099&lt;=2176),INDEX(Fields!$B$2:$B$206,MATCH(A1099-129,Fields!$D$2:$D$206,1)),""),"")</f>
        <v/>
      </c>
      <c r="E1099">
        <f>IFERROR(IF(AND(A1099&gt;=129,A1099&lt;=2176),INDEX(Fields!$C$2:$C$206,MATCH(A1099-129,Fields!$D$2:$D$206,1)),""),"")</f>
        <v/>
      </c>
    </row>
    <row r="1100">
      <c r="A1100" t="n">
        <v>1099</v>
      </c>
      <c r="B1100">
        <f>IFERROR(INDEX(RawBits!$A:$A,MATCH($A1100,RawBits!$H:$H,0)),"?")</f>
        <v/>
      </c>
      <c r="C1100">
        <f>IFERROR(INDEX(RawBits!$G:$G,MATCH($A1100,RawBits!$H:$H,0)),"")</f>
        <v/>
      </c>
      <c r="D1100">
        <f>IFERROR(IF(AND(A1100&gt;=129,A1100&lt;=2176),INDEX(Fields!$B$2:$B$206,MATCH(A1100-129,Fields!$D$2:$D$206,1)),""),"")</f>
        <v/>
      </c>
      <c r="E1100">
        <f>IFERROR(IF(AND(A1100&gt;=129,A1100&lt;=2176),INDEX(Fields!$C$2:$C$206,MATCH(A1100-129,Fields!$D$2:$D$206,1)),""),"")</f>
        <v/>
      </c>
    </row>
    <row r="1101">
      <c r="A1101" t="n">
        <v>1100</v>
      </c>
      <c r="B1101">
        <f>IFERROR(INDEX(RawBits!$A:$A,MATCH($A1101,RawBits!$H:$H,0)),"?")</f>
        <v/>
      </c>
      <c r="C1101">
        <f>IFERROR(INDEX(RawBits!$G:$G,MATCH($A1101,RawBits!$H:$H,0)),"")</f>
        <v/>
      </c>
      <c r="D1101">
        <f>IFERROR(IF(AND(A1101&gt;=129,A1101&lt;=2176),INDEX(Fields!$B$2:$B$206,MATCH(A1101-129,Fields!$D$2:$D$206,1)),""),"")</f>
        <v/>
      </c>
      <c r="E1101">
        <f>IFERROR(IF(AND(A1101&gt;=129,A1101&lt;=2176),INDEX(Fields!$C$2:$C$206,MATCH(A1101-129,Fields!$D$2:$D$206,1)),""),"")</f>
        <v/>
      </c>
    </row>
    <row r="1102">
      <c r="A1102" t="n">
        <v>1101</v>
      </c>
      <c r="B1102">
        <f>IFERROR(INDEX(RawBits!$A:$A,MATCH($A1102,RawBits!$H:$H,0)),"?")</f>
        <v/>
      </c>
      <c r="C1102">
        <f>IFERROR(INDEX(RawBits!$G:$G,MATCH($A1102,RawBits!$H:$H,0)),"")</f>
        <v/>
      </c>
      <c r="D1102">
        <f>IFERROR(IF(AND(A1102&gt;=129,A1102&lt;=2176),INDEX(Fields!$B$2:$B$206,MATCH(A1102-129,Fields!$D$2:$D$206,1)),""),"")</f>
        <v/>
      </c>
      <c r="E1102">
        <f>IFERROR(IF(AND(A1102&gt;=129,A1102&lt;=2176),INDEX(Fields!$C$2:$C$206,MATCH(A1102-129,Fields!$D$2:$D$206,1)),""),"")</f>
        <v/>
      </c>
    </row>
    <row r="1103">
      <c r="A1103" t="n">
        <v>1102</v>
      </c>
      <c r="B1103">
        <f>IFERROR(INDEX(RawBits!$A:$A,MATCH($A1103,RawBits!$H:$H,0)),"?")</f>
        <v/>
      </c>
      <c r="C1103">
        <f>IFERROR(INDEX(RawBits!$G:$G,MATCH($A1103,RawBits!$H:$H,0)),"")</f>
        <v/>
      </c>
      <c r="D1103">
        <f>IFERROR(IF(AND(A1103&gt;=129,A1103&lt;=2176),INDEX(Fields!$B$2:$B$206,MATCH(A1103-129,Fields!$D$2:$D$206,1)),""),"")</f>
        <v/>
      </c>
      <c r="E1103">
        <f>IFERROR(IF(AND(A1103&gt;=129,A1103&lt;=2176),INDEX(Fields!$C$2:$C$206,MATCH(A1103-129,Fields!$D$2:$D$206,1)),""),"")</f>
        <v/>
      </c>
    </row>
    <row r="1104">
      <c r="A1104" t="n">
        <v>1103</v>
      </c>
      <c r="B1104">
        <f>IFERROR(INDEX(RawBits!$A:$A,MATCH($A1104,RawBits!$H:$H,0)),"?")</f>
        <v/>
      </c>
      <c r="C1104">
        <f>IFERROR(INDEX(RawBits!$G:$G,MATCH($A1104,RawBits!$H:$H,0)),"")</f>
        <v/>
      </c>
      <c r="D1104">
        <f>IFERROR(IF(AND(A1104&gt;=129,A1104&lt;=2176),INDEX(Fields!$B$2:$B$206,MATCH(A1104-129,Fields!$D$2:$D$206,1)),""),"")</f>
        <v/>
      </c>
      <c r="E1104">
        <f>IFERROR(IF(AND(A1104&gt;=129,A1104&lt;=2176),INDEX(Fields!$C$2:$C$206,MATCH(A1104-129,Fields!$D$2:$D$206,1)),""),"")</f>
        <v/>
      </c>
    </row>
    <row r="1105">
      <c r="A1105" t="n">
        <v>1104</v>
      </c>
      <c r="B1105">
        <f>IFERROR(INDEX(RawBits!$A:$A,MATCH($A1105,RawBits!$H:$H,0)),"?")</f>
        <v/>
      </c>
      <c r="C1105">
        <f>IFERROR(INDEX(RawBits!$G:$G,MATCH($A1105,RawBits!$H:$H,0)),"")</f>
        <v/>
      </c>
      <c r="D1105">
        <f>IFERROR(IF(AND(A1105&gt;=129,A1105&lt;=2176),INDEX(Fields!$B$2:$B$206,MATCH(A1105-129,Fields!$D$2:$D$206,1)),""),"")</f>
        <v/>
      </c>
      <c r="E1105">
        <f>IFERROR(IF(AND(A1105&gt;=129,A1105&lt;=2176),INDEX(Fields!$C$2:$C$206,MATCH(A1105-129,Fields!$D$2:$D$206,1)),""),"")</f>
        <v/>
      </c>
    </row>
    <row r="1106">
      <c r="A1106" t="n">
        <v>1105</v>
      </c>
      <c r="B1106">
        <f>IFERROR(INDEX(RawBits!$A:$A,MATCH($A1106,RawBits!$H:$H,0)),"?")</f>
        <v/>
      </c>
      <c r="C1106">
        <f>IFERROR(INDEX(RawBits!$G:$G,MATCH($A1106,RawBits!$H:$H,0)),"")</f>
        <v/>
      </c>
      <c r="D1106">
        <f>IFERROR(IF(AND(A1106&gt;=129,A1106&lt;=2176),INDEX(Fields!$B$2:$B$206,MATCH(A1106-129,Fields!$D$2:$D$206,1)),""),"")</f>
        <v/>
      </c>
      <c r="E1106">
        <f>IFERROR(IF(AND(A1106&gt;=129,A1106&lt;=2176),INDEX(Fields!$C$2:$C$206,MATCH(A1106-129,Fields!$D$2:$D$206,1)),""),"")</f>
        <v/>
      </c>
    </row>
    <row r="1107">
      <c r="A1107" t="n">
        <v>1106</v>
      </c>
      <c r="B1107">
        <f>IFERROR(INDEX(RawBits!$A:$A,MATCH($A1107,RawBits!$H:$H,0)),"?")</f>
        <v/>
      </c>
      <c r="C1107">
        <f>IFERROR(INDEX(RawBits!$G:$G,MATCH($A1107,RawBits!$H:$H,0)),"")</f>
        <v/>
      </c>
      <c r="D1107">
        <f>IFERROR(IF(AND(A1107&gt;=129,A1107&lt;=2176),INDEX(Fields!$B$2:$B$206,MATCH(A1107-129,Fields!$D$2:$D$206,1)),""),"")</f>
        <v/>
      </c>
      <c r="E1107">
        <f>IFERROR(IF(AND(A1107&gt;=129,A1107&lt;=2176),INDEX(Fields!$C$2:$C$206,MATCH(A1107-129,Fields!$D$2:$D$206,1)),""),"")</f>
        <v/>
      </c>
    </row>
    <row r="1108">
      <c r="A1108" t="n">
        <v>1107</v>
      </c>
      <c r="B1108">
        <f>IFERROR(INDEX(RawBits!$A:$A,MATCH($A1108,RawBits!$H:$H,0)),"?")</f>
        <v/>
      </c>
      <c r="C1108">
        <f>IFERROR(INDEX(RawBits!$G:$G,MATCH($A1108,RawBits!$H:$H,0)),"")</f>
        <v/>
      </c>
      <c r="D1108">
        <f>IFERROR(IF(AND(A1108&gt;=129,A1108&lt;=2176),INDEX(Fields!$B$2:$B$206,MATCH(A1108-129,Fields!$D$2:$D$206,1)),""),"")</f>
        <v/>
      </c>
      <c r="E1108">
        <f>IFERROR(IF(AND(A1108&gt;=129,A1108&lt;=2176),INDEX(Fields!$C$2:$C$206,MATCH(A1108-129,Fields!$D$2:$D$206,1)),""),"")</f>
        <v/>
      </c>
    </row>
    <row r="1109">
      <c r="A1109" t="n">
        <v>1108</v>
      </c>
      <c r="B1109">
        <f>IFERROR(INDEX(RawBits!$A:$A,MATCH($A1109,RawBits!$H:$H,0)),"?")</f>
        <v/>
      </c>
      <c r="C1109">
        <f>IFERROR(INDEX(RawBits!$G:$G,MATCH($A1109,RawBits!$H:$H,0)),"")</f>
        <v/>
      </c>
      <c r="D1109">
        <f>IFERROR(IF(AND(A1109&gt;=129,A1109&lt;=2176),INDEX(Fields!$B$2:$B$206,MATCH(A1109-129,Fields!$D$2:$D$206,1)),""),"")</f>
        <v/>
      </c>
      <c r="E1109">
        <f>IFERROR(IF(AND(A1109&gt;=129,A1109&lt;=2176),INDEX(Fields!$C$2:$C$206,MATCH(A1109-129,Fields!$D$2:$D$206,1)),""),"")</f>
        <v/>
      </c>
    </row>
    <row r="1110">
      <c r="A1110" t="n">
        <v>1109</v>
      </c>
      <c r="B1110">
        <f>IFERROR(INDEX(RawBits!$A:$A,MATCH($A1110,RawBits!$H:$H,0)),"?")</f>
        <v/>
      </c>
      <c r="C1110">
        <f>IFERROR(INDEX(RawBits!$G:$G,MATCH($A1110,RawBits!$H:$H,0)),"")</f>
        <v/>
      </c>
      <c r="D1110">
        <f>IFERROR(IF(AND(A1110&gt;=129,A1110&lt;=2176),INDEX(Fields!$B$2:$B$206,MATCH(A1110-129,Fields!$D$2:$D$206,1)),""),"")</f>
        <v/>
      </c>
      <c r="E1110">
        <f>IFERROR(IF(AND(A1110&gt;=129,A1110&lt;=2176),INDEX(Fields!$C$2:$C$206,MATCH(A1110-129,Fields!$D$2:$D$206,1)),""),"")</f>
        <v/>
      </c>
    </row>
    <row r="1111">
      <c r="A1111" t="n">
        <v>1110</v>
      </c>
      <c r="B1111">
        <f>IFERROR(INDEX(RawBits!$A:$A,MATCH($A1111,RawBits!$H:$H,0)),"?")</f>
        <v/>
      </c>
      <c r="C1111">
        <f>IFERROR(INDEX(RawBits!$G:$G,MATCH($A1111,RawBits!$H:$H,0)),"")</f>
        <v/>
      </c>
      <c r="D1111">
        <f>IFERROR(IF(AND(A1111&gt;=129,A1111&lt;=2176),INDEX(Fields!$B$2:$B$206,MATCH(A1111-129,Fields!$D$2:$D$206,1)),""),"")</f>
        <v/>
      </c>
      <c r="E1111">
        <f>IFERROR(IF(AND(A1111&gt;=129,A1111&lt;=2176),INDEX(Fields!$C$2:$C$206,MATCH(A1111-129,Fields!$D$2:$D$206,1)),""),"")</f>
        <v/>
      </c>
    </row>
    <row r="1112">
      <c r="A1112" t="n">
        <v>1111</v>
      </c>
      <c r="B1112">
        <f>IFERROR(INDEX(RawBits!$A:$A,MATCH($A1112,RawBits!$H:$H,0)),"?")</f>
        <v/>
      </c>
      <c r="C1112">
        <f>IFERROR(INDEX(RawBits!$G:$G,MATCH($A1112,RawBits!$H:$H,0)),"")</f>
        <v/>
      </c>
      <c r="D1112">
        <f>IFERROR(IF(AND(A1112&gt;=129,A1112&lt;=2176),INDEX(Fields!$B$2:$B$206,MATCH(A1112-129,Fields!$D$2:$D$206,1)),""),"")</f>
        <v/>
      </c>
      <c r="E1112">
        <f>IFERROR(IF(AND(A1112&gt;=129,A1112&lt;=2176),INDEX(Fields!$C$2:$C$206,MATCH(A1112-129,Fields!$D$2:$D$206,1)),""),"")</f>
        <v/>
      </c>
    </row>
    <row r="1113">
      <c r="A1113" t="n">
        <v>1112</v>
      </c>
      <c r="B1113">
        <f>IFERROR(INDEX(RawBits!$A:$A,MATCH($A1113,RawBits!$H:$H,0)),"?")</f>
        <v/>
      </c>
      <c r="C1113">
        <f>IFERROR(INDEX(RawBits!$G:$G,MATCH($A1113,RawBits!$H:$H,0)),"")</f>
        <v/>
      </c>
      <c r="D1113">
        <f>IFERROR(IF(AND(A1113&gt;=129,A1113&lt;=2176),INDEX(Fields!$B$2:$B$206,MATCH(A1113-129,Fields!$D$2:$D$206,1)),""),"")</f>
        <v/>
      </c>
      <c r="E1113">
        <f>IFERROR(IF(AND(A1113&gt;=129,A1113&lt;=2176),INDEX(Fields!$C$2:$C$206,MATCH(A1113-129,Fields!$D$2:$D$206,1)),""),"")</f>
        <v/>
      </c>
    </row>
    <row r="1114">
      <c r="A1114" t="n">
        <v>1113</v>
      </c>
      <c r="B1114">
        <f>IFERROR(INDEX(RawBits!$A:$A,MATCH($A1114,RawBits!$H:$H,0)),"?")</f>
        <v/>
      </c>
      <c r="C1114">
        <f>IFERROR(INDEX(RawBits!$G:$G,MATCH($A1114,RawBits!$H:$H,0)),"")</f>
        <v/>
      </c>
      <c r="D1114">
        <f>IFERROR(IF(AND(A1114&gt;=129,A1114&lt;=2176),INDEX(Fields!$B$2:$B$206,MATCH(A1114-129,Fields!$D$2:$D$206,1)),""),"")</f>
        <v/>
      </c>
      <c r="E1114">
        <f>IFERROR(IF(AND(A1114&gt;=129,A1114&lt;=2176),INDEX(Fields!$C$2:$C$206,MATCH(A1114-129,Fields!$D$2:$D$206,1)),""),"")</f>
        <v/>
      </c>
    </row>
    <row r="1115">
      <c r="A1115" t="n">
        <v>1114</v>
      </c>
      <c r="B1115">
        <f>IFERROR(INDEX(RawBits!$A:$A,MATCH($A1115,RawBits!$H:$H,0)),"?")</f>
        <v/>
      </c>
      <c r="C1115">
        <f>IFERROR(INDEX(RawBits!$G:$G,MATCH($A1115,RawBits!$H:$H,0)),"")</f>
        <v/>
      </c>
      <c r="D1115">
        <f>IFERROR(IF(AND(A1115&gt;=129,A1115&lt;=2176),INDEX(Fields!$B$2:$B$206,MATCH(A1115-129,Fields!$D$2:$D$206,1)),""),"")</f>
        <v/>
      </c>
      <c r="E1115">
        <f>IFERROR(IF(AND(A1115&gt;=129,A1115&lt;=2176),INDEX(Fields!$C$2:$C$206,MATCH(A1115-129,Fields!$D$2:$D$206,1)),""),"")</f>
        <v/>
      </c>
    </row>
    <row r="1116">
      <c r="A1116" t="n">
        <v>1115</v>
      </c>
      <c r="B1116">
        <f>IFERROR(INDEX(RawBits!$A:$A,MATCH($A1116,RawBits!$H:$H,0)),"?")</f>
        <v/>
      </c>
      <c r="C1116">
        <f>IFERROR(INDEX(RawBits!$G:$G,MATCH($A1116,RawBits!$H:$H,0)),"")</f>
        <v/>
      </c>
      <c r="D1116">
        <f>IFERROR(IF(AND(A1116&gt;=129,A1116&lt;=2176),INDEX(Fields!$B$2:$B$206,MATCH(A1116-129,Fields!$D$2:$D$206,1)),""),"")</f>
        <v/>
      </c>
      <c r="E1116">
        <f>IFERROR(IF(AND(A1116&gt;=129,A1116&lt;=2176),INDEX(Fields!$C$2:$C$206,MATCH(A1116-129,Fields!$D$2:$D$206,1)),""),"")</f>
        <v/>
      </c>
    </row>
    <row r="1117">
      <c r="A1117" t="n">
        <v>1116</v>
      </c>
      <c r="B1117">
        <f>IFERROR(INDEX(RawBits!$A:$A,MATCH($A1117,RawBits!$H:$H,0)),"?")</f>
        <v/>
      </c>
      <c r="C1117">
        <f>IFERROR(INDEX(RawBits!$G:$G,MATCH($A1117,RawBits!$H:$H,0)),"")</f>
        <v/>
      </c>
      <c r="D1117">
        <f>IFERROR(IF(AND(A1117&gt;=129,A1117&lt;=2176),INDEX(Fields!$B$2:$B$206,MATCH(A1117-129,Fields!$D$2:$D$206,1)),""),"")</f>
        <v/>
      </c>
      <c r="E1117">
        <f>IFERROR(IF(AND(A1117&gt;=129,A1117&lt;=2176),INDEX(Fields!$C$2:$C$206,MATCH(A1117-129,Fields!$D$2:$D$206,1)),""),"")</f>
        <v/>
      </c>
    </row>
    <row r="1118">
      <c r="A1118" t="n">
        <v>1117</v>
      </c>
      <c r="B1118">
        <f>IFERROR(INDEX(RawBits!$A:$A,MATCH($A1118,RawBits!$H:$H,0)),"?")</f>
        <v/>
      </c>
      <c r="C1118">
        <f>IFERROR(INDEX(RawBits!$G:$G,MATCH($A1118,RawBits!$H:$H,0)),"")</f>
        <v/>
      </c>
      <c r="D1118">
        <f>IFERROR(IF(AND(A1118&gt;=129,A1118&lt;=2176),INDEX(Fields!$B$2:$B$206,MATCH(A1118-129,Fields!$D$2:$D$206,1)),""),"")</f>
        <v/>
      </c>
      <c r="E1118">
        <f>IFERROR(IF(AND(A1118&gt;=129,A1118&lt;=2176),INDEX(Fields!$C$2:$C$206,MATCH(A1118-129,Fields!$D$2:$D$206,1)),""),"")</f>
        <v/>
      </c>
    </row>
    <row r="1119">
      <c r="A1119" t="n">
        <v>1118</v>
      </c>
      <c r="B1119">
        <f>IFERROR(INDEX(RawBits!$A:$A,MATCH($A1119,RawBits!$H:$H,0)),"?")</f>
        <v/>
      </c>
      <c r="C1119">
        <f>IFERROR(INDEX(RawBits!$G:$G,MATCH($A1119,RawBits!$H:$H,0)),"")</f>
        <v/>
      </c>
      <c r="D1119">
        <f>IFERROR(IF(AND(A1119&gt;=129,A1119&lt;=2176),INDEX(Fields!$B$2:$B$206,MATCH(A1119-129,Fields!$D$2:$D$206,1)),""),"")</f>
        <v/>
      </c>
      <c r="E1119">
        <f>IFERROR(IF(AND(A1119&gt;=129,A1119&lt;=2176),INDEX(Fields!$C$2:$C$206,MATCH(A1119-129,Fields!$D$2:$D$206,1)),""),"")</f>
        <v/>
      </c>
    </row>
    <row r="1120">
      <c r="A1120" t="n">
        <v>1119</v>
      </c>
      <c r="B1120">
        <f>IFERROR(INDEX(RawBits!$A:$A,MATCH($A1120,RawBits!$H:$H,0)),"?")</f>
        <v/>
      </c>
      <c r="C1120">
        <f>IFERROR(INDEX(RawBits!$G:$G,MATCH($A1120,RawBits!$H:$H,0)),"")</f>
        <v/>
      </c>
      <c r="D1120">
        <f>IFERROR(IF(AND(A1120&gt;=129,A1120&lt;=2176),INDEX(Fields!$B$2:$B$206,MATCH(A1120-129,Fields!$D$2:$D$206,1)),""),"")</f>
        <v/>
      </c>
      <c r="E1120">
        <f>IFERROR(IF(AND(A1120&gt;=129,A1120&lt;=2176),INDEX(Fields!$C$2:$C$206,MATCH(A1120-129,Fields!$D$2:$D$206,1)),""),"")</f>
        <v/>
      </c>
    </row>
    <row r="1121">
      <c r="A1121" t="n">
        <v>1120</v>
      </c>
      <c r="B1121">
        <f>IFERROR(INDEX(RawBits!$A:$A,MATCH($A1121,RawBits!$H:$H,0)),"?")</f>
        <v/>
      </c>
      <c r="C1121">
        <f>IFERROR(INDEX(RawBits!$G:$G,MATCH($A1121,RawBits!$H:$H,0)),"")</f>
        <v/>
      </c>
      <c r="D1121">
        <f>IFERROR(IF(AND(A1121&gt;=129,A1121&lt;=2176),INDEX(Fields!$B$2:$B$206,MATCH(A1121-129,Fields!$D$2:$D$206,1)),""),"")</f>
        <v/>
      </c>
      <c r="E1121">
        <f>IFERROR(IF(AND(A1121&gt;=129,A1121&lt;=2176),INDEX(Fields!$C$2:$C$206,MATCH(A1121-129,Fields!$D$2:$D$206,1)),""),"")</f>
        <v/>
      </c>
    </row>
    <row r="1122">
      <c r="A1122" t="n">
        <v>1121</v>
      </c>
      <c r="B1122">
        <f>IFERROR(INDEX(RawBits!$A:$A,MATCH($A1122,RawBits!$H:$H,0)),"?")</f>
        <v/>
      </c>
      <c r="C1122">
        <f>IFERROR(INDEX(RawBits!$G:$G,MATCH($A1122,RawBits!$H:$H,0)),"")</f>
        <v/>
      </c>
      <c r="D1122">
        <f>IFERROR(IF(AND(A1122&gt;=129,A1122&lt;=2176),INDEX(Fields!$B$2:$B$206,MATCH(A1122-129,Fields!$D$2:$D$206,1)),""),"")</f>
        <v/>
      </c>
      <c r="E1122">
        <f>IFERROR(IF(AND(A1122&gt;=129,A1122&lt;=2176),INDEX(Fields!$C$2:$C$206,MATCH(A1122-129,Fields!$D$2:$D$206,1)),""),"")</f>
        <v/>
      </c>
    </row>
    <row r="1123">
      <c r="A1123" t="n">
        <v>1122</v>
      </c>
      <c r="B1123">
        <f>IFERROR(INDEX(RawBits!$A:$A,MATCH($A1123,RawBits!$H:$H,0)),"?")</f>
        <v/>
      </c>
      <c r="C1123">
        <f>IFERROR(INDEX(RawBits!$G:$G,MATCH($A1123,RawBits!$H:$H,0)),"")</f>
        <v/>
      </c>
      <c r="D1123">
        <f>IFERROR(IF(AND(A1123&gt;=129,A1123&lt;=2176),INDEX(Fields!$B$2:$B$206,MATCH(A1123-129,Fields!$D$2:$D$206,1)),""),"")</f>
        <v/>
      </c>
      <c r="E1123">
        <f>IFERROR(IF(AND(A1123&gt;=129,A1123&lt;=2176),INDEX(Fields!$C$2:$C$206,MATCH(A1123-129,Fields!$D$2:$D$206,1)),""),"")</f>
        <v/>
      </c>
    </row>
    <row r="1124">
      <c r="A1124" t="n">
        <v>1123</v>
      </c>
      <c r="B1124">
        <f>IFERROR(INDEX(RawBits!$A:$A,MATCH($A1124,RawBits!$H:$H,0)),"?")</f>
        <v/>
      </c>
      <c r="C1124">
        <f>IFERROR(INDEX(RawBits!$G:$G,MATCH($A1124,RawBits!$H:$H,0)),"")</f>
        <v/>
      </c>
      <c r="D1124">
        <f>IFERROR(IF(AND(A1124&gt;=129,A1124&lt;=2176),INDEX(Fields!$B$2:$B$206,MATCH(A1124-129,Fields!$D$2:$D$206,1)),""),"")</f>
        <v/>
      </c>
      <c r="E1124">
        <f>IFERROR(IF(AND(A1124&gt;=129,A1124&lt;=2176),INDEX(Fields!$C$2:$C$206,MATCH(A1124-129,Fields!$D$2:$D$206,1)),""),"")</f>
        <v/>
      </c>
    </row>
    <row r="1125">
      <c r="A1125" t="n">
        <v>1124</v>
      </c>
      <c r="B1125">
        <f>IFERROR(INDEX(RawBits!$A:$A,MATCH($A1125,RawBits!$H:$H,0)),"?")</f>
        <v/>
      </c>
      <c r="C1125">
        <f>IFERROR(INDEX(RawBits!$G:$G,MATCH($A1125,RawBits!$H:$H,0)),"")</f>
        <v/>
      </c>
      <c r="D1125">
        <f>IFERROR(IF(AND(A1125&gt;=129,A1125&lt;=2176),INDEX(Fields!$B$2:$B$206,MATCH(A1125-129,Fields!$D$2:$D$206,1)),""),"")</f>
        <v/>
      </c>
      <c r="E1125">
        <f>IFERROR(IF(AND(A1125&gt;=129,A1125&lt;=2176),INDEX(Fields!$C$2:$C$206,MATCH(A1125-129,Fields!$D$2:$D$206,1)),""),"")</f>
        <v/>
      </c>
    </row>
    <row r="1126">
      <c r="A1126" t="n">
        <v>1125</v>
      </c>
      <c r="B1126">
        <f>IFERROR(INDEX(RawBits!$A:$A,MATCH($A1126,RawBits!$H:$H,0)),"?")</f>
        <v/>
      </c>
      <c r="C1126">
        <f>IFERROR(INDEX(RawBits!$G:$G,MATCH($A1126,RawBits!$H:$H,0)),"")</f>
        <v/>
      </c>
      <c r="D1126">
        <f>IFERROR(IF(AND(A1126&gt;=129,A1126&lt;=2176),INDEX(Fields!$B$2:$B$206,MATCH(A1126-129,Fields!$D$2:$D$206,1)),""),"")</f>
        <v/>
      </c>
      <c r="E1126">
        <f>IFERROR(IF(AND(A1126&gt;=129,A1126&lt;=2176),INDEX(Fields!$C$2:$C$206,MATCH(A1126-129,Fields!$D$2:$D$206,1)),""),"")</f>
        <v/>
      </c>
    </row>
    <row r="1127">
      <c r="A1127" t="n">
        <v>1126</v>
      </c>
      <c r="B1127">
        <f>IFERROR(INDEX(RawBits!$A:$A,MATCH($A1127,RawBits!$H:$H,0)),"?")</f>
        <v/>
      </c>
      <c r="C1127">
        <f>IFERROR(INDEX(RawBits!$G:$G,MATCH($A1127,RawBits!$H:$H,0)),"")</f>
        <v/>
      </c>
      <c r="D1127">
        <f>IFERROR(IF(AND(A1127&gt;=129,A1127&lt;=2176),INDEX(Fields!$B$2:$B$206,MATCH(A1127-129,Fields!$D$2:$D$206,1)),""),"")</f>
        <v/>
      </c>
      <c r="E1127">
        <f>IFERROR(IF(AND(A1127&gt;=129,A1127&lt;=2176),INDEX(Fields!$C$2:$C$206,MATCH(A1127-129,Fields!$D$2:$D$206,1)),""),"")</f>
        <v/>
      </c>
    </row>
    <row r="1128">
      <c r="A1128" t="n">
        <v>1127</v>
      </c>
      <c r="B1128">
        <f>IFERROR(INDEX(RawBits!$A:$A,MATCH($A1128,RawBits!$H:$H,0)),"?")</f>
        <v/>
      </c>
      <c r="C1128">
        <f>IFERROR(INDEX(RawBits!$G:$G,MATCH($A1128,RawBits!$H:$H,0)),"")</f>
        <v/>
      </c>
      <c r="D1128">
        <f>IFERROR(IF(AND(A1128&gt;=129,A1128&lt;=2176),INDEX(Fields!$B$2:$B$206,MATCH(A1128-129,Fields!$D$2:$D$206,1)),""),"")</f>
        <v/>
      </c>
      <c r="E1128">
        <f>IFERROR(IF(AND(A1128&gt;=129,A1128&lt;=2176),INDEX(Fields!$C$2:$C$206,MATCH(A1128-129,Fields!$D$2:$D$206,1)),""),"")</f>
        <v/>
      </c>
    </row>
    <row r="1129">
      <c r="A1129" t="n">
        <v>1128</v>
      </c>
      <c r="B1129">
        <f>IFERROR(INDEX(RawBits!$A:$A,MATCH($A1129,RawBits!$H:$H,0)),"?")</f>
        <v/>
      </c>
      <c r="C1129">
        <f>IFERROR(INDEX(RawBits!$G:$G,MATCH($A1129,RawBits!$H:$H,0)),"")</f>
        <v/>
      </c>
      <c r="D1129">
        <f>IFERROR(IF(AND(A1129&gt;=129,A1129&lt;=2176),INDEX(Fields!$B$2:$B$206,MATCH(A1129-129,Fields!$D$2:$D$206,1)),""),"")</f>
        <v/>
      </c>
      <c r="E1129">
        <f>IFERROR(IF(AND(A1129&gt;=129,A1129&lt;=2176),INDEX(Fields!$C$2:$C$206,MATCH(A1129-129,Fields!$D$2:$D$206,1)),""),"")</f>
        <v/>
      </c>
    </row>
    <row r="1130">
      <c r="A1130" t="n">
        <v>1129</v>
      </c>
      <c r="B1130">
        <f>IFERROR(INDEX(RawBits!$A:$A,MATCH($A1130,RawBits!$H:$H,0)),"?")</f>
        <v/>
      </c>
      <c r="C1130">
        <f>IFERROR(INDEX(RawBits!$G:$G,MATCH($A1130,RawBits!$H:$H,0)),"")</f>
        <v/>
      </c>
      <c r="D1130">
        <f>IFERROR(IF(AND(A1130&gt;=129,A1130&lt;=2176),INDEX(Fields!$B$2:$B$206,MATCH(A1130-129,Fields!$D$2:$D$206,1)),""),"")</f>
        <v/>
      </c>
      <c r="E1130">
        <f>IFERROR(IF(AND(A1130&gt;=129,A1130&lt;=2176),INDEX(Fields!$C$2:$C$206,MATCH(A1130-129,Fields!$D$2:$D$206,1)),""),"")</f>
        <v/>
      </c>
    </row>
    <row r="1131">
      <c r="A1131" t="n">
        <v>1130</v>
      </c>
      <c r="B1131">
        <f>IFERROR(INDEX(RawBits!$A:$A,MATCH($A1131,RawBits!$H:$H,0)),"?")</f>
        <v/>
      </c>
      <c r="C1131">
        <f>IFERROR(INDEX(RawBits!$G:$G,MATCH($A1131,RawBits!$H:$H,0)),"")</f>
        <v/>
      </c>
      <c r="D1131">
        <f>IFERROR(IF(AND(A1131&gt;=129,A1131&lt;=2176),INDEX(Fields!$B$2:$B$206,MATCH(A1131-129,Fields!$D$2:$D$206,1)),""),"")</f>
        <v/>
      </c>
      <c r="E1131">
        <f>IFERROR(IF(AND(A1131&gt;=129,A1131&lt;=2176),INDEX(Fields!$C$2:$C$206,MATCH(A1131-129,Fields!$D$2:$D$206,1)),""),"")</f>
        <v/>
      </c>
    </row>
    <row r="1132">
      <c r="A1132" t="n">
        <v>1131</v>
      </c>
      <c r="B1132">
        <f>IFERROR(INDEX(RawBits!$A:$A,MATCH($A1132,RawBits!$H:$H,0)),"?")</f>
        <v/>
      </c>
      <c r="C1132">
        <f>IFERROR(INDEX(RawBits!$G:$G,MATCH($A1132,RawBits!$H:$H,0)),"")</f>
        <v/>
      </c>
      <c r="D1132">
        <f>IFERROR(IF(AND(A1132&gt;=129,A1132&lt;=2176),INDEX(Fields!$B$2:$B$206,MATCH(A1132-129,Fields!$D$2:$D$206,1)),""),"")</f>
        <v/>
      </c>
      <c r="E1132">
        <f>IFERROR(IF(AND(A1132&gt;=129,A1132&lt;=2176),INDEX(Fields!$C$2:$C$206,MATCH(A1132-129,Fields!$D$2:$D$206,1)),""),"")</f>
        <v/>
      </c>
    </row>
    <row r="1133">
      <c r="A1133" t="n">
        <v>1132</v>
      </c>
      <c r="B1133">
        <f>IFERROR(INDEX(RawBits!$A:$A,MATCH($A1133,RawBits!$H:$H,0)),"?")</f>
        <v/>
      </c>
      <c r="C1133">
        <f>IFERROR(INDEX(RawBits!$G:$G,MATCH($A1133,RawBits!$H:$H,0)),"")</f>
        <v/>
      </c>
      <c r="D1133">
        <f>IFERROR(IF(AND(A1133&gt;=129,A1133&lt;=2176),INDEX(Fields!$B$2:$B$206,MATCH(A1133-129,Fields!$D$2:$D$206,1)),""),"")</f>
        <v/>
      </c>
      <c r="E1133">
        <f>IFERROR(IF(AND(A1133&gt;=129,A1133&lt;=2176),INDEX(Fields!$C$2:$C$206,MATCH(A1133-129,Fields!$D$2:$D$206,1)),""),"")</f>
        <v/>
      </c>
    </row>
    <row r="1134">
      <c r="A1134" t="n">
        <v>1133</v>
      </c>
      <c r="B1134">
        <f>IFERROR(INDEX(RawBits!$A:$A,MATCH($A1134,RawBits!$H:$H,0)),"?")</f>
        <v/>
      </c>
      <c r="C1134">
        <f>IFERROR(INDEX(RawBits!$G:$G,MATCH($A1134,RawBits!$H:$H,0)),"")</f>
        <v/>
      </c>
      <c r="D1134">
        <f>IFERROR(IF(AND(A1134&gt;=129,A1134&lt;=2176),INDEX(Fields!$B$2:$B$206,MATCH(A1134-129,Fields!$D$2:$D$206,1)),""),"")</f>
        <v/>
      </c>
      <c r="E1134">
        <f>IFERROR(IF(AND(A1134&gt;=129,A1134&lt;=2176),INDEX(Fields!$C$2:$C$206,MATCH(A1134-129,Fields!$D$2:$D$206,1)),""),"")</f>
        <v/>
      </c>
    </row>
    <row r="1135">
      <c r="A1135" t="n">
        <v>1134</v>
      </c>
      <c r="B1135">
        <f>IFERROR(INDEX(RawBits!$A:$A,MATCH($A1135,RawBits!$H:$H,0)),"?")</f>
        <v/>
      </c>
      <c r="C1135">
        <f>IFERROR(INDEX(RawBits!$G:$G,MATCH($A1135,RawBits!$H:$H,0)),"")</f>
        <v/>
      </c>
      <c r="D1135">
        <f>IFERROR(IF(AND(A1135&gt;=129,A1135&lt;=2176),INDEX(Fields!$B$2:$B$206,MATCH(A1135-129,Fields!$D$2:$D$206,1)),""),"")</f>
        <v/>
      </c>
      <c r="E1135">
        <f>IFERROR(IF(AND(A1135&gt;=129,A1135&lt;=2176),INDEX(Fields!$C$2:$C$206,MATCH(A1135-129,Fields!$D$2:$D$206,1)),""),"")</f>
        <v/>
      </c>
    </row>
    <row r="1136">
      <c r="A1136" t="n">
        <v>1135</v>
      </c>
      <c r="B1136">
        <f>IFERROR(INDEX(RawBits!$A:$A,MATCH($A1136,RawBits!$H:$H,0)),"?")</f>
        <v/>
      </c>
      <c r="C1136">
        <f>IFERROR(INDEX(RawBits!$G:$G,MATCH($A1136,RawBits!$H:$H,0)),"")</f>
        <v/>
      </c>
      <c r="D1136">
        <f>IFERROR(IF(AND(A1136&gt;=129,A1136&lt;=2176),INDEX(Fields!$B$2:$B$206,MATCH(A1136-129,Fields!$D$2:$D$206,1)),""),"")</f>
        <v/>
      </c>
      <c r="E1136">
        <f>IFERROR(IF(AND(A1136&gt;=129,A1136&lt;=2176),INDEX(Fields!$C$2:$C$206,MATCH(A1136-129,Fields!$D$2:$D$206,1)),""),"")</f>
        <v/>
      </c>
    </row>
    <row r="1137">
      <c r="A1137" t="n">
        <v>1136</v>
      </c>
      <c r="B1137">
        <f>IFERROR(INDEX(RawBits!$A:$A,MATCH($A1137,RawBits!$H:$H,0)),"?")</f>
        <v/>
      </c>
      <c r="C1137">
        <f>IFERROR(INDEX(RawBits!$G:$G,MATCH($A1137,RawBits!$H:$H,0)),"")</f>
        <v/>
      </c>
      <c r="D1137">
        <f>IFERROR(IF(AND(A1137&gt;=129,A1137&lt;=2176),INDEX(Fields!$B$2:$B$206,MATCH(A1137-129,Fields!$D$2:$D$206,1)),""),"")</f>
        <v/>
      </c>
      <c r="E1137">
        <f>IFERROR(IF(AND(A1137&gt;=129,A1137&lt;=2176),INDEX(Fields!$C$2:$C$206,MATCH(A1137-129,Fields!$D$2:$D$206,1)),""),"")</f>
        <v/>
      </c>
    </row>
    <row r="1138">
      <c r="A1138" t="n">
        <v>1137</v>
      </c>
      <c r="B1138">
        <f>IFERROR(INDEX(RawBits!$A:$A,MATCH($A1138,RawBits!$H:$H,0)),"?")</f>
        <v/>
      </c>
      <c r="C1138">
        <f>IFERROR(INDEX(RawBits!$G:$G,MATCH($A1138,RawBits!$H:$H,0)),"")</f>
        <v/>
      </c>
      <c r="D1138">
        <f>IFERROR(IF(AND(A1138&gt;=129,A1138&lt;=2176),INDEX(Fields!$B$2:$B$206,MATCH(A1138-129,Fields!$D$2:$D$206,1)),""),"")</f>
        <v/>
      </c>
      <c r="E1138">
        <f>IFERROR(IF(AND(A1138&gt;=129,A1138&lt;=2176),INDEX(Fields!$C$2:$C$206,MATCH(A1138-129,Fields!$D$2:$D$206,1)),""),"")</f>
        <v/>
      </c>
    </row>
    <row r="1139">
      <c r="A1139" t="n">
        <v>1138</v>
      </c>
      <c r="B1139">
        <f>IFERROR(INDEX(RawBits!$A:$A,MATCH($A1139,RawBits!$H:$H,0)),"?")</f>
        <v/>
      </c>
      <c r="C1139">
        <f>IFERROR(INDEX(RawBits!$G:$G,MATCH($A1139,RawBits!$H:$H,0)),"")</f>
        <v/>
      </c>
      <c r="D1139">
        <f>IFERROR(IF(AND(A1139&gt;=129,A1139&lt;=2176),INDEX(Fields!$B$2:$B$206,MATCH(A1139-129,Fields!$D$2:$D$206,1)),""),"")</f>
        <v/>
      </c>
      <c r="E1139">
        <f>IFERROR(IF(AND(A1139&gt;=129,A1139&lt;=2176),INDEX(Fields!$C$2:$C$206,MATCH(A1139-129,Fields!$D$2:$D$206,1)),""),"")</f>
        <v/>
      </c>
    </row>
    <row r="1140">
      <c r="A1140" t="n">
        <v>1139</v>
      </c>
      <c r="B1140">
        <f>IFERROR(INDEX(RawBits!$A:$A,MATCH($A1140,RawBits!$H:$H,0)),"?")</f>
        <v/>
      </c>
      <c r="C1140">
        <f>IFERROR(INDEX(RawBits!$G:$G,MATCH($A1140,RawBits!$H:$H,0)),"")</f>
        <v/>
      </c>
      <c r="D1140">
        <f>IFERROR(IF(AND(A1140&gt;=129,A1140&lt;=2176),INDEX(Fields!$B$2:$B$206,MATCH(A1140-129,Fields!$D$2:$D$206,1)),""),"")</f>
        <v/>
      </c>
      <c r="E1140">
        <f>IFERROR(IF(AND(A1140&gt;=129,A1140&lt;=2176),INDEX(Fields!$C$2:$C$206,MATCH(A1140-129,Fields!$D$2:$D$206,1)),""),"")</f>
        <v/>
      </c>
    </row>
    <row r="1141">
      <c r="A1141" t="n">
        <v>1140</v>
      </c>
      <c r="B1141">
        <f>IFERROR(INDEX(RawBits!$A:$A,MATCH($A1141,RawBits!$H:$H,0)),"?")</f>
        <v/>
      </c>
      <c r="C1141">
        <f>IFERROR(INDEX(RawBits!$G:$G,MATCH($A1141,RawBits!$H:$H,0)),"")</f>
        <v/>
      </c>
      <c r="D1141">
        <f>IFERROR(IF(AND(A1141&gt;=129,A1141&lt;=2176),INDEX(Fields!$B$2:$B$206,MATCH(A1141-129,Fields!$D$2:$D$206,1)),""),"")</f>
        <v/>
      </c>
      <c r="E1141">
        <f>IFERROR(IF(AND(A1141&gt;=129,A1141&lt;=2176),INDEX(Fields!$C$2:$C$206,MATCH(A1141-129,Fields!$D$2:$D$206,1)),""),"")</f>
        <v/>
      </c>
    </row>
    <row r="1142">
      <c r="A1142" t="n">
        <v>1141</v>
      </c>
      <c r="B1142">
        <f>IFERROR(INDEX(RawBits!$A:$A,MATCH($A1142,RawBits!$H:$H,0)),"?")</f>
        <v/>
      </c>
      <c r="C1142">
        <f>IFERROR(INDEX(RawBits!$G:$G,MATCH($A1142,RawBits!$H:$H,0)),"")</f>
        <v/>
      </c>
      <c r="D1142">
        <f>IFERROR(IF(AND(A1142&gt;=129,A1142&lt;=2176),INDEX(Fields!$B$2:$B$206,MATCH(A1142-129,Fields!$D$2:$D$206,1)),""),"")</f>
        <v/>
      </c>
      <c r="E1142">
        <f>IFERROR(IF(AND(A1142&gt;=129,A1142&lt;=2176),INDEX(Fields!$C$2:$C$206,MATCH(A1142-129,Fields!$D$2:$D$206,1)),""),"")</f>
        <v/>
      </c>
    </row>
    <row r="1143">
      <c r="A1143" t="n">
        <v>1142</v>
      </c>
      <c r="B1143">
        <f>IFERROR(INDEX(RawBits!$A:$A,MATCH($A1143,RawBits!$H:$H,0)),"?")</f>
        <v/>
      </c>
      <c r="C1143">
        <f>IFERROR(INDEX(RawBits!$G:$G,MATCH($A1143,RawBits!$H:$H,0)),"")</f>
        <v/>
      </c>
      <c r="D1143">
        <f>IFERROR(IF(AND(A1143&gt;=129,A1143&lt;=2176),INDEX(Fields!$B$2:$B$206,MATCH(A1143-129,Fields!$D$2:$D$206,1)),""),"")</f>
        <v/>
      </c>
      <c r="E1143">
        <f>IFERROR(IF(AND(A1143&gt;=129,A1143&lt;=2176),INDEX(Fields!$C$2:$C$206,MATCH(A1143-129,Fields!$D$2:$D$206,1)),""),"")</f>
        <v/>
      </c>
    </row>
    <row r="1144">
      <c r="A1144" t="n">
        <v>1143</v>
      </c>
      <c r="B1144">
        <f>IFERROR(INDEX(RawBits!$A:$A,MATCH($A1144,RawBits!$H:$H,0)),"?")</f>
        <v/>
      </c>
      <c r="C1144">
        <f>IFERROR(INDEX(RawBits!$G:$G,MATCH($A1144,RawBits!$H:$H,0)),"")</f>
        <v/>
      </c>
      <c r="D1144">
        <f>IFERROR(IF(AND(A1144&gt;=129,A1144&lt;=2176),INDEX(Fields!$B$2:$B$206,MATCH(A1144-129,Fields!$D$2:$D$206,1)),""),"")</f>
        <v/>
      </c>
      <c r="E1144">
        <f>IFERROR(IF(AND(A1144&gt;=129,A1144&lt;=2176),INDEX(Fields!$C$2:$C$206,MATCH(A1144-129,Fields!$D$2:$D$206,1)),""),"")</f>
        <v/>
      </c>
    </row>
    <row r="1145">
      <c r="A1145" t="n">
        <v>1144</v>
      </c>
      <c r="B1145">
        <f>IFERROR(INDEX(RawBits!$A:$A,MATCH($A1145,RawBits!$H:$H,0)),"?")</f>
        <v/>
      </c>
      <c r="C1145">
        <f>IFERROR(INDEX(RawBits!$G:$G,MATCH($A1145,RawBits!$H:$H,0)),"")</f>
        <v/>
      </c>
      <c r="D1145">
        <f>IFERROR(IF(AND(A1145&gt;=129,A1145&lt;=2176),INDEX(Fields!$B$2:$B$206,MATCH(A1145-129,Fields!$D$2:$D$206,1)),""),"")</f>
        <v/>
      </c>
      <c r="E1145">
        <f>IFERROR(IF(AND(A1145&gt;=129,A1145&lt;=2176),INDEX(Fields!$C$2:$C$206,MATCH(A1145-129,Fields!$D$2:$D$206,1)),""),"")</f>
        <v/>
      </c>
    </row>
    <row r="1146">
      <c r="A1146" t="n">
        <v>1145</v>
      </c>
      <c r="B1146">
        <f>IFERROR(INDEX(RawBits!$A:$A,MATCH($A1146,RawBits!$H:$H,0)),"?")</f>
        <v/>
      </c>
      <c r="C1146">
        <f>IFERROR(INDEX(RawBits!$G:$G,MATCH($A1146,RawBits!$H:$H,0)),"")</f>
        <v/>
      </c>
      <c r="D1146">
        <f>IFERROR(IF(AND(A1146&gt;=129,A1146&lt;=2176),INDEX(Fields!$B$2:$B$206,MATCH(A1146-129,Fields!$D$2:$D$206,1)),""),"")</f>
        <v/>
      </c>
      <c r="E1146">
        <f>IFERROR(IF(AND(A1146&gt;=129,A1146&lt;=2176),INDEX(Fields!$C$2:$C$206,MATCH(A1146-129,Fields!$D$2:$D$206,1)),""),"")</f>
        <v/>
      </c>
    </row>
    <row r="1147">
      <c r="A1147" t="n">
        <v>1146</v>
      </c>
      <c r="B1147">
        <f>IFERROR(INDEX(RawBits!$A:$A,MATCH($A1147,RawBits!$H:$H,0)),"?")</f>
        <v/>
      </c>
      <c r="C1147">
        <f>IFERROR(INDEX(RawBits!$G:$G,MATCH($A1147,RawBits!$H:$H,0)),"")</f>
        <v/>
      </c>
      <c r="D1147">
        <f>IFERROR(IF(AND(A1147&gt;=129,A1147&lt;=2176),INDEX(Fields!$B$2:$B$206,MATCH(A1147-129,Fields!$D$2:$D$206,1)),""),"")</f>
        <v/>
      </c>
      <c r="E1147">
        <f>IFERROR(IF(AND(A1147&gt;=129,A1147&lt;=2176),INDEX(Fields!$C$2:$C$206,MATCH(A1147-129,Fields!$D$2:$D$206,1)),""),"")</f>
        <v/>
      </c>
    </row>
    <row r="1148">
      <c r="A1148" t="n">
        <v>1147</v>
      </c>
      <c r="B1148">
        <f>IFERROR(INDEX(RawBits!$A:$A,MATCH($A1148,RawBits!$H:$H,0)),"?")</f>
        <v/>
      </c>
      <c r="C1148">
        <f>IFERROR(INDEX(RawBits!$G:$G,MATCH($A1148,RawBits!$H:$H,0)),"")</f>
        <v/>
      </c>
      <c r="D1148">
        <f>IFERROR(IF(AND(A1148&gt;=129,A1148&lt;=2176),INDEX(Fields!$B$2:$B$206,MATCH(A1148-129,Fields!$D$2:$D$206,1)),""),"")</f>
        <v/>
      </c>
      <c r="E1148">
        <f>IFERROR(IF(AND(A1148&gt;=129,A1148&lt;=2176),INDEX(Fields!$C$2:$C$206,MATCH(A1148-129,Fields!$D$2:$D$206,1)),""),"")</f>
        <v/>
      </c>
    </row>
    <row r="1149">
      <c r="A1149" t="n">
        <v>1148</v>
      </c>
      <c r="B1149">
        <f>IFERROR(INDEX(RawBits!$A:$A,MATCH($A1149,RawBits!$H:$H,0)),"?")</f>
        <v/>
      </c>
      <c r="C1149">
        <f>IFERROR(INDEX(RawBits!$G:$G,MATCH($A1149,RawBits!$H:$H,0)),"")</f>
        <v/>
      </c>
      <c r="D1149">
        <f>IFERROR(IF(AND(A1149&gt;=129,A1149&lt;=2176),INDEX(Fields!$B$2:$B$206,MATCH(A1149-129,Fields!$D$2:$D$206,1)),""),"")</f>
        <v/>
      </c>
      <c r="E1149">
        <f>IFERROR(IF(AND(A1149&gt;=129,A1149&lt;=2176),INDEX(Fields!$C$2:$C$206,MATCH(A1149-129,Fields!$D$2:$D$206,1)),""),"")</f>
        <v/>
      </c>
    </row>
    <row r="1150">
      <c r="A1150" t="n">
        <v>1149</v>
      </c>
      <c r="B1150">
        <f>IFERROR(INDEX(RawBits!$A:$A,MATCH($A1150,RawBits!$H:$H,0)),"?")</f>
        <v/>
      </c>
      <c r="C1150">
        <f>IFERROR(INDEX(RawBits!$G:$G,MATCH($A1150,RawBits!$H:$H,0)),"")</f>
        <v/>
      </c>
      <c r="D1150">
        <f>IFERROR(IF(AND(A1150&gt;=129,A1150&lt;=2176),INDEX(Fields!$B$2:$B$206,MATCH(A1150-129,Fields!$D$2:$D$206,1)),""),"")</f>
        <v/>
      </c>
      <c r="E1150">
        <f>IFERROR(IF(AND(A1150&gt;=129,A1150&lt;=2176),INDEX(Fields!$C$2:$C$206,MATCH(A1150-129,Fields!$D$2:$D$206,1)),""),"")</f>
        <v/>
      </c>
    </row>
    <row r="1151">
      <c r="A1151" t="n">
        <v>1150</v>
      </c>
      <c r="B1151">
        <f>IFERROR(INDEX(RawBits!$A:$A,MATCH($A1151,RawBits!$H:$H,0)),"?")</f>
        <v/>
      </c>
      <c r="C1151">
        <f>IFERROR(INDEX(RawBits!$G:$G,MATCH($A1151,RawBits!$H:$H,0)),"")</f>
        <v/>
      </c>
      <c r="D1151">
        <f>IFERROR(IF(AND(A1151&gt;=129,A1151&lt;=2176),INDEX(Fields!$B$2:$B$206,MATCH(A1151-129,Fields!$D$2:$D$206,1)),""),"")</f>
        <v/>
      </c>
      <c r="E1151">
        <f>IFERROR(IF(AND(A1151&gt;=129,A1151&lt;=2176),INDEX(Fields!$C$2:$C$206,MATCH(A1151-129,Fields!$D$2:$D$206,1)),""),"")</f>
        <v/>
      </c>
    </row>
    <row r="1152">
      <c r="A1152" t="n">
        <v>1151</v>
      </c>
      <c r="B1152">
        <f>IFERROR(INDEX(RawBits!$A:$A,MATCH($A1152,RawBits!$H:$H,0)),"?")</f>
        <v/>
      </c>
      <c r="C1152">
        <f>IFERROR(INDEX(RawBits!$G:$G,MATCH($A1152,RawBits!$H:$H,0)),"")</f>
        <v/>
      </c>
      <c r="D1152">
        <f>IFERROR(IF(AND(A1152&gt;=129,A1152&lt;=2176),INDEX(Fields!$B$2:$B$206,MATCH(A1152-129,Fields!$D$2:$D$206,1)),""),"")</f>
        <v/>
      </c>
      <c r="E1152">
        <f>IFERROR(IF(AND(A1152&gt;=129,A1152&lt;=2176),INDEX(Fields!$C$2:$C$206,MATCH(A1152-129,Fields!$D$2:$D$206,1)),""),"")</f>
        <v/>
      </c>
    </row>
    <row r="1153">
      <c r="A1153" t="n">
        <v>1152</v>
      </c>
      <c r="B1153">
        <f>IFERROR(INDEX(RawBits!$A:$A,MATCH($A1153,RawBits!$H:$H,0)),"?")</f>
        <v/>
      </c>
      <c r="C1153">
        <f>IFERROR(INDEX(RawBits!$G:$G,MATCH($A1153,RawBits!$H:$H,0)),"")</f>
        <v/>
      </c>
      <c r="D1153">
        <f>IFERROR(IF(AND(A1153&gt;=129,A1153&lt;=2176),INDEX(Fields!$B$2:$B$206,MATCH(A1153-129,Fields!$D$2:$D$206,1)),""),"")</f>
        <v/>
      </c>
      <c r="E1153">
        <f>IFERROR(IF(AND(A1153&gt;=129,A1153&lt;=2176),INDEX(Fields!$C$2:$C$206,MATCH(A1153-129,Fields!$D$2:$D$206,1)),""),"")</f>
        <v/>
      </c>
    </row>
    <row r="1154">
      <c r="A1154" t="n">
        <v>1153</v>
      </c>
      <c r="B1154">
        <f>IFERROR(INDEX(RawBits!$A:$A,MATCH($A1154,RawBits!$H:$H,0)),"?")</f>
        <v/>
      </c>
      <c r="C1154">
        <f>IFERROR(INDEX(RawBits!$G:$G,MATCH($A1154,RawBits!$H:$H,0)),"")</f>
        <v/>
      </c>
      <c r="D1154">
        <f>IFERROR(IF(AND(A1154&gt;=129,A1154&lt;=2176),INDEX(Fields!$B$2:$B$206,MATCH(A1154-129,Fields!$D$2:$D$206,1)),""),"")</f>
        <v/>
      </c>
      <c r="E1154">
        <f>IFERROR(IF(AND(A1154&gt;=129,A1154&lt;=2176),INDEX(Fields!$C$2:$C$206,MATCH(A1154-129,Fields!$D$2:$D$206,1)),""),"")</f>
        <v/>
      </c>
    </row>
    <row r="1155">
      <c r="A1155" t="n">
        <v>1154</v>
      </c>
      <c r="B1155">
        <f>IFERROR(INDEX(RawBits!$A:$A,MATCH($A1155,RawBits!$H:$H,0)),"?")</f>
        <v/>
      </c>
      <c r="C1155">
        <f>IFERROR(INDEX(RawBits!$G:$G,MATCH($A1155,RawBits!$H:$H,0)),"")</f>
        <v/>
      </c>
      <c r="D1155">
        <f>IFERROR(IF(AND(A1155&gt;=129,A1155&lt;=2176),INDEX(Fields!$B$2:$B$206,MATCH(A1155-129,Fields!$D$2:$D$206,1)),""),"")</f>
        <v/>
      </c>
      <c r="E1155">
        <f>IFERROR(IF(AND(A1155&gt;=129,A1155&lt;=2176),INDEX(Fields!$C$2:$C$206,MATCH(A1155-129,Fields!$D$2:$D$206,1)),""),"")</f>
        <v/>
      </c>
    </row>
    <row r="1156">
      <c r="A1156" t="n">
        <v>1155</v>
      </c>
      <c r="B1156">
        <f>IFERROR(INDEX(RawBits!$A:$A,MATCH($A1156,RawBits!$H:$H,0)),"?")</f>
        <v/>
      </c>
      <c r="C1156">
        <f>IFERROR(INDEX(RawBits!$G:$G,MATCH($A1156,RawBits!$H:$H,0)),"")</f>
        <v/>
      </c>
      <c r="D1156">
        <f>IFERROR(IF(AND(A1156&gt;=129,A1156&lt;=2176),INDEX(Fields!$B$2:$B$206,MATCH(A1156-129,Fields!$D$2:$D$206,1)),""),"")</f>
        <v/>
      </c>
      <c r="E1156">
        <f>IFERROR(IF(AND(A1156&gt;=129,A1156&lt;=2176),INDEX(Fields!$C$2:$C$206,MATCH(A1156-129,Fields!$D$2:$D$206,1)),""),"")</f>
        <v/>
      </c>
    </row>
    <row r="1157">
      <c r="A1157" t="n">
        <v>1156</v>
      </c>
      <c r="B1157">
        <f>IFERROR(INDEX(RawBits!$A:$A,MATCH($A1157,RawBits!$H:$H,0)),"?")</f>
        <v/>
      </c>
      <c r="C1157">
        <f>IFERROR(INDEX(RawBits!$G:$G,MATCH($A1157,RawBits!$H:$H,0)),"")</f>
        <v/>
      </c>
      <c r="D1157">
        <f>IFERROR(IF(AND(A1157&gt;=129,A1157&lt;=2176),INDEX(Fields!$B$2:$B$206,MATCH(A1157-129,Fields!$D$2:$D$206,1)),""),"")</f>
        <v/>
      </c>
      <c r="E1157">
        <f>IFERROR(IF(AND(A1157&gt;=129,A1157&lt;=2176),INDEX(Fields!$C$2:$C$206,MATCH(A1157-129,Fields!$D$2:$D$206,1)),""),"")</f>
        <v/>
      </c>
    </row>
    <row r="1158">
      <c r="A1158" t="n">
        <v>1157</v>
      </c>
      <c r="B1158">
        <f>IFERROR(INDEX(RawBits!$A:$A,MATCH($A1158,RawBits!$H:$H,0)),"?")</f>
        <v/>
      </c>
      <c r="C1158">
        <f>IFERROR(INDEX(RawBits!$G:$G,MATCH($A1158,RawBits!$H:$H,0)),"")</f>
        <v/>
      </c>
      <c r="D1158">
        <f>IFERROR(IF(AND(A1158&gt;=129,A1158&lt;=2176),INDEX(Fields!$B$2:$B$206,MATCH(A1158-129,Fields!$D$2:$D$206,1)),""),"")</f>
        <v/>
      </c>
      <c r="E1158">
        <f>IFERROR(IF(AND(A1158&gt;=129,A1158&lt;=2176),INDEX(Fields!$C$2:$C$206,MATCH(A1158-129,Fields!$D$2:$D$206,1)),""),"")</f>
        <v/>
      </c>
    </row>
    <row r="1159">
      <c r="A1159" t="n">
        <v>1158</v>
      </c>
      <c r="B1159">
        <f>IFERROR(INDEX(RawBits!$A:$A,MATCH($A1159,RawBits!$H:$H,0)),"?")</f>
        <v/>
      </c>
      <c r="C1159">
        <f>IFERROR(INDEX(RawBits!$G:$G,MATCH($A1159,RawBits!$H:$H,0)),"")</f>
        <v/>
      </c>
      <c r="D1159">
        <f>IFERROR(IF(AND(A1159&gt;=129,A1159&lt;=2176),INDEX(Fields!$B$2:$B$206,MATCH(A1159-129,Fields!$D$2:$D$206,1)),""),"")</f>
        <v/>
      </c>
      <c r="E1159">
        <f>IFERROR(IF(AND(A1159&gt;=129,A1159&lt;=2176),INDEX(Fields!$C$2:$C$206,MATCH(A1159-129,Fields!$D$2:$D$206,1)),""),"")</f>
        <v/>
      </c>
    </row>
    <row r="1160">
      <c r="A1160" t="n">
        <v>1159</v>
      </c>
      <c r="B1160">
        <f>IFERROR(INDEX(RawBits!$A:$A,MATCH($A1160,RawBits!$H:$H,0)),"?")</f>
        <v/>
      </c>
      <c r="C1160">
        <f>IFERROR(INDEX(RawBits!$G:$G,MATCH($A1160,RawBits!$H:$H,0)),"")</f>
        <v/>
      </c>
      <c r="D1160">
        <f>IFERROR(IF(AND(A1160&gt;=129,A1160&lt;=2176),INDEX(Fields!$B$2:$B$206,MATCH(A1160-129,Fields!$D$2:$D$206,1)),""),"")</f>
        <v/>
      </c>
      <c r="E1160">
        <f>IFERROR(IF(AND(A1160&gt;=129,A1160&lt;=2176),INDEX(Fields!$C$2:$C$206,MATCH(A1160-129,Fields!$D$2:$D$206,1)),""),"")</f>
        <v/>
      </c>
    </row>
    <row r="1161">
      <c r="A1161" t="n">
        <v>1160</v>
      </c>
      <c r="B1161">
        <f>IFERROR(INDEX(RawBits!$A:$A,MATCH($A1161,RawBits!$H:$H,0)),"?")</f>
        <v/>
      </c>
      <c r="C1161">
        <f>IFERROR(INDEX(RawBits!$G:$G,MATCH($A1161,RawBits!$H:$H,0)),"")</f>
        <v/>
      </c>
      <c r="D1161">
        <f>IFERROR(IF(AND(A1161&gt;=129,A1161&lt;=2176),INDEX(Fields!$B$2:$B$206,MATCH(A1161-129,Fields!$D$2:$D$206,1)),""),"")</f>
        <v/>
      </c>
      <c r="E1161">
        <f>IFERROR(IF(AND(A1161&gt;=129,A1161&lt;=2176),INDEX(Fields!$C$2:$C$206,MATCH(A1161-129,Fields!$D$2:$D$206,1)),""),"")</f>
        <v/>
      </c>
    </row>
    <row r="1162">
      <c r="A1162" t="n">
        <v>1161</v>
      </c>
      <c r="B1162">
        <f>IFERROR(INDEX(RawBits!$A:$A,MATCH($A1162,RawBits!$H:$H,0)),"?")</f>
        <v/>
      </c>
      <c r="C1162">
        <f>IFERROR(INDEX(RawBits!$G:$G,MATCH($A1162,RawBits!$H:$H,0)),"")</f>
        <v/>
      </c>
      <c r="D1162">
        <f>IFERROR(IF(AND(A1162&gt;=129,A1162&lt;=2176),INDEX(Fields!$B$2:$B$206,MATCH(A1162-129,Fields!$D$2:$D$206,1)),""),"")</f>
        <v/>
      </c>
      <c r="E1162">
        <f>IFERROR(IF(AND(A1162&gt;=129,A1162&lt;=2176),INDEX(Fields!$C$2:$C$206,MATCH(A1162-129,Fields!$D$2:$D$206,1)),""),"")</f>
        <v/>
      </c>
    </row>
    <row r="1163">
      <c r="A1163" t="n">
        <v>1162</v>
      </c>
      <c r="B1163">
        <f>IFERROR(INDEX(RawBits!$A:$A,MATCH($A1163,RawBits!$H:$H,0)),"?")</f>
        <v/>
      </c>
      <c r="C1163">
        <f>IFERROR(INDEX(RawBits!$G:$G,MATCH($A1163,RawBits!$H:$H,0)),"")</f>
        <v/>
      </c>
      <c r="D1163">
        <f>IFERROR(IF(AND(A1163&gt;=129,A1163&lt;=2176),INDEX(Fields!$B$2:$B$206,MATCH(A1163-129,Fields!$D$2:$D$206,1)),""),"")</f>
        <v/>
      </c>
      <c r="E1163">
        <f>IFERROR(IF(AND(A1163&gt;=129,A1163&lt;=2176),INDEX(Fields!$C$2:$C$206,MATCH(A1163-129,Fields!$D$2:$D$206,1)),""),"")</f>
        <v/>
      </c>
    </row>
    <row r="1164">
      <c r="A1164" t="n">
        <v>1163</v>
      </c>
      <c r="B1164">
        <f>IFERROR(INDEX(RawBits!$A:$A,MATCH($A1164,RawBits!$H:$H,0)),"?")</f>
        <v/>
      </c>
      <c r="C1164">
        <f>IFERROR(INDEX(RawBits!$G:$G,MATCH($A1164,RawBits!$H:$H,0)),"")</f>
        <v/>
      </c>
      <c r="D1164">
        <f>IFERROR(IF(AND(A1164&gt;=129,A1164&lt;=2176),INDEX(Fields!$B$2:$B$206,MATCH(A1164-129,Fields!$D$2:$D$206,1)),""),"")</f>
        <v/>
      </c>
      <c r="E1164">
        <f>IFERROR(IF(AND(A1164&gt;=129,A1164&lt;=2176),INDEX(Fields!$C$2:$C$206,MATCH(A1164-129,Fields!$D$2:$D$206,1)),""),"")</f>
        <v/>
      </c>
    </row>
    <row r="1165">
      <c r="A1165" t="n">
        <v>1164</v>
      </c>
      <c r="B1165">
        <f>IFERROR(INDEX(RawBits!$A:$A,MATCH($A1165,RawBits!$H:$H,0)),"?")</f>
        <v/>
      </c>
      <c r="C1165">
        <f>IFERROR(INDEX(RawBits!$G:$G,MATCH($A1165,RawBits!$H:$H,0)),"")</f>
        <v/>
      </c>
      <c r="D1165">
        <f>IFERROR(IF(AND(A1165&gt;=129,A1165&lt;=2176),INDEX(Fields!$B$2:$B$206,MATCH(A1165-129,Fields!$D$2:$D$206,1)),""),"")</f>
        <v/>
      </c>
      <c r="E1165">
        <f>IFERROR(IF(AND(A1165&gt;=129,A1165&lt;=2176),INDEX(Fields!$C$2:$C$206,MATCH(A1165-129,Fields!$D$2:$D$206,1)),""),"")</f>
        <v/>
      </c>
    </row>
    <row r="1166">
      <c r="A1166" t="n">
        <v>1165</v>
      </c>
      <c r="B1166">
        <f>IFERROR(INDEX(RawBits!$A:$A,MATCH($A1166,RawBits!$H:$H,0)),"?")</f>
        <v/>
      </c>
      <c r="C1166">
        <f>IFERROR(INDEX(RawBits!$G:$G,MATCH($A1166,RawBits!$H:$H,0)),"")</f>
        <v/>
      </c>
      <c r="D1166">
        <f>IFERROR(IF(AND(A1166&gt;=129,A1166&lt;=2176),INDEX(Fields!$B$2:$B$206,MATCH(A1166-129,Fields!$D$2:$D$206,1)),""),"")</f>
        <v/>
      </c>
      <c r="E1166">
        <f>IFERROR(IF(AND(A1166&gt;=129,A1166&lt;=2176),INDEX(Fields!$C$2:$C$206,MATCH(A1166-129,Fields!$D$2:$D$206,1)),""),"")</f>
        <v/>
      </c>
    </row>
    <row r="1167">
      <c r="A1167" t="n">
        <v>1166</v>
      </c>
      <c r="B1167">
        <f>IFERROR(INDEX(RawBits!$A:$A,MATCH($A1167,RawBits!$H:$H,0)),"?")</f>
        <v/>
      </c>
      <c r="C1167">
        <f>IFERROR(INDEX(RawBits!$G:$G,MATCH($A1167,RawBits!$H:$H,0)),"")</f>
        <v/>
      </c>
      <c r="D1167">
        <f>IFERROR(IF(AND(A1167&gt;=129,A1167&lt;=2176),INDEX(Fields!$B$2:$B$206,MATCH(A1167-129,Fields!$D$2:$D$206,1)),""),"")</f>
        <v/>
      </c>
      <c r="E1167">
        <f>IFERROR(IF(AND(A1167&gt;=129,A1167&lt;=2176),INDEX(Fields!$C$2:$C$206,MATCH(A1167-129,Fields!$D$2:$D$206,1)),""),"")</f>
        <v/>
      </c>
    </row>
    <row r="1168">
      <c r="A1168" t="n">
        <v>1167</v>
      </c>
      <c r="B1168">
        <f>IFERROR(INDEX(RawBits!$A:$A,MATCH($A1168,RawBits!$H:$H,0)),"?")</f>
        <v/>
      </c>
      <c r="C1168">
        <f>IFERROR(INDEX(RawBits!$G:$G,MATCH($A1168,RawBits!$H:$H,0)),"")</f>
        <v/>
      </c>
      <c r="D1168">
        <f>IFERROR(IF(AND(A1168&gt;=129,A1168&lt;=2176),INDEX(Fields!$B$2:$B$206,MATCH(A1168-129,Fields!$D$2:$D$206,1)),""),"")</f>
        <v/>
      </c>
      <c r="E1168">
        <f>IFERROR(IF(AND(A1168&gt;=129,A1168&lt;=2176),INDEX(Fields!$C$2:$C$206,MATCH(A1168-129,Fields!$D$2:$D$206,1)),""),"")</f>
        <v/>
      </c>
    </row>
    <row r="1169">
      <c r="A1169" t="n">
        <v>1168</v>
      </c>
      <c r="B1169">
        <f>IFERROR(INDEX(RawBits!$A:$A,MATCH($A1169,RawBits!$H:$H,0)),"?")</f>
        <v/>
      </c>
      <c r="C1169">
        <f>IFERROR(INDEX(RawBits!$G:$G,MATCH($A1169,RawBits!$H:$H,0)),"")</f>
        <v/>
      </c>
      <c r="D1169">
        <f>IFERROR(IF(AND(A1169&gt;=129,A1169&lt;=2176),INDEX(Fields!$B$2:$B$206,MATCH(A1169-129,Fields!$D$2:$D$206,1)),""),"")</f>
        <v/>
      </c>
      <c r="E1169">
        <f>IFERROR(IF(AND(A1169&gt;=129,A1169&lt;=2176),INDEX(Fields!$C$2:$C$206,MATCH(A1169-129,Fields!$D$2:$D$206,1)),""),"")</f>
        <v/>
      </c>
    </row>
    <row r="1170">
      <c r="A1170" t="n">
        <v>1169</v>
      </c>
      <c r="B1170">
        <f>IFERROR(INDEX(RawBits!$A:$A,MATCH($A1170,RawBits!$H:$H,0)),"?")</f>
        <v/>
      </c>
      <c r="C1170">
        <f>IFERROR(INDEX(RawBits!$G:$G,MATCH($A1170,RawBits!$H:$H,0)),"")</f>
        <v/>
      </c>
      <c r="D1170">
        <f>IFERROR(IF(AND(A1170&gt;=129,A1170&lt;=2176),INDEX(Fields!$B$2:$B$206,MATCH(A1170-129,Fields!$D$2:$D$206,1)),""),"")</f>
        <v/>
      </c>
      <c r="E1170">
        <f>IFERROR(IF(AND(A1170&gt;=129,A1170&lt;=2176),INDEX(Fields!$C$2:$C$206,MATCH(A1170-129,Fields!$D$2:$D$206,1)),""),"")</f>
        <v/>
      </c>
    </row>
    <row r="1171">
      <c r="A1171" t="n">
        <v>1170</v>
      </c>
      <c r="B1171">
        <f>IFERROR(INDEX(RawBits!$A:$A,MATCH($A1171,RawBits!$H:$H,0)),"?")</f>
        <v/>
      </c>
      <c r="C1171">
        <f>IFERROR(INDEX(RawBits!$G:$G,MATCH($A1171,RawBits!$H:$H,0)),"")</f>
        <v/>
      </c>
      <c r="D1171">
        <f>IFERROR(IF(AND(A1171&gt;=129,A1171&lt;=2176),INDEX(Fields!$B$2:$B$206,MATCH(A1171-129,Fields!$D$2:$D$206,1)),""),"")</f>
        <v/>
      </c>
      <c r="E1171">
        <f>IFERROR(IF(AND(A1171&gt;=129,A1171&lt;=2176),INDEX(Fields!$C$2:$C$206,MATCH(A1171-129,Fields!$D$2:$D$206,1)),""),"")</f>
        <v/>
      </c>
    </row>
    <row r="1172">
      <c r="A1172" t="n">
        <v>1171</v>
      </c>
      <c r="B1172">
        <f>IFERROR(INDEX(RawBits!$A:$A,MATCH($A1172,RawBits!$H:$H,0)),"?")</f>
        <v/>
      </c>
      <c r="C1172">
        <f>IFERROR(INDEX(RawBits!$G:$G,MATCH($A1172,RawBits!$H:$H,0)),"")</f>
        <v/>
      </c>
      <c r="D1172">
        <f>IFERROR(IF(AND(A1172&gt;=129,A1172&lt;=2176),INDEX(Fields!$B$2:$B$206,MATCH(A1172-129,Fields!$D$2:$D$206,1)),""),"")</f>
        <v/>
      </c>
      <c r="E1172">
        <f>IFERROR(IF(AND(A1172&gt;=129,A1172&lt;=2176),INDEX(Fields!$C$2:$C$206,MATCH(A1172-129,Fields!$D$2:$D$206,1)),""),"")</f>
        <v/>
      </c>
    </row>
    <row r="1173">
      <c r="A1173" t="n">
        <v>1172</v>
      </c>
      <c r="B1173">
        <f>IFERROR(INDEX(RawBits!$A:$A,MATCH($A1173,RawBits!$H:$H,0)),"?")</f>
        <v/>
      </c>
      <c r="C1173">
        <f>IFERROR(INDEX(RawBits!$G:$G,MATCH($A1173,RawBits!$H:$H,0)),"")</f>
        <v/>
      </c>
      <c r="D1173">
        <f>IFERROR(IF(AND(A1173&gt;=129,A1173&lt;=2176),INDEX(Fields!$B$2:$B$206,MATCH(A1173-129,Fields!$D$2:$D$206,1)),""),"")</f>
        <v/>
      </c>
      <c r="E1173">
        <f>IFERROR(IF(AND(A1173&gt;=129,A1173&lt;=2176),INDEX(Fields!$C$2:$C$206,MATCH(A1173-129,Fields!$D$2:$D$206,1)),""),"")</f>
        <v/>
      </c>
    </row>
    <row r="1174">
      <c r="A1174" t="n">
        <v>1173</v>
      </c>
      <c r="B1174">
        <f>IFERROR(INDEX(RawBits!$A:$A,MATCH($A1174,RawBits!$H:$H,0)),"?")</f>
        <v/>
      </c>
      <c r="C1174">
        <f>IFERROR(INDEX(RawBits!$G:$G,MATCH($A1174,RawBits!$H:$H,0)),"")</f>
        <v/>
      </c>
      <c r="D1174">
        <f>IFERROR(IF(AND(A1174&gt;=129,A1174&lt;=2176),INDEX(Fields!$B$2:$B$206,MATCH(A1174-129,Fields!$D$2:$D$206,1)),""),"")</f>
        <v/>
      </c>
      <c r="E1174">
        <f>IFERROR(IF(AND(A1174&gt;=129,A1174&lt;=2176),INDEX(Fields!$C$2:$C$206,MATCH(A1174-129,Fields!$D$2:$D$206,1)),""),"")</f>
        <v/>
      </c>
    </row>
    <row r="1175">
      <c r="A1175" t="n">
        <v>1174</v>
      </c>
      <c r="B1175">
        <f>IFERROR(INDEX(RawBits!$A:$A,MATCH($A1175,RawBits!$H:$H,0)),"?")</f>
        <v/>
      </c>
      <c r="C1175">
        <f>IFERROR(INDEX(RawBits!$G:$G,MATCH($A1175,RawBits!$H:$H,0)),"")</f>
        <v/>
      </c>
      <c r="D1175">
        <f>IFERROR(IF(AND(A1175&gt;=129,A1175&lt;=2176),INDEX(Fields!$B$2:$B$206,MATCH(A1175-129,Fields!$D$2:$D$206,1)),""),"")</f>
        <v/>
      </c>
      <c r="E1175">
        <f>IFERROR(IF(AND(A1175&gt;=129,A1175&lt;=2176),INDEX(Fields!$C$2:$C$206,MATCH(A1175-129,Fields!$D$2:$D$206,1)),""),"")</f>
        <v/>
      </c>
    </row>
    <row r="1176">
      <c r="A1176" t="n">
        <v>1175</v>
      </c>
      <c r="B1176">
        <f>IFERROR(INDEX(RawBits!$A:$A,MATCH($A1176,RawBits!$H:$H,0)),"?")</f>
        <v/>
      </c>
      <c r="C1176">
        <f>IFERROR(INDEX(RawBits!$G:$G,MATCH($A1176,RawBits!$H:$H,0)),"")</f>
        <v/>
      </c>
      <c r="D1176">
        <f>IFERROR(IF(AND(A1176&gt;=129,A1176&lt;=2176),INDEX(Fields!$B$2:$B$206,MATCH(A1176-129,Fields!$D$2:$D$206,1)),""),"")</f>
        <v/>
      </c>
      <c r="E1176">
        <f>IFERROR(IF(AND(A1176&gt;=129,A1176&lt;=2176),INDEX(Fields!$C$2:$C$206,MATCH(A1176-129,Fields!$D$2:$D$206,1)),""),"")</f>
        <v/>
      </c>
    </row>
    <row r="1177">
      <c r="A1177" t="n">
        <v>1176</v>
      </c>
      <c r="B1177">
        <f>IFERROR(INDEX(RawBits!$A:$A,MATCH($A1177,RawBits!$H:$H,0)),"?")</f>
        <v/>
      </c>
      <c r="C1177">
        <f>IFERROR(INDEX(RawBits!$G:$G,MATCH($A1177,RawBits!$H:$H,0)),"")</f>
        <v/>
      </c>
      <c r="D1177">
        <f>IFERROR(IF(AND(A1177&gt;=129,A1177&lt;=2176),INDEX(Fields!$B$2:$B$206,MATCH(A1177-129,Fields!$D$2:$D$206,1)),""),"")</f>
        <v/>
      </c>
      <c r="E1177">
        <f>IFERROR(IF(AND(A1177&gt;=129,A1177&lt;=2176),INDEX(Fields!$C$2:$C$206,MATCH(A1177-129,Fields!$D$2:$D$206,1)),""),"")</f>
        <v/>
      </c>
    </row>
    <row r="1178">
      <c r="A1178" t="n">
        <v>1177</v>
      </c>
      <c r="B1178">
        <f>IFERROR(INDEX(RawBits!$A:$A,MATCH($A1178,RawBits!$H:$H,0)),"?")</f>
        <v/>
      </c>
      <c r="C1178">
        <f>IFERROR(INDEX(RawBits!$G:$G,MATCH($A1178,RawBits!$H:$H,0)),"")</f>
        <v/>
      </c>
      <c r="D1178">
        <f>IFERROR(IF(AND(A1178&gt;=129,A1178&lt;=2176),INDEX(Fields!$B$2:$B$206,MATCH(A1178-129,Fields!$D$2:$D$206,1)),""),"")</f>
        <v/>
      </c>
      <c r="E1178">
        <f>IFERROR(IF(AND(A1178&gt;=129,A1178&lt;=2176),INDEX(Fields!$C$2:$C$206,MATCH(A1178-129,Fields!$D$2:$D$206,1)),""),"")</f>
        <v/>
      </c>
    </row>
    <row r="1179">
      <c r="A1179" t="n">
        <v>1178</v>
      </c>
      <c r="B1179">
        <f>IFERROR(INDEX(RawBits!$A:$A,MATCH($A1179,RawBits!$H:$H,0)),"?")</f>
        <v/>
      </c>
      <c r="C1179">
        <f>IFERROR(INDEX(RawBits!$G:$G,MATCH($A1179,RawBits!$H:$H,0)),"")</f>
        <v/>
      </c>
      <c r="D1179">
        <f>IFERROR(IF(AND(A1179&gt;=129,A1179&lt;=2176),INDEX(Fields!$B$2:$B$206,MATCH(A1179-129,Fields!$D$2:$D$206,1)),""),"")</f>
        <v/>
      </c>
      <c r="E1179">
        <f>IFERROR(IF(AND(A1179&gt;=129,A1179&lt;=2176),INDEX(Fields!$C$2:$C$206,MATCH(A1179-129,Fields!$D$2:$D$206,1)),""),"")</f>
        <v/>
      </c>
    </row>
    <row r="1180">
      <c r="A1180" t="n">
        <v>1179</v>
      </c>
      <c r="B1180">
        <f>IFERROR(INDEX(RawBits!$A:$A,MATCH($A1180,RawBits!$H:$H,0)),"?")</f>
        <v/>
      </c>
      <c r="C1180">
        <f>IFERROR(INDEX(RawBits!$G:$G,MATCH($A1180,RawBits!$H:$H,0)),"")</f>
        <v/>
      </c>
      <c r="D1180">
        <f>IFERROR(IF(AND(A1180&gt;=129,A1180&lt;=2176),INDEX(Fields!$B$2:$B$206,MATCH(A1180-129,Fields!$D$2:$D$206,1)),""),"")</f>
        <v/>
      </c>
      <c r="E1180">
        <f>IFERROR(IF(AND(A1180&gt;=129,A1180&lt;=2176),INDEX(Fields!$C$2:$C$206,MATCH(A1180-129,Fields!$D$2:$D$206,1)),""),"")</f>
        <v/>
      </c>
    </row>
    <row r="1181">
      <c r="A1181" t="n">
        <v>1180</v>
      </c>
      <c r="B1181">
        <f>IFERROR(INDEX(RawBits!$A:$A,MATCH($A1181,RawBits!$H:$H,0)),"?")</f>
        <v/>
      </c>
      <c r="C1181">
        <f>IFERROR(INDEX(RawBits!$G:$G,MATCH($A1181,RawBits!$H:$H,0)),"")</f>
        <v/>
      </c>
      <c r="D1181">
        <f>IFERROR(IF(AND(A1181&gt;=129,A1181&lt;=2176),INDEX(Fields!$B$2:$B$206,MATCH(A1181-129,Fields!$D$2:$D$206,1)),""),"")</f>
        <v/>
      </c>
      <c r="E1181">
        <f>IFERROR(IF(AND(A1181&gt;=129,A1181&lt;=2176),INDEX(Fields!$C$2:$C$206,MATCH(A1181-129,Fields!$D$2:$D$206,1)),""),"")</f>
        <v/>
      </c>
    </row>
    <row r="1182">
      <c r="A1182" t="n">
        <v>1181</v>
      </c>
      <c r="B1182">
        <f>IFERROR(INDEX(RawBits!$A:$A,MATCH($A1182,RawBits!$H:$H,0)),"?")</f>
        <v/>
      </c>
      <c r="C1182">
        <f>IFERROR(INDEX(RawBits!$G:$G,MATCH($A1182,RawBits!$H:$H,0)),"")</f>
        <v/>
      </c>
      <c r="D1182">
        <f>IFERROR(IF(AND(A1182&gt;=129,A1182&lt;=2176),INDEX(Fields!$B$2:$B$206,MATCH(A1182-129,Fields!$D$2:$D$206,1)),""),"")</f>
        <v/>
      </c>
      <c r="E1182">
        <f>IFERROR(IF(AND(A1182&gt;=129,A1182&lt;=2176),INDEX(Fields!$C$2:$C$206,MATCH(A1182-129,Fields!$D$2:$D$206,1)),""),"")</f>
        <v/>
      </c>
    </row>
    <row r="1183">
      <c r="A1183" t="n">
        <v>1182</v>
      </c>
      <c r="B1183">
        <f>IFERROR(INDEX(RawBits!$A:$A,MATCH($A1183,RawBits!$H:$H,0)),"?")</f>
        <v/>
      </c>
      <c r="C1183">
        <f>IFERROR(INDEX(RawBits!$G:$G,MATCH($A1183,RawBits!$H:$H,0)),"")</f>
        <v/>
      </c>
      <c r="D1183">
        <f>IFERROR(IF(AND(A1183&gt;=129,A1183&lt;=2176),INDEX(Fields!$B$2:$B$206,MATCH(A1183-129,Fields!$D$2:$D$206,1)),""),"")</f>
        <v/>
      </c>
      <c r="E1183">
        <f>IFERROR(IF(AND(A1183&gt;=129,A1183&lt;=2176),INDEX(Fields!$C$2:$C$206,MATCH(A1183-129,Fields!$D$2:$D$206,1)),""),"")</f>
        <v/>
      </c>
    </row>
    <row r="1184">
      <c r="A1184" t="n">
        <v>1183</v>
      </c>
      <c r="B1184">
        <f>IFERROR(INDEX(RawBits!$A:$A,MATCH($A1184,RawBits!$H:$H,0)),"?")</f>
        <v/>
      </c>
      <c r="C1184">
        <f>IFERROR(INDEX(RawBits!$G:$G,MATCH($A1184,RawBits!$H:$H,0)),"")</f>
        <v/>
      </c>
      <c r="D1184">
        <f>IFERROR(IF(AND(A1184&gt;=129,A1184&lt;=2176),INDEX(Fields!$B$2:$B$206,MATCH(A1184-129,Fields!$D$2:$D$206,1)),""),"")</f>
        <v/>
      </c>
      <c r="E1184">
        <f>IFERROR(IF(AND(A1184&gt;=129,A1184&lt;=2176),INDEX(Fields!$C$2:$C$206,MATCH(A1184-129,Fields!$D$2:$D$206,1)),""),"")</f>
        <v/>
      </c>
    </row>
    <row r="1185">
      <c r="A1185" t="n">
        <v>1184</v>
      </c>
      <c r="B1185">
        <f>IFERROR(INDEX(RawBits!$A:$A,MATCH($A1185,RawBits!$H:$H,0)),"?")</f>
        <v/>
      </c>
      <c r="C1185">
        <f>IFERROR(INDEX(RawBits!$G:$G,MATCH($A1185,RawBits!$H:$H,0)),"")</f>
        <v/>
      </c>
      <c r="D1185">
        <f>IFERROR(IF(AND(A1185&gt;=129,A1185&lt;=2176),INDEX(Fields!$B$2:$B$206,MATCH(A1185-129,Fields!$D$2:$D$206,1)),""),"")</f>
        <v/>
      </c>
      <c r="E1185">
        <f>IFERROR(IF(AND(A1185&gt;=129,A1185&lt;=2176),INDEX(Fields!$C$2:$C$206,MATCH(A1185-129,Fields!$D$2:$D$206,1)),""),"")</f>
        <v/>
      </c>
    </row>
    <row r="1186">
      <c r="A1186" t="n">
        <v>1185</v>
      </c>
      <c r="B1186">
        <f>IFERROR(INDEX(RawBits!$A:$A,MATCH($A1186,RawBits!$H:$H,0)),"?")</f>
        <v/>
      </c>
      <c r="C1186">
        <f>IFERROR(INDEX(RawBits!$G:$G,MATCH($A1186,RawBits!$H:$H,0)),"")</f>
        <v/>
      </c>
      <c r="D1186">
        <f>IFERROR(IF(AND(A1186&gt;=129,A1186&lt;=2176),INDEX(Fields!$B$2:$B$206,MATCH(A1186-129,Fields!$D$2:$D$206,1)),""),"")</f>
        <v/>
      </c>
      <c r="E1186">
        <f>IFERROR(IF(AND(A1186&gt;=129,A1186&lt;=2176),INDEX(Fields!$C$2:$C$206,MATCH(A1186-129,Fields!$D$2:$D$206,1)),""),"")</f>
        <v/>
      </c>
    </row>
    <row r="1187">
      <c r="A1187" t="n">
        <v>1186</v>
      </c>
      <c r="B1187">
        <f>IFERROR(INDEX(RawBits!$A:$A,MATCH($A1187,RawBits!$H:$H,0)),"?")</f>
        <v/>
      </c>
      <c r="C1187">
        <f>IFERROR(INDEX(RawBits!$G:$G,MATCH($A1187,RawBits!$H:$H,0)),"")</f>
        <v/>
      </c>
      <c r="D1187">
        <f>IFERROR(IF(AND(A1187&gt;=129,A1187&lt;=2176),INDEX(Fields!$B$2:$B$206,MATCH(A1187-129,Fields!$D$2:$D$206,1)),""),"")</f>
        <v/>
      </c>
      <c r="E1187">
        <f>IFERROR(IF(AND(A1187&gt;=129,A1187&lt;=2176),INDEX(Fields!$C$2:$C$206,MATCH(A1187-129,Fields!$D$2:$D$206,1)),""),"")</f>
        <v/>
      </c>
    </row>
    <row r="1188">
      <c r="A1188" t="n">
        <v>1187</v>
      </c>
      <c r="B1188">
        <f>IFERROR(INDEX(RawBits!$A:$A,MATCH($A1188,RawBits!$H:$H,0)),"?")</f>
        <v/>
      </c>
      <c r="C1188">
        <f>IFERROR(INDEX(RawBits!$G:$G,MATCH($A1188,RawBits!$H:$H,0)),"")</f>
        <v/>
      </c>
      <c r="D1188">
        <f>IFERROR(IF(AND(A1188&gt;=129,A1188&lt;=2176),INDEX(Fields!$B$2:$B$206,MATCH(A1188-129,Fields!$D$2:$D$206,1)),""),"")</f>
        <v/>
      </c>
      <c r="E1188">
        <f>IFERROR(IF(AND(A1188&gt;=129,A1188&lt;=2176),INDEX(Fields!$C$2:$C$206,MATCH(A1188-129,Fields!$D$2:$D$206,1)),""),"")</f>
        <v/>
      </c>
    </row>
    <row r="1189">
      <c r="A1189" t="n">
        <v>1188</v>
      </c>
      <c r="B1189">
        <f>IFERROR(INDEX(RawBits!$A:$A,MATCH($A1189,RawBits!$H:$H,0)),"?")</f>
        <v/>
      </c>
      <c r="C1189">
        <f>IFERROR(INDEX(RawBits!$G:$G,MATCH($A1189,RawBits!$H:$H,0)),"")</f>
        <v/>
      </c>
      <c r="D1189">
        <f>IFERROR(IF(AND(A1189&gt;=129,A1189&lt;=2176),INDEX(Fields!$B$2:$B$206,MATCH(A1189-129,Fields!$D$2:$D$206,1)),""),"")</f>
        <v/>
      </c>
      <c r="E1189">
        <f>IFERROR(IF(AND(A1189&gt;=129,A1189&lt;=2176),INDEX(Fields!$C$2:$C$206,MATCH(A1189-129,Fields!$D$2:$D$206,1)),""),"")</f>
        <v/>
      </c>
    </row>
    <row r="1190">
      <c r="A1190" t="n">
        <v>1189</v>
      </c>
      <c r="B1190">
        <f>IFERROR(INDEX(RawBits!$A:$A,MATCH($A1190,RawBits!$H:$H,0)),"?")</f>
        <v/>
      </c>
      <c r="C1190">
        <f>IFERROR(INDEX(RawBits!$G:$G,MATCH($A1190,RawBits!$H:$H,0)),"")</f>
        <v/>
      </c>
      <c r="D1190">
        <f>IFERROR(IF(AND(A1190&gt;=129,A1190&lt;=2176),INDEX(Fields!$B$2:$B$206,MATCH(A1190-129,Fields!$D$2:$D$206,1)),""),"")</f>
        <v/>
      </c>
      <c r="E1190">
        <f>IFERROR(IF(AND(A1190&gt;=129,A1190&lt;=2176),INDEX(Fields!$C$2:$C$206,MATCH(A1190-129,Fields!$D$2:$D$206,1)),""),"")</f>
        <v/>
      </c>
    </row>
    <row r="1191">
      <c r="A1191" t="n">
        <v>1190</v>
      </c>
      <c r="B1191">
        <f>IFERROR(INDEX(RawBits!$A:$A,MATCH($A1191,RawBits!$H:$H,0)),"?")</f>
        <v/>
      </c>
      <c r="C1191">
        <f>IFERROR(INDEX(RawBits!$G:$G,MATCH($A1191,RawBits!$H:$H,0)),"")</f>
        <v/>
      </c>
      <c r="D1191">
        <f>IFERROR(IF(AND(A1191&gt;=129,A1191&lt;=2176),INDEX(Fields!$B$2:$B$206,MATCH(A1191-129,Fields!$D$2:$D$206,1)),""),"")</f>
        <v/>
      </c>
      <c r="E1191">
        <f>IFERROR(IF(AND(A1191&gt;=129,A1191&lt;=2176),INDEX(Fields!$C$2:$C$206,MATCH(A1191-129,Fields!$D$2:$D$206,1)),""),"")</f>
        <v/>
      </c>
    </row>
    <row r="1192">
      <c r="A1192" t="n">
        <v>1191</v>
      </c>
      <c r="B1192">
        <f>IFERROR(INDEX(RawBits!$A:$A,MATCH($A1192,RawBits!$H:$H,0)),"?")</f>
        <v/>
      </c>
      <c r="C1192">
        <f>IFERROR(INDEX(RawBits!$G:$G,MATCH($A1192,RawBits!$H:$H,0)),"")</f>
        <v/>
      </c>
      <c r="D1192">
        <f>IFERROR(IF(AND(A1192&gt;=129,A1192&lt;=2176),INDEX(Fields!$B$2:$B$206,MATCH(A1192-129,Fields!$D$2:$D$206,1)),""),"")</f>
        <v/>
      </c>
      <c r="E1192">
        <f>IFERROR(IF(AND(A1192&gt;=129,A1192&lt;=2176),INDEX(Fields!$C$2:$C$206,MATCH(A1192-129,Fields!$D$2:$D$206,1)),""),"")</f>
        <v/>
      </c>
    </row>
    <row r="1193">
      <c r="A1193" t="n">
        <v>1192</v>
      </c>
      <c r="B1193">
        <f>IFERROR(INDEX(RawBits!$A:$A,MATCH($A1193,RawBits!$H:$H,0)),"?")</f>
        <v/>
      </c>
      <c r="C1193">
        <f>IFERROR(INDEX(RawBits!$G:$G,MATCH($A1193,RawBits!$H:$H,0)),"")</f>
        <v/>
      </c>
      <c r="D1193">
        <f>IFERROR(IF(AND(A1193&gt;=129,A1193&lt;=2176),INDEX(Fields!$B$2:$B$206,MATCH(A1193-129,Fields!$D$2:$D$206,1)),""),"")</f>
        <v/>
      </c>
      <c r="E1193">
        <f>IFERROR(IF(AND(A1193&gt;=129,A1193&lt;=2176),INDEX(Fields!$C$2:$C$206,MATCH(A1193-129,Fields!$D$2:$D$206,1)),""),"")</f>
        <v/>
      </c>
    </row>
    <row r="1194">
      <c r="A1194" t="n">
        <v>1193</v>
      </c>
      <c r="B1194">
        <f>IFERROR(INDEX(RawBits!$A:$A,MATCH($A1194,RawBits!$H:$H,0)),"?")</f>
        <v/>
      </c>
      <c r="C1194">
        <f>IFERROR(INDEX(RawBits!$G:$G,MATCH($A1194,RawBits!$H:$H,0)),"")</f>
        <v/>
      </c>
      <c r="D1194">
        <f>IFERROR(IF(AND(A1194&gt;=129,A1194&lt;=2176),INDEX(Fields!$B$2:$B$206,MATCH(A1194-129,Fields!$D$2:$D$206,1)),""),"")</f>
        <v/>
      </c>
      <c r="E1194">
        <f>IFERROR(IF(AND(A1194&gt;=129,A1194&lt;=2176),INDEX(Fields!$C$2:$C$206,MATCH(A1194-129,Fields!$D$2:$D$206,1)),""),"")</f>
        <v/>
      </c>
    </row>
    <row r="1195">
      <c r="A1195" t="n">
        <v>1194</v>
      </c>
      <c r="B1195">
        <f>IFERROR(INDEX(RawBits!$A:$A,MATCH($A1195,RawBits!$H:$H,0)),"?")</f>
        <v/>
      </c>
      <c r="C1195">
        <f>IFERROR(INDEX(RawBits!$G:$G,MATCH($A1195,RawBits!$H:$H,0)),"")</f>
        <v/>
      </c>
      <c r="D1195">
        <f>IFERROR(IF(AND(A1195&gt;=129,A1195&lt;=2176),INDEX(Fields!$B$2:$B$206,MATCH(A1195-129,Fields!$D$2:$D$206,1)),""),"")</f>
        <v/>
      </c>
      <c r="E1195">
        <f>IFERROR(IF(AND(A1195&gt;=129,A1195&lt;=2176),INDEX(Fields!$C$2:$C$206,MATCH(A1195-129,Fields!$D$2:$D$206,1)),""),"")</f>
        <v/>
      </c>
    </row>
    <row r="1196">
      <c r="A1196" t="n">
        <v>1195</v>
      </c>
      <c r="B1196">
        <f>IFERROR(INDEX(RawBits!$A:$A,MATCH($A1196,RawBits!$H:$H,0)),"?")</f>
        <v/>
      </c>
      <c r="C1196">
        <f>IFERROR(INDEX(RawBits!$G:$G,MATCH($A1196,RawBits!$H:$H,0)),"")</f>
        <v/>
      </c>
      <c r="D1196">
        <f>IFERROR(IF(AND(A1196&gt;=129,A1196&lt;=2176),INDEX(Fields!$B$2:$B$206,MATCH(A1196-129,Fields!$D$2:$D$206,1)),""),"")</f>
        <v/>
      </c>
      <c r="E1196">
        <f>IFERROR(IF(AND(A1196&gt;=129,A1196&lt;=2176),INDEX(Fields!$C$2:$C$206,MATCH(A1196-129,Fields!$D$2:$D$206,1)),""),"")</f>
        <v/>
      </c>
    </row>
    <row r="1197">
      <c r="A1197" t="n">
        <v>1196</v>
      </c>
      <c r="B1197">
        <f>IFERROR(INDEX(RawBits!$A:$A,MATCH($A1197,RawBits!$H:$H,0)),"?")</f>
        <v/>
      </c>
      <c r="C1197">
        <f>IFERROR(INDEX(RawBits!$G:$G,MATCH($A1197,RawBits!$H:$H,0)),"")</f>
        <v/>
      </c>
      <c r="D1197">
        <f>IFERROR(IF(AND(A1197&gt;=129,A1197&lt;=2176),INDEX(Fields!$B$2:$B$206,MATCH(A1197-129,Fields!$D$2:$D$206,1)),""),"")</f>
        <v/>
      </c>
      <c r="E1197">
        <f>IFERROR(IF(AND(A1197&gt;=129,A1197&lt;=2176),INDEX(Fields!$C$2:$C$206,MATCH(A1197-129,Fields!$D$2:$D$206,1)),""),"")</f>
        <v/>
      </c>
    </row>
    <row r="1198">
      <c r="A1198" t="n">
        <v>1197</v>
      </c>
      <c r="B1198">
        <f>IFERROR(INDEX(RawBits!$A:$A,MATCH($A1198,RawBits!$H:$H,0)),"?")</f>
        <v/>
      </c>
      <c r="C1198">
        <f>IFERROR(INDEX(RawBits!$G:$G,MATCH($A1198,RawBits!$H:$H,0)),"")</f>
        <v/>
      </c>
      <c r="D1198">
        <f>IFERROR(IF(AND(A1198&gt;=129,A1198&lt;=2176),INDEX(Fields!$B$2:$B$206,MATCH(A1198-129,Fields!$D$2:$D$206,1)),""),"")</f>
        <v/>
      </c>
      <c r="E1198">
        <f>IFERROR(IF(AND(A1198&gt;=129,A1198&lt;=2176),INDEX(Fields!$C$2:$C$206,MATCH(A1198-129,Fields!$D$2:$D$206,1)),""),"")</f>
        <v/>
      </c>
    </row>
    <row r="1199">
      <c r="A1199" t="n">
        <v>1198</v>
      </c>
      <c r="B1199">
        <f>IFERROR(INDEX(RawBits!$A:$A,MATCH($A1199,RawBits!$H:$H,0)),"?")</f>
        <v/>
      </c>
      <c r="C1199">
        <f>IFERROR(INDEX(RawBits!$G:$G,MATCH($A1199,RawBits!$H:$H,0)),"")</f>
        <v/>
      </c>
      <c r="D1199">
        <f>IFERROR(IF(AND(A1199&gt;=129,A1199&lt;=2176),INDEX(Fields!$B$2:$B$206,MATCH(A1199-129,Fields!$D$2:$D$206,1)),""),"")</f>
        <v/>
      </c>
      <c r="E1199">
        <f>IFERROR(IF(AND(A1199&gt;=129,A1199&lt;=2176),INDEX(Fields!$C$2:$C$206,MATCH(A1199-129,Fields!$D$2:$D$206,1)),""),"")</f>
        <v/>
      </c>
    </row>
    <row r="1200">
      <c r="A1200" t="n">
        <v>1199</v>
      </c>
      <c r="B1200">
        <f>IFERROR(INDEX(RawBits!$A:$A,MATCH($A1200,RawBits!$H:$H,0)),"?")</f>
        <v/>
      </c>
      <c r="C1200">
        <f>IFERROR(INDEX(RawBits!$G:$G,MATCH($A1200,RawBits!$H:$H,0)),"")</f>
        <v/>
      </c>
      <c r="D1200">
        <f>IFERROR(IF(AND(A1200&gt;=129,A1200&lt;=2176),INDEX(Fields!$B$2:$B$206,MATCH(A1200-129,Fields!$D$2:$D$206,1)),""),"")</f>
        <v/>
      </c>
      <c r="E1200">
        <f>IFERROR(IF(AND(A1200&gt;=129,A1200&lt;=2176),INDEX(Fields!$C$2:$C$206,MATCH(A1200-129,Fields!$D$2:$D$206,1)),""),"")</f>
        <v/>
      </c>
    </row>
    <row r="1201">
      <c r="A1201" t="n">
        <v>1200</v>
      </c>
      <c r="B1201">
        <f>IFERROR(INDEX(RawBits!$A:$A,MATCH($A1201,RawBits!$H:$H,0)),"?")</f>
        <v/>
      </c>
      <c r="C1201">
        <f>IFERROR(INDEX(RawBits!$G:$G,MATCH($A1201,RawBits!$H:$H,0)),"")</f>
        <v/>
      </c>
      <c r="D1201">
        <f>IFERROR(IF(AND(A1201&gt;=129,A1201&lt;=2176),INDEX(Fields!$B$2:$B$206,MATCH(A1201-129,Fields!$D$2:$D$206,1)),""),"")</f>
        <v/>
      </c>
      <c r="E1201">
        <f>IFERROR(IF(AND(A1201&gt;=129,A1201&lt;=2176),INDEX(Fields!$C$2:$C$206,MATCH(A1201-129,Fields!$D$2:$D$206,1)),""),"")</f>
        <v/>
      </c>
    </row>
    <row r="1202">
      <c r="A1202" t="n">
        <v>1201</v>
      </c>
      <c r="B1202">
        <f>IFERROR(INDEX(RawBits!$A:$A,MATCH($A1202,RawBits!$H:$H,0)),"?")</f>
        <v/>
      </c>
      <c r="C1202">
        <f>IFERROR(INDEX(RawBits!$G:$G,MATCH($A1202,RawBits!$H:$H,0)),"")</f>
        <v/>
      </c>
      <c r="D1202">
        <f>IFERROR(IF(AND(A1202&gt;=129,A1202&lt;=2176),INDEX(Fields!$B$2:$B$206,MATCH(A1202-129,Fields!$D$2:$D$206,1)),""),"")</f>
        <v/>
      </c>
      <c r="E1202">
        <f>IFERROR(IF(AND(A1202&gt;=129,A1202&lt;=2176),INDEX(Fields!$C$2:$C$206,MATCH(A1202-129,Fields!$D$2:$D$206,1)),""),"")</f>
        <v/>
      </c>
    </row>
    <row r="1203">
      <c r="A1203" t="n">
        <v>1202</v>
      </c>
      <c r="B1203">
        <f>IFERROR(INDEX(RawBits!$A:$A,MATCH($A1203,RawBits!$H:$H,0)),"?")</f>
        <v/>
      </c>
      <c r="C1203">
        <f>IFERROR(INDEX(RawBits!$G:$G,MATCH($A1203,RawBits!$H:$H,0)),"")</f>
        <v/>
      </c>
      <c r="D1203">
        <f>IFERROR(IF(AND(A1203&gt;=129,A1203&lt;=2176),INDEX(Fields!$B$2:$B$206,MATCH(A1203-129,Fields!$D$2:$D$206,1)),""),"")</f>
        <v/>
      </c>
      <c r="E1203">
        <f>IFERROR(IF(AND(A1203&gt;=129,A1203&lt;=2176),INDEX(Fields!$C$2:$C$206,MATCH(A1203-129,Fields!$D$2:$D$206,1)),""),"")</f>
        <v/>
      </c>
    </row>
    <row r="1204">
      <c r="A1204" t="n">
        <v>1203</v>
      </c>
      <c r="B1204">
        <f>IFERROR(INDEX(RawBits!$A:$A,MATCH($A1204,RawBits!$H:$H,0)),"?")</f>
        <v/>
      </c>
      <c r="C1204">
        <f>IFERROR(INDEX(RawBits!$G:$G,MATCH($A1204,RawBits!$H:$H,0)),"")</f>
        <v/>
      </c>
      <c r="D1204">
        <f>IFERROR(IF(AND(A1204&gt;=129,A1204&lt;=2176),INDEX(Fields!$B$2:$B$206,MATCH(A1204-129,Fields!$D$2:$D$206,1)),""),"")</f>
        <v/>
      </c>
      <c r="E1204">
        <f>IFERROR(IF(AND(A1204&gt;=129,A1204&lt;=2176),INDEX(Fields!$C$2:$C$206,MATCH(A1204-129,Fields!$D$2:$D$206,1)),""),"")</f>
        <v/>
      </c>
    </row>
    <row r="1205">
      <c r="A1205" t="n">
        <v>1204</v>
      </c>
      <c r="B1205">
        <f>IFERROR(INDEX(RawBits!$A:$A,MATCH($A1205,RawBits!$H:$H,0)),"?")</f>
        <v/>
      </c>
      <c r="C1205">
        <f>IFERROR(INDEX(RawBits!$G:$G,MATCH($A1205,RawBits!$H:$H,0)),"")</f>
        <v/>
      </c>
      <c r="D1205">
        <f>IFERROR(IF(AND(A1205&gt;=129,A1205&lt;=2176),INDEX(Fields!$B$2:$B$206,MATCH(A1205-129,Fields!$D$2:$D$206,1)),""),"")</f>
        <v/>
      </c>
      <c r="E1205">
        <f>IFERROR(IF(AND(A1205&gt;=129,A1205&lt;=2176),INDEX(Fields!$C$2:$C$206,MATCH(A1205-129,Fields!$D$2:$D$206,1)),""),"")</f>
        <v/>
      </c>
    </row>
    <row r="1206">
      <c r="A1206" t="n">
        <v>1205</v>
      </c>
      <c r="B1206">
        <f>IFERROR(INDEX(RawBits!$A:$A,MATCH($A1206,RawBits!$H:$H,0)),"?")</f>
        <v/>
      </c>
      <c r="C1206">
        <f>IFERROR(INDEX(RawBits!$G:$G,MATCH($A1206,RawBits!$H:$H,0)),"")</f>
        <v/>
      </c>
      <c r="D1206">
        <f>IFERROR(IF(AND(A1206&gt;=129,A1206&lt;=2176),INDEX(Fields!$B$2:$B$206,MATCH(A1206-129,Fields!$D$2:$D$206,1)),""),"")</f>
        <v/>
      </c>
      <c r="E1206">
        <f>IFERROR(IF(AND(A1206&gt;=129,A1206&lt;=2176),INDEX(Fields!$C$2:$C$206,MATCH(A1206-129,Fields!$D$2:$D$206,1)),""),"")</f>
        <v/>
      </c>
    </row>
    <row r="1207">
      <c r="A1207" t="n">
        <v>1206</v>
      </c>
      <c r="B1207">
        <f>IFERROR(INDEX(RawBits!$A:$A,MATCH($A1207,RawBits!$H:$H,0)),"?")</f>
        <v/>
      </c>
      <c r="C1207">
        <f>IFERROR(INDEX(RawBits!$G:$G,MATCH($A1207,RawBits!$H:$H,0)),"")</f>
        <v/>
      </c>
      <c r="D1207">
        <f>IFERROR(IF(AND(A1207&gt;=129,A1207&lt;=2176),INDEX(Fields!$B$2:$B$206,MATCH(A1207-129,Fields!$D$2:$D$206,1)),""),"")</f>
        <v/>
      </c>
      <c r="E1207">
        <f>IFERROR(IF(AND(A1207&gt;=129,A1207&lt;=2176),INDEX(Fields!$C$2:$C$206,MATCH(A1207-129,Fields!$D$2:$D$206,1)),""),"")</f>
        <v/>
      </c>
    </row>
    <row r="1208">
      <c r="A1208" t="n">
        <v>1207</v>
      </c>
      <c r="B1208">
        <f>IFERROR(INDEX(RawBits!$A:$A,MATCH($A1208,RawBits!$H:$H,0)),"?")</f>
        <v/>
      </c>
      <c r="C1208">
        <f>IFERROR(INDEX(RawBits!$G:$G,MATCH($A1208,RawBits!$H:$H,0)),"")</f>
        <v/>
      </c>
      <c r="D1208">
        <f>IFERROR(IF(AND(A1208&gt;=129,A1208&lt;=2176),INDEX(Fields!$B$2:$B$206,MATCH(A1208-129,Fields!$D$2:$D$206,1)),""),"")</f>
        <v/>
      </c>
      <c r="E1208">
        <f>IFERROR(IF(AND(A1208&gt;=129,A1208&lt;=2176),INDEX(Fields!$C$2:$C$206,MATCH(A1208-129,Fields!$D$2:$D$206,1)),""),"")</f>
        <v/>
      </c>
    </row>
    <row r="1209">
      <c r="A1209" t="n">
        <v>1208</v>
      </c>
      <c r="B1209">
        <f>IFERROR(INDEX(RawBits!$A:$A,MATCH($A1209,RawBits!$H:$H,0)),"?")</f>
        <v/>
      </c>
      <c r="C1209">
        <f>IFERROR(INDEX(RawBits!$G:$G,MATCH($A1209,RawBits!$H:$H,0)),"")</f>
        <v/>
      </c>
      <c r="D1209">
        <f>IFERROR(IF(AND(A1209&gt;=129,A1209&lt;=2176),INDEX(Fields!$B$2:$B$206,MATCH(A1209-129,Fields!$D$2:$D$206,1)),""),"")</f>
        <v/>
      </c>
      <c r="E1209">
        <f>IFERROR(IF(AND(A1209&gt;=129,A1209&lt;=2176),INDEX(Fields!$C$2:$C$206,MATCH(A1209-129,Fields!$D$2:$D$206,1)),""),"")</f>
        <v/>
      </c>
    </row>
    <row r="1210">
      <c r="A1210" t="n">
        <v>1209</v>
      </c>
      <c r="B1210">
        <f>IFERROR(INDEX(RawBits!$A:$A,MATCH($A1210,RawBits!$H:$H,0)),"?")</f>
        <v/>
      </c>
      <c r="C1210">
        <f>IFERROR(INDEX(RawBits!$G:$G,MATCH($A1210,RawBits!$H:$H,0)),"")</f>
        <v/>
      </c>
      <c r="D1210">
        <f>IFERROR(IF(AND(A1210&gt;=129,A1210&lt;=2176),INDEX(Fields!$B$2:$B$206,MATCH(A1210-129,Fields!$D$2:$D$206,1)),""),"")</f>
        <v/>
      </c>
      <c r="E1210">
        <f>IFERROR(IF(AND(A1210&gt;=129,A1210&lt;=2176),INDEX(Fields!$C$2:$C$206,MATCH(A1210-129,Fields!$D$2:$D$206,1)),""),"")</f>
        <v/>
      </c>
    </row>
    <row r="1211">
      <c r="A1211" t="n">
        <v>1210</v>
      </c>
      <c r="B1211">
        <f>IFERROR(INDEX(RawBits!$A:$A,MATCH($A1211,RawBits!$H:$H,0)),"?")</f>
        <v/>
      </c>
      <c r="C1211">
        <f>IFERROR(INDEX(RawBits!$G:$G,MATCH($A1211,RawBits!$H:$H,0)),"")</f>
        <v/>
      </c>
      <c r="D1211">
        <f>IFERROR(IF(AND(A1211&gt;=129,A1211&lt;=2176),INDEX(Fields!$B$2:$B$206,MATCH(A1211-129,Fields!$D$2:$D$206,1)),""),"")</f>
        <v/>
      </c>
      <c r="E1211">
        <f>IFERROR(IF(AND(A1211&gt;=129,A1211&lt;=2176),INDEX(Fields!$C$2:$C$206,MATCH(A1211-129,Fields!$D$2:$D$206,1)),""),"")</f>
        <v/>
      </c>
    </row>
    <row r="1212">
      <c r="A1212" t="n">
        <v>1211</v>
      </c>
      <c r="B1212">
        <f>IFERROR(INDEX(RawBits!$A:$A,MATCH($A1212,RawBits!$H:$H,0)),"?")</f>
        <v/>
      </c>
      <c r="C1212">
        <f>IFERROR(INDEX(RawBits!$G:$G,MATCH($A1212,RawBits!$H:$H,0)),"")</f>
        <v/>
      </c>
      <c r="D1212">
        <f>IFERROR(IF(AND(A1212&gt;=129,A1212&lt;=2176),INDEX(Fields!$B$2:$B$206,MATCH(A1212-129,Fields!$D$2:$D$206,1)),""),"")</f>
        <v/>
      </c>
      <c r="E1212">
        <f>IFERROR(IF(AND(A1212&gt;=129,A1212&lt;=2176),INDEX(Fields!$C$2:$C$206,MATCH(A1212-129,Fields!$D$2:$D$206,1)),""),"")</f>
        <v/>
      </c>
    </row>
    <row r="1213">
      <c r="A1213" t="n">
        <v>1212</v>
      </c>
      <c r="B1213">
        <f>IFERROR(INDEX(RawBits!$A:$A,MATCH($A1213,RawBits!$H:$H,0)),"?")</f>
        <v/>
      </c>
      <c r="C1213">
        <f>IFERROR(INDEX(RawBits!$G:$G,MATCH($A1213,RawBits!$H:$H,0)),"")</f>
        <v/>
      </c>
      <c r="D1213">
        <f>IFERROR(IF(AND(A1213&gt;=129,A1213&lt;=2176),INDEX(Fields!$B$2:$B$206,MATCH(A1213-129,Fields!$D$2:$D$206,1)),""),"")</f>
        <v/>
      </c>
      <c r="E1213">
        <f>IFERROR(IF(AND(A1213&gt;=129,A1213&lt;=2176),INDEX(Fields!$C$2:$C$206,MATCH(A1213-129,Fields!$D$2:$D$206,1)),""),"")</f>
        <v/>
      </c>
    </row>
    <row r="1214">
      <c r="A1214" t="n">
        <v>1213</v>
      </c>
      <c r="B1214">
        <f>IFERROR(INDEX(RawBits!$A:$A,MATCH($A1214,RawBits!$H:$H,0)),"?")</f>
        <v/>
      </c>
      <c r="C1214">
        <f>IFERROR(INDEX(RawBits!$G:$G,MATCH($A1214,RawBits!$H:$H,0)),"")</f>
        <v/>
      </c>
      <c r="D1214">
        <f>IFERROR(IF(AND(A1214&gt;=129,A1214&lt;=2176),INDEX(Fields!$B$2:$B$206,MATCH(A1214-129,Fields!$D$2:$D$206,1)),""),"")</f>
        <v/>
      </c>
      <c r="E1214">
        <f>IFERROR(IF(AND(A1214&gt;=129,A1214&lt;=2176),INDEX(Fields!$C$2:$C$206,MATCH(A1214-129,Fields!$D$2:$D$206,1)),""),"")</f>
        <v/>
      </c>
    </row>
    <row r="1215">
      <c r="A1215" t="n">
        <v>1214</v>
      </c>
      <c r="B1215">
        <f>IFERROR(INDEX(RawBits!$A:$A,MATCH($A1215,RawBits!$H:$H,0)),"?")</f>
        <v/>
      </c>
      <c r="C1215">
        <f>IFERROR(INDEX(RawBits!$G:$G,MATCH($A1215,RawBits!$H:$H,0)),"")</f>
        <v/>
      </c>
      <c r="D1215">
        <f>IFERROR(IF(AND(A1215&gt;=129,A1215&lt;=2176),INDEX(Fields!$B$2:$B$206,MATCH(A1215-129,Fields!$D$2:$D$206,1)),""),"")</f>
        <v/>
      </c>
      <c r="E1215">
        <f>IFERROR(IF(AND(A1215&gt;=129,A1215&lt;=2176),INDEX(Fields!$C$2:$C$206,MATCH(A1215-129,Fields!$D$2:$D$206,1)),""),"")</f>
        <v/>
      </c>
    </row>
    <row r="1216">
      <c r="A1216" t="n">
        <v>1215</v>
      </c>
      <c r="B1216">
        <f>IFERROR(INDEX(RawBits!$A:$A,MATCH($A1216,RawBits!$H:$H,0)),"?")</f>
        <v/>
      </c>
      <c r="C1216">
        <f>IFERROR(INDEX(RawBits!$G:$G,MATCH($A1216,RawBits!$H:$H,0)),"")</f>
        <v/>
      </c>
      <c r="D1216">
        <f>IFERROR(IF(AND(A1216&gt;=129,A1216&lt;=2176),INDEX(Fields!$B$2:$B$206,MATCH(A1216-129,Fields!$D$2:$D$206,1)),""),"")</f>
        <v/>
      </c>
      <c r="E1216">
        <f>IFERROR(IF(AND(A1216&gt;=129,A1216&lt;=2176),INDEX(Fields!$C$2:$C$206,MATCH(A1216-129,Fields!$D$2:$D$206,1)),""),"")</f>
        <v/>
      </c>
    </row>
    <row r="1217">
      <c r="A1217" t="n">
        <v>1216</v>
      </c>
      <c r="B1217">
        <f>IFERROR(INDEX(RawBits!$A:$A,MATCH($A1217,RawBits!$H:$H,0)),"?")</f>
        <v/>
      </c>
      <c r="C1217">
        <f>IFERROR(INDEX(RawBits!$G:$G,MATCH($A1217,RawBits!$H:$H,0)),"")</f>
        <v/>
      </c>
      <c r="D1217">
        <f>IFERROR(IF(AND(A1217&gt;=129,A1217&lt;=2176),INDEX(Fields!$B$2:$B$206,MATCH(A1217-129,Fields!$D$2:$D$206,1)),""),"")</f>
        <v/>
      </c>
      <c r="E1217">
        <f>IFERROR(IF(AND(A1217&gt;=129,A1217&lt;=2176),INDEX(Fields!$C$2:$C$206,MATCH(A1217-129,Fields!$D$2:$D$206,1)),""),"")</f>
        <v/>
      </c>
    </row>
    <row r="1218">
      <c r="A1218" t="n">
        <v>1217</v>
      </c>
      <c r="B1218">
        <f>IFERROR(INDEX(RawBits!$A:$A,MATCH($A1218,RawBits!$H:$H,0)),"?")</f>
        <v/>
      </c>
      <c r="C1218">
        <f>IFERROR(INDEX(RawBits!$G:$G,MATCH($A1218,RawBits!$H:$H,0)),"")</f>
        <v/>
      </c>
      <c r="D1218">
        <f>IFERROR(IF(AND(A1218&gt;=129,A1218&lt;=2176),INDEX(Fields!$B$2:$B$206,MATCH(A1218-129,Fields!$D$2:$D$206,1)),""),"")</f>
        <v/>
      </c>
      <c r="E1218">
        <f>IFERROR(IF(AND(A1218&gt;=129,A1218&lt;=2176),INDEX(Fields!$C$2:$C$206,MATCH(A1218-129,Fields!$D$2:$D$206,1)),""),"")</f>
        <v/>
      </c>
    </row>
    <row r="1219">
      <c r="A1219" t="n">
        <v>1218</v>
      </c>
      <c r="B1219">
        <f>IFERROR(INDEX(RawBits!$A:$A,MATCH($A1219,RawBits!$H:$H,0)),"?")</f>
        <v/>
      </c>
      <c r="C1219">
        <f>IFERROR(INDEX(RawBits!$G:$G,MATCH($A1219,RawBits!$H:$H,0)),"")</f>
        <v/>
      </c>
      <c r="D1219">
        <f>IFERROR(IF(AND(A1219&gt;=129,A1219&lt;=2176),INDEX(Fields!$B$2:$B$206,MATCH(A1219-129,Fields!$D$2:$D$206,1)),""),"")</f>
        <v/>
      </c>
      <c r="E1219">
        <f>IFERROR(IF(AND(A1219&gt;=129,A1219&lt;=2176),INDEX(Fields!$C$2:$C$206,MATCH(A1219-129,Fields!$D$2:$D$206,1)),""),"")</f>
        <v/>
      </c>
    </row>
    <row r="1220">
      <c r="A1220" t="n">
        <v>1219</v>
      </c>
      <c r="B1220">
        <f>IFERROR(INDEX(RawBits!$A:$A,MATCH($A1220,RawBits!$H:$H,0)),"?")</f>
        <v/>
      </c>
      <c r="C1220">
        <f>IFERROR(INDEX(RawBits!$G:$G,MATCH($A1220,RawBits!$H:$H,0)),"")</f>
        <v/>
      </c>
      <c r="D1220">
        <f>IFERROR(IF(AND(A1220&gt;=129,A1220&lt;=2176),INDEX(Fields!$B$2:$B$206,MATCH(A1220-129,Fields!$D$2:$D$206,1)),""),"")</f>
        <v/>
      </c>
      <c r="E1220">
        <f>IFERROR(IF(AND(A1220&gt;=129,A1220&lt;=2176),INDEX(Fields!$C$2:$C$206,MATCH(A1220-129,Fields!$D$2:$D$206,1)),""),"")</f>
        <v/>
      </c>
    </row>
    <row r="1221">
      <c r="A1221" t="n">
        <v>1220</v>
      </c>
      <c r="B1221">
        <f>IFERROR(INDEX(RawBits!$A:$A,MATCH($A1221,RawBits!$H:$H,0)),"?")</f>
        <v/>
      </c>
      <c r="C1221">
        <f>IFERROR(INDEX(RawBits!$G:$G,MATCH($A1221,RawBits!$H:$H,0)),"")</f>
        <v/>
      </c>
      <c r="D1221">
        <f>IFERROR(IF(AND(A1221&gt;=129,A1221&lt;=2176),INDEX(Fields!$B$2:$B$206,MATCH(A1221-129,Fields!$D$2:$D$206,1)),""),"")</f>
        <v/>
      </c>
      <c r="E1221">
        <f>IFERROR(IF(AND(A1221&gt;=129,A1221&lt;=2176),INDEX(Fields!$C$2:$C$206,MATCH(A1221-129,Fields!$D$2:$D$206,1)),""),"")</f>
        <v/>
      </c>
    </row>
    <row r="1222">
      <c r="A1222" t="n">
        <v>1221</v>
      </c>
      <c r="B1222">
        <f>IFERROR(INDEX(RawBits!$A:$A,MATCH($A1222,RawBits!$H:$H,0)),"?")</f>
        <v/>
      </c>
      <c r="C1222">
        <f>IFERROR(INDEX(RawBits!$G:$G,MATCH($A1222,RawBits!$H:$H,0)),"")</f>
        <v/>
      </c>
      <c r="D1222">
        <f>IFERROR(IF(AND(A1222&gt;=129,A1222&lt;=2176),INDEX(Fields!$B$2:$B$206,MATCH(A1222-129,Fields!$D$2:$D$206,1)),""),"")</f>
        <v/>
      </c>
      <c r="E1222">
        <f>IFERROR(IF(AND(A1222&gt;=129,A1222&lt;=2176),INDEX(Fields!$C$2:$C$206,MATCH(A1222-129,Fields!$D$2:$D$206,1)),""),"")</f>
        <v/>
      </c>
    </row>
    <row r="1223">
      <c r="A1223" t="n">
        <v>1222</v>
      </c>
      <c r="B1223">
        <f>IFERROR(INDEX(RawBits!$A:$A,MATCH($A1223,RawBits!$H:$H,0)),"?")</f>
        <v/>
      </c>
      <c r="C1223">
        <f>IFERROR(INDEX(RawBits!$G:$G,MATCH($A1223,RawBits!$H:$H,0)),"")</f>
        <v/>
      </c>
      <c r="D1223">
        <f>IFERROR(IF(AND(A1223&gt;=129,A1223&lt;=2176),INDEX(Fields!$B$2:$B$206,MATCH(A1223-129,Fields!$D$2:$D$206,1)),""),"")</f>
        <v/>
      </c>
      <c r="E1223">
        <f>IFERROR(IF(AND(A1223&gt;=129,A1223&lt;=2176),INDEX(Fields!$C$2:$C$206,MATCH(A1223-129,Fields!$D$2:$D$206,1)),""),"")</f>
        <v/>
      </c>
    </row>
    <row r="1224">
      <c r="A1224" t="n">
        <v>1223</v>
      </c>
      <c r="B1224">
        <f>IFERROR(INDEX(RawBits!$A:$A,MATCH($A1224,RawBits!$H:$H,0)),"?")</f>
        <v/>
      </c>
      <c r="C1224">
        <f>IFERROR(INDEX(RawBits!$G:$G,MATCH($A1224,RawBits!$H:$H,0)),"")</f>
        <v/>
      </c>
      <c r="D1224">
        <f>IFERROR(IF(AND(A1224&gt;=129,A1224&lt;=2176),INDEX(Fields!$B$2:$B$206,MATCH(A1224-129,Fields!$D$2:$D$206,1)),""),"")</f>
        <v/>
      </c>
      <c r="E1224">
        <f>IFERROR(IF(AND(A1224&gt;=129,A1224&lt;=2176),INDEX(Fields!$C$2:$C$206,MATCH(A1224-129,Fields!$D$2:$D$206,1)),""),"")</f>
        <v/>
      </c>
    </row>
    <row r="1225">
      <c r="A1225" t="n">
        <v>1224</v>
      </c>
      <c r="B1225">
        <f>IFERROR(INDEX(RawBits!$A:$A,MATCH($A1225,RawBits!$H:$H,0)),"?")</f>
        <v/>
      </c>
      <c r="C1225">
        <f>IFERROR(INDEX(RawBits!$G:$G,MATCH($A1225,RawBits!$H:$H,0)),"")</f>
        <v/>
      </c>
      <c r="D1225">
        <f>IFERROR(IF(AND(A1225&gt;=129,A1225&lt;=2176),INDEX(Fields!$B$2:$B$206,MATCH(A1225-129,Fields!$D$2:$D$206,1)),""),"")</f>
        <v/>
      </c>
      <c r="E1225">
        <f>IFERROR(IF(AND(A1225&gt;=129,A1225&lt;=2176),INDEX(Fields!$C$2:$C$206,MATCH(A1225-129,Fields!$D$2:$D$206,1)),""),"")</f>
        <v/>
      </c>
    </row>
    <row r="1226">
      <c r="A1226" t="n">
        <v>1225</v>
      </c>
      <c r="B1226">
        <f>IFERROR(INDEX(RawBits!$A:$A,MATCH($A1226,RawBits!$H:$H,0)),"?")</f>
        <v/>
      </c>
      <c r="C1226">
        <f>IFERROR(INDEX(RawBits!$G:$G,MATCH($A1226,RawBits!$H:$H,0)),"")</f>
        <v/>
      </c>
      <c r="D1226">
        <f>IFERROR(IF(AND(A1226&gt;=129,A1226&lt;=2176),INDEX(Fields!$B$2:$B$206,MATCH(A1226-129,Fields!$D$2:$D$206,1)),""),"")</f>
        <v/>
      </c>
      <c r="E1226">
        <f>IFERROR(IF(AND(A1226&gt;=129,A1226&lt;=2176),INDEX(Fields!$C$2:$C$206,MATCH(A1226-129,Fields!$D$2:$D$206,1)),""),"")</f>
        <v/>
      </c>
    </row>
    <row r="1227">
      <c r="A1227" t="n">
        <v>1226</v>
      </c>
      <c r="B1227">
        <f>IFERROR(INDEX(RawBits!$A:$A,MATCH($A1227,RawBits!$H:$H,0)),"?")</f>
        <v/>
      </c>
      <c r="C1227">
        <f>IFERROR(INDEX(RawBits!$G:$G,MATCH($A1227,RawBits!$H:$H,0)),"")</f>
        <v/>
      </c>
      <c r="D1227">
        <f>IFERROR(IF(AND(A1227&gt;=129,A1227&lt;=2176),INDEX(Fields!$B$2:$B$206,MATCH(A1227-129,Fields!$D$2:$D$206,1)),""),"")</f>
        <v/>
      </c>
      <c r="E1227">
        <f>IFERROR(IF(AND(A1227&gt;=129,A1227&lt;=2176),INDEX(Fields!$C$2:$C$206,MATCH(A1227-129,Fields!$D$2:$D$206,1)),""),"")</f>
        <v/>
      </c>
    </row>
    <row r="1228">
      <c r="A1228" t="n">
        <v>1227</v>
      </c>
      <c r="B1228">
        <f>IFERROR(INDEX(RawBits!$A:$A,MATCH($A1228,RawBits!$H:$H,0)),"?")</f>
        <v/>
      </c>
      <c r="C1228">
        <f>IFERROR(INDEX(RawBits!$G:$G,MATCH($A1228,RawBits!$H:$H,0)),"")</f>
        <v/>
      </c>
      <c r="D1228">
        <f>IFERROR(IF(AND(A1228&gt;=129,A1228&lt;=2176),INDEX(Fields!$B$2:$B$206,MATCH(A1228-129,Fields!$D$2:$D$206,1)),""),"")</f>
        <v/>
      </c>
      <c r="E1228">
        <f>IFERROR(IF(AND(A1228&gt;=129,A1228&lt;=2176),INDEX(Fields!$C$2:$C$206,MATCH(A1228-129,Fields!$D$2:$D$206,1)),""),"")</f>
        <v/>
      </c>
    </row>
    <row r="1229">
      <c r="A1229" t="n">
        <v>1228</v>
      </c>
      <c r="B1229">
        <f>IFERROR(INDEX(RawBits!$A:$A,MATCH($A1229,RawBits!$H:$H,0)),"?")</f>
        <v/>
      </c>
      <c r="C1229">
        <f>IFERROR(INDEX(RawBits!$G:$G,MATCH($A1229,RawBits!$H:$H,0)),"")</f>
        <v/>
      </c>
      <c r="D1229">
        <f>IFERROR(IF(AND(A1229&gt;=129,A1229&lt;=2176),INDEX(Fields!$B$2:$B$206,MATCH(A1229-129,Fields!$D$2:$D$206,1)),""),"")</f>
        <v/>
      </c>
      <c r="E1229">
        <f>IFERROR(IF(AND(A1229&gt;=129,A1229&lt;=2176),INDEX(Fields!$C$2:$C$206,MATCH(A1229-129,Fields!$D$2:$D$206,1)),""),"")</f>
        <v/>
      </c>
    </row>
    <row r="1230">
      <c r="A1230" t="n">
        <v>1229</v>
      </c>
      <c r="B1230">
        <f>IFERROR(INDEX(RawBits!$A:$A,MATCH($A1230,RawBits!$H:$H,0)),"?")</f>
        <v/>
      </c>
      <c r="C1230">
        <f>IFERROR(INDEX(RawBits!$G:$G,MATCH($A1230,RawBits!$H:$H,0)),"")</f>
        <v/>
      </c>
      <c r="D1230">
        <f>IFERROR(IF(AND(A1230&gt;=129,A1230&lt;=2176),INDEX(Fields!$B$2:$B$206,MATCH(A1230-129,Fields!$D$2:$D$206,1)),""),"")</f>
        <v/>
      </c>
      <c r="E1230">
        <f>IFERROR(IF(AND(A1230&gt;=129,A1230&lt;=2176),INDEX(Fields!$C$2:$C$206,MATCH(A1230-129,Fields!$D$2:$D$206,1)),""),"")</f>
        <v/>
      </c>
    </row>
    <row r="1231">
      <c r="A1231" t="n">
        <v>1230</v>
      </c>
      <c r="B1231">
        <f>IFERROR(INDEX(RawBits!$A:$A,MATCH($A1231,RawBits!$H:$H,0)),"?")</f>
        <v/>
      </c>
      <c r="C1231">
        <f>IFERROR(INDEX(RawBits!$G:$G,MATCH($A1231,RawBits!$H:$H,0)),"")</f>
        <v/>
      </c>
      <c r="D1231">
        <f>IFERROR(IF(AND(A1231&gt;=129,A1231&lt;=2176),INDEX(Fields!$B$2:$B$206,MATCH(A1231-129,Fields!$D$2:$D$206,1)),""),"")</f>
        <v/>
      </c>
      <c r="E1231">
        <f>IFERROR(IF(AND(A1231&gt;=129,A1231&lt;=2176),INDEX(Fields!$C$2:$C$206,MATCH(A1231-129,Fields!$D$2:$D$206,1)),""),"")</f>
        <v/>
      </c>
    </row>
    <row r="1232">
      <c r="A1232" t="n">
        <v>1231</v>
      </c>
      <c r="B1232">
        <f>IFERROR(INDEX(RawBits!$A:$A,MATCH($A1232,RawBits!$H:$H,0)),"?")</f>
        <v/>
      </c>
      <c r="C1232">
        <f>IFERROR(INDEX(RawBits!$G:$G,MATCH($A1232,RawBits!$H:$H,0)),"")</f>
        <v/>
      </c>
      <c r="D1232">
        <f>IFERROR(IF(AND(A1232&gt;=129,A1232&lt;=2176),INDEX(Fields!$B$2:$B$206,MATCH(A1232-129,Fields!$D$2:$D$206,1)),""),"")</f>
        <v/>
      </c>
      <c r="E1232">
        <f>IFERROR(IF(AND(A1232&gt;=129,A1232&lt;=2176),INDEX(Fields!$C$2:$C$206,MATCH(A1232-129,Fields!$D$2:$D$206,1)),""),"")</f>
        <v/>
      </c>
    </row>
    <row r="1233">
      <c r="A1233" t="n">
        <v>1232</v>
      </c>
      <c r="B1233">
        <f>IFERROR(INDEX(RawBits!$A:$A,MATCH($A1233,RawBits!$H:$H,0)),"?")</f>
        <v/>
      </c>
      <c r="C1233">
        <f>IFERROR(INDEX(RawBits!$G:$G,MATCH($A1233,RawBits!$H:$H,0)),"")</f>
        <v/>
      </c>
      <c r="D1233">
        <f>IFERROR(IF(AND(A1233&gt;=129,A1233&lt;=2176),INDEX(Fields!$B$2:$B$206,MATCH(A1233-129,Fields!$D$2:$D$206,1)),""),"")</f>
        <v/>
      </c>
      <c r="E1233">
        <f>IFERROR(IF(AND(A1233&gt;=129,A1233&lt;=2176),INDEX(Fields!$C$2:$C$206,MATCH(A1233-129,Fields!$D$2:$D$206,1)),""),"")</f>
        <v/>
      </c>
    </row>
    <row r="1234">
      <c r="A1234" t="n">
        <v>1233</v>
      </c>
      <c r="B1234">
        <f>IFERROR(INDEX(RawBits!$A:$A,MATCH($A1234,RawBits!$H:$H,0)),"?")</f>
        <v/>
      </c>
      <c r="C1234">
        <f>IFERROR(INDEX(RawBits!$G:$G,MATCH($A1234,RawBits!$H:$H,0)),"")</f>
        <v/>
      </c>
      <c r="D1234">
        <f>IFERROR(IF(AND(A1234&gt;=129,A1234&lt;=2176),INDEX(Fields!$B$2:$B$206,MATCH(A1234-129,Fields!$D$2:$D$206,1)),""),"")</f>
        <v/>
      </c>
      <c r="E1234">
        <f>IFERROR(IF(AND(A1234&gt;=129,A1234&lt;=2176),INDEX(Fields!$C$2:$C$206,MATCH(A1234-129,Fields!$D$2:$D$206,1)),""),"")</f>
        <v/>
      </c>
    </row>
    <row r="1235">
      <c r="A1235" t="n">
        <v>1234</v>
      </c>
      <c r="B1235">
        <f>IFERROR(INDEX(RawBits!$A:$A,MATCH($A1235,RawBits!$H:$H,0)),"?")</f>
        <v/>
      </c>
      <c r="C1235">
        <f>IFERROR(INDEX(RawBits!$G:$G,MATCH($A1235,RawBits!$H:$H,0)),"")</f>
        <v/>
      </c>
      <c r="D1235">
        <f>IFERROR(IF(AND(A1235&gt;=129,A1235&lt;=2176),INDEX(Fields!$B$2:$B$206,MATCH(A1235-129,Fields!$D$2:$D$206,1)),""),"")</f>
        <v/>
      </c>
      <c r="E1235">
        <f>IFERROR(IF(AND(A1235&gt;=129,A1235&lt;=2176),INDEX(Fields!$C$2:$C$206,MATCH(A1235-129,Fields!$D$2:$D$206,1)),""),"")</f>
        <v/>
      </c>
    </row>
    <row r="1236">
      <c r="A1236" t="n">
        <v>1235</v>
      </c>
      <c r="B1236">
        <f>IFERROR(INDEX(RawBits!$A:$A,MATCH($A1236,RawBits!$H:$H,0)),"?")</f>
        <v/>
      </c>
      <c r="C1236">
        <f>IFERROR(INDEX(RawBits!$G:$G,MATCH($A1236,RawBits!$H:$H,0)),"")</f>
        <v/>
      </c>
      <c r="D1236">
        <f>IFERROR(IF(AND(A1236&gt;=129,A1236&lt;=2176),INDEX(Fields!$B$2:$B$206,MATCH(A1236-129,Fields!$D$2:$D$206,1)),""),"")</f>
        <v/>
      </c>
      <c r="E1236">
        <f>IFERROR(IF(AND(A1236&gt;=129,A1236&lt;=2176),INDEX(Fields!$C$2:$C$206,MATCH(A1236-129,Fields!$D$2:$D$206,1)),""),"")</f>
        <v/>
      </c>
    </row>
    <row r="1237">
      <c r="A1237" t="n">
        <v>1236</v>
      </c>
      <c r="B1237">
        <f>IFERROR(INDEX(RawBits!$A:$A,MATCH($A1237,RawBits!$H:$H,0)),"?")</f>
        <v/>
      </c>
      <c r="C1237">
        <f>IFERROR(INDEX(RawBits!$G:$G,MATCH($A1237,RawBits!$H:$H,0)),"")</f>
        <v/>
      </c>
      <c r="D1237">
        <f>IFERROR(IF(AND(A1237&gt;=129,A1237&lt;=2176),INDEX(Fields!$B$2:$B$206,MATCH(A1237-129,Fields!$D$2:$D$206,1)),""),"")</f>
        <v/>
      </c>
      <c r="E1237">
        <f>IFERROR(IF(AND(A1237&gt;=129,A1237&lt;=2176),INDEX(Fields!$C$2:$C$206,MATCH(A1237-129,Fields!$D$2:$D$206,1)),""),"")</f>
        <v/>
      </c>
    </row>
    <row r="1238">
      <c r="A1238" t="n">
        <v>1237</v>
      </c>
      <c r="B1238">
        <f>IFERROR(INDEX(RawBits!$A:$A,MATCH($A1238,RawBits!$H:$H,0)),"?")</f>
        <v/>
      </c>
      <c r="C1238">
        <f>IFERROR(INDEX(RawBits!$G:$G,MATCH($A1238,RawBits!$H:$H,0)),"")</f>
        <v/>
      </c>
      <c r="D1238">
        <f>IFERROR(IF(AND(A1238&gt;=129,A1238&lt;=2176),INDEX(Fields!$B$2:$B$206,MATCH(A1238-129,Fields!$D$2:$D$206,1)),""),"")</f>
        <v/>
      </c>
      <c r="E1238">
        <f>IFERROR(IF(AND(A1238&gt;=129,A1238&lt;=2176),INDEX(Fields!$C$2:$C$206,MATCH(A1238-129,Fields!$D$2:$D$206,1)),""),"")</f>
        <v/>
      </c>
    </row>
    <row r="1239">
      <c r="A1239" t="n">
        <v>1238</v>
      </c>
      <c r="B1239">
        <f>IFERROR(INDEX(RawBits!$A:$A,MATCH($A1239,RawBits!$H:$H,0)),"?")</f>
        <v/>
      </c>
      <c r="C1239">
        <f>IFERROR(INDEX(RawBits!$G:$G,MATCH($A1239,RawBits!$H:$H,0)),"")</f>
        <v/>
      </c>
      <c r="D1239">
        <f>IFERROR(IF(AND(A1239&gt;=129,A1239&lt;=2176),INDEX(Fields!$B$2:$B$206,MATCH(A1239-129,Fields!$D$2:$D$206,1)),""),"")</f>
        <v/>
      </c>
      <c r="E1239">
        <f>IFERROR(IF(AND(A1239&gt;=129,A1239&lt;=2176),INDEX(Fields!$C$2:$C$206,MATCH(A1239-129,Fields!$D$2:$D$206,1)),""),"")</f>
        <v/>
      </c>
    </row>
    <row r="1240">
      <c r="A1240" t="n">
        <v>1239</v>
      </c>
      <c r="B1240">
        <f>IFERROR(INDEX(RawBits!$A:$A,MATCH($A1240,RawBits!$H:$H,0)),"?")</f>
        <v/>
      </c>
      <c r="C1240">
        <f>IFERROR(INDEX(RawBits!$G:$G,MATCH($A1240,RawBits!$H:$H,0)),"")</f>
        <v/>
      </c>
      <c r="D1240">
        <f>IFERROR(IF(AND(A1240&gt;=129,A1240&lt;=2176),INDEX(Fields!$B$2:$B$206,MATCH(A1240-129,Fields!$D$2:$D$206,1)),""),"")</f>
        <v/>
      </c>
      <c r="E1240">
        <f>IFERROR(IF(AND(A1240&gt;=129,A1240&lt;=2176),INDEX(Fields!$C$2:$C$206,MATCH(A1240-129,Fields!$D$2:$D$206,1)),""),"")</f>
        <v/>
      </c>
    </row>
    <row r="1241">
      <c r="A1241" t="n">
        <v>1240</v>
      </c>
      <c r="B1241">
        <f>IFERROR(INDEX(RawBits!$A:$A,MATCH($A1241,RawBits!$H:$H,0)),"?")</f>
        <v/>
      </c>
      <c r="C1241">
        <f>IFERROR(INDEX(RawBits!$G:$G,MATCH($A1241,RawBits!$H:$H,0)),"")</f>
        <v/>
      </c>
      <c r="D1241">
        <f>IFERROR(IF(AND(A1241&gt;=129,A1241&lt;=2176),INDEX(Fields!$B$2:$B$206,MATCH(A1241-129,Fields!$D$2:$D$206,1)),""),"")</f>
        <v/>
      </c>
      <c r="E1241">
        <f>IFERROR(IF(AND(A1241&gt;=129,A1241&lt;=2176),INDEX(Fields!$C$2:$C$206,MATCH(A1241-129,Fields!$D$2:$D$206,1)),""),"")</f>
        <v/>
      </c>
    </row>
    <row r="1242">
      <c r="A1242" t="n">
        <v>1241</v>
      </c>
      <c r="B1242">
        <f>IFERROR(INDEX(RawBits!$A:$A,MATCH($A1242,RawBits!$H:$H,0)),"?")</f>
        <v/>
      </c>
      <c r="C1242">
        <f>IFERROR(INDEX(RawBits!$G:$G,MATCH($A1242,RawBits!$H:$H,0)),"")</f>
        <v/>
      </c>
      <c r="D1242">
        <f>IFERROR(IF(AND(A1242&gt;=129,A1242&lt;=2176),INDEX(Fields!$B$2:$B$206,MATCH(A1242-129,Fields!$D$2:$D$206,1)),""),"")</f>
        <v/>
      </c>
      <c r="E1242">
        <f>IFERROR(IF(AND(A1242&gt;=129,A1242&lt;=2176),INDEX(Fields!$C$2:$C$206,MATCH(A1242-129,Fields!$D$2:$D$206,1)),""),"")</f>
        <v/>
      </c>
    </row>
    <row r="1243">
      <c r="A1243" t="n">
        <v>1242</v>
      </c>
      <c r="B1243">
        <f>IFERROR(INDEX(RawBits!$A:$A,MATCH($A1243,RawBits!$H:$H,0)),"?")</f>
        <v/>
      </c>
      <c r="C1243">
        <f>IFERROR(INDEX(RawBits!$G:$G,MATCH($A1243,RawBits!$H:$H,0)),"")</f>
        <v/>
      </c>
      <c r="D1243">
        <f>IFERROR(IF(AND(A1243&gt;=129,A1243&lt;=2176),INDEX(Fields!$B$2:$B$206,MATCH(A1243-129,Fields!$D$2:$D$206,1)),""),"")</f>
        <v/>
      </c>
      <c r="E1243">
        <f>IFERROR(IF(AND(A1243&gt;=129,A1243&lt;=2176),INDEX(Fields!$C$2:$C$206,MATCH(A1243-129,Fields!$D$2:$D$206,1)),""),"")</f>
        <v/>
      </c>
    </row>
    <row r="1244">
      <c r="A1244" t="n">
        <v>1243</v>
      </c>
      <c r="B1244">
        <f>IFERROR(INDEX(RawBits!$A:$A,MATCH($A1244,RawBits!$H:$H,0)),"?")</f>
        <v/>
      </c>
      <c r="C1244">
        <f>IFERROR(INDEX(RawBits!$G:$G,MATCH($A1244,RawBits!$H:$H,0)),"")</f>
        <v/>
      </c>
      <c r="D1244">
        <f>IFERROR(IF(AND(A1244&gt;=129,A1244&lt;=2176),INDEX(Fields!$B$2:$B$206,MATCH(A1244-129,Fields!$D$2:$D$206,1)),""),"")</f>
        <v/>
      </c>
      <c r="E1244">
        <f>IFERROR(IF(AND(A1244&gt;=129,A1244&lt;=2176),INDEX(Fields!$C$2:$C$206,MATCH(A1244-129,Fields!$D$2:$D$206,1)),""),"")</f>
        <v/>
      </c>
    </row>
    <row r="1245">
      <c r="A1245" t="n">
        <v>1244</v>
      </c>
      <c r="B1245">
        <f>IFERROR(INDEX(RawBits!$A:$A,MATCH($A1245,RawBits!$H:$H,0)),"?")</f>
        <v/>
      </c>
      <c r="C1245">
        <f>IFERROR(INDEX(RawBits!$G:$G,MATCH($A1245,RawBits!$H:$H,0)),"")</f>
        <v/>
      </c>
      <c r="D1245">
        <f>IFERROR(IF(AND(A1245&gt;=129,A1245&lt;=2176),INDEX(Fields!$B$2:$B$206,MATCH(A1245-129,Fields!$D$2:$D$206,1)),""),"")</f>
        <v/>
      </c>
      <c r="E1245">
        <f>IFERROR(IF(AND(A1245&gt;=129,A1245&lt;=2176),INDEX(Fields!$C$2:$C$206,MATCH(A1245-129,Fields!$D$2:$D$206,1)),""),"")</f>
        <v/>
      </c>
    </row>
    <row r="1246">
      <c r="A1246" t="n">
        <v>1245</v>
      </c>
      <c r="B1246">
        <f>IFERROR(INDEX(RawBits!$A:$A,MATCH($A1246,RawBits!$H:$H,0)),"?")</f>
        <v/>
      </c>
      <c r="C1246">
        <f>IFERROR(INDEX(RawBits!$G:$G,MATCH($A1246,RawBits!$H:$H,0)),"")</f>
        <v/>
      </c>
      <c r="D1246">
        <f>IFERROR(IF(AND(A1246&gt;=129,A1246&lt;=2176),INDEX(Fields!$B$2:$B$206,MATCH(A1246-129,Fields!$D$2:$D$206,1)),""),"")</f>
        <v/>
      </c>
      <c r="E1246">
        <f>IFERROR(IF(AND(A1246&gt;=129,A1246&lt;=2176),INDEX(Fields!$C$2:$C$206,MATCH(A1246-129,Fields!$D$2:$D$206,1)),""),"")</f>
        <v/>
      </c>
    </row>
    <row r="1247">
      <c r="A1247" t="n">
        <v>1246</v>
      </c>
      <c r="B1247">
        <f>IFERROR(INDEX(RawBits!$A:$A,MATCH($A1247,RawBits!$H:$H,0)),"?")</f>
        <v/>
      </c>
      <c r="C1247">
        <f>IFERROR(INDEX(RawBits!$G:$G,MATCH($A1247,RawBits!$H:$H,0)),"")</f>
        <v/>
      </c>
      <c r="D1247">
        <f>IFERROR(IF(AND(A1247&gt;=129,A1247&lt;=2176),INDEX(Fields!$B$2:$B$206,MATCH(A1247-129,Fields!$D$2:$D$206,1)),""),"")</f>
        <v/>
      </c>
      <c r="E1247">
        <f>IFERROR(IF(AND(A1247&gt;=129,A1247&lt;=2176),INDEX(Fields!$C$2:$C$206,MATCH(A1247-129,Fields!$D$2:$D$206,1)),""),"")</f>
        <v/>
      </c>
    </row>
    <row r="1248">
      <c r="A1248" t="n">
        <v>1247</v>
      </c>
      <c r="B1248">
        <f>IFERROR(INDEX(RawBits!$A:$A,MATCH($A1248,RawBits!$H:$H,0)),"?")</f>
        <v/>
      </c>
      <c r="C1248">
        <f>IFERROR(INDEX(RawBits!$G:$G,MATCH($A1248,RawBits!$H:$H,0)),"")</f>
        <v/>
      </c>
      <c r="D1248">
        <f>IFERROR(IF(AND(A1248&gt;=129,A1248&lt;=2176),INDEX(Fields!$B$2:$B$206,MATCH(A1248-129,Fields!$D$2:$D$206,1)),""),"")</f>
        <v/>
      </c>
      <c r="E1248">
        <f>IFERROR(IF(AND(A1248&gt;=129,A1248&lt;=2176),INDEX(Fields!$C$2:$C$206,MATCH(A1248-129,Fields!$D$2:$D$206,1)),""),"")</f>
        <v/>
      </c>
    </row>
    <row r="1249">
      <c r="A1249" t="n">
        <v>1248</v>
      </c>
      <c r="B1249">
        <f>IFERROR(INDEX(RawBits!$A:$A,MATCH($A1249,RawBits!$H:$H,0)),"?")</f>
        <v/>
      </c>
      <c r="C1249">
        <f>IFERROR(INDEX(RawBits!$G:$G,MATCH($A1249,RawBits!$H:$H,0)),"")</f>
        <v/>
      </c>
      <c r="D1249">
        <f>IFERROR(IF(AND(A1249&gt;=129,A1249&lt;=2176),INDEX(Fields!$B$2:$B$206,MATCH(A1249-129,Fields!$D$2:$D$206,1)),""),"")</f>
        <v/>
      </c>
      <c r="E1249">
        <f>IFERROR(IF(AND(A1249&gt;=129,A1249&lt;=2176),INDEX(Fields!$C$2:$C$206,MATCH(A1249-129,Fields!$D$2:$D$206,1)),""),"")</f>
        <v/>
      </c>
    </row>
    <row r="1250">
      <c r="A1250" t="n">
        <v>1249</v>
      </c>
      <c r="B1250">
        <f>IFERROR(INDEX(RawBits!$A:$A,MATCH($A1250,RawBits!$H:$H,0)),"?")</f>
        <v/>
      </c>
      <c r="C1250">
        <f>IFERROR(INDEX(RawBits!$G:$G,MATCH($A1250,RawBits!$H:$H,0)),"")</f>
        <v/>
      </c>
      <c r="D1250">
        <f>IFERROR(IF(AND(A1250&gt;=129,A1250&lt;=2176),INDEX(Fields!$B$2:$B$206,MATCH(A1250-129,Fields!$D$2:$D$206,1)),""),"")</f>
        <v/>
      </c>
      <c r="E1250">
        <f>IFERROR(IF(AND(A1250&gt;=129,A1250&lt;=2176),INDEX(Fields!$C$2:$C$206,MATCH(A1250-129,Fields!$D$2:$D$206,1)),""),"")</f>
        <v/>
      </c>
    </row>
    <row r="1251">
      <c r="A1251" t="n">
        <v>1250</v>
      </c>
      <c r="B1251">
        <f>IFERROR(INDEX(RawBits!$A:$A,MATCH($A1251,RawBits!$H:$H,0)),"?")</f>
        <v/>
      </c>
      <c r="C1251">
        <f>IFERROR(INDEX(RawBits!$G:$G,MATCH($A1251,RawBits!$H:$H,0)),"")</f>
        <v/>
      </c>
      <c r="D1251">
        <f>IFERROR(IF(AND(A1251&gt;=129,A1251&lt;=2176),INDEX(Fields!$B$2:$B$206,MATCH(A1251-129,Fields!$D$2:$D$206,1)),""),"")</f>
        <v/>
      </c>
      <c r="E1251">
        <f>IFERROR(IF(AND(A1251&gt;=129,A1251&lt;=2176),INDEX(Fields!$C$2:$C$206,MATCH(A1251-129,Fields!$D$2:$D$206,1)),""),"")</f>
        <v/>
      </c>
    </row>
    <row r="1252">
      <c r="A1252" t="n">
        <v>1251</v>
      </c>
      <c r="B1252">
        <f>IFERROR(INDEX(RawBits!$A:$A,MATCH($A1252,RawBits!$H:$H,0)),"?")</f>
        <v/>
      </c>
      <c r="C1252">
        <f>IFERROR(INDEX(RawBits!$G:$G,MATCH($A1252,RawBits!$H:$H,0)),"")</f>
        <v/>
      </c>
      <c r="D1252">
        <f>IFERROR(IF(AND(A1252&gt;=129,A1252&lt;=2176),INDEX(Fields!$B$2:$B$206,MATCH(A1252-129,Fields!$D$2:$D$206,1)),""),"")</f>
        <v/>
      </c>
      <c r="E1252">
        <f>IFERROR(IF(AND(A1252&gt;=129,A1252&lt;=2176),INDEX(Fields!$C$2:$C$206,MATCH(A1252-129,Fields!$D$2:$D$206,1)),""),"")</f>
        <v/>
      </c>
    </row>
    <row r="1253">
      <c r="A1253" t="n">
        <v>1252</v>
      </c>
      <c r="B1253">
        <f>IFERROR(INDEX(RawBits!$A:$A,MATCH($A1253,RawBits!$H:$H,0)),"?")</f>
        <v/>
      </c>
      <c r="C1253">
        <f>IFERROR(INDEX(RawBits!$G:$G,MATCH($A1253,RawBits!$H:$H,0)),"")</f>
        <v/>
      </c>
      <c r="D1253">
        <f>IFERROR(IF(AND(A1253&gt;=129,A1253&lt;=2176),INDEX(Fields!$B$2:$B$206,MATCH(A1253-129,Fields!$D$2:$D$206,1)),""),"")</f>
        <v/>
      </c>
      <c r="E1253">
        <f>IFERROR(IF(AND(A1253&gt;=129,A1253&lt;=2176),INDEX(Fields!$C$2:$C$206,MATCH(A1253-129,Fields!$D$2:$D$206,1)),""),"")</f>
        <v/>
      </c>
    </row>
    <row r="1254">
      <c r="A1254" t="n">
        <v>1253</v>
      </c>
      <c r="B1254">
        <f>IFERROR(INDEX(RawBits!$A:$A,MATCH($A1254,RawBits!$H:$H,0)),"?")</f>
        <v/>
      </c>
      <c r="C1254">
        <f>IFERROR(INDEX(RawBits!$G:$G,MATCH($A1254,RawBits!$H:$H,0)),"")</f>
        <v/>
      </c>
      <c r="D1254">
        <f>IFERROR(IF(AND(A1254&gt;=129,A1254&lt;=2176),INDEX(Fields!$B$2:$B$206,MATCH(A1254-129,Fields!$D$2:$D$206,1)),""),"")</f>
        <v/>
      </c>
      <c r="E1254">
        <f>IFERROR(IF(AND(A1254&gt;=129,A1254&lt;=2176),INDEX(Fields!$C$2:$C$206,MATCH(A1254-129,Fields!$D$2:$D$206,1)),""),"")</f>
        <v/>
      </c>
    </row>
    <row r="1255">
      <c r="A1255" t="n">
        <v>1254</v>
      </c>
      <c r="B1255">
        <f>IFERROR(INDEX(RawBits!$A:$A,MATCH($A1255,RawBits!$H:$H,0)),"?")</f>
        <v/>
      </c>
      <c r="C1255">
        <f>IFERROR(INDEX(RawBits!$G:$G,MATCH($A1255,RawBits!$H:$H,0)),"")</f>
        <v/>
      </c>
      <c r="D1255">
        <f>IFERROR(IF(AND(A1255&gt;=129,A1255&lt;=2176),INDEX(Fields!$B$2:$B$206,MATCH(A1255-129,Fields!$D$2:$D$206,1)),""),"")</f>
        <v/>
      </c>
      <c r="E1255">
        <f>IFERROR(IF(AND(A1255&gt;=129,A1255&lt;=2176),INDEX(Fields!$C$2:$C$206,MATCH(A1255-129,Fields!$D$2:$D$206,1)),""),"")</f>
        <v/>
      </c>
    </row>
    <row r="1256">
      <c r="A1256" t="n">
        <v>1255</v>
      </c>
      <c r="B1256">
        <f>IFERROR(INDEX(RawBits!$A:$A,MATCH($A1256,RawBits!$H:$H,0)),"?")</f>
        <v/>
      </c>
      <c r="C1256">
        <f>IFERROR(INDEX(RawBits!$G:$G,MATCH($A1256,RawBits!$H:$H,0)),"")</f>
        <v/>
      </c>
      <c r="D1256">
        <f>IFERROR(IF(AND(A1256&gt;=129,A1256&lt;=2176),INDEX(Fields!$B$2:$B$206,MATCH(A1256-129,Fields!$D$2:$D$206,1)),""),"")</f>
        <v/>
      </c>
      <c r="E1256">
        <f>IFERROR(IF(AND(A1256&gt;=129,A1256&lt;=2176),INDEX(Fields!$C$2:$C$206,MATCH(A1256-129,Fields!$D$2:$D$206,1)),""),"")</f>
        <v/>
      </c>
    </row>
    <row r="1257">
      <c r="A1257" t="n">
        <v>1256</v>
      </c>
      <c r="B1257">
        <f>IFERROR(INDEX(RawBits!$A:$A,MATCH($A1257,RawBits!$H:$H,0)),"?")</f>
        <v/>
      </c>
      <c r="C1257">
        <f>IFERROR(INDEX(RawBits!$G:$G,MATCH($A1257,RawBits!$H:$H,0)),"")</f>
        <v/>
      </c>
      <c r="D1257">
        <f>IFERROR(IF(AND(A1257&gt;=129,A1257&lt;=2176),INDEX(Fields!$B$2:$B$206,MATCH(A1257-129,Fields!$D$2:$D$206,1)),""),"")</f>
        <v/>
      </c>
      <c r="E1257">
        <f>IFERROR(IF(AND(A1257&gt;=129,A1257&lt;=2176),INDEX(Fields!$C$2:$C$206,MATCH(A1257-129,Fields!$D$2:$D$206,1)),""),"")</f>
        <v/>
      </c>
    </row>
    <row r="1258">
      <c r="A1258" t="n">
        <v>1257</v>
      </c>
      <c r="B1258">
        <f>IFERROR(INDEX(RawBits!$A:$A,MATCH($A1258,RawBits!$H:$H,0)),"?")</f>
        <v/>
      </c>
      <c r="C1258">
        <f>IFERROR(INDEX(RawBits!$G:$G,MATCH($A1258,RawBits!$H:$H,0)),"")</f>
        <v/>
      </c>
      <c r="D1258">
        <f>IFERROR(IF(AND(A1258&gt;=129,A1258&lt;=2176),INDEX(Fields!$B$2:$B$206,MATCH(A1258-129,Fields!$D$2:$D$206,1)),""),"")</f>
        <v/>
      </c>
      <c r="E1258">
        <f>IFERROR(IF(AND(A1258&gt;=129,A1258&lt;=2176),INDEX(Fields!$C$2:$C$206,MATCH(A1258-129,Fields!$D$2:$D$206,1)),""),"")</f>
        <v/>
      </c>
    </row>
    <row r="1259">
      <c r="A1259" t="n">
        <v>1258</v>
      </c>
      <c r="B1259">
        <f>IFERROR(INDEX(RawBits!$A:$A,MATCH($A1259,RawBits!$H:$H,0)),"?")</f>
        <v/>
      </c>
      <c r="C1259">
        <f>IFERROR(INDEX(RawBits!$G:$G,MATCH($A1259,RawBits!$H:$H,0)),"")</f>
        <v/>
      </c>
      <c r="D1259">
        <f>IFERROR(IF(AND(A1259&gt;=129,A1259&lt;=2176),INDEX(Fields!$B$2:$B$206,MATCH(A1259-129,Fields!$D$2:$D$206,1)),""),"")</f>
        <v/>
      </c>
      <c r="E1259">
        <f>IFERROR(IF(AND(A1259&gt;=129,A1259&lt;=2176),INDEX(Fields!$C$2:$C$206,MATCH(A1259-129,Fields!$D$2:$D$206,1)),""),"")</f>
        <v/>
      </c>
    </row>
    <row r="1260">
      <c r="A1260" t="n">
        <v>1259</v>
      </c>
      <c r="B1260">
        <f>IFERROR(INDEX(RawBits!$A:$A,MATCH($A1260,RawBits!$H:$H,0)),"?")</f>
        <v/>
      </c>
      <c r="C1260">
        <f>IFERROR(INDEX(RawBits!$G:$G,MATCH($A1260,RawBits!$H:$H,0)),"")</f>
        <v/>
      </c>
      <c r="D1260">
        <f>IFERROR(IF(AND(A1260&gt;=129,A1260&lt;=2176),INDEX(Fields!$B$2:$B$206,MATCH(A1260-129,Fields!$D$2:$D$206,1)),""),"")</f>
        <v/>
      </c>
      <c r="E1260">
        <f>IFERROR(IF(AND(A1260&gt;=129,A1260&lt;=2176),INDEX(Fields!$C$2:$C$206,MATCH(A1260-129,Fields!$D$2:$D$206,1)),""),"")</f>
        <v/>
      </c>
    </row>
    <row r="1261">
      <c r="A1261" t="n">
        <v>1260</v>
      </c>
      <c r="B1261">
        <f>IFERROR(INDEX(RawBits!$A:$A,MATCH($A1261,RawBits!$H:$H,0)),"?")</f>
        <v/>
      </c>
      <c r="C1261">
        <f>IFERROR(INDEX(RawBits!$G:$G,MATCH($A1261,RawBits!$H:$H,0)),"")</f>
        <v/>
      </c>
      <c r="D1261">
        <f>IFERROR(IF(AND(A1261&gt;=129,A1261&lt;=2176),INDEX(Fields!$B$2:$B$206,MATCH(A1261-129,Fields!$D$2:$D$206,1)),""),"")</f>
        <v/>
      </c>
      <c r="E1261">
        <f>IFERROR(IF(AND(A1261&gt;=129,A1261&lt;=2176),INDEX(Fields!$C$2:$C$206,MATCH(A1261-129,Fields!$D$2:$D$206,1)),""),"")</f>
        <v/>
      </c>
    </row>
    <row r="1262">
      <c r="A1262" t="n">
        <v>1261</v>
      </c>
      <c r="B1262">
        <f>IFERROR(INDEX(RawBits!$A:$A,MATCH($A1262,RawBits!$H:$H,0)),"?")</f>
        <v/>
      </c>
      <c r="C1262">
        <f>IFERROR(INDEX(RawBits!$G:$G,MATCH($A1262,RawBits!$H:$H,0)),"")</f>
        <v/>
      </c>
      <c r="D1262">
        <f>IFERROR(IF(AND(A1262&gt;=129,A1262&lt;=2176),INDEX(Fields!$B$2:$B$206,MATCH(A1262-129,Fields!$D$2:$D$206,1)),""),"")</f>
        <v/>
      </c>
      <c r="E1262">
        <f>IFERROR(IF(AND(A1262&gt;=129,A1262&lt;=2176),INDEX(Fields!$C$2:$C$206,MATCH(A1262-129,Fields!$D$2:$D$206,1)),""),"")</f>
        <v/>
      </c>
    </row>
    <row r="1263">
      <c r="A1263" t="n">
        <v>1262</v>
      </c>
      <c r="B1263">
        <f>IFERROR(INDEX(RawBits!$A:$A,MATCH($A1263,RawBits!$H:$H,0)),"?")</f>
        <v/>
      </c>
      <c r="C1263">
        <f>IFERROR(INDEX(RawBits!$G:$G,MATCH($A1263,RawBits!$H:$H,0)),"")</f>
        <v/>
      </c>
      <c r="D1263">
        <f>IFERROR(IF(AND(A1263&gt;=129,A1263&lt;=2176),INDEX(Fields!$B$2:$B$206,MATCH(A1263-129,Fields!$D$2:$D$206,1)),""),"")</f>
        <v/>
      </c>
      <c r="E1263">
        <f>IFERROR(IF(AND(A1263&gt;=129,A1263&lt;=2176),INDEX(Fields!$C$2:$C$206,MATCH(A1263-129,Fields!$D$2:$D$206,1)),""),"")</f>
        <v/>
      </c>
    </row>
    <row r="1264">
      <c r="A1264" t="n">
        <v>1263</v>
      </c>
      <c r="B1264">
        <f>IFERROR(INDEX(RawBits!$A:$A,MATCH($A1264,RawBits!$H:$H,0)),"?")</f>
        <v/>
      </c>
      <c r="C1264">
        <f>IFERROR(INDEX(RawBits!$G:$G,MATCH($A1264,RawBits!$H:$H,0)),"")</f>
        <v/>
      </c>
      <c r="D1264">
        <f>IFERROR(IF(AND(A1264&gt;=129,A1264&lt;=2176),INDEX(Fields!$B$2:$B$206,MATCH(A1264-129,Fields!$D$2:$D$206,1)),""),"")</f>
        <v/>
      </c>
      <c r="E1264">
        <f>IFERROR(IF(AND(A1264&gt;=129,A1264&lt;=2176),INDEX(Fields!$C$2:$C$206,MATCH(A1264-129,Fields!$D$2:$D$206,1)),""),"")</f>
        <v/>
      </c>
    </row>
    <row r="1265">
      <c r="A1265" t="n">
        <v>1264</v>
      </c>
      <c r="B1265">
        <f>IFERROR(INDEX(RawBits!$A:$A,MATCH($A1265,RawBits!$H:$H,0)),"?")</f>
        <v/>
      </c>
      <c r="C1265">
        <f>IFERROR(INDEX(RawBits!$G:$G,MATCH($A1265,RawBits!$H:$H,0)),"")</f>
        <v/>
      </c>
      <c r="D1265">
        <f>IFERROR(IF(AND(A1265&gt;=129,A1265&lt;=2176),INDEX(Fields!$B$2:$B$206,MATCH(A1265-129,Fields!$D$2:$D$206,1)),""),"")</f>
        <v/>
      </c>
      <c r="E1265">
        <f>IFERROR(IF(AND(A1265&gt;=129,A1265&lt;=2176),INDEX(Fields!$C$2:$C$206,MATCH(A1265-129,Fields!$D$2:$D$206,1)),""),"")</f>
        <v/>
      </c>
    </row>
    <row r="1266">
      <c r="A1266" t="n">
        <v>1265</v>
      </c>
      <c r="B1266">
        <f>IFERROR(INDEX(RawBits!$A:$A,MATCH($A1266,RawBits!$H:$H,0)),"?")</f>
        <v/>
      </c>
      <c r="C1266">
        <f>IFERROR(INDEX(RawBits!$G:$G,MATCH($A1266,RawBits!$H:$H,0)),"")</f>
        <v/>
      </c>
      <c r="D1266">
        <f>IFERROR(IF(AND(A1266&gt;=129,A1266&lt;=2176),INDEX(Fields!$B$2:$B$206,MATCH(A1266-129,Fields!$D$2:$D$206,1)),""),"")</f>
        <v/>
      </c>
      <c r="E1266">
        <f>IFERROR(IF(AND(A1266&gt;=129,A1266&lt;=2176),INDEX(Fields!$C$2:$C$206,MATCH(A1266-129,Fields!$D$2:$D$206,1)),""),"")</f>
        <v/>
      </c>
    </row>
    <row r="1267">
      <c r="A1267" t="n">
        <v>1266</v>
      </c>
      <c r="B1267">
        <f>IFERROR(INDEX(RawBits!$A:$A,MATCH($A1267,RawBits!$H:$H,0)),"?")</f>
        <v/>
      </c>
      <c r="C1267">
        <f>IFERROR(INDEX(RawBits!$G:$G,MATCH($A1267,RawBits!$H:$H,0)),"")</f>
        <v/>
      </c>
      <c r="D1267">
        <f>IFERROR(IF(AND(A1267&gt;=129,A1267&lt;=2176),INDEX(Fields!$B$2:$B$206,MATCH(A1267-129,Fields!$D$2:$D$206,1)),""),"")</f>
        <v/>
      </c>
      <c r="E1267">
        <f>IFERROR(IF(AND(A1267&gt;=129,A1267&lt;=2176),INDEX(Fields!$C$2:$C$206,MATCH(A1267-129,Fields!$D$2:$D$206,1)),""),"")</f>
        <v/>
      </c>
    </row>
    <row r="1268">
      <c r="A1268" t="n">
        <v>1267</v>
      </c>
      <c r="B1268">
        <f>IFERROR(INDEX(RawBits!$A:$A,MATCH($A1268,RawBits!$H:$H,0)),"?")</f>
        <v/>
      </c>
      <c r="C1268">
        <f>IFERROR(INDEX(RawBits!$G:$G,MATCH($A1268,RawBits!$H:$H,0)),"")</f>
        <v/>
      </c>
      <c r="D1268">
        <f>IFERROR(IF(AND(A1268&gt;=129,A1268&lt;=2176),INDEX(Fields!$B$2:$B$206,MATCH(A1268-129,Fields!$D$2:$D$206,1)),""),"")</f>
        <v/>
      </c>
      <c r="E1268">
        <f>IFERROR(IF(AND(A1268&gt;=129,A1268&lt;=2176),INDEX(Fields!$C$2:$C$206,MATCH(A1268-129,Fields!$D$2:$D$206,1)),""),"")</f>
        <v/>
      </c>
    </row>
    <row r="1269">
      <c r="A1269" t="n">
        <v>1268</v>
      </c>
      <c r="B1269">
        <f>IFERROR(INDEX(RawBits!$A:$A,MATCH($A1269,RawBits!$H:$H,0)),"?")</f>
        <v/>
      </c>
      <c r="C1269">
        <f>IFERROR(INDEX(RawBits!$G:$G,MATCH($A1269,RawBits!$H:$H,0)),"")</f>
        <v/>
      </c>
      <c r="D1269">
        <f>IFERROR(IF(AND(A1269&gt;=129,A1269&lt;=2176),INDEX(Fields!$B$2:$B$206,MATCH(A1269-129,Fields!$D$2:$D$206,1)),""),"")</f>
        <v/>
      </c>
      <c r="E1269">
        <f>IFERROR(IF(AND(A1269&gt;=129,A1269&lt;=2176),INDEX(Fields!$C$2:$C$206,MATCH(A1269-129,Fields!$D$2:$D$206,1)),""),"")</f>
        <v/>
      </c>
    </row>
    <row r="1270">
      <c r="A1270" t="n">
        <v>1269</v>
      </c>
      <c r="B1270">
        <f>IFERROR(INDEX(RawBits!$A:$A,MATCH($A1270,RawBits!$H:$H,0)),"?")</f>
        <v/>
      </c>
      <c r="C1270">
        <f>IFERROR(INDEX(RawBits!$G:$G,MATCH($A1270,RawBits!$H:$H,0)),"")</f>
        <v/>
      </c>
      <c r="D1270">
        <f>IFERROR(IF(AND(A1270&gt;=129,A1270&lt;=2176),INDEX(Fields!$B$2:$B$206,MATCH(A1270-129,Fields!$D$2:$D$206,1)),""),"")</f>
        <v/>
      </c>
      <c r="E1270">
        <f>IFERROR(IF(AND(A1270&gt;=129,A1270&lt;=2176),INDEX(Fields!$C$2:$C$206,MATCH(A1270-129,Fields!$D$2:$D$206,1)),""),"")</f>
        <v/>
      </c>
    </row>
    <row r="1271">
      <c r="A1271" t="n">
        <v>1270</v>
      </c>
      <c r="B1271">
        <f>IFERROR(INDEX(RawBits!$A:$A,MATCH($A1271,RawBits!$H:$H,0)),"?")</f>
        <v/>
      </c>
      <c r="C1271">
        <f>IFERROR(INDEX(RawBits!$G:$G,MATCH($A1271,RawBits!$H:$H,0)),"")</f>
        <v/>
      </c>
      <c r="D1271">
        <f>IFERROR(IF(AND(A1271&gt;=129,A1271&lt;=2176),INDEX(Fields!$B$2:$B$206,MATCH(A1271-129,Fields!$D$2:$D$206,1)),""),"")</f>
        <v/>
      </c>
      <c r="E1271">
        <f>IFERROR(IF(AND(A1271&gt;=129,A1271&lt;=2176),INDEX(Fields!$C$2:$C$206,MATCH(A1271-129,Fields!$D$2:$D$206,1)),""),"")</f>
        <v/>
      </c>
    </row>
    <row r="1272">
      <c r="A1272" t="n">
        <v>1271</v>
      </c>
      <c r="B1272">
        <f>IFERROR(INDEX(RawBits!$A:$A,MATCH($A1272,RawBits!$H:$H,0)),"?")</f>
        <v/>
      </c>
      <c r="C1272">
        <f>IFERROR(INDEX(RawBits!$G:$G,MATCH($A1272,RawBits!$H:$H,0)),"")</f>
        <v/>
      </c>
      <c r="D1272">
        <f>IFERROR(IF(AND(A1272&gt;=129,A1272&lt;=2176),INDEX(Fields!$B$2:$B$206,MATCH(A1272-129,Fields!$D$2:$D$206,1)),""),"")</f>
        <v/>
      </c>
      <c r="E1272">
        <f>IFERROR(IF(AND(A1272&gt;=129,A1272&lt;=2176),INDEX(Fields!$C$2:$C$206,MATCH(A1272-129,Fields!$D$2:$D$206,1)),""),"")</f>
        <v/>
      </c>
    </row>
    <row r="1273">
      <c r="A1273" t="n">
        <v>1272</v>
      </c>
      <c r="B1273">
        <f>IFERROR(INDEX(RawBits!$A:$A,MATCH($A1273,RawBits!$H:$H,0)),"?")</f>
        <v/>
      </c>
      <c r="C1273">
        <f>IFERROR(INDEX(RawBits!$G:$G,MATCH($A1273,RawBits!$H:$H,0)),"")</f>
        <v/>
      </c>
      <c r="D1273">
        <f>IFERROR(IF(AND(A1273&gt;=129,A1273&lt;=2176),INDEX(Fields!$B$2:$B$206,MATCH(A1273-129,Fields!$D$2:$D$206,1)),""),"")</f>
        <v/>
      </c>
      <c r="E1273">
        <f>IFERROR(IF(AND(A1273&gt;=129,A1273&lt;=2176),INDEX(Fields!$C$2:$C$206,MATCH(A1273-129,Fields!$D$2:$D$206,1)),""),"")</f>
        <v/>
      </c>
    </row>
    <row r="1274">
      <c r="A1274" t="n">
        <v>1273</v>
      </c>
      <c r="B1274">
        <f>IFERROR(INDEX(RawBits!$A:$A,MATCH($A1274,RawBits!$H:$H,0)),"?")</f>
        <v/>
      </c>
      <c r="C1274">
        <f>IFERROR(INDEX(RawBits!$G:$G,MATCH($A1274,RawBits!$H:$H,0)),"")</f>
        <v/>
      </c>
      <c r="D1274">
        <f>IFERROR(IF(AND(A1274&gt;=129,A1274&lt;=2176),INDEX(Fields!$B$2:$B$206,MATCH(A1274-129,Fields!$D$2:$D$206,1)),""),"")</f>
        <v/>
      </c>
      <c r="E1274">
        <f>IFERROR(IF(AND(A1274&gt;=129,A1274&lt;=2176),INDEX(Fields!$C$2:$C$206,MATCH(A1274-129,Fields!$D$2:$D$206,1)),""),"")</f>
        <v/>
      </c>
    </row>
    <row r="1275">
      <c r="A1275" t="n">
        <v>1274</v>
      </c>
      <c r="B1275">
        <f>IFERROR(INDEX(RawBits!$A:$A,MATCH($A1275,RawBits!$H:$H,0)),"?")</f>
        <v/>
      </c>
      <c r="C1275">
        <f>IFERROR(INDEX(RawBits!$G:$G,MATCH($A1275,RawBits!$H:$H,0)),"")</f>
        <v/>
      </c>
      <c r="D1275">
        <f>IFERROR(IF(AND(A1275&gt;=129,A1275&lt;=2176),INDEX(Fields!$B$2:$B$206,MATCH(A1275-129,Fields!$D$2:$D$206,1)),""),"")</f>
        <v/>
      </c>
      <c r="E1275">
        <f>IFERROR(IF(AND(A1275&gt;=129,A1275&lt;=2176),INDEX(Fields!$C$2:$C$206,MATCH(A1275-129,Fields!$D$2:$D$206,1)),""),"")</f>
        <v/>
      </c>
    </row>
    <row r="1276">
      <c r="A1276" t="n">
        <v>1275</v>
      </c>
      <c r="B1276">
        <f>IFERROR(INDEX(RawBits!$A:$A,MATCH($A1276,RawBits!$H:$H,0)),"?")</f>
        <v/>
      </c>
      <c r="C1276">
        <f>IFERROR(INDEX(RawBits!$G:$G,MATCH($A1276,RawBits!$H:$H,0)),"")</f>
        <v/>
      </c>
      <c r="D1276">
        <f>IFERROR(IF(AND(A1276&gt;=129,A1276&lt;=2176),INDEX(Fields!$B$2:$B$206,MATCH(A1276-129,Fields!$D$2:$D$206,1)),""),"")</f>
        <v/>
      </c>
      <c r="E1276">
        <f>IFERROR(IF(AND(A1276&gt;=129,A1276&lt;=2176),INDEX(Fields!$C$2:$C$206,MATCH(A1276-129,Fields!$D$2:$D$206,1)),""),"")</f>
        <v/>
      </c>
    </row>
    <row r="1277">
      <c r="A1277" t="n">
        <v>1276</v>
      </c>
      <c r="B1277">
        <f>IFERROR(INDEX(RawBits!$A:$A,MATCH($A1277,RawBits!$H:$H,0)),"?")</f>
        <v/>
      </c>
      <c r="C1277">
        <f>IFERROR(INDEX(RawBits!$G:$G,MATCH($A1277,RawBits!$H:$H,0)),"")</f>
        <v/>
      </c>
      <c r="D1277">
        <f>IFERROR(IF(AND(A1277&gt;=129,A1277&lt;=2176),INDEX(Fields!$B$2:$B$206,MATCH(A1277-129,Fields!$D$2:$D$206,1)),""),"")</f>
        <v/>
      </c>
      <c r="E1277">
        <f>IFERROR(IF(AND(A1277&gt;=129,A1277&lt;=2176),INDEX(Fields!$C$2:$C$206,MATCH(A1277-129,Fields!$D$2:$D$206,1)),""),"")</f>
        <v/>
      </c>
    </row>
    <row r="1278">
      <c r="A1278" t="n">
        <v>1277</v>
      </c>
      <c r="B1278">
        <f>IFERROR(INDEX(RawBits!$A:$A,MATCH($A1278,RawBits!$H:$H,0)),"?")</f>
        <v/>
      </c>
      <c r="C1278">
        <f>IFERROR(INDEX(RawBits!$G:$G,MATCH($A1278,RawBits!$H:$H,0)),"")</f>
        <v/>
      </c>
      <c r="D1278">
        <f>IFERROR(IF(AND(A1278&gt;=129,A1278&lt;=2176),INDEX(Fields!$B$2:$B$206,MATCH(A1278-129,Fields!$D$2:$D$206,1)),""),"")</f>
        <v/>
      </c>
      <c r="E1278">
        <f>IFERROR(IF(AND(A1278&gt;=129,A1278&lt;=2176),INDEX(Fields!$C$2:$C$206,MATCH(A1278-129,Fields!$D$2:$D$206,1)),""),"")</f>
        <v/>
      </c>
    </row>
    <row r="1279">
      <c r="A1279" t="n">
        <v>1278</v>
      </c>
      <c r="B1279">
        <f>IFERROR(INDEX(RawBits!$A:$A,MATCH($A1279,RawBits!$H:$H,0)),"?")</f>
        <v/>
      </c>
      <c r="C1279">
        <f>IFERROR(INDEX(RawBits!$G:$G,MATCH($A1279,RawBits!$H:$H,0)),"")</f>
        <v/>
      </c>
      <c r="D1279">
        <f>IFERROR(IF(AND(A1279&gt;=129,A1279&lt;=2176),INDEX(Fields!$B$2:$B$206,MATCH(A1279-129,Fields!$D$2:$D$206,1)),""),"")</f>
        <v/>
      </c>
      <c r="E1279">
        <f>IFERROR(IF(AND(A1279&gt;=129,A1279&lt;=2176),INDEX(Fields!$C$2:$C$206,MATCH(A1279-129,Fields!$D$2:$D$206,1)),""),"")</f>
        <v/>
      </c>
    </row>
    <row r="1280">
      <c r="A1280" t="n">
        <v>1279</v>
      </c>
      <c r="B1280">
        <f>IFERROR(INDEX(RawBits!$A:$A,MATCH($A1280,RawBits!$H:$H,0)),"?")</f>
        <v/>
      </c>
      <c r="C1280">
        <f>IFERROR(INDEX(RawBits!$G:$G,MATCH($A1280,RawBits!$H:$H,0)),"")</f>
        <v/>
      </c>
      <c r="D1280">
        <f>IFERROR(IF(AND(A1280&gt;=129,A1280&lt;=2176),INDEX(Fields!$B$2:$B$206,MATCH(A1280-129,Fields!$D$2:$D$206,1)),""),"")</f>
        <v/>
      </c>
      <c r="E1280">
        <f>IFERROR(IF(AND(A1280&gt;=129,A1280&lt;=2176),INDEX(Fields!$C$2:$C$206,MATCH(A1280-129,Fields!$D$2:$D$206,1)),""),"")</f>
        <v/>
      </c>
    </row>
    <row r="1281">
      <c r="A1281" t="n">
        <v>1280</v>
      </c>
      <c r="B1281">
        <f>IFERROR(INDEX(RawBits!$A:$A,MATCH($A1281,RawBits!$H:$H,0)),"?")</f>
        <v/>
      </c>
      <c r="C1281">
        <f>IFERROR(INDEX(RawBits!$G:$G,MATCH($A1281,RawBits!$H:$H,0)),"")</f>
        <v/>
      </c>
      <c r="D1281">
        <f>IFERROR(IF(AND(A1281&gt;=129,A1281&lt;=2176),INDEX(Fields!$B$2:$B$206,MATCH(A1281-129,Fields!$D$2:$D$206,1)),""),"")</f>
        <v/>
      </c>
      <c r="E1281">
        <f>IFERROR(IF(AND(A1281&gt;=129,A1281&lt;=2176),INDEX(Fields!$C$2:$C$206,MATCH(A1281-129,Fields!$D$2:$D$206,1)),""),"")</f>
        <v/>
      </c>
    </row>
    <row r="1282">
      <c r="A1282" t="n">
        <v>1281</v>
      </c>
      <c r="B1282">
        <f>IFERROR(INDEX(RawBits!$A:$A,MATCH($A1282,RawBits!$H:$H,0)),"?")</f>
        <v/>
      </c>
      <c r="C1282">
        <f>IFERROR(INDEX(RawBits!$G:$G,MATCH($A1282,RawBits!$H:$H,0)),"")</f>
        <v/>
      </c>
      <c r="D1282">
        <f>IFERROR(IF(AND(A1282&gt;=129,A1282&lt;=2176),INDEX(Fields!$B$2:$B$206,MATCH(A1282-129,Fields!$D$2:$D$206,1)),""),"")</f>
        <v/>
      </c>
      <c r="E1282">
        <f>IFERROR(IF(AND(A1282&gt;=129,A1282&lt;=2176),INDEX(Fields!$C$2:$C$206,MATCH(A1282-129,Fields!$D$2:$D$206,1)),""),"")</f>
        <v/>
      </c>
    </row>
    <row r="1283">
      <c r="A1283" t="n">
        <v>1282</v>
      </c>
      <c r="B1283">
        <f>IFERROR(INDEX(RawBits!$A:$A,MATCH($A1283,RawBits!$H:$H,0)),"?")</f>
        <v/>
      </c>
      <c r="C1283">
        <f>IFERROR(INDEX(RawBits!$G:$G,MATCH($A1283,RawBits!$H:$H,0)),"")</f>
        <v/>
      </c>
      <c r="D1283">
        <f>IFERROR(IF(AND(A1283&gt;=129,A1283&lt;=2176),INDEX(Fields!$B$2:$B$206,MATCH(A1283-129,Fields!$D$2:$D$206,1)),""),"")</f>
        <v/>
      </c>
      <c r="E1283">
        <f>IFERROR(IF(AND(A1283&gt;=129,A1283&lt;=2176),INDEX(Fields!$C$2:$C$206,MATCH(A1283-129,Fields!$D$2:$D$206,1)),""),"")</f>
        <v/>
      </c>
    </row>
    <row r="1284">
      <c r="A1284" t="n">
        <v>1283</v>
      </c>
      <c r="B1284">
        <f>IFERROR(INDEX(RawBits!$A:$A,MATCH($A1284,RawBits!$H:$H,0)),"?")</f>
        <v/>
      </c>
      <c r="C1284">
        <f>IFERROR(INDEX(RawBits!$G:$G,MATCH($A1284,RawBits!$H:$H,0)),"")</f>
        <v/>
      </c>
      <c r="D1284">
        <f>IFERROR(IF(AND(A1284&gt;=129,A1284&lt;=2176),INDEX(Fields!$B$2:$B$206,MATCH(A1284-129,Fields!$D$2:$D$206,1)),""),"")</f>
        <v/>
      </c>
      <c r="E1284">
        <f>IFERROR(IF(AND(A1284&gt;=129,A1284&lt;=2176),INDEX(Fields!$C$2:$C$206,MATCH(A1284-129,Fields!$D$2:$D$206,1)),""),"")</f>
        <v/>
      </c>
    </row>
    <row r="1285">
      <c r="A1285" t="n">
        <v>1284</v>
      </c>
      <c r="B1285">
        <f>IFERROR(INDEX(RawBits!$A:$A,MATCH($A1285,RawBits!$H:$H,0)),"?")</f>
        <v/>
      </c>
      <c r="C1285">
        <f>IFERROR(INDEX(RawBits!$G:$G,MATCH($A1285,RawBits!$H:$H,0)),"")</f>
        <v/>
      </c>
      <c r="D1285">
        <f>IFERROR(IF(AND(A1285&gt;=129,A1285&lt;=2176),INDEX(Fields!$B$2:$B$206,MATCH(A1285-129,Fields!$D$2:$D$206,1)),""),"")</f>
        <v/>
      </c>
      <c r="E1285">
        <f>IFERROR(IF(AND(A1285&gt;=129,A1285&lt;=2176),INDEX(Fields!$C$2:$C$206,MATCH(A1285-129,Fields!$D$2:$D$206,1)),""),"")</f>
        <v/>
      </c>
    </row>
    <row r="1286">
      <c r="A1286" t="n">
        <v>1285</v>
      </c>
      <c r="B1286">
        <f>IFERROR(INDEX(RawBits!$A:$A,MATCH($A1286,RawBits!$H:$H,0)),"?")</f>
        <v/>
      </c>
      <c r="C1286">
        <f>IFERROR(INDEX(RawBits!$G:$G,MATCH($A1286,RawBits!$H:$H,0)),"")</f>
        <v/>
      </c>
      <c r="D1286">
        <f>IFERROR(IF(AND(A1286&gt;=129,A1286&lt;=2176),INDEX(Fields!$B$2:$B$206,MATCH(A1286-129,Fields!$D$2:$D$206,1)),""),"")</f>
        <v/>
      </c>
      <c r="E1286">
        <f>IFERROR(IF(AND(A1286&gt;=129,A1286&lt;=2176),INDEX(Fields!$C$2:$C$206,MATCH(A1286-129,Fields!$D$2:$D$206,1)),""),"")</f>
        <v/>
      </c>
    </row>
    <row r="1287">
      <c r="A1287" t="n">
        <v>1286</v>
      </c>
      <c r="B1287">
        <f>IFERROR(INDEX(RawBits!$A:$A,MATCH($A1287,RawBits!$H:$H,0)),"?")</f>
        <v/>
      </c>
      <c r="C1287">
        <f>IFERROR(INDEX(RawBits!$G:$G,MATCH($A1287,RawBits!$H:$H,0)),"")</f>
        <v/>
      </c>
      <c r="D1287">
        <f>IFERROR(IF(AND(A1287&gt;=129,A1287&lt;=2176),INDEX(Fields!$B$2:$B$206,MATCH(A1287-129,Fields!$D$2:$D$206,1)),""),"")</f>
        <v/>
      </c>
      <c r="E1287">
        <f>IFERROR(IF(AND(A1287&gt;=129,A1287&lt;=2176),INDEX(Fields!$C$2:$C$206,MATCH(A1287-129,Fields!$D$2:$D$206,1)),""),"")</f>
        <v/>
      </c>
    </row>
    <row r="1288">
      <c r="A1288" t="n">
        <v>1287</v>
      </c>
      <c r="B1288">
        <f>IFERROR(INDEX(RawBits!$A:$A,MATCH($A1288,RawBits!$H:$H,0)),"?")</f>
        <v/>
      </c>
      <c r="C1288">
        <f>IFERROR(INDEX(RawBits!$G:$G,MATCH($A1288,RawBits!$H:$H,0)),"")</f>
        <v/>
      </c>
      <c r="D1288">
        <f>IFERROR(IF(AND(A1288&gt;=129,A1288&lt;=2176),INDEX(Fields!$B$2:$B$206,MATCH(A1288-129,Fields!$D$2:$D$206,1)),""),"")</f>
        <v/>
      </c>
      <c r="E1288">
        <f>IFERROR(IF(AND(A1288&gt;=129,A1288&lt;=2176),INDEX(Fields!$C$2:$C$206,MATCH(A1288-129,Fields!$D$2:$D$206,1)),""),"")</f>
        <v/>
      </c>
    </row>
    <row r="1289">
      <c r="A1289" t="n">
        <v>1288</v>
      </c>
      <c r="B1289">
        <f>IFERROR(INDEX(RawBits!$A:$A,MATCH($A1289,RawBits!$H:$H,0)),"?")</f>
        <v/>
      </c>
      <c r="C1289">
        <f>IFERROR(INDEX(RawBits!$G:$G,MATCH($A1289,RawBits!$H:$H,0)),"")</f>
        <v/>
      </c>
      <c r="D1289">
        <f>IFERROR(IF(AND(A1289&gt;=129,A1289&lt;=2176),INDEX(Fields!$B$2:$B$206,MATCH(A1289-129,Fields!$D$2:$D$206,1)),""),"")</f>
        <v/>
      </c>
      <c r="E1289">
        <f>IFERROR(IF(AND(A1289&gt;=129,A1289&lt;=2176),INDEX(Fields!$C$2:$C$206,MATCH(A1289-129,Fields!$D$2:$D$206,1)),""),"")</f>
        <v/>
      </c>
    </row>
    <row r="1290">
      <c r="A1290" t="n">
        <v>1289</v>
      </c>
      <c r="B1290">
        <f>IFERROR(INDEX(RawBits!$A:$A,MATCH($A1290,RawBits!$H:$H,0)),"?")</f>
        <v/>
      </c>
      <c r="C1290">
        <f>IFERROR(INDEX(RawBits!$G:$G,MATCH($A1290,RawBits!$H:$H,0)),"")</f>
        <v/>
      </c>
      <c r="D1290">
        <f>IFERROR(IF(AND(A1290&gt;=129,A1290&lt;=2176),INDEX(Fields!$B$2:$B$206,MATCH(A1290-129,Fields!$D$2:$D$206,1)),""),"")</f>
        <v/>
      </c>
      <c r="E1290">
        <f>IFERROR(IF(AND(A1290&gt;=129,A1290&lt;=2176),INDEX(Fields!$C$2:$C$206,MATCH(A1290-129,Fields!$D$2:$D$206,1)),""),"")</f>
        <v/>
      </c>
    </row>
    <row r="1291">
      <c r="A1291" t="n">
        <v>1290</v>
      </c>
      <c r="B1291">
        <f>IFERROR(INDEX(RawBits!$A:$A,MATCH($A1291,RawBits!$H:$H,0)),"?")</f>
        <v/>
      </c>
      <c r="C1291">
        <f>IFERROR(INDEX(RawBits!$G:$G,MATCH($A1291,RawBits!$H:$H,0)),"")</f>
        <v/>
      </c>
      <c r="D1291">
        <f>IFERROR(IF(AND(A1291&gt;=129,A1291&lt;=2176),INDEX(Fields!$B$2:$B$206,MATCH(A1291-129,Fields!$D$2:$D$206,1)),""),"")</f>
        <v/>
      </c>
      <c r="E1291">
        <f>IFERROR(IF(AND(A1291&gt;=129,A1291&lt;=2176),INDEX(Fields!$C$2:$C$206,MATCH(A1291-129,Fields!$D$2:$D$206,1)),""),"")</f>
        <v/>
      </c>
    </row>
    <row r="1292">
      <c r="A1292" t="n">
        <v>1291</v>
      </c>
      <c r="B1292">
        <f>IFERROR(INDEX(RawBits!$A:$A,MATCH($A1292,RawBits!$H:$H,0)),"?")</f>
        <v/>
      </c>
      <c r="C1292">
        <f>IFERROR(INDEX(RawBits!$G:$G,MATCH($A1292,RawBits!$H:$H,0)),"")</f>
        <v/>
      </c>
      <c r="D1292">
        <f>IFERROR(IF(AND(A1292&gt;=129,A1292&lt;=2176),INDEX(Fields!$B$2:$B$206,MATCH(A1292-129,Fields!$D$2:$D$206,1)),""),"")</f>
        <v/>
      </c>
      <c r="E1292">
        <f>IFERROR(IF(AND(A1292&gt;=129,A1292&lt;=2176),INDEX(Fields!$C$2:$C$206,MATCH(A1292-129,Fields!$D$2:$D$206,1)),""),"")</f>
        <v/>
      </c>
    </row>
    <row r="1293">
      <c r="A1293" t="n">
        <v>1292</v>
      </c>
      <c r="B1293">
        <f>IFERROR(INDEX(RawBits!$A:$A,MATCH($A1293,RawBits!$H:$H,0)),"?")</f>
        <v/>
      </c>
      <c r="C1293">
        <f>IFERROR(INDEX(RawBits!$G:$G,MATCH($A1293,RawBits!$H:$H,0)),"")</f>
        <v/>
      </c>
      <c r="D1293">
        <f>IFERROR(IF(AND(A1293&gt;=129,A1293&lt;=2176),INDEX(Fields!$B$2:$B$206,MATCH(A1293-129,Fields!$D$2:$D$206,1)),""),"")</f>
        <v/>
      </c>
      <c r="E1293">
        <f>IFERROR(IF(AND(A1293&gt;=129,A1293&lt;=2176),INDEX(Fields!$C$2:$C$206,MATCH(A1293-129,Fields!$D$2:$D$206,1)),""),"")</f>
        <v/>
      </c>
    </row>
    <row r="1294">
      <c r="A1294" t="n">
        <v>1293</v>
      </c>
      <c r="B1294">
        <f>IFERROR(INDEX(RawBits!$A:$A,MATCH($A1294,RawBits!$H:$H,0)),"?")</f>
        <v/>
      </c>
      <c r="C1294">
        <f>IFERROR(INDEX(RawBits!$G:$G,MATCH($A1294,RawBits!$H:$H,0)),"")</f>
        <v/>
      </c>
      <c r="D1294">
        <f>IFERROR(IF(AND(A1294&gt;=129,A1294&lt;=2176),INDEX(Fields!$B$2:$B$206,MATCH(A1294-129,Fields!$D$2:$D$206,1)),""),"")</f>
        <v/>
      </c>
      <c r="E1294">
        <f>IFERROR(IF(AND(A1294&gt;=129,A1294&lt;=2176),INDEX(Fields!$C$2:$C$206,MATCH(A1294-129,Fields!$D$2:$D$206,1)),""),"")</f>
        <v/>
      </c>
    </row>
    <row r="1295">
      <c r="A1295" t="n">
        <v>1294</v>
      </c>
      <c r="B1295">
        <f>IFERROR(INDEX(RawBits!$A:$A,MATCH($A1295,RawBits!$H:$H,0)),"?")</f>
        <v/>
      </c>
      <c r="C1295">
        <f>IFERROR(INDEX(RawBits!$G:$G,MATCH($A1295,RawBits!$H:$H,0)),"")</f>
        <v/>
      </c>
      <c r="D1295">
        <f>IFERROR(IF(AND(A1295&gt;=129,A1295&lt;=2176),INDEX(Fields!$B$2:$B$206,MATCH(A1295-129,Fields!$D$2:$D$206,1)),""),"")</f>
        <v/>
      </c>
      <c r="E1295">
        <f>IFERROR(IF(AND(A1295&gt;=129,A1295&lt;=2176),INDEX(Fields!$C$2:$C$206,MATCH(A1295-129,Fields!$D$2:$D$206,1)),""),"")</f>
        <v/>
      </c>
    </row>
    <row r="1296">
      <c r="A1296" t="n">
        <v>1295</v>
      </c>
      <c r="B1296">
        <f>IFERROR(INDEX(RawBits!$A:$A,MATCH($A1296,RawBits!$H:$H,0)),"?")</f>
        <v/>
      </c>
      <c r="C1296">
        <f>IFERROR(INDEX(RawBits!$G:$G,MATCH($A1296,RawBits!$H:$H,0)),"")</f>
        <v/>
      </c>
      <c r="D1296">
        <f>IFERROR(IF(AND(A1296&gt;=129,A1296&lt;=2176),INDEX(Fields!$B$2:$B$206,MATCH(A1296-129,Fields!$D$2:$D$206,1)),""),"")</f>
        <v/>
      </c>
      <c r="E1296">
        <f>IFERROR(IF(AND(A1296&gt;=129,A1296&lt;=2176),INDEX(Fields!$C$2:$C$206,MATCH(A1296-129,Fields!$D$2:$D$206,1)),""),"")</f>
        <v/>
      </c>
    </row>
    <row r="1297">
      <c r="A1297" t="n">
        <v>1296</v>
      </c>
      <c r="B1297">
        <f>IFERROR(INDEX(RawBits!$A:$A,MATCH($A1297,RawBits!$H:$H,0)),"?")</f>
        <v/>
      </c>
      <c r="C1297">
        <f>IFERROR(INDEX(RawBits!$G:$G,MATCH($A1297,RawBits!$H:$H,0)),"")</f>
        <v/>
      </c>
      <c r="D1297">
        <f>IFERROR(IF(AND(A1297&gt;=129,A1297&lt;=2176),INDEX(Fields!$B$2:$B$206,MATCH(A1297-129,Fields!$D$2:$D$206,1)),""),"")</f>
        <v/>
      </c>
      <c r="E1297">
        <f>IFERROR(IF(AND(A1297&gt;=129,A1297&lt;=2176),INDEX(Fields!$C$2:$C$206,MATCH(A1297-129,Fields!$D$2:$D$206,1)),""),"")</f>
        <v/>
      </c>
    </row>
    <row r="1298">
      <c r="A1298" t="n">
        <v>1297</v>
      </c>
      <c r="B1298">
        <f>IFERROR(INDEX(RawBits!$A:$A,MATCH($A1298,RawBits!$H:$H,0)),"?")</f>
        <v/>
      </c>
      <c r="C1298">
        <f>IFERROR(INDEX(RawBits!$G:$G,MATCH($A1298,RawBits!$H:$H,0)),"")</f>
        <v/>
      </c>
      <c r="D1298">
        <f>IFERROR(IF(AND(A1298&gt;=129,A1298&lt;=2176),INDEX(Fields!$B$2:$B$206,MATCH(A1298-129,Fields!$D$2:$D$206,1)),""),"")</f>
        <v/>
      </c>
      <c r="E1298">
        <f>IFERROR(IF(AND(A1298&gt;=129,A1298&lt;=2176),INDEX(Fields!$C$2:$C$206,MATCH(A1298-129,Fields!$D$2:$D$206,1)),""),"")</f>
        <v/>
      </c>
    </row>
    <row r="1299">
      <c r="A1299" t="n">
        <v>1298</v>
      </c>
      <c r="B1299">
        <f>IFERROR(INDEX(RawBits!$A:$A,MATCH($A1299,RawBits!$H:$H,0)),"?")</f>
        <v/>
      </c>
      <c r="C1299">
        <f>IFERROR(INDEX(RawBits!$G:$G,MATCH($A1299,RawBits!$H:$H,0)),"")</f>
        <v/>
      </c>
      <c r="D1299">
        <f>IFERROR(IF(AND(A1299&gt;=129,A1299&lt;=2176),INDEX(Fields!$B$2:$B$206,MATCH(A1299-129,Fields!$D$2:$D$206,1)),""),"")</f>
        <v/>
      </c>
      <c r="E1299">
        <f>IFERROR(IF(AND(A1299&gt;=129,A1299&lt;=2176),INDEX(Fields!$C$2:$C$206,MATCH(A1299-129,Fields!$D$2:$D$206,1)),""),"")</f>
        <v/>
      </c>
    </row>
    <row r="1300">
      <c r="A1300" t="n">
        <v>1299</v>
      </c>
      <c r="B1300">
        <f>IFERROR(INDEX(RawBits!$A:$A,MATCH($A1300,RawBits!$H:$H,0)),"?")</f>
        <v/>
      </c>
      <c r="C1300">
        <f>IFERROR(INDEX(RawBits!$G:$G,MATCH($A1300,RawBits!$H:$H,0)),"")</f>
        <v/>
      </c>
      <c r="D1300">
        <f>IFERROR(IF(AND(A1300&gt;=129,A1300&lt;=2176),INDEX(Fields!$B$2:$B$206,MATCH(A1300-129,Fields!$D$2:$D$206,1)),""),"")</f>
        <v/>
      </c>
      <c r="E1300">
        <f>IFERROR(IF(AND(A1300&gt;=129,A1300&lt;=2176),INDEX(Fields!$C$2:$C$206,MATCH(A1300-129,Fields!$D$2:$D$206,1)),""),"")</f>
        <v/>
      </c>
    </row>
    <row r="1301">
      <c r="A1301" t="n">
        <v>1300</v>
      </c>
      <c r="B1301">
        <f>IFERROR(INDEX(RawBits!$A:$A,MATCH($A1301,RawBits!$H:$H,0)),"?")</f>
        <v/>
      </c>
      <c r="C1301">
        <f>IFERROR(INDEX(RawBits!$G:$G,MATCH($A1301,RawBits!$H:$H,0)),"")</f>
        <v/>
      </c>
      <c r="D1301">
        <f>IFERROR(IF(AND(A1301&gt;=129,A1301&lt;=2176),INDEX(Fields!$B$2:$B$206,MATCH(A1301-129,Fields!$D$2:$D$206,1)),""),"")</f>
        <v/>
      </c>
      <c r="E1301">
        <f>IFERROR(IF(AND(A1301&gt;=129,A1301&lt;=2176),INDEX(Fields!$C$2:$C$206,MATCH(A1301-129,Fields!$D$2:$D$206,1)),""),"")</f>
        <v/>
      </c>
    </row>
    <row r="1302">
      <c r="A1302" t="n">
        <v>1301</v>
      </c>
      <c r="B1302">
        <f>IFERROR(INDEX(RawBits!$A:$A,MATCH($A1302,RawBits!$H:$H,0)),"?")</f>
        <v/>
      </c>
      <c r="C1302">
        <f>IFERROR(INDEX(RawBits!$G:$G,MATCH($A1302,RawBits!$H:$H,0)),"")</f>
        <v/>
      </c>
      <c r="D1302">
        <f>IFERROR(IF(AND(A1302&gt;=129,A1302&lt;=2176),INDEX(Fields!$B$2:$B$206,MATCH(A1302-129,Fields!$D$2:$D$206,1)),""),"")</f>
        <v/>
      </c>
      <c r="E1302">
        <f>IFERROR(IF(AND(A1302&gt;=129,A1302&lt;=2176),INDEX(Fields!$C$2:$C$206,MATCH(A1302-129,Fields!$D$2:$D$206,1)),""),"")</f>
        <v/>
      </c>
    </row>
    <row r="1303">
      <c r="A1303" t="n">
        <v>1302</v>
      </c>
      <c r="B1303">
        <f>IFERROR(INDEX(RawBits!$A:$A,MATCH($A1303,RawBits!$H:$H,0)),"?")</f>
        <v/>
      </c>
      <c r="C1303">
        <f>IFERROR(INDEX(RawBits!$G:$G,MATCH($A1303,RawBits!$H:$H,0)),"")</f>
        <v/>
      </c>
      <c r="D1303">
        <f>IFERROR(IF(AND(A1303&gt;=129,A1303&lt;=2176),INDEX(Fields!$B$2:$B$206,MATCH(A1303-129,Fields!$D$2:$D$206,1)),""),"")</f>
        <v/>
      </c>
      <c r="E1303">
        <f>IFERROR(IF(AND(A1303&gt;=129,A1303&lt;=2176),INDEX(Fields!$C$2:$C$206,MATCH(A1303-129,Fields!$D$2:$D$206,1)),""),"")</f>
        <v/>
      </c>
    </row>
    <row r="1304">
      <c r="A1304" t="n">
        <v>1303</v>
      </c>
      <c r="B1304">
        <f>IFERROR(INDEX(RawBits!$A:$A,MATCH($A1304,RawBits!$H:$H,0)),"?")</f>
        <v/>
      </c>
      <c r="C1304">
        <f>IFERROR(INDEX(RawBits!$G:$G,MATCH($A1304,RawBits!$H:$H,0)),"")</f>
        <v/>
      </c>
      <c r="D1304">
        <f>IFERROR(IF(AND(A1304&gt;=129,A1304&lt;=2176),INDEX(Fields!$B$2:$B$206,MATCH(A1304-129,Fields!$D$2:$D$206,1)),""),"")</f>
        <v/>
      </c>
      <c r="E1304">
        <f>IFERROR(IF(AND(A1304&gt;=129,A1304&lt;=2176),INDEX(Fields!$C$2:$C$206,MATCH(A1304-129,Fields!$D$2:$D$206,1)),""),"")</f>
        <v/>
      </c>
    </row>
    <row r="1305">
      <c r="A1305" t="n">
        <v>1304</v>
      </c>
      <c r="B1305">
        <f>IFERROR(INDEX(RawBits!$A:$A,MATCH($A1305,RawBits!$H:$H,0)),"?")</f>
        <v/>
      </c>
      <c r="C1305">
        <f>IFERROR(INDEX(RawBits!$G:$G,MATCH($A1305,RawBits!$H:$H,0)),"")</f>
        <v/>
      </c>
      <c r="D1305">
        <f>IFERROR(IF(AND(A1305&gt;=129,A1305&lt;=2176),INDEX(Fields!$B$2:$B$206,MATCH(A1305-129,Fields!$D$2:$D$206,1)),""),"")</f>
        <v/>
      </c>
      <c r="E1305">
        <f>IFERROR(IF(AND(A1305&gt;=129,A1305&lt;=2176),INDEX(Fields!$C$2:$C$206,MATCH(A1305-129,Fields!$D$2:$D$206,1)),""),"")</f>
        <v/>
      </c>
    </row>
    <row r="1306">
      <c r="A1306" t="n">
        <v>1305</v>
      </c>
      <c r="B1306">
        <f>IFERROR(INDEX(RawBits!$A:$A,MATCH($A1306,RawBits!$H:$H,0)),"?")</f>
        <v/>
      </c>
      <c r="C1306">
        <f>IFERROR(INDEX(RawBits!$G:$G,MATCH($A1306,RawBits!$H:$H,0)),"")</f>
        <v/>
      </c>
      <c r="D1306">
        <f>IFERROR(IF(AND(A1306&gt;=129,A1306&lt;=2176),INDEX(Fields!$B$2:$B$206,MATCH(A1306-129,Fields!$D$2:$D$206,1)),""),"")</f>
        <v/>
      </c>
      <c r="E1306">
        <f>IFERROR(IF(AND(A1306&gt;=129,A1306&lt;=2176),INDEX(Fields!$C$2:$C$206,MATCH(A1306-129,Fields!$D$2:$D$206,1)),""),"")</f>
        <v/>
      </c>
    </row>
    <row r="1307">
      <c r="A1307" t="n">
        <v>1306</v>
      </c>
      <c r="B1307">
        <f>IFERROR(INDEX(RawBits!$A:$A,MATCH($A1307,RawBits!$H:$H,0)),"?")</f>
        <v/>
      </c>
      <c r="C1307">
        <f>IFERROR(INDEX(RawBits!$G:$G,MATCH($A1307,RawBits!$H:$H,0)),"")</f>
        <v/>
      </c>
      <c r="D1307">
        <f>IFERROR(IF(AND(A1307&gt;=129,A1307&lt;=2176),INDEX(Fields!$B$2:$B$206,MATCH(A1307-129,Fields!$D$2:$D$206,1)),""),"")</f>
        <v/>
      </c>
      <c r="E1307">
        <f>IFERROR(IF(AND(A1307&gt;=129,A1307&lt;=2176),INDEX(Fields!$C$2:$C$206,MATCH(A1307-129,Fields!$D$2:$D$206,1)),""),"")</f>
        <v/>
      </c>
    </row>
    <row r="1308">
      <c r="A1308" t="n">
        <v>1307</v>
      </c>
      <c r="B1308">
        <f>IFERROR(INDEX(RawBits!$A:$A,MATCH($A1308,RawBits!$H:$H,0)),"?")</f>
        <v/>
      </c>
      <c r="C1308">
        <f>IFERROR(INDEX(RawBits!$G:$G,MATCH($A1308,RawBits!$H:$H,0)),"")</f>
        <v/>
      </c>
      <c r="D1308">
        <f>IFERROR(IF(AND(A1308&gt;=129,A1308&lt;=2176),INDEX(Fields!$B$2:$B$206,MATCH(A1308-129,Fields!$D$2:$D$206,1)),""),"")</f>
        <v/>
      </c>
      <c r="E1308">
        <f>IFERROR(IF(AND(A1308&gt;=129,A1308&lt;=2176),INDEX(Fields!$C$2:$C$206,MATCH(A1308-129,Fields!$D$2:$D$206,1)),""),"")</f>
        <v/>
      </c>
    </row>
    <row r="1309">
      <c r="A1309" t="n">
        <v>1308</v>
      </c>
      <c r="B1309">
        <f>IFERROR(INDEX(RawBits!$A:$A,MATCH($A1309,RawBits!$H:$H,0)),"?")</f>
        <v/>
      </c>
      <c r="C1309">
        <f>IFERROR(INDEX(RawBits!$G:$G,MATCH($A1309,RawBits!$H:$H,0)),"")</f>
        <v/>
      </c>
      <c r="D1309">
        <f>IFERROR(IF(AND(A1309&gt;=129,A1309&lt;=2176),INDEX(Fields!$B$2:$B$206,MATCH(A1309-129,Fields!$D$2:$D$206,1)),""),"")</f>
        <v/>
      </c>
      <c r="E1309">
        <f>IFERROR(IF(AND(A1309&gt;=129,A1309&lt;=2176),INDEX(Fields!$C$2:$C$206,MATCH(A1309-129,Fields!$D$2:$D$206,1)),""),"")</f>
        <v/>
      </c>
    </row>
    <row r="1310">
      <c r="A1310" t="n">
        <v>1309</v>
      </c>
      <c r="B1310">
        <f>IFERROR(INDEX(RawBits!$A:$A,MATCH($A1310,RawBits!$H:$H,0)),"?")</f>
        <v/>
      </c>
      <c r="C1310">
        <f>IFERROR(INDEX(RawBits!$G:$G,MATCH($A1310,RawBits!$H:$H,0)),"")</f>
        <v/>
      </c>
      <c r="D1310">
        <f>IFERROR(IF(AND(A1310&gt;=129,A1310&lt;=2176),INDEX(Fields!$B$2:$B$206,MATCH(A1310-129,Fields!$D$2:$D$206,1)),""),"")</f>
        <v/>
      </c>
      <c r="E1310">
        <f>IFERROR(IF(AND(A1310&gt;=129,A1310&lt;=2176),INDEX(Fields!$C$2:$C$206,MATCH(A1310-129,Fields!$D$2:$D$206,1)),""),"")</f>
        <v/>
      </c>
    </row>
    <row r="1311">
      <c r="A1311" t="n">
        <v>1310</v>
      </c>
      <c r="B1311">
        <f>IFERROR(INDEX(RawBits!$A:$A,MATCH($A1311,RawBits!$H:$H,0)),"?")</f>
        <v/>
      </c>
      <c r="C1311">
        <f>IFERROR(INDEX(RawBits!$G:$G,MATCH($A1311,RawBits!$H:$H,0)),"")</f>
        <v/>
      </c>
      <c r="D1311">
        <f>IFERROR(IF(AND(A1311&gt;=129,A1311&lt;=2176),INDEX(Fields!$B$2:$B$206,MATCH(A1311-129,Fields!$D$2:$D$206,1)),""),"")</f>
        <v/>
      </c>
      <c r="E1311">
        <f>IFERROR(IF(AND(A1311&gt;=129,A1311&lt;=2176),INDEX(Fields!$C$2:$C$206,MATCH(A1311-129,Fields!$D$2:$D$206,1)),""),"")</f>
        <v/>
      </c>
    </row>
    <row r="1312">
      <c r="A1312" t="n">
        <v>1311</v>
      </c>
      <c r="B1312">
        <f>IFERROR(INDEX(RawBits!$A:$A,MATCH($A1312,RawBits!$H:$H,0)),"?")</f>
        <v/>
      </c>
      <c r="C1312">
        <f>IFERROR(INDEX(RawBits!$G:$G,MATCH($A1312,RawBits!$H:$H,0)),"")</f>
        <v/>
      </c>
      <c r="D1312">
        <f>IFERROR(IF(AND(A1312&gt;=129,A1312&lt;=2176),INDEX(Fields!$B$2:$B$206,MATCH(A1312-129,Fields!$D$2:$D$206,1)),""),"")</f>
        <v/>
      </c>
      <c r="E1312">
        <f>IFERROR(IF(AND(A1312&gt;=129,A1312&lt;=2176),INDEX(Fields!$C$2:$C$206,MATCH(A1312-129,Fields!$D$2:$D$206,1)),""),"")</f>
        <v/>
      </c>
    </row>
    <row r="1313">
      <c r="A1313" t="n">
        <v>1312</v>
      </c>
      <c r="B1313">
        <f>IFERROR(INDEX(RawBits!$A:$A,MATCH($A1313,RawBits!$H:$H,0)),"?")</f>
        <v/>
      </c>
      <c r="C1313">
        <f>IFERROR(INDEX(RawBits!$G:$G,MATCH($A1313,RawBits!$H:$H,0)),"")</f>
        <v/>
      </c>
      <c r="D1313">
        <f>IFERROR(IF(AND(A1313&gt;=129,A1313&lt;=2176),INDEX(Fields!$B$2:$B$206,MATCH(A1313-129,Fields!$D$2:$D$206,1)),""),"")</f>
        <v/>
      </c>
      <c r="E1313">
        <f>IFERROR(IF(AND(A1313&gt;=129,A1313&lt;=2176),INDEX(Fields!$C$2:$C$206,MATCH(A1313-129,Fields!$D$2:$D$206,1)),""),"")</f>
        <v/>
      </c>
    </row>
    <row r="1314">
      <c r="A1314" t="n">
        <v>1313</v>
      </c>
      <c r="B1314">
        <f>IFERROR(INDEX(RawBits!$A:$A,MATCH($A1314,RawBits!$H:$H,0)),"?")</f>
        <v/>
      </c>
      <c r="C1314">
        <f>IFERROR(INDEX(RawBits!$G:$G,MATCH($A1314,RawBits!$H:$H,0)),"")</f>
        <v/>
      </c>
      <c r="D1314">
        <f>IFERROR(IF(AND(A1314&gt;=129,A1314&lt;=2176),INDEX(Fields!$B$2:$B$206,MATCH(A1314-129,Fields!$D$2:$D$206,1)),""),"")</f>
        <v/>
      </c>
      <c r="E1314">
        <f>IFERROR(IF(AND(A1314&gt;=129,A1314&lt;=2176),INDEX(Fields!$C$2:$C$206,MATCH(A1314-129,Fields!$D$2:$D$206,1)),""),"")</f>
        <v/>
      </c>
    </row>
    <row r="1315">
      <c r="A1315" t="n">
        <v>1314</v>
      </c>
      <c r="B1315">
        <f>IFERROR(INDEX(RawBits!$A:$A,MATCH($A1315,RawBits!$H:$H,0)),"?")</f>
        <v/>
      </c>
      <c r="C1315">
        <f>IFERROR(INDEX(RawBits!$G:$G,MATCH($A1315,RawBits!$H:$H,0)),"")</f>
        <v/>
      </c>
      <c r="D1315">
        <f>IFERROR(IF(AND(A1315&gt;=129,A1315&lt;=2176),INDEX(Fields!$B$2:$B$206,MATCH(A1315-129,Fields!$D$2:$D$206,1)),""),"")</f>
        <v/>
      </c>
      <c r="E1315">
        <f>IFERROR(IF(AND(A1315&gt;=129,A1315&lt;=2176),INDEX(Fields!$C$2:$C$206,MATCH(A1315-129,Fields!$D$2:$D$206,1)),""),"")</f>
        <v/>
      </c>
    </row>
    <row r="1316">
      <c r="A1316" t="n">
        <v>1315</v>
      </c>
      <c r="B1316">
        <f>IFERROR(INDEX(RawBits!$A:$A,MATCH($A1316,RawBits!$H:$H,0)),"?")</f>
        <v/>
      </c>
      <c r="C1316">
        <f>IFERROR(INDEX(RawBits!$G:$G,MATCH($A1316,RawBits!$H:$H,0)),"")</f>
        <v/>
      </c>
      <c r="D1316">
        <f>IFERROR(IF(AND(A1316&gt;=129,A1316&lt;=2176),INDEX(Fields!$B$2:$B$206,MATCH(A1316-129,Fields!$D$2:$D$206,1)),""),"")</f>
        <v/>
      </c>
      <c r="E1316">
        <f>IFERROR(IF(AND(A1316&gt;=129,A1316&lt;=2176),INDEX(Fields!$C$2:$C$206,MATCH(A1316-129,Fields!$D$2:$D$206,1)),""),"")</f>
        <v/>
      </c>
    </row>
    <row r="1317">
      <c r="A1317" t="n">
        <v>1316</v>
      </c>
      <c r="B1317">
        <f>IFERROR(INDEX(RawBits!$A:$A,MATCH($A1317,RawBits!$H:$H,0)),"?")</f>
        <v/>
      </c>
      <c r="C1317">
        <f>IFERROR(INDEX(RawBits!$G:$G,MATCH($A1317,RawBits!$H:$H,0)),"")</f>
        <v/>
      </c>
      <c r="D1317">
        <f>IFERROR(IF(AND(A1317&gt;=129,A1317&lt;=2176),INDEX(Fields!$B$2:$B$206,MATCH(A1317-129,Fields!$D$2:$D$206,1)),""),"")</f>
        <v/>
      </c>
      <c r="E1317">
        <f>IFERROR(IF(AND(A1317&gt;=129,A1317&lt;=2176),INDEX(Fields!$C$2:$C$206,MATCH(A1317-129,Fields!$D$2:$D$206,1)),""),"")</f>
        <v/>
      </c>
    </row>
    <row r="1318">
      <c r="A1318" t="n">
        <v>1317</v>
      </c>
      <c r="B1318">
        <f>IFERROR(INDEX(RawBits!$A:$A,MATCH($A1318,RawBits!$H:$H,0)),"?")</f>
        <v/>
      </c>
      <c r="C1318">
        <f>IFERROR(INDEX(RawBits!$G:$G,MATCH($A1318,RawBits!$H:$H,0)),"")</f>
        <v/>
      </c>
      <c r="D1318">
        <f>IFERROR(IF(AND(A1318&gt;=129,A1318&lt;=2176),INDEX(Fields!$B$2:$B$206,MATCH(A1318-129,Fields!$D$2:$D$206,1)),""),"")</f>
        <v/>
      </c>
      <c r="E1318">
        <f>IFERROR(IF(AND(A1318&gt;=129,A1318&lt;=2176),INDEX(Fields!$C$2:$C$206,MATCH(A1318-129,Fields!$D$2:$D$206,1)),""),"")</f>
        <v/>
      </c>
    </row>
    <row r="1319">
      <c r="A1319" t="n">
        <v>1318</v>
      </c>
      <c r="B1319">
        <f>IFERROR(INDEX(RawBits!$A:$A,MATCH($A1319,RawBits!$H:$H,0)),"?")</f>
        <v/>
      </c>
      <c r="C1319">
        <f>IFERROR(INDEX(RawBits!$G:$G,MATCH($A1319,RawBits!$H:$H,0)),"")</f>
        <v/>
      </c>
      <c r="D1319">
        <f>IFERROR(IF(AND(A1319&gt;=129,A1319&lt;=2176),INDEX(Fields!$B$2:$B$206,MATCH(A1319-129,Fields!$D$2:$D$206,1)),""),"")</f>
        <v/>
      </c>
      <c r="E1319">
        <f>IFERROR(IF(AND(A1319&gt;=129,A1319&lt;=2176),INDEX(Fields!$C$2:$C$206,MATCH(A1319-129,Fields!$D$2:$D$206,1)),""),"")</f>
        <v/>
      </c>
    </row>
    <row r="1320">
      <c r="A1320" t="n">
        <v>1319</v>
      </c>
      <c r="B1320">
        <f>IFERROR(INDEX(RawBits!$A:$A,MATCH($A1320,RawBits!$H:$H,0)),"?")</f>
        <v/>
      </c>
      <c r="C1320">
        <f>IFERROR(INDEX(RawBits!$G:$G,MATCH($A1320,RawBits!$H:$H,0)),"")</f>
        <v/>
      </c>
      <c r="D1320">
        <f>IFERROR(IF(AND(A1320&gt;=129,A1320&lt;=2176),INDEX(Fields!$B$2:$B$206,MATCH(A1320-129,Fields!$D$2:$D$206,1)),""),"")</f>
        <v/>
      </c>
      <c r="E1320">
        <f>IFERROR(IF(AND(A1320&gt;=129,A1320&lt;=2176),INDEX(Fields!$C$2:$C$206,MATCH(A1320-129,Fields!$D$2:$D$206,1)),""),"")</f>
        <v/>
      </c>
    </row>
    <row r="1321">
      <c r="A1321" t="n">
        <v>1320</v>
      </c>
      <c r="B1321">
        <f>IFERROR(INDEX(RawBits!$A:$A,MATCH($A1321,RawBits!$H:$H,0)),"?")</f>
        <v/>
      </c>
      <c r="C1321">
        <f>IFERROR(INDEX(RawBits!$G:$G,MATCH($A1321,RawBits!$H:$H,0)),"")</f>
        <v/>
      </c>
      <c r="D1321">
        <f>IFERROR(IF(AND(A1321&gt;=129,A1321&lt;=2176),INDEX(Fields!$B$2:$B$206,MATCH(A1321-129,Fields!$D$2:$D$206,1)),""),"")</f>
        <v/>
      </c>
      <c r="E1321">
        <f>IFERROR(IF(AND(A1321&gt;=129,A1321&lt;=2176),INDEX(Fields!$C$2:$C$206,MATCH(A1321-129,Fields!$D$2:$D$206,1)),""),"")</f>
        <v/>
      </c>
    </row>
    <row r="1322">
      <c r="A1322" t="n">
        <v>1321</v>
      </c>
      <c r="B1322">
        <f>IFERROR(INDEX(RawBits!$A:$A,MATCH($A1322,RawBits!$H:$H,0)),"?")</f>
        <v/>
      </c>
      <c r="C1322">
        <f>IFERROR(INDEX(RawBits!$G:$G,MATCH($A1322,RawBits!$H:$H,0)),"")</f>
        <v/>
      </c>
      <c r="D1322">
        <f>IFERROR(IF(AND(A1322&gt;=129,A1322&lt;=2176),INDEX(Fields!$B$2:$B$206,MATCH(A1322-129,Fields!$D$2:$D$206,1)),""),"")</f>
        <v/>
      </c>
      <c r="E1322">
        <f>IFERROR(IF(AND(A1322&gt;=129,A1322&lt;=2176),INDEX(Fields!$C$2:$C$206,MATCH(A1322-129,Fields!$D$2:$D$206,1)),""),"")</f>
        <v/>
      </c>
    </row>
    <row r="1323">
      <c r="A1323" t="n">
        <v>1322</v>
      </c>
      <c r="B1323">
        <f>IFERROR(INDEX(RawBits!$A:$A,MATCH($A1323,RawBits!$H:$H,0)),"?")</f>
        <v/>
      </c>
      <c r="C1323">
        <f>IFERROR(INDEX(RawBits!$G:$G,MATCH($A1323,RawBits!$H:$H,0)),"")</f>
        <v/>
      </c>
      <c r="D1323">
        <f>IFERROR(IF(AND(A1323&gt;=129,A1323&lt;=2176),INDEX(Fields!$B$2:$B$206,MATCH(A1323-129,Fields!$D$2:$D$206,1)),""),"")</f>
        <v/>
      </c>
      <c r="E1323">
        <f>IFERROR(IF(AND(A1323&gt;=129,A1323&lt;=2176),INDEX(Fields!$C$2:$C$206,MATCH(A1323-129,Fields!$D$2:$D$206,1)),""),"")</f>
        <v/>
      </c>
    </row>
    <row r="1324">
      <c r="A1324" t="n">
        <v>1323</v>
      </c>
      <c r="B1324">
        <f>IFERROR(INDEX(RawBits!$A:$A,MATCH($A1324,RawBits!$H:$H,0)),"?")</f>
        <v/>
      </c>
      <c r="C1324">
        <f>IFERROR(INDEX(RawBits!$G:$G,MATCH($A1324,RawBits!$H:$H,0)),"")</f>
        <v/>
      </c>
      <c r="D1324">
        <f>IFERROR(IF(AND(A1324&gt;=129,A1324&lt;=2176),INDEX(Fields!$B$2:$B$206,MATCH(A1324-129,Fields!$D$2:$D$206,1)),""),"")</f>
        <v/>
      </c>
      <c r="E1324">
        <f>IFERROR(IF(AND(A1324&gt;=129,A1324&lt;=2176),INDEX(Fields!$C$2:$C$206,MATCH(A1324-129,Fields!$D$2:$D$206,1)),""),"")</f>
        <v/>
      </c>
    </row>
    <row r="1325">
      <c r="A1325" t="n">
        <v>1324</v>
      </c>
      <c r="B1325">
        <f>IFERROR(INDEX(RawBits!$A:$A,MATCH($A1325,RawBits!$H:$H,0)),"?")</f>
        <v/>
      </c>
      <c r="C1325">
        <f>IFERROR(INDEX(RawBits!$G:$G,MATCH($A1325,RawBits!$H:$H,0)),"")</f>
        <v/>
      </c>
      <c r="D1325">
        <f>IFERROR(IF(AND(A1325&gt;=129,A1325&lt;=2176),INDEX(Fields!$B$2:$B$206,MATCH(A1325-129,Fields!$D$2:$D$206,1)),""),"")</f>
        <v/>
      </c>
      <c r="E1325">
        <f>IFERROR(IF(AND(A1325&gt;=129,A1325&lt;=2176),INDEX(Fields!$C$2:$C$206,MATCH(A1325-129,Fields!$D$2:$D$206,1)),""),"")</f>
        <v/>
      </c>
    </row>
    <row r="1326">
      <c r="A1326" t="n">
        <v>1325</v>
      </c>
      <c r="B1326">
        <f>IFERROR(INDEX(RawBits!$A:$A,MATCH($A1326,RawBits!$H:$H,0)),"?")</f>
        <v/>
      </c>
      <c r="C1326">
        <f>IFERROR(INDEX(RawBits!$G:$G,MATCH($A1326,RawBits!$H:$H,0)),"")</f>
        <v/>
      </c>
      <c r="D1326">
        <f>IFERROR(IF(AND(A1326&gt;=129,A1326&lt;=2176),INDEX(Fields!$B$2:$B$206,MATCH(A1326-129,Fields!$D$2:$D$206,1)),""),"")</f>
        <v/>
      </c>
      <c r="E1326">
        <f>IFERROR(IF(AND(A1326&gt;=129,A1326&lt;=2176),INDEX(Fields!$C$2:$C$206,MATCH(A1326-129,Fields!$D$2:$D$206,1)),""),"")</f>
        <v/>
      </c>
    </row>
    <row r="1327">
      <c r="A1327" t="n">
        <v>1326</v>
      </c>
      <c r="B1327">
        <f>IFERROR(INDEX(RawBits!$A:$A,MATCH($A1327,RawBits!$H:$H,0)),"?")</f>
        <v/>
      </c>
      <c r="C1327">
        <f>IFERROR(INDEX(RawBits!$G:$G,MATCH($A1327,RawBits!$H:$H,0)),"")</f>
        <v/>
      </c>
      <c r="D1327">
        <f>IFERROR(IF(AND(A1327&gt;=129,A1327&lt;=2176),INDEX(Fields!$B$2:$B$206,MATCH(A1327-129,Fields!$D$2:$D$206,1)),""),"")</f>
        <v/>
      </c>
      <c r="E1327">
        <f>IFERROR(IF(AND(A1327&gt;=129,A1327&lt;=2176),INDEX(Fields!$C$2:$C$206,MATCH(A1327-129,Fields!$D$2:$D$206,1)),""),"")</f>
        <v/>
      </c>
    </row>
    <row r="1328">
      <c r="A1328" t="n">
        <v>1327</v>
      </c>
      <c r="B1328">
        <f>IFERROR(INDEX(RawBits!$A:$A,MATCH($A1328,RawBits!$H:$H,0)),"?")</f>
        <v/>
      </c>
      <c r="C1328">
        <f>IFERROR(INDEX(RawBits!$G:$G,MATCH($A1328,RawBits!$H:$H,0)),"")</f>
        <v/>
      </c>
      <c r="D1328">
        <f>IFERROR(IF(AND(A1328&gt;=129,A1328&lt;=2176),INDEX(Fields!$B$2:$B$206,MATCH(A1328-129,Fields!$D$2:$D$206,1)),""),"")</f>
        <v/>
      </c>
      <c r="E1328">
        <f>IFERROR(IF(AND(A1328&gt;=129,A1328&lt;=2176),INDEX(Fields!$C$2:$C$206,MATCH(A1328-129,Fields!$D$2:$D$206,1)),""),"")</f>
        <v/>
      </c>
    </row>
    <row r="1329">
      <c r="A1329" t="n">
        <v>1328</v>
      </c>
      <c r="B1329">
        <f>IFERROR(INDEX(RawBits!$A:$A,MATCH($A1329,RawBits!$H:$H,0)),"?")</f>
        <v/>
      </c>
      <c r="C1329">
        <f>IFERROR(INDEX(RawBits!$G:$G,MATCH($A1329,RawBits!$H:$H,0)),"")</f>
        <v/>
      </c>
      <c r="D1329">
        <f>IFERROR(IF(AND(A1329&gt;=129,A1329&lt;=2176),INDEX(Fields!$B$2:$B$206,MATCH(A1329-129,Fields!$D$2:$D$206,1)),""),"")</f>
        <v/>
      </c>
      <c r="E1329">
        <f>IFERROR(IF(AND(A1329&gt;=129,A1329&lt;=2176),INDEX(Fields!$C$2:$C$206,MATCH(A1329-129,Fields!$D$2:$D$206,1)),""),"")</f>
        <v/>
      </c>
    </row>
    <row r="1330">
      <c r="A1330" t="n">
        <v>1329</v>
      </c>
      <c r="B1330">
        <f>IFERROR(INDEX(RawBits!$A:$A,MATCH($A1330,RawBits!$H:$H,0)),"?")</f>
        <v/>
      </c>
      <c r="C1330">
        <f>IFERROR(INDEX(RawBits!$G:$G,MATCH($A1330,RawBits!$H:$H,0)),"")</f>
        <v/>
      </c>
      <c r="D1330">
        <f>IFERROR(IF(AND(A1330&gt;=129,A1330&lt;=2176),INDEX(Fields!$B$2:$B$206,MATCH(A1330-129,Fields!$D$2:$D$206,1)),""),"")</f>
        <v/>
      </c>
      <c r="E1330">
        <f>IFERROR(IF(AND(A1330&gt;=129,A1330&lt;=2176),INDEX(Fields!$C$2:$C$206,MATCH(A1330-129,Fields!$D$2:$D$206,1)),""),"")</f>
        <v/>
      </c>
    </row>
    <row r="1331">
      <c r="A1331" t="n">
        <v>1330</v>
      </c>
      <c r="B1331">
        <f>IFERROR(INDEX(RawBits!$A:$A,MATCH($A1331,RawBits!$H:$H,0)),"?")</f>
        <v/>
      </c>
      <c r="C1331">
        <f>IFERROR(INDEX(RawBits!$G:$G,MATCH($A1331,RawBits!$H:$H,0)),"")</f>
        <v/>
      </c>
      <c r="D1331">
        <f>IFERROR(IF(AND(A1331&gt;=129,A1331&lt;=2176),INDEX(Fields!$B$2:$B$206,MATCH(A1331-129,Fields!$D$2:$D$206,1)),""),"")</f>
        <v/>
      </c>
      <c r="E1331">
        <f>IFERROR(IF(AND(A1331&gt;=129,A1331&lt;=2176),INDEX(Fields!$C$2:$C$206,MATCH(A1331-129,Fields!$D$2:$D$206,1)),""),"")</f>
        <v/>
      </c>
    </row>
    <row r="1332">
      <c r="A1332" t="n">
        <v>1331</v>
      </c>
      <c r="B1332">
        <f>IFERROR(INDEX(RawBits!$A:$A,MATCH($A1332,RawBits!$H:$H,0)),"?")</f>
        <v/>
      </c>
      <c r="C1332">
        <f>IFERROR(INDEX(RawBits!$G:$G,MATCH($A1332,RawBits!$H:$H,0)),"")</f>
        <v/>
      </c>
      <c r="D1332">
        <f>IFERROR(IF(AND(A1332&gt;=129,A1332&lt;=2176),INDEX(Fields!$B$2:$B$206,MATCH(A1332-129,Fields!$D$2:$D$206,1)),""),"")</f>
        <v/>
      </c>
      <c r="E1332">
        <f>IFERROR(IF(AND(A1332&gt;=129,A1332&lt;=2176),INDEX(Fields!$C$2:$C$206,MATCH(A1332-129,Fields!$D$2:$D$206,1)),""),"")</f>
        <v/>
      </c>
    </row>
    <row r="1333">
      <c r="A1333" t="n">
        <v>1332</v>
      </c>
      <c r="B1333">
        <f>IFERROR(INDEX(RawBits!$A:$A,MATCH($A1333,RawBits!$H:$H,0)),"?")</f>
        <v/>
      </c>
      <c r="C1333">
        <f>IFERROR(INDEX(RawBits!$G:$G,MATCH($A1333,RawBits!$H:$H,0)),"")</f>
        <v/>
      </c>
      <c r="D1333">
        <f>IFERROR(IF(AND(A1333&gt;=129,A1333&lt;=2176),INDEX(Fields!$B$2:$B$206,MATCH(A1333-129,Fields!$D$2:$D$206,1)),""),"")</f>
        <v/>
      </c>
      <c r="E1333">
        <f>IFERROR(IF(AND(A1333&gt;=129,A1333&lt;=2176),INDEX(Fields!$C$2:$C$206,MATCH(A1333-129,Fields!$D$2:$D$206,1)),""),"")</f>
        <v/>
      </c>
    </row>
    <row r="1334">
      <c r="A1334" t="n">
        <v>1333</v>
      </c>
      <c r="B1334">
        <f>IFERROR(INDEX(RawBits!$A:$A,MATCH($A1334,RawBits!$H:$H,0)),"?")</f>
        <v/>
      </c>
      <c r="C1334">
        <f>IFERROR(INDEX(RawBits!$G:$G,MATCH($A1334,RawBits!$H:$H,0)),"")</f>
        <v/>
      </c>
      <c r="D1334">
        <f>IFERROR(IF(AND(A1334&gt;=129,A1334&lt;=2176),INDEX(Fields!$B$2:$B$206,MATCH(A1334-129,Fields!$D$2:$D$206,1)),""),"")</f>
        <v/>
      </c>
      <c r="E1334">
        <f>IFERROR(IF(AND(A1334&gt;=129,A1334&lt;=2176),INDEX(Fields!$C$2:$C$206,MATCH(A1334-129,Fields!$D$2:$D$206,1)),""),"")</f>
        <v/>
      </c>
    </row>
    <row r="1335">
      <c r="A1335" t="n">
        <v>1334</v>
      </c>
      <c r="B1335">
        <f>IFERROR(INDEX(RawBits!$A:$A,MATCH($A1335,RawBits!$H:$H,0)),"?")</f>
        <v/>
      </c>
      <c r="C1335">
        <f>IFERROR(INDEX(RawBits!$G:$G,MATCH($A1335,RawBits!$H:$H,0)),"")</f>
        <v/>
      </c>
      <c r="D1335">
        <f>IFERROR(IF(AND(A1335&gt;=129,A1335&lt;=2176),INDEX(Fields!$B$2:$B$206,MATCH(A1335-129,Fields!$D$2:$D$206,1)),""),"")</f>
        <v/>
      </c>
      <c r="E1335">
        <f>IFERROR(IF(AND(A1335&gt;=129,A1335&lt;=2176),INDEX(Fields!$C$2:$C$206,MATCH(A1335-129,Fields!$D$2:$D$206,1)),""),"")</f>
        <v/>
      </c>
    </row>
    <row r="1336">
      <c r="A1336" t="n">
        <v>1335</v>
      </c>
      <c r="B1336">
        <f>IFERROR(INDEX(RawBits!$A:$A,MATCH($A1336,RawBits!$H:$H,0)),"?")</f>
        <v/>
      </c>
      <c r="C1336">
        <f>IFERROR(INDEX(RawBits!$G:$G,MATCH($A1336,RawBits!$H:$H,0)),"")</f>
        <v/>
      </c>
      <c r="D1336">
        <f>IFERROR(IF(AND(A1336&gt;=129,A1336&lt;=2176),INDEX(Fields!$B$2:$B$206,MATCH(A1336-129,Fields!$D$2:$D$206,1)),""),"")</f>
        <v/>
      </c>
      <c r="E1336">
        <f>IFERROR(IF(AND(A1336&gt;=129,A1336&lt;=2176),INDEX(Fields!$C$2:$C$206,MATCH(A1336-129,Fields!$D$2:$D$206,1)),""),"")</f>
        <v/>
      </c>
    </row>
    <row r="1337">
      <c r="A1337" t="n">
        <v>1336</v>
      </c>
      <c r="B1337">
        <f>IFERROR(INDEX(RawBits!$A:$A,MATCH($A1337,RawBits!$H:$H,0)),"?")</f>
        <v/>
      </c>
      <c r="C1337">
        <f>IFERROR(INDEX(RawBits!$G:$G,MATCH($A1337,RawBits!$H:$H,0)),"")</f>
        <v/>
      </c>
      <c r="D1337">
        <f>IFERROR(IF(AND(A1337&gt;=129,A1337&lt;=2176),INDEX(Fields!$B$2:$B$206,MATCH(A1337-129,Fields!$D$2:$D$206,1)),""),"")</f>
        <v/>
      </c>
      <c r="E1337">
        <f>IFERROR(IF(AND(A1337&gt;=129,A1337&lt;=2176),INDEX(Fields!$C$2:$C$206,MATCH(A1337-129,Fields!$D$2:$D$206,1)),""),"")</f>
        <v/>
      </c>
    </row>
    <row r="1338">
      <c r="A1338" t="n">
        <v>1337</v>
      </c>
      <c r="B1338">
        <f>IFERROR(INDEX(RawBits!$A:$A,MATCH($A1338,RawBits!$H:$H,0)),"?")</f>
        <v/>
      </c>
      <c r="C1338">
        <f>IFERROR(INDEX(RawBits!$G:$G,MATCH($A1338,RawBits!$H:$H,0)),"")</f>
        <v/>
      </c>
      <c r="D1338">
        <f>IFERROR(IF(AND(A1338&gt;=129,A1338&lt;=2176),INDEX(Fields!$B$2:$B$206,MATCH(A1338-129,Fields!$D$2:$D$206,1)),""),"")</f>
        <v/>
      </c>
      <c r="E1338">
        <f>IFERROR(IF(AND(A1338&gt;=129,A1338&lt;=2176),INDEX(Fields!$C$2:$C$206,MATCH(A1338-129,Fields!$D$2:$D$206,1)),""),"")</f>
        <v/>
      </c>
    </row>
    <row r="1339">
      <c r="A1339" t="n">
        <v>1338</v>
      </c>
      <c r="B1339">
        <f>IFERROR(INDEX(RawBits!$A:$A,MATCH($A1339,RawBits!$H:$H,0)),"?")</f>
        <v/>
      </c>
      <c r="C1339">
        <f>IFERROR(INDEX(RawBits!$G:$G,MATCH($A1339,RawBits!$H:$H,0)),"")</f>
        <v/>
      </c>
      <c r="D1339">
        <f>IFERROR(IF(AND(A1339&gt;=129,A1339&lt;=2176),INDEX(Fields!$B$2:$B$206,MATCH(A1339-129,Fields!$D$2:$D$206,1)),""),"")</f>
        <v/>
      </c>
      <c r="E1339">
        <f>IFERROR(IF(AND(A1339&gt;=129,A1339&lt;=2176),INDEX(Fields!$C$2:$C$206,MATCH(A1339-129,Fields!$D$2:$D$206,1)),""),"")</f>
        <v/>
      </c>
    </row>
    <row r="1340">
      <c r="A1340" t="n">
        <v>1339</v>
      </c>
      <c r="B1340">
        <f>IFERROR(INDEX(RawBits!$A:$A,MATCH($A1340,RawBits!$H:$H,0)),"?")</f>
        <v/>
      </c>
      <c r="C1340">
        <f>IFERROR(INDEX(RawBits!$G:$G,MATCH($A1340,RawBits!$H:$H,0)),"")</f>
        <v/>
      </c>
      <c r="D1340">
        <f>IFERROR(IF(AND(A1340&gt;=129,A1340&lt;=2176),INDEX(Fields!$B$2:$B$206,MATCH(A1340-129,Fields!$D$2:$D$206,1)),""),"")</f>
        <v/>
      </c>
      <c r="E1340">
        <f>IFERROR(IF(AND(A1340&gt;=129,A1340&lt;=2176),INDEX(Fields!$C$2:$C$206,MATCH(A1340-129,Fields!$D$2:$D$206,1)),""),"")</f>
        <v/>
      </c>
    </row>
    <row r="1341">
      <c r="A1341" t="n">
        <v>1340</v>
      </c>
      <c r="B1341">
        <f>IFERROR(INDEX(RawBits!$A:$A,MATCH($A1341,RawBits!$H:$H,0)),"?")</f>
        <v/>
      </c>
      <c r="C1341">
        <f>IFERROR(INDEX(RawBits!$G:$G,MATCH($A1341,RawBits!$H:$H,0)),"")</f>
        <v/>
      </c>
      <c r="D1341">
        <f>IFERROR(IF(AND(A1341&gt;=129,A1341&lt;=2176),INDEX(Fields!$B$2:$B$206,MATCH(A1341-129,Fields!$D$2:$D$206,1)),""),"")</f>
        <v/>
      </c>
      <c r="E1341">
        <f>IFERROR(IF(AND(A1341&gt;=129,A1341&lt;=2176),INDEX(Fields!$C$2:$C$206,MATCH(A1341-129,Fields!$D$2:$D$206,1)),""),"")</f>
        <v/>
      </c>
    </row>
    <row r="1342">
      <c r="A1342" t="n">
        <v>1341</v>
      </c>
      <c r="B1342">
        <f>IFERROR(INDEX(RawBits!$A:$A,MATCH($A1342,RawBits!$H:$H,0)),"?")</f>
        <v/>
      </c>
      <c r="C1342">
        <f>IFERROR(INDEX(RawBits!$G:$G,MATCH($A1342,RawBits!$H:$H,0)),"")</f>
        <v/>
      </c>
      <c r="D1342">
        <f>IFERROR(IF(AND(A1342&gt;=129,A1342&lt;=2176),INDEX(Fields!$B$2:$B$206,MATCH(A1342-129,Fields!$D$2:$D$206,1)),""),"")</f>
        <v/>
      </c>
      <c r="E1342">
        <f>IFERROR(IF(AND(A1342&gt;=129,A1342&lt;=2176),INDEX(Fields!$C$2:$C$206,MATCH(A1342-129,Fields!$D$2:$D$206,1)),""),"")</f>
        <v/>
      </c>
    </row>
    <row r="1343">
      <c r="A1343" t="n">
        <v>1342</v>
      </c>
      <c r="B1343">
        <f>IFERROR(INDEX(RawBits!$A:$A,MATCH($A1343,RawBits!$H:$H,0)),"?")</f>
        <v/>
      </c>
      <c r="C1343">
        <f>IFERROR(INDEX(RawBits!$G:$G,MATCH($A1343,RawBits!$H:$H,0)),"")</f>
        <v/>
      </c>
      <c r="D1343">
        <f>IFERROR(IF(AND(A1343&gt;=129,A1343&lt;=2176),INDEX(Fields!$B$2:$B$206,MATCH(A1343-129,Fields!$D$2:$D$206,1)),""),"")</f>
        <v/>
      </c>
      <c r="E1343">
        <f>IFERROR(IF(AND(A1343&gt;=129,A1343&lt;=2176),INDEX(Fields!$C$2:$C$206,MATCH(A1343-129,Fields!$D$2:$D$206,1)),""),"")</f>
        <v/>
      </c>
    </row>
    <row r="1344">
      <c r="A1344" t="n">
        <v>1343</v>
      </c>
      <c r="B1344">
        <f>IFERROR(INDEX(RawBits!$A:$A,MATCH($A1344,RawBits!$H:$H,0)),"?")</f>
        <v/>
      </c>
      <c r="C1344">
        <f>IFERROR(INDEX(RawBits!$G:$G,MATCH($A1344,RawBits!$H:$H,0)),"")</f>
        <v/>
      </c>
      <c r="D1344">
        <f>IFERROR(IF(AND(A1344&gt;=129,A1344&lt;=2176),INDEX(Fields!$B$2:$B$206,MATCH(A1344-129,Fields!$D$2:$D$206,1)),""),"")</f>
        <v/>
      </c>
      <c r="E1344">
        <f>IFERROR(IF(AND(A1344&gt;=129,A1344&lt;=2176),INDEX(Fields!$C$2:$C$206,MATCH(A1344-129,Fields!$D$2:$D$206,1)),""),"")</f>
        <v/>
      </c>
    </row>
    <row r="1345">
      <c r="A1345" t="n">
        <v>1344</v>
      </c>
      <c r="B1345">
        <f>IFERROR(INDEX(RawBits!$A:$A,MATCH($A1345,RawBits!$H:$H,0)),"?")</f>
        <v/>
      </c>
      <c r="C1345">
        <f>IFERROR(INDEX(RawBits!$G:$G,MATCH($A1345,RawBits!$H:$H,0)),"")</f>
        <v/>
      </c>
      <c r="D1345">
        <f>IFERROR(IF(AND(A1345&gt;=129,A1345&lt;=2176),INDEX(Fields!$B$2:$B$206,MATCH(A1345-129,Fields!$D$2:$D$206,1)),""),"")</f>
        <v/>
      </c>
      <c r="E1345">
        <f>IFERROR(IF(AND(A1345&gt;=129,A1345&lt;=2176),INDEX(Fields!$C$2:$C$206,MATCH(A1345-129,Fields!$D$2:$D$206,1)),""),"")</f>
        <v/>
      </c>
    </row>
    <row r="1346">
      <c r="A1346" t="n">
        <v>1345</v>
      </c>
      <c r="B1346">
        <f>IFERROR(INDEX(RawBits!$A:$A,MATCH($A1346,RawBits!$H:$H,0)),"?")</f>
        <v/>
      </c>
      <c r="C1346">
        <f>IFERROR(INDEX(RawBits!$G:$G,MATCH($A1346,RawBits!$H:$H,0)),"")</f>
        <v/>
      </c>
      <c r="D1346">
        <f>IFERROR(IF(AND(A1346&gt;=129,A1346&lt;=2176),INDEX(Fields!$B$2:$B$206,MATCH(A1346-129,Fields!$D$2:$D$206,1)),""),"")</f>
        <v/>
      </c>
      <c r="E1346">
        <f>IFERROR(IF(AND(A1346&gt;=129,A1346&lt;=2176),INDEX(Fields!$C$2:$C$206,MATCH(A1346-129,Fields!$D$2:$D$206,1)),""),"")</f>
        <v/>
      </c>
    </row>
    <row r="1347">
      <c r="A1347" t="n">
        <v>1346</v>
      </c>
      <c r="B1347">
        <f>IFERROR(INDEX(RawBits!$A:$A,MATCH($A1347,RawBits!$H:$H,0)),"?")</f>
        <v/>
      </c>
      <c r="C1347">
        <f>IFERROR(INDEX(RawBits!$G:$G,MATCH($A1347,RawBits!$H:$H,0)),"")</f>
        <v/>
      </c>
      <c r="D1347">
        <f>IFERROR(IF(AND(A1347&gt;=129,A1347&lt;=2176),INDEX(Fields!$B$2:$B$206,MATCH(A1347-129,Fields!$D$2:$D$206,1)),""),"")</f>
        <v/>
      </c>
      <c r="E1347">
        <f>IFERROR(IF(AND(A1347&gt;=129,A1347&lt;=2176),INDEX(Fields!$C$2:$C$206,MATCH(A1347-129,Fields!$D$2:$D$206,1)),""),"")</f>
        <v/>
      </c>
    </row>
    <row r="1348">
      <c r="A1348" t="n">
        <v>1347</v>
      </c>
      <c r="B1348">
        <f>IFERROR(INDEX(RawBits!$A:$A,MATCH($A1348,RawBits!$H:$H,0)),"?")</f>
        <v/>
      </c>
      <c r="C1348">
        <f>IFERROR(INDEX(RawBits!$G:$G,MATCH($A1348,RawBits!$H:$H,0)),"")</f>
        <v/>
      </c>
      <c r="D1348">
        <f>IFERROR(IF(AND(A1348&gt;=129,A1348&lt;=2176),INDEX(Fields!$B$2:$B$206,MATCH(A1348-129,Fields!$D$2:$D$206,1)),""),"")</f>
        <v/>
      </c>
      <c r="E1348">
        <f>IFERROR(IF(AND(A1348&gt;=129,A1348&lt;=2176),INDEX(Fields!$C$2:$C$206,MATCH(A1348-129,Fields!$D$2:$D$206,1)),""),"")</f>
        <v/>
      </c>
    </row>
    <row r="1349">
      <c r="A1349" t="n">
        <v>1348</v>
      </c>
      <c r="B1349">
        <f>IFERROR(INDEX(RawBits!$A:$A,MATCH($A1349,RawBits!$H:$H,0)),"?")</f>
        <v/>
      </c>
      <c r="C1349">
        <f>IFERROR(INDEX(RawBits!$G:$G,MATCH($A1349,RawBits!$H:$H,0)),"")</f>
        <v/>
      </c>
      <c r="D1349">
        <f>IFERROR(IF(AND(A1349&gt;=129,A1349&lt;=2176),INDEX(Fields!$B$2:$B$206,MATCH(A1349-129,Fields!$D$2:$D$206,1)),""),"")</f>
        <v/>
      </c>
      <c r="E1349">
        <f>IFERROR(IF(AND(A1349&gt;=129,A1349&lt;=2176),INDEX(Fields!$C$2:$C$206,MATCH(A1349-129,Fields!$D$2:$D$206,1)),""),"")</f>
        <v/>
      </c>
    </row>
    <row r="1350">
      <c r="A1350" t="n">
        <v>1349</v>
      </c>
      <c r="B1350">
        <f>IFERROR(INDEX(RawBits!$A:$A,MATCH($A1350,RawBits!$H:$H,0)),"?")</f>
        <v/>
      </c>
      <c r="C1350">
        <f>IFERROR(INDEX(RawBits!$G:$G,MATCH($A1350,RawBits!$H:$H,0)),"")</f>
        <v/>
      </c>
      <c r="D1350">
        <f>IFERROR(IF(AND(A1350&gt;=129,A1350&lt;=2176),INDEX(Fields!$B$2:$B$206,MATCH(A1350-129,Fields!$D$2:$D$206,1)),""),"")</f>
        <v/>
      </c>
      <c r="E1350">
        <f>IFERROR(IF(AND(A1350&gt;=129,A1350&lt;=2176),INDEX(Fields!$C$2:$C$206,MATCH(A1350-129,Fields!$D$2:$D$206,1)),""),"")</f>
        <v/>
      </c>
    </row>
    <row r="1351">
      <c r="A1351" t="n">
        <v>1350</v>
      </c>
      <c r="B1351">
        <f>IFERROR(INDEX(RawBits!$A:$A,MATCH($A1351,RawBits!$H:$H,0)),"?")</f>
        <v/>
      </c>
      <c r="C1351">
        <f>IFERROR(INDEX(RawBits!$G:$G,MATCH($A1351,RawBits!$H:$H,0)),"")</f>
        <v/>
      </c>
      <c r="D1351">
        <f>IFERROR(IF(AND(A1351&gt;=129,A1351&lt;=2176),INDEX(Fields!$B$2:$B$206,MATCH(A1351-129,Fields!$D$2:$D$206,1)),""),"")</f>
        <v/>
      </c>
      <c r="E1351">
        <f>IFERROR(IF(AND(A1351&gt;=129,A1351&lt;=2176),INDEX(Fields!$C$2:$C$206,MATCH(A1351-129,Fields!$D$2:$D$206,1)),""),"")</f>
        <v/>
      </c>
    </row>
    <row r="1352">
      <c r="A1352" t="n">
        <v>1351</v>
      </c>
      <c r="B1352">
        <f>IFERROR(INDEX(RawBits!$A:$A,MATCH($A1352,RawBits!$H:$H,0)),"?")</f>
        <v/>
      </c>
      <c r="C1352">
        <f>IFERROR(INDEX(RawBits!$G:$G,MATCH($A1352,RawBits!$H:$H,0)),"")</f>
        <v/>
      </c>
      <c r="D1352">
        <f>IFERROR(IF(AND(A1352&gt;=129,A1352&lt;=2176),INDEX(Fields!$B$2:$B$206,MATCH(A1352-129,Fields!$D$2:$D$206,1)),""),"")</f>
        <v/>
      </c>
      <c r="E1352">
        <f>IFERROR(IF(AND(A1352&gt;=129,A1352&lt;=2176),INDEX(Fields!$C$2:$C$206,MATCH(A1352-129,Fields!$D$2:$D$206,1)),""),"")</f>
        <v/>
      </c>
    </row>
    <row r="1353">
      <c r="A1353" t="n">
        <v>1352</v>
      </c>
      <c r="B1353">
        <f>IFERROR(INDEX(RawBits!$A:$A,MATCH($A1353,RawBits!$H:$H,0)),"?")</f>
        <v/>
      </c>
      <c r="C1353">
        <f>IFERROR(INDEX(RawBits!$G:$G,MATCH($A1353,RawBits!$H:$H,0)),"")</f>
        <v/>
      </c>
      <c r="D1353">
        <f>IFERROR(IF(AND(A1353&gt;=129,A1353&lt;=2176),INDEX(Fields!$B$2:$B$206,MATCH(A1353-129,Fields!$D$2:$D$206,1)),""),"")</f>
        <v/>
      </c>
      <c r="E1353">
        <f>IFERROR(IF(AND(A1353&gt;=129,A1353&lt;=2176),INDEX(Fields!$C$2:$C$206,MATCH(A1353-129,Fields!$D$2:$D$206,1)),""),"")</f>
        <v/>
      </c>
    </row>
    <row r="1354">
      <c r="A1354" t="n">
        <v>1353</v>
      </c>
      <c r="B1354">
        <f>IFERROR(INDEX(RawBits!$A:$A,MATCH($A1354,RawBits!$H:$H,0)),"?")</f>
        <v/>
      </c>
      <c r="C1354">
        <f>IFERROR(INDEX(RawBits!$G:$G,MATCH($A1354,RawBits!$H:$H,0)),"")</f>
        <v/>
      </c>
      <c r="D1354">
        <f>IFERROR(IF(AND(A1354&gt;=129,A1354&lt;=2176),INDEX(Fields!$B$2:$B$206,MATCH(A1354-129,Fields!$D$2:$D$206,1)),""),"")</f>
        <v/>
      </c>
      <c r="E1354">
        <f>IFERROR(IF(AND(A1354&gt;=129,A1354&lt;=2176),INDEX(Fields!$C$2:$C$206,MATCH(A1354-129,Fields!$D$2:$D$206,1)),""),"")</f>
        <v/>
      </c>
    </row>
    <row r="1355">
      <c r="A1355" t="n">
        <v>1354</v>
      </c>
      <c r="B1355">
        <f>IFERROR(INDEX(RawBits!$A:$A,MATCH($A1355,RawBits!$H:$H,0)),"?")</f>
        <v/>
      </c>
      <c r="C1355">
        <f>IFERROR(INDEX(RawBits!$G:$G,MATCH($A1355,RawBits!$H:$H,0)),"")</f>
        <v/>
      </c>
      <c r="D1355">
        <f>IFERROR(IF(AND(A1355&gt;=129,A1355&lt;=2176),INDEX(Fields!$B$2:$B$206,MATCH(A1355-129,Fields!$D$2:$D$206,1)),""),"")</f>
        <v/>
      </c>
      <c r="E1355">
        <f>IFERROR(IF(AND(A1355&gt;=129,A1355&lt;=2176),INDEX(Fields!$C$2:$C$206,MATCH(A1355-129,Fields!$D$2:$D$206,1)),""),"")</f>
        <v/>
      </c>
    </row>
    <row r="1356">
      <c r="A1356" t="n">
        <v>1355</v>
      </c>
      <c r="B1356">
        <f>IFERROR(INDEX(RawBits!$A:$A,MATCH($A1356,RawBits!$H:$H,0)),"?")</f>
        <v/>
      </c>
      <c r="C1356">
        <f>IFERROR(INDEX(RawBits!$G:$G,MATCH($A1356,RawBits!$H:$H,0)),"")</f>
        <v/>
      </c>
      <c r="D1356">
        <f>IFERROR(IF(AND(A1356&gt;=129,A1356&lt;=2176),INDEX(Fields!$B$2:$B$206,MATCH(A1356-129,Fields!$D$2:$D$206,1)),""),"")</f>
        <v/>
      </c>
      <c r="E1356">
        <f>IFERROR(IF(AND(A1356&gt;=129,A1356&lt;=2176),INDEX(Fields!$C$2:$C$206,MATCH(A1356-129,Fields!$D$2:$D$206,1)),""),"")</f>
        <v/>
      </c>
    </row>
    <row r="1357">
      <c r="A1357" t="n">
        <v>1356</v>
      </c>
      <c r="B1357">
        <f>IFERROR(INDEX(RawBits!$A:$A,MATCH($A1357,RawBits!$H:$H,0)),"?")</f>
        <v/>
      </c>
      <c r="C1357">
        <f>IFERROR(INDEX(RawBits!$G:$G,MATCH($A1357,RawBits!$H:$H,0)),"")</f>
        <v/>
      </c>
      <c r="D1357">
        <f>IFERROR(IF(AND(A1357&gt;=129,A1357&lt;=2176),INDEX(Fields!$B$2:$B$206,MATCH(A1357-129,Fields!$D$2:$D$206,1)),""),"")</f>
        <v/>
      </c>
      <c r="E1357">
        <f>IFERROR(IF(AND(A1357&gt;=129,A1357&lt;=2176),INDEX(Fields!$C$2:$C$206,MATCH(A1357-129,Fields!$D$2:$D$206,1)),""),"")</f>
        <v/>
      </c>
    </row>
    <row r="1358">
      <c r="A1358" t="n">
        <v>1357</v>
      </c>
      <c r="B1358">
        <f>IFERROR(INDEX(RawBits!$A:$A,MATCH($A1358,RawBits!$H:$H,0)),"?")</f>
        <v/>
      </c>
      <c r="C1358">
        <f>IFERROR(INDEX(RawBits!$G:$G,MATCH($A1358,RawBits!$H:$H,0)),"")</f>
        <v/>
      </c>
      <c r="D1358">
        <f>IFERROR(IF(AND(A1358&gt;=129,A1358&lt;=2176),INDEX(Fields!$B$2:$B$206,MATCH(A1358-129,Fields!$D$2:$D$206,1)),""),"")</f>
        <v/>
      </c>
      <c r="E1358">
        <f>IFERROR(IF(AND(A1358&gt;=129,A1358&lt;=2176),INDEX(Fields!$C$2:$C$206,MATCH(A1358-129,Fields!$D$2:$D$206,1)),""),"")</f>
        <v/>
      </c>
    </row>
    <row r="1359">
      <c r="A1359" t="n">
        <v>1358</v>
      </c>
      <c r="B1359">
        <f>IFERROR(INDEX(RawBits!$A:$A,MATCH($A1359,RawBits!$H:$H,0)),"?")</f>
        <v/>
      </c>
      <c r="C1359">
        <f>IFERROR(INDEX(RawBits!$G:$G,MATCH($A1359,RawBits!$H:$H,0)),"")</f>
        <v/>
      </c>
      <c r="D1359">
        <f>IFERROR(IF(AND(A1359&gt;=129,A1359&lt;=2176),INDEX(Fields!$B$2:$B$206,MATCH(A1359-129,Fields!$D$2:$D$206,1)),""),"")</f>
        <v/>
      </c>
      <c r="E1359">
        <f>IFERROR(IF(AND(A1359&gt;=129,A1359&lt;=2176),INDEX(Fields!$C$2:$C$206,MATCH(A1359-129,Fields!$D$2:$D$206,1)),""),"")</f>
        <v/>
      </c>
    </row>
    <row r="1360">
      <c r="A1360" t="n">
        <v>1359</v>
      </c>
      <c r="B1360">
        <f>IFERROR(INDEX(RawBits!$A:$A,MATCH($A1360,RawBits!$H:$H,0)),"?")</f>
        <v/>
      </c>
      <c r="C1360">
        <f>IFERROR(INDEX(RawBits!$G:$G,MATCH($A1360,RawBits!$H:$H,0)),"")</f>
        <v/>
      </c>
      <c r="D1360">
        <f>IFERROR(IF(AND(A1360&gt;=129,A1360&lt;=2176),INDEX(Fields!$B$2:$B$206,MATCH(A1360-129,Fields!$D$2:$D$206,1)),""),"")</f>
        <v/>
      </c>
      <c r="E1360">
        <f>IFERROR(IF(AND(A1360&gt;=129,A1360&lt;=2176),INDEX(Fields!$C$2:$C$206,MATCH(A1360-129,Fields!$D$2:$D$206,1)),""),"")</f>
        <v/>
      </c>
    </row>
    <row r="1361">
      <c r="A1361" t="n">
        <v>1360</v>
      </c>
      <c r="B1361">
        <f>IFERROR(INDEX(RawBits!$A:$A,MATCH($A1361,RawBits!$H:$H,0)),"?")</f>
        <v/>
      </c>
      <c r="C1361">
        <f>IFERROR(INDEX(RawBits!$G:$G,MATCH($A1361,RawBits!$H:$H,0)),"")</f>
        <v/>
      </c>
      <c r="D1361">
        <f>IFERROR(IF(AND(A1361&gt;=129,A1361&lt;=2176),INDEX(Fields!$B$2:$B$206,MATCH(A1361-129,Fields!$D$2:$D$206,1)),""),"")</f>
        <v/>
      </c>
      <c r="E1361">
        <f>IFERROR(IF(AND(A1361&gt;=129,A1361&lt;=2176),INDEX(Fields!$C$2:$C$206,MATCH(A1361-129,Fields!$D$2:$D$206,1)),""),"")</f>
        <v/>
      </c>
    </row>
    <row r="1362">
      <c r="A1362" t="n">
        <v>1361</v>
      </c>
      <c r="B1362">
        <f>IFERROR(INDEX(RawBits!$A:$A,MATCH($A1362,RawBits!$H:$H,0)),"?")</f>
        <v/>
      </c>
      <c r="C1362">
        <f>IFERROR(INDEX(RawBits!$G:$G,MATCH($A1362,RawBits!$H:$H,0)),"")</f>
        <v/>
      </c>
      <c r="D1362">
        <f>IFERROR(IF(AND(A1362&gt;=129,A1362&lt;=2176),INDEX(Fields!$B$2:$B$206,MATCH(A1362-129,Fields!$D$2:$D$206,1)),""),"")</f>
        <v/>
      </c>
      <c r="E1362">
        <f>IFERROR(IF(AND(A1362&gt;=129,A1362&lt;=2176),INDEX(Fields!$C$2:$C$206,MATCH(A1362-129,Fields!$D$2:$D$206,1)),""),"")</f>
        <v/>
      </c>
    </row>
    <row r="1363">
      <c r="A1363" t="n">
        <v>1362</v>
      </c>
      <c r="B1363">
        <f>IFERROR(INDEX(RawBits!$A:$A,MATCH($A1363,RawBits!$H:$H,0)),"?")</f>
        <v/>
      </c>
      <c r="C1363">
        <f>IFERROR(INDEX(RawBits!$G:$G,MATCH($A1363,RawBits!$H:$H,0)),"")</f>
        <v/>
      </c>
      <c r="D1363">
        <f>IFERROR(IF(AND(A1363&gt;=129,A1363&lt;=2176),INDEX(Fields!$B$2:$B$206,MATCH(A1363-129,Fields!$D$2:$D$206,1)),""),"")</f>
        <v/>
      </c>
      <c r="E1363">
        <f>IFERROR(IF(AND(A1363&gt;=129,A1363&lt;=2176),INDEX(Fields!$C$2:$C$206,MATCH(A1363-129,Fields!$D$2:$D$206,1)),""),"")</f>
        <v/>
      </c>
    </row>
    <row r="1364">
      <c r="A1364" t="n">
        <v>1363</v>
      </c>
      <c r="B1364">
        <f>IFERROR(INDEX(RawBits!$A:$A,MATCH($A1364,RawBits!$H:$H,0)),"?")</f>
        <v/>
      </c>
      <c r="C1364">
        <f>IFERROR(INDEX(RawBits!$G:$G,MATCH($A1364,RawBits!$H:$H,0)),"")</f>
        <v/>
      </c>
      <c r="D1364">
        <f>IFERROR(IF(AND(A1364&gt;=129,A1364&lt;=2176),INDEX(Fields!$B$2:$B$206,MATCH(A1364-129,Fields!$D$2:$D$206,1)),""),"")</f>
        <v/>
      </c>
      <c r="E1364">
        <f>IFERROR(IF(AND(A1364&gt;=129,A1364&lt;=2176),INDEX(Fields!$C$2:$C$206,MATCH(A1364-129,Fields!$D$2:$D$206,1)),""),"")</f>
        <v/>
      </c>
    </row>
    <row r="1365">
      <c r="A1365" t="n">
        <v>1364</v>
      </c>
      <c r="B1365">
        <f>IFERROR(INDEX(RawBits!$A:$A,MATCH($A1365,RawBits!$H:$H,0)),"?")</f>
        <v/>
      </c>
      <c r="C1365">
        <f>IFERROR(INDEX(RawBits!$G:$G,MATCH($A1365,RawBits!$H:$H,0)),"")</f>
        <v/>
      </c>
      <c r="D1365">
        <f>IFERROR(IF(AND(A1365&gt;=129,A1365&lt;=2176),INDEX(Fields!$B$2:$B$206,MATCH(A1365-129,Fields!$D$2:$D$206,1)),""),"")</f>
        <v/>
      </c>
      <c r="E1365">
        <f>IFERROR(IF(AND(A1365&gt;=129,A1365&lt;=2176),INDEX(Fields!$C$2:$C$206,MATCH(A1365-129,Fields!$D$2:$D$206,1)),""),"")</f>
        <v/>
      </c>
    </row>
    <row r="1366">
      <c r="A1366" t="n">
        <v>1365</v>
      </c>
      <c r="B1366">
        <f>IFERROR(INDEX(RawBits!$A:$A,MATCH($A1366,RawBits!$H:$H,0)),"?")</f>
        <v/>
      </c>
      <c r="C1366">
        <f>IFERROR(INDEX(RawBits!$G:$G,MATCH($A1366,RawBits!$H:$H,0)),"")</f>
        <v/>
      </c>
      <c r="D1366">
        <f>IFERROR(IF(AND(A1366&gt;=129,A1366&lt;=2176),INDEX(Fields!$B$2:$B$206,MATCH(A1366-129,Fields!$D$2:$D$206,1)),""),"")</f>
        <v/>
      </c>
      <c r="E1366">
        <f>IFERROR(IF(AND(A1366&gt;=129,A1366&lt;=2176),INDEX(Fields!$C$2:$C$206,MATCH(A1366-129,Fields!$D$2:$D$206,1)),""),"")</f>
        <v/>
      </c>
    </row>
    <row r="1367">
      <c r="A1367" t="n">
        <v>1366</v>
      </c>
      <c r="B1367">
        <f>IFERROR(INDEX(RawBits!$A:$A,MATCH($A1367,RawBits!$H:$H,0)),"?")</f>
        <v/>
      </c>
      <c r="C1367">
        <f>IFERROR(INDEX(RawBits!$G:$G,MATCH($A1367,RawBits!$H:$H,0)),"")</f>
        <v/>
      </c>
      <c r="D1367">
        <f>IFERROR(IF(AND(A1367&gt;=129,A1367&lt;=2176),INDEX(Fields!$B$2:$B$206,MATCH(A1367-129,Fields!$D$2:$D$206,1)),""),"")</f>
        <v/>
      </c>
      <c r="E1367">
        <f>IFERROR(IF(AND(A1367&gt;=129,A1367&lt;=2176),INDEX(Fields!$C$2:$C$206,MATCH(A1367-129,Fields!$D$2:$D$206,1)),""),"")</f>
        <v/>
      </c>
    </row>
    <row r="1368">
      <c r="A1368" t="n">
        <v>1367</v>
      </c>
      <c r="B1368">
        <f>IFERROR(INDEX(RawBits!$A:$A,MATCH($A1368,RawBits!$H:$H,0)),"?")</f>
        <v/>
      </c>
      <c r="C1368">
        <f>IFERROR(INDEX(RawBits!$G:$G,MATCH($A1368,RawBits!$H:$H,0)),"")</f>
        <v/>
      </c>
      <c r="D1368">
        <f>IFERROR(IF(AND(A1368&gt;=129,A1368&lt;=2176),INDEX(Fields!$B$2:$B$206,MATCH(A1368-129,Fields!$D$2:$D$206,1)),""),"")</f>
        <v/>
      </c>
      <c r="E1368">
        <f>IFERROR(IF(AND(A1368&gt;=129,A1368&lt;=2176),INDEX(Fields!$C$2:$C$206,MATCH(A1368-129,Fields!$D$2:$D$206,1)),""),"")</f>
        <v/>
      </c>
    </row>
    <row r="1369">
      <c r="A1369" t="n">
        <v>1368</v>
      </c>
      <c r="B1369">
        <f>IFERROR(INDEX(RawBits!$A:$A,MATCH($A1369,RawBits!$H:$H,0)),"?")</f>
        <v/>
      </c>
      <c r="C1369">
        <f>IFERROR(INDEX(RawBits!$G:$G,MATCH($A1369,RawBits!$H:$H,0)),"")</f>
        <v/>
      </c>
      <c r="D1369">
        <f>IFERROR(IF(AND(A1369&gt;=129,A1369&lt;=2176),INDEX(Fields!$B$2:$B$206,MATCH(A1369-129,Fields!$D$2:$D$206,1)),""),"")</f>
        <v/>
      </c>
      <c r="E1369">
        <f>IFERROR(IF(AND(A1369&gt;=129,A1369&lt;=2176),INDEX(Fields!$C$2:$C$206,MATCH(A1369-129,Fields!$D$2:$D$206,1)),""),"")</f>
        <v/>
      </c>
    </row>
    <row r="1370">
      <c r="A1370" t="n">
        <v>1369</v>
      </c>
      <c r="B1370">
        <f>IFERROR(INDEX(RawBits!$A:$A,MATCH($A1370,RawBits!$H:$H,0)),"?")</f>
        <v/>
      </c>
      <c r="C1370">
        <f>IFERROR(INDEX(RawBits!$G:$G,MATCH($A1370,RawBits!$H:$H,0)),"")</f>
        <v/>
      </c>
      <c r="D1370">
        <f>IFERROR(IF(AND(A1370&gt;=129,A1370&lt;=2176),INDEX(Fields!$B$2:$B$206,MATCH(A1370-129,Fields!$D$2:$D$206,1)),""),"")</f>
        <v/>
      </c>
      <c r="E1370">
        <f>IFERROR(IF(AND(A1370&gt;=129,A1370&lt;=2176),INDEX(Fields!$C$2:$C$206,MATCH(A1370-129,Fields!$D$2:$D$206,1)),""),"")</f>
        <v/>
      </c>
    </row>
    <row r="1371">
      <c r="A1371" t="n">
        <v>1370</v>
      </c>
      <c r="B1371">
        <f>IFERROR(INDEX(RawBits!$A:$A,MATCH($A1371,RawBits!$H:$H,0)),"?")</f>
        <v/>
      </c>
      <c r="C1371">
        <f>IFERROR(INDEX(RawBits!$G:$G,MATCH($A1371,RawBits!$H:$H,0)),"")</f>
        <v/>
      </c>
      <c r="D1371">
        <f>IFERROR(IF(AND(A1371&gt;=129,A1371&lt;=2176),INDEX(Fields!$B$2:$B$206,MATCH(A1371-129,Fields!$D$2:$D$206,1)),""),"")</f>
        <v/>
      </c>
      <c r="E1371">
        <f>IFERROR(IF(AND(A1371&gt;=129,A1371&lt;=2176),INDEX(Fields!$C$2:$C$206,MATCH(A1371-129,Fields!$D$2:$D$206,1)),""),"")</f>
        <v/>
      </c>
    </row>
    <row r="1372">
      <c r="A1372" t="n">
        <v>1371</v>
      </c>
      <c r="B1372">
        <f>IFERROR(INDEX(RawBits!$A:$A,MATCH($A1372,RawBits!$H:$H,0)),"?")</f>
        <v/>
      </c>
      <c r="C1372">
        <f>IFERROR(INDEX(RawBits!$G:$G,MATCH($A1372,RawBits!$H:$H,0)),"")</f>
        <v/>
      </c>
      <c r="D1372">
        <f>IFERROR(IF(AND(A1372&gt;=129,A1372&lt;=2176),INDEX(Fields!$B$2:$B$206,MATCH(A1372-129,Fields!$D$2:$D$206,1)),""),"")</f>
        <v/>
      </c>
      <c r="E1372">
        <f>IFERROR(IF(AND(A1372&gt;=129,A1372&lt;=2176),INDEX(Fields!$C$2:$C$206,MATCH(A1372-129,Fields!$D$2:$D$206,1)),""),"")</f>
        <v/>
      </c>
    </row>
    <row r="1373">
      <c r="A1373" t="n">
        <v>1372</v>
      </c>
      <c r="B1373">
        <f>IFERROR(INDEX(RawBits!$A:$A,MATCH($A1373,RawBits!$H:$H,0)),"?")</f>
        <v/>
      </c>
      <c r="C1373">
        <f>IFERROR(INDEX(RawBits!$G:$G,MATCH($A1373,RawBits!$H:$H,0)),"")</f>
        <v/>
      </c>
      <c r="D1373">
        <f>IFERROR(IF(AND(A1373&gt;=129,A1373&lt;=2176),INDEX(Fields!$B$2:$B$206,MATCH(A1373-129,Fields!$D$2:$D$206,1)),""),"")</f>
        <v/>
      </c>
      <c r="E1373">
        <f>IFERROR(IF(AND(A1373&gt;=129,A1373&lt;=2176),INDEX(Fields!$C$2:$C$206,MATCH(A1373-129,Fields!$D$2:$D$206,1)),""),"")</f>
        <v/>
      </c>
    </row>
    <row r="1374">
      <c r="A1374" t="n">
        <v>1373</v>
      </c>
      <c r="B1374">
        <f>IFERROR(INDEX(RawBits!$A:$A,MATCH($A1374,RawBits!$H:$H,0)),"?")</f>
        <v/>
      </c>
      <c r="C1374">
        <f>IFERROR(INDEX(RawBits!$G:$G,MATCH($A1374,RawBits!$H:$H,0)),"")</f>
        <v/>
      </c>
      <c r="D1374">
        <f>IFERROR(IF(AND(A1374&gt;=129,A1374&lt;=2176),INDEX(Fields!$B$2:$B$206,MATCH(A1374-129,Fields!$D$2:$D$206,1)),""),"")</f>
        <v/>
      </c>
      <c r="E1374">
        <f>IFERROR(IF(AND(A1374&gt;=129,A1374&lt;=2176),INDEX(Fields!$C$2:$C$206,MATCH(A1374-129,Fields!$D$2:$D$206,1)),""),"")</f>
        <v/>
      </c>
    </row>
    <row r="1375">
      <c r="A1375" t="n">
        <v>1374</v>
      </c>
      <c r="B1375">
        <f>IFERROR(INDEX(RawBits!$A:$A,MATCH($A1375,RawBits!$H:$H,0)),"?")</f>
        <v/>
      </c>
      <c r="C1375">
        <f>IFERROR(INDEX(RawBits!$G:$G,MATCH($A1375,RawBits!$H:$H,0)),"")</f>
        <v/>
      </c>
      <c r="D1375">
        <f>IFERROR(IF(AND(A1375&gt;=129,A1375&lt;=2176),INDEX(Fields!$B$2:$B$206,MATCH(A1375-129,Fields!$D$2:$D$206,1)),""),"")</f>
        <v/>
      </c>
      <c r="E1375">
        <f>IFERROR(IF(AND(A1375&gt;=129,A1375&lt;=2176),INDEX(Fields!$C$2:$C$206,MATCH(A1375-129,Fields!$D$2:$D$206,1)),""),"")</f>
        <v/>
      </c>
    </row>
    <row r="1376">
      <c r="A1376" t="n">
        <v>1375</v>
      </c>
      <c r="B1376">
        <f>IFERROR(INDEX(RawBits!$A:$A,MATCH($A1376,RawBits!$H:$H,0)),"?")</f>
        <v/>
      </c>
      <c r="C1376">
        <f>IFERROR(INDEX(RawBits!$G:$G,MATCH($A1376,RawBits!$H:$H,0)),"")</f>
        <v/>
      </c>
      <c r="D1376">
        <f>IFERROR(IF(AND(A1376&gt;=129,A1376&lt;=2176),INDEX(Fields!$B$2:$B$206,MATCH(A1376-129,Fields!$D$2:$D$206,1)),""),"")</f>
        <v/>
      </c>
      <c r="E1376">
        <f>IFERROR(IF(AND(A1376&gt;=129,A1376&lt;=2176),INDEX(Fields!$C$2:$C$206,MATCH(A1376-129,Fields!$D$2:$D$206,1)),""),"")</f>
        <v/>
      </c>
    </row>
    <row r="1377">
      <c r="A1377" t="n">
        <v>1376</v>
      </c>
      <c r="B1377">
        <f>IFERROR(INDEX(RawBits!$A:$A,MATCH($A1377,RawBits!$H:$H,0)),"?")</f>
        <v/>
      </c>
      <c r="C1377">
        <f>IFERROR(INDEX(RawBits!$G:$G,MATCH($A1377,RawBits!$H:$H,0)),"")</f>
        <v/>
      </c>
      <c r="D1377">
        <f>IFERROR(IF(AND(A1377&gt;=129,A1377&lt;=2176),INDEX(Fields!$B$2:$B$206,MATCH(A1377-129,Fields!$D$2:$D$206,1)),""),"")</f>
        <v/>
      </c>
      <c r="E1377">
        <f>IFERROR(IF(AND(A1377&gt;=129,A1377&lt;=2176),INDEX(Fields!$C$2:$C$206,MATCH(A1377-129,Fields!$D$2:$D$206,1)),""),"")</f>
        <v/>
      </c>
    </row>
    <row r="1378">
      <c r="A1378" t="n">
        <v>1377</v>
      </c>
      <c r="B1378">
        <f>IFERROR(INDEX(RawBits!$A:$A,MATCH($A1378,RawBits!$H:$H,0)),"?")</f>
        <v/>
      </c>
      <c r="C1378">
        <f>IFERROR(INDEX(RawBits!$G:$G,MATCH($A1378,RawBits!$H:$H,0)),"")</f>
        <v/>
      </c>
      <c r="D1378">
        <f>IFERROR(IF(AND(A1378&gt;=129,A1378&lt;=2176),INDEX(Fields!$B$2:$B$206,MATCH(A1378-129,Fields!$D$2:$D$206,1)),""),"")</f>
        <v/>
      </c>
      <c r="E1378">
        <f>IFERROR(IF(AND(A1378&gt;=129,A1378&lt;=2176),INDEX(Fields!$C$2:$C$206,MATCH(A1378-129,Fields!$D$2:$D$206,1)),""),"")</f>
        <v/>
      </c>
    </row>
    <row r="1379">
      <c r="A1379" t="n">
        <v>1378</v>
      </c>
      <c r="B1379">
        <f>IFERROR(INDEX(RawBits!$A:$A,MATCH($A1379,RawBits!$H:$H,0)),"?")</f>
        <v/>
      </c>
      <c r="C1379">
        <f>IFERROR(INDEX(RawBits!$G:$G,MATCH($A1379,RawBits!$H:$H,0)),"")</f>
        <v/>
      </c>
      <c r="D1379">
        <f>IFERROR(IF(AND(A1379&gt;=129,A1379&lt;=2176),INDEX(Fields!$B$2:$B$206,MATCH(A1379-129,Fields!$D$2:$D$206,1)),""),"")</f>
        <v/>
      </c>
      <c r="E1379">
        <f>IFERROR(IF(AND(A1379&gt;=129,A1379&lt;=2176),INDEX(Fields!$C$2:$C$206,MATCH(A1379-129,Fields!$D$2:$D$206,1)),""),"")</f>
        <v/>
      </c>
    </row>
    <row r="1380">
      <c r="A1380" t="n">
        <v>1379</v>
      </c>
      <c r="B1380">
        <f>IFERROR(INDEX(RawBits!$A:$A,MATCH($A1380,RawBits!$H:$H,0)),"?")</f>
        <v/>
      </c>
      <c r="C1380">
        <f>IFERROR(INDEX(RawBits!$G:$G,MATCH($A1380,RawBits!$H:$H,0)),"")</f>
        <v/>
      </c>
      <c r="D1380">
        <f>IFERROR(IF(AND(A1380&gt;=129,A1380&lt;=2176),INDEX(Fields!$B$2:$B$206,MATCH(A1380-129,Fields!$D$2:$D$206,1)),""),"")</f>
        <v/>
      </c>
      <c r="E1380">
        <f>IFERROR(IF(AND(A1380&gt;=129,A1380&lt;=2176),INDEX(Fields!$C$2:$C$206,MATCH(A1380-129,Fields!$D$2:$D$206,1)),""),"")</f>
        <v/>
      </c>
    </row>
    <row r="1381">
      <c r="A1381" t="n">
        <v>1380</v>
      </c>
      <c r="B1381">
        <f>IFERROR(INDEX(RawBits!$A:$A,MATCH($A1381,RawBits!$H:$H,0)),"?")</f>
        <v/>
      </c>
      <c r="C1381">
        <f>IFERROR(INDEX(RawBits!$G:$G,MATCH($A1381,RawBits!$H:$H,0)),"")</f>
        <v/>
      </c>
      <c r="D1381">
        <f>IFERROR(IF(AND(A1381&gt;=129,A1381&lt;=2176),INDEX(Fields!$B$2:$B$206,MATCH(A1381-129,Fields!$D$2:$D$206,1)),""),"")</f>
        <v/>
      </c>
      <c r="E1381">
        <f>IFERROR(IF(AND(A1381&gt;=129,A1381&lt;=2176),INDEX(Fields!$C$2:$C$206,MATCH(A1381-129,Fields!$D$2:$D$206,1)),""),"")</f>
        <v/>
      </c>
    </row>
    <row r="1382">
      <c r="A1382" t="n">
        <v>1381</v>
      </c>
      <c r="B1382">
        <f>IFERROR(INDEX(RawBits!$A:$A,MATCH($A1382,RawBits!$H:$H,0)),"?")</f>
        <v/>
      </c>
      <c r="C1382">
        <f>IFERROR(INDEX(RawBits!$G:$G,MATCH($A1382,RawBits!$H:$H,0)),"")</f>
        <v/>
      </c>
      <c r="D1382">
        <f>IFERROR(IF(AND(A1382&gt;=129,A1382&lt;=2176),INDEX(Fields!$B$2:$B$206,MATCH(A1382-129,Fields!$D$2:$D$206,1)),""),"")</f>
        <v/>
      </c>
      <c r="E1382">
        <f>IFERROR(IF(AND(A1382&gt;=129,A1382&lt;=2176),INDEX(Fields!$C$2:$C$206,MATCH(A1382-129,Fields!$D$2:$D$206,1)),""),"")</f>
        <v/>
      </c>
    </row>
    <row r="1383">
      <c r="A1383" t="n">
        <v>1382</v>
      </c>
      <c r="B1383">
        <f>IFERROR(INDEX(RawBits!$A:$A,MATCH($A1383,RawBits!$H:$H,0)),"?")</f>
        <v/>
      </c>
      <c r="C1383">
        <f>IFERROR(INDEX(RawBits!$G:$G,MATCH($A1383,RawBits!$H:$H,0)),"")</f>
        <v/>
      </c>
      <c r="D1383">
        <f>IFERROR(IF(AND(A1383&gt;=129,A1383&lt;=2176),INDEX(Fields!$B$2:$B$206,MATCH(A1383-129,Fields!$D$2:$D$206,1)),""),"")</f>
        <v/>
      </c>
      <c r="E1383">
        <f>IFERROR(IF(AND(A1383&gt;=129,A1383&lt;=2176),INDEX(Fields!$C$2:$C$206,MATCH(A1383-129,Fields!$D$2:$D$206,1)),""),"")</f>
        <v/>
      </c>
    </row>
    <row r="1384">
      <c r="A1384" t="n">
        <v>1383</v>
      </c>
      <c r="B1384">
        <f>IFERROR(INDEX(RawBits!$A:$A,MATCH($A1384,RawBits!$H:$H,0)),"?")</f>
        <v/>
      </c>
      <c r="C1384">
        <f>IFERROR(INDEX(RawBits!$G:$G,MATCH($A1384,RawBits!$H:$H,0)),"")</f>
        <v/>
      </c>
      <c r="D1384">
        <f>IFERROR(IF(AND(A1384&gt;=129,A1384&lt;=2176),INDEX(Fields!$B$2:$B$206,MATCH(A1384-129,Fields!$D$2:$D$206,1)),""),"")</f>
        <v/>
      </c>
      <c r="E1384">
        <f>IFERROR(IF(AND(A1384&gt;=129,A1384&lt;=2176),INDEX(Fields!$C$2:$C$206,MATCH(A1384-129,Fields!$D$2:$D$206,1)),""),"")</f>
        <v/>
      </c>
    </row>
    <row r="1385">
      <c r="A1385" t="n">
        <v>1384</v>
      </c>
      <c r="B1385">
        <f>IFERROR(INDEX(RawBits!$A:$A,MATCH($A1385,RawBits!$H:$H,0)),"?")</f>
        <v/>
      </c>
      <c r="C1385">
        <f>IFERROR(INDEX(RawBits!$G:$G,MATCH($A1385,RawBits!$H:$H,0)),"")</f>
        <v/>
      </c>
      <c r="D1385">
        <f>IFERROR(IF(AND(A1385&gt;=129,A1385&lt;=2176),INDEX(Fields!$B$2:$B$206,MATCH(A1385-129,Fields!$D$2:$D$206,1)),""),"")</f>
        <v/>
      </c>
      <c r="E1385">
        <f>IFERROR(IF(AND(A1385&gt;=129,A1385&lt;=2176),INDEX(Fields!$C$2:$C$206,MATCH(A1385-129,Fields!$D$2:$D$206,1)),""),"")</f>
        <v/>
      </c>
    </row>
    <row r="1386">
      <c r="A1386" t="n">
        <v>1385</v>
      </c>
      <c r="B1386">
        <f>IFERROR(INDEX(RawBits!$A:$A,MATCH($A1386,RawBits!$H:$H,0)),"?")</f>
        <v/>
      </c>
      <c r="C1386">
        <f>IFERROR(INDEX(RawBits!$G:$G,MATCH($A1386,RawBits!$H:$H,0)),"")</f>
        <v/>
      </c>
      <c r="D1386">
        <f>IFERROR(IF(AND(A1386&gt;=129,A1386&lt;=2176),INDEX(Fields!$B$2:$B$206,MATCH(A1386-129,Fields!$D$2:$D$206,1)),""),"")</f>
        <v/>
      </c>
      <c r="E1386">
        <f>IFERROR(IF(AND(A1386&gt;=129,A1386&lt;=2176),INDEX(Fields!$C$2:$C$206,MATCH(A1386-129,Fields!$D$2:$D$206,1)),""),"")</f>
        <v/>
      </c>
    </row>
    <row r="1387">
      <c r="A1387" t="n">
        <v>1386</v>
      </c>
      <c r="B1387">
        <f>IFERROR(INDEX(RawBits!$A:$A,MATCH($A1387,RawBits!$H:$H,0)),"?")</f>
        <v/>
      </c>
      <c r="C1387">
        <f>IFERROR(INDEX(RawBits!$G:$G,MATCH($A1387,RawBits!$H:$H,0)),"")</f>
        <v/>
      </c>
      <c r="D1387">
        <f>IFERROR(IF(AND(A1387&gt;=129,A1387&lt;=2176),INDEX(Fields!$B$2:$B$206,MATCH(A1387-129,Fields!$D$2:$D$206,1)),""),"")</f>
        <v/>
      </c>
      <c r="E1387">
        <f>IFERROR(IF(AND(A1387&gt;=129,A1387&lt;=2176),INDEX(Fields!$C$2:$C$206,MATCH(A1387-129,Fields!$D$2:$D$206,1)),""),"")</f>
        <v/>
      </c>
    </row>
    <row r="1388">
      <c r="A1388" t="n">
        <v>1387</v>
      </c>
      <c r="B1388">
        <f>IFERROR(INDEX(RawBits!$A:$A,MATCH($A1388,RawBits!$H:$H,0)),"?")</f>
        <v/>
      </c>
      <c r="C1388">
        <f>IFERROR(INDEX(RawBits!$G:$G,MATCH($A1388,RawBits!$H:$H,0)),"")</f>
        <v/>
      </c>
      <c r="D1388">
        <f>IFERROR(IF(AND(A1388&gt;=129,A1388&lt;=2176),INDEX(Fields!$B$2:$B$206,MATCH(A1388-129,Fields!$D$2:$D$206,1)),""),"")</f>
        <v/>
      </c>
      <c r="E1388">
        <f>IFERROR(IF(AND(A1388&gt;=129,A1388&lt;=2176),INDEX(Fields!$C$2:$C$206,MATCH(A1388-129,Fields!$D$2:$D$206,1)),""),"")</f>
        <v/>
      </c>
    </row>
    <row r="1389">
      <c r="A1389" t="n">
        <v>1388</v>
      </c>
      <c r="B1389">
        <f>IFERROR(INDEX(RawBits!$A:$A,MATCH($A1389,RawBits!$H:$H,0)),"?")</f>
        <v/>
      </c>
      <c r="C1389">
        <f>IFERROR(INDEX(RawBits!$G:$G,MATCH($A1389,RawBits!$H:$H,0)),"")</f>
        <v/>
      </c>
      <c r="D1389">
        <f>IFERROR(IF(AND(A1389&gt;=129,A1389&lt;=2176),INDEX(Fields!$B$2:$B$206,MATCH(A1389-129,Fields!$D$2:$D$206,1)),""),"")</f>
        <v/>
      </c>
      <c r="E1389">
        <f>IFERROR(IF(AND(A1389&gt;=129,A1389&lt;=2176),INDEX(Fields!$C$2:$C$206,MATCH(A1389-129,Fields!$D$2:$D$206,1)),""),"")</f>
        <v/>
      </c>
    </row>
    <row r="1390">
      <c r="A1390" t="n">
        <v>1389</v>
      </c>
      <c r="B1390">
        <f>IFERROR(INDEX(RawBits!$A:$A,MATCH($A1390,RawBits!$H:$H,0)),"?")</f>
        <v/>
      </c>
      <c r="C1390">
        <f>IFERROR(INDEX(RawBits!$G:$G,MATCH($A1390,RawBits!$H:$H,0)),"")</f>
        <v/>
      </c>
      <c r="D1390">
        <f>IFERROR(IF(AND(A1390&gt;=129,A1390&lt;=2176),INDEX(Fields!$B$2:$B$206,MATCH(A1390-129,Fields!$D$2:$D$206,1)),""),"")</f>
        <v/>
      </c>
      <c r="E1390">
        <f>IFERROR(IF(AND(A1390&gt;=129,A1390&lt;=2176),INDEX(Fields!$C$2:$C$206,MATCH(A1390-129,Fields!$D$2:$D$206,1)),""),"")</f>
        <v/>
      </c>
    </row>
    <row r="1391">
      <c r="A1391" t="n">
        <v>1390</v>
      </c>
      <c r="B1391">
        <f>IFERROR(INDEX(RawBits!$A:$A,MATCH($A1391,RawBits!$H:$H,0)),"?")</f>
        <v/>
      </c>
      <c r="C1391">
        <f>IFERROR(INDEX(RawBits!$G:$G,MATCH($A1391,RawBits!$H:$H,0)),"")</f>
        <v/>
      </c>
      <c r="D1391">
        <f>IFERROR(IF(AND(A1391&gt;=129,A1391&lt;=2176),INDEX(Fields!$B$2:$B$206,MATCH(A1391-129,Fields!$D$2:$D$206,1)),""),"")</f>
        <v/>
      </c>
      <c r="E1391">
        <f>IFERROR(IF(AND(A1391&gt;=129,A1391&lt;=2176),INDEX(Fields!$C$2:$C$206,MATCH(A1391-129,Fields!$D$2:$D$206,1)),""),"")</f>
        <v/>
      </c>
    </row>
    <row r="1392">
      <c r="A1392" t="n">
        <v>1391</v>
      </c>
      <c r="B1392">
        <f>IFERROR(INDEX(RawBits!$A:$A,MATCH($A1392,RawBits!$H:$H,0)),"?")</f>
        <v/>
      </c>
      <c r="C1392">
        <f>IFERROR(INDEX(RawBits!$G:$G,MATCH($A1392,RawBits!$H:$H,0)),"")</f>
        <v/>
      </c>
      <c r="D1392">
        <f>IFERROR(IF(AND(A1392&gt;=129,A1392&lt;=2176),INDEX(Fields!$B$2:$B$206,MATCH(A1392-129,Fields!$D$2:$D$206,1)),""),"")</f>
        <v/>
      </c>
      <c r="E1392">
        <f>IFERROR(IF(AND(A1392&gt;=129,A1392&lt;=2176),INDEX(Fields!$C$2:$C$206,MATCH(A1392-129,Fields!$D$2:$D$206,1)),""),"")</f>
        <v/>
      </c>
    </row>
    <row r="1393">
      <c r="A1393" t="n">
        <v>1392</v>
      </c>
      <c r="B1393">
        <f>IFERROR(INDEX(RawBits!$A:$A,MATCH($A1393,RawBits!$H:$H,0)),"?")</f>
        <v/>
      </c>
      <c r="C1393">
        <f>IFERROR(INDEX(RawBits!$G:$G,MATCH($A1393,RawBits!$H:$H,0)),"")</f>
        <v/>
      </c>
      <c r="D1393">
        <f>IFERROR(IF(AND(A1393&gt;=129,A1393&lt;=2176),INDEX(Fields!$B$2:$B$206,MATCH(A1393-129,Fields!$D$2:$D$206,1)),""),"")</f>
        <v/>
      </c>
      <c r="E1393">
        <f>IFERROR(IF(AND(A1393&gt;=129,A1393&lt;=2176),INDEX(Fields!$C$2:$C$206,MATCH(A1393-129,Fields!$D$2:$D$206,1)),""),"")</f>
        <v/>
      </c>
    </row>
    <row r="1394">
      <c r="A1394" t="n">
        <v>1393</v>
      </c>
      <c r="B1394">
        <f>IFERROR(INDEX(RawBits!$A:$A,MATCH($A1394,RawBits!$H:$H,0)),"?")</f>
        <v/>
      </c>
      <c r="C1394">
        <f>IFERROR(INDEX(RawBits!$G:$G,MATCH($A1394,RawBits!$H:$H,0)),"")</f>
        <v/>
      </c>
      <c r="D1394">
        <f>IFERROR(IF(AND(A1394&gt;=129,A1394&lt;=2176),INDEX(Fields!$B$2:$B$206,MATCH(A1394-129,Fields!$D$2:$D$206,1)),""),"")</f>
        <v/>
      </c>
      <c r="E1394">
        <f>IFERROR(IF(AND(A1394&gt;=129,A1394&lt;=2176),INDEX(Fields!$C$2:$C$206,MATCH(A1394-129,Fields!$D$2:$D$206,1)),""),"")</f>
        <v/>
      </c>
    </row>
    <row r="1395">
      <c r="A1395" t="n">
        <v>1394</v>
      </c>
      <c r="B1395">
        <f>IFERROR(INDEX(RawBits!$A:$A,MATCH($A1395,RawBits!$H:$H,0)),"?")</f>
        <v/>
      </c>
      <c r="C1395">
        <f>IFERROR(INDEX(RawBits!$G:$G,MATCH($A1395,RawBits!$H:$H,0)),"")</f>
        <v/>
      </c>
      <c r="D1395">
        <f>IFERROR(IF(AND(A1395&gt;=129,A1395&lt;=2176),INDEX(Fields!$B$2:$B$206,MATCH(A1395-129,Fields!$D$2:$D$206,1)),""),"")</f>
        <v/>
      </c>
      <c r="E1395">
        <f>IFERROR(IF(AND(A1395&gt;=129,A1395&lt;=2176),INDEX(Fields!$C$2:$C$206,MATCH(A1395-129,Fields!$D$2:$D$206,1)),""),"")</f>
        <v/>
      </c>
    </row>
    <row r="1396">
      <c r="A1396" t="n">
        <v>1395</v>
      </c>
      <c r="B1396">
        <f>IFERROR(INDEX(RawBits!$A:$A,MATCH($A1396,RawBits!$H:$H,0)),"?")</f>
        <v/>
      </c>
      <c r="C1396">
        <f>IFERROR(INDEX(RawBits!$G:$G,MATCH($A1396,RawBits!$H:$H,0)),"")</f>
        <v/>
      </c>
      <c r="D1396">
        <f>IFERROR(IF(AND(A1396&gt;=129,A1396&lt;=2176),INDEX(Fields!$B$2:$B$206,MATCH(A1396-129,Fields!$D$2:$D$206,1)),""),"")</f>
        <v/>
      </c>
      <c r="E1396">
        <f>IFERROR(IF(AND(A1396&gt;=129,A1396&lt;=2176),INDEX(Fields!$C$2:$C$206,MATCH(A1396-129,Fields!$D$2:$D$206,1)),""),"")</f>
        <v/>
      </c>
    </row>
    <row r="1397">
      <c r="A1397" t="n">
        <v>1396</v>
      </c>
      <c r="B1397">
        <f>IFERROR(INDEX(RawBits!$A:$A,MATCH($A1397,RawBits!$H:$H,0)),"?")</f>
        <v/>
      </c>
      <c r="C1397">
        <f>IFERROR(INDEX(RawBits!$G:$G,MATCH($A1397,RawBits!$H:$H,0)),"")</f>
        <v/>
      </c>
      <c r="D1397">
        <f>IFERROR(IF(AND(A1397&gt;=129,A1397&lt;=2176),INDEX(Fields!$B$2:$B$206,MATCH(A1397-129,Fields!$D$2:$D$206,1)),""),"")</f>
        <v/>
      </c>
      <c r="E1397">
        <f>IFERROR(IF(AND(A1397&gt;=129,A1397&lt;=2176),INDEX(Fields!$C$2:$C$206,MATCH(A1397-129,Fields!$D$2:$D$206,1)),""),"")</f>
        <v/>
      </c>
    </row>
    <row r="1398">
      <c r="A1398" t="n">
        <v>1397</v>
      </c>
      <c r="B1398">
        <f>IFERROR(INDEX(RawBits!$A:$A,MATCH($A1398,RawBits!$H:$H,0)),"?")</f>
        <v/>
      </c>
      <c r="C1398">
        <f>IFERROR(INDEX(RawBits!$G:$G,MATCH($A1398,RawBits!$H:$H,0)),"")</f>
        <v/>
      </c>
      <c r="D1398">
        <f>IFERROR(IF(AND(A1398&gt;=129,A1398&lt;=2176),INDEX(Fields!$B$2:$B$206,MATCH(A1398-129,Fields!$D$2:$D$206,1)),""),"")</f>
        <v/>
      </c>
      <c r="E1398">
        <f>IFERROR(IF(AND(A1398&gt;=129,A1398&lt;=2176),INDEX(Fields!$C$2:$C$206,MATCH(A1398-129,Fields!$D$2:$D$206,1)),""),"")</f>
        <v/>
      </c>
    </row>
    <row r="1399">
      <c r="A1399" t="n">
        <v>1398</v>
      </c>
      <c r="B1399">
        <f>IFERROR(INDEX(RawBits!$A:$A,MATCH($A1399,RawBits!$H:$H,0)),"?")</f>
        <v/>
      </c>
      <c r="C1399">
        <f>IFERROR(INDEX(RawBits!$G:$G,MATCH($A1399,RawBits!$H:$H,0)),"")</f>
        <v/>
      </c>
      <c r="D1399">
        <f>IFERROR(IF(AND(A1399&gt;=129,A1399&lt;=2176),INDEX(Fields!$B$2:$B$206,MATCH(A1399-129,Fields!$D$2:$D$206,1)),""),"")</f>
        <v/>
      </c>
      <c r="E1399">
        <f>IFERROR(IF(AND(A1399&gt;=129,A1399&lt;=2176),INDEX(Fields!$C$2:$C$206,MATCH(A1399-129,Fields!$D$2:$D$206,1)),""),"")</f>
        <v/>
      </c>
    </row>
    <row r="1400">
      <c r="A1400" t="n">
        <v>1399</v>
      </c>
      <c r="B1400">
        <f>IFERROR(INDEX(RawBits!$A:$A,MATCH($A1400,RawBits!$H:$H,0)),"?")</f>
        <v/>
      </c>
      <c r="C1400">
        <f>IFERROR(INDEX(RawBits!$G:$G,MATCH($A1400,RawBits!$H:$H,0)),"")</f>
        <v/>
      </c>
      <c r="D1400">
        <f>IFERROR(IF(AND(A1400&gt;=129,A1400&lt;=2176),INDEX(Fields!$B$2:$B$206,MATCH(A1400-129,Fields!$D$2:$D$206,1)),""),"")</f>
        <v/>
      </c>
      <c r="E1400">
        <f>IFERROR(IF(AND(A1400&gt;=129,A1400&lt;=2176),INDEX(Fields!$C$2:$C$206,MATCH(A1400-129,Fields!$D$2:$D$206,1)),""),"")</f>
        <v/>
      </c>
    </row>
    <row r="1401">
      <c r="A1401" t="n">
        <v>1400</v>
      </c>
      <c r="B1401">
        <f>IFERROR(INDEX(RawBits!$A:$A,MATCH($A1401,RawBits!$H:$H,0)),"?")</f>
        <v/>
      </c>
      <c r="C1401">
        <f>IFERROR(INDEX(RawBits!$G:$G,MATCH($A1401,RawBits!$H:$H,0)),"")</f>
        <v/>
      </c>
      <c r="D1401">
        <f>IFERROR(IF(AND(A1401&gt;=129,A1401&lt;=2176),INDEX(Fields!$B$2:$B$206,MATCH(A1401-129,Fields!$D$2:$D$206,1)),""),"")</f>
        <v/>
      </c>
      <c r="E1401">
        <f>IFERROR(IF(AND(A1401&gt;=129,A1401&lt;=2176),INDEX(Fields!$C$2:$C$206,MATCH(A1401-129,Fields!$D$2:$D$206,1)),""),"")</f>
        <v/>
      </c>
    </row>
    <row r="1402">
      <c r="A1402" t="n">
        <v>1401</v>
      </c>
      <c r="B1402">
        <f>IFERROR(INDEX(RawBits!$A:$A,MATCH($A1402,RawBits!$H:$H,0)),"?")</f>
        <v/>
      </c>
      <c r="C1402">
        <f>IFERROR(INDEX(RawBits!$G:$G,MATCH($A1402,RawBits!$H:$H,0)),"")</f>
        <v/>
      </c>
      <c r="D1402">
        <f>IFERROR(IF(AND(A1402&gt;=129,A1402&lt;=2176),INDEX(Fields!$B$2:$B$206,MATCH(A1402-129,Fields!$D$2:$D$206,1)),""),"")</f>
        <v/>
      </c>
      <c r="E1402">
        <f>IFERROR(IF(AND(A1402&gt;=129,A1402&lt;=2176),INDEX(Fields!$C$2:$C$206,MATCH(A1402-129,Fields!$D$2:$D$206,1)),""),"")</f>
        <v/>
      </c>
    </row>
    <row r="1403">
      <c r="A1403" t="n">
        <v>1402</v>
      </c>
      <c r="B1403">
        <f>IFERROR(INDEX(RawBits!$A:$A,MATCH($A1403,RawBits!$H:$H,0)),"?")</f>
        <v/>
      </c>
      <c r="C1403">
        <f>IFERROR(INDEX(RawBits!$G:$G,MATCH($A1403,RawBits!$H:$H,0)),"")</f>
        <v/>
      </c>
      <c r="D1403">
        <f>IFERROR(IF(AND(A1403&gt;=129,A1403&lt;=2176),INDEX(Fields!$B$2:$B$206,MATCH(A1403-129,Fields!$D$2:$D$206,1)),""),"")</f>
        <v/>
      </c>
      <c r="E1403">
        <f>IFERROR(IF(AND(A1403&gt;=129,A1403&lt;=2176),INDEX(Fields!$C$2:$C$206,MATCH(A1403-129,Fields!$D$2:$D$206,1)),""),"")</f>
        <v/>
      </c>
    </row>
    <row r="1404">
      <c r="A1404" t="n">
        <v>1403</v>
      </c>
      <c r="B1404">
        <f>IFERROR(INDEX(RawBits!$A:$A,MATCH($A1404,RawBits!$H:$H,0)),"?")</f>
        <v/>
      </c>
      <c r="C1404">
        <f>IFERROR(INDEX(RawBits!$G:$G,MATCH($A1404,RawBits!$H:$H,0)),"")</f>
        <v/>
      </c>
      <c r="D1404">
        <f>IFERROR(IF(AND(A1404&gt;=129,A1404&lt;=2176),INDEX(Fields!$B$2:$B$206,MATCH(A1404-129,Fields!$D$2:$D$206,1)),""),"")</f>
        <v/>
      </c>
      <c r="E1404">
        <f>IFERROR(IF(AND(A1404&gt;=129,A1404&lt;=2176),INDEX(Fields!$C$2:$C$206,MATCH(A1404-129,Fields!$D$2:$D$206,1)),""),"")</f>
        <v/>
      </c>
    </row>
    <row r="1405">
      <c r="A1405" t="n">
        <v>1404</v>
      </c>
      <c r="B1405">
        <f>IFERROR(INDEX(RawBits!$A:$A,MATCH($A1405,RawBits!$H:$H,0)),"?")</f>
        <v/>
      </c>
      <c r="C1405">
        <f>IFERROR(INDEX(RawBits!$G:$G,MATCH($A1405,RawBits!$H:$H,0)),"")</f>
        <v/>
      </c>
      <c r="D1405">
        <f>IFERROR(IF(AND(A1405&gt;=129,A1405&lt;=2176),INDEX(Fields!$B$2:$B$206,MATCH(A1405-129,Fields!$D$2:$D$206,1)),""),"")</f>
        <v/>
      </c>
      <c r="E1405">
        <f>IFERROR(IF(AND(A1405&gt;=129,A1405&lt;=2176),INDEX(Fields!$C$2:$C$206,MATCH(A1405-129,Fields!$D$2:$D$206,1)),""),"")</f>
        <v/>
      </c>
    </row>
    <row r="1406">
      <c r="A1406" t="n">
        <v>1405</v>
      </c>
      <c r="B1406">
        <f>IFERROR(INDEX(RawBits!$A:$A,MATCH($A1406,RawBits!$H:$H,0)),"?")</f>
        <v/>
      </c>
      <c r="C1406">
        <f>IFERROR(INDEX(RawBits!$G:$G,MATCH($A1406,RawBits!$H:$H,0)),"")</f>
        <v/>
      </c>
      <c r="D1406">
        <f>IFERROR(IF(AND(A1406&gt;=129,A1406&lt;=2176),INDEX(Fields!$B$2:$B$206,MATCH(A1406-129,Fields!$D$2:$D$206,1)),""),"")</f>
        <v/>
      </c>
      <c r="E1406">
        <f>IFERROR(IF(AND(A1406&gt;=129,A1406&lt;=2176),INDEX(Fields!$C$2:$C$206,MATCH(A1406-129,Fields!$D$2:$D$206,1)),""),"")</f>
        <v/>
      </c>
    </row>
    <row r="1407">
      <c r="A1407" t="n">
        <v>1406</v>
      </c>
      <c r="B1407">
        <f>IFERROR(INDEX(RawBits!$A:$A,MATCH($A1407,RawBits!$H:$H,0)),"?")</f>
        <v/>
      </c>
      <c r="C1407">
        <f>IFERROR(INDEX(RawBits!$G:$G,MATCH($A1407,RawBits!$H:$H,0)),"")</f>
        <v/>
      </c>
      <c r="D1407">
        <f>IFERROR(IF(AND(A1407&gt;=129,A1407&lt;=2176),INDEX(Fields!$B$2:$B$206,MATCH(A1407-129,Fields!$D$2:$D$206,1)),""),"")</f>
        <v/>
      </c>
      <c r="E1407">
        <f>IFERROR(IF(AND(A1407&gt;=129,A1407&lt;=2176),INDEX(Fields!$C$2:$C$206,MATCH(A1407-129,Fields!$D$2:$D$206,1)),""),"")</f>
        <v/>
      </c>
    </row>
    <row r="1408">
      <c r="A1408" t="n">
        <v>1407</v>
      </c>
      <c r="B1408">
        <f>IFERROR(INDEX(RawBits!$A:$A,MATCH($A1408,RawBits!$H:$H,0)),"?")</f>
        <v/>
      </c>
      <c r="C1408">
        <f>IFERROR(INDEX(RawBits!$G:$G,MATCH($A1408,RawBits!$H:$H,0)),"")</f>
        <v/>
      </c>
      <c r="D1408">
        <f>IFERROR(IF(AND(A1408&gt;=129,A1408&lt;=2176),INDEX(Fields!$B$2:$B$206,MATCH(A1408-129,Fields!$D$2:$D$206,1)),""),"")</f>
        <v/>
      </c>
      <c r="E1408">
        <f>IFERROR(IF(AND(A1408&gt;=129,A1408&lt;=2176),INDEX(Fields!$C$2:$C$206,MATCH(A1408-129,Fields!$D$2:$D$206,1)),""),"")</f>
        <v/>
      </c>
    </row>
    <row r="1409">
      <c r="A1409" t="n">
        <v>1408</v>
      </c>
      <c r="B1409">
        <f>IFERROR(INDEX(RawBits!$A:$A,MATCH($A1409,RawBits!$H:$H,0)),"?")</f>
        <v/>
      </c>
      <c r="C1409">
        <f>IFERROR(INDEX(RawBits!$G:$G,MATCH($A1409,RawBits!$H:$H,0)),"")</f>
        <v/>
      </c>
      <c r="D1409">
        <f>IFERROR(IF(AND(A1409&gt;=129,A1409&lt;=2176),INDEX(Fields!$B$2:$B$206,MATCH(A1409-129,Fields!$D$2:$D$206,1)),""),"")</f>
        <v/>
      </c>
      <c r="E1409">
        <f>IFERROR(IF(AND(A1409&gt;=129,A1409&lt;=2176),INDEX(Fields!$C$2:$C$206,MATCH(A1409-129,Fields!$D$2:$D$206,1)),""),"")</f>
        <v/>
      </c>
    </row>
    <row r="1410">
      <c r="A1410" t="n">
        <v>1409</v>
      </c>
      <c r="B1410">
        <f>IFERROR(INDEX(RawBits!$A:$A,MATCH($A1410,RawBits!$H:$H,0)),"?")</f>
        <v/>
      </c>
      <c r="C1410">
        <f>IFERROR(INDEX(RawBits!$G:$G,MATCH($A1410,RawBits!$H:$H,0)),"")</f>
        <v/>
      </c>
      <c r="D1410">
        <f>IFERROR(IF(AND(A1410&gt;=129,A1410&lt;=2176),INDEX(Fields!$B$2:$B$206,MATCH(A1410-129,Fields!$D$2:$D$206,1)),""),"")</f>
        <v/>
      </c>
      <c r="E1410">
        <f>IFERROR(IF(AND(A1410&gt;=129,A1410&lt;=2176),INDEX(Fields!$C$2:$C$206,MATCH(A1410-129,Fields!$D$2:$D$206,1)),""),"")</f>
        <v/>
      </c>
    </row>
    <row r="1411">
      <c r="A1411" t="n">
        <v>1410</v>
      </c>
      <c r="B1411">
        <f>IFERROR(INDEX(RawBits!$A:$A,MATCH($A1411,RawBits!$H:$H,0)),"?")</f>
        <v/>
      </c>
      <c r="C1411">
        <f>IFERROR(INDEX(RawBits!$G:$G,MATCH($A1411,RawBits!$H:$H,0)),"")</f>
        <v/>
      </c>
      <c r="D1411">
        <f>IFERROR(IF(AND(A1411&gt;=129,A1411&lt;=2176),INDEX(Fields!$B$2:$B$206,MATCH(A1411-129,Fields!$D$2:$D$206,1)),""),"")</f>
        <v/>
      </c>
      <c r="E1411">
        <f>IFERROR(IF(AND(A1411&gt;=129,A1411&lt;=2176),INDEX(Fields!$C$2:$C$206,MATCH(A1411-129,Fields!$D$2:$D$206,1)),""),"")</f>
        <v/>
      </c>
    </row>
    <row r="1412">
      <c r="A1412" t="n">
        <v>1411</v>
      </c>
      <c r="B1412">
        <f>IFERROR(INDEX(RawBits!$A:$A,MATCH($A1412,RawBits!$H:$H,0)),"?")</f>
        <v/>
      </c>
      <c r="C1412">
        <f>IFERROR(INDEX(RawBits!$G:$G,MATCH($A1412,RawBits!$H:$H,0)),"")</f>
        <v/>
      </c>
      <c r="D1412">
        <f>IFERROR(IF(AND(A1412&gt;=129,A1412&lt;=2176),INDEX(Fields!$B$2:$B$206,MATCH(A1412-129,Fields!$D$2:$D$206,1)),""),"")</f>
        <v/>
      </c>
      <c r="E1412">
        <f>IFERROR(IF(AND(A1412&gt;=129,A1412&lt;=2176),INDEX(Fields!$C$2:$C$206,MATCH(A1412-129,Fields!$D$2:$D$206,1)),""),"")</f>
        <v/>
      </c>
    </row>
    <row r="1413">
      <c r="A1413" t="n">
        <v>1412</v>
      </c>
      <c r="B1413">
        <f>IFERROR(INDEX(RawBits!$A:$A,MATCH($A1413,RawBits!$H:$H,0)),"?")</f>
        <v/>
      </c>
      <c r="C1413">
        <f>IFERROR(INDEX(RawBits!$G:$G,MATCH($A1413,RawBits!$H:$H,0)),"")</f>
        <v/>
      </c>
      <c r="D1413">
        <f>IFERROR(IF(AND(A1413&gt;=129,A1413&lt;=2176),INDEX(Fields!$B$2:$B$206,MATCH(A1413-129,Fields!$D$2:$D$206,1)),""),"")</f>
        <v/>
      </c>
      <c r="E1413">
        <f>IFERROR(IF(AND(A1413&gt;=129,A1413&lt;=2176),INDEX(Fields!$C$2:$C$206,MATCH(A1413-129,Fields!$D$2:$D$206,1)),""),"")</f>
        <v/>
      </c>
    </row>
    <row r="1414">
      <c r="A1414" t="n">
        <v>1413</v>
      </c>
      <c r="B1414">
        <f>IFERROR(INDEX(RawBits!$A:$A,MATCH($A1414,RawBits!$H:$H,0)),"?")</f>
        <v/>
      </c>
      <c r="C1414">
        <f>IFERROR(INDEX(RawBits!$G:$G,MATCH($A1414,RawBits!$H:$H,0)),"")</f>
        <v/>
      </c>
      <c r="D1414">
        <f>IFERROR(IF(AND(A1414&gt;=129,A1414&lt;=2176),INDEX(Fields!$B$2:$B$206,MATCH(A1414-129,Fields!$D$2:$D$206,1)),""),"")</f>
        <v/>
      </c>
      <c r="E1414">
        <f>IFERROR(IF(AND(A1414&gt;=129,A1414&lt;=2176),INDEX(Fields!$C$2:$C$206,MATCH(A1414-129,Fields!$D$2:$D$206,1)),""),"")</f>
        <v/>
      </c>
    </row>
    <row r="1415">
      <c r="A1415" t="n">
        <v>1414</v>
      </c>
      <c r="B1415">
        <f>IFERROR(INDEX(RawBits!$A:$A,MATCH($A1415,RawBits!$H:$H,0)),"?")</f>
        <v/>
      </c>
      <c r="C1415">
        <f>IFERROR(INDEX(RawBits!$G:$G,MATCH($A1415,RawBits!$H:$H,0)),"")</f>
        <v/>
      </c>
      <c r="D1415">
        <f>IFERROR(IF(AND(A1415&gt;=129,A1415&lt;=2176),INDEX(Fields!$B$2:$B$206,MATCH(A1415-129,Fields!$D$2:$D$206,1)),""),"")</f>
        <v/>
      </c>
      <c r="E1415">
        <f>IFERROR(IF(AND(A1415&gt;=129,A1415&lt;=2176),INDEX(Fields!$C$2:$C$206,MATCH(A1415-129,Fields!$D$2:$D$206,1)),""),"")</f>
        <v/>
      </c>
    </row>
    <row r="1416">
      <c r="A1416" t="n">
        <v>1415</v>
      </c>
      <c r="B1416">
        <f>IFERROR(INDEX(RawBits!$A:$A,MATCH($A1416,RawBits!$H:$H,0)),"?")</f>
        <v/>
      </c>
      <c r="C1416">
        <f>IFERROR(INDEX(RawBits!$G:$G,MATCH($A1416,RawBits!$H:$H,0)),"")</f>
        <v/>
      </c>
      <c r="D1416">
        <f>IFERROR(IF(AND(A1416&gt;=129,A1416&lt;=2176),INDEX(Fields!$B$2:$B$206,MATCH(A1416-129,Fields!$D$2:$D$206,1)),""),"")</f>
        <v/>
      </c>
      <c r="E1416">
        <f>IFERROR(IF(AND(A1416&gt;=129,A1416&lt;=2176),INDEX(Fields!$C$2:$C$206,MATCH(A1416-129,Fields!$D$2:$D$206,1)),""),"")</f>
        <v/>
      </c>
    </row>
    <row r="1417">
      <c r="A1417" t="n">
        <v>1416</v>
      </c>
      <c r="B1417">
        <f>IFERROR(INDEX(RawBits!$A:$A,MATCH($A1417,RawBits!$H:$H,0)),"?")</f>
        <v/>
      </c>
      <c r="C1417">
        <f>IFERROR(INDEX(RawBits!$G:$G,MATCH($A1417,RawBits!$H:$H,0)),"")</f>
        <v/>
      </c>
      <c r="D1417">
        <f>IFERROR(IF(AND(A1417&gt;=129,A1417&lt;=2176),INDEX(Fields!$B$2:$B$206,MATCH(A1417-129,Fields!$D$2:$D$206,1)),""),"")</f>
        <v/>
      </c>
      <c r="E1417">
        <f>IFERROR(IF(AND(A1417&gt;=129,A1417&lt;=2176),INDEX(Fields!$C$2:$C$206,MATCH(A1417-129,Fields!$D$2:$D$206,1)),""),"")</f>
        <v/>
      </c>
    </row>
    <row r="1418">
      <c r="A1418" t="n">
        <v>1417</v>
      </c>
      <c r="B1418">
        <f>IFERROR(INDEX(RawBits!$A:$A,MATCH($A1418,RawBits!$H:$H,0)),"?")</f>
        <v/>
      </c>
      <c r="C1418">
        <f>IFERROR(INDEX(RawBits!$G:$G,MATCH($A1418,RawBits!$H:$H,0)),"")</f>
        <v/>
      </c>
      <c r="D1418">
        <f>IFERROR(IF(AND(A1418&gt;=129,A1418&lt;=2176),INDEX(Fields!$B$2:$B$206,MATCH(A1418-129,Fields!$D$2:$D$206,1)),""),"")</f>
        <v/>
      </c>
      <c r="E1418">
        <f>IFERROR(IF(AND(A1418&gt;=129,A1418&lt;=2176),INDEX(Fields!$C$2:$C$206,MATCH(A1418-129,Fields!$D$2:$D$206,1)),""),"")</f>
        <v/>
      </c>
    </row>
    <row r="1419">
      <c r="A1419" t="n">
        <v>1418</v>
      </c>
      <c r="B1419">
        <f>IFERROR(INDEX(RawBits!$A:$A,MATCH($A1419,RawBits!$H:$H,0)),"?")</f>
        <v/>
      </c>
      <c r="C1419">
        <f>IFERROR(INDEX(RawBits!$G:$G,MATCH($A1419,RawBits!$H:$H,0)),"")</f>
        <v/>
      </c>
      <c r="D1419">
        <f>IFERROR(IF(AND(A1419&gt;=129,A1419&lt;=2176),INDEX(Fields!$B$2:$B$206,MATCH(A1419-129,Fields!$D$2:$D$206,1)),""),"")</f>
        <v/>
      </c>
      <c r="E1419">
        <f>IFERROR(IF(AND(A1419&gt;=129,A1419&lt;=2176),INDEX(Fields!$C$2:$C$206,MATCH(A1419-129,Fields!$D$2:$D$206,1)),""),"")</f>
        <v/>
      </c>
    </row>
    <row r="1420">
      <c r="A1420" t="n">
        <v>1419</v>
      </c>
      <c r="B1420">
        <f>IFERROR(INDEX(RawBits!$A:$A,MATCH($A1420,RawBits!$H:$H,0)),"?")</f>
        <v/>
      </c>
      <c r="C1420">
        <f>IFERROR(INDEX(RawBits!$G:$G,MATCH($A1420,RawBits!$H:$H,0)),"")</f>
        <v/>
      </c>
      <c r="D1420">
        <f>IFERROR(IF(AND(A1420&gt;=129,A1420&lt;=2176),INDEX(Fields!$B$2:$B$206,MATCH(A1420-129,Fields!$D$2:$D$206,1)),""),"")</f>
        <v/>
      </c>
      <c r="E1420">
        <f>IFERROR(IF(AND(A1420&gt;=129,A1420&lt;=2176),INDEX(Fields!$C$2:$C$206,MATCH(A1420-129,Fields!$D$2:$D$206,1)),""),"")</f>
        <v/>
      </c>
    </row>
    <row r="1421">
      <c r="A1421" t="n">
        <v>1420</v>
      </c>
      <c r="B1421">
        <f>IFERROR(INDEX(RawBits!$A:$A,MATCH($A1421,RawBits!$H:$H,0)),"?")</f>
        <v/>
      </c>
      <c r="C1421">
        <f>IFERROR(INDEX(RawBits!$G:$G,MATCH($A1421,RawBits!$H:$H,0)),"")</f>
        <v/>
      </c>
      <c r="D1421">
        <f>IFERROR(IF(AND(A1421&gt;=129,A1421&lt;=2176),INDEX(Fields!$B$2:$B$206,MATCH(A1421-129,Fields!$D$2:$D$206,1)),""),"")</f>
        <v/>
      </c>
      <c r="E1421">
        <f>IFERROR(IF(AND(A1421&gt;=129,A1421&lt;=2176),INDEX(Fields!$C$2:$C$206,MATCH(A1421-129,Fields!$D$2:$D$206,1)),""),"")</f>
        <v/>
      </c>
    </row>
    <row r="1422">
      <c r="A1422" t="n">
        <v>1421</v>
      </c>
      <c r="B1422">
        <f>IFERROR(INDEX(RawBits!$A:$A,MATCH($A1422,RawBits!$H:$H,0)),"?")</f>
        <v/>
      </c>
      <c r="C1422">
        <f>IFERROR(INDEX(RawBits!$G:$G,MATCH($A1422,RawBits!$H:$H,0)),"")</f>
        <v/>
      </c>
      <c r="D1422">
        <f>IFERROR(IF(AND(A1422&gt;=129,A1422&lt;=2176),INDEX(Fields!$B$2:$B$206,MATCH(A1422-129,Fields!$D$2:$D$206,1)),""),"")</f>
        <v/>
      </c>
      <c r="E1422">
        <f>IFERROR(IF(AND(A1422&gt;=129,A1422&lt;=2176),INDEX(Fields!$C$2:$C$206,MATCH(A1422-129,Fields!$D$2:$D$206,1)),""),"")</f>
        <v/>
      </c>
    </row>
    <row r="1423">
      <c r="A1423" t="n">
        <v>1422</v>
      </c>
      <c r="B1423">
        <f>IFERROR(INDEX(RawBits!$A:$A,MATCH($A1423,RawBits!$H:$H,0)),"?")</f>
        <v/>
      </c>
      <c r="C1423">
        <f>IFERROR(INDEX(RawBits!$G:$G,MATCH($A1423,RawBits!$H:$H,0)),"")</f>
        <v/>
      </c>
      <c r="D1423">
        <f>IFERROR(IF(AND(A1423&gt;=129,A1423&lt;=2176),INDEX(Fields!$B$2:$B$206,MATCH(A1423-129,Fields!$D$2:$D$206,1)),""),"")</f>
        <v/>
      </c>
      <c r="E1423">
        <f>IFERROR(IF(AND(A1423&gt;=129,A1423&lt;=2176),INDEX(Fields!$C$2:$C$206,MATCH(A1423-129,Fields!$D$2:$D$206,1)),""),"")</f>
        <v/>
      </c>
    </row>
    <row r="1424">
      <c r="A1424" t="n">
        <v>1423</v>
      </c>
      <c r="B1424">
        <f>IFERROR(INDEX(RawBits!$A:$A,MATCH($A1424,RawBits!$H:$H,0)),"?")</f>
        <v/>
      </c>
      <c r="C1424">
        <f>IFERROR(INDEX(RawBits!$G:$G,MATCH($A1424,RawBits!$H:$H,0)),"")</f>
        <v/>
      </c>
      <c r="D1424">
        <f>IFERROR(IF(AND(A1424&gt;=129,A1424&lt;=2176),INDEX(Fields!$B$2:$B$206,MATCH(A1424-129,Fields!$D$2:$D$206,1)),""),"")</f>
        <v/>
      </c>
      <c r="E1424">
        <f>IFERROR(IF(AND(A1424&gt;=129,A1424&lt;=2176),INDEX(Fields!$C$2:$C$206,MATCH(A1424-129,Fields!$D$2:$D$206,1)),""),"")</f>
        <v/>
      </c>
    </row>
    <row r="1425">
      <c r="A1425" t="n">
        <v>1424</v>
      </c>
      <c r="B1425">
        <f>IFERROR(INDEX(RawBits!$A:$A,MATCH($A1425,RawBits!$H:$H,0)),"?")</f>
        <v/>
      </c>
      <c r="C1425">
        <f>IFERROR(INDEX(RawBits!$G:$G,MATCH($A1425,RawBits!$H:$H,0)),"")</f>
        <v/>
      </c>
      <c r="D1425">
        <f>IFERROR(IF(AND(A1425&gt;=129,A1425&lt;=2176),INDEX(Fields!$B$2:$B$206,MATCH(A1425-129,Fields!$D$2:$D$206,1)),""),"")</f>
        <v/>
      </c>
      <c r="E1425">
        <f>IFERROR(IF(AND(A1425&gt;=129,A1425&lt;=2176),INDEX(Fields!$C$2:$C$206,MATCH(A1425-129,Fields!$D$2:$D$206,1)),""),"")</f>
        <v/>
      </c>
    </row>
    <row r="1426">
      <c r="A1426" t="n">
        <v>1425</v>
      </c>
      <c r="B1426">
        <f>IFERROR(INDEX(RawBits!$A:$A,MATCH($A1426,RawBits!$H:$H,0)),"?")</f>
        <v/>
      </c>
      <c r="C1426">
        <f>IFERROR(INDEX(RawBits!$G:$G,MATCH($A1426,RawBits!$H:$H,0)),"")</f>
        <v/>
      </c>
      <c r="D1426">
        <f>IFERROR(IF(AND(A1426&gt;=129,A1426&lt;=2176),INDEX(Fields!$B$2:$B$206,MATCH(A1426-129,Fields!$D$2:$D$206,1)),""),"")</f>
        <v/>
      </c>
      <c r="E1426">
        <f>IFERROR(IF(AND(A1426&gt;=129,A1426&lt;=2176),INDEX(Fields!$C$2:$C$206,MATCH(A1426-129,Fields!$D$2:$D$206,1)),""),"")</f>
        <v/>
      </c>
    </row>
    <row r="1427">
      <c r="A1427" t="n">
        <v>1426</v>
      </c>
      <c r="B1427">
        <f>IFERROR(INDEX(RawBits!$A:$A,MATCH($A1427,RawBits!$H:$H,0)),"?")</f>
        <v/>
      </c>
      <c r="C1427">
        <f>IFERROR(INDEX(RawBits!$G:$G,MATCH($A1427,RawBits!$H:$H,0)),"")</f>
        <v/>
      </c>
      <c r="D1427">
        <f>IFERROR(IF(AND(A1427&gt;=129,A1427&lt;=2176),INDEX(Fields!$B$2:$B$206,MATCH(A1427-129,Fields!$D$2:$D$206,1)),""),"")</f>
        <v/>
      </c>
      <c r="E1427">
        <f>IFERROR(IF(AND(A1427&gt;=129,A1427&lt;=2176),INDEX(Fields!$C$2:$C$206,MATCH(A1427-129,Fields!$D$2:$D$206,1)),""),"")</f>
        <v/>
      </c>
    </row>
    <row r="1428">
      <c r="A1428" t="n">
        <v>1427</v>
      </c>
      <c r="B1428">
        <f>IFERROR(INDEX(RawBits!$A:$A,MATCH($A1428,RawBits!$H:$H,0)),"?")</f>
        <v/>
      </c>
      <c r="C1428">
        <f>IFERROR(INDEX(RawBits!$G:$G,MATCH($A1428,RawBits!$H:$H,0)),"")</f>
        <v/>
      </c>
      <c r="D1428">
        <f>IFERROR(IF(AND(A1428&gt;=129,A1428&lt;=2176),INDEX(Fields!$B$2:$B$206,MATCH(A1428-129,Fields!$D$2:$D$206,1)),""),"")</f>
        <v/>
      </c>
      <c r="E1428">
        <f>IFERROR(IF(AND(A1428&gt;=129,A1428&lt;=2176),INDEX(Fields!$C$2:$C$206,MATCH(A1428-129,Fields!$D$2:$D$206,1)),""),"")</f>
        <v/>
      </c>
    </row>
    <row r="1429">
      <c r="A1429" t="n">
        <v>1428</v>
      </c>
      <c r="B1429">
        <f>IFERROR(INDEX(RawBits!$A:$A,MATCH($A1429,RawBits!$H:$H,0)),"?")</f>
        <v/>
      </c>
      <c r="C1429">
        <f>IFERROR(INDEX(RawBits!$G:$G,MATCH($A1429,RawBits!$H:$H,0)),"")</f>
        <v/>
      </c>
      <c r="D1429">
        <f>IFERROR(IF(AND(A1429&gt;=129,A1429&lt;=2176),INDEX(Fields!$B$2:$B$206,MATCH(A1429-129,Fields!$D$2:$D$206,1)),""),"")</f>
        <v/>
      </c>
      <c r="E1429">
        <f>IFERROR(IF(AND(A1429&gt;=129,A1429&lt;=2176),INDEX(Fields!$C$2:$C$206,MATCH(A1429-129,Fields!$D$2:$D$206,1)),""),"")</f>
        <v/>
      </c>
    </row>
    <row r="1430">
      <c r="A1430" t="n">
        <v>1429</v>
      </c>
      <c r="B1430">
        <f>IFERROR(INDEX(RawBits!$A:$A,MATCH($A1430,RawBits!$H:$H,0)),"?")</f>
        <v/>
      </c>
      <c r="C1430">
        <f>IFERROR(INDEX(RawBits!$G:$G,MATCH($A1430,RawBits!$H:$H,0)),"")</f>
        <v/>
      </c>
      <c r="D1430">
        <f>IFERROR(IF(AND(A1430&gt;=129,A1430&lt;=2176),INDEX(Fields!$B$2:$B$206,MATCH(A1430-129,Fields!$D$2:$D$206,1)),""),"")</f>
        <v/>
      </c>
      <c r="E1430">
        <f>IFERROR(IF(AND(A1430&gt;=129,A1430&lt;=2176),INDEX(Fields!$C$2:$C$206,MATCH(A1430-129,Fields!$D$2:$D$206,1)),""),"")</f>
        <v/>
      </c>
    </row>
    <row r="1431">
      <c r="A1431" t="n">
        <v>1430</v>
      </c>
      <c r="B1431">
        <f>IFERROR(INDEX(RawBits!$A:$A,MATCH($A1431,RawBits!$H:$H,0)),"?")</f>
        <v/>
      </c>
      <c r="C1431">
        <f>IFERROR(INDEX(RawBits!$G:$G,MATCH($A1431,RawBits!$H:$H,0)),"")</f>
        <v/>
      </c>
      <c r="D1431">
        <f>IFERROR(IF(AND(A1431&gt;=129,A1431&lt;=2176),INDEX(Fields!$B$2:$B$206,MATCH(A1431-129,Fields!$D$2:$D$206,1)),""),"")</f>
        <v/>
      </c>
      <c r="E1431">
        <f>IFERROR(IF(AND(A1431&gt;=129,A1431&lt;=2176),INDEX(Fields!$C$2:$C$206,MATCH(A1431-129,Fields!$D$2:$D$206,1)),""),"")</f>
        <v/>
      </c>
    </row>
    <row r="1432">
      <c r="A1432" t="n">
        <v>1431</v>
      </c>
      <c r="B1432">
        <f>IFERROR(INDEX(RawBits!$A:$A,MATCH($A1432,RawBits!$H:$H,0)),"?")</f>
        <v/>
      </c>
      <c r="C1432">
        <f>IFERROR(INDEX(RawBits!$G:$G,MATCH($A1432,RawBits!$H:$H,0)),"")</f>
        <v/>
      </c>
      <c r="D1432">
        <f>IFERROR(IF(AND(A1432&gt;=129,A1432&lt;=2176),INDEX(Fields!$B$2:$B$206,MATCH(A1432-129,Fields!$D$2:$D$206,1)),""),"")</f>
        <v/>
      </c>
      <c r="E1432">
        <f>IFERROR(IF(AND(A1432&gt;=129,A1432&lt;=2176),INDEX(Fields!$C$2:$C$206,MATCH(A1432-129,Fields!$D$2:$D$206,1)),""),"")</f>
        <v/>
      </c>
    </row>
    <row r="1433">
      <c r="A1433" t="n">
        <v>1432</v>
      </c>
      <c r="B1433">
        <f>IFERROR(INDEX(RawBits!$A:$A,MATCH($A1433,RawBits!$H:$H,0)),"?")</f>
        <v/>
      </c>
      <c r="C1433">
        <f>IFERROR(INDEX(RawBits!$G:$G,MATCH($A1433,RawBits!$H:$H,0)),"")</f>
        <v/>
      </c>
      <c r="D1433">
        <f>IFERROR(IF(AND(A1433&gt;=129,A1433&lt;=2176),INDEX(Fields!$B$2:$B$206,MATCH(A1433-129,Fields!$D$2:$D$206,1)),""),"")</f>
        <v/>
      </c>
      <c r="E1433">
        <f>IFERROR(IF(AND(A1433&gt;=129,A1433&lt;=2176),INDEX(Fields!$C$2:$C$206,MATCH(A1433-129,Fields!$D$2:$D$206,1)),""),"")</f>
        <v/>
      </c>
    </row>
    <row r="1434">
      <c r="A1434" t="n">
        <v>1433</v>
      </c>
      <c r="B1434">
        <f>IFERROR(INDEX(RawBits!$A:$A,MATCH($A1434,RawBits!$H:$H,0)),"?")</f>
        <v/>
      </c>
      <c r="C1434">
        <f>IFERROR(INDEX(RawBits!$G:$G,MATCH($A1434,RawBits!$H:$H,0)),"")</f>
        <v/>
      </c>
      <c r="D1434">
        <f>IFERROR(IF(AND(A1434&gt;=129,A1434&lt;=2176),INDEX(Fields!$B$2:$B$206,MATCH(A1434-129,Fields!$D$2:$D$206,1)),""),"")</f>
        <v/>
      </c>
      <c r="E1434">
        <f>IFERROR(IF(AND(A1434&gt;=129,A1434&lt;=2176),INDEX(Fields!$C$2:$C$206,MATCH(A1434-129,Fields!$D$2:$D$206,1)),""),"")</f>
        <v/>
      </c>
    </row>
    <row r="1435">
      <c r="A1435" t="n">
        <v>1434</v>
      </c>
      <c r="B1435">
        <f>IFERROR(INDEX(RawBits!$A:$A,MATCH($A1435,RawBits!$H:$H,0)),"?")</f>
        <v/>
      </c>
      <c r="C1435">
        <f>IFERROR(INDEX(RawBits!$G:$G,MATCH($A1435,RawBits!$H:$H,0)),"")</f>
        <v/>
      </c>
      <c r="D1435">
        <f>IFERROR(IF(AND(A1435&gt;=129,A1435&lt;=2176),INDEX(Fields!$B$2:$B$206,MATCH(A1435-129,Fields!$D$2:$D$206,1)),""),"")</f>
        <v/>
      </c>
      <c r="E1435">
        <f>IFERROR(IF(AND(A1435&gt;=129,A1435&lt;=2176),INDEX(Fields!$C$2:$C$206,MATCH(A1435-129,Fields!$D$2:$D$206,1)),""),"")</f>
        <v/>
      </c>
    </row>
    <row r="1436">
      <c r="A1436" t="n">
        <v>1435</v>
      </c>
      <c r="B1436">
        <f>IFERROR(INDEX(RawBits!$A:$A,MATCH($A1436,RawBits!$H:$H,0)),"?")</f>
        <v/>
      </c>
      <c r="C1436">
        <f>IFERROR(INDEX(RawBits!$G:$G,MATCH($A1436,RawBits!$H:$H,0)),"")</f>
        <v/>
      </c>
      <c r="D1436">
        <f>IFERROR(IF(AND(A1436&gt;=129,A1436&lt;=2176),INDEX(Fields!$B$2:$B$206,MATCH(A1436-129,Fields!$D$2:$D$206,1)),""),"")</f>
        <v/>
      </c>
      <c r="E1436">
        <f>IFERROR(IF(AND(A1436&gt;=129,A1436&lt;=2176),INDEX(Fields!$C$2:$C$206,MATCH(A1436-129,Fields!$D$2:$D$206,1)),""),"")</f>
        <v/>
      </c>
    </row>
    <row r="1437">
      <c r="A1437" t="n">
        <v>1436</v>
      </c>
      <c r="B1437">
        <f>IFERROR(INDEX(RawBits!$A:$A,MATCH($A1437,RawBits!$H:$H,0)),"?")</f>
        <v/>
      </c>
      <c r="C1437">
        <f>IFERROR(INDEX(RawBits!$G:$G,MATCH($A1437,RawBits!$H:$H,0)),"")</f>
        <v/>
      </c>
      <c r="D1437">
        <f>IFERROR(IF(AND(A1437&gt;=129,A1437&lt;=2176),INDEX(Fields!$B$2:$B$206,MATCH(A1437-129,Fields!$D$2:$D$206,1)),""),"")</f>
        <v/>
      </c>
      <c r="E1437">
        <f>IFERROR(IF(AND(A1437&gt;=129,A1437&lt;=2176),INDEX(Fields!$C$2:$C$206,MATCH(A1437-129,Fields!$D$2:$D$206,1)),""),"")</f>
        <v/>
      </c>
    </row>
    <row r="1438">
      <c r="A1438" t="n">
        <v>1437</v>
      </c>
      <c r="B1438">
        <f>IFERROR(INDEX(RawBits!$A:$A,MATCH($A1438,RawBits!$H:$H,0)),"?")</f>
        <v/>
      </c>
      <c r="C1438">
        <f>IFERROR(INDEX(RawBits!$G:$G,MATCH($A1438,RawBits!$H:$H,0)),"")</f>
        <v/>
      </c>
      <c r="D1438">
        <f>IFERROR(IF(AND(A1438&gt;=129,A1438&lt;=2176),INDEX(Fields!$B$2:$B$206,MATCH(A1438-129,Fields!$D$2:$D$206,1)),""),"")</f>
        <v/>
      </c>
      <c r="E1438">
        <f>IFERROR(IF(AND(A1438&gt;=129,A1438&lt;=2176),INDEX(Fields!$C$2:$C$206,MATCH(A1438-129,Fields!$D$2:$D$206,1)),""),"")</f>
        <v/>
      </c>
    </row>
    <row r="1439">
      <c r="A1439" t="n">
        <v>1438</v>
      </c>
      <c r="B1439">
        <f>IFERROR(INDEX(RawBits!$A:$A,MATCH($A1439,RawBits!$H:$H,0)),"?")</f>
        <v/>
      </c>
      <c r="C1439">
        <f>IFERROR(INDEX(RawBits!$G:$G,MATCH($A1439,RawBits!$H:$H,0)),"")</f>
        <v/>
      </c>
      <c r="D1439">
        <f>IFERROR(IF(AND(A1439&gt;=129,A1439&lt;=2176),INDEX(Fields!$B$2:$B$206,MATCH(A1439-129,Fields!$D$2:$D$206,1)),""),"")</f>
        <v/>
      </c>
      <c r="E1439">
        <f>IFERROR(IF(AND(A1439&gt;=129,A1439&lt;=2176),INDEX(Fields!$C$2:$C$206,MATCH(A1439-129,Fields!$D$2:$D$206,1)),""),"")</f>
        <v/>
      </c>
    </row>
    <row r="1440">
      <c r="A1440" t="n">
        <v>1439</v>
      </c>
      <c r="B1440">
        <f>IFERROR(INDEX(RawBits!$A:$A,MATCH($A1440,RawBits!$H:$H,0)),"?")</f>
        <v/>
      </c>
      <c r="C1440">
        <f>IFERROR(INDEX(RawBits!$G:$G,MATCH($A1440,RawBits!$H:$H,0)),"")</f>
        <v/>
      </c>
      <c r="D1440">
        <f>IFERROR(IF(AND(A1440&gt;=129,A1440&lt;=2176),INDEX(Fields!$B$2:$B$206,MATCH(A1440-129,Fields!$D$2:$D$206,1)),""),"")</f>
        <v/>
      </c>
      <c r="E1440">
        <f>IFERROR(IF(AND(A1440&gt;=129,A1440&lt;=2176),INDEX(Fields!$C$2:$C$206,MATCH(A1440-129,Fields!$D$2:$D$206,1)),""),"")</f>
        <v/>
      </c>
    </row>
    <row r="1441">
      <c r="A1441" t="n">
        <v>1440</v>
      </c>
      <c r="B1441">
        <f>IFERROR(INDEX(RawBits!$A:$A,MATCH($A1441,RawBits!$H:$H,0)),"?")</f>
        <v/>
      </c>
      <c r="C1441">
        <f>IFERROR(INDEX(RawBits!$G:$G,MATCH($A1441,RawBits!$H:$H,0)),"")</f>
        <v/>
      </c>
      <c r="D1441">
        <f>IFERROR(IF(AND(A1441&gt;=129,A1441&lt;=2176),INDEX(Fields!$B$2:$B$206,MATCH(A1441-129,Fields!$D$2:$D$206,1)),""),"")</f>
        <v/>
      </c>
      <c r="E1441">
        <f>IFERROR(IF(AND(A1441&gt;=129,A1441&lt;=2176),INDEX(Fields!$C$2:$C$206,MATCH(A1441-129,Fields!$D$2:$D$206,1)),""),"")</f>
        <v/>
      </c>
    </row>
    <row r="1442">
      <c r="A1442" t="n">
        <v>1441</v>
      </c>
      <c r="B1442">
        <f>IFERROR(INDEX(RawBits!$A:$A,MATCH($A1442,RawBits!$H:$H,0)),"?")</f>
        <v/>
      </c>
      <c r="C1442">
        <f>IFERROR(INDEX(RawBits!$G:$G,MATCH($A1442,RawBits!$H:$H,0)),"")</f>
        <v/>
      </c>
      <c r="D1442">
        <f>IFERROR(IF(AND(A1442&gt;=129,A1442&lt;=2176),INDEX(Fields!$B$2:$B$206,MATCH(A1442-129,Fields!$D$2:$D$206,1)),""),"")</f>
        <v/>
      </c>
      <c r="E1442">
        <f>IFERROR(IF(AND(A1442&gt;=129,A1442&lt;=2176),INDEX(Fields!$C$2:$C$206,MATCH(A1442-129,Fields!$D$2:$D$206,1)),""),"")</f>
        <v/>
      </c>
    </row>
    <row r="1443">
      <c r="A1443" t="n">
        <v>1442</v>
      </c>
      <c r="B1443">
        <f>IFERROR(INDEX(RawBits!$A:$A,MATCH($A1443,RawBits!$H:$H,0)),"?")</f>
        <v/>
      </c>
      <c r="C1443">
        <f>IFERROR(INDEX(RawBits!$G:$G,MATCH($A1443,RawBits!$H:$H,0)),"")</f>
        <v/>
      </c>
      <c r="D1443">
        <f>IFERROR(IF(AND(A1443&gt;=129,A1443&lt;=2176),INDEX(Fields!$B$2:$B$206,MATCH(A1443-129,Fields!$D$2:$D$206,1)),""),"")</f>
        <v/>
      </c>
      <c r="E1443">
        <f>IFERROR(IF(AND(A1443&gt;=129,A1443&lt;=2176),INDEX(Fields!$C$2:$C$206,MATCH(A1443-129,Fields!$D$2:$D$206,1)),""),"")</f>
        <v/>
      </c>
    </row>
    <row r="1444">
      <c r="A1444" t="n">
        <v>1443</v>
      </c>
      <c r="B1444">
        <f>IFERROR(INDEX(RawBits!$A:$A,MATCH($A1444,RawBits!$H:$H,0)),"?")</f>
        <v/>
      </c>
      <c r="C1444">
        <f>IFERROR(INDEX(RawBits!$G:$G,MATCH($A1444,RawBits!$H:$H,0)),"")</f>
        <v/>
      </c>
      <c r="D1444">
        <f>IFERROR(IF(AND(A1444&gt;=129,A1444&lt;=2176),INDEX(Fields!$B$2:$B$206,MATCH(A1444-129,Fields!$D$2:$D$206,1)),""),"")</f>
        <v/>
      </c>
      <c r="E1444">
        <f>IFERROR(IF(AND(A1444&gt;=129,A1444&lt;=2176),INDEX(Fields!$C$2:$C$206,MATCH(A1444-129,Fields!$D$2:$D$206,1)),""),"")</f>
        <v/>
      </c>
    </row>
    <row r="1445">
      <c r="A1445" t="n">
        <v>1444</v>
      </c>
      <c r="B1445">
        <f>IFERROR(INDEX(RawBits!$A:$A,MATCH($A1445,RawBits!$H:$H,0)),"?")</f>
        <v/>
      </c>
      <c r="C1445">
        <f>IFERROR(INDEX(RawBits!$G:$G,MATCH($A1445,RawBits!$H:$H,0)),"")</f>
        <v/>
      </c>
      <c r="D1445">
        <f>IFERROR(IF(AND(A1445&gt;=129,A1445&lt;=2176),INDEX(Fields!$B$2:$B$206,MATCH(A1445-129,Fields!$D$2:$D$206,1)),""),"")</f>
        <v/>
      </c>
      <c r="E1445">
        <f>IFERROR(IF(AND(A1445&gt;=129,A1445&lt;=2176),INDEX(Fields!$C$2:$C$206,MATCH(A1445-129,Fields!$D$2:$D$206,1)),""),"")</f>
        <v/>
      </c>
    </row>
    <row r="1446">
      <c r="A1446" t="n">
        <v>1445</v>
      </c>
      <c r="B1446">
        <f>IFERROR(INDEX(RawBits!$A:$A,MATCH($A1446,RawBits!$H:$H,0)),"?")</f>
        <v/>
      </c>
      <c r="C1446">
        <f>IFERROR(INDEX(RawBits!$G:$G,MATCH($A1446,RawBits!$H:$H,0)),"")</f>
        <v/>
      </c>
      <c r="D1446">
        <f>IFERROR(IF(AND(A1446&gt;=129,A1446&lt;=2176),INDEX(Fields!$B$2:$B$206,MATCH(A1446-129,Fields!$D$2:$D$206,1)),""),"")</f>
        <v/>
      </c>
      <c r="E1446">
        <f>IFERROR(IF(AND(A1446&gt;=129,A1446&lt;=2176),INDEX(Fields!$C$2:$C$206,MATCH(A1446-129,Fields!$D$2:$D$206,1)),""),"")</f>
        <v/>
      </c>
    </row>
    <row r="1447">
      <c r="A1447" t="n">
        <v>1446</v>
      </c>
      <c r="B1447">
        <f>IFERROR(INDEX(RawBits!$A:$A,MATCH($A1447,RawBits!$H:$H,0)),"?")</f>
        <v/>
      </c>
      <c r="C1447">
        <f>IFERROR(INDEX(RawBits!$G:$G,MATCH($A1447,RawBits!$H:$H,0)),"")</f>
        <v/>
      </c>
      <c r="D1447">
        <f>IFERROR(IF(AND(A1447&gt;=129,A1447&lt;=2176),INDEX(Fields!$B$2:$B$206,MATCH(A1447-129,Fields!$D$2:$D$206,1)),""),"")</f>
        <v/>
      </c>
      <c r="E1447">
        <f>IFERROR(IF(AND(A1447&gt;=129,A1447&lt;=2176),INDEX(Fields!$C$2:$C$206,MATCH(A1447-129,Fields!$D$2:$D$206,1)),""),"")</f>
        <v/>
      </c>
    </row>
    <row r="1448">
      <c r="A1448" t="n">
        <v>1447</v>
      </c>
      <c r="B1448">
        <f>IFERROR(INDEX(RawBits!$A:$A,MATCH($A1448,RawBits!$H:$H,0)),"?")</f>
        <v/>
      </c>
      <c r="C1448">
        <f>IFERROR(INDEX(RawBits!$G:$G,MATCH($A1448,RawBits!$H:$H,0)),"")</f>
        <v/>
      </c>
      <c r="D1448">
        <f>IFERROR(IF(AND(A1448&gt;=129,A1448&lt;=2176),INDEX(Fields!$B$2:$B$206,MATCH(A1448-129,Fields!$D$2:$D$206,1)),""),"")</f>
        <v/>
      </c>
      <c r="E1448">
        <f>IFERROR(IF(AND(A1448&gt;=129,A1448&lt;=2176),INDEX(Fields!$C$2:$C$206,MATCH(A1448-129,Fields!$D$2:$D$206,1)),""),"")</f>
        <v/>
      </c>
    </row>
    <row r="1449">
      <c r="A1449" t="n">
        <v>1448</v>
      </c>
      <c r="B1449">
        <f>IFERROR(INDEX(RawBits!$A:$A,MATCH($A1449,RawBits!$H:$H,0)),"?")</f>
        <v/>
      </c>
      <c r="C1449">
        <f>IFERROR(INDEX(RawBits!$G:$G,MATCH($A1449,RawBits!$H:$H,0)),"")</f>
        <v/>
      </c>
      <c r="D1449">
        <f>IFERROR(IF(AND(A1449&gt;=129,A1449&lt;=2176),INDEX(Fields!$B$2:$B$206,MATCH(A1449-129,Fields!$D$2:$D$206,1)),""),"")</f>
        <v/>
      </c>
      <c r="E1449">
        <f>IFERROR(IF(AND(A1449&gt;=129,A1449&lt;=2176),INDEX(Fields!$C$2:$C$206,MATCH(A1449-129,Fields!$D$2:$D$206,1)),""),"")</f>
        <v/>
      </c>
    </row>
    <row r="1450">
      <c r="A1450" t="n">
        <v>1449</v>
      </c>
      <c r="B1450">
        <f>IFERROR(INDEX(RawBits!$A:$A,MATCH($A1450,RawBits!$H:$H,0)),"?")</f>
        <v/>
      </c>
      <c r="C1450">
        <f>IFERROR(INDEX(RawBits!$G:$G,MATCH($A1450,RawBits!$H:$H,0)),"")</f>
        <v/>
      </c>
      <c r="D1450">
        <f>IFERROR(IF(AND(A1450&gt;=129,A1450&lt;=2176),INDEX(Fields!$B$2:$B$206,MATCH(A1450-129,Fields!$D$2:$D$206,1)),""),"")</f>
        <v/>
      </c>
      <c r="E1450">
        <f>IFERROR(IF(AND(A1450&gt;=129,A1450&lt;=2176),INDEX(Fields!$C$2:$C$206,MATCH(A1450-129,Fields!$D$2:$D$206,1)),""),"")</f>
        <v/>
      </c>
    </row>
    <row r="1451">
      <c r="A1451" t="n">
        <v>1450</v>
      </c>
      <c r="B1451">
        <f>IFERROR(INDEX(RawBits!$A:$A,MATCH($A1451,RawBits!$H:$H,0)),"?")</f>
        <v/>
      </c>
      <c r="C1451">
        <f>IFERROR(INDEX(RawBits!$G:$G,MATCH($A1451,RawBits!$H:$H,0)),"")</f>
        <v/>
      </c>
      <c r="D1451">
        <f>IFERROR(IF(AND(A1451&gt;=129,A1451&lt;=2176),INDEX(Fields!$B$2:$B$206,MATCH(A1451-129,Fields!$D$2:$D$206,1)),""),"")</f>
        <v/>
      </c>
      <c r="E1451">
        <f>IFERROR(IF(AND(A1451&gt;=129,A1451&lt;=2176),INDEX(Fields!$C$2:$C$206,MATCH(A1451-129,Fields!$D$2:$D$206,1)),""),"")</f>
        <v/>
      </c>
    </row>
    <row r="1452">
      <c r="A1452" t="n">
        <v>1451</v>
      </c>
      <c r="B1452">
        <f>IFERROR(INDEX(RawBits!$A:$A,MATCH($A1452,RawBits!$H:$H,0)),"?")</f>
        <v/>
      </c>
      <c r="C1452">
        <f>IFERROR(INDEX(RawBits!$G:$G,MATCH($A1452,RawBits!$H:$H,0)),"")</f>
        <v/>
      </c>
      <c r="D1452">
        <f>IFERROR(IF(AND(A1452&gt;=129,A1452&lt;=2176),INDEX(Fields!$B$2:$B$206,MATCH(A1452-129,Fields!$D$2:$D$206,1)),""),"")</f>
        <v/>
      </c>
      <c r="E1452">
        <f>IFERROR(IF(AND(A1452&gt;=129,A1452&lt;=2176),INDEX(Fields!$C$2:$C$206,MATCH(A1452-129,Fields!$D$2:$D$206,1)),""),"")</f>
        <v/>
      </c>
    </row>
    <row r="1453">
      <c r="A1453" t="n">
        <v>1452</v>
      </c>
      <c r="B1453">
        <f>IFERROR(INDEX(RawBits!$A:$A,MATCH($A1453,RawBits!$H:$H,0)),"?")</f>
        <v/>
      </c>
      <c r="C1453">
        <f>IFERROR(INDEX(RawBits!$G:$G,MATCH($A1453,RawBits!$H:$H,0)),"")</f>
        <v/>
      </c>
      <c r="D1453">
        <f>IFERROR(IF(AND(A1453&gt;=129,A1453&lt;=2176),INDEX(Fields!$B$2:$B$206,MATCH(A1453-129,Fields!$D$2:$D$206,1)),""),"")</f>
        <v/>
      </c>
      <c r="E1453">
        <f>IFERROR(IF(AND(A1453&gt;=129,A1453&lt;=2176),INDEX(Fields!$C$2:$C$206,MATCH(A1453-129,Fields!$D$2:$D$206,1)),""),"")</f>
        <v/>
      </c>
    </row>
    <row r="1454">
      <c r="A1454" t="n">
        <v>1453</v>
      </c>
      <c r="B1454">
        <f>IFERROR(INDEX(RawBits!$A:$A,MATCH($A1454,RawBits!$H:$H,0)),"?")</f>
        <v/>
      </c>
      <c r="C1454">
        <f>IFERROR(INDEX(RawBits!$G:$G,MATCH($A1454,RawBits!$H:$H,0)),"")</f>
        <v/>
      </c>
      <c r="D1454">
        <f>IFERROR(IF(AND(A1454&gt;=129,A1454&lt;=2176),INDEX(Fields!$B$2:$B$206,MATCH(A1454-129,Fields!$D$2:$D$206,1)),""),"")</f>
        <v/>
      </c>
      <c r="E1454">
        <f>IFERROR(IF(AND(A1454&gt;=129,A1454&lt;=2176),INDEX(Fields!$C$2:$C$206,MATCH(A1454-129,Fields!$D$2:$D$206,1)),""),"")</f>
        <v/>
      </c>
    </row>
    <row r="1455">
      <c r="A1455" t="n">
        <v>1454</v>
      </c>
      <c r="B1455">
        <f>IFERROR(INDEX(RawBits!$A:$A,MATCH($A1455,RawBits!$H:$H,0)),"?")</f>
        <v/>
      </c>
      <c r="C1455">
        <f>IFERROR(INDEX(RawBits!$G:$G,MATCH($A1455,RawBits!$H:$H,0)),"")</f>
        <v/>
      </c>
      <c r="D1455">
        <f>IFERROR(IF(AND(A1455&gt;=129,A1455&lt;=2176),INDEX(Fields!$B$2:$B$206,MATCH(A1455-129,Fields!$D$2:$D$206,1)),""),"")</f>
        <v/>
      </c>
      <c r="E1455">
        <f>IFERROR(IF(AND(A1455&gt;=129,A1455&lt;=2176),INDEX(Fields!$C$2:$C$206,MATCH(A1455-129,Fields!$D$2:$D$206,1)),""),"")</f>
        <v/>
      </c>
    </row>
    <row r="1456">
      <c r="A1456" t="n">
        <v>1455</v>
      </c>
      <c r="B1456">
        <f>IFERROR(INDEX(RawBits!$A:$A,MATCH($A1456,RawBits!$H:$H,0)),"?")</f>
        <v/>
      </c>
      <c r="C1456">
        <f>IFERROR(INDEX(RawBits!$G:$G,MATCH($A1456,RawBits!$H:$H,0)),"")</f>
        <v/>
      </c>
      <c r="D1456">
        <f>IFERROR(IF(AND(A1456&gt;=129,A1456&lt;=2176),INDEX(Fields!$B$2:$B$206,MATCH(A1456-129,Fields!$D$2:$D$206,1)),""),"")</f>
        <v/>
      </c>
      <c r="E1456">
        <f>IFERROR(IF(AND(A1456&gt;=129,A1456&lt;=2176),INDEX(Fields!$C$2:$C$206,MATCH(A1456-129,Fields!$D$2:$D$206,1)),""),"")</f>
        <v/>
      </c>
    </row>
    <row r="1457">
      <c r="A1457" t="n">
        <v>1456</v>
      </c>
      <c r="B1457">
        <f>IFERROR(INDEX(RawBits!$A:$A,MATCH($A1457,RawBits!$H:$H,0)),"?")</f>
        <v/>
      </c>
      <c r="C1457">
        <f>IFERROR(INDEX(RawBits!$G:$G,MATCH($A1457,RawBits!$H:$H,0)),"")</f>
        <v/>
      </c>
      <c r="D1457">
        <f>IFERROR(IF(AND(A1457&gt;=129,A1457&lt;=2176),INDEX(Fields!$B$2:$B$206,MATCH(A1457-129,Fields!$D$2:$D$206,1)),""),"")</f>
        <v/>
      </c>
      <c r="E1457">
        <f>IFERROR(IF(AND(A1457&gt;=129,A1457&lt;=2176),INDEX(Fields!$C$2:$C$206,MATCH(A1457-129,Fields!$D$2:$D$206,1)),""),"")</f>
        <v/>
      </c>
    </row>
    <row r="1458">
      <c r="A1458" t="n">
        <v>1457</v>
      </c>
      <c r="B1458">
        <f>IFERROR(INDEX(RawBits!$A:$A,MATCH($A1458,RawBits!$H:$H,0)),"?")</f>
        <v/>
      </c>
      <c r="C1458">
        <f>IFERROR(INDEX(RawBits!$G:$G,MATCH($A1458,RawBits!$H:$H,0)),"")</f>
        <v/>
      </c>
      <c r="D1458">
        <f>IFERROR(IF(AND(A1458&gt;=129,A1458&lt;=2176),INDEX(Fields!$B$2:$B$206,MATCH(A1458-129,Fields!$D$2:$D$206,1)),""),"")</f>
        <v/>
      </c>
      <c r="E1458">
        <f>IFERROR(IF(AND(A1458&gt;=129,A1458&lt;=2176),INDEX(Fields!$C$2:$C$206,MATCH(A1458-129,Fields!$D$2:$D$206,1)),""),"")</f>
        <v/>
      </c>
    </row>
    <row r="1459">
      <c r="A1459" t="n">
        <v>1458</v>
      </c>
      <c r="B1459">
        <f>IFERROR(INDEX(RawBits!$A:$A,MATCH($A1459,RawBits!$H:$H,0)),"?")</f>
        <v/>
      </c>
      <c r="C1459">
        <f>IFERROR(INDEX(RawBits!$G:$G,MATCH($A1459,RawBits!$H:$H,0)),"")</f>
        <v/>
      </c>
      <c r="D1459">
        <f>IFERROR(IF(AND(A1459&gt;=129,A1459&lt;=2176),INDEX(Fields!$B$2:$B$206,MATCH(A1459-129,Fields!$D$2:$D$206,1)),""),"")</f>
        <v/>
      </c>
      <c r="E1459">
        <f>IFERROR(IF(AND(A1459&gt;=129,A1459&lt;=2176),INDEX(Fields!$C$2:$C$206,MATCH(A1459-129,Fields!$D$2:$D$206,1)),""),"")</f>
        <v/>
      </c>
    </row>
    <row r="1460">
      <c r="A1460" t="n">
        <v>1459</v>
      </c>
      <c r="B1460">
        <f>IFERROR(INDEX(RawBits!$A:$A,MATCH($A1460,RawBits!$H:$H,0)),"?")</f>
        <v/>
      </c>
      <c r="C1460">
        <f>IFERROR(INDEX(RawBits!$G:$G,MATCH($A1460,RawBits!$H:$H,0)),"")</f>
        <v/>
      </c>
      <c r="D1460">
        <f>IFERROR(IF(AND(A1460&gt;=129,A1460&lt;=2176),INDEX(Fields!$B$2:$B$206,MATCH(A1460-129,Fields!$D$2:$D$206,1)),""),"")</f>
        <v/>
      </c>
      <c r="E1460">
        <f>IFERROR(IF(AND(A1460&gt;=129,A1460&lt;=2176),INDEX(Fields!$C$2:$C$206,MATCH(A1460-129,Fields!$D$2:$D$206,1)),""),"")</f>
        <v/>
      </c>
    </row>
    <row r="1461">
      <c r="A1461" t="n">
        <v>1460</v>
      </c>
      <c r="B1461">
        <f>IFERROR(INDEX(RawBits!$A:$A,MATCH($A1461,RawBits!$H:$H,0)),"?")</f>
        <v/>
      </c>
      <c r="C1461">
        <f>IFERROR(INDEX(RawBits!$G:$G,MATCH($A1461,RawBits!$H:$H,0)),"")</f>
        <v/>
      </c>
      <c r="D1461">
        <f>IFERROR(IF(AND(A1461&gt;=129,A1461&lt;=2176),INDEX(Fields!$B$2:$B$206,MATCH(A1461-129,Fields!$D$2:$D$206,1)),""),"")</f>
        <v/>
      </c>
      <c r="E1461">
        <f>IFERROR(IF(AND(A1461&gt;=129,A1461&lt;=2176),INDEX(Fields!$C$2:$C$206,MATCH(A1461-129,Fields!$D$2:$D$206,1)),""),"")</f>
        <v/>
      </c>
    </row>
    <row r="1462">
      <c r="A1462" t="n">
        <v>1461</v>
      </c>
      <c r="B1462">
        <f>IFERROR(INDEX(RawBits!$A:$A,MATCH($A1462,RawBits!$H:$H,0)),"?")</f>
        <v/>
      </c>
      <c r="C1462">
        <f>IFERROR(INDEX(RawBits!$G:$G,MATCH($A1462,RawBits!$H:$H,0)),"")</f>
        <v/>
      </c>
      <c r="D1462">
        <f>IFERROR(IF(AND(A1462&gt;=129,A1462&lt;=2176),INDEX(Fields!$B$2:$B$206,MATCH(A1462-129,Fields!$D$2:$D$206,1)),""),"")</f>
        <v/>
      </c>
      <c r="E1462">
        <f>IFERROR(IF(AND(A1462&gt;=129,A1462&lt;=2176),INDEX(Fields!$C$2:$C$206,MATCH(A1462-129,Fields!$D$2:$D$206,1)),""),"")</f>
        <v/>
      </c>
    </row>
    <row r="1463">
      <c r="A1463" t="n">
        <v>1462</v>
      </c>
      <c r="B1463">
        <f>IFERROR(INDEX(RawBits!$A:$A,MATCH($A1463,RawBits!$H:$H,0)),"?")</f>
        <v/>
      </c>
      <c r="C1463">
        <f>IFERROR(INDEX(RawBits!$G:$G,MATCH($A1463,RawBits!$H:$H,0)),"")</f>
        <v/>
      </c>
      <c r="D1463">
        <f>IFERROR(IF(AND(A1463&gt;=129,A1463&lt;=2176),INDEX(Fields!$B$2:$B$206,MATCH(A1463-129,Fields!$D$2:$D$206,1)),""),"")</f>
        <v/>
      </c>
      <c r="E1463">
        <f>IFERROR(IF(AND(A1463&gt;=129,A1463&lt;=2176),INDEX(Fields!$C$2:$C$206,MATCH(A1463-129,Fields!$D$2:$D$206,1)),""),"")</f>
        <v/>
      </c>
    </row>
    <row r="1464">
      <c r="A1464" t="n">
        <v>1463</v>
      </c>
      <c r="B1464">
        <f>IFERROR(INDEX(RawBits!$A:$A,MATCH($A1464,RawBits!$H:$H,0)),"?")</f>
        <v/>
      </c>
      <c r="C1464">
        <f>IFERROR(INDEX(RawBits!$G:$G,MATCH($A1464,RawBits!$H:$H,0)),"")</f>
        <v/>
      </c>
      <c r="D1464">
        <f>IFERROR(IF(AND(A1464&gt;=129,A1464&lt;=2176),INDEX(Fields!$B$2:$B$206,MATCH(A1464-129,Fields!$D$2:$D$206,1)),""),"")</f>
        <v/>
      </c>
      <c r="E1464">
        <f>IFERROR(IF(AND(A1464&gt;=129,A1464&lt;=2176),INDEX(Fields!$C$2:$C$206,MATCH(A1464-129,Fields!$D$2:$D$206,1)),""),"")</f>
        <v/>
      </c>
    </row>
    <row r="1465">
      <c r="A1465" t="n">
        <v>1464</v>
      </c>
      <c r="B1465">
        <f>IFERROR(INDEX(RawBits!$A:$A,MATCH($A1465,RawBits!$H:$H,0)),"?")</f>
        <v/>
      </c>
      <c r="C1465">
        <f>IFERROR(INDEX(RawBits!$G:$G,MATCH($A1465,RawBits!$H:$H,0)),"")</f>
        <v/>
      </c>
      <c r="D1465">
        <f>IFERROR(IF(AND(A1465&gt;=129,A1465&lt;=2176),INDEX(Fields!$B$2:$B$206,MATCH(A1465-129,Fields!$D$2:$D$206,1)),""),"")</f>
        <v/>
      </c>
      <c r="E1465">
        <f>IFERROR(IF(AND(A1465&gt;=129,A1465&lt;=2176),INDEX(Fields!$C$2:$C$206,MATCH(A1465-129,Fields!$D$2:$D$206,1)),""),"")</f>
        <v/>
      </c>
    </row>
    <row r="1466">
      <c r="A1466" t="n">
        <v>1465</v>
      </c>
      <c r="B1466">
        <f>IFERROR(INDEX(RawBits!$A:$A,MATCH($A1466,RawBits!$H:$H,0)),"?")</f>
        <v/>
      </c>
      <c r="C1466">
        <f>IFERROR(INDEX(RawBits!$G:$G,MATCH($A1466,RawBits!$H:$H,0)),"")</f>
        <v/>
      </c>
      <c r="D1466">
        <f>IFERROR(IF(AND(A1466&gt;=129,A1466&lt;=2176),INDEX(Fields!$B$2:$B$206,MATCH(A1466-129,Fields!$D$2:$D$206,1)),""),"")</f>
        <v/>
      </c>
      <c r="E1466">
        <f>IFERROR(IF(AND(A1466&gt;=129,A1466&lt;=2176),INDEX(Fields!$C$2:$C$206,MATCH(A1466-129,Fields!$D$2:$D$206,1)),""),"")</f>
        <v/>
      </c>
    </row>
    <row r="1467">
      <c r="A1467" t="n">
        <v>1466</v>
      </c>
      <c r="B1467">
        <f>IFERROR(INDEX(RawBits!$A:$A,MATCH($A1467,RawBits!$H:$H,0)),"?")</f>
        <v/>
      </c>
      <c r="C1467">
        <f>IFERROR(INDEX(RawBits!$G:$G,MATCH($A1467,RawBits!$H:$H,0)),"")</f>
        <v/>
      </c>
      <c r="D1467">
        <f>IFERROR(IF(AND(A1467&gt;=129,A1467&lt;=2176),INDEX(Fields!$B$2:$B$206,MATCH(A1467-129,Fields!$D$2:$D$206,1)),""),"")</f>
        <v/>
      </c>
      <c r="E1467">
        <f>IFERROR(IF(AND(A1467&gt;=129,A1467&lt;=2176),INDEX(Fields!$C$2:$C$206,MATCH(A1467-129,Fields!$D$2:$D$206,1)),""),"")</f>
        <v/>
      </c>
    </row>
    <row r="1468">
      <c r="A1468" t="n">
        <v>1467</v>
      </c>
      <c r="B1468">
        <f>IFERROR(INDEX(RawBits!$A:$A,MATCH($A1468,RawBits!$H:$H,0)),"?")</f>
        <v/>
      </c>
      <c r="C1468">
        <f>IFERROR(INDEX(RawBits!$G:$G,MATCH($A1468,RawBits!$H:$H,0)),"")</f>
        <v/>
      </c>
      <c r="D1468">
        <f>IFERROR(IF(AND(A1468&gt;=129,A1468&lt;=2176),INDEX(Fields!$B$2:$B$206,MATCH(A1468-129,Fields!$D$2:$D$206,1)),""),"")</f>
        <v/>
      </c>
      <c r="E1468">
        <f>IFERROR(IF(AND(A1468&gt;=129,A1468&lt;=2176),INDEX(Fields!$C$2:$C$206,MATCH(A1468-129,Fields!$D$2:$D$206,1)),""),"")</f>
        <v/>
      </c>
    </row>
    <row r="1469">
      <c r="A1469" t="n">
        <v>1468</v>
      </c>
      <c r="B1469">
        <f>IFERROR(INDEX(RawBits!$A:$A,MATCH($A1469,RawBits!$H:$H,0)),"?")</f>
        <v/>
      </c>
      <c r="C1469">
        <f>IFERROR(INDEX(RawBits!$G:$G,MATCH($A1469,RawBits!$H:$H,0)),"")</f>
        <v/>
      </c>
      <c r="D1469">
        <f>IFERROR(IF(AND(A1469&gt;=129,A1469&lt;=2176),INDEX(Fields!$B$2:$B$206,MATCH(A1469-129,Fields!$D$2:$D$206,1)),""),"")</f>
        <v/>
      </c>
      <c r="E1469">
        <f>IFERROR(IF(AND(A1469&gt;=129,A1469&lt;=2176),INDEX(Fields!$C$2:$C$206,MATCH(A1469-129,Fields!$D$2:$D$206,1)),""),"")</f>
        <v/>
      </c>
    </row>
    <row r="1470">
      <c r="A1470" t="n">
        <v>1469</v>
      </c>
      <c r="B1470">
        <f>IFERROR(INDEX(RawBits!$A:$A,MATCH($A1470,RawBits!$H:$H,0)),"?")</f>
        <v/>
      </c>
      <c r="C1470">
        <f>IFERROR(INDEX(RawBits!$G:$G,MATCH($A1470,RawBits!$H:$H,0)),"")</f>
        <v/>
      </c>
      <c r="D1470">
        <f>IFERROR(IF(AND(A1470&gt;=129,A1470&lt;=2176),INDEX(Fields!$B$2:$B$206,MATCH(A1470-129,Fields!$D$2:$D$206,1)),""),"")</f>
        <v/>
      </c>
      <c r="E1470">
        <f>IFERROR(IF(AND(A1470&gt;=129,A1470&lt;=2176),INDEX(Fields!$C$2:$C$206,MATCH(A1470-129,Fields!$D$2:$D$206,1)),""),"")</f>
        <v/>
      </c>
    </row>
    <row r="1471">
      <c r="A1471" t="n">
        <v>1470</v>
      </c>
      <c r="B1471">
        <f>IFERROR(INDEX(RawBits!$A:$A,MATCH($A1471,RawBits!$H:$H,0)),"?")</f>
        <v/>
      </c>
      <c r="C1471">
        <f>IFERROR(INDEX(RawBits!$G:$G,MATCH($A1471,RawBits!$H:$H,0)),"")</f>
        <v/>
      </c>
      <c r="D1471">
        <f>IFERROR(IF(AND(A1471&gt;=129,A1471&lt;=2176),INDEX(Fields!$B$2:$B$206,MATCH(A1471-129,Fields!$D$2:$D$206,1)),""),"")</f>
        <v/>
      </c>
      <c r="E1471">
        <f>IFERROR(IF(AND(A1471&gt;=129,A1471&lt;=2176),INDEX(Fields!$C$2:$C$206,MATCH(A1471-129,Fields!$D$2:$D$206,1)),""),"")</f>
        <v/>
      </c>
    </row>
    <row r="1472">
      <c r="A1472" t="n">
        <v>1471</v>
      </c>
      <c r="B1472">
        <f>IFERROR(INDEX(RawBits!$A:$A,MATCH($A1472,RawBits!$H:$H,0)),"?")</f>
        <v/>
      </c>
      <c r="C1472">
        <f>IFERROR(INDEX(RawBits!$G:$G,MATCH($A1472,RawBits!$H:$H,0)),"")</f>
        <v/>
      </c>
      <c r="D1472">
        <f>IFERROR(IF(AND(A1472&gt;=129,A1472&lt;=2176),INDEX(Fields!$B$2:$B$206,MATCH(A1472-129,Fields!$D$2:$D$206,1)),""),"")</f>
        <v/>
      </c>
      <c r="E1472">
        <f>IFERROR(IF(AND(A1472&gt;=129,A1472&lt;=2176),INDEX(Fields!$C$2:$C$206,MATCH(A1472-129,Fields!$D$2:$D$206,1)),""),"")</f>
        <v/>
      </c>
    </row>
    <row r="1473">
      <c r="A1473" t="n">
        <v>1472</v>
      </c>
      <c r="B1473">
        <f>IFERROR(INDEX(RawBits!$A:$A,MATCH($A1473,RawBits!$H:$H,0)),"?")</f>
        <v/>
      </c>
      <c r="C1473">
        <f>IFERROR(INDEX(RawBits!$G:$G,MATCH($A1473,RawBits!$H:$H,0)),"")</f>
        <v/>
      </c>
      <c r="D1473">
        <f>IFERROR(IF(AND(A1473&gt;=129,A1473&lt;=2176),INDEX(Fields!$B$2:$B$206,MATCH(A1473-129,Fields!$D$2:$D$206,1)),""),"")</f>
        <v/>
      </c>
      <c r="E1473">
        <f>IFERROR(IF(AND(A1473&gt;=129,A1473&lt;=2176),INDEX(Fields!$C$2:$C$206,MATCH(A1473-129,Fields!$D$2:$D$206,1)),""),"")</f>
        <v/>
      </c>
    </row>
    <row r="1474">
      <c r="A1474" t="n">
        <v>1473</v>
      </c>
      <c r="B1474">
        <f>IFERROR(INDEX(RawBits!$A:$A,MATCH($A1474,RawBits!$H:$H,0)),"?")</f>
        <v/>
      </c>
      <c r="C1474">
        <f>IFERROR(INDEX(RawBits!$G:$G,MATCH($A1474,RawBits!$H:$H,0)),"")</f>
        <v/>
      </c>
      <c r="D1474">
        <f>IFERROR(IF(AND(A1474&gt;=129,A1474&lt;=2176),INDEX(Fields!$B$2:$B$206,MATCH(A1474-129,Fields!$D$2:$D$206,1)),""),"")</f>
        <v/>
      </c>
      <c r="E1474">
        <f>IFERROR(IF(AND(A1474&gt;=129,A1474&lt;=2176),INDEX(Fields!$C$2:$C$206,MATCH(A1474-129,Fields!$D$2:$D$206,1)),""),"")</f>
        <v/>
      </c>
    </row>
    <row r="1475">
      <c r="A1475" t="n">
        <v>1474</v>
      </c>
      <c r="B1475">
        <f>IFERROR(INDEX(RawBits!$A:$A,MATCH($A1475,RawBits!$H:$H,0)),"?")</f>
        <v/>
      </c>
      <c r="C1475">
        <f>IFERROR(INDEX(RawBits!$G:$G,MATCH($A1475,RawBits!$H:$H,0)),"")</f>
        <v/>
      </c>
      <c r="D1475">
        <f>IFERROR(IF(AND(A1475&gt;=129,A1475&lt;=2176),INDEX(Fields!$B$2:$B$206,MATCH(A1475-129,Fields!$D$2:$D$206,1)),""),"")</f>
        <v/>
      </c>
      <c r="E1475">
        <f>IFERROR(IF(AND(A1475&gt;=129,A1475&lt;=2176),INDEX(Fields!$C$2:$C$206,MATCH(A1475-129,Fields!$D$2:$D$206,1)),""),"")</f>
        <v/>
      </c>
    </row>
    <row r="1476">
      <c r="A1476" t="n">
        <v>1475</v>
      </c>
      <c r="B1476">
        <f>IFERROR(INDEX(RawBits!$A:$A,MATCH($A1476,RawBits!$H:$H,0)),"?")</f>
        <v/>
      </c>
      <c r="C1476">
        <f>IFERROR(INDEX(RawBits!$G:$G,MATCH($A1476,RawBits!$H:$H,0)),"")</f>
        <v/>
      </c>
      <c r="D1476">
        <f>IFERROR(IF(AND(A1476&gt;=129,A1476&lt;=2176),INDEX(Fields!$B$2:$B$206,MATCH(A1476-129,Fields!$D$2:$D$206,1)),""),"")</f>
        <v/>
      </c>
      <c r="E1476">
        <f>IFERROR(IF(AND(A1476&gt;=129,A1476&lt;=2176),INDEX(Fields!$C$2:$C$206,MATCH(A1476-129,Fields!$D$2:$D$206,1)),""),"")</f>
        <v/>
      </c>
    </row>
    <row r="1477">
      <c r="A1477" t="n">
        <v>1476</v>
      </c>
      <c r="B1477">
        <f>IFERROR(INDEX(RawBits!$A:$A,MATCH($A1477,RawBits!$H:$H,0)),"?")</f>
        <v/>
      </c>
      <c r="C1477">
        <f>IFERROR(INDEX(RawBits!$G:$G,MATCH($A1477,RawBits!$H:$H,0)),"")</f>
        <v/>
      </c>
      <c r="D1477">
        <f>IFERROR(IF(AND(A1477&gt;=129,A1477&lt;=2176),INDEX(Fields!$B$2:$B$206,MATCH(A1477-129,Fields!$D$2:$D$206,1)),""),"")</f>
        <v/>
      </c>
      <c r="E1477">
        <f>IFERROR(IF(AND(A1477&gt;=129,A1477&lt;=2176),INDEX(Fields!$C$2:$C$206,MATCH(A1477-129,Fields!$D$2:$D$206,1)),""),"")</f>
        <v/>
      </c>
    </row>
    <row r="1478">
      <c r="A1478" t="n">
        <v>1477</v>
      </c>
      <c r="B1478">
        <f>IFERROR(INDEX(RawBits!$A:$A,MATCH($A1478,RawBits!$H:$H,0)),"?")</f>
        <v/>
      </c>
      <c r="C1478">
        <f>IFERROR(INDEX(RawBits!$G:$G,MATCH($A1478,RawBits!$H:$H,0)),"")</f>
        <v/>
      </c>
      <c r="D1478">
        <f>IFERROR(IF(AND(A1478&gt;=129,A1478&lt;=2176),INDEX(Fields!$B$2:$B$206,MATCH(A1478-129,Fields!$D$2:$D$206,1)),""),"")</f>
        <v/>
      </c>
      <c r="E1478">
        <f>IFERROR(IF(AND(A1478&gt;=129,A1478&lt;=2176),INDEX(Fields!$C$2:$C$206,MATCH(A1478-129,Fields!$D$2:$D$206,1)),""),"")</f>
        <v/>
      </c>
    </row>
    <row r="1479">
      <c r="A1479" t="n">
        <v>1478</v>
      </c>
      <c r="B1479">
        <f>IFERROR(INDEX(RawBits!$A:$A,MATCH($A1479,RawBits!$H:$H,0)),"?")</f>
        <v/>
      </c>
      <c r="C1479">
        <f>IFERROR(INDEX(RawBits!$G:$G,MATCH($A1479,RawBits!$H:$H,0)),"")</f>
        <v/>
      </c>
      <c r="D1479">
        <f>IFERROR(IF(AND(A1479&gt;=129,A1479&lt;=2176),INDEX(Fields!$B$2:$B$206,MATCH(A1479-129,Fields!$D$2:$D$206,1)),""),"")</f>
        <v/>
      </c>
      <c r="E1479">
        <f>IFERROR(IF(AND(A1479&gt;=129,A1479&lt;=2176),INDEX(Fields!$C$2:$C$206,MATCH(A1479-129,Fields!$D$2:$D$206,1)),""),"")</f>
        <v/>
      </c>
    </row>
    <row r="1480">
      <c r="A1480" t="n">
        <v>1479</v>
      </c>
      <c r="B1480">
        <f>IFERROR(INDEX(RawBits!$A:$A,MATCH($A1480,RawBits!$H:$H,0)),"?")</f>
        <v/>
      </c>
      <c r="C1480">
        <f>IFERROR(INDEX(RawBits!$G:$G,MATCH($A1480,RawBits!$H:$H,0)),"")</f>
        <v/>
      </c>
      <c r="D1480">
        <f>IFERROR(IF(AND(A1480&gt;=129,A1480&lt;=2176),INDEX(Fields!$B$2:$B$206,MATCH(A1480-129,Fields!$D$2:$D$206,1)),""),"")</f>
        <v/>
      </c>
      <c r="E1480">
        <f>IFERROR(IF(AND(A1480&gt;=129,A1480&lt;=2176),INDEX(Fields!$C$2:$C$206,MATCH(A1480-129,Fields!$D$2:$D$206,1)),""),"")</f>
        <v/>
      </c>
    </row>
    <row r="1481">
      <c r="A1481" t="n">
        <v>1480</v>
      </c>
      <c r="B1481">
        <f>IFERROR(INDEX(RawBits!$A:$A,MATCH($A1481,RawBits!$H:$H,0)),"?")</f>
        <v/>
      </c>
      <c r="C1481">
        <f>IFERROR(INDEX(RawBits!$G:$G,MATCH($A1481,RawBits!$H:$H,0)),"")</f>
        <v/>
      </c>
      <c r="D1481">
        <f>IFERROR(IF(AND(A1481&gt;=129,A1481&lt;=2176),INDEX(Fields!$B$2:$B$206,MATCH(A1481-129,Fields!$D$2:$D$206,1)),""),"")</f>
        <v/>
      </c>
      <c r="E1481">
        <f>IFERROR(IF(AND(A1481&gt;=129,A1481&lt;=2176),INDEX(Fields!$C$2:$C$206,MATCH(A1481-129,Fields!$D$2:$D$206,1)),""),"")</f>
        <v/>
      </c>
    </row>
    <row r="1482">
      <c r="A1482" t="n">
        <v>1481</v>
      </c>
      <c r="B1482">
        <f>IFERROR(INDEX(RawBits!$A:$A,MATCH($A1482,RawBits!$H:$H,0)),"?")</f>
        <v/>
      </c>
      <c r="C1482">
        <f>IFERROR(INDEX(RawBits!$G:$G,MATCH($A1482,RawBits!$H:$H,0)),"")</f>
        <v/>
      </c>
      <c r="D1482">
        <f>IFERROR(IF(AND(A1482&gt;=129,A1482&lt;=2176),INDEX(Fields!$B$2:$B$206,MATCH(A1482-129,Fields!$D$2:$D$206,1)),""),"")</f>
        <v/>
      </c>
      <c r="E1482">
        <f>IFERROR(IF(AND(A1482&gt;=129,A1482&lt;=2176),INDEX(Fields!$C$2:$C$206,MATCH(A1482-129,Fields!$D$2:$D$206,1)),""),"")</f>
        <v/>
      </c>
    </row>
    <row r="1483">
      <c r="A1483" t="n">
        <v>1482</v>
      </c>
      <c r="B1483">
        <f>IFERROR(INDEX(RawBits!$A:$A,MATCH($A1483,RawBits!$H:$H,0)),"?")</f>
        <v/>
      </c>
      <c r="C1483">
        <f>IFERROR(INDEX(RawBits!$G:$G,MATCH($A1483,RawBits!$H:$H,0)),"")</f>
        <v/>
      </c>
      <c r="D1483">
        <f>IFERROR(IF(AND(A1483&gt;=129,A1483&lt;=2176),INDEX(Fields!$B$2:$B$206,MATCH(A1483-129,Fields!$D$2:$D$206,1)),""),"")</f>
        <v/>
      </c>
      <c r="E1483">
        <f>IFERROR(IF(AND(A1483&gt;=129,A1483&lt;=2176),INDEX(Fields!$C$2:$C$206,MATCH(A1483-129,Fields!$D$2:$D$206,1)),""),"")</f>
        <v/>
      </c>
    </row>
    <row r="1484">
      <c r="A1484" t="n">
        <v>1483</v>
      </c>
      <c r="B1484">
        <f>IFERROR(INDEX(RawBits!$A:$A,MATCH($A1484,RawBits!$H:$H,0)),"?")</f>
        <v/>
      </c>
      <c r="C1484">
        <f>IFERROR(INDEX(RawBits!$G:$G,MATCH($A1484,RawBits!$H:$H,0)),"")</f>
        <v/>
      </c>
      <c r="D1484">
        <f>IFERROR(IF(AND(A1484&gt;=129,A1484&lt;=2176),INDEX(Fields!$B$2:$B$206,MATCH(A1484-129,Fields!$D$2:$D$206,1)),""),"")</f>
        <v/>
      </c>
      <c r="E1484">
        <f>IFERROR(IF(AND(A1484&gt;=129,A1484&lt;=2176),INDEX(Fields!$C$2:$C$206,MATCH(A1484-129,Fields!$D$2:$D$206,1)),""),"")</f>
        <v/>
      </c>
    </row>
    <row r="1485">
      <c r="A1485" t="n">
        <v>1484</v>
      </c>
      <c r="B1485">
        <f>IFERROR(INDEX(RawBits!$A:$A,MATCH($A1485,RawBits!$H:$H,0)),"?")</f>
        <v/>
      </c>
      <c r="C1485">
        <f>IFERROR(INDEX(RawBits!$G:$G,MATCH($A1485,RawBits!$H:$H,0)),"")</f>
        <v/>
      </c>
      <c r="D1485">
        <f>IFERROR(IF(AND(A1485&gt;=129,A1485&lt;=2176),INDEX(Fields!$B$2:$B$206,MATCH(A1485-129,Fields!$D$2:$D$206,1)),""),"")</f>
        <v/>
      </c>
      <c r="E1485">
        <f>IFERROR(IF(AND(A1485&gt;=129,A1485&lt;=2176),INDEX(Fields!$C$2:$C$206,MATCH(A1485-129,Fields!$D$2:$D$206,1)),""),"")</f>
        <v/>
      </c>
    </row>
    <row r="1486">
      <c r="A1486" t="n">
        <v>1485</v>
      </c>
      <c r="B1486">
        <f>IFERROR(INDEX(RawBits!$A:$A,MATCH($A1486,RawBits!$H:$H,0)),"?")</f>
        <v/>
      </c>
      <c r="C1486">
        <f>IFERROR(INDEX(RawBits!$G:$G,MATCH($A1486,RawBits!$H:$H,0)),"")</f>
        <v/>
      </c>
      <c r="D1486">
        <f>IFERROR(IF(AND(A1486&gt;=129,A1486&lt;=2176),INDEX(Fields!$B$2:$B$206,MATCH(A1486-129,Fields!$D$2:$D$206,1)),""),"")</f>
        <v/>
      </c>
      <c r="E1486">
        <f>IFERROR(IF(AND(A1486&gt;=129,A1486&lt;=2176),INDEX(Fields!$C$2:$C$206,MATCH(A1486-129,Fields!$D$2:$D$206,1)),""),"")</f>
        <v/>
      </c>
    </row>
    <row r="1487">
      <c r="A1487" t="n">
        <v>1486</v>
      </c>
      <c r="B1487">
        <f>IFERROR(INDEX(RawBits!$A:$A,MATCH($A1487,RawBits!$H:$H,0)),"?")</f>
        <v/>
      </c>
      <c r="C1487">
        <f>IFERROR(INDEX(RawBits!$G:$G,MATCH($A1487,RawBits!$H:$H,0)),"")</f>
        <v/>
      </c>
      <c r="D1487">
        <f>IFERROR(IF(AND(A1487&gt;=129,A1487&lt;=2176),INDEX(Fields!$B$2:$B$206,MATCH(A1487-129,Fields!$D$2:$D$206,1)),""),"")</f>
        <v/>
      </c>
      <c r="E1487">
        <f>IFERROR(IF(AND(A1487&gt;=129,A1487&lt;=2176),INDEX(Fields!$C$2:$C$206,MATCH(A1487-129,Fields!$D$2:$D$206,1)),""),"")</f>
        <v/>
      </c>
    </row>
    <row r="1488">
      <c r="A1488" t="n">
        <v>1487</v>
      </c>
      <c r="B1488">
        <f>IFERROR(INDEX(RawBits!$A:$A,MATCH($A1488,RawBits!$H:$H,0)),"?")</f>
        <v/>
      </c>
      <c r="C1488">
        <f>IFERROR(INDEX(RawBits!$G:$G,MATCH($A1488,RawBits!$H:$H,0)),"")</f>
        <v/>
      </c>
      <c r="D1488">
        <f>IFERROR(IF(AND(A1488&gt;=129,A1488&lt;=2176),INDEX(Fields!$B$2:$B$206,MATCH(A1488-129,Fields!$D$2:$D$206,1)),""),"")</f>
        <v/>
      </c>
      <c r="E1488">
        <f>IFERROR(IF(AND(A1488&gt;=129,A1488&lt;=2176),INDEX(Fields!$C$2:$C$206,MATCH(A1488-129,Fields!$D$2:$D$206,1)),""),"")</f>
        <v/>
      </c>
    </row>
    <row r="1489">
      <c r="A1489" t="n">
        <v>1488</v>
      </c>
      <c r="B1489">
        <f>IFERROR(INDEX(RawBits!$A:$A,MATCH($A1489,RawBits!$H:$H,0)),"?")</f>
        <v/>
      </c>
      <c r="C1489">
        <f>IFERROR(INDEX(RawBits!$G:$G,MATCH($A1489,RawBits!$H:$H,0)),"")</f>
        <v/>
      </c>
      <c r="D1489">
        <f>IFERROR(IF(AND(A1489&gt;=129,A1489&lt;=2176),INDEX(Fields!$B$2:$B$206,MATCH(A1489-129,Fields!$D$2:$D$206,1)),""),"")</f>
        <v/>
      </c>
      <c r="E1489">
        <f>IFERROR(IF(AND(A1489&gt;=129,A1489&lt;=2176),INDEX(Fields!$C$2:$C$206,MATCH(A1489-129,Fields!$D$2:$D$206,1)),""),"")</f>
        <v/>
      </c>
    </row>
    <row r="1490">
      <c r="A1490" t="n">
        <v>1489</v>
      </c>
      <c r="B1490">
        <f>IFERROR(INDEX(RawBits!$A:$A,MATCH($A1490,RawBits!$H:$H,0)),"?")</f>
        <v/>
      </c>
      <c r="C1490">
        <f>IFERROR(INDEX(RawBits!$G:$G,MATCH($A1490,RawBits!$H:$H,0)),"")</f>
        <v/>
      </c>
      <c r="D1490">
        <f>IFERROR(IF(AND(A1490&gt;=129,A1490&lt;=2176),INDEX(Fields!$B$2:$B$206,MATCH(A1490-129,Fields!$D$2:$D$206,1)),""),"")</f>
        <v/>
      </c>
      <c r="E1490">
        <f>IFERROR(IF(AND(A1490&gt;=129,A1490&lt;=2176),INDEX(Fields!$C$2:$C$206,MATCH(A1490-129,Fields!$D$2:$D$206,1)),""),"")</f>
        <v/>
      </c>
    </row>
    <row r="1491">
      <c r="A1491" t="n">
        <v>1490</v>
      </c>
      <c r="B1491">
        <f>IFERROR(INDEX(RawBits!$A:$A,MATCH($A1491,RawBits!$H:$H,0)),"?")</f>
        <v/>
      </c>
      <c r="C1491">
        <f>IFERROR(INDEX(RawBits!$G:$G,MATCH($A1491,RawBits!$H:$H,0)),"")</f>
        <v/>
      </c>
      <c r="D1491">
        <f>IFERROR(IF(AND(A1491&gt;=129,A1491&lt;=2176),INDEX(Fields!$B$2:$B$206,MATCH(A1491-129,Fields!$D$2:$D$206,1)),""),"")</f>
        <v/>
      </c>
      <c r="E1491">
        <f>IFERROR(IF(AND(A1491&gt;=129,A1491&lt;=2176),INDEX(Fields!$C$2:$C$206,MATCH(A1491-129,Fields!$D$2:$D$206,1)),""),"")</f>
        <v/>
      </c>
    </row>
    <row r="1492">
      <c r="A1492" t="n">
        <v>1491</v>
      </c>
      <c r="B1492">
        <f>IFERROR(INDEX(RawBits!$A:$A,MATCH($A1492,RawBits!$H:$H,0)),"?")</f>
        <v/>
      </c>
      <c r="C1492">
        <f>IFERROR(INDEX(RawBits!$G:$G,MATCH($A1492,RawBits!$H:$H,0)),"")</f>
        <v/>
      </c>
      <c r="D1492">
        <f>IFERROR(IF(AND(A1492&gt;=129,A1492&lt;=2176),INDEX(Fields!$B$2:$B$206,MATCH(A1492-129,Fields!$D$2:$D$206,1)),""),"")</f>
        <v/>
      </c>
      <c r="E1492">
        <f>IFERROR(IF(AND(A1492&gt;=129,A1492&lt;=2176),INDEX(Fields!$C$2:$C$206,MATCH(A1492-129,Fields!$D$2:$D$206,1)),""),"")</f>
        <v/>
      </c>
    </row>
    <row r="1493">
      <c r="A1493" t="n">
        <v>1492</v>
      </c>
      <c r="B1493">
        <f>IFERROR(INDEX(RawBits!$A:$A,MATCH($A1493,RawBits!$H:$H,0)),"?")</f>
        <v/>
      </c>
      <c r="C1493">
        <f>IFERROR(INDEX(RawBits!$G:$G,MATCH($A1493,RawBits!$H:$H,0)),"")</f>
        <v/>
      </c>
      <c r="D1493">
        <f>IFERROR(IF(AND(A1493&gt;=129,A1493&lt;=2176),INDEX(Fields!$B$2:$B$206,MATCH(A1493-129,Fields!$D$2:$D$206,1)),""),"")</f>
        <v/>
      </c>
      <c r="E1493">
        <f>IFERROR(IF(AND(A1493&gt;=129,A1493&lt;=2176),INDEX(Fields!$C$2:$C$206,MATCH(A1493-129,Fields!$D$2:$D$206,1)),""),"")</f>
        <v/>
      </c>
    </row>
    <row r="1494">
      <c r="A1494" t="n">
        <v>1493</v>
      </c>
      <c r="B1494">
        <f>IFERROR(INDEX(RawBits!$A:$A,MATCH($A1494,RawBits!$H:$H,0)),"?")</f>
        <v/>
      </c>
      <c r="C1494">
        <f>IFERROR(INDEX(RawBits!$G:$G,MATCH($A1494,RawBits!$H:$H,0)),"")</f>
        <v/>
      </c>
      <c r="D1494">
        <f>IFERROR(IF(AND(A1494&gt;=129,A1494&lt;=2176),INDEX(Fields!$B$2:$B$206,MATCH(A1494-129,Fields!$D$2:$D$206,1)),""),"")</f>
        <v/>
      </c>
      <c r="E1494">
        <f>IFERROR(IF(AND(A1494&gt;=129,A1494&lt;=2176),INDEX(Fields!$C$2:$C$206,MATCH(A1494-129,Fields!$D$2:$D$206,1)),""),"")</f>
        <v/>
      </c>
    </row>
    <row r="1495">
      <c r="A1495" t="n">
        <v>1494</v>
      </c>
      <c r="B1495">
        <f>IFERROR(INDEX(RawBits!$A:$A,MATCH($A1495,RawBits!$H:$H,0)),"?")</f>
        <v/>
      </c>
      <c r="C1495">
        <f>IFERROR(INDEX(RawBits!$G:$G,MATCH($A1495,RawBits!$H:$H,0)),"")</f>
        <v/>
      </c>
      <c r="D1495">
        <f>IFERROR(IF(AND(A1495&gt;=129,A1495&lt;=2176),INDEX(Fields!$B$2:$B$206,MATCH(A1495-129,Fields!$D$2:$D$206,1)),""),"")</f>
        <v/>
      </c>
      <c r="E1495">
        <f>IFERROR(IF(AND(A1495&gt;=129,A1495&lt;=2176),INDEX(Fields!$C$2:$C$206,MATCH(A1495-129,Fields!$D$2:$D$206,1)),""),"")</f>
        <v/>
      </c>
    </row>
    <row r="1496">
      <c r="A1496" t="n">
        <v>1495</v>
      </c>
      <c r="B1496">
        <f>IFERROR(INDEX(RawBits!$A:$A,MATCH($A1496,RawBits!$H:$H,0)),"?")</f>
        <v/>
      </c>
      <c r="C1496">
        <f>IFERROR(INDEX(RawBits!$G:$G,MATCH($A1496,RawBits!$H:$H,0)),"")</f>
        <v/>
      </c>
      <c r="D1496">
        <f>IFERROR(IF(AND(A1496&gt;=129,A1496&lt;=2176),INDEX(Fields!$B$2:$B$206,MATCH(A1496-129,Fields!$D$2:$D$206,1)),""),"")</f>
        <v/>
      </c>
      <c r="E1496">
        <f>IFERROR(IF(AND(A1496&gt;=129,A1496&lt;=2176),INDEX(Fields!$C$2:$C$206,MATCH(A1496-129,Fields!$D$2:$D$206,1)),""),"")</f>
        <v/>
      </c>
    </row>
    <row r="1497">
      <c r="A1497" t="n">
        <v>1496</v>
      </c>
      <c r="B1497">
        <f>IFERROR(INDEX(RawBits!$A:$A,MATCH($A1497,RawBits!$H:$H,0)),"?")</f>
        <v/>
      </c>
      <c r="C1497">
        <f>IFERROR(INDEX(RawBits!$G:$G,MATCH($A1497,RawBits!$H:$H,0)),"")</f>
        <v/>
      </c>
      <c r="D1497">
        <f>IFERROR(IF(AND(A1497&gt;=129,A1497&lt;=2176),INDEX(Fields!$B$2:$B$206,MATCH(A1497-129,Fields!$D$2:$D$206,1)),""),"")</f>
        <v/>
      </c>
      <c r="E1497">
        <f>IFERROR(IF(AND(A1497&gt;=129,A1497&lt;=2176),INDEX(Fields!$C$2:$C$206,MATCH(A1497-129,Fields!$D$2:$D$206,1)),""),"")</f>
        <v/>
      </c>
    </row>
    <row r="1498">
      <c r="A1498" t="n">
        <v>1497</v>
      </c>
      <c r="B1498">
        <f>IFERROR(INDEX(RawBits!$A:$A,MATCH($A1498,RawBits!$H:$H,0)),"?")</f>
        <v/>
      </c>
      <c r="C1498">
        <f>IFERROR(INDEX(RawBits!$G:$G,MATCH($A1498,RawBits!$H:$H,0)),"")</f>
        <v/>
      </c>
      <c r="D1498">
        <f>IFERROR(IF(AND(A1498&gt;=129,A1498&lt;=2176),INDEX(Fields!$B$2:$B$206,MATCH(A1498-129,Fields!$D$2:$D$206,1)),""),"")</f>
        <v/>
      </c>
      <c r="E1498">
        <f>IFERROR(IF(AND(A1498&gt;=129,A1498&lt;=2176),INDEX(Fields!$C$2:$C$206,MATCH(A1498-129,Fields!$D$2:$D$206,1)),""),"")</f>
        <v/>
      </c>
    </row>
    <row r="1499">
      <c r="A1499" t="n">
        <v>1498</v>
      </c>
      <c r="B1499">
        <f>IFERROR(INDEX(RawBits!$A:$A,MATCH($A1499,RawBits!$H:$H,0)),"?")</f>
        <v/>
      </c>
      <c r="C1499">
        <f>IFERROR(INDEX(RawBits!$G:$G,MATCH($A1499,RawBits!$H:$H,0)),"")</f>
        <v/>
      </c>
      <c r="D1499">
        <f>IFERROR(IF(AND(A1499&gt;=129,A1499&lt;=2176),INDEX(Fields!$B$2:$B$206,MATCH(A1499-129,Fields!$D$2:$D$206,1)),""),"")</f>
        <v/>
      </c>
      <c r="E1499">
        <f>IFERROR(IF(AND(A1499&gt;=129,A1499&lt;=2176),INDEX(Fields!$C$2:$C$206,MATCH(A1499-129,Fields!$D$2:$D$206,1)),""),"")</f>
        <v/>
      </c>
    </row>
    <row r="1500">
      <c r="A1500" t="n">
        <v>1499</v>
      </c>
      <c r="B1500">
        <f>IFERROR(INDEX(RawBits!$A:$A,MATCH($A1500,RawBits!$H:$H,0)),"?")</f>
        <v/>
      </c>
      <c r="C1500">
        <f>IFERROR(INDEX(RawBits!$G:$G,MATCH($A1500,RawBits!$H:$H,0)),"")</f>
        <v/>
      </c>
      <c r="D1500">
        <f>IFERROR(IF(AND(A1500&gt;=129,A1500&lt;=2176),INDEX(Fields!$B$2:$B$206,MATCH(A1500-129,Fields!$D$2:$D$206,1)),""),"")</f>
        <v/>
      </c>
      <c r="E1500">
        <f>IFERROR(IF(AND(A1500&gt;=129,A1500&lt;=2176),INDEX(Fields!$C$2:$C$206,MATCH(A1500-129,Fields!$D$2:$D$206,1)),""),"")</f>
        <v/>
      </c>
    </row>
    <row r="1501">
      <c r="A1501" t="n">
        <v>1500</v>
      </c>
      <c r="B1501">
        <f>IFERROR(INDEX(RawBits!$A:$A,MATCH($A1501,RawBits!$H:$H,0)),"?")</f>
        <v/>
      </c>
      <c r="C1501">
        <f>IFERROR(INDEX(RawBits!$G:$G,MATCH($A1501,RawBits!$H:$H,0)),"")</f>
        <v/>
      </c>
      <c r="D1501">
        <f>IFERROR(IF(AND(A1501&gt;=129,A1501&lt;=2176),INDEX(Fields!$B$2:$B$206,MATCH(A1501-129,Fields!$D$2:$D$206,1)),""),"")</f>
        <v/>
      </c>
      <c r="E1501">
        <f>IFERROR(IF(AND(A1501&gt;=129,A1501&lt;=2176),INDEX(Fields!$C$2:$C$206,MATCH(A1501-129,Fields!$D$2:$D$206,1)),""),"")</f>
        <v/>
      </c>
    </row>
    <row r="1502">
      <c r="A1502" t="n">
        <v>1501</v>
      </c>
      <c r="B1502">
        <f>IFERROR(INDEX(RawBits!$A:$A,MATCH($A1502,RawBits!$H:$H,0)),"?")</f>
        <v/>
      </c>
      <c r="C1502">
        <f>IFERROR(INDEX(RawBits!$G:$G,MATCH($A1502,RawBits!$H:$H,0)),"")</f>
        <v/>
      </c>
      <c r="D1502">
        <f>IFERROR(IF(AND(A1502&gt;=129,A1502&lt;=2176),INDEX(Fields!$B$2:$B$206,MATCH(A1502-129,Fields!$D$2:$D$206,1)),""),"")</f>
        <v/>
      </c>
      <c r="E1502">
        <f>IFERROR(IF(AND(A1502&gt;=129,A1502&lt;=2176),INDEX(Fields!$C$2:$C$206,MATCH(A1502-129,Fields!$D$2:$D$206,1)),""),"")</f>
        <v/>
      </c>
    </row>
    <row r="1503">
      <c r="A1503" t="n">
        <v>1502</v>
      </c>
      <c r="B1503">
        <f>IFERROR(INDEX(RawBits!$A:$A,MATCH($A1503,RawBits!$H:$H,0)),"?")</f>
        <v/>
      </c>
      <c r="C1503">
        <f>IFERROR(INDEX(RawBits!$G:$G,MATCH($A1503,RawBits!$H:$H,0)),"")</f>
        <v/>
      </c>
      <c r="D1503">
        <f>IFERROR(IF(AND(A1503&gt;=129,A1503&lt;=2176),INDEX(Fields!$B$2:$B$206,MATCH(A1503-129,Fields!$D$2:$D$206,1)),""),"")</f>
        <v/>
      </c>
      <c r="E1503">
        <f>IFERROR(IF(AND(A1503&gt;=129,A1503&lt;=2176),INDEX(Fields!$C$2:$C$206,MATCH(A1503-129,Fields!$D$2:$D$206,1)),""),"")</f>
        <v/>
      </c>
    </row>
    <row r="1504">
      <c r="A1504" t="n">
        <v>1503</v>
      </c>
      <c r="B1504">
        <f>IFERROR(INDEX(RawBits!$A:$A,MATCH($A1504,RawBits!$H:$H,0)),"?")</f>
        <v/>
      </c>
      <c r="C1504">
        <f>IFERROR(INDEX(RawBits!$G:$G,MATCH($A1504,RawBits!$H:$H,0)),"")</f>
        <v/>
      </c>
      <c r="D1504">
        <f>IFERROR(IF(AND(A1504&gt;=129,A1504&lt;=2176),INDEX(Fields!$B$2:$B$206,MATCH(A1504-129,Fields!$D$2:$D$206,1)),""),"")</f>
        <v/>
      </c>
      <c r="E1504">
        <f>IFERROR(IF(AND(A1504&gt;=129,A1504&lt;=2176),INDEX(Fields!$C$2:$C$206,MATCH(A1504-129,Fields!$D$2:$D$206,1)),""),"")</f>
        <v/>
      </c>
    </row>
    <row r="1505">
      <c r="A1505" t="n">
        <v>1504</v>
      </c>
      <c r="B1505">
        <f>IFERROR(INDEX(RawBits!$A:$A,MATCH($A1505,RawBits!$H:$H,0)),"?")</f>
        <v/>
      </c>
      <c r="C1505">
        <f>IFERROR(INDEX(RawBits!$G:$G,MATCH($A1505,RawBits!$H:$H,0)),"")</f>
        <v/>
      </c>
      <c r="D1505">
        <f>IFERROR(IF(AND(A1505&gt;=129,A1505&lt;=2176),INDEX(Fields!$B$2:$B$206,MATCH(A1505-129,Fields!$D$2:$D$206,1)),""),"")</f>
        <v/>
      </c>
      <c r="E1505">
        <f>IFERROR(IF(AND(A1505&gt;=129,A1505&lt;=2176),INDEX(Fields!$C$2:$C$206,MATCH(A1505-129,Fields!$D$2:$D$206,1)),""),"")</f>
        <v/>
      </c>
    </row>
    <row r="1506">
      <c r="A1506" t="n">
        <v>1505</v>
      </c>
      <c r="B1506">
        <f>IFERROR(INDEX(RawBits!$A:$A,MATCH($A1506,RawBits!$H:$H,0)),"?")</f>
        <v/>
      </c>
      <c r="C1506">
        <f>IFERROR(INDEX(RawBits!$G:$G,MATCH($A1506,RawBits!$H:$H,0)),"")</f>
        <v/>
      </c>
      <c r="D1506">
        <f>IFERROR(IF(AND(A1506&gt;=129,A1506&lt;=2176),INDEX(Fields!$B$2:$B$206,MATCH(A1506-129,Fields!$D$2:$D$206,1)),""),"")</f>
        <v/>
      </c>
      <c r="E1506">
        <f>IFERROR(IF(AND(A1506&gt;=129,A1506&lt;=2176),INDEX(Fields!$C$2:$C$206,MATCH(A1506-129,Fields!$D$2:$D$206,1)),""),"")</f>
        <v/>
      </c>
    </row>
    <row r="1507">
      <c r="A1507" t="n">
        <v>1506</v>
      </c>
      <c r="B1507">
        <f>IFERROR(INDEX(RawBits!$A:$A,MATCH($A1507,RawBits!$H:$H,0)),"?")</f>
        <v/>
      </c>
      <c r="C1507">
        <f>IFERROR(INDEX(RawBits!$G:$G,MATCH($A1507,RawBits!$H:$H,0)),"")</f>
        <v/>
      </c>
      <c r="D1507">
        <f>IFERROR(IF(AND(A1507&gt;=129,A1507&lt;=2176),INDEX(Fields!$B$2:$B$206,MATCH(A1507-129,Fields!$D$2:$D$206,1)),""),"")</f>
        <v/>
      </c>
      <c r="E1507">
        <f>IFERROR(IF(AND(A1507&gt;=129,A1507&lt;=2176),INDEX(Fields!$C$2:$C$206,MATCH(A1507-129,Fields!$D$2:$D$206,1)),""),"")</f>
        <v/>
      </c>
    </row>
    <row r="1508">
      <c r="A1508" t="n">
        <v>1507</v>
      </c>
      <c r="B1508">
        <f>IFERROR(INDEX(RawBits!$A:$A,MATCH($A1508,RawBits!$H:$H,0)),"?")</f>
        <v/>
      </c>
      <c r="C1508">
        <f>IFERROR(INDEX(RawBits!$G:$G,MATCH($A1508,RawBits!$H:$H,0)),"")</f>
        <v/>
      </c>
      <c r="D1508">
        <f>IFERROR(IF(AND(A1508&gt;=129,A1508&lt;=2176),INDEX(Fields!$B$2:$B$206,MATCH(A1508-129,Fields!$D$2:$D$206,1)),""),"")</f>
        <v/>
      </c>
      <c r="E1508">
        <f>IFERROR(IF(AND(A1508&gt;=129,A1508&lt;=2176),INDEX(Fields!$C$2:$C$206,MATCH(A1508-129,Fields!$D$2:$D$206,1)),""),"")</f>
        <v/>
      </c>
    </row>
    <row r="1509">
      <c r="A1509" t="n">
        <v>1508</v>
      </c>
      <c r="B1509">
        <f>IFERROR(INDEX(RawBits!$A:$A,MATCH($A1509,RawBits!$H:$H,0)),"?")</f>
        <v/>
      </c>
      <c r="C1509">
        <f>IFERROR(INDEX(RawBits!$G:$G,MATCH($A1509,RawBits!$H:$H,0)),"")</f>
        <v/>
      </c>
      <c r="D1509">
        <f>IFERROR(IF(AND(A1509&gt;=129,A1509&lt;=2176),INDEX(Fields!$B$2:$B$206,MATCH(A1509-129,Fields!$D$2:$D$206,1)),""),"")</f>
        <v/>
      </c>
      <c r="E1509">
        <f>IFERROR(IF(AND(A1509&gt;=129,A1509&lt;=2176),INDEX(Fields!$C$2:$C$206,MATCH(A1509-129,Fields!$D$2:$D$206,1)),""),"")</f>
        <v/>
      </c>
    </row>
    <row r="1510">
      <c r="A1510" t="n">
        <v>1509</v>
      </c>
      <c r="B1510">
        <f>IFERROR(INDEX(RawBits!$A:$A,MATCH($A1510,RawBits!$H:$H,0)),"?")</f>
        <v/>
      </c>
      <c r="C1510">
        <f>IFERROR(INDEX(RawBits!$G:$G,MATCH($A1510,RawBits!$H:$H,0)),"")</f>
        <v/>
      </c>
      <c r="D1510">
        <f>IFERROR(IF(AND(A1510&gt;=129,A1510&lt;=2176),INDEX(Fields!$B$2:$B$206,MATCH(A1510-129,Fields!$D$2:$D$206,1)),""),"")</f>
        <v/>
      </c>
      <c r="E1510">
        <f>IFERROR(IF(AND(A1510&gt;=129,A1510&lt;=2176),INDEX(Fields!$C$2:$C$206,MATCH(A1510-129,Fields!$D$2:$D$206,1)),""),"")</f>
        <v/>
      </c>
    </row>
    <row r="1511">
      <c r="A1511" t="n">
        <v>1510</v>
      </c>
      <c r="B1511">
        <f>IFERROR(INDEX(RawBits!$A:$A,MATCH($A1511,RawBits!$H:$H,0)),"?")</f>
        <v/>
      </c>
      <c r="C1511">
        <f>IFERROR(INDEX(RawBits!$G:$G,MATCH($A1511,RawBits!$H:$H,0)),"")</f>
        <v/>
      </c>
      <c r="D1511">
        <f>IFERROR(IF(AND(A1511&gt;=129,A1511&lt;=2176),INDEX(Fields!$B$2:$B$206,MATCH(A1511-129,Fields!$D$2:$D$206,1)),""),"")</f>
        <v/>
      </c>
      <c r="E1511">
        <f>IFERROR(IF(AND(A1511&gt;=129,A1511&lt;=2176),INDEX(Fields!$C$2:$C$206,MATCH(A1511-129,Fields!$D$2:$D$206,1)),""),"")</f>
        <v/>
      </c>
    </row>
    <row r="1512">
      <c r="A1512" t="n">
        <v>1511</v>
      </c>
      <c r="B1512">
        <f>IFERROR(INDEX(RawBits!$A:$A,MATCH($A1512,RawBits!$H:$H,0)),"?")</f>
        <v/>
      </c>
      <c r="C1512">
        <f>IFERROR(INDEX(RawBits!$G:$G,MATCH($A1512,RawBits!$H:$H,0)),"")</f>
        <v/>
      </c>
      <c r="D1512">
        <f>IFERROR(IF(AND(A1512&gt;=129,A1512&lt;=2176),INDEX(Fields!$B$2:$B$206,MATCH(A1512-129,Fields!$D$2:$D$206,1)),""),"")</f>
        <v/>
      </c>
      <c r="E1512">
        <f>IFERROR(IF(AND(A1512&gt;=129,A1512&lt;=2176),INDEX(Fields!$C$2:$C$206,MATCH(A1512-129,Fields!$D$2:$D$206,1)),""),"")</f>
        <v/>
      </c>
    </row>
    <row r="1513">
      <c r="A1513" t="n">
        <v>1512</v>
      </c>
      <c r="B1513">
        <f>IFERROR(INDEX(RawBits!$A:$A,MATCH($A1513,RawBits!$H:$H,0)),"?")</f>
        <v/>
      </c>
      <c r="C1513">
        <f>IFERROR(INDEX(RawBits!$G:$G,MATCH($A1513,RawBits!$H:$H,0)),"")</f>
        <v/>
      </c>
      <c r="D1513">
        <f>IFERROR(IF(AND(A1513&gt;=129,A1513&lt;=2176),INDEX(Fields!$B$2:$B$206,MATCH(A1513-129,Fields!$D$2:$D$206,1)),""),"")</f>
        <v/>
      </c>
      <c r="E1513">
        <f>IFERROR(IF(AND(A1513&gt;=129,A1513&lt;=2176),INDEX(Fields!$C$2:$C$206,MATCH(A1513-129,Fields!$D$2:$D$206,1)),""),"")</f>
        <v/>
      </c>
    </row>
    <row r="1514">
      <c r="A1514" t="n">
        <v>1513</v>
      </c>
      <c r="B1514">
        <f>IFERROR(INDEX(RawBits!$A:$A,MATCH($A1514,RawBits!$H:$H,0)),"?")</f>
        <v/>
      </c>
      <c r="C1514">
        <f>IFERROR(INDEX(RawBits!$G:$G,MATCH($A1514,RawBits!$H:$H,0)),"")</f>
        <v/>
      </c>
      <c r="D1514">
        <f>IFERROR(IF(AND(A1514&gt;=129,A1514&lt;=2176),INDEX(Fields!$B$2:$B$206,MATCH(A1514-129,Fields!$D$2:$D$206,1)),""),"")</f>
        <v/>
      </c>
      <c r="E1514">
        <f>IFERROR(IF(AND(A1514&gt;=129,A1514&lt;=2176),INDEX(Fields!$C$2:$C$206,MATCH(A1514-129,Fields!$D$2:$D$206,1)),""),"")</f>
        <v/>
      </c>
    </row>
    <row r="1515">
      <c r="A1515" t="n">
        <v>1514</v>
      </c>
      <c r="B1515">
        <f>IFERROR(INDEX(RawBits!$A:$A,MATCH($A1515,RawBits!$H:$H,0)),"?")</f>
        <v/>
      </c>
      <c r="C1515">
        <f>IFERROR(INDEX(RawBits!$G:$G,MATCH($A1515,RawBits!$H:$H,0)),"")</f>
        <v/>
      </c>
      <c r="D1515">
        <f>IFERROR(IF(AND(A1515&gt;=129,A1515&lt;=2176),INDEX(Fields!$B$2:$B$206,MATCH(A1515-129,Fields!$D$2:$D$206,1)),""),"")</f>
        <v/>
      </c>
      <c r="E1515">
        <f>IFERROR(IF(AND(A1515&gt;=129,A1515&lt;=2176),INDEX(Fields!$C$2:$C$206,MATCH(A1515-129,Fields!$D$2:$D$206,1)),""),"")</f>
        <v/>
      </c>
    </row>
    <row r="1516">
      <c r="A1516" t="n">
        <v>1515</v>
      </c>
      <c r="B1516">
        <f>IFERROR(INDEX(RawBits!$A:$A,MATCH($A1516,RawBits!$H:$H,0)),"?")</f>
        <v/>
      </c>
      <c r="C1516">
        <f>IFERROR(INDEX(RawBits!$G:$G,MATCH($A1516,RawBits!$H:$H,0)),"")</f>
        <v/>
      </c>
      <c r="D1516">
        <f>IFERROR(IF(AND(A1516&gt;=129,A1516&lt;=2176),INDEX(Fields!$B$2:$B$206,MATCH(A1516-129,Fields!$D$2:$D$206,1)),""),"")</f>
        <v/>
      </c>
      <c r="E1516">
        <f>IFERROR(IF(AND(A1516&gt;=129,A1516&lt;=2176),INDEX(Fields!$C$2:$C$206,MATCH(A1516-129,Fields!$D$2:$D$206,1)),""),"")</f>
        <v/>
      </c>
    </row>
    <row r="1517">
      <c r="A1517" t="n">
        <v>1516</v>
      </c>
      <c r="B1517">
        <f>IFERROR(INDEX(RawBits!$A:$A,MATCH($A1517,RawBits!$H:$H,0)),"?")</f>
        <v/>
      </c>
      <c r="C1517">
        <f>IFERROR(INDEX(RawBits!$G:$G,MATCH($A1517,RawBits!$H:$H,0)),"")</f>
        <v/>
      </c>
      <c r="D1517">
        <f>IFERROR(IF(AND(A1517&gt;=129,A1517&lt;=2176),INDEX(Fields!$B$2:$B$206,MATCH(A1517-129,Fields!$D$2:$D$206,1)),""),"")</f>
        <v/>
      </c>
      <c r="E1517">
        <f>IFERROR(IF(AND(A1517&gt;=129,A1517&lt;=2176),INDEX(Fields!$C$2:$C$206,MATCH(A1517-129,Fields!$D$2:$D$206,1)),""),"")</f>
        <v/>
      </c>
    </row>
    <row r="1518">
      <c r="A1518" t="n">
        <v>1517</v>
      </c>
      <c r="B1518">
        <f>IFERROR(INDEX(RawBits!$A:$A,MATCH($A1518,RawBits!$H:$H,0)),"?")</f>
        <v/>
      </c>
      <c r="C1518">
        <f>IFERROR(INDEX(RawBits!$G:$G,MATCH($A1518,RawBits!$H:$H,0)),"")</f>
        <v/>
      </c>
      <c r="D1518">
        <f>IFERROR(IF(AND(A1518&gt;=129,A1518&lt;=2176),INDEX(Fields!$B$2:$B$206,MATCH(A1518-129,Fields!$D$2:$D$206,1)),""),"")</f>
        <v/>
      </c>
      <c r="E1518">
        <f>IFERROR(IF(AND(A1518&gt;=129,A1518&lt;=2176),INDEX(Fields!$C$2:$C$206,MATCH(A1518-129,Fields!$D$2:$D$206,1)),""),"")</f>
        <v/>
      </c>
    </row>
    <row r="1519">
      <c r="A1519" t="n">
        <v>1518</v>
      </c>
      <c r="B1519">
        <f>IFERROR(INDEX(RawBits!$A:$A,MATCH($A1519,RawBits!$H:$H,0)),"?")</f>
        <v/>
      </c>
      <c r="C1519">
        <f>IFERROR(INDEX(RawBits!$G:$G,MATCH($A1519,RawBits!$H:$H,0)),"")</f>
        <v/>
      </c>
      <c r="D1519">
        <f>IFERROR(IF(AND(A1519&gt;=129,A1519&lt;=2176),INDEX(Fields!$B$2:$B$206,MATCH(A1519-129,Fields!$D$2:$D$206,1)),""),"")</f>
        <v/>
      </c>
      <c r="E1519">
        <f>IFERROR(IF(AND(A1519&gt;=129,A1519&lt;=2176),INDEX(Fields!$C$2:$C$206,MATCH(A1519-129,Fields!$D$2:$D$206,1)),""),"")</f>
        <v/>
      </c>
    </row>
    <row r="1520">
      <c r="A1520" t="n">
        <v>1519</v>
      </c>
      <c r="B1520">
        <f>IFERROR(INDEX(RawBits!$A:$A,MATCH($A1520,RawBits!$H:$H,0)),"?")</f>
        <v/>
      </c>
      <c r="C1520">
        <f>IFERROR(INDEX(RawBits!$G:$G,MATCH($A1520,RawBits!$H:$H,0)),"")</f>
        <v/>
      </c>
      <c r="D1520">
        <f>IFERROR(IF(AND(A1520&gt;=129,A1520&lt;=2176),INDEX(Fields!$B$2:$B$206,MATCH(A1520-129,Fields!$D$2:$D$206,1)),""),"")</f>
        <v/>
      </c>
      <c r="E1520">
        <f>IFERROR(IF(AND(A1520&gt;=129,A1520&lt;=2176),INDEX(Fields!$C$2:$C$206,MATCH(A1520-129,Fields!$D$2:$D$206,1)),""),"")</f>
        <v/>
      </c>
    </row>
    <row r="1521">
      <c r="A1521" t="n">
        <v>1520</v>
      </c>
      <c r="B1521">
        <f>IFERROR(INDEX(RawBits!$A:$A,MATCH($A1521,RawBits!$H:$H,0)),"?")</f>
        <v/>
      </c>
      <c r="C1521">
        <f>IFERROR(INDEX(RawBits!$G:$G,MATCH($A1521,RawBits!$H:$H,0)),"")</f>
        <v/>
      </c>
      <c r="D1521">
        <f>IFERROR(IF(AND(A1521&gt;=129,A1521&lt;=2176),INDEX(Fields!$B$2:$B$206,MATCH(A1521-129,Fields!$D$2:$D$206,1)),""),"")</f>
        <v/>
      </c>
      <c r="E1521">
        <f>IFERROR(IF(AND(A1521&gt;=129,A1521&lt;=2176),INDEX(Fields!$C$2:$C$206,MATCH(A1521-129,Fields!$D$2:$D$206,1)),""),"")</f>
        <v/>
      </c>
    </row>
    <row r="1522">
      <c r="A1522" t="n">
        <v>1521</v>
      </c>
      <c r="B1522">
        <f>IFERROR(INDEX(RawBits!$A:$A,MATCH($A1522,RawBits!$H:$H,0)),"?")</f>
        <v/>
      </c>
      <c r="C1522">
        <f>IFERROR(INDEX(RawBits!$G:$G,MATCH($A1522,RawBits!$H:$H,0)),"")</f>
        <v/>
      </c>
      <c r="D1522">
        <f>IFERROR(IF(AND(A1522&gt;=129,A1522&lt;=2176),INDEX(Fields!$B$2:$B$206,MATCH(A1522-129,Fields!$D$2:$D$206,1)),""),"")</f>
        <v/>
      </c>
      <c r="E1522">
        <f>IFERROR(IF(AND(A1522&gt;=129,A1522&lt;=2176),INDEX(Fields!$C$2:$C$206,MATCH(A1522-129,Fields!$D$2:$D$206,1)),""),"")</f>
        <v/>
      </c>
    </row>
    <row r="1523">
      <c r="A1523" t="n">
        <v>1522</v>
      </c>
      <c r="B1523">
        <f>IFERROR(INDEX(RawBits!$A:$A,MATCH($A1523,RawBits!$H:$H,0)),"?")</f>
        <v/>
      </c>
      <c r="C1523">
        <f>IFERROR(INDEX(RawBits!$G:$G,MATCH($A1523,RawBits!$H:$H,0)),"")</f>
        <v/>
      </c>
      <c r="D1523">
        <f>IFERROR(IF(AND(A1523&gt;=129,A1523&lt;=2176),INDEX(Fields!$B$2:$B$206,MATCH(A1523-129,Fields!$D$2:$D$206,1)),""),"")</f>
        <v/>
      </c>
      <c r="E1523">
        <f>IFERROR(IF(AND(A1523&gt;=129,A1523&lt;=2176),INDEX(Fields!$C$2:$C$206,MATCH(A1523-129,Fields!$D$2:$D$206,1)),""),"")</f>
        <v/>
      </c>
    </row>
    <row r="1524">
      <c r="A1524" t="n">
        <v>1523</v>
      </c>
      <c r="B1524">
        <f>IFERROR(INDEX(RawBits!$A:$A,MATCH($A1524,RawBits!$H:$H,0)),"?")</f>
        <v/>
      </c>
      <c r="C1524">
        <f>IFERROR(INDEX(RawBits!$G:$G,MATCH($A1524,RawBits!$H:$H,0)),"")</f>
        <v/>
      </c>
      <c r="D1524">
        <f>IFERROR(IF(AND(A1524&gt;=129,A1524&lt;=2176),INDEX(Fields!$B$2:$B$206,MATCH(A1524-129,Fields!$D$2:$D$206,1)),""),"")</f>
        <v/>
      </c>
      <c r="E1524">
        <f>IFERROR(IF(AND(A1524&gt;=129,A1524&lt;=2176),INDEX(Fields!$C$2:$C$206,MATCH(A1524-129,Fields!$D$2:$D$206,1)),""),"")</f>
        <v/>
      </c>
    </row>
    <row r="1525">
      <c r="A1525" t="n">
        <v>1524</v>
      </c>
      <c r="B1525">
        <f>IFERROR(INDEX(RawBits!$A:$A,MATCH($A1525,RawBits!$H:$H,0)),"?")</f>
        <v/>
      </c>
      <c r="C1525">
        <f>IFERROR(INDEX(RawBits!$G:$G,MATCH($A1525,RawBits!$H:$H,0)),"")</f>
        <v/>
      </c>
      <c r="D1525">
        <f>IFERROR(IF(AND(A1525&gt;=129,A1525&lt;=2176),INDEX(Fields!$B$2:$B$206,MATCH(A1525-129,Fields!$D$2:$D$206,1)),""),"")</f>
        <v/>
      </c>
      <c r="E1525">
        <f>IFERROR(IF(AND(A1525&gt;=129,A1525&lt;=2176),INDEX(Fields!$C$2:$C$206,MATCH(A1525-129,Fields!$D$2:$D$206,1)),""),"")</f>
        <v/>
      </c>
    </row>
    <row r="1526">
      <c r="A1526" t="n">
        <v>1525</v>
      </c>
      <c r="B1526">
        <f>IFERROR(INDEX(RawBits!$A:$A,MATCH($A1526,RawBits!$H:$H,0)),"?")</f>
        <v/>
      </c>
      <c r="C1526">
        <f>IFERROR(INDEX(RawBits!$G:$G,MATCH($A1526,RawBits!$H:$H,0)),"")</f>
        <v/>
      </c>
      <c r="D1526">
        <f>IFERROR(IF(AND(A1526&gt;=129,A1526&lt;=2176),INDEX(Fields!$B$2:$B$206,MATCH(A1526-129,Fields!$D$2:$D$206,1)),""),"")</f>
        <v/>
      </c>
      <c r="E1526">
        <f>IFERROR(IF(AND(A1526&gt;=129,A1526&lt;=2176),INDEX(Fields!$C$2:$C$206,MATCH(A1526-129,Fields!$D$2:$D$206,1)),""),"")</f>
        <v/>
      </c>
    </row>
    <row r="1527">
      <c r="A1527" t="n">
        <v>1526</v>
      </c>
      <c r="B1527">
        <f>IFERROR(INDEX(RawBits!$A:$A,MATCH($A1527,RawBits!$H:$H,0)),"?")</f>
        <v/>
      </c>
      <c r="C1527">
        <f>IFERROR(INDEX(RawBits!$G:$G,MATCH($A1527,RawBits!$H:$H,0)),"")</f>
        <v/>
      </c>
      <c r="D1527">
        <f>IFERROR(IF(AND(A1527&gt;=129,A1527&lt;=2176),INDEX(Fields!$B$2:$B$206,MATCH(A1527-129,Fields!$D$2:$D$206,1)),""),"")</f>
        <v/>
      </c>
      <c r="E1527">
        <f>IFERROR(IF(AND(A1527&gt;=129,A1527&lt;=2176),INDEX(Fields!$C$2:$C$206,MATCH(A1527-129,Fields!$D$2:$D$206,1)),""),"")</f>
        <v/>
      </c>
    </row>
    <row r="1528">
      <c r="A1528" t="n">
        <v>1527</v>
      </c>
      <c r="B1528">
        <f>IFERROR(INDEX(RawBits!$A:$A,MATCH($A1528,RawBits!$H:$H,0)),"?")</f>
        <v/>
      </c>
      <c r="C1528">
        <f>IFERROR(INDEX(RawBits!$G:$G,MATCH($A1528,RawBits!$H:$H,0)),"")</f>
        <v/>
      </c>
      <c r="D1528">
        <f>IFERROR(IF(AND(A1528&gt;=129,A1528&lt;=2176),INDEX(Fields!$B$2:$B$206,MATCH(A1528-129,Fields!$D$2:$D$206,1)),""),"")</f>
        <v/>
      </c>
      <c r="E1528">
        <f>IFERROR(IF(AND(A1528&gt;=129,A1528&lt;=2176),INDEX(Fields!$C$2:$C$206,MATCH(A1528-129,Fields!$D$2:$D$206,1)),""),"")</f>
        <v/>
      </c>
    </row>
    <row r="1529">
      <c r="A1529" t="n">
        <v>1528</v>
      </c>
      <c r="B1529">
        <f>IFERROR(INDEX(RawBits!$A:$A,MATCH($A1529,RawBits!$H:$H,0)),"?")</f>
        <v/>
      </c>
      <c r="C1529">
        <f>IFERROR(INDEX(RawBits!$G:$G,MATCH($A1529,RawBits!$H:$H,0)),"")</f>
        <v/>
      </c>
      <c r="D1529">
        <f>IFERROR(IF(AND(A1529&gt;=129,A1529&lt;=2176),INDEX(Fields!$B$2:$B$206,MATCH(A1529-129,Fields!$D$2:$D$206,1)),""),"")</f>
        <v/>
      </c>
      <c r="E1529">
        <f>IFERROR(IF(AND(A1529&gt;=129,A1529&lt;=2176),INDEX(Fields!$C$2:$C$206,MATCH(A1529-129,Fields!$D$2:$D$206,1)),""),"")</f>
        <v/>
      </c>
    </row>
    <row r="1530">
      <c r="A1530" t="n">
        <v>1529</v>
      </c>
      <c r="B1530">
        <f>IFERROR(INDEX(RawBits!$A:$A,MATCH($A1530,RawBits!$H:$H,0)),"?")</f>
        <v/>
      </c>
      <c r="C1530">
        <f>IFERROR(INDEX(RawBits!$G:$G,MATCH($A1530,RawBits!$H:$H,0)),"")</f>
        <v/>
      </c>
      <c r="D1530">
        <f>IFERROR(IF(AND(A1530&gt;=129,A1530&lt;=2176),INDEX(Fields!$B$2:$B$206,MATCH(A1530-129,Fields!$D$2:$D$206,1)),""),"")</f>
        <v/>
      </c>
      <c r="E1530">
        <f>IFERROR(IF(AND(A1530&gt;=129,A1530&lt;=2176),INDEX(Fields!$C$2:$C$206,MATCH(A1530-129,Fields!$D$2:$D$206,1)),""),"")</f>
        <v/>
      </c>
    </row>
    <row r="1531">
      <c r="A1531" t="n">
        <v>1530</v>
      </c>
      <c r="B1531">
        <f>IFERROR(INDEX(RawBits!$A:$A,MATCH($A1531,RawBits!$H:$H,0)),"?")</f>
        <v/>
      </c>
      <c r="C1531">
        <f>IFERROR(INDEX(RawBits!$G:$G,MATCH($A1531,RawBits!$H:$H,0)),"")</f>
        <v/>
      </c>
      <c r="D1531">
        <f>IFERROR(IF(AND(A1531&gt;=129,A1531&lt;=2176),INDEX(Fields!$B$2:$B$206,MATCH(A1531-129,Fields!$D$2:$D$206,1)),""),"")</f>
        <v/>
      </c>
      <c r="E1531">
        <f>IFERROR(IF(AND(A1531&gt;=129,A1531&lt;=2176),INDEX(Fields!$C$2:$C$206,MATCH(A1531-129,Fields!$D$2:$D$206,1)),""),"")</f>
        <v/>
      </c>
    </row>
    <row r="1532">
      <c r="A1532" t="n">
        <v>1531</v>
      </c>
      <c r="B1532">
        <f>IFERROR(INDEX(RawBits!$A:$A,MATCH($A1532,RawBits!$H:$H,0)),"?")</f>
        <v/>
      </c>
      <c r="C1532">
        <f>IFERROR(INDEX(RawBits!$G:$G,MATCH($A1532,RawBits!$H:$H,0)),"")</f>
        <v/>
      </c>
      <c r="D1532">
        <f>IFERROR(IF(AND(A1532&gt;=129,A1532&lt;=2176),INDEX(Fields!$B$2:$B$206,MATCH(A1532-129,Fields!$D$2:$D$206,1)),""),"")</f>
        <v/>
      </c>
      <c r="E1532">
        <f>IFERROR(IF(AND(A1532&gt;=129,A1532&lt;=2176),INDEX(Fields!$C$2:$C$206,MATCH(A1532-129,Fields!$D$2:$D$206,1)),""),"")</f>
        <v/>
      </c>
    </row>
    <row r="1533">
      <c r="A1533" t="n">
        <v>1532</v>
      </c>
      <c r="B1533">
        <f>IFERROR(INDEX(RawBits!$A:$A,MATCH($A1533,RawBits!$H:$H,0)),"?")</f>
        <v/>
      </c>
      <c r="C1533">
        <f>IFERROR(INDEX(RawBits!$G:$G,MATCH($A1533,RawBits!$H:$H,0)),"")</f>
        <v/>
      </c>
      <c r="D1533">
        <f>IFERROR(IF(AND(A1533&gt;=129,A1533&lt;=2176),INDEX(Fields!$B$2:$B$206,MATCH(A1533-129,Fields!$D$2:$D$206,1)),""),"")</f>
        <v/>
      </c>
      <c r="E1533">
        <f>IFERROR(IF(AND(A1533&gt;=129,A1533&lt;=2176),INDEX(Fields!$C$2:$C$206,MATCH(A1533-129,Fields!$D$2:$D$206,1)),""),"")</f>
        <v/>
      </c>
    </row>
    <row r="1534">
      <c r="A1534" t="n">
        <v>1533</v>
      </c>
      <c r="B1534">
        <f>IFERROR(INDEX(RawBits!$A:$A,MATCH($A1534,RawBits!$H:$H,0)),"?")</f>
        <v/>
      </c>
      <c r="C1534">
        <f>IFERROR(INDEX(RawBits!$G:$G,MATCH($A1534,RawBits!$H:$H,0)),"")</f>
        <v/>
      </c>
      <c r="D1534">
        <f>IFERROR(IF(AND(A1534&gt;=129,A1534&lt;=2176),INDEX(Fields!$B$2:$B$206,MATCH(A1534-129,Fields!$D$2:$D$206,1)),""),"")</f>
        <v/>
      </c>
      <c r="E1534">
        <f>IFERROR(IF(AND(A1534&gt;=129,A1534&lt;=2176),INDEX(Fields!$C$2:$C$206,MATCH(A1534-129,Fields!$D$2:$D$206,1)),""),"")</f>
        <v/>
      </c>
    </row>
    <row r="1535">
      <c r="A1535" t="n">
        <v>1534</v>
      </c>
      <c r="B1535">
        <f>IFERROR(INDEX(RawBits!$A:$A,MATCH($A1535,RawBits!$H:$H,0)),"?")</f>
        <v/>
      </c>
      <c r="C1535">
        <f>IFERROR(INDEX(RawBits!$G:$G,MATCH($A1535,RawBits!$H:$H,0)),"")</f>
        <v/>
      </c>
      <c r="D1535">
        <f>IFERROR(IF(AND(A1535&gt;=129,A1535&lt;=2176),INDEX(Fields!$B$2:$B$206,MATCH(A1535-129,Fields!$D$2:$D$206,1)),""),"")</f>
        <v/>
      </c>
      <c r="E1535">
        <f>IFERROR(IF(AND(A1535&gt;=129,A1535&lt;=2176),INDEX(Fields!$C$2:$C$206,MATCH(A1535-129,Fields!$D$2:$D$206,1)),""),"")</f>
        <v/>
      </c>
    </row>
    <row r="1536">
      <c r="A1536" t="n">
        <v>1535</v>
      </c>
      <c r="B1536">
        <f>IFERROR(INDEX(RawBits!$A:$A,MATCH($A1536,RawBits!$H:$H,0)),"?")</f>
        <v/>
      </c>
      <c r="C1536">
        <f>IFERROR(INDEX(RawBits!$G:$G,MATCH($A1536,RawBits!$H:$H,0)),"")</f>
        <v/>
      </c>
      <c r="D1536">
        <f>IFERROR(IF(AND(A1536&gt;=129,A1536&lt;=2176),INDEX(Fields!$B$2:$B$206,MATCH(A1536-129,Fields!$D$2:$D$206,1)),""),"")</f>
        <v/>
      </c>
      <c r="E1536">
        <f>IFERROR(IF(AND(A1536&gt;=129,A1536&lt;=2176),INDEX(Fields!$C$2:$C$206,MATCH(A1536-129,Fields!$D$2:$D$206,1)),""),"")</f>
        <v/>
      </c>
    </row>
    <row r="1537">
      <c r="A1537" t="n">
        <v>1536</v>
      </c>
      <c r="B1537">
        <f>IFERROR(INDEX(RawBits!$A:$A,MATCH($A1537,RawBits!$H:$H,0)),"?")</f>
        <v/>
      </c>
      <c r="C1537">
        <f>IFERROR(INDEX(RawBits!$G:$G,MATCH($A1537,RawBits!$H:$H,0)),"")</f>
        <v/>
      </c>
      <c r="D1537">
        <f>IFERROR(IF(AND(A1537&gt;=129,A1537&lt;=2176),INDEX(Fields!$B$2:$B$206,MATCH(A1537-129,Fields!$D$2:$D$206,1)),""),"")</f>
        <v/>
      </c>
      <c r="E1537">
        <f>IFERROR(IF(AND(A1537&gt;=129,A1537&lt;=2176),INDEX(Fields!$C$2:$C$206,MATCH(A1537-129,Fields!$D$2:$D$206,1)),""),"")</f>
        <v/>
      </c>
    </row>
    <row r="1538">
      <c r="A1538" t="n">
        <v>1537</v>
      </c>
      <c r="B1538">
        <f>IFERROR(INDEX(RawBits!$A:$A,MATCH($A1538,RawBits!$H:$H,0)),"?")</f>
        <v/>
      </c>
      <c r="C1538">
        <f>IFERROR(INDEX(RawBits!$G:$G,MATCH($A1538,RawBits!$H:$H,0)),"")</f>
        <v/>
      </c>
      <c r="D1538">
        <f>IFERROR(IF(AND(A1538&gt;=129,A1538&lt;=2176),INDEX(Fields!$B$2:$B$206,MATCH(A1538-129,Fields!$D$2:$D$206,1)),""),"")</f>
        <v/>
      </c>
      <c r="E1538">
        <f>IFERROR(IF(AND(A1538&gt;=129,A1538&lt;=2176),INDEX(Fields!$C$2:$C$206,MATCH(A1538-129,Fields!$D$2:$D$206,1)),""),"")</f>
        <v/>
      </c>
    </row>
    <row r="1539">
      <c r="A1539" t="n">
        <v>1538</v>
      </c>
      <c r="B1539">
        <f>IFERROR(INDEX(RawBits!$A:$A,MATCH($A1539,RawBits!$H:$H,0)),"?")</f>
        <v/>
      </c>
      <c r="C1539">
        <f>IFERROR(INDEX(RawBits!$G:$G,MATCH($A1539,RawBits!$H:$H,0)),"")</f>
        <v/>
      </c>
      <c r="D1539">
        <f>IFERROR(IF(AND(A1539&gt;=129,A1539&lt;=2176),INDEX(Fields!$B$2:$B$206,MATCH(A1539-129,Fields!$D$2:$D$206,1)),""),"")</f>
        <v/>
      </c>
      <c r="E1539">
        <f>IFERROR(IF(AND(A1539&gt;=129,A1539&lt;=2176),INDEX(Fields!$C$2:$C$206,MATCH(A1539-129,Fields!$D$2:$D$206,1)),""),"")</f>
        <v/>
      </c>
    </row>
    <row r="1540">
      <c r="A1540" t="n">
        <v>1539</v>
      </c>
      <c r="B1540">
        <f>IFERROR(INDEX(RawBits!$A:$A,MATCH($A1540,RawBits!$H:$H,0)),"?")</f>
        <v/>
      </c>
      <c r="C1540">
        <f>IFERROR(INDEX(RawBits!$G:$G,MATCH($A1540,RawBits!$H:$H,0)),"")</f>
        <v/>
      </c>
      <c r="D1540">
        <f>IFERROR(IF(AND(A1540&gt;=129,A1540&lt;=2176),INDEX(Fields!$B$2:$B$206,MATCH(A1540-129,Fields!$D$2:$D$206,1)),""),"")</f>
        <v/>
      </c>
      <c r="E1540">
        <f>IFERROR(IF(AND(A1540&gt;=129,A1540&lt;=2176),INDEX(Fields!$C$2:$C$206,MATCH(A1540-129,Fields!$D$2:$D$206,1)),""),"")</f>
        <v/>
      </c>
    </row>
    <row r="1541">
      <c r="A1541" t="n">
        <v>1540</v>
      </c>
      <c r="B1541">
        <f>IFERROR(INDEX(RawBits!$A:$A,MATCH($A1541,RawBits!$H:$H,0)),"?")</f>
        <v/>
      </c>
      <c r="C1541">
        <f>IFERROR(INDEX(RawBits!$G:$G,MATCH($A1541,RawBits!$H:$H,0)),"")</f>
        <v/>
      </c>
      <c r="D1541">
        <f>IFERROR(IF(AND(A1541&gt;=129,A1541&lt;=2176),INDEX(Fields!$B$2:$B$206,MATCH(A1541-129,Fields!$D$2:$D$206,1)),""),"")</f>
        <v/>
      </c>
      <c r="E1541">
        <f>IFERROR(IF(AND(A1541&gt;=129,A1541&lt;=2176),INDEX(Fields!$C$2:$C$206,MATCH(A1541-129,Fields!$D$2:$D$206,1)),""),"")</f>
        <v/>
      </c>
    </row>
    <row r="1542">
      <c r="A1542" t="n">
        <v>1541</v>
      </c>
      <c r="B1542">
        <f>IFERROR(INDEX(RawBits!$A:$A,MATCH($A1542,RawBits!$H:$H,0)),"?")</f>
        <v/>
      </c>
      <c r="C1542">
        <f>IFERROR(INDEX(RawBits!$G:$G,MATCH($A1542,RawBits!$H:$H,0)),"")</f>
        <v/>
      </c>
      <c r="D1542">
        <f>IFERROR(IF(AND(A1542&gt;=129,A1542&lt;=2176),INDEX(Fields!$B$2:$B$206,MATCH(A1542-129,Fields!$D$2:$D$206,1)),""),"")</f>
        <v/>
      </c>
      <c r="E1542">
        <f>IFERROR(IF(AND(A1542&gt;=129,A1542&lt;=2176),INDEX(Fields!$C$2:$C$206,MATCH(A1542-129,Fields!$D$2:$D$206,1)),""),"")</f>
        <v/>
      </c>
    </row>
    <row r="1543">
      <c r="A1543" t="n">
        <v>1542</v>
      </c>
      <c r="B1543">
        <f>IFERROR(INDEX(RawBits!$A:$A,MATCH($A1543,RawBits!$H:$H,0)),"?")</f>
        <v/>
      </c>
      <c r="C1543">
        <f>IFERROR(INDEX(RawBits!$G:$G,MATCH($A1543,RawBits!$H:$H,0)),"")</f>
        <v/>
      </c>
      <c r="D1543">
        <f>IFERROR(IF(AND(A1543&gt;=129,A1543&lt;=2176),INDEX(Fields!$B$2:$B$206,MATCH(A1543-129,Fields!$D$2:$D$206,1)),""),"")</f>
        <v/>
      </c>
      <c r="E1543">
        <f>IFERROR(IF(AND(A1543&gt;=129,A1543&lt;=2176),INDEX(Fields!$C$2:$C$206,MATCH(A1543-129,Fields!$D$2:$D$206,1)),""),"")</f>
        <v/>
      </c>
    </row>
    <row r="1544">
      <c r="A1544" t="n">
        <v>1543</v>
      </c>
      <c r="B1544">
        <f>IFERROR(INDEX(RawBits!$A:$A,MATCH($A1544,RawBits!$H:$H,0)),"?")</f>
        <v/>
      </c>
      <c r="C1544">
        <f>IFERROR(INDEX(RawBits!$G:$G,MATCH($A1544,RawBits!$H:$H,0)),"")</f>
        <v/>
      </c>
      <c r="D1544">
        <f>IFERROR(IF(AND(A1544&gt;=129,A1544&lt;=2176),INDEX(Fields!$B$2:$B$206,MATCH(A1544-129,Fields!$D$2:$D$206,1)),""),"")</f>
        <v/>
      </c>
      <c r="E1544">
        <f>IFERROR(IF(AND(A1544&gt;=129,A1544&lt;=2176),INDEX(Fields!$C$2:$C$206,MATCH(A1544-129,Fields!$D$2:$D$206,1)),""),"")</f>
        <v/>
      </c>
    </row>
    <row r="1545">
      <c r="A1545" t="n">
        <v>1544</v>
      </c>
      <c r="B1545">
        <f>IFERROR(INDEX(RawBits!$A:$A,MATCH($A1545,RawBits!$H:$H,0)),"?")</f>
        <v/>
      </c>
      <c r="C1545">
        <f>IFERROR(INDEX(RawBits!$G:$G,MATCH($A1545,RawBits!$H:$H,0)),"")</f>
        <v/>
      </c>
      <c r="D1545">
        <f>IFERROR(IF(AND(A1545&gt;=129,A1545&lt;=2176),INDEX(Fields!$B$2:$B$206,MATCH(A1545-129,Fields!$D$2:$D$206,1)),""),"")</f>
        <v/>
      </c>
      <c r="E1545">
        <f>IFERROR(IF(AND(A1545&gt;=129,A1545&lt;=2176),INDEX(Fields!$C$2:$C$206,MATCH(A1545-129,Fields!$D$2:$D$206,1)),""),"")</f>
        <v/>
      </c>
    </row>
    <row r="1546">
      <c r="A1546" t="n">
        <v>1545</v>
      </c>
      <c r="B1546">
        <f>IFERROR(INDEX(RawBits!$A:$A,MATCH($A1546,RawBits!$H:$H,0)),"?")</f>
        <v/>
      </c>
      <c r="C1546">
        <f>IFERROR(INDEX(RawBits!$G:$G,MATCH($A1546,RawBits!$H:$H,0)),"")</f>
        <v/>
      </c>
      <c r="D1546">
        <f>IFERROR(IF(AND(A1546&gt;=129,A1546&lt;=2176),INDEX(Fields!$B$2:$B$206,MATCH(A1546-129,Fields!$D$2:$D$206,1)),""),"")</f>
        <v/>
      </c>
      <c r="E1546">
        <f>IFERROR(IF(AND(A1546&gt;=129,A1546&lt;=2176),INDEX(Fields!$C$2:$C$206,MATCH(A1546-129,Fields!$D$2:$D$206,1)),""),"")</f>
        <v/>
      </c>
    </row>
    <row r="1547">
      <c r="A1547" t="n">
        <v>1546</v>
      </c>
      <c r="B1547">
        <f>IFERROR(INDEX(RawBits!$A:$A,MATCH($A1547,RawBits!$H:$H,0)),"?")</f>
        <v/>
      </c>
      <c r="C1547">
        <f>IFERROR(INDEX(RawBits!$G:$G,MATCH($A1547,RawBits!$H:$H,0)),"")</f>
        <v/>
      </c>
      <c r="D1547">
        <f>IFERROR(IF(AND(A1547&gt;=129,A1547&lt;=2176),INDEX(Fields!$B$2:$B$206,MATCH(A1547-129,Fields!$D$2:$D$206,1)),""),"")</f>
        <v/>
      </c>
      <c r="E1547">
        <f>IFERROR(IF(AND(A1547&gt;=129,A1547&lt;=2176),INDEX(Fields!$C$2:$C$206,MATCH(A1547-129,Fields!$D$2:$D$206,1)),""),"")</f>
        <v/>
      </c>
    </row>
    <row r="1548">
      <c r="A1548" t="n">
        <v>1547</v>
      </c>
      <c r="B1548">
        <f>IFERROR(INDEX(RawBits!$A:$A,MATCH($A1548,RawBits!$H:$H,0)),"?")</f>
        <v/>
      </c>
      <c r="C1548">
        <f>IFERROR(INDEX(RawBits!$G:$G,MATCH($A1548,RawBits!$H:$H,0)),"")</f>
        <v/>
      </c>
      <c r="D1548">
        <f>IFERROR(IF(AND(A1548&gt;=129,A1548&lt;=2176),INDEX(Fields!$B$2:$B$206,MATCH(A1548-129,Fields!$D$2:$D$206,1)),""),"")</f>
        <v/>
      </c>
      <c r="E1548">
        <f>IFERROR(IF(AND(A1548&gt;=129,A1548&lt;=2176),INDEX(Fields!$C$2:$C$206,MATCH(A1548-129,Fields!$D$2:$D$206,1)),""),"")</f>
        <v/>
      </c>
    </row>
    <row r="1549">
      <c r="A1549" t="n">
        <v>1548</v>
      </c>
      <c r="B1549">
        <f>IFERROR(INDEX(RawBits!$A:$A,MATCH($A1549,RawBits!$H:$H,0)),"?")</f>
        <v/>
      </c>
      <c r="C1549">
        <f>IFERROR(INDEX(RawBits!$G:$G,MATCH($A1549,RawBits!$H:$H,0)),"")</f>
        <v/>
      </c>
      <c r="D1549">
        <f>IFERROR(IF(AND(A1549&gt;=129,A1549&lt;=2176),INDEX(Fields!$B$2:$B$206,MATCH(A1549-129,Fields!$D$2:$D$206,1)),""),"")</f>
        <v/>
      </c>
      <c r="E1549">
        <f>IFERROR(IF(AND(A1549&gt;=129,A1549&lt;=2176),INDEX(Fields!$C$2:$C$206,MATCH(A1549-129,Fields!$D$2:$D$206,1)),""),"")</f>
        <v/>
      </c>
    </row>
    <row r="1550">
      <c r="A1550" t="n">
        <v>1549</v>
      </c>
      <c r="B1550">
        <f>IFERROR(INDEX(RawBits!$A:$A,MATCH($A1550,RawBits!$H:$H,0)),"?")</f>
        <v/>
      </c>
      <c r="C1550">
        <f>IFERROR(INDEX(RawBits!$G:$G,MATCH($A1550,RawBits!$H:$H,0)),"")</f>
        <v/>
      </c>
      <c r="D1550">
        <f>IFERROR(IF(AND(A1550&gt;=129,A1550&lt;=2176),INDEX(Fields!$B$2:$B$206,MATCH(A1550-129,Fields!$D$2:$D$206,1)),""),"")</f>
        <v/>
      </c>
      <c r="E1550">
        <f>IFERROR(IF(AND(A1550&gt;=129,A1550&lt;=2176),INDEX(Fields!$C$2:$C$206,MATCH(A1550-129,Fields!$D$2:$D$206,1)),""),"")</f>
        <v/>
      </c>
    </row>
    <row r="1551">
      <c r="A1551" t="n">
        <v>1550</v>
      </c>
      <c r="B1551">
        <f>IFERROR(INDEX(RawBits!$A:$A,MATCH($A1551,RawBits!$H:$H,0)),"?")</f>
        <v/>
      </c>
      <c r="C1551">
        <f>IFERROR(INDEX(RawBits!$G:$G,MATCH($A1551,RawBits!$H:$H,0)),"")</f>
        <v/>
      </c>
      <c r="D1551">
        <f>IFERROR(IF(AND(A1551&gt;=129,A1551&lt;=2176),INDEX(Fields!$B$2:$B$206,MATCH(A1551-129,Fields!$D$2:$D$206,1)),""),"")</f>
        <v/>
      </c>
      <c r="E1551">
        <f>IFERROR(IF(AND(A1551&gt;=129,A1551&lt;=2176),INDEX(Fields!$C$2:$C$206,MATCH(A1551-129,Fields!$D$2:$D$206,1)),""),"")</f>
        <v/>
      </c>
    </row>
    <row r="1552">
      <c r="A1552" t="n">
        <v>1551</v>
      </c>
      <c r="B1552">
        <f>IFERROR(INDEX(RawBits!$A:$A,MATCH($A1552,RawBits!$H:$H,0)),"?")</f>
        <v/>
      </c>
      <c r="C1552">
        <f>IFERROR(INDEX(RawBits!$G:$G,MATCH($A1552,RawBits!$H:$H,0)),"")</f>
        <v/>
      </c>
      <c r="D1552">
        <f>IFERROR(IF(AND(A1552&gt;=129,A1552&lt;=2176),INDEX(Fields!$B$2:$B$206,MATCH(A1552-129,Fields!$D$2:$D$206,1)),""),"")</f>
        <v/>
      </c>
      <c r="E1552">
        <f>IFERROR(IF(AND(A1552&gt;=129,A1552&lt;=2176),INDEX(Fields!$C$2:$C$206,MATCH(A1552-129,Fields!$D$2:$D$206,1)),""),"")</f>
        <v/>
      </c>
    </row>
    <row r="1553">
      <c r="A1553" t="n">
        <v>1552</v>
      </c>
      <c r="B1553">
        <f>IFERROR(INDEX(RawBits!$A:$A,MATCH($A1553,RawBits!$H:$H,0)),"?")</f>
        <v/>
      </c>
      <c r="C1553">
        <f>IFERROR(INDEX(RawBits!$G:$G,MATCH($A1553,RawBits!$H:$H,0)),"")</f>
        <v/>
      </c>
      <c r="D1553">
        <f>IFERROR(IF(AND(A1553&gt;=129,A1553&lt;=2176),INDEX(Fields!$B$2:$B$206,MATCH(A1553-129,Fields!$D$2:$D$206,1)),""),"")</f>
        <v/>
      </c>
      <c r="E1553">
        <f>IFERROR(IF(AND(A1553&gt;=129,A1553&lt;=2176),INDEX(Fields!$C$2:$C$206,MATCH(A1553-129,Fields!$D$2:$D$206,1)),""),"")</f>
        <v/>
      </c>
    </row>
    <row r="1554">
      <c r="A1554" t="n">
        <v>1553</v>
      </c>
      <c r="B1554">
        <f>IFERROR(INDEX(RawBits!$A:$A,MATCH($A1554,RawBits!$H:$H,0)),"?")</f>
        <v/>
      </c>
      <c r="C1554">
        <f>IFERROR(INDEX(RawBits!$G:$G,MATCH($A1554,RawBits!$H:$H,0)),"")</f>
        <v/>
      </c>
      <c r="D1554">
        <f>IFERROR(IF(AND(A1554&gt;=129,A1554&lt;=2176),INDEX(Fields!$B$2:$B$206,MATCH(A1554-129,Fields!$D$2:$D$206,1)),""),"")</f>
        <v/>
      </c>
      <c r="E1554">
        <f>IFERROR(IF(AND(A1554&gt;=129,A1554&lt;=2176),INDEX(Fields!$C$2:$C$206,MATCH(A1554-129,Fields!$D$2:$D$206,1)),""),"")</f>
        <v/>
      </c>
    </row>
    <row r="1555">
      <c r="A1555" t="n">
        <v>1554</v>
      </c>
      <c r="B1555">
        <f>IFERROR(INDEX(RawBits!$A:$A,MATCH($A1555,RawBits!$H:$H,0)),"?")</f>
        <v/>
      </c>
      <c r="C1555">
        <f>IFERROR(INDEX(RawBits!$G:$G,MATCH($A1555,RawBits!$H:$H,0)),"")</f>
        <v/>
      </c>
      <c r="D1555">
        <f>IFERROR(IF(AND(A1555&gt;=129,A1555&lt;=2176),INDEX(Fields!$B$2:$B$206,MATCH(A1555-129,Fields!$D$2:$D$206,1)),""),"")</f>
        <v/>
      </c>
      <c r="E1555">
        <f>IFERROR(IF(AND(A1555&gt;=129,A1555&lt;=2176),INDEX(Fields!$C$2:$C$206,MATCH(A1555-129,Fields!$D$2:$D$206,1)),""),"")</f>
        <v/>
      </c>
    </row>
    <row r="1556">
      <c r="A1556" t="n">
        <v>1555</v>
      </c>
      <c r="B1556">
        <f>IFERROR(INDEX(RawBits!$A:$A,MATCH($A1556,RawBits!$H:$H,0)),"?")</f>
        <v/>
      </c>
      <c r="C1556">
        <f>IFERROR(INDEX(RawBits!$G:$G,MATCH($A1556,RawBits!$H:$H,0)),"")</f>
        <v/>
      </c>
      <c r="D1556">
        <f>IFERROR(IF(AND(A1556&gt;=129,A1556&lt;=2176),INDEX(Fields!$B$2:$B$206,MATCH(A1556-129,Fields!$D$2:$D$206,1)),""),"")</f>
        <v/>
      </c>
      <c r="E1556">
        <f>IFERROR(IF(AND(A1556&gt;=129,A1556&lt;=2176),INDEX(Fields!$C$2:$C$206,MATCH(A1556-129,Fields!$D$2:$D$206,1)),""),"")</f>
        <v/>
      </c>
    </row>
    <row r="1557">
      <c r="A1557" t="n">
        <v>1556</v>
      </c>
      <c r="B1557">
        <f>IFERROR(INDEX(RawBits!$A:$A,MATCH($A1557,RawBits!$H:$H,0)),"?")</f>
        <v/>
      </c>
      <c r="C1557">
        <f>IFERROR(INDEX(RawBits!$G:$G,MATCH($A1557,RawBits!$H:$H,0)),"")</f>
        <v/>
      </c>
      <c r="D1557">
        <f>IFERROR(IF(AND(A1557&gt;=129,A1557&lt;=2176),INDEX(Fields!$B$2:$B$206,MATCH(A1557-129,Fields!$D$2:$D$206,1)),""),"")</f>
        <v/>
      </c>
      <c r="E1557">
        <f>IFERROR(IF(AND(A1557&gt;=129,A1557&lt;=2176),INDEX(Fields!$C$2:$C$206,MATCH(A1557-129,Fields!$D$2:$D$206,1)),""),"")</f>
        <v/>
      </c>
    </row>
    <row r="1558">
      <c r="A1558" t="n">
        <v>1557</v>
      </c>
      <c r="B1558">
        <f>IFERROR(INDEX(RawBits!$A:$A,MATCH($A1558,RawBits!$H:$H,0)),"?")</f>
        <v/>
      </c>
      <c r="C1558">
        <f>IFERROR(INDEX(RawBits!$G:$G,MATCH($A1558,RawBits!$H:$H,0)),"")</f>
        <v/>
      </c>
      <c r="D1558">
        <f>IFERROR(IF(AND(A1558&gt;=129,A1558&lt;=2176),INDEX(Fields!$B$2:$B$206,MATCH(A1558-129,Fields!$D$2:$D$206,1)),""),"")</f>
        <v/>
      </c>
      <c r="E1558">
        <f>IFERROR(IF(AND(A1558&gt;=129,A1558&lt;=2176),INDEX(Fields!$C$2:$C$206,MATCH(A1558-129,Fields!$D$2:$D$206,1)),""),"")</f>
        <v/>
      </c>
    </row>
    <row r="1559">
      <c r="A1559" t="n">
        <v>1558</v>
      </c>
      <c r="B1559">
        <f>IFERROR(INDEX(RawBits!$A:$A,MATCH($A1559,RawBits!$H:$H,0)),"?")</f>
        <v/>
      </c>
      <c r="C1559">
        <f>IFERROR(INDEX(RawBits!$G:$G,MATCH($A1559,RawBits!$H:$H,0)),"")</f>
        <v/>
      </c>
      <c r="D1559">
        <f>IFERROR(IF(AND(A1559&gt;=129,A1559&lt;=2176),INDEX(Fields!$B$2:$B$206,MATCH(A1559-129,Fields!$D$2:$D$206,1)),""),"")</f>
        <v/>
      </c>
      <c r="E1559">
        <f>IFERROR(IF(AND(A1559&gt;=129,A1559&lt;=2176),INDEX(Fields!$C$2:$C$206,MATCH(A1559-129,Fields!$D$2:$D$206,1)),""),"")</f>
        <v/>
      </c>
    </row>
    <row r="1560">
      <c r="A1560" t="n">
        <v>1559</v>
      </c>
      <c r="B1560">
        <f>IFERROR(INDEX(RawBits!$A:$A,MATCH($A1560,RawBits!$H:$H,0)),"?")</f>
        <v/>
      </c>
      <c r="C1560">
        <f>IFERROR(INDEX(RawBits!$G:$G,MATCH($A1560,RawBits!$H:$H,0)),"")</f>
        <v/>
      </c>
      <c r="D1560">
        <f>IFERROR(IF(AND(A1560&gt;=129,A1560&lt;=2176),INDEX(Fields!$B$2:$B$206,MATCH(A1560-129,Fields!$D$2:$D$206,1)),""),"")</f>
        <v/>
      </c>
      <c r="E1560">
        <f>IFERROR(IF(AND(A1560&gt;=129,A1560&lt;=2176),INDEX(Fields!$C$2:$C$206,MATCH(A1560-129,Fields!$D$2:$D$206,1)),""),"")</f>
        <v/>
      </c>
    </row>
    <row r="1561">
      <c r="A1561" t="n">
        <v>1560</v>
      </c>
      <c r="B1561">
        <f>IFERROR(INDEX(RawBits!$A:$A,MATCH($A1561,RawBits!$H:$H,0)),"?")</f>
        <v/>
      </c>
      <c r="C1561">
        <f>IFERROR(INDEX(RawBits!$G:$G,MATCH($A1561,RawBits!$H:$H,0)),"")</f>
        <v/>
      </c>
      <c r="D1561">
        <f>IFERROR(IF(AND(A1561&gt;=129,A1561&lt;=2176),INDEX(Fields!$B$2:$B$206,MATCH(A1561-129,Fields!$D$2:$D$206,1)),""),"")</f>
        <v/>
      </c>
      <c r="E1561">
        <f>IFERROR(IF(AND(A1561&gt;=129,A1561&lt;=2176),INDEX(Fields!$C$2:$C$206,MATCH(A1561-129,Fields!$D$2:$D$206,1)),""),"")</f>
        <v/>
      </c>
    </row>
    <row r="1562">
      <c r="A1562" t="n">
        <v>1561</v>
      </c>
      <c r="B1562">
        <f>IFERROR(INDEX(RawBits!$A:$A,MATCH($A1562,RawBits!$H:$H,0)),"?")</f>
        <v/>
      </c>
      <c r="C1562">
        <f>IFERROR(INDEX(RawBits!$G:$G,MATCH($A1562,RawBits!$H:$H,0)),"")</f>
        <v/>
      </c>
      <c r="D1562">
        <f>IFERROR(IF(AND(A1562&gt;=129,A1562&lt;=2176),INDEX(Fields!$B$2:$B$206,MATCH(A1562-129,Fields!$D$2:$D$206,1)),""),"")</f>
        <v/>
      </c>
      <c r="E1562">
        <f>IFERROR(IF(AND(A1562&gt;=129,A1562&lt;=2176),INDEX(Fields!$C$2:$C$206,MATCH(A1562-129,Fields!$D$2:$D$206,1)),""),"")</f>
        <v/>
      </c>
    </row>
    <row r="1563">
      <c r="A1563" t="n">
        <v>1562</v>
      </c>
      <c r="B1563">
        <f>IFERROR(INDEX(RawBits!$A:$A,MATCH($A1563,RawBits!$H:$H,0)),"?")</f>
        <v/>
      </c>
      <c r="C1563">
        <f>IFERROR(INDEX(RawBits!$G:$G,MATCH($A1563,RawBits!$H:$H,0)),"")</f>
        <v/>
      </c>
      <c r="D1563">
        <f>IFERROR(IF(AND(A1563&gt;=129,A1563&lt;=2176),INDEX(Fields!$B$2:$B$206,MATCH(A1563-129,Fields!$D$2:$D$206,1)),""),"")</f>
        <v/>
      </c>
      <c r="E1563">
        <f>IFERROR(IF(AND(A1563&gt;=129,A1563&lt;=2176),INDEX(Fields!$C$2:$C$206,MATCH(A1563-129,Fields!$D$2:$D$206,1)),""),"")</f>
        <v/>
      </c>
    </row>
    <row r="1564">
      <c r="A1564" t="n">
        <v>1563</v>
      </c>
      <c r="B1564">
        <f>IFERROR(INDEX(RawBits!$A:$A,MATCH($A1564,RawBits!$H:$H,0)),"?")</f>
        <v/>
      </c>
      <c r="C1564">
        <f>IFERROR(INDEX(RawBits!$G:$G,MATCH($A1564,RawBits!$H:$H,0)),"")</f>
        <v/>
      </c>
      <c r="D1564">
        <f>IFERROR(IF(AND(A1564&gt;=129,A1564&lt;=2176),INDEX(Fields!$B$2:$B$206,MATCH(A1564-129,Fields!$D$2:$D$206,1)),""),"")</f>
        <v/>
      </c>
      <c r="E1564">
        <f>IFERROR(IF(AND(A1564&gt;=129,A1564&lt;=2176),INDEX(Fields!$C$2:$C$206,MATCH(A1564-129,Fields!$D$2:$D$206,1)),""),"")</f>
        <v/>
      </c>
    </row>
    <row r="1565">
      <c r="A1565" t="n">
        <v>1564</v>
      </c>
      <c r="B1565">
        <f>IFERROR(INDEX(RawBits!$A:$A,MATCH($A1565,RawBits!$H:$H,0)),"?")</f>
        <v/>
      </c>
      <c r="C1565">
        <f>IFERROR(INDEX(RawBits!$G:$G,MATCH($A1565,RawBits!$H:$H,0)),"")</f>
        <v/>
      </c>
      <c r="D1565">
        <f>IFERROR(IF(AND(A1565&gt;=129,A1565&lt;=2176),INDEX(Fields!$B$2:$B$206,MATCH(A1565-129,Fields!$D$2:$D$206,1)),""),"")</f>
        <v/>
      </c>
      <c r="E1565">
        <f>IFERROR(IF(AND(A1565&gt;=129,A1565&lt;=2176),INDEX(Fields!$C$2:$C$206,MATCH(A1565-129,Fields!$D$2:$D$206,1)),""),"")</f>
        <v/>
      </c>
    </row>
    <row r="1566">
      <c r="A1566" t="n">
        <v>1565</v>
      </c>
      <c r="B1566">
        <f>IFERROR(INDEX(RawBits!$A:$A,MATCH($A1566,RawBits!$H:$H,0)),"?")</f>
        <v/>
      </c>
      <c r="C1566">
        <f>IFERROR(INDEX(RawBits!$G:$G,MATCH($A1566,RawBits!$H:$H,0)),"")</f>
        <v/>
      </c>
      <c r="D1566">
        <f>IFERROR(IF(AND(A1566&gt;=129,A1566&lt;=2176),INDEX(Fields!$B$2:$B$206,MATCH(A1566-129,Fields!$D$2:$D$206,1)),""),"")</f>
        <v/>
      </c>
      <c r="E1566">
        <f>IFERROR(IF(AND(A1566&gt;=129,A1566&lt;=2176),INDEX(Fields!$C$2:$C$206,MATCH(A1566-129,Fields!$D$2:$D$206,1)),""),"")</f>
        <v/>
      </c>
    </row>
    <row r="1567">
      <c r="A1567" t="n">
        <v>1566</v>
      </c>
      <c r="B1567">
        <f>IFERROR(INDEX(RawBits!$A:$A,MATCH($A1567,RawBits!$H:$H,0)),"?")</f>
        <v/>
      </c>
      <c r="C1567">
        <f>IFERROR(INDEX(RawBits!$G:$G,MATCH($A1567,RawBits!$H:$H,0)),"")</f>
        <v/>
      </c>
      <c r="D1567">
        <f>IFERROR(IF(AND(A1567&gt;=129,A1567&lt;=2176),INDEX(Fields!$B$2:$B$206,MATCH(A1567-129,Fields!$D$2:$D$206,1)),""),"")</f>
        <v/>
      </c>
      <c r="E1567">
        <f>IFERROR(IF(AND(A1567&gt;=129,A1567&lt;=2176),INDEX(Fields!$C$2:$C$206,MATCH(A1567-129,Fields!$D$2:$D$206,1)),""),"")</f>
        <v/>
      </c>
    </row>
    <row r="1568">
      <c r="A1568" t="n">
        <v>1567</v>
      </c>
      <c r="B1568">
        <f>IFERROR(INDEX(RawBits!$A:$A,MATCH($A1568,RawBits!$H:$H,0)),"?")</f>
        <v/>
      </c>
      <c r="C1568">
        <f>IFERROR(INDEX(RawBits!$G:$G,MATCH($A1568,RawBits!$H:$H,0)),"")</f>
        <v/>
      </c>
      <c r="D1568">
        <f>IFERROR(IF(AND(A1568&gt;=129,A1568&lt;=2176),INDEX(Fields!$B$2:$B$206,MATCH(A1568-129,Fields!$D$2:$D$206,1)),""),"")</f>
        <v/>
      </c>
      <c r="E1568">
        <f>IFERROR(IF(AND(A1568&gt;=129,A1568&lt;=2176),INDEX(Fields!$C$2:$C$206,MATCH(A1568-129,Fields!$D$2:$D$206,1)),""),"")</f>
        <v/>
      </c>
    </row>
    <row r="1569">
      <c r="A1569" t="n">
        <v>1568</v>
      </c>
      <c r="B1569">
        <f>IFERROR(INDEX(RawBits!$A:$A,MATCH($A1569,RawBits!$H:$H,0)),"?")</f>
        <v/>
      </c>
      <c r="C1569">
        <f>IFERROR(INDEX(RawBits!$G:$G,MATCH($A1569,RawBits!$H:$H,0)),"")</f>
        <v/>
      </c>
      <c r="D1569">
        <f>IFERROR(IF(AND(A1569&gt;=129,A1569&lt;=2176),INDEX(Fields!$B$2:$B$206,MATCH(A1569-129,Fields!$D$2:$D$206,1)),""),"")</f>
        <v/>
      </c>
      <c r="E1569">
        <f>IFERROR(IF(AND(A1569&gt;=129,A1569&lt;=2176),INDEX(Fields!$C$2:$C$206,MATCH(A1569-129,Fields!$D$2:$D$206,1)),""),"")</f>
        <v/>
      </c>
    </row>
    <row r="1570">
      <c r="A1570" t="n">
        <v>1569</v>
      </c>
      <c r="B1570">
        <f>IFERROR(INDEX(RawBits!$A:$A,MATCH($A1570,RawBits!$H:$H,0)),"?")</f>
        <v/>
      </c>
      <c r="C1570">
        <f>IFERROR(INDEX(RawBits!$G:$G,MATCH($A1570,RawBits!$H:$H,0)),"")</f>
        <v/>
      </c>
      <c r="D1570">
        <f>IFERROR(IF(AND(A1570&gt;=129,A1570&lt;=2176),INDEX(Fields!$B$2:$B$206,MATCH(A1570-129,Fields!$D$2:$D$206,1)),""),"")</f>
        <v/>
      </c>
      <c r="E1570">
        <f>IFERROR(IF(AND(A1570&gt;=129,A1570&lt;=2176),INDEX(Fields!$C$2:$C$206,MATCH(A1570-129,Fields!$D$2:$D$206,1)),""),"")</f>
        <v/>
      </c>
    </row>
    <row r="1571">
      <c r="A1571" t="n">
        <v>1570</v>
      </c>
      <c r="B1571">
        <f>IFERROR(INDEX(RawBits!$A:$A,MATCH($A1571,RawBits!$H:$H,0)),"?")</f>
        <v/>
      </c>
      <c r="C1571">
        <f>IFERROR(INDEX(RawBits!$G:$G,MATCH($A1571,RawBits!$H:$H,0)),"")</f>
        <v/>
      </c>
      <c r="D1571">
        <f>IFERROR(IF(AND(A1571&gt;=129,A1571&lt;=2176),INDEX(Fields!$B$2:$B$206,MATCH(A1571-129,Fields!$D$2:$D$206,1)),""),"")</f>
        <v/>
      </c>
      <c r="E1571">
        <f>IFERROR(IF(AND(A1571&gt;=129,A1571&lt;=2176),INDEX(Fields!$C$2:$C$206,MATCH(A1571-129,Fields!$D$2:$D$206,1)),""),"")</f>
        <v/>
      </c>
    </row>
    <row r="1572">
      <c r="A1572" t="n">
        <v>1571</v>
      </c>
      <c r="B1572">
        <f>IFERROR(INDEX(RawBits!$A:$A,MATCH($A1572,RawBits!$H:$H,0)),"?")</f>
        <v/>
      </c>
      <c r="C1572">
        <f>IFERROR(INDEX(RawBits!$G:$G,MATCH($A1572,RawBits!$H:$H,0)),"")</f>
        <v/>
      </c>
      <c r="D1572">
        <f>IFERROR(IF(AND(A1572&gt;=129,A1572&lt;=2176),INDEX(Fields!$B$2:$B$206,MATCH(A1572-129,Fields!$D$2:$D$206,1)),""),"")</f>
        <v/>
      </c>
      <c r="E1572">
        <f>IFERROR(IF(AND(A1572&gt;=129,A1572&lt;=2176),INDEX(Fields!$C$2:$C$206,MATCH(A1572-129,Fields!$D$2:$D$206,1)),""),"")</f>
        <v/>
      </c>
    </row>
    <row r="1573">
      <c r="A1573" t="n">
        <v>1572</v>
      </c>
      <c r="B1573">
        <f>IFERROR(INDEX(RawBits!$A:$A,MATCH($A1573,RawBits!$H:$H,0)),"?")</f>
        <v/>
      </c>
      <c r="C1573">
        <f>IFERROR(INDEX(RawBits!$G:$G,MATCH($A1573,RawBits!$H:$H,0)),"")</f>
        <v/>
      </c>
      <c r="D1573">
        <f>IFERROR(IF(AND(A1573&gt;=129,A1573&lt;=2176),INDEX(Fields!$B$2:$B$206,MATCH(A1573-129,Fields!$D$2:$D$206,1)),""),"")</f>
        <v/>
      </c>
      <c r="E1573">
        <f>IFERROR(IF(AND(A1573&gt;=129,A1573&lt;=2176),INDEX(Fields!$C$2:$C$206,MATCH(A1573-129,Fields!$D$2:$D$206,1)),""),"")</f>
        <v/>
      </c>
    </row>
    <row r="1574">
      <c r="A1574" t="n">
        <v>1573</v>
      </c>
      <c r="B1574">
        <f>IFERROR(INDEX(RawBits!$A:$A,MATCH($A1574,RawBits!$H:$H,0)),"?")</f>
        <v/>
      </c>
      <c r="C1574">
        <f>IFERROR(INDEX(RawBits!$G:$G,MATCH($A1574,RawBits!$H:$H,0)),"")</f>
        <v/>
      </c>
      <c r="D1574">
        <f>IFERROR(IF(AND(A1574&gt;=129,A1574&lt;=2176),INDEX(Fields!$B$2:$B$206,MATCH(A1574-129,Fields!$D$2:$D$206,1)),""),"")</f>
        <v/>
      </c>
      <c r="E1574">
        <f>IFERROR(IF(AND(A1574&gt;=129,A1574&lt;=2176),INDEX(Fields!$C$2:$C$206,MATCH(A1574-129,Fields!$D$2:$D$206,1)),""),"")</f>
        <v/>
      </c>
    </row>
    <row r="1575">
      <c r="A1575" t="n">
        <v>1574</v>
      </c>
      <c r="B1575">
        <f>IFERROR(INDEX(RawBits!$A:$A,MATCH($A1575,RawBits!$H:$H,0)),"?")</f>
        <v/>
      </c>
      <c r="C1575">
        <f>IFERROR(INDEX(RawBits!$G:$G,MATCH($A1575,RawBits!$H:$H,0)),"")</f>
        <v/>
      </c>
      <c r="D1575">
        <f>IFERROR(IF(AND(A1575&gt;=129,A1575&lt;=2176),INDEX(Fields!$B$2:$B$206,MATCH(A1575-129,Fields!$D$2:$D$206,1)),""),"")</f>
        <v/>
      </c>
      <c r="E1575">
        <f>IFERROR(IF(AND(A1575&gt;=129,A1575&lt;=2176),INDEX(Fields!$C$2:$C$206,MATCH(A1575-129,Fields!$D$2:$D$206,1)),""),"")</f>
        <v/>
      </c>
    </row>
    <row r="1576">
      <c r="A1576" t="n">
        <v>1575</v>
      </c>
      <c r="B1576">
        <f>IFERROR(INDEX(RawBits!$A:$A,MATCH($A1576,RawBits!$H:$H,0)),"?")</f>
        <v/>
      </c>
      <c r="C1576">
        <f>IFERROR(INDEX(RawBits!$G:$G,MATCH($A1576,RawBits!$H:$H,0)),"")</f>
        <v/>
      </c>
      <c r="D1576">
        <f>IFERROR(IF(AND(A1576&gt;=129,A1576&lt;=2176),INDEX(Fields!$B$2:$B$206,MATCH(A1576-129,Fields!$D$2:$D$206,1)),""),"")</f>
        <v/>
      </c>
      <c r="E1576">
        <f>IFERROR(IF(AND(A1576&gt;=129,A1576&lt;=2176),INDEX(Fields!$C$2:$C$206,MATCH(A1576-129,Fields!$D$2:$D$206,1)),""),"")</f>
        <v/>
      </c>
    </row>
    <row r="1577">
      <c r="A1577" t="n">
        <v>1576</v>
      </c>
      <c r="B1577">
        <f>IFERROR(INDEX(RawBits!$A:$A,MATCH($A1577,RawBits!$H:$H,0)),"?")</f>
        <v/>
      </c>
      <c r="C1577">
        <f>IFERROR(INDEX(RawBits!$G:$G,MATCH($A1577,RawBits!$H:$H,0)),"")</f>
        <v/>
      </c>
      <c r="D1577">
        <f>IFERROR(IF(AND(A1577&gt;=129,A1577&lt;=2176),INDEX(Fields!$B$2:$B$206,MATCH(A1577-129,Fields!$D$2:$D$206,1)),""),"")</f>
        <v/>
      </c>
      <c r="E1577">
        <f>IFERROR(IF(AND(A1577&gt;=129,A1577&lt;=2176),INDEX(Fields!$C$2:$C$206,MATCH(A1577-129,Fields!$D$2:$D$206,1)),""),"")</f>
        <v/>
      </c>
    </row>
    <row r="1578">
      <c r="A1578" t="n">
        <v>1577</v>
      </c>
      <c r="B1578">
        <f>IFERROR(INDEX(RawBits!$A:$A,MATCH($A1578,RawBits!$H:$H,0)),"?")</f>
        <v/>
      </c>
      <c r="C1578">
        <f>IFERROR(INDEX(RawBits!$G:$G,MATCH($A1578,RawBits!$H:$H,0)),"")</f>
        <v/>
      </c>
      <c r="D1578">
        <f>IFERROR(IF(AND(A1578&gt;=129,A1578&lt;=2176),INDEX(Fields!$B$2:$B$206,MATCH(A1578-129,Fields!$D$2:$D$206,1)),""),"")</f>
        <v/>
      </c>
      <c r="E1578">
        <f>IFERROR(IF(AND(A1578&gt;=129,A1578&lt;=2176),INDEX(Fields!$C$2:$C$206,MATCH(A1578-129,Fields!$D$2:$D$206,1)),""),"")</f>
        <v/>
      </c>
    </row>
    <row r="1579">
      <c r="A1579" t="n">
        <v>1578</v>
      </c>
      <c r="B1579">
        <f>IFERROR(INDEX(RawBits!$A:$A,MATCH($A1579,RawBits!$H:$H,0)),"?")</f>
        <v/>
      </c>
      <c r="C1579">
        <f>IFERROR(INDEX(RawBits!$G:$G,MATCH($A1579,RawBits!$H:$H,0)),"")</f>
        <v/>
      </c>
      <c r="D1579">
        <f>IFERROR(IF(AND(A1579&gt;=129,A1579&lt;=2176),INDEX(Fields!$B$2:$B$206,MATCH(A1579-129,Fields!$D$2:$D$206,1)),""),"")</f>
        <v/>
      </c>
      <c r="E1579">
        <f>IFERROR(IF(AND(A1579&gt;=129,A1579&lt;=2176),INDEX(Fields!$C$2:$C$206,MATCH(A1579-129,Fields!$D$2:$D$206,1)),""),"")</f>
        <v/>
      </c>
    </row>
    <row r="1580">
      <c r="A1580" t="n">
        <v>1579</v>
      </c>
      <c r="B1580">
        <f>IFERROR(INDEX(RawBits!$A:$A,MATCH($A1580,RawBits!$H:$H,0)),"?")</f>
        <v/>
      </c>
      <c r="C1580">
        <f>IFERROR(INDEX(RawBits!$G:$G,MATCH($A1580,RawBits!$H:$H,0)),"")</f>
        <v/>
      </c>
      <c r="D1580">
        <f>IFERROR(IF(AND(A1580&gt;=129,A1580&lt;=2176),INDEX(Fields!$B$2:$B$206,MATCH(A1580-129,Fields!$D$2:$D$206,1)),""),"")</f>
        <v/>
      </c>
      <c r="E1580">
        <f>IFERROR(IF(AND(A1580&gt;=129,A1580&lt;=2176),INDEX(Fields!$C$2:$C$206,MATCH(A1580-129,Fields!$D$2:$D$206,1)),""),"")</f>
        <v/>
      </c>
    </row>
    <row r="1581">
      <c r="A1581" t="n">
        <v>1580</v>
      </c>
      <c r="B1581">
        <f>IFERROR(INDEX(RawBits!$A:$A,MATCH($A1581,RawBits!$H:$H,0)),"?")</f>
        <v/>
      </c>
      <c r="C1581">
        <f>IFERROR(INDEX(RawBits!$G:$G,MATCH($A1581,RawBits!$H:$H,0)),"")</f>
        <v/>
      </c>
      <c r="D1581">
        <f>IFERROR(IF(AND(A1581&gt;=129,A1581&lt;=2176),INDEX(Fields!$B$2:$B$206,MATCH(A1581-129,Fields!$D$2:$D$206,1)),""),"")</f>
        <v/>
      </c>
      <c r="E1581">
        <f>IFERROR(IF(AND(A1581&gt;=129,A1581&lt;=2176),INDEX(Fields!$C$2:$C$206,MATCH(A1581-129,Fields!$D$2:$D$206,1)),""),"")</f>
        <v/>
      </c>
    </row>
    <row r="1582">
      <c r="A1582" t="n">
        <v>1581</v>
      </c>
      <c r="B1582">
        <f>IFERROR(INDEX(RawBits!$A:$A,MATCH($A1582,RawBits!$H:$H,0)),"?")</f>
        <v/>
      </c>
      <c r="C1582">
        <f>IFERROR(INDEX(RawBits!$G:$G,MATCH($A1582,RawBits!$H:$H,0)),"")</f>
        <v/>
      </c>
      <c r="D1582">
        <f>IFERROR(IF(AND(A1582&gt;=129,A1582&lt;=2176),INDEX(Fields!$B$2:$B$206,MATCH(A1582-129,Fields!$D$2:$D$206,1)),""),"")</f>
        <v/>
      </c>
      <c r="E1582">
        <f>IFERROR(IF(AND(A1582&gt;=129,A1582&lt;=2176),INDEX(Fields!$C$2:$C$206,MATCH(A1582-129,Fields!$D$2:$D$206,1)),""),"")</f>
        <v/>
      </c>
    </row>
    <row r="1583">
      <c r="A1583" t="n">
        <v>1582</v>
      </c>
      <c r="B1583">
        <f>IFERROR(INDEX(RawBits!$A:$A,MATCH($A1583,RawBits!$H:$H,0)),"?")</f>
        <v/>
      </c>
      <c r="C1583">
        <f>IFERROR(INDEX(RawBits!$G:$G,MATCH($A1583,RawBits!$H:$H,0)),"")</f>
        <v/>
      </c>
      <c r="D1583">
        <f>IFERROR(IF(AND(A1583&gt;=129,A1583&lt;=2176),INDEX(Fields!$B$2:$B$206,MATCH(A1583-129,Fields!$D$2:$D$206,1)),""),"")</f>
        <v/>
      </c>
      <c r="E1583">
        <f>IFERROR(IF(AND(A1583&gt;=129,A1583&lt;=2176),INDEX(Fields!$C$2:$C$206,MATCH(A1583-129,Fields!$D$2:$D$206,1)),""),"")</f>
        <v/>
      </c>
    </row>
    <row r="1584">
      <c r="A1584" t="n">
        <v>1583</v>
      </c>
      <c r="B1584">
        <f>IFERROR(INDEX(RawBits!$A:$A,MATCH($A1584,RawBits!$H:$H,0)),"?")</f>
        <v/>
      </c>
      <c r="C1584">
        <f>IFERROR(INDEX(RawBits!$G:$G,MATCH($A1584,RawBits!$H:$H,0)),"")</f>
        <v/>
      </c>
      <c r="D1584">
        <f>IFERROR(IF(AND(A1584&gt;=129,A1584&lt;=2176),INDEX(Fields!$B$2:$B$206,MATCH(A1584-129,Fields!$D$2:$D$206,1)),""),"")</f>
        <v/>
      </c>
      <c r="E1584">
        <f>IFERROR(IF(AND(A1584&gt;=129,A1584&lt;=2176),INDEX(Fields!$C$2:$C$206,MATCH(A1584-129,Fields!$D$2:$D$206,1)),""),"")</f>
        <v/>
      </c>
    </row>
    <row r="1585">
      <c r="A1585" t="n">
        <v>1584</v>
      </c>
      <c r="B1585">
        <f>IFERROR(INDEX(RawBits!$A:$A,MATCH($A1585,RawBits!$H:$H,0)),"?")</f>
        <v/>
      </c>
      <c r="C1585">
        <f>IFERROR(INDEX(RawBits!$G:$G,MATCH($A1585,RawBits!$H:$H,0)),"")</f>
        <v/>
      </c>
      <c r="D1585">
        <f>IFERROR(IF(AND(A1585&gt;=129,A1585&lt;=2176),INDEX(Fields!$B$2:$B$206,MATCH(A1585-129,Fields!$D$2:$D$206,1)),""),"")</f>
        <v/>
      </c>
      <c r="E1585">
        <f>IFERROR(IF(AND(A1585&gt;=129,A1585&lt;=2176),INDEX(Fields!$C$2:$C$206,MATCH(A1585-129,Fields!$D$2:$D$206,1)),""),"")</f>
        <v/>
      </c>
    </row>
    <row r="1586">
      <c r="A1586" t="n">
        <v>1585</v>
      </c>
      <c r="B1586">
        <f>IFERROR(INDEX(RawBits!$A:$A,MATCH($A1586,RawBits!$H:$H,0)),"?")</f>
        <v/>
      </c>
      <c r="C1586">
        <f>IFERROR(INDEX(RawBits!$G:$G,MATCH($A1586,RawBits!$H:$H,0)),"")</f>
        <v/>
      </c>
      <c r="D1586">
        <f>IFERROR(IF(AND(A1586&gt;=129,A1586&lt;=2176),INDEX(Fields!$B$2:$B$206,MATCH(A1586-129,Fields!$D$2:$D$206,1)),""),"")</f>
        <v/>
      </c>
      <c r="E1586">
        <f>IFERROR(IF(AND(A1586&gt;=129,A1586&lt;=2176),INDEX(Fields!$C$2:$C$206,MATCH(A1586-129,Fields!$D$2:$D$206,1)),""),"")</f>
        <v/>
      </c>
    </row>
    <row r="1587">
      <c r="A1587" t="n">
        <v>1586</v>
      </c>
      <c r="B1587">
        <f>IFERROR(INDEX(RawBits!$A:$A,MATCH($A1587,RawBits!$H:$H,0)),"?")</f>
        <v/>
      </c>
      <c r="C1587">
        <f>IFERROR(INDEX(RawBits!$G:$G,MATCH($A1587,RawBits!$H:$H,0)),"")</f>
        <v/>
      </c>
      <c r="D1587">
        <f>IFERROR(IF(AND(A1587&gt;=129,A1587&lt;=2176),INDEX(Fields!$B$2:$B$206,MATCH(A1587-129,Fields!$D$2:$D$206,1)),""),"")</f>
        <v/>
      </c>
      <c r="E1587">
        <f>IFERROR(IF(AND(A1587&gt;=129,A1587&lt;=2176),INDEX(Fields!$C$2:$C$206,MATCH(A1587-129,Fields!$D$2:$D$206,1)),""),"")</f>
        <v/>
      </c>
    </row>
    <row r="1588">
      <c r="A1588" t="n">
        <v>1587</v>
      </c>
      <c r="B1588">
        <f>IFERROR(INDEX(RawBits!$A:$A,MATCH($A1588,RawBits!$H:$H,0)),"?")</f>
        <v/>
      </c>
      <c r="C1588">
        <f>IFERROR(INDEX(RawBits!$G:$G,MATCH($A1588,RawBits!$H:$H,0)),"")</f>
        <v/>
      </c>
      <c r="D1588">
        <f>IFERROR(IF(AND(A1588&gt;=129,A1588&lt;=2176),INDEX(Fields!$B$2:$B$206,MATCH(A1588-129,Fields!$D$2:$D$206,1)),""),"")</f>
        <v/>
      </c>
      <c r="E1588">
        <f>IFERROR(IF(AND(A1588&gt;=129,A1588&lt;=2176),INDEX(Fields!$C$2:$C$206,MATCH(A1588-129,Fields!$D$2:$D$206,1)),""),"")</f>
        <v/>
      </c>
    </row>
    <row r="1589">
      <c r="A1589" t="n">
        <v>1588</v>
      </c>
      <c r="B1589">
        <f>IFERROR(INDEX(RawBits!$A:$A,MATCH($A1589,RawBits!$H:$H,0)),"?")</f>
        <v/>
      </c>
      <c r="C1589">
        <f>IFERROR(INDEX(RawBits!$G:$G,MATCH($A1589,RawBits!$H:$H,0)),"")</f>
        <v/>
      </c>
      <c r="D1589">
        <f>IFERROR(IF(AND(A1589&gt;=129,A1589&lt;=2176),INDEX(Fields!$B$2:$B$206,MATCH(A1589-129,Fields!$D$2:$D$206,1)),""),"")</f>
        <v/>
      </c>
      <c r="E1589">
        <f>IFERROR(IF(AND(A1589&gt;=129,A1589&lt;=2176),INDEX(Fields!$C$2:$C$206,MATCH(A1589-129,Fields!$D$2:$D$206,1)),""),"")</f>
        <v/>
      </c>
    </row>
    <row r="1590">
      <c r="A1590" t="n">
        <v>1589</v>
      </c>
      <c r="B1590">
        <f>IFERROR(INDEX(RawBits!$A:$A,MATCH($A1590,RawBits!$H:$H,0)),"?")</f>
        <v/>
      </c>
      <c r="C1590">
        <f>IFERROR(INDEX(RawBits!$G:$G,MATCH($A1590,RawBits!$H:$H,0)),"")</f>
        <v/>
      </c>
      <c r="D1590">
        <f>IFERROR(IF(AND(A1590&gt;=129,A1590&lt;=2176),INDEX(Fields!$B$2:$B$206,MATCH(A1590-129,Fields!$D$2:$D$206,1)),""),"")</f>
        <v/>
      </c>
      <c r="E1590">
        <f>IFERROR(IF(AND(A1590&gt;=129,A1590&lt;=2176),INDEX(Fields!$C$2:$C$206,MATCH(A1590-129,Fields!$D$2:$D$206,1)),""),"")</f>
        <v/>
      </c>
    </row>
    <row r="1591">
      <c r="A1591" t="n">
        <v>1590</v>
      </c>
      <c r="B1591">
        <f>IFERROR(INDEX(RawBits!$A:$A,MATCH($A1591,RawBits!$H:$H,0)),"?")</f>
        <v/>
      </c>
      <c r="C1591">
        <f>IFERROR(INDEX(RawBits!$G:$G,MATCH($A1591,RawBits!$H:$H,0)),"")</f>
        <v/>
      </c>
      <c r="D1591">
        <f>IFERROR(IF(AND(A1591&gt;=129,A1591&lt;=2176),INDEX(Fields!$B$2:$B$206,MATCH(A1591-129,Fields!$D$2:$D$206,1)),""),"")</f>
        <v/>
      </c>
      <c r="E1591">
        <f>IFERROR(IF(AND(A1591&gt;=129,A1591&lt;=2176),INDEX(Fields!$C$2:$C$206,MATCH(A1591-129,Fields!$D$2:$D$206,1)),""),"")</f>
        <v/>
      </c>
    </row>
    <row r="1592">
      <c r="A1592" t="n">
        <v>1591</v>
      </c>
      <c r="B1592">
        <f>IFERROR(INDEX(RawBits!$A:$A,MATCH($A1592,RawBits!$H:$H,0)),"?")</f>
        <v/>
      </c>
      <c r="C1592">
        <f>IFERROR(INDEX(RawBits!$G:$G,MATCH($A1592,RawBits!$H:$H,0)),"")</f>
        <v/>
      </c>
      <c r="D1592">
        <f>IFERROR(IF(AND(A1592&gt;=129,A1592&lt;=2176),INDEX(Fields!$B$2:$B$206,MATCH(A1592-129,Fields!$D$2:$D$206,1)),""),"")</f>
        <v/>
      </c>
      <c r="E1592">
        <f>IFERROR(IF(AND(A1592&gt;=129,A1592&lt;=2176),INDEX(Fields!$C$2:$C$206,MATCH(A1592-129,Fields!$D$2:$D$206,1)),""),"")</f>
        <v/>
      </c>
    </row>
    <row r="1593">
      <c r="A1593" t="n">
        <v>1592</v>
      </c>
      <c r="B1593">
        <f>IFERROR(INDEX(RawBits!$A:$A,MATCH($A1593,RawBits!$H:$H,0)),"?")</f>
        <v/>
      </c>
      <c r="C1593">
        <f>IFERROR(INDEX(RawBits!$G:$G,MATCH($A1593,RawBits!$H:$H,0)),"")</f>
        <v/>
      </c>
      <c r="D1593">
        <f>IFERROR(IF(AND(A1593&gt;=129,A1593&lt;=2176),INDEX(Fields!$B$2:$B$206,MATCH(A1593-129,Fields!$D$2:$D$206,1)),""),"")</f>
        <v/>
      </c>
      <c r="E1593">
        <f>IFERROR(IF(AND(A1593&gt;=129,A1593&lt;=2176),INDEX(Fields!$C$2:$C$206,MATCH(A1593-129,Fields!$D$2:$D$206,1)),""),"")</f>
        <v/>
      </c>
    </row>
    <row r="1594">
      <c r="A1594" t="n">
        <v>1593</v>
      </c>
      <c r="B1594">
        <f>IFERROR(INDEX(RawBits!$A:$A,MATCH($A1594,RawBits!$H:$H,0)),"?")</f>
        <v/>
      </c>
      <c r="C1594">
        <f>IFERROR(INDEX(RawBits!$G:$G,MATCH($A1594,RawBits!$H:$H,0)),"")</f>
        <v/>
      </c>
      <c r="D1594">
        <f>IFERROR(IF(AND(A1594&gt;=129,A1594&lt;=2176),INDEX(Fields!$B$2:$B$206,MATCH(A1594-129,Fields!$D$2:$D$206,1)),""),"")</f>
        <v/>
      </c>
      <c r="E1594">
        <f>IFERROR(IF(AND(A1594&gt;=129,A1594&lt;=2176),INDEX(Fields!$C$2:$C$206,MATCH(A1594-129,Fields!$D$2:$D$206,1)),""),"")</f>
        <v/>
      </c>
    </row>
    <row r="1595">
      <c r="A1595" t="n">
        <v>1594</v>
      </c>
      <c r="B1595">
        <f>IFERROR(INDEX(RawBits!$A:$A,MATCH($A1595,RawBits!$H:$H,0)),"?")</f>
        <v/>
      </c>
      <c r="C1595">
        <f>IFERROR(INDEX(RawBits!$G:$G,MATCH($A1595,RawBits!$H:$H,0)),"")</f>
        <v/>
      </c>
      <c r="D1595">
        <f>IFERROR(IF(AND(A1595&gt;=129,A1595&lt;=2176),INDEX(Fields!$B$2:$B$206,MATCH(A1595-129,Fields!$D$2:$D$206,1)),""),"")</f>
        <v/>
      </c>
      <c r="E1595">
        <f>IFERROR(IF(AND(A1595&gt;=129,A1595&lt;=2176),INDEX(Fields!$C$2:$C$206,MATCH(A1595-129,Fields!$D$2:$D$206,1)),""),"")</f>
        <v/>
      </c>
    </row>
    <row r="1596">
      <c r="A1596" t="n">
        <v>1595</v>
      </c>
      <c r="B1596">
        <f>IFERROR(INDEX(RawBits!$A:$A,MATCH($A1596,RawBits!$H:$H,0)),"?")</f>
        <v/>
      </c>
      <c r="C1596">
        <f>IFERROR(INDEX(RawBits!$G:$G,MATCH($A1596,RawBits!$H:$H,0)),"")</f>
        <v/>
      </c>
      <c r="D1596">
        <f>IFERROR(IF(AND(A1596&gt;=129,A1596&lt;=2176),INDEX(Fields!$B$2:$B$206,MATCH(A1596-129,Fields!$D$2:$D$206,1)),""),"")</f>
        <v/>
      </c>
      <c r="E1596">
        <f>IFERROR(IF(AND(A1596&gt;=129,A1596&lt;=2176),INDEX(Fields!$C$2:$C$206,MATCH(A1596-129,Fields!$D$2:$D$206,1)),""),"")</f>
        <v/>
      </c>
    </row>
    <row r="1597">
      <c r="A1597" t="n">
        <v>1596</v>
      </c>
      <c r="B1597">
        <f>IFERROR(INDEX(RawBits!$A:$A,MATCH($A1597,RawBits!$H:$H,0)),"?")</f>
        <v/>
      </c>
      <c r="C1597">
        <f>IFERROR(INDEX(RawBits!$G:$G,MATCH($A1597,RawBits!$H:$H,0)),"")</f>
        <v/>
      </c>
      <c r="D1597">
        <f>IFERROR(IF(AND(A1597&gt;=129,A1597&lt;=2176),INDEX(Fields!$B$2:$B$206,MATCH(A1597-129,Fields!$D$2:$D$206,1)),""),"")</f>
        <v/>
      </c>
      <c r="E1597">
        <f>IFERROR(IF(AND(A1597&gt;=129,A1597&lt;=2176),INDEX(Fields!$C$2:$C$206,MATCH(A1597-129,Fields!$D$2:$D$206,1)),""),"")</f>
        <v/>
      </c>
    </row>
    <row r="1598">
      <c r="A1598" t="n">
        <v>1597</v>
      </c>
      <c r="B1598">
        <f>IFERROR(INDEX(RawBits!$A:$A,MATCH($A1598,RawBits!$H:$H,0)),"?")</f>
        <v/>
      </c>
      <c r="C1598">
        <f>IFERROR(INDEX(RawBits!$G:$G,MATCH($A1598,RawBits!$H:$H,0)),"")</f>
        <v/>
      </c>
      <c r="D1598">
        <f>IFERROR(IF(AND(A1598&gt;=129,A1598&lt;=2176),INDEX(Fields!$B$2:$B$206,MATCH(A1598-129,Fields!$D$2:$D$206,1)),""),"")</f>
        <v/>
      </c>
      <c r="E1598">
        <f>IFERROR(IF(AND(A1598&gt;=129,A1598&lt;=2176),INDEX(Fields!$C$2:$C$206,MATCH(A1598-129,Fields!$D$2:$D$206,1)),""),"")</f>
        <v/>
      </c>
    </row>
    <row r="1599">
      <c r="A1599" t="n">
        <v>1598</v>
      </c>
      <c r="B1599">
        <f>IFERROR(INDEX(RawBits!$A:$A,MATCH($A1599,RawBits!$H:$H,0)),"?")</f>
        <v/>
      </c>
      <c r="C1599">
        <f>IFERROR(INDEX(RawBits!$G:$G,MATCH($A1599,RawBits!$H:$H,0)),"")</f>
        <v/>
      </c>
      <c r="D1599">
        <f>IFERROR(IF(AND(A1599&gt;=129,A1599&lt;=2176),INDEX(Fields!$B$2:$B$206,MATCH(A1599-129,Fields!$D$2:$D$206,1)),""),"")</f>
        <v/>
      </c>
      <c r="E1599">
        <f>IFERROR(IF(AND(A1599&gt;=129,A1599&lt;=2176),INDEX(Fields!$C$2:$C$206,MATCH(A1599-129,Fields!$D$2:$D$206,1)),""),"")</f>
        <v/>
      </c>
    </row>
    <row r="1600">
      <c r="A1600" t="n">
        <v>1599</v>
      </c>
      <c r="B1600">
        <f>IFERROR(INDEX(RawBits!$A:$A,MATCH($A1600,RawBits!$H:$H,0)),"?")</f>
        <v/>
      </c>
      <c r="C1600">
        <f>IFERROR(INDEX(RawBits!$G:$G,MATCH($A1600,RawBits!$H:$H,0)),"")</f>
        <v/>
      </c>
      <c r="D1600">
        <f>IFERROR(IF(AND(A1600&gt;=129,A1600&lt;=2176),INDEX(Fields!$B$2:$B$206,MATCH(A1600-129,Fields!$D$2:$D$206,1)),""),"")</f>
        <v/>
      </c>
      <c r="E1600">
        <f>IFERROR(IF(AND(A1600&gt;=129,A1600&lt;=2176),INDEX(Fields!$C$2:$C$206,MATCH(A1600-129,Fields!$D$2:$D$206,1)),""),"")</f>
        <v/>
      </c>
    </row>
    <row r="1601">
      <c r="A1601" t="n">
        <v>1600</v>
      </c>
      <c r="B1601">
        <f>IFERROR(INDEX(RawBits!$A:$A,MATCH($A1601,RawBits!$H:$H,0)),"?")</f>
        <v/>
      </c>
      <c r="C1601">
        <f>IFERROR(INDEX(RawBits!$G:$G,MATCH($A1601,RawBits!$H:$H,0)),"")</f>
        <v/>
      </c>
      <c r="D1601">
        <f>IFERROR(IF(AND(A1601&gt;=129,A1601&lt;=2176),INDEX(Fields!$B$2:$B$206,MATCH(A1601-129,Fields!$D$2:$D$206,1)),""),"")</f>
        <v/>
      </c>
      <c r="E1601">
        <f>IFERROR(IF(AND(A1601&gt;=129,A1601&lt;=2176),INDEX(Fields!$C$2:$C$206,MATCH(A1601-129,Fields!$D$2:$D$206,1)),""),"")</f>
        <v/>
      </c>
    </row>
    <row r="1602">
      <c r="A1602" t="n">
        <v>1601</v>
      </c>
      <c r="B1602">
        <f>IFERROR(INDEX(RawBits!$A:$A,MATCH($A1602,RawBits!$H:$H,0)),"?")</f>
        <v/>
      </c>
      <c r="C1602">
        <f>IFERROR(INDEX(RawBits!$G:$G,MATCH($A1602,RawBits!$H:$H,0)),"")</f>
        <v/>
      </c>
      <c r="D1602">
        <f>IFERROR(IF(AND(A1602&gt;=129,A1602&lt;=2176),INDEX(Fields!$B$2:$B$206,MATCH(A1602-129,Fields!$D$2:$D$206,1)),""),"")</f>
        <v/>
      </c>
      <c r="E1602">
        <f>IFERROR(IF(AND(A1602&gt;=129,A1602&lt;=2176),INDEX(Fields!$C$2:$C$206,MATCH(A1602-129,Fields!$D$2:$D$206,1)),""),"")</f>
        <v/>
      </c>
    </row>
    <row r="1603">
      <c r="A1603" t="n">
        <v>1602</v>
      </c>
      <c r="B1603">
        <f>IFERROR(INDEX(RawBits!$A:$A,MATCH($A1603,RawBits!$H:$H,0)),"?")</f>
        <v/>
      </c>
      <c r="C1603">
        <f>IFERROR(INDEX(RawBits!$G:$G,MATCH($A1603,RawBits!$H:$H,0)),"")</f>
        <v/>
      </c>
      <c r="D1603">
        <f>IFERROR(IF(AND(A1603&gt;=129,A1603&lt;=2176),INDEX(Fields!$B$2:$B$206,MATCH(A1603-129,Fields!$D$2:$D$206,1)),""),"")</f>
        <v/>
      </c>
      <c r="E1603">
        <f>IFERROR(IF(AND(A1603&gt;=129,A1603&lt;=2176),INDEX(Fields!$C$2:$C$206,MATCH(A1603-129,Fields!$D$2:$D$206,1)),""),"")</f>
        <v/>
      </c>
    </row>
    <row r="1604">
      <c r="A1604" t="n">
        <v>1603</v>
      </c>
      <c r="B1604">
        <f>IFERROR(INDEX(RawBits!$A:$A,MATCH($A1604,RawBits!$H:$H,0)),"?")</f>
        <v/>
      </c>
      <c r="C1604">
        <f>IFERROR(INDEX(RawBits!$G:$G,MATCH($A1604,RawBits!$H:$H,0)),"")</f>
        <v/>
      </c>
      <c r="D1604">
        <f>IFERROR(IF(AND(A1604&gt;=129,A1604&lt;=2176),INDEX(Fields!$B$2:$B$206,MATCH(A1604-129,Fields!$D$2:$D$206,1)),""),"")</f>
        <v/>
      </c>
      <c r="E1604">
        <f>IFERROR(IF(AND(A1604&gt;=129,A1604&lt;=2176),INDEX(Fields!$C$2:$C$206,MATCH(A1604-129,Fields!$D$2:$D$206,1)),""),"")</f>
        <v/>
      </c>
    </row>
    <row r="1605">
      <c r="A1605" t="n">
        <v>1604</v>
      </c>
      <c r="B1605">
        <f>IFERROR(INDEX(RawBits!$A:$A,MATCH($A1605,RawBits!$H:$H,0)),"?")</f>
        <v/>
      </c>
      <c r="C1605">
        <f>IFERROR(INDEX(RawBits!$G:$G,MATCH($A1605,RawBits!$H:$H,0)),"")</f>
        <v/>
      </c>
      <c r="D1605">
        <f>IFERROR(IF(AND(A1605&gt;=129,A1605&lt;=2176),INDEX(Fields!$B$2:$B$206,MATCH(A1605-129,Fields!$D$2:$D$206,1)),""),"")</f>
        <v/>
      </c>
      <c r="E1605">
        <f>IFERROR(IF(AND(A1605&gt;=129,A1605&lt;=2176),INDEX(Fields!$C$2:$C$206,MATCH(A1605-129,Fields!$D$2:$D$206,1)),""),"")</f>
        <v/>
      </c>
    </row>
    <row r="1606">
      <c r="A1606" t="n">
        <v>1605</v>
      </c>
      <c r="B1606">
        <f>IFERROR(INDEX(RawBits!$A:$A,MATCH($A1606,RawBits!$H:$H,0)),"?")</f>
        <v/>
      </c>
      <c r="C1606">
        <f>IFERROR(INDEX(RawBits!$G:$G,MATCH($A1606,RawBits!$H:$H,0)),"")</f>
        <v/>
      </c>
      <c r="D1606">
        <f>IFERROR(IF(AND(A1606&gt;=129,A1606&lt;=2176),INDEX(Fields!$B$2:$B$206,MATCH(A1606-129,Fields!$D$2:$D$206,1)),""),"")</f>
        <v/>
      </c>
      <c r="E1606">
        <f>IFERROR(IF(AND(A1606&gt;=129,A1606&lt;=2176),INDEX(Fields!$C$2:$C$206,MATCH(A1606-129,Fields!$D$2:$D$206,1)),""),"")</f>
        <v/>
      </c>
    </row>
    <row r="1607">
      <c r="A1607" t="n">
        <v>1606</v>
      </c>
      <c r="B1607">
        <f>IFERROR(INDEX(RawBits!$A:$A,MATCH($A1607,RawBits!$H:$H,0)),"?")</f>
        <v/>
      </c>
      <c r="C1607">
        <f>IFERROR(INDEX(RawBits!$G:$G,MATCH($A1607,RawBits!$H:$H,0)),"")</f>
        <v/>
      </c>
      <c r="D1607">
        <f>IFERROR(IF(AND(A1607&gt;=129,A1607&lt;=2176),INDEX(Fields!$B$2:$B$206,MATCH(A1607-129,Fields!$D$2:$D$206,1)),""),"")</f>
        <v/>
      </c>
      <c r="E1607">
        <f>IFERROR(IF(AND(A1607&gt;=129,A1607&lt;=2176),INDEX(Fields!$C$2:$C$206,MATCH(A1607-129,Fields!$D$2:$D$206,1)),""),"")</f>
        <v/>
      </c>
    </row>
    <row r="1608">
      <c r="A1608" t="n">
        <v>1607</v>
      </c>
      <c r="B1608">
        <f>IFERROR(INDEX(RawBits!$A:$A,MATCH($A1608,RawBits!$H:$H,0)),"?")</f>
        <v/>
      </c>
      <c r="C1608">
        <f>IFERROR(INDEX(RawBits!$G:$G,MATCH($A1608,RawBits!$H:$H,0)),"")</f>
        <v/>
      </c>
      <c r="D1608">
        <f>IFERROR(IF(AND(A1608&gt;=129,A1608&lt;=2176),INDEX(Fields!$B$2:$B$206,MATCH(A1608-129,Fields!$D$2:$D$206,1)),""),"")</f>
        <v/>
      </c>
      <c r="E1608">
        <f>IFERROR(IF(AND(A1608&gt;=129,A1608&lt;=2176),INDEX(Fields!$C$2:$C$206,MATCH(A1608-129,Fields!$D$2:$D$206,1)),""),"")</f>
        <v/>
      </c>
    </row>
    <row r="1609">
      <c r="A1609" t="n">
        <v>1608</v>
      </c>
      <c r="B1609">
        <f>IFERROR(INDEX(RawBits!$A:$A,MATCH($A1609,RawBits!$H:$H,0)),"?")</f>
        <v/>
      </c>
      <c r="C1609">
        <f>IFERROR(INDEX(RawBits!$G:$G,MATCH($A1609,RawBits!$H:$H,0)),"")</f>
        <v/>
      </c>
      <c r="D1609">
        <f>IFERROR(IF(AND(A1609&gt;=129,A1609&lt;=2176),INDEX(Fields!$B$2:$B$206,MATCH(A1609-129,Fields!$D$2:$D$206,1)),""),"")</f>
        <v/>
      </c>
      <c r="E1609">
        <f>IFERROR(IF(AND(A1609&gt;=129,A1609&lt;=2176),INDEX(Fields!$C$2:$C$206,MATCH(A1609-129,Fields!$D$2:$D$206,1)),""),"")</f>
        <v/>
      </c>
    </row>
    <row r="1610">
      <c r="A1610" t="n">
        <v>1609</v>
      </c>
      <c r="B1610">
        <f>IFERROR(INDEX(RawBits!$A:$A,MATCH($A1610,RawBits!$H:$H,0)),"?")</f>
        <v/>
      </c>
      <c r="C1610">
        <f>IFERROR(INDEX(RawBits!$G:$G,MATCH($A1610,RawBits!$H:$H,0)),"")</f>
        <v/>
      </c>
      <c r="D1610">
        <f>IFERROR(IF(AND(A1610&gt;=129,A1610&lt;=2176),INDEX(Fields!$B$2:$B$206,MATCH(A1610-129,Fields!$D$2:$D$206,1)),""),"")</f>
        <v/>
      </c>
      <c r="E1610">
        <f>IFERROR(IF(AND(A1610&gt;=129,A1610&lt;=2176),INDEX(Fields!$C$2:$C$206,MATCH(A1610-129,Fields!$D$2:$D$206,1)),""),"")</f>
        <v/>
      </c>
    </row>
    <row r="1611">
      <c r="A1611" t="n">
        <v>1610</v>
      </c>
      <c r="B1611">
        <f>IFERROR(INDEX(RawBits!$A:$A,MATCH($A1611,RawBits!$H:$H,0)),"?")</f>
        <v/>
      </c>
      <c r="C1611">
        <f>IFERROR(INDEX(RawBits!$G:$G,MATCH($A1611,RawBits!$H:$H,0)),"")</f>
        <v/>
      </c>
      <c r="D1611">
        <f>IFERROR(IF(AND(A1611&gt;=129,A1611&lt;=2176),INDEX(Fields!$B$2:$B$206,MATCH(A1611-129,Fields!$D$2:$D$206,1)),""),"")</f>
        <v/>
      </c>
      <c r="E1611">
        <f>IFERROR(IF(AND(A1611&gt;=129,A1611&lt;=2176),INDEX(Fields!$C$2:$C$206,MATCH(A1611-129,Fields!$D$2:$D$206,1)),""),"")</f>
        <v/>
      </c>
    </row>
    <row r="1612">
      <c r="A1612" t="n">
        <v>1611</v>
      </c>
      <c r="B1612">
        <f>IFERROR(INDEX(RawBits!$A:$A,MATCH($A1612,RawBits!$H:$H,0)),"?")</f>
        <v/>
      </c>
      <c r="C1612">
        <f>IFERROR(INDEX(RawBits!$G:$G,MATCH($A1612,RawBits!$H:$H,0)),"")</f>
        <v/>
      </c>
      <c r="D1612">
        <f>IFERROR(IF(AND(A1612&gt;=129,A1612&lt;=2176),INDEX(Fields!$B$2:$B$206,MATCH(A1612-129,Fields!$D$2:$D$206,1)),""),"")</f>
        <v/>
      </c>
      <c r="E1612">
        <f>IFERROR(IF(AND(A1612&gt;=129,A1612&lt;=2176),INDEX(Fields!$C$2:$C$206,MATCH(A1612-129,Fields!$D$2:$D$206,1)),""),"")</f>
        <v/>
      </c>
    </row>
    <row r="1613">
      <c r="A1613" t="n">
        <v>1612</v>
      </c>
      <c r="B1613">
        <f>IFERROR(INDEX(RawBits!$A:$A,MATCH($A1613,RawBits!$H:$H,0)),"?")</f>
        <v/>
      </c>
      <c r="C1613">
        <f>IFERROR(INDEX(RawBits!$G:$G,MATCH($A1613,RawBits!$H:$H,0)),"")</f>
        <v/>
      </c>
      <c r="D1613">
        <f>IFERROR(IF(AND(A1613&gt;=129,A1613&lt;=2176),INDEX(Fields!$B$2:$B$206,MATCH(A1613-129,Fields!$D$2:$D$206,1)),""),"")</f>
        <v/>
      </c>
      <c r="E1613">
        <f>IFERROR(IF(AND(A1613&gt;=129,A1613&lt;=2176),INDEX(Fields!$C$2:$C$206,MATCH(A1613-129,Fields!$D$2:$D$206,1)),""),"")</f>
        <v/>
      </c>
    </row>
    <row r="1614">
      <c r="A1614" t="n">
        <v>1613</v>
      </c>
      <c r="B1614">
        <f>IFERROR(INDEX(RawBits!$A:$A,MATCH($A1614,RawBits!$H:$H,0)),"?")</f>
        <v/>
      </c>
      <c r="C1614">
        <f>IFERROR(INDEX(RawBits!$G:$G,MATCH($A1614,RawBits!$H:$H,0)),"")</f>
        <v/>
      </c>
      <c r="D1614">
        <f>IFERROR(IF(AND(A1614&gt;=129,A1614&lt;=2176),INDEX(Fields!$B$2:$B$206,MATCH(A1614-129,Fields!$D$2:$D$206,1)),""),"")</f>
        <v/>
      </c>
      <c r="E1614">
        <f>IFERROR(IF(AND(A1614&gt;=129,A1614&lt;=2176),INDEX(Fields!$C$2:$C$206,MATCH(A1614-129,Fields!$D$2:$D$206,1)),""),"")</f>
        <v/>
      </c>
    </row>
    <row r="1615">
      <c r="A1615" t="n">
        <v>1614</v>
      </c>
      <c r="B1615">
        <f>IFERROR(INDEX(RawBits!$A:$A,MATCH($A1615,RawBits!$H:$H,0)),"?")</f>
        <v/>
      </c>
      <c r="C1615">
        <f>IFERROR(INDEX(RawBits!$G:$G,MATCH($A1615,RawBits!$H:$H,0)),"")</f>
        <v/>
      </c>
      <c r="D1615">
        <f>IFERROR(IF(AND(A1615&gt;=129,A1615&lt;=2176),INDEX(Fields!$B$2:$B$206,MATCH(A1615-129,Fields!$D$2:$D$206,1)),""),"")</f>
        <v/>
      </c>
      <c r="E1615">
        <f>IFERROR(IF(AND(A1615&gt;=129,A1615&lt;=2176),INDEX(Fields!$C$2:$C$206,MATCH(A1615-129,Fields!$D$2:$D$206,1)),""),"")</f>
        <v/>
      </c>
    </row>
    <row r="1616">
      <c r="A1616" t="n">
        <v>1615</v>
      </c>
      <c r="B1616">
        <f>IFERROR(INDEX(RawBits!$A:$A,MATCH($A1616,RawBits!$H:$H,0)),"?")</f>
        <v/>
      </c>
      <c r="C1616">
        <f>IFERROR(INDEX(RawBits!$G:$G,MATCH($A1616,RawBits!$H:$H,0)),"")</f>
        <v/>
      </c>
      <c r="D1616">
        <f>IFERROR(IF(AND(A1616&gt;=129,A1616&lt;=2176),INDEX(Fields!$B$2:$B$206,MATCH(A1616-129,Fields!$D$2:$D$206,1)),""),"")</f>
        <v/>
      </c>
      <c r="E1616">
        <f>IFERROR(IF(AND(A1616&gt;=129,A1616&lt;=2176),INDEX(Fields!$C$2:$C$206,MATCH(A1616-129,Fields!$D$2:$D$206,1)),""),"")</f>
        <v/>
      </c>
    </row>
    <row r="1617">
      <c r="A1617" t="n">
        <v>1616</v>
      </c>
      <c r="B1617">
        <f>IFERROR(INDEX(RawBits!$A:$A,MATCH($A1617,RawBits!$H:$H,0)),"?")</f>
        <v/>
      </c>
      <c r="C1617">
        <f>IFERROR(INDEX(RawBits!$G:$G,MATCH($A1617,RawBits!$H:$H,0)),"")</f>
        <v/>
      </c>
      <c r="D1617">
        <f>IFERROR(IF(AND(A1617&gt;=129,A1617&lt;=2176),INDEX(Fields!$B$2:$B$206,MATCH(A1617-129,Fields!$D$2:$D$206,1)),""),"")</f>
        <v/>
      </c>
      <c r="E1617">
        <f>IFERROR(IF(AND(A1617&gt;=129,A1617&lt;=2176),INDEX(Fields!$C$2:$C$206,MATCH(A1617-129,Fields!$D$2:$D$206,1)),""),"")</f>
        <v/>
      </c>
    </row>
    <row r="1618">
      <c r="A1618" t="n">
        <v>1617</v>
      </c>
      <c r="B1618">
        <f>IFERROR(INDEX(RawBits!$A:$A,MATCH($A1618,RawBits!$H:$H,0)),"?")</f>
        <v/>
      </c>
      <c r="C1618">
        <f>IFERROR(INDEX(RawBits!$G:$G,MATCH($A1618,RawBits!$H:$H,0)),"")</f>
        <v/>
      </c>
      <c r="D1618">
        <f>IFERROR(IF(AND(A1618&gt;=129,A1618&lt;=2176),INDEX(Fields!$B$2:$B$206,MATCH(A1618-129,Fields!$D$2:$D$206,1)),""),"")</f>
        <v/>
      </c>
      <c r="E1618">
        <f>IFERROR(IF(AND(A1618&gt;=129,A1618&lt;=2176),INDEX(Fields!$C$2:$C$206,MATCH(A1618-129,Fields!$D$2:$D$206,1)),""),"")</f>
        <v/>
      </c>
    </row>
    <row r="1619">
      <c r="A1619" t="n">
        <v>1618</v>
      </c>
      <c r="B1619">
        <f>IFERROR(INDEX(RawBits!$A:$A,MATCH($A1619,RawBits!$H:$H,0)),"?")</f>
        <v/>
      </c>
      <c r="C1619">
        <f>IFERROR(INDEX(RawBits!$G:$G,MATCH($A1619,RawBits!$H:$H,0)),"")</f>
        <v/>
      </c>
      <c r="D1619">
        <f>IFERROR(IF(AND(A1619&gt;=129,A1619&lt;=2176),INDEX(Fields!$B$2:$B$206,MATCH(A1619-129,Fields!$D$2:$D$206,1)),""),"")</f>
        <v/>
      </c>
      <c r="E1619">
        <f>IFERROR(IF(AND(A1619&gt;=129,A1619&lt;=2176),INDEX(Fields!$C$2:$C$206,MATCH(A1619-129,Fields!$D$2:$D$206,1)),""),"")</f>
        <v/>
      </c>
    </row>
    <row r="1620">
      <c r="A1620" t="n">
        <v>1619</v>
      </c>
      <c r="B1620">
        <f>IFERROR(INDEX(RawBits!$A:$A,MATCH($A1620,RawBits!$H:$H,0)),"?")</f>
        <v/>
      </c>
      <c r="C1620">
        <f>IFERROR(INDEX(RawBits!$G:$G,MATCH($A1620,RawBits!$H:$H,0)),"")</f>
        <v/>
      </c>
      <c r="D1620">
        <f>IFERROR(IF(AND(A1620&gt;=129,A1620&lt;=2176),INDEX(Fields!$B$2:$B$206,MATCH(A1620-129,Fields!$D$2:$D$206,1)),""),"")</f>
        <v/>
      </c>
      <c r="E1620">
        <f>IFERROR(IF(AND(A1620&gt;=129,A1620&lt;=2176),INDEX(Fields!$C$2:$C$206,MATCH(A1620-129,Fields!$D$2:$D$206,1)),""),"")</f>
        <v/>
      </c>
    </row>
    <row r="1621">
      <c r="A1621" t="n">
        <v>1620</v>
      </c>
      <c r="B1621">
        <f>IFERROR(INDEX(RawBits!$A:$A,MATCH($A1621,RawBits!$H:$H,0)),"?")</f>
        <v/>
      </c>
      <c r="C1621">
        <f>IFERROR(INDEX(RawBits!$G:$G,MATCH($A1621,RawBits!$H:$H,0)),"")</f>
        <v/>
      </c>
      <c r="D1621">
        <f>IFERROR(IF(AND(A1621&gt;=129,A1621&lt;=2176),INDEX(Fields!$B$2:$B$206,MATCH(A1621-129,Fields!$D$2:$D$206,1)),""),"")</f>
        <v/>
      </c>
      <c r="E1621">
        <f>IFERROR(IF(AND(A1621&gt;=129,A1621&lt;=2176),INDEX(Fields!$C$2:$C$206,MATCH(A1621-129,Fields!$D$2:$D$206,1)),""),"")</f>
        <v/>
      </c>
    </row>
    <row r="1622">
      <c r="A1622" t="n">
        <v>1621</v>
      </c>
      <c r="B1622">
        <f>IFERROR(INDEX(RawBits!$A:$A,MATCH($A1622,RawBits!$H:$H,0)),"?")</f>
        <v/>
      </c>
      <c r="C1622">
        <f>IFERROR(INDEX(RawBits!$G:$G,MATCH($A1622,RawBits!$H:$H,0)),"")</f>
        <v/>
      </c>
      <c r="D1622">
        <f>IFERROR(IF(AND(A1622&gt;=129,A1622&lt;=2176),INDEX(Fields!$B$2:$B$206,MATCH(A1622-129,Fields!$D$2:$D$206,1)),""),"")</f>
        <v/>
      </c>
      <c r="E1622">
        <f>IFERROR(IF(AND(A1622&gt;=129,A1622&lt;=2176),INDEX(Fields!$C$2:$C$206,MATCH(A1622-129,Fields!$D$2:$D$206,1)),""),"")</f>
        <v/>
      </c>
    </row>
    <row r="1623">
      <c r="A1623" t="n">
        <v>1622</v>
      </c>
      <c r="B1623">
        <f>IFERROR(INDEX(RawBits!$A:$A,MATCH($A1623,RawBits!$H:$H,0)),"?")</f>
        <v/>
      </c>
      <c r="C1623">
        <f>IFERROR(INDEX(RawBits!$G:$G,MATCH($A1623,RawBits!$H:$H,0)),"")</f>
        <v/>
      </c>
      <c r="D1623">
        <f>IFERROR(IF(AND(A1623&gt;=129,A1623&lt;=2176),INDEX(Fields!$B$2:$B$206,MATCH(A1623-129,Fields!$D$2:$D$206,1)),""),"")</f>
        <v/>
      </c>
      <c r="E1623">
        <f>IFERROR(IF(AND(A1623&gt;=129,A1623&lt;=2176),INDEX(Fields!$C$2:$C$206,MATCH(A1623-129,Fields!$D$2:$D$206,1)),""),"")</f>
        <v/>
      </c>
    </row>
    <row r="1624">
      <c r="A1624" t="n">
        <v>1623</v>
      </c>
      <c r="B1624">
        <f>IFERROR(INDEX(RawBits!$A:$A,MATCH($A1624,RawBits!$H:$H,0)),"?")</f>
        <v/>
      </c>
      <c r="C1624">
        <f>IFERROR(INDEX(RawBits!$G:$G,MATCH($A1624,RawBits!$H:$H,0)),"")</f>
        <v/>
      </c>
      <c r="D1624">
        <f>IFERROR(IF(AND(A1624&gt;=129,A1624&lt;=2176),INDEX(Fields!$B$2:$B$206,MATCH(A1624-129,Fields!$D$2:$D$206,1)),""),"")</f>
        <v/>
      </c>
      <c r="E1624">
        <f>IFERROR(IF(AND(A1624&gt;=129,A1624&lt;=2176),INDEX(Fields!$C$2:$C$206,MATCH(A1624-129,Fields!$D$2:$D$206,1)),""),"")</f>
        <v/>
      </c>
    </row>
    <row r="1625">
      <c r="A1625" t="n">
        <v>1624</v>
      </c>
      <c r="B1625">
        <f>IFERROR(INDEX(RawBits!$A:$A,MATCH($A1625,RawBits!$H:$H,0)),"?")</f>
        <v/>
      </c>
      <c r="C1625">
        <f>IFERROR(INDEX(RawBits!$G:$G,MATCH($A1625,RawBits!$H:$H,0)),"")</f>
        <v/>
      </c>
      <c r="D1625">
        <f>IFERROR(IF(AND(A1625&gt;=129,A1625&lt;=2176),INDEX(Fields!$B$2:$B$206,MATCH(A1625-129,Fields!$D$2:$D$206,1)),""),"")</f>
        <v/>
      </c>
      <c r="E1625">
        <f>IFERROR(IF(AND(A1625&gt;=129,A1625&lt;=2176),INDEX(Fields!$C$2:$C$206,MATCH(A1625-129,Fields!$D$2:$D$206,1)),""),"")</f>
        <v/>
      </c>
    </row>
    <row r="1626">
      <c r="A1626" t="n">
        <v>1625</v>
      </c>
      <c r="B1626">
        <f>IFERROR(INDEX(RawBits!$A:$A,MATCH($A1626,RawBits!$H:$H,0)),"?")</f>
        <v/>
      </c>
      <c r="C1626">
        <f>IFERROR(INDEX(RawBits!$G:$G,MATCH($A1626,RawBits!$H:$H,0)),"")</f>
        <v/>
      </c>
      <c r="D1626">
        <f>IFERROR(IF(AND(A1626&gt;=129,A1626&lt;=2176),INDEX(Fields!$B$2:$B$206,MATCH(A1626-129,Fields!$D$2:$D$206,1)),""),"")</f>
        <v/>
      </c>
      <c r="E1626">
        <f>IFERROR(IF(AND(A1626&gt;=129,A1626&lt;=2176),INDEX(Fields!$C$2:$C$206,MATCH(A1626-129,Fields!$D$2:$D$206,1)),""),"")</f>
        <v/>
      </c>
    </row>
    <row r="1627">
      <c r="A1627" t="n">
        <v>1626</v>
      </c>
      <c r="B1627">
        <f>IFERROR(INDEX(RawBits!$A:$A,MATCH($A1627,RawBits!$H:$H,0)),"?")</f>
        <v/>
      </c>
      <c r="C1627">
        <f>IFERROR(INDEX(RawBits!$G:$G,MATCH($A1627,RawBits!$H:$H,0)),"")</f>
        <v/>
      </c>
      <c r="D1627">
        <f>IFERROR(IF(AND(A1627&gt;=129,A1627&lt;=2176),INDEX(Fields!$B$2:$B$206,MATCH(A1627-129,Fields!$D$2:$D$206,1)),""),"")</f>
        <v/>
      </c>
      <c r="E1627">
        <f>IFERROR(IF(AND(A1627&gt;=129,A1627&lt;=2176),INDEX(Fields!$C$2:$C$206,MATCH(A1627-129,Fields!$D$2:$D$206,1)),""),"")</f>
        <v/>
      </c>
    </row>
    <row r="1628">
      <c r="A1628" t="n">
        <v>1627</v>
      </c>
      <c r="B1628">
        <f>IFERROR(INDEX(RawBits!$A:$A,MATCH($A1628,RawBits!$H:$H,0)),"?")</f>
        <v/>
      </c>
      <c r="C1628">
        <f>IFERROR(INDEX(RawBits!$G:$G,MATCH($A1628,RawBits!$H:$H,0)),"")</f>
        <v/>
      </c>
      <c r="D1628">
        <f>IFERROR(IF(AND(A1628&gt;=129,A1628&lt;=2176),INDEX(Fields!$B$2:$B$206,MATCH(A1628-129,Fields!$D$2:$D$206,1)),""),"")</f>
        <v/>
      </c>
      <c r="E1628">
        <f>IFERROR(IF(AND(A1628&gt;=129,A1628&lt;=2176),INDEX(Fields!$C$2:$C$206,MATCH(A1628-129,Fields!$D$2:$D$206,1)),""),"")</f>
        <v/>
      </c>
    </row>
    <row r="1629">
      <c r="A1629" t="n">
        <v>1628</v>
      </c>
      <c r="B1629">
        <f>IFERROR(INDEX(RawBits!$A:$A,MATCH($A1629,RawBits!$H:$H,0)),"?")</f>
        <v/>
      </c>
      <c r="C1629">
        <f>IFERROR(INDEX(RawBits!$G:$G,MATCH($A1629,RawBits!$H:$H,0)),"")</f>
        <v/>
      </c>
      <c r="D1629">
        <f>IFERROR(IF(AND(A1629&gt;=129,A1629&lt;=2176),INDEX(Fields!$B$2:$B$206,MATCH(A1629-129,Fields!$D$2:$D$206,1)),""),"")</f>
        <v/>
      </c>
      <c r="E1629">
        <f>IFERROR(IF(AND(A1629&gt;=129,A1629&lt;=2176),INDEX(Fields!$C$2:$C$206,MATCH(A1629-129,Fields!$D$2:$D$206,1)),""),"")</f>
        <v/>
      </c>
    </row>
    <row r="1630">
      <c r="A1630" t="n">
        <v>1629</v>
      </c>
      <c r="B1630">
        <f>IFERROR(INDEX(RawBits!$A:$A,MATCH($A1630,RawBits!$H:$H,0)),"?")</f>
        <v/>
      </c>
      <c r="C1630">
        <f>IFERROR(INDEX(RawBits!$G:$G,MATCH($A1630,RawBits!$H:$H,0)),"")</f>
        <v/>
      </c>
      <c r="D1630">
        <f>IFERROR(IF(AND(A1630&gt;=129,A1630&lt;=2176),INDEX(Fields!$B$2:$B$206,MATCH(A1630-129,Fields!$D$2:$D$206,1)),""),"")</f>
        <v/>
      </c>
      <c r="E1630">
        <f>IFERROR(IF(AND(A1630&gt;=129,A1630&lt;=2176),INDEX(Fields!$C$2:$C$206,MATCH(A1630-129,Fields!$D$2:$D$206,1)),""),"")</f>
        <v/>
      </c>
    </row>
    <row r="1631">
      <c r="A1631" t="n">
        <v>1630</v>
      </c>
      <c r="B1631">
        <f>IFERROR(INDEX(RawBits!$A:$A,MATCH($A1631,RawBits!$H:$H,0)),"?")</f>
        <v/>
      </c>
      <c r="C1631">
        <f>IFERROR(INDEX(RawBits!$G:$G,MATCH($A1631,RawBits!$H:$H,0)),"")</f>
        <v/>
      </c>
      <c r="D1631">
        <f>IFERROR(IF(AND(A1631&gt;=129,A1631&lt;=2176),INDEX(Fields!$B$2:$B$206,MATCH(A1631-129,Fields!$D$2:$D$206,1)),""),"")</f>
        <v/>
      </c>
      <c r="E1631">
        <f>IFERROR(IF(AND(A1631&gt;=129,A1631&lt;=2176),INDEX(Fields!$C$2:$C$206,MATCH(A1631-129,Fields!$D$2:$D$206,1)),""),"")</f>
        <v/>
      </c>
    </row>
    <row r="1632">
      <c r="A1632" t="n">
        <v>1631</v>
      </c>
      <c r="B1632">
        <f>IFERROR(INDEX(RawBits!$A:$A,MATCH($A1632,RawBits!$H:$H,0)),"?")</f>
        <v/>
      </c>
      <c r="C1632">
        <f>IFERROR(INDEX(RawBits!$G:$G,MATCH($A1632,RawBits!$H:$H,0)),"")</f>
        <v/>
      </c>
      <c r="D1632">
        <f>IFERROR(IF(AND(A1632&gt;=129,A1632&lt;=2176),INDEX(Fields!$B$2:$B$206,MATCH(A1632-129,Fields!$D$2:$D$206,1)),""),"")</f>
        <v/>
      </c>
      <c r="E1632">
        <f>IFERROR(IF(AND(A1632&gt;=129,A1632&lt;=2176),INDEX(Fields!$C$2:$C$206,MATCH(A1632-129,Fields!$D$2:$D$206,1)),""),"")</f>
        <v/>
      </c>
    </row>
    <row r="1633">
      <c r="A1633" t="n">
        <v>1632</v>
      </c>
      <c r="B1633">
        <f>IFERROR(INDEX(RawBits!$A:$A,MATCH($A1633,RawBits!$H:$H,0)),"?")</f>
        <v/>
      </c>
      <c r="C1633">
        <f>IFERROR(INDEX(RawBits!$G:$G,MATCH($A1633,RawBits!$H:$H,0)),"")</f>
        <v/>
      </c>
      <c r="D1633">
        <f>IFERROR(IF(AND(A1633&gt;=129,A1633&lt;=2176),INDEX(Fields!$B$2:$B$206,MATCH(A1633-129,Fields!$D$2:$D$206,1)),""),"")</f>
        <v/>
      </c>
      <c r="E1633">
        <f>IFERROR(IF(AND(A1633&gt;=129,A1633&lt;=2176),INDEX(Fields!$C$2:$C$206,MATCH(A1633-129,Fields!$D$2:$D$206,1)),""),"")</f>
        <v/>
      </c>
    </row>
    <row r="1634">
      <c r="A1634" t="n">
        <v>1633</v>
      </c>
      <c r="B1634">
        <f>IFERROR(INDEX(RawBits!$A:$A,MATCH($A1634,RawBits!$H:$H,0)),"?")</f>
        <v/>
      </c>
      <c r="C1634">
        <f>IFERROR(INDEX(RawBits!$G:$G,MATCH($A1634,RawBits!$H:$H,0)),"")</f>
        <v/>
      </c>
      <c r="D1634">
        <f>IFERROR(IF(AND(A1634&gt;=129,A1634&lt;=2176),INDEX(Fields!$B$2:$B$206,MATCH(A1634-129,Fields!$D$2:$D$206,1)),""),"")</f>
        <v/>
      </c>
      <c r="E1634">
        <f>IFERROR(IF(AND(A1634&gt;=129,A1634&lt;=2176),INDEX(Fields!$C$2:$C$206,MATCH(A1634-129,Fields!$D$2:$D$206,1)),""),"")</f>
        <v/>
      </c>
    </row>
    <row r="1635">
      <c r="A1635" t="n">
        <v>1634</v>
      </c>
      <c r="B1635">
        <f>IFERROR(INDEX(RawBits!$A:$A,MATCH($A1635,RawBits!$H:$H,0)),"?")</f>
        <v/>
      </c>
      <c r="C1635">
        <f>IFERROR(INDEX(RawBits!$G:$G,MATCH($A1635,RawBits!$H:$H,0)),"")</f>
        <v/>
      </c>
      <c r="D1635">
        <f>IFERROR(IF(AND(A1635&gt;=129,A1635&lt;=2176),INDEX(Fields!$B$2:$B$206,MATCH(A1635-129,Fields!$D$2:$D$206,1)),""),"")</f>
        <v/>
      </c>
      <c r="E1635">
        <f>IFERROR(IF(AND(A1635&gt;=129,A1635&lt;=2176),INDEX(Fields!$C$2:$C$206,MATCH(A1635-129,Fields!$D$2:$D$206,1)),""),"")</f>
        <v/>
      </c>
    </row>
    <row r="1636">
      <c r="A1636" t="n">
        <v>1635</v>
      </c>
      <c r="B1636">
        <f>IFERROR(INDEX(RawBits!$A:$A,MATCH($A1636,RawBits!$H:$H,0)),"?")</f>
        <v/>
      </c>
      <c r="C1636">
        <f>IFERROR(INDEX(RawBits!$G:$G,MATCH($A1636,RawBits!$H:$H,0)),"")</f>
        <v/>
      </c>
      <c r="D1636">
        <f>IFERROR(IF(AND(A1636&gt;=129,A1636&lt;=2176),INDEX(Fields!$B$2:$B$206,MATCH(A1636-129,Fields!$D$2:$D$206,1)),""),"")</f>
        <v/>
      </c>
      <c r="E1636">
        <f>IFERROR(IF(AND(A1636&gt;=129,A1636&lt;=2176),INDEX(Fields!$C$2:$C$206,MATCH(A1636-129,Fields!$D$2:$D$206,1)),""),"")</f>
        <v/>
      </c>
    </row>
    <row r="1637">
      <c r="A1637" t="n">
        <v>1636</v>
      </c>
      <c r="B1637">
        <f>IFERROR(INDEX(RawBits!$A:$A,MATCH($A1637,RawBits!$H:$H,0)),"?")</f>
        <v/>
      </c>
      <c r="C1637">
        <f>IFERROR(INDEX(RawBits!$G:$G,MATCH($A1637,RawBits!$H:$H,0)),"")</f>
        <v/>
      </c>
      <c r="D1637">
        <f>IFERROR(IF(AND(A1637&gt;=129,A1637&lt;=2176),INDEX(Fields!$B$2:$B$206,MATCH(A1637-129,Fields!$D$2:$D$206,1)),""),"")</f>
        <v/>
      </c>
      <c r="E1637">
        <f>IFERROR(IF(AND(A1637&gt;=129,A1637&lt;=2176),INDEX(Fields!$C$2:$C$206,MATCH(A1637-129,Fields!$D$2:$D$206,1)),""),"")</f>
        <v/>
      </c>
    </row>
    <row r="1638">
      <c r="A1638" t="n">
        <v>1637</v>
      </c>
      <c r="B1638">
        <f>IFERROR(INDEX(RawBits!$A:$A,MATCH($A1638,RawBits!$H:$H,0)),"?")</f>
        <v/>
      </c>
      <c r="C1638">
        <f>IFERROR(INDEX(RawBits!$G:$G,MATCH($A1638,RawBits!$H:$H,0)),"")</f>
        <v/>
      </c>
      <c r="D1638">
        <f>IFERROR(IF(AND(A1638&gt;=129,A1638&lt;=2176),INDEX(Fields!$B$2:$B$206,MATCH(A1638-129,Fields!$D$2:$D$206,1)),""),"")</f>
        <v/>
      </c>
      <c r="E1638">
        <f>IFERROR(IF(AND(A1638&gt;=129,A1638&lt;=2176),INDEX(Fields!$C$2:$C$206,MATCH(A1638-129,Fields!$D$2:$D$206,1)),""),"")</f>
        <v/>
      </c>
    </row>
    <row r="1639">
      <c r="A1639" t="n">
        <v>1638</v>
      </c>
      <c r="B1639">
        <f>IFERROR(INDEX(RawBits!$A:$A,MATCH($A1639,RawBits!$H:$H,0)),"?")</f>
        <v/>
      </c>
      <c r="C1639">
        <f>IFERROR(INDEX(RawBits!$G:$G,MATCH($A1639,RawBits!$H:$H,0)),"")</f>
        <v/>
      </c>
      <c r="D1639">
        <f>IFERROR(IF(AND(A1639&gt;=129,A1639&lt;=2176),INDEX(Fields!$B$2:$B$206,MATCH(A1639-129,Fields!$D$2:$D$206,1)),""),"")</f>
        <v/>
      </c>
      <c r="E1639">
        <f>IFERROR(IF(AND(A1639&gt;=129,A1639&lt;=2176),INDEX(Fields!$C$2:$C$206,MATCH(A1639-129,Fields!$D$2:$D$206,1)),""),"")</f>
        <v/>
      </c>
    </row>
    <row r="1640">
      <c r="A1640" t="n">
        <v>1639</v>
      </c>
      <c r="B1640">
        <f>IFERROR(INDEX(RawBits!$A:$A,MATCH($A1640,RawBits!$H:$H,0)),"?")</f>
        <v/>
      </c>
      <c r="C1640">
        <f>IFERROR(INDEX(RawBits!$G:$G,MATCH($A1640,RawBits!$H:$H,0)),"")</f>
        <v/>
      </c>
      <c r="D1640">
        <f>IFERROR(IF(AND(A1640&gt;=129,A1640&lt;=2176),INDEX(Fields!$B$2:$B$206,MATCH(A1640-129,Fields!$D$2:$D$206,1)),""),"")</f>
        <v/>
      </c>
      <c r="E1640">
        <f>IFERROR(IF(AND(A1640&gt;=129,A1640&lt;=2176),INDEX(Fields!$C$2:$C$206,MATCH(A1640-129,Fields!$D$2:$D$206,1)),""),"")</f>
        <v/>
      </c>
    </row>
    <row r="1641">
      <c r="A1641" t="n">
        <v>1640</v>
      </c>
      <c r="B1641">
        <f>IFERROR(INDEX(RawBits!$A:$A,MATCH($A1641,RawBits!$H:$H,0)),"?")</f>
        <v/>
      </c>
      <c r="C1641">
        <f>IFERROR(INDEX(RawBits!$G:$G,MATCH($A1641,RawBits!$H:$H,0)),"")</f>
        <v/>
      </c>
      <c r="D1641">
        <f>IFERROR(IF(AND(A1641&gt;=129,A1641&lt;=2176),INDEX(Fields!$B$2:$B$206,MATCH(A1641-129,Fields!$D$2:$D$206,1)),""),"")</f>
        <v/>
      </c>
      <c r="E1641">
        <f>IFERROR(IF(AND(A1641&gt;=129,A1641&lt;=2176),INDEX(Fields!$C$2:$C$206,MATCH(A1641-129,Fields!$D$2:$D$206,1)),""),"")</f>
        <v/>
      </c>
    </row>
    <row r="1642">
      <c r="A1642" t="n">
        <v>1641</v>
      </c>
      <c r="B1642">
        <f>IFERROR(INDEX(RawBits!$A:$A,MATCH($A1642,RawBits!$H:$H,0)),"?")</f>
        <v/>
      </c>
      <c r="C1642">
        <f>IFERROR(INDEX(RawBits!$G:$G,MATCH($A1642,RawBits!$H:$H,0)),"")</f>
        <v/>
      </c>
      <c r="D1642">
        <f>IFERROR(IF(AND(A1642&gt;=129,A1642&lt;=2176),INDEX(Fields!$B$2:$B$206,MATCH(A1642-129,Fields!$D$2:$D$206,1)),""),"")</f>
        <v/>
      </c>
      <c r="E1642">
        <f>IFERROR(IF(AND(A1642&gt;=129,A1642&lt;=2176),INDEX(Fields!$C$2:$C$206,MATCH(A1642-129,Fields!$D$2:$D$206,1)),""),"")</f>
        <v/>
      </c>
    </row>
    <row r="1643">
      <c r="A1643" t="n">
        <v>1642</v>
      </c>
      <c r="B1643">
        <f>IFERROR(INDEX(RawBits!$A:$A,MATCH($A1643,RawBits!$H:$H,0)),"?")</f>
        <v/>
      </c>
      <c r="C1643">
        <f>IFERROR(INDEX(RawBits!$G:$G,MATCH($A1643,RawBits!$H:$H,0)),"")</f>
        <v/>
      </c>
      <c r="D1643">
        <f>IFERROR(IF(AND(A1643&gt;=129,A1643&lt;=2176),INDEX(Fields!$B$2:$B$206,MATCH(A1643-129,Fields!$D$2:$D$206,1)),""),"")</f>
        <v/>
      </c>
      <c r="E1643">
        <f>IFERROR(IF(AND(A1643&gt;=129,A1643&lt;=2176),INDEX(Fields!$C$2:$C$206,MATCH(A1643-129,Fields!$D$2:$D$206,1)),""),"")</f>
        <v/>
      </c>
    </row>
    <row r="1644">
      <c r="A1644" t="n">
        <v>1643</v>
      </c>
      <c r="B1644">
        <f>IFERROR(INDEX(RawBits!$A:$A,MATCH($A1644,RawBits!$H:$H,0)),"?")</f>
        <v/>
      </c>
      <c r="C1644">
        <f>IFERROR(INDEX(RawBits!$G:$G,MATCH($A1644,RawBits!$H:$H,0)),"")</f>
        <v/>
      </c>
      <c r="D1644">
        <f>IFERROR(IF(AND(A1644&gt;=129,A1644&lt;=2176),INDEX(Fields!$B$2:$B$206,MATCH(A1644-129,Fields!$D$2:$D$206,1)),""),"")</f>
        <v/>
      </c>
      <c r="E1644">
        <f>IFERROR(IF(AND(A1644&gt;=129,A1644&lt;=2176),INDEX(Fields!$C$2:$C$206,MATCH(A1644-129,Fields!$D$2:$D$206,1)),""),"")</f>
        <v/>
      </c>
    </row>
    <row r="1645">
      <c r="A1645" t="n">
        <v>1644</v>
      </c>
      <c r="B1645">
        <f>IFERROR(INDEX(RawBits!$A:$A,MATCH($A1645,RawBits!$H:$H,0)),"?")</f>
        <v/>
      </c>
      <c r="C1645">
        <f>IFERROR(INDEX(RawBits!$G:$G,MATCH($A1645,RawBits!$H:$H,0)),"")</f>
        <v/>
      </c>
      <c r="D1645">
        <f>IFERROR(IF(AND(A1645&gt;=129,A1645&lt;=2176),INDEX(Fields!$B$2:$B$206,MATCH(A1645-129,Fields!$D$2:$D$206,1)),""),"")</f>
        <v/>
      </c>
      <c r="E1645">
        <f>IFERROR(IF(AND(A1645&gt;=129,A1645&lt;=2176),INDEX(Fields!$C$2:$C$206,MATCH(A1645-129,Fields!$D$2:$D$206,1)),""),"")</f>
        <v/>
      </c>
    </row>
    <row r="1646">
      <c r="A1646" t="n">
        <v>1645</v>
      </c>
      <c r="B1646">
        <f>IFERROR(INDEX(RawBits!$A:$A,MATCH($A1646,RawBits!$H:$H,0)),"?")</f>
        <v/>
      </c>
      <c r="C1646">
        <f>IFERROR(INDEX(RawBits!$G:$G,MATCH($A1646,RawBits!$H:$H,0)),"")</f>
        <v/>
      </c>
      <c r="D1646">
        <f>IFERROR(IF(AND(A1646&gt;=129,A1646&lt;=2176),INDEX(Fields!$B$2:$B$206,MATCH(A1646-129,Fields!$D$2:$D$206,1)),""),"")</f>
        <v/>
      </c>
      <c r="E1646">
        <f>IFERROR(IF(AND(A1646&gt;=129,A1646&lt;=2176),INDEX(Fields!$C$2:$C$206,MATCH(A1646-129,Fields!$D$2:$D$206,1)),""),"")</f>
        <v/>
      </c>
    </row>
    <row r="1647">
      <c r="A1647" t="n">
        <v>1646</v>
      </c>
      <c r="B1647">
        <f>IFERROR(INDEX(RawBits!$A:$A,MATCH($A1647,RawBits!$H:$H,0)),"?")</f>
        <v/>
      </c>
      <c r="C1647">
        <f>IFERROR(INDEX(RawBits!$G:$G,MATCH($A1647,RawBits!$H:$H,0)),"")</f>
        <v/>
      </c>
      <c r="D1647">
        <f>IFERROR(IF(AND(A1647&gt;=129,A1647&lt;=2176),INDEX(Fields!$B$2:$B$206,MATCH(A1647-129,Fields!$D$2:$D$206,1)),""),"")</f>
        <v/>
      </c>
      <c r="E1647">
        <f>IFERROR(IF(AND(A1647&gt;=129,A1647&lt;=2176),INDEX(Fields!$C$2:$C$206,MATCH(A1647-129,Fields!$D$2:$D$206,1)),""),"")</f>
        <v/>
      </c>
    </row>
    <row r="1648">
      <c r="A1648" t="n">
        <v>1647</v>
      </c>
      <c r="B1648">
        <f>IFERROR(INDEX(RawBits!$A:$A,MATCH($A1648,RawBits!$H:$H,0)),"?")</f>
        <v/>
      </c>
      <c r="C1648">
        <f>IFERROR(INDEX(RawBits!$G:$G,MATCH($A1648,RawBits!$H:$H,0)),"")</f>
        <v/>
      </c>
      <c r="D1648">
        <f>IFERROR(IF(AND(A1648&gt;=129,A1648&lt;=2176),INDEX(Fields!$B$2:$B$206,MATCH(A1648-129,Fields!$D$2:$D$206,1)),""),"")</f>
        <v/>
      </c>
      <c r="E1648">
        <f>IFERROR(IF(AND(A1648&gt;=129,A1648&lt;=2176),INDEX(Fields!$C$2:$C$206,MATCH(A1648-129,Fields!$D$2:$D$206,1)),""),"")</f>
        <v/>
      </c>
    </row>
    <row r="1649">
      <c r="A1649" t="n">
        <v>1648</v>
      </c>
      <c r="B1649">
        <f>IFERROR(INDEX(RawBits!$A:$A,MATCH($A1649,RawBits!$H:$H,0)),"?")</f>
        <v/>
      </c>
      <c r="C1649">
        <f>IFERROR(INDEX(RawBits!$G:$G,MATCH($A1649,RawBits!$H:$H,0)),"")</f>
        <v/>
      </c>
      <c r="D1649">
        <f>IFERROR(IF(AND(A1649&gt;=129,A1649&lt;=2176),INDEX(Fields!$B$2:$B$206,MATCH(A1649-129,Fields!$D$2:$D$206,1)),""),"")</f>
        <v/>
      </c>
      <c r="E1649">
        <f>IFERROR(IF(AND(A1649&gt;=129,A1649&lt;=2176),INDEX(Fields!$C$2:$C$206,MATCH(A1649-129,Fields!$D$2:$D$206,1)),""),"")</f>
        <v/>
      </c>
    </row>
    <row r="1650">
      <c r="A1650" t="n">
        <v>1649</v>
      </c>
      <c r="B1650">
        <f>IFERROR(INDEX(RawBits!$A:$A,MATCH($A1650,RawBits!$H:$H,0)),"?")</f>
        <v/>
      </c>
      <c r="C1650">
        <f>IFERROR(INDEX(RawBits!$G:$G,MATCH($A1650,RawBits!$H:$H,0)),"")</f>
        <v/>
      </c>
      <c r="D1650">
        <f>IFERROR(IF(AND(A1650&gt;=129,A1650&lt;=2176),INDEX(Fields!$B$2:$B$206,MATCH(A1650-129,Fields!$D$2:$D$206,1)),""),"")</f>
        <v/>
      </c>
      <c r="E1650">
        <f>IFERROR(IF(AND(A1650&gt;=129,A1650&lt;=2176),INDEX(Fields!$C$2:$C$206,MATCH(A1650-129,Fields!$D$2:$D$206,1)),""),"")</f>
        <v/>
      </c>
    </row>
    <row r="1651">
      <c r="A1651" t="n">
        <v>1650</v>
      </c>
      <c r="B1651">
        <f>IFERROR(INDEX(RawBits!$A:$A,MATCH($A1651,RawBits!$H:$H,0)),"?")</f>
        <v/>
      </c>
      <c r="C1651">
        <f>IFERROR(INDEX(RawBits!$G:$G,MATCH($A1651,RawBits!$H:$H,0)),"")</f>
        <v/>
      </c>
      <c r="D1651">
        <f>IFERROR(IF(AND(A1651&gt;=129,A1651&lt;=2176),INDEX(Fields!$B$2:$B$206,MATCH(A1651-129,Fields!$D$2:$D$206,1)),""),"")</f>
        <v/>
      </c>
      <c r="E1651">
        <f>IFERROR(IF(AND(A1651&gt;=129,A1651&lt;=2176),INDEX(Fields!$C$2:$C$206,MATCH(A1651-129,Fields!$D$2:$D$206,1)),""),"")</f>
        <v/>
      </c>
    </row>
    <row r="1652">
      <c r="A1652" t="n">
        <v>1651</v>
      </c>
      <c r="B1652">
        <f>IFERROR(INDEX(RawBits!$A:$A,MATCH($A1652,RawBits!$H:$H,0)),"?")</f>
        <v/>
      </c>
      <c r="C1652">
        <f>IFERROR(INDEX(RawBits!$G:$G,MATCH($A1652,RawBits!$H:$H,0)),"")</f>
        <v/>
      </c>
      <c r="D1652">
        <f>IFERROR(IF(AND(A1652&gt;=129,A1652&lt;=2176),INDEX(Fields!$B$2:$B$206,MATCH(A1652-129,Fields!$D$2:$D$206,1)),""),"")</f>
        <v/>
      </c>
      <c r="E1652">
        <f>IFERROR(IF(AND(A1652&gt;=129,A1652&lt;=2176),INDEX(Fields!$C$2:$C$206,MATCH(A1652-129,Fields!$D$2:$D$206,1)),""),"")</f>
        <v/>
      </c>
    </row>
    <row r="1653">
      <c r="A1653" t="n">
        <v>1652</v>
      </c>
      <c r="B1653">
        <f>IFERROR(INDEX(RawBits!$A:$A,MATCH($A1653,RawBits!$H:$H,0)),"?")</f>
        <v/>
      </c>
      <c r="C1653">
        <f>IFERROR(INDEX(RawBits!$G:$G,MATCH($A1653,RawBits!$H:$H,0)),"")</f>
        <v/>
      </c>
      <c r="D1653">
        <f>IFERROR(IF(AND(A1653&gt;=129,A1653&lt;=2176),INDEX(Fields!$B$2:$B$206,MATCH(A1653-129,Fields!$D$2:$D$206,1)),""),"")</f>
        <v/>
      </c>
      <c r="E1653">
        <f>IFERROR(IF(AND(A1653&gt;=129,A1653&lt;=2176),INDEX(Fields!$C$2:$C$206,MATCH(A1653-129,Fields!$D$2:$D$206,1)),""),"")</f>
        <v/>
      </c>
    </row>
    <row r="1654">
      <c r="A1654" t="n">
        <v>1653</v>
      </c>
      <c r="B1654">
        <f>IFERROR(INDEX(RawBits!$A:$A,MATCH($A1654,RawBits!$H:$H,0)),"?")</f>
        <v/>
      </c>
      <c r="C1654">
        <f>IFERROR(INDEX(RawBits!$G:$G,MATCH($A1654,RawBits!$H:$H,0)),"")</f>
        <v/>
      </c>
      <c r="D1654">
        <f>IFERROR(IF(AND(A1654&gt;=129,A1654&lt;=2176),INDEX(Fields!$B$2:$B$206,MATCH(A1654-129,Fields!$D$2:$D$206,1)),""),"")</f>
        <v/>
      </c>
      <c r="E1654">
        <f>IFERROR(IF(AND(A1654&gt;=129,A1654&lt;=2176),INDEX(Fields!$C$2:$C$206,MATCH(A1654-129,Fields!$D$2:$D$206,1)),""),"")</f>
        <v/>
      </c>
    </row>
    <row r="1655">
      <c r="A1655" t="n">
        <v>1654</v>
      </c>
      <c r="B1655">
        <f>IFERROR(INDEX(RawBits!$A:$A,MATCH($A1655,RawBits!$H:$H,0)),"?")</f>
        <v/>
      </c>
      <c r="C1655">
        <f>IFERROR(INDEX(RawBits!$G:$G,MATCH($A1655,RawBits!$H:$H,0)),"")</f>
        <v/>
      </c>
      <c r="D1655">
        <f>IFERROR(IF(AND(A1655&gt;=129,A1655&lt;=2176),INDEX(Fields!$B$2:$B$206,MATCH(A1655-129,Fields!$D$2:$D$206,1)),""),"")</f>
        <v/>
      </c>
      <c r="E1655">
        <f>IFERROR(IF(AND(A1655&gt;=129,A1655&lt;=2176),INDEX(Fields!$C$2:$C$206,MATCH(A1655-129,Fields!$D$2:$D$206,1)),""),"")</f>
        <v/>
      </c>
    </row>
    <row r="1656">
      <c r="A1656" t="n">
        <v>1655</v>
      </c>
      <c r="B1656">
        <f>IFERROR(INDEX(RawBits!$A:$A,MATCH($A1656,RawBits!$H:$H,0)),"?")</f>
        <v/>
      </c>
      <c r="C1656">
        <f>IFERROR(INDEX(RawBits!$G:$G,MATCH($A1656,RawBits!$H:$H,0)),"")</f>
        <v/>
      </c>
      <c r="D1656">
        <f>IFERROR(IF(AND(A1656&gt;=129,A1656&lt;=2176),INDEX(Fields!$B$2:$B$206,MATCH(A1656-129,Fields!$D$2:$D$206,1)),""),"")</f>
        <v/>
      </c>
      <c r="E1656">
        <f>IFERROR(IF(AND(A1656&gt;=129,A1656&lt;=2176),INDEX(Fields!$C$2:$C$206,MATCH(A1656-129,Fields!$D$2:$D$206,1)),""),"")</f>
        <v/>
      </c>
    </row>
    <row r="1657">
      <c r="A1657" t="n">
        <v>1656</v>
      </c>
      <c r="B1657">
        <f>IFERROR(INDEX(RawBits!$A:$A,MATCH($A1657,RawBits!$H:$H,0)),"?")</f>
        <v/>
      </c>
      <c r="C1657">
        <f>IFERROR(INDEX(RawBits!$G:$G,MATCH($A1657,RawBits!$H:$H,0)),"")</f>
        <v/>
      </c>
      <c r="D1657">
        <f>IFERROR(IF(AND(A1657&gt;=129,A1657&lt;=2176),INDEX(Fields!$B$2:$B$206,MATCH(A1657-129,Fields!$D$2:$D$206,1)),""),"")</f>
        <v/>
      </c>
      <c r="E1657">
        <f>IFERROR(IF(AND(A1657&gt;=129,A1657&lt;=2176),INDEX(Fields!$C$2:$C$206,MATCH(A1657-129,Fields!$D$2:$D$206,1)),""),"")</f>
        <v/>
      </c>
    </row>
    <row r="1658">
      <c r="A1658" t="n">
        <v>1657</v>
      </c>
      <c r="B1658">
        <f>IFERROR(INDEX(RawBits!$A:$A,MATCH($A1658,RawBits!$H:$H,0)),"?")</f>
        <v/>
      </c>
      <c r="C1658">
        <f>IFERROR(INDEX(RawBits!$G:$G,MATCH($A1658,RawBits!$H:$H,0)),"")</f>
        <v/>
      </c>
      <c r="D1658">
        <f>IFERROR(IF(AND(A1658&gt;=129,A1658&lt;=2176),INDEX(Fields!$B$2:$B$206,MATCH(A1658-129,Fields!$D$2:$D$206,1)),""),"")</f>
        <v/>
      </c>
      <c r="E1658">
        <f>IFERROR(IF(AND(A1658&gt;=129,A1658&lt;=2176),INDEX(Fields!$C$2:$C$206,MATCH(A1658-129,Fields!$D$2:$D$206,1)),""),"")</f>
        <v/>
      </c>
    </row>
    <row r="1659">
      <c r="A1659" t="n">
        <v>1658</v>
      </c>
      <c r="B1659">
        <f>IFERROR(INDEX(RawBits!$A:$A,MATCH($A1659,RawBits!$H:$H,0)),"?")</f>
        <v/>
      </c>
      <c r="C1659">
        <f>IFERROR(INDEX(RawBits!$G:$G,MATCH($A1659,RawBits!$H:$H,0)),"")</f>
        <v/>
      </c>
      <c r="D1659">
        <f>IFERROR(IF(AND(A1659&gt;=129,A1659&lt;=2176),INDEX(Fields!$B$2:$B$206,MATCH(A1659-129,Fields!$D$2:$D$206,1)),""),"")</f>
        <v/>
      </c>
      <c r="E1659">
        <f>IFERROR(IF(AND(A1659&gt;=129,A1659&lt;=2176),INDEX(Fields!$C$2:$C$206,MATCH(A1659-129,Fields!$D$2:$D$206,1)),""),"")</f>
        <v/>
      </c>
    </row>
    <row r="1660">
      <c r="A1660" t="n">
        <v>1659</v>
      </c>
      <c r="B1660">
        <f>IFERROR(INDEX(RawBits!$A:$A,MATCH($A1660,RawBits!$H:$H,0)),"?")</f>
        <v/>
      </c>
      <c r="C1660">
        <f>IFERROR(INDEX(RawBits!$G:$G,MATCH($A1660,RawBits!$H:$H,0)),"")</f>
        <v/>
      </c>
      <c r="D1660">
        <f>IFERROR(IF(AND(A1660&gt;=129,A1660&lt;=2176),INDEX(Fields!$B$2:$B$206,MATCH(A1660-129,Fields!$D$2:$D$206,1)),""),"")</f>
        <v/>
      </c>
      <c r="E1660">
        <f>IFERROR(IF(AND(A1660&gt;=129,A1660&lt;=2176),INDEX(Fields!$C$2:$C$206,MATCH(A1660-129,Fields!$D$2:$D$206,1)),""),"")</f>
        <v/>
      </c>
    </row>
    <row r="1661">
      <c r="A1661" t="n">
        <v>1660</v>
      </c>
      <c r="B1661">
        <f>IFERROR(INDEX(RawBits!$A:$A,MATCH($A1661,RawBits!$H:$H,0)),"?")</f>
        <v/>
      </c>
      <c r="C1661">
        <f>IFERROR(INDEX(RawBits!$G:$G,MATCH($A1661,RawBits!$H:$H,0)),"")</f>
        <v/>
      </c>
      <c r="D1661">
        <f>IFERROR(IF(AND(A1661&gt;=129,A1661&lt;=2176),INDEX(Fields!$B$2:$B$206,MATCH(A1661-129,Fields!$D$2:$D$206,1)),""),"")</f>
        <v/>
      </c>
      <c r="E1661">
        <f>IFERROR(IF(AND(A1661&gt;=129,A1661&lt;=2176),INDEX(Fields!$C$2:$C$206,MATCH(A1661-129,Fields!$D$2:$D$206,1)),""),"")</f>
        <v/>
      </c>
    </row>
    <row r="1662">
      <c r="A1662" t="n">
        <v>1661</v>
      </c>
      <c r="B1662">
        <f>IFERROR(INDEX(RawBits!$A:$A,MATCH($A1662,RawBits!$H:$H,0)),"?")</f>
        <v/>
      </c>
      <c r="C1662">
        <f>IFERROR(INDEX(RawBits!$G:$G,MATCH($A1662,RawBits!$H:$H,0)),"")</f>
        <v/>
      </c>
      <c r="D1662">
        <f>IFERROR(IF(AND(A1662&gt;=129,A1662&lt;=2176),INDEX(Fields!$B$2:$B$206,MATCH(A1662-129,Fields!$D$2:$D$206,1)),""),"")</f>
        <v/>
      </c>
      <c r="E1662">
        <f>IFERROR(IF(AND(A1662&gt;=129,A1662&lt;=2176),INDEX(Fields!$C$2:$C$206,MATCH(A1662-129,Fields!$D$2:$D$206,1)),""),"")</f>
        <v/>
      </c>
    </row>
    <row r="1663">
      <c r="A1663" t="n">
        <v>1662</v>
      </c>
      <c r="B1663">
        <f>IFERROR(INDEX(RawBits!$A:$A,MATCH($A1663,RawBits!$H:$H,0)),"?")</f>
        <v/>
      </c>
      <c r="C1663">
        <f>IFERROR(INDEX(RawBits!$G:$G,MATCH($A1663,RawBits!$H:$H,0)),"")</f>
        <v/>
      </c>
      <c r="D1663">
        <f>IFERROR(IF(AND(A1663&gt;=129,A1663&lt;=2176),INDEX(Fields!$B$2:$B$206,MATCH(A1663-129,Fields!$D$2:$D$206,1)),""),"")</f>
        <v/>
      </c>
      <c r="E1663">
        <f>IFERROR(IF(AND(A1663&gt;=129,A1663&lt;=2176),INDEX(Fields!$C$2:$C$206,MATCH(A1663-129,Fields!$D$2:$D$206,1)),""),"")</f>
        <v/>
      </c>
    </row>
    <row r="1664">
      <c r="A1664" t="n">
        <v>1663</v>
      </c>
      <c r="B1664">
        <f>IFERROR(INDEX(RawBits!$A:$A,MATCH($A1664,RawBits!$H:$H,0)),"?")</f>
        <v/>
      </c>
      <c r="C1664">
        <f>IFERROR(INDEX(RawBits!$G:$G,MATCH($A1664,RawBits!$H:$H,0)),"")</f>
        <v/>
      </c>
      <c r="D1664">
        <f>IFERROR(IF(AND(A1664&gt;=129,A1664&lt;=2176),INDEX(Fields!$B$2:$B$206,MATCH(A1664-129,Fields!$D$2:$D$206,1)),""),"")</f>
        <v/>
      </c>
      <c r="E1664">
        <f>IFERROR(IF(AND(A1664&gt;=129,A1664&lt;=2176),INDEX(Fields!$C$2:$C$206,MATCH(A1664-129,Fields!$D$2:$D$206,1)),""),"")</f>
        <v/>
      </c>
    </row>
    <row r="1665">
      <c r="A1665" t="n">
        <v>1664</v>
      </c>
      <c r="B1665">
        <f>IFERROR(INDEX(RawBits!$A:$A,MATCH($A1665,RawBits!$H:$H,0)),"?")</f>
        <v/>
      </c>
      <c r="C1665">
        <f>IFERROR(INDEX(RawBits!$G:$G,MATCH($A1665,RawBits!$H:$H,0)),"")</f>
        <v/>
      </c>
      <c r="D1665">
        <f>IFERROR(IF(AND(A1665&gt;=129,A1665&lt;=2176),INDEX(Fields!$B$2:$B$206,MATCH(A1665-129,Fields!$D$2:$D$206,1)),""),"")</f>
        <v/>
      </c>
      <c r="E1665">
        <f>IFERROR(IF(AND(A1665&gt;=129,A1665&lt;=2176),INDEX(Fields!$C$2:$C$206,MATCH(A1665-129,Fields!$D$2:$D$206,1)),""),"")</f>
        <v/>
      </c>
    </row>
    <row r="1666">
      <c r="A1666" t="n">
        <v>1665</v>
      </c>
      <c r="B1666">
        <f>IFERROR(INDEX(RawBits!$A:$A,MATCH($A1666,RawBits!$H:$H,0)),"?")</f>
        <v/>
      </c>
      <c r="C1666">
        <f>IFERROR(INDEX(RawBits!$G:$G,MATCH($A1666,RawBits!$H:$H,0)),"")</f>
        <v/>
      </c>
      <c r="D1666">
        <f>IFERROR(IF(AND(A1666&gt;=129,A1666&lt;=2176),INDEX(Fields!$B$2:$B$206,MATCH(A1666-129,Fields!$D$2:$D$206,1)),""),"")</f>
        <v/>
      </c>
      <c r="E1666">
        <f>IFERROR(IF(AND(A1666&gt;=129,A1666&lt;=2176),INDEX(Fields!$C$2:$C$206,MATCH(A1666-129,Fields!$D$2:$D$206,1)),""),"")</f>
        <v/>
      </c>
    </row>
    <row r="1667">
      <c r="A1667" t="n">
        <v>1666</v>
      </c>
      <c r="B1667">
        <f>IFERROR(INDEX(RawBits!$A:$A,MATCH($A1667,RawBits!$H:$H,0)),"?")</f>
        <v/>
      </c>
      <c r="C1667">
        <f>IFERROR(INDEX(RawBits!$G:$G,MATCH($A1667,RawBits!$H:$H,0)),"")</f>
        <v/>
      </c>
      <c r="D1667">
        <f>IFERROR(IF(AND(A1667&gt;=129,A1667&lt;=2176),INDEX(Fields!$B$2:$B$206,MATCH(A1667-129,Fields!$D$2:$D$206,1)),""),"")</f>
        <v/>
      </c>
      <c r="E1667">
        <f>IFERROR(IF(AND(A1667&gt;=129,A1667&lt;=2176),INDEX(Fields!$C$2:$C$206,MATCH(A1667-129,Fields!$D$2:$D$206,1)),""),"")</f>
        <v/>
      </c>
    </row>
    <row r="1668">
      <c r="A1668" t="n">
        <v>1667</v>
      </c>
      <c r="B1668">
        <f>IFERROR(INDEX(RawBits!$A:$A,MATCH($A1668,RawBits!$H:$H,0)),"?")</f>
        <v/>
      </c>
      <c r="C1668">
        <f>IFERROR(INDEX(RawBits!$G:$G,MATCH($A1668,RawBits!$H:$H,0)),"")</f>
        <v/>
      </c>
      <c r="D1668">
        <f>IFERROR(IF(AND(A1668&gt;=129,A1668&lt;=2176),INDEX(Fields!$B$2:$B$206,MATCH(A1668-129,Fields!$D$2:$D$206,1)),""),"")</f>
        <v/>
      </c>
      <c r="E1668">
        <f>IFERROR(IF(AND(A1668&gt;=129,A1668&lt;=2176),INDEX(Fields!$C$2:$C$206,MATCH(A1668-129,Fields!$D$2:$D$206,1)),""),"")</f>
        <v/>
      </c>
    </row>
    <row r="1669">
      <c r="A1669" t="n">
        <v>1668</v>
      </c>
      <c r="B1669">
        <f>IFERROR(INDEX(RawBits!$A:$A,MATCH($A1669,RawBits!$H:$H,0)),"?")</f>
        <v/>
      </c>
      <c r="C1669">
        <f>IFERROR(INDEX(RawBits!$G:$G,MATCH($A1669,RawBits!$H:$H,0)),"")</f>
        <v/>
      </c>
      <c r="D1669">
        <f>IFERROR(IF(AND(A1669&gt;=129,A1669&lt;=2176),INDEX(Fields!$B$2:$B$206,MATCH(A1669-129,Fields!$D$2:$D$206,1)),""),"")</f>
        <v/>
      </c>
      <c r="E1669">
        <f>IFERROR(IF(AND(A1669&gt;=129,A1669&lt;=2176),INDEX(Fields!$C$2:$C$206,MATCH(A1669-129,Fields!$D$2:$D$206,1)),""),"")</f>
        <v/>
      </c>
    </row>
    <row r="1670">
      <c r="A1670" t="n">
        <v>1669</v>
      </c>
      <c r="B1670">
        <f>IFERROR(INDEX(RawBits!$A:$A,MATCH($A1670,RawBits!$H:$H,0)),"?")</f>
        <v/>
      </c>
      <c r="C1670">
        <f>IFERROR(INDEX(RawBits!$G:$G,MATCH($A1670,RawBits!$H:$H,0)),"")</f>
        <v/>
      </c>
      <c r="D1670">
        <f>IFERROR(IF(AND(A1670&gt;=129,A1670&lt;=2176),INDEX(Fields!$B$2:$B$206,MATCH(A1670-129,Fields!$D$2:$D$206,1)),""),"")</f>
        <v/>
      </c>
      <c r="E1670">
        <f>IFERROR(IF(AND(A1670&gt;=129,A1670&lt;=2176),INDEX(Fields!$C$2:$C$206,MATCH(A1670-129,Fields!$D$2:$D$206,1)),""),"")</f>
        <v/>
      </c>
    </row>
    <row r="1671">
      <c r="A1671" t="n">
        <v>1670</v>
      </c>
      <c r="B1671">
        <f>IFERROR(INDEX(RawBits!$A:$A,MATCH($A1671,RawBits!$H:$H,0)),"?")</f>
        <v/>
      </c>
      <c r="C1671">
        <f>IFERROR(INDEX(RawBits!$G:$G,MATCH($A1671,RawBits!$H:$H,0)),"")</f>
        <v/>
      </c>
      <c r="D1671">
        <f>IFERROR(IF(AND(A1671&gt;=129,A1671&lt;=2176),INDEX(Fields!$B$2:$B$206,MATCH(A1671-129,Fields!$D$2:$D$206,1)),""),"")</f>
        <v/>
      </c>
      <c r="E1671">
        <f>IFERROR(IF(AND(A1671&gt;=129,A1671&lt;=2176),INDEX(Fields!$C$2:$C$206,MATCH(A1671-129,Fields!$D$2:$D$206,1)),""),"")</f>
        <v/>
      </c>
    </row>
    <row r="1672">
      <c r="A1672" t="n">
        <v>1671</v>
      </c>
      <c r="B1672">
        <f>IFERROR(INDEX(RawBits!$A:$A,MATCH($A1672,RawBits!$H:$H,0)),"?")</f>
        <v/>
      </c>
      <c r="C1672">
        <f>IFERROR(INDEX(RawBits!$G:$G,MATCH($A1672,RawBits!$H:$H,0)),"")</f>
        <v/>
      </c>
      <c r="D1672">
        <f>IFERROR(IF(AND(A1672&gt;=129,A1672&lt;=2176),INDEX(Fields!$B$2:$B$206,MATCH(A1672-129,Fields!$D$2:$D$206,1)),""),"")</f>
        <v/>
      </c>
      <c r="E1672">
        <f>IFERROR(IF(AND(A1672&gt;=129,A1672&lt;=2176),INDEX(Fields!$C$2:$C$206,MATCH(A1672-129,Fields!$D$2:$D$206,1)),""),"")</f>
        <v/>
      </c>
    </row>
    <row r="1673">
      <c r="A1673" t="n">
        <v>1672</v>
      </c>
      <c r="B1673">
        <f>IFERROR(INDEX(RawBits!$A:$A,MATCH($A1673,RawBits!$H:$H,0)),"?")</f>
        <v/>
      </c>
      <c r="C1673">
        <f>IFERROR(INDEX(RawBits!$G:$G,MATCH($A1673,RawBits!$H:$H,0)),"")</f>
        <v/>
      </c>
      <c r="D1673">
        <f>IFERROR(IF(AND(A1673&gt;=129,A1673&lt;=2176),INDEX(Fields!$B$2:$B$206,MATCH(A1673-129,Fields!$D$2:$D$206,1)),""),"")</f>
        <v/>
      </c>
      <c r="E1673">
        <f>IFERROR(IF(AND(A1673&gt;=129,A1673&lt;=2176),INDEX(Fields!$C$2:$C$206,MATCH(A1673-129,Fields!$D$2:$D$206,1)),""),"")</f>
        <v/>
      </c>
    </row>
    <row r="1674">
      <c r="A1674" t="n">
        <v>1673</v>
      </c>
      <c r="B1674">
        <f>IFERROR(INDEX(RawBits!$A:$A,MATCH($A1674,RawBits!$H:$H,0)),"?")</f>
        <v/>
      </c>
      <c r="C1674">
        <f>IFERROR(INDEX(RawBits!$G:$G,MATCH($A1674,RawBits!$H:$H,0)),"")</f>
        <v/>
      </c>
      <c r="D1674">
        <f>IFERROR(IF(AND(A1674&gt;=129,A1674&lt;=2176),INDEX(Fields!$B$2:$B$206,MATCH(A1674-129,Fields!$D$2:$D$206,1)),""),"")</f>
        <v/>
      </c>
      <c r="E1674">
        <f>IFERROR(IF(AND(A1674&gt;=129,A1674&lt;=2176),INDEX(Fields!$C$2:$C$206,MATCH(A1674-129,Fields!$D$2:$D$206,1)),""),"")</f>
        <v/>
      </c>
    </row>
    <row r="1675">
      <c r="A1675" t="n">
        <v>1674</v>
      </c>
      <c r="B1675">
        <f>IFERROR(INDEX(RawBits!$A:$A,MATCH($A1675,RawBits!$H:$H,0)),"?")</f>
        <v/>
      </c>
      <c r="C1675">
        <f>IFERROR(INDEX(RawBits!$G:$G,MATCH($A1675,RawBits!$H:$H,0)),"")</f>
        <v/>
      </c>
      <c r="D1675">
        <f>IFERROR(IF(AND(A1675&gt;=129,A1675&lt;=2176),INDEX(Fields!$B$2:$B$206,MATCH(A1675-129,Fields!$D$2:$D$206,1)),""),"")</f>
        <v/>
      </c>
      <c r="E1675">
        <f>IFERROR(IF(AND(A1675&gt;=129,A1675&lt;=2176),INDEX(Fields!$C$2:$C$206,MATCH(A1675-129,Fields!$D$2:$D$206,1)),""),"")</f>
        <v/>
      </c>
    </row>
    <row r="1676">
      <c r="A1676" t="n">
        <v>1675</v>
      </c>
      <c r="B1676">
        <f>IFERROR(INDEX(RawBits!$A:$A,MATCH($A1676,RawBits!$H:$H,0)),"?")</f>
        <v/>
      </c>
      <c r="C1676">
        <f>IFERROR(INDEX(RawBits!$G:$G,MATCH($A1676,RawBits!$H:$H,0)),"")</f>
        <v/>
      </c>
      <c r="D1676">
        <f>IFERROR(IF(AND(A1676&gt;=129,A1676&lt;=2176),INDEX(Fields!$B$2:$B$206,MATCH(A1676-129,Fields!$D$2:$D$206,1)),""),"")</f>
        <v/>
      </c>
      <c r="E1676">
        <f>IFERROR(IF(AND(A1676&gt;=129,A1676&lt;=2176),INDEX(Fields!$C$2:$C$206,MATCH(A1676-129,Fields!$D$2:$D$206,1)),""),"")</f>
        <v/>
      </c>
    </row>
    <row r="1677">
      <c r="A1677" t="n">
        <v>1676</v>
      </c>
      <c r="B1677">
        <f>IFERROR(INDEX(RawBits!$A:$A,MATCH($A1677,RawBits!$H:$H,0)),"?")</f>
        <v/>
      </c>
      <c r="C1677">
        <f>IFERROR(INDEX(RawBits!$G:$G,MATCH($A1677,RawBits!$H:$H,0)),"")</f>
        <v/>
      </c>
      <c r="D1677">
        <f>IFERROR(IF(AND(A1677&gt;=129,A1677&lt;=2176),INDEX(Fields!$B$2:$B$206,MATCH(A1677-129,Fields!$D$2:$D$206,1)),""),"")</f>
        <v/>
      </c>
      <c r="E1677">
        <f>IFERROR(IF(AND(A1677&gt;=129,A1677&lt;=2176),INDEX(Fields!$C$2:$C$206,MATCH(A1677-129,Fields!$D$2:$D$206,1)),""),"")</f>
        <v/>
      </c>
    </row>
    <row r="1678">
      <c r="A1678" t="n">
        <v>1677</v>
      </c>
      <c r="B1678">
        <f>IFERROR(INDEX(RawBits!$A:$A,MATCH($A1678,RawBits!$H:$H,0)),"?")</f>
        <v/>
      </c>
      <c r="C1678">
        <f>IFERROR(INDEX(RawBits!$G:$G,MATCH($A1678,RawBits!$H:$H,0)),"")</f>
        <v/>
      </c>
      <c r="D1678">
        <f>IFERROR(IF(AND(A1678&gt;=129,A1678&lt;=2176),INDEX(Fields!$B$2:$B$206,MATCH(A1678-129,Fields!$D$2:$D$206,1)),""),"")</f>
        <v/>
      </c>
      <c r="E1678">
        <f>IFERROR(IF(AND(A1678&gt;=129,A1678&lt;=2176),INDEX(Fields!$C$2:$C$206,MATCH(A1678-129,Fields!$D$2:$D$206,1)),""),"")</f>
        <v/>
      </c>
    </row>
    <row r="1679">
      <c r="A1679" t="n">
        <v>1678</v>
      </c>
      <c r="B1679">
        <f>IFERROR(INDEX(RawBits!$A:$A,MATCH($A1679,RawBits!$H:$H,0)),"?")</f>
        <v/>
      </c>
      <c r="C1679">
        <f>IFERROR(INDEX(RawBits!$G:$G,MATCH($A1679,RawBits!$H:$H,0)),"")</f>
        <v/>
      </c>
      <c r="D1679">
        <f>IFERROR(IF(AND(A1679&gt;=129,A1679&lt;=2176),INDEX(Fields!$B$2:$B$206,MATCH(A1679-129,Fields!$D$2:$D$206,1)),""),"")</f>
        <v/>
      </c>
      <c r="E1679">
        <f>IFERROR(IF(AND(A1679&gt;=129,A1679&lt;=2176),INDEX(Fields!$C$2:$C$206,MATCH(A1679-129,Fields!$D$2:$D$206,1)),""),"")</f>
        <v/>
      </c>
    </row>
    <row r="1680">
      <c r="A1680" t="n">
        <v>1679</v>
      </c>
      <c r="B1680">
        <f>IFERROR(INDEX(RawBits!$A:$A,MATCH($A1680,RawBits!$H:$H,0)),"?")</f>
        <v/>
      </c>
      <c r="C1680">
        <f>IFERROR(INDEX(RawBits!$G:$G,MATCH($A1680,RawBits!$H:$H,0)),"")</f>
        <v/>
      </c>
      <c r="D1680">
        <f>IFERROR(IF(AND(A1680&gt;=129,A1680&lt;=2176),INDEX(Fields!$B$2:$B$206,MATCH(A1680-129,Fields!$D$2:$D$206,1)),""),"")</f>
        <v/>
      </c>
      <c r="E1680">
        <f>IFERROR(IF(AND(A1680&gt;=129,A1680&lt;=2176),INDEX(Fields!$C$2:$C$206,MATCH(A1680-129,Fields!$D$2:$D$206,1)),""),"")</f>
        <v/>
      </c>
    </row>
    <row r="1681">
      <c r="A1681" t="n">
        <v>1680</v>
      </c>
      <c r="B1681">
        <f>IFERROR(INDEX(RawBits!$A:$A,MATCH($A1681,RawBits!$H:$H,0)),"?")</f>
        <v/>
      </c>
      <c r="C1681">
        <f>IFERROR(INDEX(RawBits!$G:$G,MATCH($A1681,RawBits!$H:$H,0)),"")</f>
        <v/>
      </c>
      <c r="D1681">
        <f>IFERROR(IF(AND(A1681&gt;=129,A1681&lt;=2176),INDEX(Fields!$B$2:$B$206,MATCH(A1681-129,Fields!$D$2:$D$206,1)),""),"")</f>
        <v/>
      </c>
      <c r="E1681">
        <f>IFERROR(IF(AND(A1681&gt;=129,A1681&lt;=2176),INDEX(Fields!$C$2:$C$206,MATCH(A1681-129,Fields!$D$2:$D$206,1)),""),"")</f>
        <v/>
      </c>
    </row>
    <row r="1682">
      <c r="A1682" t="n">
        <v>1681</v>
      </c>
      <c r="B1682">
        <f>IFERROR(INDEX(RawBits!$A:$A,MATCH($A1682,RawBits!$H:$H,0)),"?")</f>
        <v/>
      </c>
      <c r="C1682">
        <f>IFERROR(INDEX(RawBits!$G:$G,MATCH($A1682,RawBits!$H:$H,0)),"")</f>
        <v/>
      </c>
      <c r="D1682">
        <f>IFERROR(IF(AND(A1682&gt;=129,A1682&lt;=2176),INDEX(Fields!$B$2:$B$206,MATCH(A1682-129,Fields!$D$2:$D$206,1)),""),"")</f>
        <v/>
      </c>
      <c r="E1682">
        <f>IFERROR(IF(AND(A1682&gt;=129,A1682&lt;=2176),INDEX(Fields!$C$2:$C$206,MATCH(A1682-129,Fields!$D$2:$D$206,1)),""),"")</f>
        <v/>
      </c>
    </row>
    <row r="1683">
      <c r="A1683" t="n">
        <v>1682</v>
      </c>
      <c r="B1683">
        <f>IFERROR(INDEX(RawBits!$A:$A,MATCH($A1683,RawBits!$H:$H,0)),"?")</f>
        <v/>
      </c>
      <c r="C1683">
        <f>IFERROR(INDEX(RawBits!$G:$G,MATCH($A1683,RawBits!$H:$H,0)),"")</f>
        <v/>
      </c>
      <c r="D1683">
        <f>IFERROR(IF(AND(A1683&gt;=129,A1683&lt;=2176),INDEX(Fields!$B$2:$B$206,MATCH(A1683-129,Fields!$D$2:$D$206,1)),""),"")</f>
        <v/>
      </c>
      <c r="E1683">
        <f>IFERROR(IF(AND(A1683&gt;=129,A1683&lt;=2176),INDEX(Fields!$C$2:$C$206,MATCH(A1683-129,Fields!$D$2:$D$206,1)),""),"")</f>
        <v/>
      </c>
    </row>
    <row r="1684">
      <c r="A1684" t="n">
        <v>1683</v>
      </c>
      <c r="B1684">
        <f>IFERROR(INDEX(RawBits!$A:$A,MATCH($A1684,RawBits!$H:$H,0)),"?")</f>
        <v/>
      </c>
      <c r="C1684">
        <f>IFERROR(INDEX(RawBits!$G:$G,MATCH($A1684,RawBits!$H:$H,0)),"")</f>
        <v/>
      </c>
      <c r="D1684">
        <f>IFERROR(IF(AND(A1684&gt;=129,A1684&lt;=2176),INDEX(Fields!$B$2:$B$206,MATCH(A1684-129,Fields!$D$2:$D$206,1)),""),"")</f>
        <v/>
      </c>
      <c r="E1684">
        <f>IFERROR(IF(AND(A1684&gt;=129,A1684&lt;=2176),INDEX(Fields!$C$2:$C$206,MATCH(A1684-129,Fields!$D$2:$D$206,1)),""),"")</f>
        <v/>
      </c>
    </row>
    <row r="1685">
      <c r="A1685" t="n">
        <v>1684</v>
      </c>
      <c r="B1685">
        <f>IFERROR(INDEX(RawBits!$A:$A,MATCH($A1685,RawBits!$H:$H,0)),"?")</f>
        <v/>
      </c>
      <c r="C1685">
        <f>IFERROR(INDEX(RawBits!$G:$G,MATCH($A1685,RawBits!$H:$H,0)),"")</f>
        <v/>
      </c>
      <c r="D1685">
        <f>IFERROR(IF(AND(A1685&gt;=129,A1685&lt;=2176),INDEX(Fields!$B$2:$B$206,MATCH(A1685-129,Fields!$D$2:$D$206,1)),""),"")</f>
        <v/>
      </c>
      <c r="E1685">
        <f>IFERROR(IF(AND(A1685&gt;=129,A1685&lt;=2176),INDEX(Fields!$C$2:$C$206,MATCH(A1685-129,Fields!$D$2:$D$206,1)),""),"")</f>
        <v/>
      </c>
    </row>
    <row r="1686">
      <c r="A1686" t="n">
        <v>1685</v>
      </c>
      <c r="B1686">
        <f>IFERROR(INDEX(RawBits!$A:$A,MATCH($A1686,RawBits!$H:$H,0)),"?")</f>
        <v/>
      </c>
      <c r="C1686">
        <f>IFERROR(INDEX(RawBits!$G:$G,MATCH($A1686,RawBits!$H:$H,0)),"")</f>
        <v/>
      </c>
      <c r="D1686">
        <f>IFERROR(IF(AND(A1686&gt;=129,A1686&lt;=2176),INDEX(Fields!$B$2:$B$206,MATCH(A1686-129,Fields!$D$2:$D$206,1)),""),"")</f>
        <v/>
      </c>
      <c r="E1686">
        <f>IFERROR(IF(AND(A1686&gt;=129,A1686&lt;=2176),INDEX(Fields!$C$2:$C$206,MATCH(A1686-129,Fields!$D$2:$D$206,1)),""),"")</f>
        <v/>
      </c>
    </row>
    <row r="1687">
      <c r="A1687" t="n">
        <v>1686</v>
      </c>
      <c r="B1687">
        <f>IFERROR(INDEX(RawBits!$A:$A,MATCH($A1687,RawBits!$H:$H,0)),"?")</f>
        <v/>
      </c>
      <c r="C1687">
        <f>IFERROR(INDEX(RawBits!$G:$G,MATCH($A1687,RawBits!$H:$H,0)),"")</f>
        <v/>
      </c>
      <c r="D1687">
        <f>IFERROR(IF(AND(A1687&gt;=129,A1687&lt;=2176),INDEX(Fields!$B$2:$B$206,MATCH(A1687-129,Fields!$D$2:$D$206,1)),""),"")</f>
        <v/>
      </c>
      <c r="E1687">
        <f>IFERROR(IF(AND(A1687&gt;=129,A1687&lt;=2176),INDEX(Fields!$C$2:$C$206,MATCH(A1687-129,Fields!$D$2:$D$206,1)),""),"")</f>
        <v/>
      </c>
    </row>
    <row r="1688">
      <c r="A1688" t="n">
        <v>1687</v>
      </c>
      <c r="B1688">
        <f>IFERROR(INDEX(RawBits!$A:$A,MATCH($A1688,RawBits!$H:$H,0)),"?")</f>
        <v/>
      </c>
      <c r="C1688">
        <f>IFERROR(INDEX(RawBits!$G:$G,MATCH($A1688,RawBits!$H:$H,0)),"")</f>
        <v/>
      </c>
      <c r="D1688">
        <f>IFERROR(IF(AND(A1688&gt;=129,A1688&lt;=2176),INDEX(Fields!$B$2:$B$206,MATCH(A1688-129,Fields!$D$2:$D$206,1)),""),"")</f>
        <v/>
      </c>
      <c r="E1688">
        <f>IFERROR(IF(AND(A1688&gt;=129,A1688&lt;=2176),INDEX(Fields!$C$2:$C$206,MATCH(A1688-129,Fields!$D$2:$D$206,1)),""),"")</f>
        <v/>
      </c>
    </row>
    <row r="1689">
      <c r="A1689" t="n">
        <v>1688</v>
      </c>
      <c r="B1689">
        <f>IFERROR(INDEX(RawBits!$A:$A,MATCH($A1689,RawBits!$H:$H,0)),"?")</f>
        <v/>
      </c>
      <c r="C1689">
        <f>IFERROR(INDEX(RawBits!$G:$G,MATCH($A1689,RawBits!$H:$H,0)),"")</f>
        <v/>
      </c>
      <c r="D1689">
        <f>IFERROR(IF(AND(A1689&gt;=129,A1689&lt;=2176),INDEX(Fields!$B$2:$B$206,MATCH(A1689-129,Fields!$D$2:$D$206,1)),""),"")</f>
        <v/>
      </c>
      <c r="E1689">
        <f>IFERROR(IF(AND(A1689&gt;=129,A1689&lt;=2176),INDEX(Fields!$C$2:$C$206,MATCH(A1689-129,Fields!$D$2:$D$206,1)),""),"")</f>
        <v/>
      </c>
    </row>
    <row r="1690">
      <c r="A1690" t="n">
        <v>1689</v>
      </c>
      <c r="B1690">
        <f>IFERROR(INDEX(RawBits!$A:$A,MATCH($A1690,RawBits!$H:$H,0)),"?")</f>
        <v/>
      </c>
      <c r="C1690">
        <f>IFERROR(INDEX(RawBits!$G:$G,MATCH($A1690,RawBits!$H:$H,0)),"")</f>
        <v/>
      </c>
      <c r="D1690">
        <f>IFERROR(IF(AND(A1690&gt;=129,A1690&lt;=2176),INDEX(Fields!$B$2:$B$206,MATCH(A1690-129,Fields!$D$2:$D$206,1)),""),"")</f>
        <v/>
      </c>
      <c r="E1690">
        <f>IFERROR(IF(AND(A1690&gt;=129,A1690&lt;=2176),INDEX(Fields!$C$2:$C$206,MATCH(A1690-129,Fields!$D$2:$D$206,1)),""),"")</f>
        <v/>
      </c>
    </row>
    <row r="1691">
      <c r="A1691" t="n">
        <v>1690</v>
      </c>
      <c r="B1691">
        <f>IFERROR(INDEX(RawBits!$A:$A,MATCH($A1691,RawBits!$H:$H,0)),"?")</f>
        <v/>
      </c>
      <c r="C1691">
        <f>IFERROR(INDEX(RawBits!$G:$G,MATCH($A1691,RawBits!$H:$H,0)),"")</f>
        <v/>
      </c>
      <c r="D1691">
        <f>IFERROR(IF(AND(A1691&gt;=129,A1691&lt;=2176),INDEX(Fields!$B$2:$B$206,MATCH(A1691-129,Fields!$D$2:$D$206,1)),""),"")</f>
        <v/>
      </c>
      <c r="E1691">
        <f>IFERROR(IF(AND(A1691&gt;=129,A1691&lt;=2176),INDEX(Fields!$C$2:$C$206,MATCH(A1691-129,Fields!$D$2:$D$206,1)),""),"")</f>
        <v/>
      </c>
    </row>
    <row r="1692">
      <c r="A1692" t="n">
        <v>1691</v>
      </c>
      <c r="B1692">
        <f>IFERROR(INDEX(RawBits!$A:$A,MATCH($A1692,RawBits!$H:$H,0)),"?")</f>
        <v/>
      </c>
      <c r="C1692">
        <f>IFERROR(INDEX(RawBits!$G:$G,MATCH($A1692,RawBits!$H:$H,0)),"")</f>
        <v/>
      </c>
      <c r="D1692">
        <f>IFERROR(IF(AND(A1692&gt;=129,A1692&lt;=2176),INDEX(Fields!$B$2:$B$206,MATCH(A1692-129,Fields!$D$2:$D$206,1)),""),"")</f>
        <v/>
      </c>
      <c r="E1692">
        <f>IFERROR(IF(AND(A1692&gt;=129,A1692&lt;=2176),INDEX(Fields!$C$2:$C$206,MATCH(A1692-129,Fields!$D$2:$D$206,1)),""),"")</f>
        <v/>
      </c>
    </row>
    <row r="1693">
      <c r="A1693" t="n">
        <v>1692</v>
      </c>
      <c r="B1693">
        <f>IFERROR(INDEX(RawBits!$A:$A,MATCH($A1693,RawBits!$H:$H,0)),"?")</f>
        <v/>
      </c>
      <c r="C1693">
        <f>IFERROR(INDEX(RawBits!$G:$G,MATCH($A1693,RawBits!$H:$H,0)),"")</f>
        <v/>
      </c>
      <c r="D1693">
        <f>IFERROR(IF(AND(A1693&gt;=129,A1693&lt;=2176),INDEX(Fields!$B$2:$B$206,MATCH(A1693-129,Fields!$D$2:$D$206,1)),""),"")</f>
        <v/>
      </c>
      <c r="E1693">
        <f>IFERROR(IF(AND(A1693&gt;=129,A1693&lt;=2176),INDEX(Fields!$C$2:$C$206,MATCH(A1693-129,Fields!$D$2:$D$206,1)),""),"")</f>
        <v/>
      </c>
    </row>
    <row r="1694">
      <c r="A1694" t="n">
        <v>1693</v>
      </c>
      <c r="B1694">
        <f>IFERROR(INDEX(RawBits!$A:$A,MATCH($A1694,RawBits!$H:$H,0)),"?")</f>
        <v/>
      </c>
      <c r="C1694">
        <f>IFERROR(INDEX(RawBits!$G:$G,MATCH($A1694,RawBits!$H:$H,0)),"")</f>
        <v/>
      </c>
      <c r="D1694">
        <f>IFERROR(IF(AND(A1694&gt;=129,A1694&lt;=2176),INDEX(Fields!$B$2:$B$206,MATCH(A1694-129,Fields!$D$2:$D$206,1)),""),"")</f>
        <v/>
      </c>
      <c r="E1694">
        <f>IFERROR(IF(AND(A1694&gt;=129,A1694&lt;=2176),INDEX(Fields!$C$2:$C$206,MATCH(A1694-129,Fields!$D$2:$D$206,1)),""),"")</f>
        <v/>
      </c>
    </row>
    <row r="1695">
      <c r="A1695" t="n">
        <v>1694</v>
      </c>
      <c r="B1695">
        <f>IFERROR(INDEX(RawBits!$A:$A,MATCH($A1695,RawBits!$H:$H,0)),"?")</f>
        <v/>
      </c>
      <c r="C1695">
        <f>IFERROR(INDEX(RawBits!$G:$G,MATCH($A1695,RawBits!$H:$H,0)),"")</f>
        <v/>
      </c>
      <c r="D1695">
        <f>IFERROR(IF(AND(A1695&gt;=129,A1695&lt;=2176),INDEX(Fields!$B$2:$B$206,MATCH(A1695-129,Fields!$D$2:$D$206,1)),""),"")</f>
        <v/>
      </c>
      <c r="E1695">
        <f>IFERROR(IF(AND(A1695&gt;=129,A1695&lt;=2176),INDEX(Fields!$C$2:$C$206,MATCH(A1695-129,Fields!$D$2:$D$206,1)),""),"")</f>
        <v/>
      </c>
    </row>
    <row r="1696">
      <c r="A1696" t="n">
        <v>1695</v>
      </c>
      <c r="B1696">
        <f>IFERROR(INDEX(RawBits!$A:$A,MATCH($A1696,RawBits!$H:$H,0)),"?")</f>
        <v/>
      </c>
      <c r="C1696">
        <f>IFERROR(INDEX(RawBits!$G:$G,MATCH($A1696,RawBits!$H:$H,0)),"")</f>
        <v/>
      </c>
      <c r="D1696">
        <f>IFERROR(IF(AND(A1696&gt;=129,A1696&lt;=2176),INDEX(Fields!$B$2:$B$206,MATCH(A1696-129,Fields!$D$2:$D$206,1)),""),"")</f>
        <v/>
      </c>
      <c r="E1696">
        <f>IFERROR(IF(AND(A1696&gt;=129,A1696&lt;=2176),INDEX(Fields!$C$2:$C$206,MATCH(A1696-129,Fields!$D$2:$D$206,1)),""),"")</f>
        <v/>
      </c>
    </row>
    <row r="1697">
      <c r="A1697" t="n">
        <v>1696</v>
      </c>
      <c r="B1697">
        <f>IFERROR(INDEX(RawBits!$A:$A,MATCH($A1697,RawBits!$H:$H,0)),"?")</f>
        <v/>
      </c>
      <c r="C1697">
        <f>IFERROR(INDEX(RawBits!$G:$G,MATCH($A1697,RawBits!$H:$H,0)),"")</f>
        <v/>
      </c>
      <c r="D1697">
        <f>IFERROR(IF(AND(A1697&gt;=129,A1697&lt;=2176),INDEX(Fields!$B$2:$B$206,MATCH(A1697-129,Fields!$D$2:$D$206,1)),""),"")</f>
        <v/>
      </c>
      <c r="E1697">
        <f>IFERROR(IF(AND(A1697&gt;=129,A1697&lt;=2176),INDEX(Fields!$C$2:$C$206,MATCH(A1697-129,Fields!$D$2:$D$206,1)),""),"")</f>
        <v/>
      </c>
    </row>
    <row r="1698">
      <c r="A1698" t="n">
        <v>1697</v>
      </c>
      <c r="B1698">
        <f>IFERROR(INDEX(RawBits!$A:$A,MATCH($A1698,RawBits!$H:$H,0)),"?")</f>
        <v/>
      </c>
      <c r="C1698">
        <f>IFERROR(INDEX(RawBits!$G:$G,MATCH($A1698,RawBits!$H:$H,0)),"")</f>
        <v/>
      </c>
      <c r="D1698">
        <f>IFERROR(IF(AND(A1698&gt;=129,A1698&lt;=2176),INDEX(Fields!$B$2:$B$206,MATCH(A1698-129,Fields!$D$2:$D$206,1)),""),"")</f>
        <v/>
      </c>
      <c r="E1698">
        <f>IFERROR(IF(AND(A1698&gt;=129,A1698&lt;=2176),INDEX(Fields!$C$2:$C$206,MATCH(A1698-129,Fields!$D$2:$D$206,1)),""),"")</f>
        <v/>
      </c>
    </row>
    <row r="1699">
      <c r="A1699" t="n">
        <v>1698</v>
      </c>
      <c r="B1699">
        <f>IFERROR(INDEX(RawBits!$A:$A,MATCH($A1699,RawBits!$H:$H,0)),"?")</f>
        <v/>
      </c>
      <c r="C1699">
        <f>IFERROR(INDEX(RawBits!$G:$G,MATCH($A1699,RawBits!$H:$H,0)),"")</f>
        <v/>
      </c>
      <c r="D1699">
        <f>IFERROR(IF(AND(A1699&gt;=129,A1699&lt;=2176),INDEX(Fields!$B$2:$B$206,MATCH(A1699-129,Fields!$D$2:$D$206,1)),""),"")</f>
        <v/>
      </c>
      <c r="E1699">
        <f>IFERROR(IF(AND(A1699&gt;=129,A1699&lt;=2176),INDEX(Fields!$C$2:$C$206,MATCH(A1699-129,Fields!$D$2:$D$206,1)),""),"")</f>
        <v/>
      </c>
    </row>
    <row r="1700">
      <c r="A1700" t="n">
        <v>1699</v>
      </c>
      <c r="B1700">
        <f>IFERROR(INDEX(RawBits!$A:$A,MATCH($A1700,RawBits!$H:$H,0)),"?")</f>
        <v/>
      </c>
      <c r="C1700">
        <f>IFERROR(INDEX(RawBits!$G:$G,MATCH($A1700,RawBits!$H:$H,0)),"")</f>
        <v/>
      </c>
      <c r="D1700">
        <f>IFERROR(IF(AND(A1700&gt;=129,A1700&lt;=2176),INDEX(Fields!$B$2:$B$206,MATCH(A1700-129,Fields!$D$2:$D$206,1)),""),"")</f>
        <v/>
      </c>
      <c r="E1700">
        <f>IFERROR(IF(AND(A1700&gt;=129,A1700&lt;=2176),INDEX(Fields!$C$2:$C$206,MATCH(A1700-129,Fields!$D$2:$D$206,1)),""),"")</f>
        <v/>
      </c>
    </row>
    <row r="1701">
      <c r="A1701" t="n">
        <v>1700</v>
      </c>
      <c r="B1701">
        <f>IFERROR(INDEX(RawBits!$A:$A,MATCH($A1701,RawBits!$H:$H,0)),"?")</f>
        <v/>
      </c>
      <c r="C1701">
        <f>IFERROR(INDEX(RawBits!$G:$G,MATCH($A1701,RawBits!$H:$H,0)),"")</f>
        <v/>
      </c>
      <c r="D1701">
        <f>IFERROR(IF(AND(A1701&gt;=129,A1701&lt;=2176),INDEX(Fields!$B$2:$B$206,MATCH(A1701-129,Fields!$D$2:$D$206,1)),""),"")</f>
        <v/>
      </c>
      <c r="E1701">
        <f>IFERROR(IF(AND(A1701&gt;=129,A1701&lt;=2176),INDEX(Fields!$C$2:$C$206,MATCH(A1701-129,Fields!$D$2:$D$206,1)),""),"")</f>
        <v/>
      </c>
    </row>
    <row r="1702">
      <c r="A1702" t="n">
        <v>1701</v>
      </c>
      <c r="B1702">
        <f>IFERROR(INDEX(RawBits!$A:$A,MATCH($A1702,RawBits!$H:$H,0)),"?")</f>
        <v/>
      </c>
      <c r="C1702">
        <f>IFERROR(INDEX(RawBits!$G:$G,MATCH($A1702,RawBits!$H:$H,0)),"")</f>
        <v/>
      </c>
      <c r="D1702">
        <f>IFERROR(IF(AND(A1702&gt;=129,A1702&lt;=2176),INDEX(Fields!$B$2:$B$206,MATCH(A1702-129,Fields!$D$2:$D$206,1)),""),"")</f>
        <v/>
      </c>
      <c r="E1702">
        <f>IFERROR(IF(AND(A1702&gt;=129,A1702&lt;=2176),INDEX(Fields!$C$2:$C$206,MATCH(A1702-129,Fields!$D$2:$D$206,1)),""),"")</f>
        <v/>
      </c>
    </row>
    <row r="1703">
      <c r="A1703" t="n">
        <v>1702</v>
      </c>
      <c r="B1703">
        <f>IFERROR(INDEX(RawBits!$A:$A,MATCH($A1703,RawBits!$H:$H,0)),"?")</f>
        <v/>
      </c>
      <c r="C1703">
        <f>IFERROR(INDEX(RawBits!$G:$G,MATCH($A1703,RawBits!$H:$H,0)),"")</f>
        <v/>
      </c>
      <c r="D1703">
        <f>IFERROR(IF(AND(A1703&gt;=129,A1703&lt;=2176),INDEX(Fields!$B$2:$B$206,MATCH(A1703-129,Fields!$D$2:$D$206,1)),""),"")</f>
        <v/>
      </c>
      <c r="E1703">
        <f>IFERROR(IF(AND(A1703&gt;=129,A1703&lt;=2176),INDEX(Fields!$C$2:$C$206,MATCH(A1703-129,Fields!$D$2:$D$206,1)),""),"")</f>
        <v/>
      </c>
    </row>
    <row r="1704">
      <c r="A1704" t="n">
        <v>1703</v>
      </c>
      <c r="B1704">
        <f>IFERROR(INDEX(RawBits!$A:$A,MATCH($A1704,RawBits!$H:$H,0)),"?")</f>
        <v/>
      </c>
      <c r="C1704">
        <f>IFERROR(INDEX(RawBits!$G:$G,MATCH($A1704,RawBits!$H:$H,0)),"")</f>
        <v/>
      </c>
      <c r="D1704">
        <f>IFERROR(IF(AND(A1704&gt;=129,A1704&lt;=2176),INDEX(Fields!$B$2:$B$206,MATCH(A1704-129,Fields!$D$2:$D$206,1)),""),"")</f>
        <v/>
      </c>
      <c r="E1704">
        <f>IFERROR(IF(AND(A1704&gt;=129,A1704&lt;=2176),INDEX(Fields!$C$2:$C$206,MATCH(A1704-129,Fields!$D$2:$D$206,1)),""),"")</f>
        <v/>
      </c>
    </row>
    <row r="1705">
      <c r="A1705" t="n">
        <v>1704</v>
      </c>
      <c r="B1705">
        <f>IFERROR(INDEX(RawBits!$A:$A,MATCH($A1705,RawBits!$H:$H,0)),"?")</f>
        <v/>
      </c>
      <c r="C1705">
        <f>IFERROR(INDEX(RawBits!$G:$G,MATCH($A1705,RawBits!$H:$H,0)),"")</f>
        <v/>
      </c>
      <c r="D1705">
        <f>IFERROR(IF(AND(A1705&gt;=129,A1705&lt;=2176),INDEX(Fields!$B$2:$B$206,MATCH(A1705-129,Fields!$D$2:$D$206,1)),""),"")</f>
        <v/>
      </c>
      <c r="E1705">
        <f>IFERROR(IF(AND(A1705&gt;=129,A1705&lt;=2176),INDEX(Fields!$C$2:$C$206,MATCH(A1705-129,Fields!$D$2:$D$206,1)),""),"")</f>
        <v/>
      </c>
    </row>
    <row r="1706">
      <c r="A1706" t="n">
        <v>1705</v>
      </c>
      <c r="B1706">
        <f>IFERROR(INDEX(RawBits!$A:$A,MATCH($A1706,RawBits!$H:$H,0)),"?")</f>
        <v/>
      </c>
      <c r="C1706">
        <f>IFERROR(INDEX(RawBits!$G:$G,MATCH($A1706,RawBits!$H:$H,0)),"")</f>
        <v/>
      </c>
      <c r="D1706">
        <f>IFERROR(IF(AND(A1706&gt;=129,A1706&lt;=2176),INDEX(Fields!$B$2:$B$206,MATCH(A1706-129,Fields!$D$2:$D$206,1)),""),"")</f>
        <v/>
      </c>
      <c r="E1706">
        <f>IFERROR(IF(AND(A1706&gt;=129,A1706&lt;=2176),INDEX(Fields!$C$2:$C$206,MATCH(A1706-129,Fields!$D$2:$D$206,1)),""),"")</f>
        <v/>
      </c>
    </row>
    <row r="1707">
      <c r="A1707" t="n">
        <v>1706</v>
      </c>
      <c r="B1707">
        <f>IFERROR(INDEX(RawBits!$A:$A,MATCH($A1707,RawBits!$H:$H,0)),"?")</f>
        <v/>
      </c>
      <c r="C1707">
        <f>IFERROR(INDEX(RawBits!$G:$G,MATCH($A1707,RawBits!$H:$H,0)),"")</f>
        <v/>
      </c>
      <c r="D1707">
        <f>IFERROR(IF(AND(A1707&gt;=129,A1707&lt;=2176),INDEX(Fields!$B$2:$B$206,MATCH(A1707-129,Fields!$D$2:$D$206,1)),""),"")</f>
        <v/>
      </c>
      <c r="E1707">
        <f>IFERROR(IF(AND(A1707&gt;=129,A1707&lt;=2176),INDEX(Fields!$C$2:$C$206,MATCH(A1707-129,Fields!$D$2:$D$206,1)),""),"")</f>
        <v/>
      </c>
    </row>
    <row r="1708">
      <c r="A1708" t="n">
        <v>1707</v>
      </c>
      <c r="B1708">
        <f>IFERROR(INDEX(RawBits!$A:$A,MATCH($A1708,RawBits!$H:$H,0)),"?")</f>
        <v/>
      </c>
      <c r="C1708">
        <f>IFERROR(INDEX(RawBits!$G:$G,MATCH($A1708,RawBits!$H:$H,0)),"")</f>
        <v/>
      </c>
      <c r="D1708">
        <f>IFERROR(IF(AND(A1708&gt;=129,A1708&lt;=2176),INDEX(Fields!$B$2:$B$206,MATCH(A1708-129,Fields!$D$2:$D$206,1)),""),"")</f>
        <v/>
      </c>
      <c r="E1708">
        <f>IFERROR(IF(AND(A1708&gt;=129,A1708&lt;=2176),INDEX(Fields!$C$2:$C$206,MATCH(A1708-129,Fields!$D$2:$D$206,1)),""),"")</f>
        <v/>
      </c>
    </row>
    <row r="1709">
      <c r="A1709" t="n">
        <v>1708</v>
      </c>
      <c r="B1709">
        <f>IFERROR(INDEX(RawBits!$A:$A,MATCH($A1709,RawBits!$H:$H,0)),"?")</f>
        <v/>
      </c>
      <c r="C1709">
        <f>IFERROR(INDEX(RawBits!$G:$G,MATCH($A1709,RawBits!$H:$H,0)),"")</f>
        <v/>
      </c>
      <c r="D1709">
        <f>IFERROR(IF(AND(A1709&gt;=129,A1709&lt;=2176),INDEX(Fields!$B$2:$B$206,MATCH(A1709-129,Fields!$D$2:$D$206,1)),""),"")</f>
        <v/>
      </c>
      <c r="E1709">
        <f>IFERROR(IF(AND(A1709&gt;=129,A1709&lt;=2176),INDEX(Fields!$C$2:$C$206,MATCH(A1709-129,Fields!$D$2:$D$206,1)),""),"")</f>
        <v/>
      </c>
    </row>
    <row r="1710">
      <c r="A1710" t="n">
        <v>1709</v>
      </c>
      <c r="B1710">
        <f>IFERROR(INDEX(RawBits!$A:$A,MATCH($A1710,RawBits!$H:$H,0)),"?")</f>
        <v/>
      </c>
      <c r="C1710">
        <f>IFERROR(INDEX(RawBits!$G:$G,MATCH($A1710,RawBits!$H:$H,0)),"")</f>
        <v/>
      </c>
      <c r="D1710">
        <f>IFERROR(IF(AND(A1710&gt;=129,A1710&lt;=2176),INDEX(Fields!$B$2:$B$206,MATCH(A1710-129,Fields!$D$2:$D$206,1)),""),"")</f>
        <v/>
      </c>
      <c r="E1710">
        <f>IFERROR(IF(AND(A1710&gt;=129,A1710&lt;=2176),INDEX(Fields!$C$2:$C$206,MATCH(A1710-129,Fields!$D$2:$D$206,1)),""),"")</f>
        <v/>
      </c>
    </row>
    <row r="1711">
      <c r="A1711" t="n">
        <v>1710</v>
      </c>
      <c r="B1711">
        <f>IFERROR(INDEX(RawBits!$A:$A,MATCH($A1711,RawBits!$H:$H,0)),"?")</f>
        <v/>
      </c>
      <c r="C1711">
        <f>IFERROR(INDEX(RawBits!$G:$G,MATCH($A1711,RawBits!$H:$H,0)),"")</f>
        <v/>
      </c>
      <c r="D1711">
        <f>IFERROR(IF(AND(A1711&gt;=129,A1711&lt;=2176),INDEX(Fields!$B$2:$B$206,MATCH(A1711-129,Fields!$D$2:$D$206,1)),""),"")</f>
        <v/>
      </c>
      <c r="E1711">
        <f>IFERROR(IF(AND(A1711&gt;=129,A1711&lt;=2176),INDEX(Fields!$C$2:$C$206,MATCH(A1711-129,Fields!$D$2:$D$206,1)),""),"")</f>
        <v/>
      </c>
    </row>
    <row r="1712">
      <c r="A1712" t="n">
        <v>1711</v>
      </c>
      <c r="B1712">
        <f>IFERROR(INDEX(RawBits!$A:$A,MATCH($A1712,RawBits!$H:$H,0)),"?")</f>
        <v/>
      </c>
      <c r="C1712">
        <f>IFERROR(INDEX(RawBits!$G:$G,MATCH($A1712,RawBits!$H:$H,0)),"")</f>
        <v/>
      </c>
      <c r="D1712">
        <f>IFERROR(IF(AND(A1712&gt;=129,A1712&lt;=2176),INDEX(Fields!$B$2:$B$206,MATCH(A1712-129,Fields!$D$2:$D$206,1)),""),"")</f>
        <v/>
      </c>
      <c r="E1712">
        <f>IFERROR(IF(AND(A1712&gt;=129,A1712&lt;=2176),INDEX(Fields!$C$2:$C$206,MATCH(A1712-129,Fields!$D$2:$D$206,1)),""),"")</f>
        <v/>
      </c>
    </row>
    <row r="1713">
      <c r="A1713" t="n">
        <v>1712</v>
      </c>
      <c r="B1713">
        <f>IFERROR(INDEX(RawBits!$A:$A,MATCH($A1713,RawBits!$H:$H,0)),"?")</f>
        <v/>
      </c>
      <c r="C1713">
        <f>IFERROR(INDEX(RawBits!$G:$G,MATCH($A1713,RawBits!$H:$H,0)),"")</f>
        <v/>
      </c>
      <c r="D1713">
        <f>IFERROR(IF(AND(A1713&gt;=129,A1713&lt;=2176),INDEX(Fields!$B$2:$B$206,MATCH(A1713-129,Fields!$D$2:$D$206,1)),""),"")</f>
        <v/>
      </c>
      <c r="E1713">
        <f>IFERROR(IF(AND(A1713&gt;=129,A1713&lt;=2176),INDEX(Fields!$C$2:$C$206,MATCH(A1713-129,Fields!$D$2:$D$206,1)),""),"")</f>
        <v/>
      </c>
    </row>
    <row r="1714">
      <c r="A1714" t="n">
        <v>1713</v>
      </c>
      <c r="B1714">
        <f>IFERROR(INDEX(RawBits!$A:$A,MATCH($A1714,RawBits!$H:$H,0)),"?")</f>
        <v/>
      </c>
      <c r="C1714">
        <f>IFERROR(INDEX(RawBits!$G:$G,MATCH($A1714,RawBits!$H:$H,0)),"")</f>
        <v/>
      </c>
      <c r="D1714">
        <f>IFERROR(IF(AND(A1714&gt;=129,A1714&lt;=2176),INDEX(Fields!$B$2:$B$206,MATCH(A1714-129,Fields!$D$2:$D$206,1)),""),"")</f>
        <v/>
      </c>
      <c r="E1714">
        <f>IFERROR(IF(AND(A1714&gt;=129,A1714&lt;=2176),INDEX(Fields!$C$2:$C$206,MATCH(A1714-129,Fields!$D$2:$D$206,1)),""),"")</f>
        <v/>
      </c>
    </row>
    <row r="1715">
      <c r="A1715" t="n">
        <v>1714</v>
      </c>
      <c r="B1715">
        <f>IFERROR(INDEX(RawBits!$A:$A,MATCH($A1715,RawBits!$H:$H,0)),"?")</f>
        <v/>
      </c>
      <c r="C1715">
        <f>IFERROR(INDEX(RawBits!$G:$G,MATCH($A1715,RawBits!$H:$H,0)),"")</f>
        <v/>
      </c>
      <c r="D1715">
        <f>IFERROR(IF(AND(A1715&gt;=129,A1715&lt;=2176),INDEX(Fields!$B$2:$B$206,MATCH(A1715-129,Fields!$D$2:$D$206,1)),""),"")</f>
        <v/>
      </c>
      <c r="E1715">
        <f>IFERROR(IF(AND(A1715&gt;=129,A1715&lt;=2176),INDEX(Fields!$C$2:$C$206,MATCH(A1715-129,Fields!$D$2:$D$206,1)),""),"")</f>
        <v/>
      </c>
    </row>
    <row r="1716">
      <c r="A1716" t="n">
        <v>1715</v>
      </c>
      <c r="B1716">
        <f>IFERROR(INDEX(RawBits!$A:$A,MATCH($A1716,RawBits!$H:$H,0)),"?")</f>
        <v/>
      </c>
      <c r="C1716">
        <f>IFERROR(INDEX(RawBits!$G:$G,MATCH($A1716,RawBits!$H:$H,0)),"")</f>
        <v/>
      </c>
      <c r="D1716">
        <f>IFERROR(IF(AND(A1716&gt;=129,A1716&lt;=2176),INDEX(Fields!$B$2:$B$206,MATCH(A1716-129,Fields!$D$2:$D$206,1)),""),"")</f>
        <v/>
      </c>
      <c r="E1716">
        <f>IFERROR(IF(AND(A1716&gt;=129,A1716&lt;=2176),INDEX(Fields!$C$2:$C$206,MATCH(A1716-129,Fields!$D$2:$D$206,1)),""),"")</f>
        <v/>
      </c>
    </row>
    <row r="1717">
      <c r="A1717" t="n">
        <v>1716</v>
      </c>
      <c r="B1717">
        <f>IFERROR(INDEX(RawBits!$A:$A,MATCH($A1717,RawBits!$H:$H,0)),"?")</f>
        <v/>
      </c>
      <c r="C1717">
        <f>IFERROR(INDEX(RawBits!$G:$G,MATCH($A1717,RawBits!$H:$H,0)),"")</f>
        <v/>
      </c>
      <c r="D1717">
        <f>IFERROR(IF(AND(A1717&gt;=129,A1717&lt;=2176),INDEX(Fields!$B$2:$B$206,MATCH(A1717-129,Fields!$D$2:$D$206,1)),""),"")</f>
        <v/>
      </c>
      <c r="E1717">
        <f>IFERROR(IF(AND(A1717&gt;=129,A1717&lt;=2176),INDEX(Fields!$C$2:$C$206,MATCH(A1717-129,Fields!$D$2:$D$206,1)),""),"")</f>
        <v/>
      </c>
    </row>
    <row r="1718">
      <c r="A1718" t="n">
        <v>1717</v>
      </c>
      <c r="B1718">
        <f>IFERROR(INDEX(RawBits!$A:$A,MATCH($A1718,RawBits!$H:$H,0)),"?")</f>
        <v/>
      </c>
      <c r="C1718">
        <f>IFERROR(INDEX(RawBits!$G:$G,MATCH($A1718,RawBits!$H:$H,0)),"")</f>
        <v/>
      </c>
      <c r="D1718">
        <f>IFERROR(IF(AND(A1718&gt;=129,A1718&lt;=2176),INDEX(Fields!$B$2:$B$206,MATCH(A1718-129,Fields!$D$2:$D$206,1)),""),"")</f>
        <v/>
      </c>
      <c r="E1718">
        <f>IFERROR(IF(AND(A1718&gt;=129,A1718&lt;=2176),INDEX(Fields!$C$2:$C$206,MATCH(A1718-129,Fields!$D$2:$D$206,1)),""),"")</f>
        <v/>
      </c>
    </row>
    <row r="1719">
      <c r="A1719" t="n">
        <v>1718</v>
      </c>
      <c r="B1719">
        <f>IFERROR(INDEX(RawBits!$A:$A,MATCH($A1719,RawBits!$H:$H,0)),"?")</f>
        <v/>
      </c>
      <c r="C1719">
        <f>IFERROR(INDEX(RawBits!$G:$G,MATCH($A1719,RawBits!$H:$H,0)),"")</f>
        <v/>
      </c>
      <c r="D1719">
        <f>IFERROR(IF(AND(A1719&gt;=129,A1719&lt;=2176),INDEX(Fields!$B$2:$B$206,MATCH(A1719-129,Fields!$D$2:$D$206,1)),""),"")</f>
        <v/>
      </c>
      <c r="E1719">
        <f>IFERROR(IF(AND(A1719&gt;=129,A1719&lt;=2176),INDEX(Fields!$C$2:$C$206,MATCH(A1719-129,Fields!$D$2:$D$206,1)),""),"")</f>
        <v/>
      </c>
    </row>
    <row r="1720">
      <c r="A1720" t="n">
        <v>1719</v>
      </c>
      <c r="B1720">
        <f>IFERROR(INDEX(RawBits!$A:$A,MATCH($A1720,RawBits!$H:$H,0)),"?")</f>
        <v/>
      </c>
      <c r="C1720">
        <f>IFERROR(INDEX(RawBits!$G:$G,MATCH($A1720,RawBits!$H:$H,0)),"")</f>
        <v/>
      </c>
      <c r="D1720">
        <f>IFERROR(IF(AND(A1720&gt;=129,A1720&lt;=2176),INDEX(Fields!$B$2:$B$206,MATCH(A1720-129,Fields!$D$2:$D$206,1)),""),"")</f>
        <v/>
      </c>
      <c r="E1720">
        <f>IFERROR(IF(AND(A1720&gt;=129,A1720&lt;=2176),INDEX(Fields!$C$2:$C$206,MATCH(A1720-129,Fields!$D$2:$D$206,1)),""),"")</f>
        <v/>
      </c>
    </row>
    <row r="1721">
      <c r="A1721" t="n">
        <v>1720</v>
      </c>
      <c r="B1721">
        <f>IFERROR(INDEX(RawBits!$A:$A,MATCH($A1721,RawBits!$H:$H,0)),"?")</f>
        <v/>
      </c>
      <c r="C1721">
        <f>IFERROR(INDEX(RawBits!$G:$G,MATCH($A1721,RawBits!$H:$H,0)),"")</f>
        <v/>
      </c>
      <c r="D1721">
        <f>IFERROR(IF(AND(A1721&gt;=129,A1721&lt;=2176),INDEX(Fields!$B$2:$B$206,MATCH(A1721-129,Fields!$D$2:$D$206,1)),""),"")</f>
        <v/>
      </c>
      <c r="E1721">
        <f>IFERROR(IF(AND(A1721&gt;=129,A1721&lt;=2176),INDEX(Fields!$C$2:$C$206,MATCH(A1721-129,Fields!$D$2:$D$206,1)),""),"")</f>
        <v/>
      </c>
    </row>
    <row r="1722">
      <c r="A1722" t="n">
        <v>1721</v>
      </c>
      <c r="B1722">
        <f>IFERROR(INDEX(RawBits!$A:$A,MATCH($A1722,RawBits!$H:$H,0)),"?")</f>
        <v/>
      </c>
      <c r="C1722">
        <f>IFERROR(INDEX(RawBits!$G:$G,MATCH($A1722,RawBits!$H:$H,0)),"")</f>
        <v/>
      </c>
      <c r="D1722">
        <f>IFERROR(IF(AND(A1722&gt;=129,A1722&lt;=2176),INDEX(Fields!$B$2:$B$206,MATCH(A1722-129,Fields!$D$2:$D$206,1)),""),"")</f>
        <v/>
      </c>
      <c r="E1722">
        <f>IFERROR(IF(AND(A1722&gt;=129,A1722&lt;=2176),INDEX(Fields!$C$2:$C$206,MATCH(A1722-129,Fields!$D$2:$D$206,1)),""),"")</f>
        <v/>
      </c>
    </row>
    <row r="1723">
      <c r="A1723" t="n">
        <v>1722</v>
      </c>
      <c r="B1723">
        <f>IFERROR(INDEX(RawBits!$A:$A,MATCH($A1723,RawBits!$H:$H,0)),"?")</f>
        <v/>
      </c>
      <c r="C1723">
        <f>IFERROR(INDEX(RawBits!$G:$G,MATCH($A1723,RawBits!$H:$H,0)),"")</f>
        <v/>
      </c>
      <c r="D1723">
        <f>IFERROR(IF(AND(A1723&gt;=129,A1723&lt;=2176),INDEX(Fields!$B$2:$B$206,MATCH(A1723-129,Fields!$D$2:$D$206,1)),""),"")</f>
        <v/>
      </c>
      <c r="E1723">
        <f>IFERROR(IF(AND(A1723&gt;=129,A1723&lt;=2176),INDEX(Fields!$C$2:$C$206,MATCH(A1723-129,Fields!$D$2:$D$206,1)),""),"")</f>
        <v/>
      </c>
    </row>
    <row r="1724">
      <c r="A1724" t="n">
        <v>1723</v>
      </c>
      <c r="B1724">
        <f>IFERROR(INDEX(RawBits!$A:$A,MATCH($A1724,RawBits!$H:$H,0)),"?")</f>
        <v/>
      </c>
      <c r="C1724">
        <f>IFERROR(INDEX(RawBits!$G:$G,MATCH($A1724,RawBits!$H:$H,0)),"")</f>
        <v/>
      </c>
      <c r="D1724">
        <f>IFERROR(IF(AND(A1724&gt;=129,A1724&lt;=2176),INDEX(Fields!$B$2:$B$206,MATCH(A1724-129,Fields!$D$2:$D$206,1)),""),"")</f>
        <v/>
      </c>
      <c r="E1724">
        <f>IFERROR(IF(AND(A1724&gt;=129,A1724&lt;=2176),INDEX(Fields!$C$2:$C$206,MATCH(A1724-129,Fields!$D$2:$D$206,1)),""),"")</f>
        <v/>
      </c>
    </row>
    <row r="1725">
      <c r="A1725" t="n">
        <v>1724</v>
      </c>
      <c r="B1725">
        <f>IFERROR(INDEX(RawBits!$A:$A,MATCH($A1725,RawBits!$H:$H,0)),"?")</f>
        <v/>
      </c>
      <c r="C1725">
        <f>IFERROR(INDEX(RawBits!$G:$G,MATCH($A1725,RawBits!$H:$H,0)),"")</f>
        <v/>
      </c>
      <c r="D1725">
        <f>IFERROR(IF(AND(A1725&gt;=129,A1725&lt;=2176),INDEX(Fields!$B$2:$B$206,MATCH(A1725-129,Fields!$D$2:$D$206,1)),""),"")</f>
        <v/>
      </c>
      <c r="E1725">
        <f>IFERROR(IF(AND(A1725&gt;=129,A1725&lt;=2176),INDEX(Fields!$C$2:$C$206,MATCH(A1725-129,Fields!$D$2:$D$206,1)),""),"")</f>
        <v/>
      </c>
    </row>
    <row r="1726">
      <c r="A1726" t="n">
        <v>1725</v>
      </c>
      <c r="B1726">
        <f>IFERROR(INDEX(RawBits!$A:$A,MATCH($A1726,RawBits!$H:$H,0)),"?")</f>
        <v/>
      </c>
      <c r="C1726">
        <f>IFERROR(INDEX(RawBits!$G:$G,MATCH($A1726,RawBits!$H:$H,0)),"")</f>
        <v/>
      </c>
      <c r="D1726">
        <f>IFERROR(IF(AND(A1726&gt;=129,A1726&lt;=2176),INDEX(Fields!$B$2:$B$206,MATCH(A1726-129,Fields!$D$2:$D$206,1)),""),"")</f>
        <v/>
      </c>
      <c r="E1726">
        <f>IFERROR(IF(AND(A1726&gt;=129,A1726&lt;=2176),INDEX(Fields!$C$2:$C$206,MATCH(A1726-129,Fields!$D$2:$D$206,1)),""),"")</f>
        <v/>
      </c>
    </row>
    <row r="1727">
      <c r="A1727" t="n">
        <v>1726</v>
      </c>
      <c r="B1727">
        <f>IFERROR(INDEX(RawBits!$A:$A,MATCH($A1727,RawBits!$H:$H,0)),"?")</f>
        <v/>
      </c>
      <c r="C1727">
        <f>IFERROR(INDEX(RawBits!$G:$G,MATCH($A1727,RawBits!$H:$H,0)),"")</f>
        <v/>
      </c>
      <c r="D1727">
        <f>IFERROR(IF(AND(A1727&gt;=129,A1727&lt;=2176),INDEX(Fields!$B$2:$B$206,MATCH(A1727-129,Fields!$D$2:$D$206,1)),""),"")</f>
        <v/>
      </c>
      <c r="E1727">
        <f>IFERROR(IF(AND(A1727&gt;=129,A1727&lt;=2176),INDEX(Fields!$C$2:$C$206,MATCH(A1727-129,Fields!$D$2:$D$206,1)),""),"")</f>
        <v/>
      </c>
    </row>
    <row r="1728">
      <c r="A1728" t="n">
        <v>1727</v>
      </c>
      <c r="B1728">
        <f>IFERROR(INDEX(RawBits!$A:$A,MATCH($A1728,RawBits!$H:$H,0)),"?")</f>
        <v/>
      </c>
      <c r="C1728">
        <f>IFERROR(INDEX(RawBits!$G:$G,MATCH($A1728,RawBits!$H:$H,0)),"")</f>
        <v/>
      </c>
      <c r="D1728">
        <f>IFERROR(IF(AND(A1728&gt;=129,A1728&lt;=2176),INDEX(Fields!$B$2:$B$206,MATCH(A1728-129,Fields!$D$2:$D$206,1)),""),"")</f>
        <v/>
      </c>
      <c r="E1728">
        <f>IFERROR(IF(AND(A1728&gt;=129,A1728&lt;=2176),INDEX(Fields!$C$2:$C$206,MATCH(A1728-129,Fields!$D$2:$D$206,1)),""),"")</f>
        <v/>
      </c>
    </row>
    <row r="1729">
      <c r="A1729" t="n">
        <v>1728</v>
      </c>
      <c r="B1729">
        <f>IFERROR(INDEX(RawBits!$A:$A,MATCH($A1729,RawBits!$H:$H,0)),"?")</f>
        <v/>
      </c>
      <c r="C1729">
        <f>IFERROR(INDEX(RawBits!$G:$G,MATCH($A1729,RawBits!$H:$H,0)),"")</f>
        <v/>
      </c>
      <c r="D1729">
        <f>IFERROR(IF(AND(A1729&gt;=129,A1729&lt;=2176),INDEX(Fields!$B$2:$B$206,MATCH(A1729-129,Fields!$D$2:$D$206,1)),""),"")</f>
        <v/>
      </c>
      <c r="E1729">
        <f>IFERROR(IF(AND(A1729&gt;=129,A1729&lt;=2176),INDEX(Fields!$C$2:$C$206,MATCH(A1729-129,Fields!$D$2:$D$206,1)),""),"")</f>
        <v/>
      </c>
    </row>
    <row r="1730">
      <c r="A1730" t="n">
        <v>1729</v>
      </c>
      <c r="B1730">
        <f>IFERROR(INDEX(RawBits!$A:$A,MATCH($A1730,RawBits!$H:$H,0)),"?")</f>
        <v/>
      </c>
      <c r="C1730">
        <f>IFERROR(INDEX(RawBits!$G:$G,MATCH($A1730,RawBits!$H:$H,0)),"")</f>
        <v/>
      </c>
      <c r="D1730">
        <f>IFERROR(IF(AND(A1730&gt;=129,A1730&lt;=2176),INDEX(Fields!$B$2:$B$206,MATCH(A1730-129,Fields!$D$2:$D$206,1)),""),"")</f>
        <v/>
      </c>
      <c r="E1730">
        <f>IFERROR(IF(AND(A1730&gt;=129,A1730&lt;=2176),INDEX(Fields!$C$2:$C$206,MATCH(A1730-129,Fields!$D$2:$D$206,1)),""),"")</f>
        <v/>
      </c>
    </row>
    <row r="1731">
      <c r="A1731" t="n">
        <v>1730</v>
      </c>
      <c r="B1731">
        <f>IFERROR(INDEX(RawBits!$A:$A,MATCH($A1731,RawBits!$H:$H,0)),"?")</f>
        <v/>
      </c>
      <c r="C1731">
        <f>IFERROR(INDEX(RawBits!$G:$G,MATCH($A1731,RawBits!$H:$H,0)),"")</f>
        <v/>
      </c>
      <c r="D1731">
        <f>IFERROR(IF(AND(A1731&gt;=129,A1731&lt;=2176),INDEX(Fields!$B$2:$B$206,MATCH(A1731-129,Fields!$D$2:$D$206,1)),""),"")</f>
        <v/>
      </c>
      <c r="E1731">
        <f>IFERROR(IF(AND(A1731&gt;=129,A1731&lt;=2176),INDEX(Fields!$C$2:$C$206,MATCH(A1731-129,Fields!$D$2:$D$206,1)),""),"")</f>
        <v/>
      </c>
    </row>
    <row r="1732">
      <c r="A1732" t="n">
        <v>1731</v>
      </c>
      <c r="B1732">
        <f>IFERROR(INDEX(RawBits!$A:$A,MATCH($A1732,RawBits!$H:$H,0)),"?")</f>
        <v/>
      </c>
      <c r="C1732">
        <f>IFERROR(INDEX(RawBits!$G:$G,MATCH($A1732,RawBits!$H:$H,0)),"")</f>
        <v/>
      </c>
      <c r="D1732">
        <f>IFERROR(IF(AND(A1732&gt;=129,A1732&lt;=2176),INDEX(Fields!$B$2:$B$206,MATCH(A1732-129,Fields!$D$2:$D$206,1)),""),"")</f>
        <v/>
      </c>
      <c r="E1732">
        <f>IFERROR(IF(AND(A1732&gt;=129,A1732&lt;=2176),INDEX(Fields!$C$2:$C$206,MATCH(A1732-129,Fields!$D$2:$D$206,1)),""),"")</f>
        <v/>
      </c>
    </row>
    <row r="1733">
      <c r="A1733" t="n">
        <v>1732</v>
      </c>
      <c r="B1733">
        <f>IFERROR(INDEX(RawBits!$A:$A,MATCH($A1733,RawBits!$H:$H,0)),"?")</f>
        <v/>
      </c>
      <c r="C1733">
        <f>IFERROR(INDEX(RawBits!$G:$G,MATCH($A1733,RawBits!$H:$H,0)),"")</f>
        <v/>
      </c>
      <c r="D1733">
        <f>IFERROR(IF(AND(A1733&gt;=129,A1733&lt;=2176),INDEX(Fields!$B$2:$B$206,MATCH(A1733-129,Fields!$D$2:$D$206,1)),""),"")</f>
        <v/>
      </c>
      <c r="E1733">
        <f>IFERROR(IF(AND(A1733&gt;=129,A1733&lt;=2176),INDEX(Fields!$C$2:$C$206,MATCH(A1733-129,Fields!$D$2:$D$206,1)),""),"")</f>
        <v/>
      </c>
    </row>
    <row r="1734">
      <c r="A1734" t="n">
        <v>1733</v>
      </c>
      <c r="B1734">
        <f>IFERROR(INDEX(RawBits!$A:$A,MATCH($A1734,RawBits!$H:$H,0)),"?")</f>
        <v/>
      </c>
      <c r="C1734">
        <f>IFERROR(INDEX(RawBits!$G:$G,MATCH($A1734,RawBits!$H:$H,0)),"")</f>
        <v/>
      </c>
      <c r="D1734">
        <f>IFERROR(IF(AND(A1734&gt;=129,A1734&lt;=2176),INDEX(Fields!$B$2:$B$206,MATCH(A1734-129,Fields!$D$2:$D$206,1)),""),"")</f>
        <v/>
      </c>
      <c r="E1734">
        <f>IFERROR(IF(AND(A1734&gt;=129,A1734&lt;=2176),INDEX(Fields!$C$2:$C$206,MATCH(A1734-129,Fields!$D$2:$D$206,1)),""),"")</f>
        <v/>
      </c>
    </row>
    <row r="1735">
      <c r="A1735" t="n">
        <v>1734</v>
      </c>
      <c r="B1735">
        <f>IFERROR(INDEX(RawBits!$A:$A,MATCH($A1735,RawBits!$H:$H,0)),"?")</f>
        <v/>
      </c>
      <c r="C1735">
        <f>IFERROR(INDEX(RawBits!$G:$G,MATCH($A1735,RawBits!$H:$H,0)),"")</f>
        <v/>
      </c>
      <c r="D1735">
        <f>IFERROR(IF(AND(A1735&gt;=129,A1735&lt;=2176),INDEX(Fields!$B$2:$B$206,MATCH(A1735-129,Fields!$D$2:$D$206,1)),""),"")</f>
        <v/>
      </c>
      <c r="E1735">
        <f>IFERROR(IF(AND(A1735&gt;=129,A1735&lt;=2176),INDEX(Fields!$C$2:$C$206,MATCH(A1735-129,Fields!$D$2:$D$206,1)),""),"")</f>
        <v/>
      </c>
    </row>
    <row r="1736">
      <c r="A1736" t="n">
        <v>1735</v>
      </c>
      <c r="B1736">
        <f>IFERROR(INDEX(RawBits!$A:$A,MATCH($A1736,RawBits!$H:$H,0)),"?")</f>
        <v/>
      </c>
      <c r="C1736">
        <f>IFERROR(INDEX(RawBits!$G:$G,MATCH($A1736,RawBits!$H:$H,0)),"")</f>
        <v/>
      </c>
      <c r="D1736">
        <f>IFERROR(IF(AND(A1736&gt;=129,A1736&lt;=2176),INDEX(Fields!$B$2:$B$206,MATCH(A1736-129,Fields!$D$2:$D$206,1)),""),"")</f>
        <v/>
      </c>
      <c r="E1736">
        <f>IFERROR(IF(AND(A1736&gt;=129,A1736&lt;=2176),INDEX(Fields!$C$2:$C$206,MATCH(A1736-129,Fields!$D$2:$D$206,1)),""),"")</f>
        <v/>
      </c>
    </row>
    <row r="1737">
      <c r="A1737" t="n">
        <v>1736</v>
      </c>
      <c r="B1737">
        <f>IFERROR(INDEX(RawBits!$A:$A,MATCH($A1737,RawBits!$H:$H,0)),"?")</f>
        <v/>
      </c>
      <c r="C1737">
        <f>IFERROR(INDEX(RawBits!$G:$G,MATCH($A1737,RawBits!$H:$H,0)),"")</f>
        <v/>
      </c>
      <c r="D1737">
        <f>IFERROR(IF(AND(A1737&gt;=129,A1737&lt;=2176),INDEX(Fields!$B$2:$B$206,MATCH(A1737-129,Fields!$D$2:$D$206,1)),""),"")</f>
        <v/>
      </c>
      <c r="E1737">
        <f>IFERROR(IF(AND(A1737&gt;=129,A1737&lt;=2176),INDEX(Fields!$C$2:$C$206,MATCH(A1737-129,Fields!$D$2:$D$206,1)),""),"")</f>
        <v/>
      </c>
    </row>
    <row r="1738">
      <c r="A1738" t="n">
        <v>1737</v>
      </c>
      <c r="B1738">
        <f>IFERROR(INDEX(RawBits!$A:$A,MATCH($A1738,RawBits!$H:$H,0)),"?")</f>
        <v/>
      </c>
      <c r="C1738">
        <f>IFERROR(INDEX(RawBits!$G:$G,MATCH($A1738,RawBits!$H:$H,0)),"")</f>
        <v/>
      </c>
      <c r="D1738">
        <f>IFERROR(IF(AND(A1738&gt;=129,A1738&lt;=2176),INDEX(Fields!$B$2:$B$206,MATCH(A1738-129,Fields!$D$2:$D$206,1)),""),"")</f>
        <v/>
      </c>
      <c r="E1738">
        <f>IFERROR(IF(AND(A1738&gt;=129,A1738&lt;=2176),INDEX(Fields!$C$2:$C$206,MATCH(A1738-129,Fields!$D$2:$D$206,1)),""),"")</f>
        <v/>
      </c>
    </row>
    <row r="1739">
      <c r="A1739" t="n">
        <v>1738</v>
      </c>
      <c r="B1739">
        <f>IFERROR(INDEX(RawBits!$A:$A,MATCH($A1739,RawBits!$H:$H,0)),"?")</f>
        <v/>
      </c>
      <c r="C1739">
        <f>IFERROR(INDEX(RawBits!$G:$G,MATCH($A1739,RawBits!$H:$H,0)),"")</f>
        <v/>
      </c>
      <c r="D1739">
        <f>IFERROR(IF(AND(A1739&gt;=129,A1739&lt;=2176),INDEX(Fields!$B$2:$B$206,MATCH(A1739-129,Fields!$D$2:$D$206,1)),""),"")</f>
        <v/>
      </c>
      <c r="E1739">
        <f>IFERROR(IF(AND(A1739&gt;=129,A1739&lt;=2176),INDEX(Fields!$C$2:$C$206,MATCH(A1739-129,Fields!$D$2:$D$206,1)),""),"")</f>
        <v/>
      </c>
    </row>
    <row r="1740">
      <c r="A1740" t="n">
        <v>1739</v>
      </c>
      <c r="B1740">
        <f>IFERROR(INDEX(RawBits!$A:$A,MATCH($A1740,RawBits!$H:$H,0)),"?")</f>
        <v/>
      </c>
      <c r="C1740">
        <f>IFERROR(INDEX(RawBits!$G:$G,MATCH($A1740,RawBits!$H:$H,0)),"")</f>
        <v/>
      </c>
      <c r="D1740">
        <f>IFERROR(IF(AND(A1740&gt;=129,A1740&lt;=2176),INDEX(Fields!$B$2:$B$206,MATCH(A1740-129,Fields!$D$2:$D$206,1)),""),"")</f>
        <v/>
      </c>
      <c r="E1740">
        <f>IFERROR(IF(AND(A1740&gt;=129,A1740&lt;=2176),INDEX(Fields!$C$2:$C$206,MATCH(A1740-129,Fields!$D$2:$D$206,1)),""),"")</f>
        <v/>
      </c>
    </row>
    <row r="1741">
      <c r="A1741" t="n">
        <v>1740</v>
      </c>
      <c r="B1741">
        <f>IFERROR(INDEX(RawBits!$A:$A,MATCH($A1741,RawBits!$H:$H,0)),"?")</f>
        <v/>
      </c>
      <c r="C1741">
        <f>IFERROR(INDEX(RawBits!$G:$G,MATCH($A1741,RawBits!$H:$H,0)),"")</f>
        <v/>
      </c>
      <c r="D1741">
        <f>IFERROR(IF(AND(A1741&gt;=129,A1741&lt;=2176),INDEX(Fields!$B$2:$B$206,MATCH(A1741-129,Fields!$D$2:$D$206,1)),""),"")</f>
        <v/>
      </c>
      <c r="E1741">
        <f>IFERROR(IF(AND(A1741&gt;=129,A1741&lt;=2176),INDEX(Fields!$C$2:$C$206,MATCH(A1741-129,Fields!$D$2:$D$206,1)),""),"")</f>
        <v/>
      </c>
    </row>
    <row r="1742">
      <c r="A1742" t="n">
        <v>1741</v>
      </c>
      <c r="B1742">
        <f>IFERROR(INDEX(RawBits!$A:$A,MATCH($A1742,RawBits!$H:$H,0)),"?")</f>
        <v/>
      </c>
      <c r="C1742">
        <f>IFERROR(INDEX(RawBits!$G:$G,MATCH($A1742,RawBits!$H:$H,0)),"")</f>
        <v/>
      </c>
      <c r="D1742">
        <f>IFERROR(IF(AND(A1742&gt;=129,A1742&lt;=2176),INDEX(Fields!$B$2:$B$206,MATCH(A1742-129,Fields!$D$2:$D$206,1)),""),"")</f>
        <v/>
      </c>
      <c r="E1742">
        <f>IFERROR(IF(AND(A1742&gt;=129,A1742&lt;=2176),INDEX(Fields!$C$2:$C$206,MATCH(A1742-129,Fields!$D$2:$D$206,1)),""),"")</f>
        <v/>
      </c>
    </row>
    <row r="1743">
      <c r="A1743" t="n">
        <v>1742</v>
      </c>
      <c r="B1743">
        <f>IFERROR(INDEX(RawBits!$A:$A,MATCH($A1743,RawBits!$H:$H,0)),"?")</f>
        <v/>
      </c>
      <c r="C1743">
        <f>IFERROR(INDEX(RawBits!$G:$G,MATCH($A1743,RawBits!$H:$H,0)),"")</f>
        <v/>
      </c>
      <c r="D1743">
        <f>IFERROR(IF(AND(A1743&gt;=129,A1743&lt;=2176),INDEX(Fields!$B$2:$B$206,MATCH(A1743-129,Fields!$D$2:$D$206,1)),""),"")</f>
        <v/>
      </c>
      <c r="E1743">
        <f>IFERROR(IF(AND(A1743&gt;=129,A1743&lt;=2176),INDEX(Fields!$C$2:$C$206,MATCH(A1743-129,Fields!$D$2:$D$206,1)),""),"")</f>
        <v/>
      </c>
    </row>
    <row r="1744">
      <c r="A1744" t="n">
        <v>1743</v>
      </c>
      <c r="B1744">
        <f>IFERROR(INDEX(RawBits!$A:$A,MATCH($A1744,RawBits!$H:$H,0)),"?")</f>
        <v/>
      </c>
      <c r="C1744">
        <f>IFERROR(INDEX(RawBits!$G:$G,MATCH($A1744,RawBits!$H:$H,0)),"")</f>
        <v/>
      </c>
      <c r="D1744">
        <f>IFERROR(IF(AND(A1744&gt;=129,A1744&lt;=2176),INDEX(Fields!$B$2:$B$206,MATCH(A1744-129,Fields!$D$2:$D$206,1)),""),"")</f>
        <v/>
      </c>
      <c r="E1744">
        <f>IFERROR(IF(AND(A1744&gt;=129,A1744&lt;=2176),INDEX(Fields!$C$2:$C$206,MATCH(A1744-129,Fields!$D$2:$D$206,1)),""),"")</f>
        <v/>
      </c>
    </row>
    <row r="1745">
      <c r="A1745" t="n">
        <v>1744</v>
      </c>
      <c r="B1745">
        <f>IFERROR(INDEX(RawBits!$A:$A,MATCH($A1745,RawBits!$H:$H,0)),"?")</f>
        <v/>
      </c>
      <c r="C1745">
        <f>IFERROR(INDEX(RawBits!$G:$G,MATCH($A1745,RawBits!$H:$H,0)),"")</f>
        <v/>
      </c>
      <c r="D1745">
        <f>IFERROR(IF(AND(A1745&gt;=129,A1745&lt;=2176),INDEX(Fields!$B$2:$B$206,MATCH(A1745-129,Fields!$D$2:$D$206,1)),""),"")</f>
        <v/>
      </c>
      <c r="E1745">
        <f>IFERROR(IF(AND(A1745&gt;=129,A1745&lt;=2176),INDEX(Fields!$C$2:$C$206,MATCH(A1745-129,Fields!$D$2:$D$206,1)),""),"")</f>
        <v/>
      </c>
    </row>
    <row r="1746">
      <c r="A1746" t="n">
        <v>1745</v>
      </c>
      <c r="B1746">
        <f>IFERROR(INDEX(RawBits!$A:$A,MATCH($A1746,RawBits!$H:$H,0)),"?")</f>
        <v/>
      </c>
      <c r="C1746">
        <f>IFERROR(INDEX(RawBits!$G:$G,MATCH($A1746,RawBits!$H:$H,0)),"")</f>
        <v/>
      </c>
      <c r="D1746">
        <f>IFERROR(IF(AND(A1746&gt;=129,A1746&lt;=2176),INDEX(Fields!$B$2:$B$206,MATCH(A1746-129,Fields!$D$2:$D$206,1)),""),"")</f>
        <v/>
      </c>
      <c r="E1746">
        <f>IFERROR(IF(AND(A1746&gt;=129,A1746&lt;=2176),INDEX(Fields!$C$2:$C$206,MATCH(A1746-129,Fields!$D$2:$D$206,1)),""),"")</f>
        <v/>
      </c>
    </row>
    <row r="1747">
      <c r="A1747" t="n">
        <v>1746</v>
      </c>
      <c r="B1747">
        <f>IFERROR(INDEX(RawBits!$A:$A,MATCH($A1747,RawBits!$H:$H,0)),"?")</f>
        <v/>
      </c>
      <c r="C1747">
        <f>IFERROR(INDEX(RawBits!$G:$G,MATCH($A1747,RawBits!$H:$H,0)),"")</f>
        <v/>
      </c>
      <c r="D1747">
        <f>IFERROR(IF(AND(A1747&gt;=129,A1747&lt;=2176),INDEX(Fields!$B$2:$B$206,MATCH(A1747-129,Fields!$D$2:$D$206,1)),""),"")</f>
        <v/>
      </c>
      <c r="E1747">
        <f>IFERROR(IF(AND(A1747&gt;=129,A1747&lt;=2176),INDEX(Fields!$C$2:$C$206,MATCH(A1747-129,Fields!$D$2:$D$206,1)),""),"")</f>
        <v/>
      </c>
    </row>
    <row r="1748">
      <c r="A1748" t="n">
        <v>1747</v>
      </c>
      <c r="B1748">
        <f>IFERROR(INDEX(RawBits!$A:$A,MATCH($A1748,RawBits!$H:$H,0)),"?")</f>
        <v/>
      </c>
      <c r="C1748">
        <f>IFERROR(INDEX(RawBits!$G:$G,MATCH($A1748,RawBits!$H:$H,0)),"")</f>
        <v/>
      </c>
      <c r="D1748">
        <f>IFERROR(IF(AND(A1748&gt;=129,A1748&lt;=2176),INDEX(Fields!$B$2:$B$206,MATCH(A1748-129,Fields!$D$2:$D$206,1)),""),"")</f>
        <v/>
      </c>
      <c r="E1748">
        <f>IFERROR(IF(AND(A1748&gt;=129,A1748&lt;=2176),INDEX(Fields!$C$2:$C$206,MATCH(A1748-129,Fields!$D$2:$D$206,1)),""),"")</f>
        <v/>
      </c>
    </row>
    <row r="1749">
      <c r="A1749" t="n">
        <v>1748</v>
      </c>
      <c r="B1749">
        <f>IFERROR(INDEX(RawBits!$A:$A,MATCH($A1749,RawBits!$H:$H,0)),"?")</f>
        <v/>
      </c>
      <c r="C1749">
        <f>IFERROR(INDEX(RawBits!$G:$G,MATCH($A1749,RawBits!$H:$H,0)),"")</f>
        <v/>
      </c>
      <c r="D1749">
        <f>IFERROR(IF(AND(A1749&gt;=129,A1749&lt;=2176),INDEX(Fields!$B$2:$B$206,MATCH(A1749-129,Fields!$D$2:$D$206,1)),""),"")</f>
        <v/>
      </c>
      <c r="E1749">
        <f>IFERROR(IF(AND(A1749&gt;=129,A1749&lt;=2176),INDEX(Fields!$C$2:$C$206,MATCH(A1749-129,Fields!$D$2:$D$206,1)),""),"")</f>
        <v/>
      </c>
    </row>
    <row r="1750">
      <c r="A1750" t="n">
        <v>1749</v>
      </c>
      <c r="B1750">
        <f>IFERROR(INDEX(RawBits!$A:$A,MATCH($A1750,RawBits!$H:$H,0)),"?")</f>
        <v/>
      </c>
      <c r="C1750">
        <f>IFERROR(INDEX(RawBits!$G:$G,MATCH($A1750,RawBits!$H:$H,0)),"")</f>
        <v/>
      </c>
      <c r="D1750">
        <f>IFERROR(IF(AND(A1750&gt;=129,A1750&lt;=2176),INDEX(Fields!$B$2:$B$206,MATCH(A1750-129,Fields!$D$2:$D$206,1)),""),"")</f>
        <v/>
      </c>
      <c r="E1750">
        <f>IFERROR(IF(AND(A1750&gt;=129,A1750&lt;=2176),INDEX(Fields!$C$2:$C$206,MATCH(A1750-129,Fields!$D$2:$D$206,1)),""),"")</f>
        <v/>
      </c>
    </row>
    <row r="1751">
      <c r="A1751" t="n">
        <v>1750</v>
      </c>
      <c r="B1751">
        <f>IFERROR(INDEX(RawBits!$A:$A,MATCH($A1751,RawBits!$H:$H,0)),"?")</f>
        <v/>
      </c>
      <c r="C1751">
        <f>IFERROR(INDEX(RawBits!$G:$G,MATCH($A1751,RawBits!$H:$H,0)),"")</f>
        <v/>
      </c>
      <c r="D1751">
        <f>IFERROR(IF(AND(A1751&gt;=129,A1751&lt;=2176),INDEX(Fields!$B$2:$B$206,MATCH(A1751-129,Fields!$D$2:$D$206,1)),""),"")</f>
        <v/>
      </c>
      <c r="E1751">
        <f>IFERROR(IF(AND(A1751&gt;=129,A1751&lt;=2176),INDEX(Fields!$C$2:$C$206,MATCH(A1751-129,Fields!$D$2:$D$206,1)),""),"")</f>
        <v/>
      </c>
    </row>
    <row r="1752">
      <c r="A1752" t="n">
        <v>1751</v>
      </c>
      <c r="B1752">
        <f>IFERROR(INDEX(RawBits!$A:$A,MATCH($A1752,RawBits!$H:$H,0)),"?")</f>
        <v/>
      </c>
      <c r="C1752">
        <f>IFERROR(INDEX(RawBits!$G:$G,MATCH($A1752,RawBits!$H:$H,0)),"")</f>
        <v/>
      </c>
      <c r="D1752">
        <f>IFERROR(IF(AND(A1752&gt;=129,A1752&lt;=2176),INDEX(Fields!$B$2:$B$206,MATCH(A1752-129,Fields!$D$2:$D$206,1)),""),"")</f>
        <v/>
      </c>
      <c r="E1752">
        <f>IFERROR(IF(AND(A1752&gt;=129,A1752&lt;=2176),INDEX(Fields!$C$2:$C$206,MATCH(A1752-129,Fields!$D$2:$D$206,1)),""),"")</f>
        <v/>
      </c>
    </row>
    <row r="1753">
      <c r="A1753" t="n">
        <v>1752</v>
      </c>
      <c r="B1753">
        <f>IFERROR(INDEX(RawBits!$A:$A,MATCH($A1753,RawBits!$H:$H,0)),"?")</f>
        <v/>
      </c>
      <c r="C1753">
        <f>IFERROR(INDEX(RawBits!$G:$G,MATCH($A1753,RawBits!$H:$H,0)),"")</f>
        <v/>
      </c>
      <c r="D1753">
        <f>IFERROR(IF(AND(A1753&gt;=129,A1753&lt;=2176),INDEX(Fields!$B$2:$B$206,MATCH(A1753-129,Fields!$D$2:$D$206,1)),""),"")</f>
        <v/>
      </c>
      <c r="E1753">
        <f>IFERROR(IF(AND(A1753&gt;=129,A1753&lt;=2176),INDEX(Fields!$C$2:$C$206,MATCH(A1753-129,Fields!$D$2:$D$206,1)),""),"")</f>
        <v/>
      </c>
    </row>
    <row r="1754">
      <c r="A1754" t="n">
        <v>1753</v>
      </c>
      <c r="B1754">
        <f>IFERROR(INDEX(RawBits!$A:$A,MATCH($A1754,RawBits!$H:$H,0)),"?")</f>
        <v/>
      </c>
      <c r="C1754">
        <f>IFERROR(INDEX(RawBits!$G:$G,MATCH($A1754,RawBits!$H:$H,0)),"")</f>
        <v/>
      </c>
      <c r="D1754">
        <f>IFERROR(IF(AND(A1754&gt;=129,A1754&lt;=2176),INDEX(Fields!$B$2:$B$206,MATCH(A1754-129,Fields!$D$2:$D$206,1)),""),"")</f>
        <v/>
      </c>
      <c r="E1754">
        <f>IFERROR(IF(AND(A1754&gt;=129,A1754&lt;=2176),INDEX(Fields!$C$2:$C$206,MATCH(A1754-129,Fields!$D$2:$D$206,1)),""),"")</f>
        <v/>
      </c>
    </row>
    <row r="1755">
      <c r="A1755" t="n">
        <v>1754</v>
      </c>
      <c r="B1755">
        <f>IFERROR(INDEX(RawBits!$A:$A,MATCH($A1755,RawBits!$H:$H,0)),"?")</f>
        <v/>
      </c>
      <c r="C1755">
        <f>IFERROR(INDEX(RawBits!$G:$G,MATCH($A1755,RawBits!$H:$H,0)),"")</f>
        <v/>
      </c>
      <c r="D1755">
        <f>IFERROR(IF(AND(A1755&gt;=129,A1755&lt;=2176),INDEX(Fields!$B$2:$B$206,MATCH(A1755-129,Fields!$D$2:$D$206,1)),""),"")</f>
        <v/>
      </c>
      <c r="E1755">
        <f>IFERROR(IF(AND(A1755&gt;=129,A1755&lt;=2176),INDEX(Fields!$C$2:$C$206,MATCH(A1755-129,Fields!$D$2:$D$206,1)),""),"")</f>
        <v/>
      </c>
    </row>
    <row r="1756">
      <c r="A1756" t="n">
        <v>1755</v>
      </c>
      <c r="B1756">
        <f>IFERROR(INDEX(RawBits!$A:$A,MATCH($A1756,RawBits!$H:$H,0)),"?")</f>
        <v/>
      </c>
      <c r="C1756">
        <f>IFERROR(INDEX(RawBits!$G:$G,MATCH($A1756,RawBits!$H:$H,0)),"")</f>
        <v/>
      </c>
      <c r="D1756">
        <f>IFERROR(IF(AND(A1756&gt;=129,A1756&lt;=2176),INDEX(Fields!$B$2:$B$206,MATCH(A1756-129,Fields!$D$2:$D$206,1)),""),"")</f>
        <v/>
      </c>
      <c r="E1756">
        <f>IFERROR(IF(AND(A1756&gt;=129,A1756&lt;=2176),INDEX(Fields!$C$2:$C$206,MATCH(A1756-129,Fields!$D$2:$D$206,1)),""),"")</f>
        <v/>
      </c>
    </row>
    <row r="1757">
      <c r="A1757" t="n">
        <v>1756</v>
      </c>
      <c r="B1757">
        <f>IFERROR(INDEX(RawBits!$A:$A,MATCH($A1757,RawBits!$H:$H,0)),"?")</f>
        <v/>
      </c>
      <c r="C1757">
        <f>IFERROR(INDEX(RawBits!$G:$G,MATCH($A1757,RawBits!$H:$H,0)),"")</f>
        <v/>
      </c>
      <c r="D1757">
        <f>IFERROR(IF(AND(A1757&gt;=129,A1757&lt;=2176),INDEX(Fields!$B$2:$B$206,MATCH(A1757-129,Fields!$D$2:$D$206,1)),""),"")</f>
        <v/>
      </c>
      <c r="E1757">
        <f>IFERROR(IF(AND(A1757&gt;=129,A1757&lt;=2176),INDEX(Fields!$C$2:$C$206,MATCH(A1757-129,Fields!$D$2:$D$206,1)),""),"")</f>
        <v/>
      </c>
    </row>
    <row r="1758">
      <c r="A1758" t="n">
        <v>1757</v>
      </c>
      <c r="B1758">
        <f>IFERROR(INDEX(RawBits!$A:$A,MATCH($A1758,RawBits!$H:$H,0)),"?")</f>
        <v/>
      </c>
      <c r="C1758">
        <f>IFERROR(INDEX(RawBits!$G:$G,MATCH($A1758,RawBits!$H:$H,0)),"")</f>
        <v/>
      </c>
      <c r="D1758">
        <f>IFERROR(IF(AND(A1758&gt;=129,A1758&lt;=2176),INDEX(Fields!$B$2:$B$206,MATCH(A1758-129,Fields!$D$2:$D$206,1)),""),"")</f>
        <v/>
      </c>
      <c r="E1758">
        <f>IFERROR(IF(AND(A1758&gt;=129,A1758&lt;=2176),INDEX(Fields!$C$2:$C$206,MATCH(A1758-129,Fields!$D$2:$D$206,1)),""),"")</f>
        <v/>
      </c>
    </row>
    <row r="1759">
      <c r="A1759" t="n">
        <v>1758</v>
      </c>
      <c r="B1759">
        <f>IFERROR(INDEX(RawBits!$A:$A,MATCH($A1759,RawBits!$H:$H,0)),"?")</f>
        <v/>
      </c>
      <c r="C1759">
        <f>IFERROR(INDEX(RawBits!$G:$G,MATCH($A1759,RawBits!$H:$H,0)),"")</f>
        <v/>
      </c>
      <c r="D1759">
        <f>IFERROR(IF(AND(A1759&gt;=129,A1759&lt;=2176),INDEX(Fields!$B$2:$B$206,MATCH(A1759-129,Fields!$D$2:$D$206,1)),""),"")</f>
        <v/>
      </c>
      <c r="E1759">
        <f>IFERROR(IF(AND(A1759&gt;=129,A1759&lt;=2176),INDEX(Fields!$C$2:$C$206,MATCH(A1759-129,Fields!$D$2:$D$206,1)),""),"")</f>
        <v/>
      </c>
    </row>
    <row r="1760">
      <c r="A1760" t="n">
        <v>1759</v>
      </c>
      <c r="B1760">
        <f>IFERROR(INDEX(RawBits!$A:$A,MATCH($A1760,RawBits!$H:$H,0)),"?")</f>
        <v/>
      </c>
      <c r="C1760">
        <f>IFERROR(INDEX(RawBits!$G:$G,MATCH($A1760,RawBits!$H:$H,0)),"")</f>
        <v/>
      </c>
      <c r="D1760">
        <f>IFERROR(IF(AND(A1760&gt;=129,A1760&lt;=2176),INDEX(Fields!$B$2:$B$206,MATCH(A1760-129,Fields!$D$2:$D$206,1)),""),"")</f>
        <v/>
      </c>
      <c r="E1760">
        <f>IFERROR(IF(AND(A1760&gt;=129,A1760&lt;=2176),INDEX(Fields!$C$2:$C$206,MATCH(A1760-129,Fields!$D$2:$D$206,1)),""),"")</f>
        <v/>
      </c>
    </row>
    <row r="1761">
      <c r="A1761" t="n">
        <v>1760</v>
      </c>
      <c r="B1761">
        <f>IFERROR(INDEX(RawBits!$A:$A,MATCH($A1761,RawBits!$H:$H,0)),"?")</f>
        <v/>
      </c>
      <c r="C1761">
        <f>IFERROR(INDEX(RawBits!$G:$G,MATCH($A1761,RawBits!$H:$H,0)),"")</f>
        <v/>
      </c>
      <c r="D1761">
        <f>IFERROR(IF(AND(A1761&gt;=129,A1761&lt;=2176),INDEX(Fields!$B$2:$B$206,MATCH(A1761-129,Fields!$D$2:$D$206,1)),""),"")</f>
        <v/>
      </c>
      <c r="E1761">
        <f>IFERROR(IF(AND(A1761&gt;=129,A1761&lt;=2176),INDEX(Fields!$C$2:$C$206,MATCH(A1761-129,Fields!$D$2:$D$206,1)),""),"")</f>
        <v/>
      </c>
    </row>
    <row r="1762">
      <c r="A1762" t="n">
        <v>1761</v>
      </c>
      <c r="B1762">
        <f>IFERROR(INDEX(RawBits!$A:$A,MATCH($A1762,RawBits!$H:$H,0)),"?")</f>
        <v/>
      </c>
      <c r="C1762">
        <f>IFERROR(INDEX(RawBits!$G:$G,MATCH($A1762,RawBits!$H:$H,0)),"")</f>
        <v/>
      </c>
      <c r="D1762">
        <f>IFERROR(IF(AND(A1762&gt;=129,A1762&lt;=2176),INDEX(Fields!$B$2:$B$206,MATCH(A1762-129,Fields!$D$2:$D$206,1)),""),"")</f>
        <v/>
      </c>
      <c r="E1762">
        <f>IFERROR(IF(AND(A1762&gt;=129,A1762&lt;=2176),INDEX(Fields!$C$2:$C$206,MATCH(A1762-129,Fields!$D$2:$D$206,1)),""),"")</f>
        <v/>
      </c>
    </row>
    <row r="1763">
      <c r="A1763" t="n">
        <v>1762</v>
      </c>
      <c r="B1763">
        <f>IFERROR(INDEX(RawBits!$A:$A,MATCH($A1763,RawBits!$H:$H,0)),"?")</f>
        <v/>
      </c>
      <c r="C1763">
        <f>IFERROR(INDEX(RawBits!$G:$G,MATCH($A1763,RawBits!$H:$H,0)),"")</f>
        <v/>
      </c>
      <c r="D1763">
        <f>IFERROR(IF(AND(A1763&gt;=129,A1763&lt;=2176),INDEX(Fields!$B$2:$B$206,MATCH(A1763-129,Fields!$D$2:$D$206,1)),""),"")</f>
        <v/>
      </c>
      <c r="E1763">
        <f>IFERROR(IF(AND(A1763&gt;=129,A1763&lt;=2176),INDEX(Fields!$C$2:$C$206,MATCH(A1763-129,Fields!$D$2:$D$206,1)),""),"")</f>
        <v/>
      </c>
    </row>
    <row r="1764">
      <c r="A1764" t="n">
        <v>1763</v>
      </c>
      <c r="B1764">
        <f>IFERROR(INDEX(RawBits!$A:$A,MATCH($A1764,RawBits!$H:$H,0)),"?")</f>
        <v/>
      </c>
      <c r="C1764">
        <f>IFERROR(INDEX(RawBits!$G:$G,MATCH($A1764,RawBits!$H:$H,0)),"")</f>
        <v/>
      </c>
      <c r="D1764">
        <f>IFERROR(IF(AND(A1764&gt;=129,A1764&lt;=2176),INDEX(Fields!$B$2:$B$206,MATCH(A1764-129,Fields!$D$2:$D$206,1)),""),"")</f>
        <v/>
      </c>
      <c r="E1764">
        <f>IFERROR(IF(AND(A1764&gt;=129,A1764&lt;=2176),INDEX(Fields!$C$2:$C$206,MATCH(A1764-129,Fields!$D$2:$D$206,1)),""),"")</f>
        <v/>
      </c>
    </row>
    <row r="1765">
      <c r="A1765" t="n">
        <v>1764</v>
      </c>
      <c r="B1765">
        <f>IFERROR(INDEX(RawBits!$A:$A,MATCH($A1765,RawBits!$H:$H,0)),"?")</f>
        <v/>
      </c>
      <c r="C1765">
        <f>IFERROR(INDEX(RawBits!$G:$G,MATCH($A1765,RawBits!$H:$H,0)),"")</f>
        <v/>
      </c>
      <c r="D1765">
        <f>IFERROR(IF(AND(A1765&gt;=129,A1765&lt;=2176),INDEX(Fields!$B$2:$B$206,MATCH(A1765-129,Fields!$D$2:$D$206,1)),""),"")</f>
        <v/>
      </c>
      <c r="E1765">
        <f>IFERROR(IF(AND(A1765&gt;=129,A1765&lt;=2176),INDEX(Fields!$C$2:$C$206,MATCH(A1765-129,Fields!$D$2:$D$206,1)),""),"")</f>
        <v/>
      </c>
    </row>
    <row r="1766">
      <c r="A1766" t="n">
        <v>1765</v>
      </c>
      <c r="B1766">
        <f>IFERROR(INDEX(RawBits!$A:$A,MATCH($A1766,RawBits!$H:$H,0)),"?")</f>
        <v/>
      </c>
      <c r="C1766">
        <f>IFERROR(INDEX(RawBits!$G:$G,MATCH($A1766,RawBits!$H:$H,0)),"")</f>
        <v/>
      </c>
      <c r="D1766">
        <f>IFERROR(IF(AND(A1766&gt;=129,A1766&lt;=2176),INDEX(Fields!$B$2:$B$206,MATCH(A1766-129,Fields!$D$2:$D$206,1)),""),"")</f>
        <v/>
      </c>
      <c r="E1766">
        <f>IFERROR(IF(AND(A1766&gt;=129,A1766&lt;=2176),INDEX(Fields!$C$2:$C$206,MATCH(A1766-129,Fields!$D$2:$D$206,1)),""),"")</f>
        <v/>
      </c>
    </row>
    <row r="1767">
      <c r="A1767" t="n">
        <v>1766</v>
      </c>
      <c r="B1767">
        <f>IFERROR(INDEX(RawBits!$A:$A,MATCH($A1767,RawBits!$H:$H,0)),"?")</f>
        <v/>
      </c>
      <c r="C1767">
        <f>IFERROR(INDEX(RawBits!$G:$G,MATCH($A1767,RawBits!$H:$H,0)),"")</f>
        <v/>
      </c>
      <c r="D1767">
        <f>IFERROR(IF(AND(A1767&gt;=129,A1767&lt;=2176),INDEX(Fields!$B$2:$B$206,MATCH(A1767-129,Fields!$D$2:$D$206,1)),""),"")</f>
        <v/>
      </c>
      <c r="E1767">
        <f>IFERROR(IF(AND(A1767&gt;=129,A1767&lt;=2176),INDEX(Fields!$C$2:$C$206,MATCH(A1767-129,Fields!$D$2:$D$206,1)),""),"")</f>
        <v/>
      </c>
    </row>
    <row r="1768">
      <c r="A1768" t="n">
        <v>1767</v>
      </c>
      <c r="B1768">
        <f>IFERROR(INDEX(RawBits!$A:$A,MATCH($A1768,RawBits!$H:$H,0)),"?")</f>
        <v/>
      </c>
      <c r="C1768">
        <f>IFERROR(INDEX(RawBits!$G:$G,MATCH($A1768,RawBits!$H:$H,0)),"")</f>
        <v/>
      </c>
      <c r="D1768">
        <f>IFERROR(IF(AND(A1768&gt;=129,A1768&lt;=2176),INDEX(Fields!$B$2:$B$206,MATCH(A1768-129,Fields!$D$2:$D$206,1)),""),"")</f>
        <v/>
      </c>
      <c r="E1768">
        <f>IFERROR(IF(AND(A1768&gt;=129,A1768&lt;=2176),INDEX(Fields!$C$2:$C$206,MATCH(A1768-129,Fields!$D$2:$D$206,1)),""),"")</f>
        <v/>
      </c>
    </row>
    <row r="1769">
      <c r="A1769" t="n">
        <v>1768</v>
      </c>
      <c r="B1769">
        <f>IFERROR(INDEX(RawBits!$A:$A,MATCH($A1769,RawBits!$H:$H,0)),"?")</f>
        <v/>
      </c>
      <c r="C1769">
        <f>IFERROR(INDEX(RawBits!$G:$G,MATCH($A1769,RawBits!$H:$H,0)),"")</f>
        <v/>
      </c>
      <c r="D1769">
        <f>IFERROR(IF(AND(A1769&gt;=129,A1769&lt;=2176),INDEX(Fields!$B$2:$B$206,MATCH(A1769-129,Fields!$D$2:$D$206,1)),""),"")</f>
        <v/>
      </c>
      <c r="E1769">
        <f>IFERROR(IF(AND(A1769&gt;=129,A1769&lt;=2176),INDEX(Fields!$C$2:$C$206,MATCH(A1769-129,Fields!$D$2:$D$206,1)),""),"")</f>
        <v/>
      </c>
    </row>
    <row r="1770">
      <c r="A1770" t="n">
        <v>1769</v>
      </c>
      <c r="B1770">
        <f>IFERROR(INDEX(RawBits!$A:$A,MATCH($A1770,RawBits!$H:$H,0)),"?")</f>
        <v/>
      </c>
      <c r="C1770">
        <f>IFERROR(INDEX(RawBits!$G:$G,MATCH($A1770,RawBits!$H:$H,0)),"")</f>
        <v/>
      </c>
      <c r="D1770">
        <f>IFERROR(IF(AND(A1770&gt;=129,A1770&lt;=2176),INDEX(Fields!$B$2:$B$206,MATCH(A1770-129,Fields!$D$2:$D$206,1)),""),"")</f>
        <v/>
      </c>
      <c r="E1770">
        <f>IFERROR(IF(AND(A1770&gt;=129,A1770&lt;=2176),INDEX(Fields!$C$2:$C$206,MATCH(A1770-129,Fields!$D$2:$D$206,1)),""),"")</f>
        <v/>
      </c>
    </row>
    <row r="1771">
      <c r="A1771" t="n">
        <v>1770</v>
      </c>
      <c r="B1771">
        <f>IFERROR(INDEX(RawBits!$A:$A,MATCH($A1771,RawBits!$H:$H,0)),"?")</f>
        <v/>
      </c>
      <c r="C1771">
        <f>IFERROR(INDEX(RawBits!$G:$G,MATCH($A1771,RawBits!$H:$H,0)),"")</f>
        <v/>
      </c>
      <c r="D1771">
        <f>IFERROR(IF(AND(A1771&gt;=129,A1771&lt;=2176),INDEX(Fields!$B$2:$B$206,MATCH(A1771-129,Fields!$D$2:$D$206,1)),""),"")</f>
        <v/>
      </c>
      <c r="E1771">
        <f>IFERROR(IF(AND(A1771&gt;=129,A1771&lt;=2176),INDEX(Fields!$C$2:$C$206,MATCH(A1771-129,Fields!$D$2:$D$206,1)),""),"")</f>
        <v/>
      </c>
    </row>
    <row r="1772">
      <c r="A1772" t="n">
        <v>1771</v>
      </c>
      <c r="B1772">
        <f>IFERROR(INDEX(RawBits!$A:$A,MATCH($A1772,RawBits!$H:$H,0)),"?")</f>
        <v/>
      </c>
      <c r="C1772">
        <f>IFERROR(INDEX(RawBits!$G:$G,MATCH($A1772,RawBits!$H:$H,0)),"")</f>
        <v/>
      </c>
      <c r="D1772">
        <f>IFERROR(IF(AND(A1772&gt;=129,A1772&lt;=2176),INDEX(Fields!$B$2:$B$206,MATCH(A1772-129,Fields!$D$2:$D$206,1)),""),"")</f>
        <v/>
      </c>
      <c r="E1772">
        <f>IFERROR(IF(AND(A1772&gt;=129,A1772&lt;=2176),INDEX(Fields!$C$2:$C$206,MATCH(A1772-129,Fields!$D$2:$D$206,1)),""),"")</f>
        <v/>
      </c>
    </row>
    <row r="1773">
      <c r="A1773" t="n">
        <v>1772</v>
      </c>
      <c r="B1773">
        <f>IFERROR(INDEX(RawBits!$A:$A,MATCH($A1773,RawBits!$H:$H,0)),"?")</f>
        <v/>
      </c>
      <c r="C1773">
        <f>IFERROR(INDEX(RawBits!$G:$G,MATCH($A1773,RawBits!$H:$H,0)),"")</f>
        <v/>
      </c>
      <c r="D1773">
        <f>IFERROR(IF(AND(A1773&gt;=129,A1773&lt;=2176),INDEX(Fields!$B$2:$B$206,MATCH(A1773-129,Fields!$D$2:$D$206,1)),""),"")</f>
        <v/>
      </c>
      <c r="E1773">
        <f>IFERROR(IF(AND(A1773&gt;=129,A1773&lt;=2176),INDEX(Fields!$C$2:$C$206,MATCH(A1773-129,Fields!$D$2:$D$206,1)),""),"")</f>
        <v/>
      </c>
    </row>
    <row r="1774">
      <c r="A1774" t="n">
        <v>1773</v>
      </c>
      <c r="B1774">
        <f>IFERROR(INDEX(RawBits!$A:$A,MATCH($A1774,RawBits!$H:$H,0)),"?")</f>
        <v/>
      </c>
      <c r="C1774">
        <f>IFERROR(INDEX(RawBits!$G:$G,MATCH($A1774,RawBits!$H:$H,0)),"")</f>
        <v/>
      </c>
      <c r="D1774">
        <f>IFERROR(IF(AND(A1774&gt;=129,A1774&lt;=2176),INDEX(Fields!$B$2:$B$206,MATCH(A1774-129,Fields!$D$2:$D$206,1)),""),"")</f>
        <v/>
      </c>
      <c r="E1774">
        <f>IFERROR(IF(AND(A1774&gt;=129,A1774&lt;=2176),INDEX(Fields!$C$2:$C$206,MATCH(A1774-129,Fields!$D$2:$D$206,1)),""),"")</f>
        <v/>
      </c>
    </row>
    <row r="1775">
      <c r="A1775" t="n">
        <v>1774</v>
      </c>
      <c r="B1775">
        <f>IFERROR(INDEX(RawBits!$A:$A,MATCH($A1775,RawBits!$H:$H,0)),"?")</f>
        <v/>
      </c>
      <c r="C1775">
        <f>IFERROR(INDEX(RawBits!$G:$G,MATCH($A1775,RawBits!$H:$H,0)),"")</f>
        <v/>
      </c>
      <c r="D1775">
        <f>IFERROR(IF(AND(A1775&gt;=129,A1775&lt;=2176),INDEX(Fields!$B$2:$B$206,MATCH(A1775-129,Fields!$D$2:$D$206,1)),""),"")</f>
        <v/>
      </c>
      <c r="E1775">
        <f>IFERROR(IF(AND(A1775&gt;=129,A1775&lt;=2176),INDEX(Fields!$C$2:$C$206,MATCH(A1775-129,Fields!$D$2:$D$206,1)),""),"")</f>
        <v/>
      </c>
    </row>
    <row r="1776">
      <c r="A1776" t="n">
        <v>1775</v>
      </c>
      <c r="B1776">
        <f>IFERROR(INDEX(RawBits!$A:$A,MATCH($A1776,RawBits!$H:$H,0)),"?")</f>
        <v/>
      </c>
      <c r="C1776">
        <f>IFERROR(INDEX(RawBits!$G:$G,MATCH($A1776,RawBits!$H:$H,0)),"")</f>
        <v/>
      </c>
      <c r="D1776">
        <f>IFERROR(IF(AND(A1776&gt;=129,A1776&lt;=2176),INDEX(Fields!$B$2:$B$206,MATCH(A1776-129,Fields!$D$2:$D$206,1)),""),"")</f>
        <v/>
      </c>
      <c r="E1776">
        <f>IFERROR(IF(AND(A1776&gt;=129,A1776&lt;=2176),INDEX(Fields!$C$2:$C$206,MATCH(A1776-129,Fields!$D$2:$D$206,1)),""),"")</f>
        <v/>
      </c>
    </row>
    <row r="1777">
      <c r="A1777" t="n">
        <v>1776</v>
      </c>
      <c r="B1777">
        <f>IFERROR(INDEX(RawBits!$A:$A,MATCH($A1777,RawBits!$H:$H,0)),"?")</f>
        <v/>
      </c>
      <c r="C1777">
        <f>IFERROR(INDEX(RawBits!$G:$G,MATCH($A1777,RawBits!$H:$H,0)),"")</f>
        <v/>
      </c>
      <c r="D1777">
        <f>IFERROR(IF(AND(A1777&gt;=129,A1777&lt;=2176),INDEX(Fields!$B$2:$B$206,MATCH(A1777-129,Fields!$D$2:$D$206,1)),""),"")</f>
        <v/>
      </c>
      <c r="E1777">
        <f>IFERROR(IF(AND(A1777&gt;=129,A1777&lt;=2176),INDEX(Fields!$C$2:$C$206,MATCH(A1777-129,Fields!$D$2:$D$206,1)),""),"")</f>
        <v/>
      </c>
    </row>
    <row r="1778">
      <c r="A1778" t="n">
        <v>1777</v>
      </c>
      <c r="B1778">
        <f>IFERROR(INDEX(RawBits!$A:$A,MATCH($A1778,RawBits!$H:$H,0)),"?")</f>
        <v/>
      </c>
      <c r="C1778">
        <f>IFERROR(INDEX(RawBits!$G:$G,MATCH($A1778,RawBits!$H:$H,0)),"")</f>
        <v/>
      </c>
      <c r="D1778">
        <f>IFERROR(IF(AND(A1778&gt;=129,A1778&lt;=2176),INDEX(Fields!$B$2:$B$206,MATCH(A1778-129,Fields!$D$2:$D$206,1)),""),"")</f>
        <v/>
      </c>
      <c r="E1778">
        <f>IFERROR(IF(AND(A1778&gt;=129,A1778&lt;=2176),INDEX(Fields!$C$2:$C$206,MATCH(A1778-129,Fields!$D$2:$D$206,1)),""),"")</f>
        <v/>
      </c>
    </row>
    <row r="1779">
      <c r="A1779" t="n">
        <v>1778</v>
      </c>
      <c r="B1779">
        <f>IFERROR(INDEX(RawBits!$A:$A,MATCH($A1779,RawBits!$H:$H,0)),"?")</f>
        <v/>
      </c>
      <c r="C1779">
        <f>IFERROR(INDEX(RawBits!$G:$G,MATCH($A1779,RawBits!$H:$H,0)),"")</f>
        <v/>
      </c>
      <c r="D1779">
        <f>IFERROR(IF(AND(A1779&gt;=129,A1779&lt;=2176),INDEX(Fields!$B$2:$B$206,MATCH(A1779-129,Fields!$D$2:$D$206,1)),""),"")</f>
        <v/>
      </c>
      <c r="E1779">
        <f>IFERROR(IF(AND(A1779&gt;=129,A1779&lt;=2176),INDEX(Fields!$C$2:$C$206,MATCH(A1779-129,Fields!$D$2:$D$206,1)),""),"")</f>
        <v/>
      </c>
    </row>
    <row r="1780">
      <c r="A1780" t="n">
        <v>1779</v>
      </c>
      <c r="B1780">
        <f>IFERROR(INDEX(RawBits!$A:$A,MATCH($A1780,RawBits!$H:$H,0)),"?")</f>
        <v/>
      </c>
      <c r="C1780">
        <f>IFERROR(INDEX(RawBits!$G:$G,MATCH($A1780,RawBits!$H:$H,0)),"")</f>
        <v/>
      </c>
      <c r="D1780">
        <f>IFERROR(IF(AND(A1780&gt;=129,A1780&lt;=2176),INDEX(Fields!$B$2:$B$206,MATCH(A1780-129,Fields!$D$2:$D$206,1)),""),"")</f>
        <v/>
      </c>
      <c r="E1780">
        <f>IFERROR(IF(AND(A1780&gt;=129,A1780&lt;=2176),INDEX(Fields!$C$2:$C$206,MATCH(A1780-129,Fields!$D$2:$D$206,1)),""),"")</f>
        <v/>
      </c>
    </row>
    <row r="1781">
      <c r="A1781" t="n">
        <v>1780</v>
      </c>
      <c r="B1781">
        <f>IFERROR(INDEX(RawBits!$A:$A,MATCH($A1781,RawBits!$H:$H,0)),"?")</f>
        <v/>
      </c>
      <c r="C1781">
        <f>IFERROR(INDEX(RawBits!$G:$G,MATCH($A1781,RawBits!$H:$H,0)),"")</f>
        <v/>
      </c>
      <c r="D1781">
        <f>IFERROR(IF(AND(A1781&gt;=129,A1781&lt;=2176),INDEX(Fields!$B$2:$B$206,MATCH(A1781-129,Fields!$D$2:$D$206,1)),""),"")</f>
        <v/>
      </c>
      <c r="E1781">
        <f>IFERROR(IF(AND(A1781&gt;=129,A1781&lt;=2176),INDEX(Fields!$C$2:$C$206,MATCH(A1781-129,Fields!$D$2:$D$206,1)),""),"")</f>
        <v/>
      </c>
    </row>
    <row r="1782">
      <c r="A1782" t="n">
        <v>1781</v>
      </c>
      <c r="B1782">
        <f>IFERROR(INDEX(RawBits!$A:$A,MATCH($A1782,RawBits!$H:$H,0)),"?")</f>
        <v/>
      </c>
      <c r="C1782">
        <f>IFERROR(INDEX(RawBits!$G:$G,MATCH($A1782,RawBits!$H:$H,0)),"")</f>
        <v/>
      </c>
      <c r="D1782">
        <f>IFERROR(IF(AND(A1782&gt;=129,A1782&lt;=2176),INDEX(Fields!$B$2:$B$206,MATCH(A1782-129,Fields!$D$2:$D$206,1)),""),"")</f>
        <v/>
      </c>
      <c r="E1782">
        <f>IFERROR(IF(AND(A1782&gt;=129,A1782&lt;=2176),INDEX(Fields!$C$2:$C$206,MATCH(A1782-129,Fields!$D$2:$D$206,1)),""),"")</f>
        <v/>
      </c>
    </row>
    <row r="1783">
      <c r="A1783" t="n">
        <v>1782</v>
      </c>
      <c r="B1783">
        <f>IFERROR(INDEX(RawBits!$A:$A,MATCH($A1783,RawBits!$H:$H,0)),"?")</f>
        <v/>
      </c>
      <c r="C1783">
        <f>IFERROR(INDEX(RawBits!$G:$G,MATCH($A1783,RawBits!$H:$H,0)),"")</f>
        <v/>
      </c>
      <c r="D1783">
        <f>IFERROR(IF(AND(A1783&gt;=129,A1783&lt;=2176),INDEX(Fields!$B$2:$B$206,MATCH(A1783-129,Fields!$D$2:$D$206,1)),""),"")</f>
        <v/>
      </c>
      <c r="E1783">
        <f>IFERROR(IF(AND(A1783&gt;=129,A1783&lt;=2176),INDEX(Fields!$C$2:$C$206,MATCH(A1783-129,Fields!$D$2:$D$206,1)),""),"")</f>
        <v/>
      </c>
    </row>
    <row r="1784">
      <c r="A1784" t="n">
        <v>1783</v>
      </c>
      <c r="B1784">
        <f>IFERROR(INDEX(RawBits!$A:$A,MATCH($A1784,RawBits!$H:$H,0)),"?")</f>
        <v/>
      </c>
      <c r="C1784">
        <f>IFERROR(INDEX(RawBits!$G:$G,MATCH($A1784,RawBits!$H:$H,0)),"")</f>
        <v/>
      </c>
      <c r="D1784">
        <f>IFERROR(IF(AND(A1784&gt;=129,A1784&lt;=2176),INDEX(Fields!$B$2:$B$206,MATCH(A1784-129,Fields!$D$2:$D$206,1)),""),"")</f>
        <v/>
      </c>
      <c r="E1784">
        <f>IFERROR(IF(AND(A1784&gt;=129,A1784&lt;=2176),INDEX(Fields!$C$2:$C$206,MATCH(A1784-129,Fields!$D$2:$D$206,1)),""),"")</f>
        <v/>
      </c>
    </row>
    <row r="1785">
      <c r="A1785" t="n">
        <v>1784</v>
      </c>
      <c r="B1785">
        <f>IFERROR(INDEX(RawBits!$A:$A,MATCH($A1785,RawBits!$H:$H,0)),"?")</f>
        <v/>
      </c>
      <c r="C1785">
        <f>IFERROR(INDEX(RawBits!$G:$G,MATCH($A1785,RawBits!$H:$H,0)),"")</f>
        <v/>
      </c>
      <c r="D1785">
        <f>IFERROR(IF(AND(A1785&gt;=129,A1785&lt;=2176),INDEX(Fields!$B$2:$B$206,MATCH(A1785-129,Fields!$D$2:$D$206,1)),""),"")</f>
        <v/>
      </c>
      <c r="E1785">
        <f>IFERROR(IF(AND(A1785&gt;=129,A1785&lt;=2176),INDEX(Fields!$C$2:$C$206,MATCH(A1785-129,Fields!$D$2:$D$206,1)),""),"")</f>
        <v/>
      </c>
    </row>
    <row r="1786">
      <c r="A1786" t="n">
        <v>1785</v>
      </c>
      <c r="B1786">
        <f>IFERROR(INDEX(RawBits!$A:$A,MATCH($A1786,RawBits!$H:$H,0)),"?")</f>
        <v/>
      </c>
      <c r="C1786">
        <f>IFERROR(INDEX(RawBits!$G:$G,MATCH($A1786,RawBits!$H:$H,0)),"")</f>
        <v/>
      </c>
      <c r="D1786">
        <f>IFERROR(IF(AND(A1786&gt;=129,A1786&lt;=2176),INDEX(Fields!$B$2:$B$206,MATCH(A1786-129,Fields!$D$2:$D$206,1)),""),"")</f>
        <v/>
      </c>
      <c r="E1786">
        <f>IFERROR(IF(AND(A1786&gt;=129,A1786&lt;=2176),INDEX(Fields!$C$2:$C$206,MATCH(A1786-129,Fields!$D$2:$D$206,1)),""),"")</f>
        <v/>
      </c>
    </row>
    <row r="1787">
      <c r="A1787" t="n">
        <v>1786</v>
      </c>
      <c r="B1787">
        <f>IFERROR(INDEX(RawBits!$A:$A,MATCH($A1787,RawBits!$H:$H,0)),"?")</f>
        <v/>
      </c>
      <c r="C1787">
        <f>IFERROR(INDEX(RawBits!$G:$G,MATCH($A1787,RawBits!$H:$H,0)),"")</f>
        <v/>
      </c>
      <c r="D1787">
        <f>IFERROR(IF(AND(A1787&gt;=129,A1787&lt;=2176),INDEX(Fields!$B$2:$B$206,MATCH(A1787-129,Fields!$D$2:$D$206,1)),""),"")</f>
        <v/>
      </c>
      <c r="E1787">
        <f>IFERROR(IF(AND(A1787&gt;=129,A1787&lt;=2176),INDEX(Fields!$C$2:$C$206,MATCH(A1787-129,Fields!$D$2:$D$206,1)),""),"")</f>
        <v/>
      </c>
    </row>
    <row r="1788">
      <c r="A1788" t="n">
        <v>1787</v>
      </c>
      <c r="B1788">
        <f>IFERROR(INDEX(RawBits!$A:$A,MATCH($A1788,RawBits!$H:$H,0)),"?")</f>
        <v/>
      </c>
      <c r="C1788">
        <f>IFERROR(INDEX(RawBits!$G:$G,MATCH($A1788,RawBits!$H:$H,0)),"")</f>
        <v/>
      </c>
      <c r="D1788">
        <f>IFERROR(IF(AND(A1788&gt;=129,A1788&lt;=2176),INDEX(Fields!$B$2:$B$206,MATCH(A1788-129,Fields!$D$2:$D$206,1)),""),"")</f>
        <v/>
      </c>
      <c r="E1788">
        <f>IFERROR(IF(AND(A1788&gt;=129,A1788&lt;=2176),INDEX(Fields!$C$2:$C$206,MATCH(A1788-129,Fields!$D$2:$D$206,1)),""),"")</f>
        <v/>
      </c>
    </row>
    <row r="1789">
      <c r="A1789" t="n">
        <v>1788</v>
      </c>
      <c r="B1789">
        <f>IFERROR(INDEX(RawBits!$A:$A,MATCH($A1789,RawBits!$H:$H,0)),"?")</f>
        <v/>
      </c>
      <c r="C1789">
        <f>IFERROR(INDEX(RawBits!$G:$G,MATCH($A1789,RawBits!$H:$H,0)),"")</f>
        <v/>
      </c>
      <c r="D1789">
        <f>IFERROR(IF(AND(A1789&gt;=129,A1789&lt;=2176),INDEX(Fields!$B$2:$B$206,MATCH(A1789-129,Fields!$D$2:$D$206,1)),""),"")</f>
        <v/>
      </c>
      <c r="E1789">
        <f>IFERROR(IF(AND(A1789&gt;=129,A1789&lt;=2176),INDEX(Fields!$C$2:$C$206,MATCH(A1789-129,Fields!$D$2:$D$206,1)),""),"")</f>
        <v/>
      </c>
    </row>
    <row r="1790">
      <c r="A1790" t="n">
        <v>1789</v>
      </c>
      <c r="B1790">
        <f>IFERROR(INDEX(RawBits!$A:$A,MATCH($A1790,RawBits!$H:$H,0)),"?")</f>
        <v/>
      </c>
      <c r="C1790">
        <f>IFERROR(INDEX(RawBits!$G:$G,MATCH($A1790,RawBits!$H:$H,0)),"")</f>
        <v/>
      </c>
      <c r="D1790">
        <f>IFERROR(IF(AND(A1790&gt;=129,A1790&lt;=2176),INDEX(Fields!$B$2:$B$206,MATCH(A1790-129,Fields!$D$2:$D$206,1)),""),"")</f>
        <v/>
      </c>
      <c r="E1790">
        <f>IFERROR(IF(AND(A1790&gt;=129,A1790&lt;=2176),INDEX(Fields!$C$2:$C$206,MATCH(A1790-129,Fields!$D$2:$D$206,1)),""),"")</f>
        <v/>
      </c>
    </row>
    <row r="1791">
      <c r="A1791" t="n">
        <v>1790</v>
      </c>
      <c r="B1791">
        <f>IFERROR(INDEX(RawBits!$A:$A,MATCH($A1791,RawBits!$H:$H,0)),"?")</f>
        <v/>
      </c>
      <c r="C1791">
        <f>IFERROR(INDEX(RawBits!$G:$G,MATCH($A1791,RawBits!$H:$H,0)),"")</f>
        <v/>
      </c>
      <c r="D1791">
        <f>IFERROR(IF(AND(A1791&gt;=129,A1791&lt;=2176),INDEX(Fields!$B$2:$B$206,MATCH(A1791-129,Fields!$D$2:$D$206,1)),""),"")</f>
        <v/>
      </c>
      <c r="E1791">
        <f>IFERROR(IF(AND(A1791&gt;=129,A1791&lt;=2176),INDEX(Fields!$C$2:$C$206,MATCH(A1791-129,Fields!$D$2:$D$206,1)),""),"")</f>
        <v/>
      </c>
    </row>
    <row r="1792">
      <c r="A1792" t="n">
        <v>1791</v>
      </c>
      <c r="B1792">
        <f>IFERROR(INDEX(RawBits!$A:$A,MATCH($A1792,RawBits!$H:$H,0)),"?")</f>
        <v/>
      </c>
      <c r="C1792">
        <f>IFERROR(INDEX(RawBits!$G:$G,MATCH($A1792,RawBits!$H:$H,0)),"")</f>
        <v/>
      </c>
      <c r="D1792">
        <f>IFERROR(IF(AND(A1792&gt;=129,A1792&lt;=2176),INDEX(Fields!$B$2:$B$206,MATCH(A1792-129,Fields!$D$2:$D$206,1)),""),"")</f>
        <v/>
      </c>
      <c r="E1792">
        <f>IFERROR(IF(AND(A1792&gt;=129,A1792&lt;=2176),INDEX(Fields!$C$2:$C$206,MATCH(A1792-129,Fields!$D$2:$D$206,1)),""),"")</f>
        <v/>
      </c>
    </row>
    <row r="1793">
      <c r="A1793" t="n">
        <v>1792</v>
      </c>
      <c r="B1793">
        <f>IFERROR(INDEX(RawBits!$A:$A,MATCH($A1793,RawBits!$H:$H,0)),"?")</f>
        <v/>
      </c>
      <c r="C1793">
        <f>IFERROR(INDEX(RawBits!$G:$G,MATCH($A1793,RawBits!$H:$H,0)),"")</f>
        <v/>
      </c>
      <c r="D1793">
        <f>IFERROR(IF(AND(A1793&gt;=129,A1793&lt;=2176),INDEX(Fields!$B$2:$B$206,MATCH(A1793-129,Fields!$D$2:$D$206,1)),""),"")</f>
        <v/>
      </c>
      <c r="E1793">
        <f>IFERROR(IF(AND(A1793&gt;=129,A1793&lt;=2176),INDEX(Fields!$C$2:$C$206,MATCH(A1793-129,Fields!$D$2:$D$206,1)),""),"")</f>
        <v/>
      </c>
    </row>
    <row r="1794">
      <c r="A1794" t="n">
        <v>1793</v>
      </c>
      <c r="B1794">
        <f>IFERROR(INDEX(RawBits!$A:$A,MATCH($A1794,RawBits!$H:$H,0)),"?")</f>
        <v/>
      </c>
      <c r="C1794">
        <f>IFERROR(INDEX(RawBits!$G:$G,MATCH($A1794,RawBits!$H:$H,0)),"")</f>
        <v/>
      </c>
      <c r="D1794">
        <f>IFERROR(IF(AND(A1794&gt;=129,A1794&lt;=2176),INDEX(Fields!$B$2:$B$206,MATCH(A1794-129,Fields!$D$2:$D$206,1)),""),"")</f>
        <v/>
      </c>
      <c r="E1794">
        <f>IFERROR(IF(AND(A1794&gt;=129,A1794&lt;=2176),INDEX(Fields!$C$2:$C$206,MATCH(A1794-129,Fields!$D$2:$D$206,1)),""),"")</f>
        <v/>
      </c>
    </row>
    <row r="1795">
      <c r="A1795" t="n">
        <v>1794</v>
      </c>
      <c r="B1795">
        <f>IFERROR(INDEX(RawBits!$A:$A,MATCH($A1795,RawBits!$H:$H,0)),"?")</f>
        <v/>
      </c>
      <c r="C1795">
        <f>IFERROR(INDEX(RawBits!$G:$G,MATCH($A1795,RawBits!$H:$H,0)),"")</f>
        <v/>
      </c>
      <c r="D1795">
        <f>IFERROR(IF(AND(A1795&gt;=129,A1795&lt;=2176),INDEX(Fields!$B$2:$B$206,MATCH(A1795-129,Fields!$D$2:$D$206,1)),""),"")</f>
        <v/>
      </c>
      <c r="E1795">
        <f>IFERROR(IF(AND(A1795&gt;=129,A1795&lt;=2176),INDEX(Fields!$C$2:$C$206,MATCH(A1795-129,Fields!$D$2:$D$206,1)),""),"")</f>
        <v/>
      </c>
    </row>
    <row r="1796">
      <c r="A1796" t="n">
        <v>1795</v>
      </c>
      <c r="B1796">
        <f>IFERROR(INDEX(RawBits!$A:$A,MATCH($A1796,RawBits!$H:$H,0)),"?")</f>
        <v/>
      </c>
      <c r="C1796">
        <f>IFERROR(INDEX(RawBits!$G:$G,MATCH($A1796,RawBits!$H:$H,0)),"")</f>
        <v/>
      </c>
      <c r="D1796">
        <f>IFERROR(IF(AND(A1796&gt;=129,A1796&lt;=2176),INDEX(Fields!$B$2:$B$206,MATCH(A1796-129,Fields!$D$2:$D$206,1)),""),"")</f>
        <v/>
      </c>
      <c r="E1796">
        <f>IFERROR(IF(AND(A1796&gt;=129,A1796&lt;=2176),INDEX(Fields!$C$2:$C$206,MATCH(A1796-129,Fields!$D$2:$D$206,1)),""),"")</f>
        <v/>
      </c>
    </row>
    <row r="1797">
      <c r="A1797" t="n">
        <v>1796</v>
      </c>
      <c r="B1797">
        <f>IFERROR(INDEX(RawBits!$A:$A,MATCH($A1797,RawBits!$H:$H,0)),"?")</f>
        <v/>
      </c>
      <c r="C1797">
        <f>IFERROR(INDEX(RawBits!$G:$G,MATCH($A1797,RawBits!$H:$H,0)),"")</f>
        <v/>
      </c>
      <c r="D1797">
        <f>IFERROR(IF(AND(A1797&gt;=129,A1797&lt;=2176),INDEX(Fields!$B$2:$B$206,MATCH(A1797-129,Fields!$D$2:$D$206,1)),""),"")</f>
        <v/>
      </c>
      <c r="E1797">
        <f>IFERROR(IF(AND(A1797&gt;=129,A1797&lt;=2176),INDEX(Fields!$C$2:$C$206,MATCH(A1797-129,Fields!$D$2:$D$206,1)),""),"")</f>
        <v/>
      </c>
    </row>
    <row r="1798">
      <c r="A1798" t="n">
        <v>1797</v>
      </c>
      <c r="B1798">
        <f>IFERROR(INDEX(RawBits!$A:$A,MATCH($A1798,RawBits!$H:$H,0)),"?")</f>
        <v/>
      </c>
      <c r="C1798">
        <f>IFERROR(INDEX(RawBits!$G:$G,MATCH($A1798,RawBits!$H:$H,0)),"")</f>
        <v/>
      </c>
      <c r="D1798">
        <f>IFERROR(IF(AND(A1798&gt;=129,A1798&lt;=2176),INDEX(Fields!$B$2:$B$206,MATCH(A1798-129,Fields!$D$2:$D$206,1)),""),"")</f>
        <v/>
      </c>
      <c r="E1798">
        <f>IFERROR(IF(AND(A1798&gt;=129,A1798&lt;=2176),INDEX(Fields!$C$2:$C$206,MATCH(A1798-129,Fields!$D$2:$D$206,1)),""),"")</f>
        <v/>
      </c>
    </row>
    <row r="1799">
      <c r="A1799" t="n">
        <v>1798</v>
      </c>
      <c r="B1799">
        <f>IFERROR(INDEX(RawBits!$A:$A,MATCH($A1799,RawBits!$H:$H,0)),"?")</f>
        <v/>
      </c>
      <c r="C1799">
        <f>IFERROR(INDEX(RawBits!$G:$G,MATCH($A1799,RawBits!$H:$H,0)),"")</f>
        <v/>
      </c>
      <c r="D1799">
        <f>IFERROR(IF(AND(A1799&gt;=129,A1799&lt;=2176),INDEX(Fields!$B$2:$B$206,MATCH(A1799-129,Fields!$D$2:$D$206,1)),""),"")</f>
        <v/>
      </c>
      <c r="E1799">
        <f>IFERROR(IF(AND(A1799&gt;=129,A1799&lt;=2176),INDEX(Fields!$C$2:$C$206,MATCH(A1799-129,Fields!$D$2:$D$206,1)),""),"")</f>
        <v/>
      </c>
    </row>
    <row r="1800">
      <c r="A1800" t="n">
        <v>1799</v>
      </c>
      <c r="B1800">
        <f>IFERROR(INDEX(RawBits!$A:$A,MATCH($A1800,RawBits!$H:$H,0)),"?")</f>
        <v/>
      </c>
      <c r="C1800">
        <f>IFERROR(INDEX(RawBits!$G:$G,MATCH($A1800,RawBits!$H:$H,0)),"")</f>
        <v/>
      </c>
      <c r="D1800">
        <f>IFERROR(IF(AND(A1800&gt;=129,A1800&lt;=2176),INDEX(Fields!$B$2:$B$206,MATCH(A1800-129,Fields!$D$2:$D$206,1)),""),"")</f>
        <v/>
      </c>
      <c r="E1800">
        <f>IFERROR(IF(AND(A1800&gt;=129,A1800&lt;=2176),INDEX(Fields!$C$2:$C$206,MATCH(A1800-129,Fields!$D$2:$D$206,1)),""),"")</f>
        <v/>
      </c>
    </row>
    <row r="1801">
      <c r="A1801" t="n">
        <v>1800</v>
      </c>
      <c r="B1801">
        <f>IFERROR(INDEX(RawBits!$A:$A,MATCH($A1801,RawBits!$H:$H,0)),"?")</f>
        <v/>
      </c>
      <c r="C1801">
        <f>IFERROR(INDEX(RawBits!$G:$G,MATCH($A1801,RawBits!$H:$H,0)),"")</f>
        <v/>
      </c>
      <c r="D1801">
        <f>IFERROR(IF(AND(A1801&gt;=129,A1801&lt;=2176),INDEX(Fields!$B$2:$B$206,MATCH(A1801-129,Fields!$D$2:$D$206,1)),""),"")</f>
        <v/>
      </c>
      <c r="E1801">
        <f>IFERROR(IF(AND(A1801&gt;=129,A1801&lt;=2176),INDEX(Fields!$C$2:$C$206,MATCH(A1801-129,Fields!$D$2:$D$206,1)),""),"")</f>
        <v/>
      </c>
    </row>
    <row r="1802">
      <c r="A1802" t="n">
        <v>1801</v>
      </c>
      <c r="B1802">
        <f>IFERROR(INDEX(RawBits!$A:$A,MATCH($A1802,RawBits!$H:$H,0)),"?")</f>
        <v/>
      </c>
      <c r="C1802">
        <f>IFERROR(INDEX(RawBits!$G:$G,MATCH($A1802,RawBits!$H:$H,0)),"")</f>
        <v/>
      </c>
      <c r="D1802">
        <f>IFERROR(IF(AND(A1802&gt;=129,A1802&lt;=2176),INDEX(Fields!$B$2:$B$206,MATCH(A1802-129,Fields!$D$2:$D$206,1)),""),"")</f>
        <v/>
      </c>
      <c r="E1802">
        <f>IFERROR(IF(AND(A1802&gt;=129,A1802&lt;=2176),INDEX(Fields!$C$2:$C$206,MATCH(A1802-129,Fields!$D$2:$D$206,1)),""),"")</f>
        <v/>
      </c>
    </row>
    <row r="1803">
      <c r="A1803" t="n">
        <v>1802</v>
      </c>
      <c r="B1803">
        <f>IFERROR(INDEX(RawBits!$A:$A,MATCH($A1803,RawBits!$H:$H,0)),"?")</f>
        <v/>
      </c>
      <c r="C1803">
        <f>IFERROR(INDEX(RawBits!$G:$G,MATCH($A1803,RawBits!$H:$H,0)),"")</f>
        <v/>
      </c>
      <c r="D1803">
        <f>IFERROR(IF(AND(A1803&gt;=129,A1803&lt;=2176),INDEX(Fields!$B$2:$B$206,MATCH(A1803-129,Fields!$D$2:$D$206,1)),""),"")</f>
        <v/>
      </c>
      <c r="E1803">
        <f>IFERROR(IF(AND(A1803&gt;=129,A1803&lt;=2176),INDEX(Fields!$C$2:$C$206,MATCH(A1803-129,Fields!$D$2:$D$206,1)),""),"")</f>
        <v/>
      </c>
    </row>
    <row r="1804">
      <c r="A1804" t="n">
        <v>1803</v>
      </c>
      <c r="B1804">
        <f>IFERROR(INDEX(RawBits!$A:$A,MATCH($A1804,RawBits!$H:$H,0)),"?")</f>
        <v/>
      </c>
      <c r="C1804">
        <f>IFERROR(INDEX(RawBits!$G:$G,MATCH($A1804,RawBits!$H:$H,0)),"")</f>
        <v/>
      </c>
      <c r="D1804">
        <f>IFERROR(IF(AND(A1804&gt;=129,A1804&lt;=2176),INDEX(Fields!$B$2:$B$206,MATCH(A1804-129,Fields!$D$2:$D$206,1)),""),"")</f>
        <v/>
      </c>
      <c r="E1804">
        <f>IFERROR(IF(AND(A1804&gt;=129,A1804&lt;=2176),INDEX(Fields!$C$2:$C$206,MATCH(A1804-129,Fields!$D$2:$D$206,1)),""),"")</f>
        <v/>
      </c>
    </row>
    <row r="1805">
      <c r="A1805" t="n">
        <v>1804</v>
      </c>
      <c r="B1805">
        <f>IFERROR(INDEX(RawBits!$A:$A,MATCH($A1805,RawBits!$H:$H,0)),"?")</f>
        <v/>
      </c>
      <c r="C1805">
        <f>IFERROR(INDEX(RawBits!$G:$G,MATCH($A1805,RawBits!$H:$H,0)),"")</f>
        <v/>
      </c>
      <c r="D1805">
        <f>IFERROR(IF(AND(A1805&gt;=129,A1805&lt;=2176),INDEX(Fields!$B$2:$B$206,MATCH(A1805-129,Fields!$D$2:$D$206,1)),""),"")</f>
        <v/>
      </c>
      <c r="E1805">
        <f>IFERROR(IF(AND(A1805&gt;=129,A1805&lt;=2176),INDEX(Fields!$C$2:$C$206,MATCH(A1805-129,Fields!$D$2:$D$206,1)),""),"")</f>
        <v/>
      </c>
    </row>
    <row r="1806">
      <c r="A1806" t="n">
        <v>1805</v>
      </c>
      <c r="B1806">
        <f>IFERROR(INDEX(RawBits!$A:$A,MATCH($A1806,RawBits!$H:$H,0)),"?")</f>
        <v/>
      </c>
      <c r="C1806">
        <f>IFERROR(INDEX(RawBits!$G:$G,MATCH($A1806,RawBits!$H:$H,0)),"")</f>
        <v/>
      </c>
      <c r="D1806">
        <f>IFERROR(IF(AND(A1806&gt;=129,A1806&lt;=2176),INDEX(Fields!$B$2:$B$206,MATCH(A1806-129,Fields!$D$2:$D$206,1)),""),"")</f>
        <v/>
      </c>
      <c r="E1806">
        <f>IFERROR(IF(AND(A1806&gt;=129,A1806&lt;=2176),INDEX(Fields!$C$2:$C$206,MATCH(A1806-129,Fields!$D$2:$D$206,1)),""),"")</f>
        <v/>
      </c>
    </row>
    <row r="1807">
      <c r="A1807" t="n">
        <v>1806</v>
      </c>
      <c r="B1807">
        <f>IFERROR(INDEX(RawBits!$A:$A,MATCH($A1807,RawBits!$H:$H,0)),"?")</f>
        <v/>
      </c>
      <c r="C1807">
        <f>IFERROR(INDEX(RawBits!$G:$G,MATCH($A1807,RawBits!$H:$H,0)),"")</f>
        <v/>
      </c>
      <c r="D1807">
        <f>IFERROR(IF(AND(A1807&gt;=129,A1807&lt;=2176),INDEX(Fields!$B$2:$B$206,MATCH(A1807-129,Fields!$D$2:$D$206,1)),""),"")</f>
        <v/>
      </c>
      <c r="E1807">
        <f>IFERROR(IF(AND(A1807&gt;=129,A1807&lt;=2176),INDEX(Fields!$C$2:$C$206,MATCH(A1807-129,Fields!$D$2:$D$206,1)),""),"")</f>
        <v/>
      </c>
    </row>
    <row r="1808">
      <c r="A1808" t="n">
        <v>1807</v>
      </c>
      <c r="B1808">
        <f>IFERROR(INDEX(RawBits!$A:$A,MATCH($A1808,RawBits!$H:$H,0)),"?")</f>
        <v/>
      </c>
      <c r="C1808">
        <f>IFERROR(INDEX(RawBits!$G:$G,MATCH($A1808,RawBits!$H:$H,0)),"")</f>
        <v/>
      </c>
      <c r="D1808">
        <f>IFERROR(IF(AND(A1808&gt;=129,A1808&lt;=2176),INDEX(Fields!$B$2:$B$206,MATCH(A1808-129,Fields!$D$2:$D$206,1)),""),"")</f>
        <v/>
      </c>
      <c r="E1808">
        <f>IFERROR(IF(AND(A1808&gt;=129,A1808&lt;=2176),INDEX(Fields!$C$2:$C$206,MATCH(A1808-129,Fields!$D$2:$D$206,1)),""),"")</f>
        <v/>
      </c>
    </row>
    <row r="1809">
      <c r="A1809" t="n">
        <v>1808</v>
      </c>
      <c r="B1809">
        <f>IFERROR(INDEX(RawBits!$A:$A,MATCH($A1809,RawBits!$H:$H,0)),"?")</f>
        <v/>
      </c>
      <c r="C1809">
        <f>IFERROR(INDEX(RawBits!$G:$G,MATCH($A1809,RawBits!$H:$H,0)),"")</f>
        <v/>
      </c>
      <c r="D1809">
        <f>IFERROR(IF(AND(A1809&gt;=129,A1809&lt;=2176),INDEX(Fields!$B$2:$B$206,MATCH(A1809-129,Fields!$D$2:$D$206,1)),""),"")</f>
        <v/>
      </c>
      <c r="E1809">
        <f>IFERROR(IF(AND(A1809&gt;=129,A1809&lt;=2176),INDEX(Fields!$C$2:$C$206,MATCH(A1809-129,Fields!$D$2:$D$206,1)),""),"")</f>
        <v/>
      </c>
    </row>
    <row r="1810">
      <c r="A1810" t="n">
        <v>1809</v>
      </c>
      <c r="B1810">
        <f>IFERROR(INDEX(RawBits!$A:$A,MATCH($A1810,RawBits!$H:$H,0)),"?")</f>
        <v/>
      </c>
      <c r="C1810">
        <f>IFERROR(INDEX(RawBits!$G:$G,MATCH($A1810,RawBits!$H:$H,0)),"")</f>
        <v/>
      </c>
      <c r="D1810">
        <f>IFERROR(IF(AND(A1810&gt;=129,A1810&lt;=2176),INDEX(Fields!$B$2:$B$206,MATCH(A1810-129,Fields!$D$2:$D$206,1)),""),"")</f>
        <v/>
      </c>
      <c r="E1810">
        <f>IFERROR(IF(AND(A1810&gt;=129,A1810&lt;=2176),INDEX(Fields!$C$2:$C$206,MATCH(A1810-129,Fields!$D$2:$D$206,1)),""),"")</f>
        <v/>
      </c>
    </row>
    <row r="1811">
      <c r="A1811" t="n">
        <v>1810</v>
      </c>
      <c r="B1811">
        <f>IFERROR(INDEX(RawBits!$A:$A,MATCH($A1811,RawBits!$H:$H,0)),"?")</f>
        <v/>
      </c>
      <c r="C1811">
        <f>IFERROR(INDEX(RawBits!$G:$G,MATCH($A1811,RawBits!$H:$H,0)),"")</f>
        <v/>
      </c>
      <c r="D1811">
        <f>IFERROR(IF(AND(A1811&gt;=129,A1811&lt;=2176),INDEX(Fields!$B$2:$B$206,MATCH(A1811-129,Fields!$D$2:$D$206,1)),""),"")</f>
        <v/>
      </c>
      <c r="E1811">
        <f>IFERROR(IF(AND(A1811&gt;=129,A1811&lt;=2176),INDEX(Fields!$C$2:$C$206,MATCH(A1811-129,Fields!$D$2:$D$206,1)),""),"")</f>
        <v/>
      </c>
    </row>
    <row r="1812">
      <c r="A1812" t="n">
        <v>1811</v>
      </c>
      <c r="B1812">
        <f>IFERROR(INDEX(RawBits!$A:$A,MATCH($A1812,RawBits!$H:$H,0)),"?")</f>
        <v/>
      </c>
      <c r="C1812">
        <f>IFERROR(INDEX(RawBits!$G:$G,MATCH($A1812,RawBits!$H:$H,0)),"")</f>
        <v/>
      </c>
      <c r="D1812">
        <f>IFERROR(IF(AND(A1812&gt;=129,A1812&lt;=2176),INDEX(Fields!$B$2:$B$206,MATCH(A1812-129,Fields!$D$2:$D$206,1)),""),"")</f>
        <v/>
      </c>
      <c r="E1812">
        <f>IFERROR(IF(AND(A1812&gt;=129,A1812&lt;=2176),INDEX(Fields!$C$2:$C$206,MATCH(A1812-129,Fields!$D$2:$D$206,1)),""),"")</f>
        <v/>
      </c>
    </row>
    <row r="1813">
      <c r="A1813" t="n">
        <v>1812</v>
      </c>
      <c r="B1813">
        <f>IFERROR(INDEX(RawBits!$A:$A,MATCH($A1813,RawBits!$H:$H,0)),"?")</f>
        <v/>
      </c>
      <c r="C1813">
        <f>IFERROR(INDEX(RawBits!$G:$G,MATCH($A1813,RawBits!$H:$H,0)),"")</f>
        <v/>
      </c>
      <c r="D1813">
        <f>IFERROR(IF(AND(A1813&gt;=129,A1813&lt;=2176),INDEX(Fields!$B$2:$B$206,MATCH(A1813-129,Fields!$D$2:$D$206,1)),""),"")</f>
        <v/>
      </c>
      <c r="E1813">
        <f>IFERROR(IF(AND(A1813&gt;=129,A1813&lt;=2176),INDEX(Fields!$C$2:$C$206,MATCH(A1813-129,Fields!$D$2:$D$206,1)),""),"")</f>
        <v/>
      </c>
    </row>
    <row r="1814">
      <c r="A1814" t="n">
        <v>1813</v>
      </c>
      <c r="B1814">
        <f>IFERROR(INDEX(RawBits!$A:$A,MATCH($A1814,RawBits!$H:$H,0)),"?")</f>
        <v/>
      </c>
      <c r="C1814">
        <f>IFERROR(INDEX(RawBits!$G:$G,MATCH($A1814,RawBits!$H:$H,0)),"")</f>
        <v/>
      </c>
      <c r="D1814">
        <f>IFERROR(IF(AND(A1814&gt;=129,A1814&lt;=2176),INDEX(Fields!$B$2:$B$206,MATCH(A1814-129,Fields!$D$2:$D$206,1)),""),"")</f>
        <v/>
      </c>
      <c r="E1814">
        <f>IFERROR(IF(AND(A1814&gt;=129,A1814&lt;=2176),INDEX(Fields!$C$2:$C$206,MATCH(A1814-129,Fields!$D$2:$D$206,1)),""),"")</f>
        <v/>
      </c>
    </row>
    <row r="1815">
      <c r="A1815" t="n">
        <v>1814</v>
      </c>
      <c r="B1815">
        <f>IFERROR(INDEX(RawBits!$A:$A,MATCH($A1815,RawBits!$H:$H,0)),"?")</f>
        <v/>
      </c>
      <c r="C1815">
        <f>IFERROR(INDEX(RawBits!$G:$G,MATCH($A1815,RawBits!$H:$H,0)),"")</f>
        <v/>
      </c>
      <c r="D1815">
        <f>IFERROR(IF(AND(A1815&gt;=129,A1815&lt;=2176),INDEX(Fields!$B$2:$B$206,MATCH(A1815-129,Fields!$D$2:$D$206,1)),""),"")</f>
        <v/>
      </c>
      <c r="E1815">
        <f>IFERROR(IF(AND(A1815&gt;=129,A1815&lt;=2176),INDEX(Fields!$C$2:$C$206,MATCH(A1815-129,Fields!$D$2:$D$206,1)),""),"")</f>
        <v/>
      </c>
    </row>
    <row r="1816">
      <c r="A1816" t="n">
        <v>1815</v>
      </c>
      <c r="B1816">
        <f>IFERROR(INDEX(RawBits!$A:$A,MATCH($A1816,RawBits!$H:$H,0)),"?")</f>
        <v/>
      </c>
      <c r="C1816">
        <f>IFERROR(INDEX(RawBits!$G:$G,MATCH($A1816,RawBits!$H:$H,0)),"")</f>
        <v/>
      </c>
      <c r="D1816">
        <f>IFERROR(IF(AND(A1816&gt;=129,A1816&lt;=2176),INDEX(Fields!$B$2:$B$206,MATCH(A1816-129,Fields!$D$2:$D$206,1)),""),"")</f>
        <v/>
      </c>
      <c r="E1816">
        <f>IFERROR(IF(AND(A1816&gt;=129,A1816&lt;=2176),INDEX(Fields!$C$2:$C$206,MATCH(A1816-129,Fields!$D$2:$D$206,1)),""),"")</f>
        <v/>
      </c>
    </row>
    <row r="1817">
      <c r="A1817" t="n">
        <v>1816</v>
      </c>
      <c r="B1817">
        <f>IFERROR(INDEX(RawBits!$A:$A,MATCH($A1817,RawBits!$H:$H,0)),"?")</f>
        <v/>
      </c>
      <c r="C1817">
        <f>IFERROR(INDEX(RawBits!$G:$G,MATCH($A1817,RawBits!$H:$H,0)),"")</f>
        <v/>
      </c>
      <c r="D1817">
        <f>IFERROR(IF(AND(A1817&gt;=129,A1817&lt;=2176),INDEX(Fields!$B$2:$B$206,MATCH(A1817-129,Fields!$D$2:$D$206,1)),""),"")</f>
        <v/>
      </c>
      <c r="E1817">
        <f>IFERROR(IF(AND(A1817&gt;=129,A1817&lt;=2176),INDEX(Fields!$C$2:$C$206,MATCH(A1817-129,Fields!$D$2:$D$206,1)),""),"")</f>
        <v/>
      </c>
    </row>
    <row r="1818">
      <c r="A1818" t="n">
        <v>1817</v>
      </c>
      <c r="B1818">
        <f>IFERROR(INDEX(RawBits!$A:$A,MATCH($A1818,RawBits!$H:$H,0)),"?")</f>
        <v/>
      </c>
      <c r="C1818">
        <f>IFERROR(INDEX(RawBits!$G:$G,MATCH($A1818,RawBits!$H:$H,0)),"")</f>
        <v/>
      </c>
      <c r="D1818">
        <f>IFERROR(IF(AND(A1818&gt;=129,A1818&lt;=2176),INDEX(Fields!$B$2:$B$206,MATCH(A1818-129,Fields!$D$2:$D$206,1)),""),"")</f>
        <v/>
      </c>
      <c r="E1818">
        <f>IFERROR(IF(AND(A1818&gt;=129,A1818&lt;=2176),INDEX(Fields!$C$2:$C$206,MATCH(A1818-129,Fields!$D$2:$D$206,1)),""),"")</f>
        <v/>
      </c>
    </row>
    <row r="1819">
      <c r="A1819" t="n">
        <v>1818</v>
      </c>
      <c r="B1819">
        <f>IFERROR(INDEX(RawBits!$A:$A,MATCH($A1819,RawBits!$H:$H,0)),"?")</f>
        <v/>
      </c>
      <c r="C1819">
        <f>IFERROR(INDEX(RawBits!$G:$G,MATCH($A1819,RawBits!$H:$H,0)),"")</f>
        <v/>
      </c>
      <c r="D1819">
        <f>IFERROR(IF(AND(A1819&gt;=129,A1819&lt;=2176),INDEX(Fields!$B$2:$B$206,MATCH(A1819-129,Fields!$D$2:$D$206,1)),""),"")</f>
        <v/>
      </c>
      <c r="E1819">
        <f>IFERROR(IF(AND(A1819&gt;=129,A1819&lt;=2176),INDEX(Fields!$C$2:$C$206,MATCH(A1819-129,Fields!$D$2:$D$206,1)),""),"")</f>
        <v/>
      </c>
    </row>
    <row r="1820">
      <c r="A1820" t="n">
        <v>1819</v>
      </c>
      <c r="B1820">
        <f>IFERROR(INDEX(RawBits!$A:$A,MATCH($A1820,RawBits!$H:$H,0)),"?")</f>
        <v/>
      </c>
      <c r="C1820">
        <f>IFERROR(INDEX(RawBits!$G:$G,MATCH($A1820,RawBits!$H:$H,0)),"")</f>
        <v/>
      </c>
      <c r="D1820">
        <f>IFERROR(IF(AND(A1820&gt;=129,A1820&lt;=2176),INDEX(Fields!$B$2:$B$206,MATCH(A1820-129,Fields!$D$2:$D$206,1)),""),"")</f>
        <v/>
      </c>
      <c r="E1820">
        <f>IFERROR(IF(AND(A1820&gt;=129,A1820&lt;=2176),INDEX(Fields!$C$2:$C$206,MATCH(A1820-129,Fields!$D$2:$D$206,1)),""),"")</f>
        <v/>
      </c>
    </row>
    <row r="1821">
      <c r="A1821" t="n">
        <v>1820</v>
      </c>
      <c r="B1821">
        <f>IFERROR(INDEX(RawBits!$A:$A,MATCH($A1821,RawBits!$H:$H,0)),"?")</f>
        <v/>
      </c>
      <c r="C1821">
        <f>IFERROR(INDEX(RawBits!$G:$G,MATCH($A1821,RawBits!$H:$H,0)),"")</f>
        <v/>
      </c>
      <c r="D1821">
        <f>IFERROR(IF(AND(A1821&gt;=129,A1821&lt;=2176),INDEX(Fields!$B$2:$B$206,MATCH(A1821-129,Fields!$D$2:$D$206,1)),""),"")</f>
        <v/>
      </c>
      <c r="E1821">
        <f>IFERROR(IF(AND(A1821&gt;=129,A1821&lt;=2176),INDEX(Fields!$C$2:$C$206,MATCH(A1821-129,Fields!$D$2:$D$206,1)),""),"")</f>
        <v/>
      </c>
    </row>
    <row r="1822">
      <c r="A1822" t="n">
        <v>1821</v>
      </c>
      <c r="B1822">
        <f>IFERROR(INDEX(RawBits!$A:$A,MATCH($A1822,RawBits!$H:$H,0)),"?")</f>
        <v/>
      </c>
      <c r="C1822">
        <f>IFERROR(INDEX(RawBits!$G:$G,MATCH($A1822,RawBits!$H:$H,0)),"")</f>
        <v/>
      </c>
      <c r="D1822">
        <f>IFERROR(IF(AND(A1822&gt;=129,A1822&lt;=2176),INDEX(Fields!$B$2:$B$206,MATCH(A1822-129,Fields!$D$2:$D$206,1)),""),"")</f>
        <v/>
      </c>
      <c r="E1822">
        <f>IFERROR(IF(AND(A1822&gt;=129,A1822&lt;=2176),INDEX(Fields!$C$2:$C$206,MATCH(A1822-129,Fields!$D$2:$D$206,1)),""),"")</f>
        <v/>
      </c>
    </row>
    <row r="1823">
      <c r="A1823" t="n">
        <v>1822</v>
      </c>
      <c r="B1823">
        <f>IFERROR(INDEX(RawBits!$A:$A,MATCH($A1823,RawBits!$H:$H,0)),"?")</f>
        <v/>
      </c>
      <c r="C1823">
        <f>IFERROR(INDEX(RawBits!$G:$G,MATCH($A1823,RawBits!$H:$H,0)),"")</f>
        <v/>
      </c>
      <c r="D1823">
        <f>IFERROR(IF(AND(A1823&gt;=129,A1823&lt;=2176),INDEX(Fields!$B$2:$B$206,MATCH(A1823-129,Fields!$D$2:$D$206,1)),""),"")</f>
        <v/>
      </c>
      <c r="E1823">
        <f>IFERROR(IF(AND(A1823&gt;=129,A1823&lt;=2176),INDEX(Fields!$C$2:$C$206,MATCH(A1823-129,Fields!$D$2:$D$206,1)),""),"")</f>
        <v/>
      </c>
    </row>
    <row r="1824">
      <c r="A1824" t="n">
        <v>1823</v>
      </c>
      <c r="B1824">
        <f>IFERROR(INDEX(RawBits!$A:$A,MATCH($A1824,RawBits!$H:$H,0)),"?")</f>
        <v/>
      </c>
      <c r="C1824">
        <f>IFERROR(INDEX(RawBits!$G:$G,MATCH($A1824,RawBits!$H:$H,0)),"")</f>
        <v/>
      </c>
      <c r="D1824">
        <f>IFERROR(IF(AND(A1824&gt;=129,A1824&lt;=2176),INDEX(Fields!$B$2:$B$206,MATCH(A1824-129,Fields!$D$2:$D$206,1)),""),"")</f>
        <v/>
      </c>
      <c r="E1824">
        <f>IFERROR(IF(AND(A1824&gt;=129,A1824&lt;=2176),INDEX(Fields!$C$2:$C$206,MATCH(A1824-129,Fields!$D$2:$D$206,1)),""),"")</f>
        <v/>
      </c>
    </row>
    <row r="1825">
      <c r="A1825" t="n">
        <v>1824</v>
      </c>
      <c r="B1825">
        <f>IFERROR(INDEX(RawBits!$A:$A,MATCH($A1825,RawBits!$H:$H,0)),"?")</f>
        <v/>
      </c>
      <c r="C1825">
        <f>IFERROR(INDEX(RawBits!$G:$G,MATCH($A1825,RawBits!$H:$H,0)),"")</f>
        <v/>
      </c>
      <c r="D1825">
        <f>IFERROR(IF(AND(A1825&gt;=129,A1825&lt;=2176),INDEX(Fields!$B$2:$B$206,MATCH(A1825-129,Fields!$D$2:$D$206,1)),""),"")</f>
        <v/>
      </c>
      <c r="E1825">
        <f>IFERROR(IF(AND(A1825&gt;=129,A1825&lt;=2176),INDEX(Fields!$C$2:$C$206,MATCH(A1825-129,Fields!$D$2:$D$206,1)),""),"")</f>
        <v/>
      </c>
    </row>
    <row r="1826">
      <c r="A1826" t="n">
        <v>1825</v>
      </c>
      <c r="B1826">
        <f>IFERROR(INDEX(RawBits!$A:$A,MATCH($A1826,RawBits!$H:$H,0)),"?")</f>
        <v/>
      </c>
      <c r="C1826">
        <f>IFERROR(INDEX(RawBits!$G:$G,MATCH($A1826,RawBits!$H:$H,0)),"")</f>
        <v/>
      </c>
      <c r="D1826">
        <f>IFERROR(IF(AND(A1826&gt;=129,A1826&lt;=2176),INDEX(Fields!$B$2:$B$206,MATCH(A1826-129,Fields!$D$2:$D$206,1)),""),"")</f>
        <v/>
      </c>
      <c r="E1826">
        <f>IFERROR(IF(AND(A1826&gt;=129,A1826&lt;=2176),INDEX(Fields!$C$2:$C$206,MATCH(A1826-129,Fields!$D$2:$D$206,1)),""),"")</f>
        <v/>
      </c>
    </row>
    <row r="1827">
      <c r="A1827" t="n">
        <v>1826</v>
      </c>
      <c r="B1827">
        <f>IFERROR(INDEX(RawBits!$A:$A,MATCH($A1827,RawBits!$H:$H,0)),"?")</f>
        <v/>
      </c>
      <c r="C1827">
        <f>IFERROR(INDEX(RawBits!$G:$G,MATCH($A1827,RawBits!$H:$H,0)),"")</f>
        <v/>
      </c>
      <c r="D1827">
        <f>IFERROR(IF(AND(A1827&gt;=129,A1827&lt;=2176),INDEX(Fields!$B$2:$B$206,MATCH(A1827-129,Fields!$D$2:$D$206,1)),""),"")</f>
        <v/>
      </c>
      <c r="E1827">
        <f>IFERROR(IF(AND(A1827&gt;=129,A1827&lt;=2176),INDEX(Fields!$C$2:$C$206,MATCH(A1827-129,Fields!$D$2:$D$206,1)),""),"")</f>
        <v/>
      </c>
    </row>
    <row r="1828">
      <c r="A1828" t="n">
        <v>1827</v>
      </c>
      <c r="B1828">
        <f>IFERROR(INDEX(RawBits!$A:$A,MATCH($A1828,RawBits!$H:$H,0)),"?")</f>
        <v/>
      </c>
      <c r="C1828">
        <f>IFERROR(INDEX(RawBits!$G:$G,MATCH($A1828,RawBits!$H:$H,0)),"")</f>
        <v/>
      </c>
      <c r="D1828">
        <f>IFERROR(IF(AND(A1828&gt;=129,A1828&lt;=2176),INDEX(Fields!$B$2:$B$206,MATCH(A1828-129,Fields!$D$2:$D$206,1)),""),"")</f>
        <v/>
      </c>
      <c r="E1828">
        <f>IFERROR(IF(AND(A1828&gt;=129,A1828&lt;=2176),INDEX(Fields!$C$2:$C$206,MATCH(A1828-129,Fields!$D$2:$D$206,1)),""),"")</f>
        <v/>
      </c>
    </row>
    <row r="1829">
      <c r="A1829" t="n">
        <v>1828</v>
      </c>
      <c r="B1829">
        <f>IFERROR(INDEX(RawBits!$A:$A,MATCH($A1829,RawBits!$H:$H,0)),"?")</f>
        <v/>
      </c>
      <c r="C1829">
        <f>IFERROR(INDEX(RawBits!$G:$G,MATCH($A1829,RawBits!$H:$H,0)),"")</f>
        <v/>
      </c>
      <c r="D1829">
        <f>IFERROR(IF(AND(A1829&gt;=129,A1829&lt;=2176),INDEX(Fields!$B$2:$B$206,MATCH(A1829-129,Fields!$D$2:$D$206,1)),""),"")</f>
        <v/>
      </c>
      <c r="E1829">
        <f>IFERROR(IF(AND(A1829&gt;=129,A1829&lt;=2176),INDEX(Fields!$C$2:$C$206,MATCH(A1829-129,Fields!$D$2:$D$206,1)),""),"")</f>
        <v/>
      </c>
    </row>
    <row r="1830">
      <c r="A1830" t="n">
        <v>1829</v>
      </c>
      <c r="B1830">
        <f>IFERROR(INDEX(RawBits!$A:$A,MATCH($A1830,RawBits!$H:$H,0)),"?")</f>
        <v/>
      </c>
      <c r="C1830">
        <f>IFERROR(INDEX(RawBits!$G:$G,MATCH($A1830,RawBits!$H:$H,0)),"")</f>
        <v/>
      </c>
      <c r="D1830">
        <f>IFERROR(IF(AND(A1830&gt;=129,A1830&lt;=2176),INDEX(Fields!$B$2:$B$206,MATCH(A1830-129,Fields!$D$2:$D$206,1)),""),"")</f>
        <v/>
      </c>
      <c r="E1830">
        <f>IFERROR(IF(AND(A1830&gt;=129,A1830&lt;=2176),INDEX(Fields!$C$2:$C$206,MATCH(A1830-129,Fields!$D$2:$D$206,1)),""),"")</f>
        <v/>
      </c>
    </row>
    <row r="1831">
      <c r="A1831" t="n">
        <v>1830</v>
      </c>
      <c r="B1831">
        <f>IFERROR(INDEX(RawBits!$A:$A,MATCH($A1831,RawBits!$H:$H,0)),"?")</f>
        <v/>
      </c>
      <c r="C1831">
        <f>IFERROR(INDEX(RawBits!$G:$G,MATCH($A1831,RawBits!$H:$H,0)),"")</f>
        <v/>
      </c>
      <c r="D1831">
        <f>IFERROR(IF(AND(A1831&gt;=129,A1831&lt;=2176),INDEX(Fields!$B$2:$B$206,MATCH(A1831-129,Fields!$D$2:$D$206,1)),""),"")</f>
        <v/>
      </c>
      <c r="E1831">
        <f>IFERROR(IF(AND(A1831&gt;=129,A1831&lt;=2176),INDEX(Fields!$C$2:$C$206,MATCH(A1831-129,Fields!$D$2:$D$206,1)),""),"")</f>
        <v/>
      </c>
    </row>
    <row r="1832">
      <c r="A1832" t="n">
        <v>1831</v>
      </c>
      <c r="B1832">
        <f>IFERROR(INDEX(RawBits!$A:$A,MATCH($A1832,RawBits!$H:$H,0)),"?")</f>
        <v/>
      </c>
      <c r="C1832">
        <f>IFERROR(INDEX(RawBits!$G:$G,MATCH($A1832,RawBits!$H:$H,0)),"")</f>
        <v/>
      </c>
      <c r="D1832">
        <f>IFERROR(IF(AND(A1832&gt;=129,A1832&lt;=2176),INDEX(Fields!$B$2:$B$206,MATCH(A1832-129,Fields!$D$2:$D$206,1)),""),"")</f>
        <v/>
      </c>
      <c r="E1832">
        <f>IFERROR(IF(AND(A1832&gt;=129,A1832&lt;=2176),INDEX(Fields!$C$2:$C$206,MATCH(A1832-129,Fields!$D$2:$D$206,1)),""),"")</f>
        <v/>
      </c>
    </row>
    <row r="1833">
      <c r="A1833" t="n">
        <v>1832</v>
      </c>
      <c r="B1833">
        <f>IFERROR(INDEX(RawBits!$A:$A,MATCH($A1833,RawBits!$H:$H,0)),"?")</f>
        <v/>
      </c>
      <c r="C1833">
        <f>IFERROR(INDEX(RawBits!$G:$G,MATCH($A1833,RawBits!$H:$H,0)),"")</f>
        <v/>
      </c>
      <c r="D1833">
        <f>IFERROR(IF(AND(A1833&gt;=129,A1833&lt;=2176),INDEX(Fields!$B$2:$B$206,MATCH(A1833-129,Fields!$D$2:$D$206,1)),""),"")</f>
        <v/>
      </c>
      <c r="E1833">
        <f>IFERROR(IF(AND(A1833&gt;=129,A1833&lt;=2176),INDEX(Fields!$C$2:$C$206,MATCH(A1833-129,Fields!$D$2:$D$206,1)),""),"")</f>
        <v/>
      </c>
    </row>
    <row r="1834">
      <c r="A1834" t="n">
        <v>1833</v>
      </c>
      <c r="B1834">
        <f>IFERROR(INDEX(RawBits!$A:$A,MATCH($A1834,RawBits!$H:$H,0)),"?")</f>
        <v/>
      </c>
      <c r="C1834">
        <f>IFERROR(INDEX(RawBits!$G:$G,MATCH($A1834,RawBits!$H:$H,0)),"")</f>
        <v/>
      </c>
      <c r="D1834">
        <f>IFERROR(IF(AND(A1834&gt;=129,A1834&lt;=2176),INDEX(Fields!$B$2:$B$206,MATCH(A1834-129,Fields!$D$2:$D$206,1)),""),"")</f>
        <v/>
      </c>
      <c r="E1834">
        <f>IFERROR(IF(AND(A1834&gt;=129,A1834&lt;=2176),INDEX(Fields!$C$2:$C$206,MATCH(A1834-129,Fields!$D$2:$D$206,1)),""),"")</f>
        <v/>
      </c>
    </row>
    <row r="1835">
      <c r="A1835" t="n">
        <v>1834</v>
      </c>
      <c r="B1835">
        <f>IFERROR(INDEX(RawBits!$A:$A,MATCH($A1835,RawBits!$H:$H,0)),"?")</f>
        <v/>
      </c>
      <c r="C1835">
        <f>IFERROR(INDEX(RawBits!$G:$G,MATCH($A1835,RawBits!$H:$H,0)),"")</f>
        <v/>
      </c>
      <c r="D1835">
        <f>IFERROR(IF(AND(A1835&gt;=129,A1835&lt;=2176),INDEX(Fields!$B$2:$B$206,MATCH(A1835-129,Fields!$D$2:$D$206,1)),""),"")</f>
        <v/>
      </c>
      <c r="E1835">
        <f>IFERROR(IF(AND(A1835&gt;=129,A1835&lt;=2176),INDEX(Fields!$C$2:$C$206,MATCH(A1835-129,Fields!$D$2:$D$206,1)),""),"")</f>
        <v/>
      </c>
    </row>
    <row r="1836">
      <c r="A1836" t="n">
        <v>1835</v>
      </c>
      <c r="B1836">
        <f>IFERROR(INDEX(RawBits!$A:$A,MATCH($A1836,RawBits!$H:$H,0)),"?")</f>
        <v/>
      </c>
      <c r="C1836">
        <f>IFERROR(INDEX(RawBits!$G:$G,MATCH($A1836,RawBits!$H:$H,0)),"")</f>
        <v/>
      </c>
      <c r="D1836">
        <f>IFERROR(IF(AND(A1836&gt;=129,A1836&lt;=2176),INDEX(Fields!$B$2:$B$206,MATCH(A1836-129,Fields!$D$2:$D$206,1)),""),"")</f>
        <v/>
      </c>
      <c r="E1836">
        <f>IFERROR(IF(AND(A1836&gt;=129,A1836&lt;=2176),INDEX(Fields!$C$2:$C$206,MATCH(A1836-129,Fields!$D$2:$D$206,1)),""),"")</f>
        <v/>
      </c>
    </row>
    <row r="1837">
      <c r="A1837" t="n">
        <v>1836</v>
      </c>
      <c r="B1837">
        <f>IFERROR(INDEX(RawBits!$A:$A,MATCH($A1837,RawBits!$H:$H,0)),"?")</f>
        <v/>
      </c>
      <c r="C1837">
        <f>IFERROR(INDEX(RawBits!$G:$G,MATCH($A1837,RawBits!$H:$H,0)),"")</f>
        <v/>
      </c>
      <c r="D1837">
        <f>IFERROR(IF(AND(A1837&gt;=129,A1837&lt;=2176),INDEX(Fields!$B$2:$B$206,MATCH(A1837-129,Fields!$D$2:$D$206,1)),""),"")</f>
        <v/>
      </c>
      <c r="E1837">
        <f>IFERROR(IF(AND(A1837&gt;=129,A1837&lt;=2176),INDEX(Fields!$C$2:$C$206,MATCH(A1837-129,Fields!$D$2:$D$206,1)),""),"")</f>
        <v/>
      </c>
    </row>
    <row r="1838">
      <c r="A1838" t="n">
        <v>1837</v>
      </c>
      <c r="B1838">
        <f>IFERROR(INDEX(RawBits!$A:$A,MATCH($A1838,RawBits!$H:$H,0)),"?")</f>
        <v/>
      </c>
      <c r="C1838">
        <f>IFERROR(INDEX(RawBits!$G:$G,MATCH($A1838,RawBits!$H:$H,0)),"")</f>
        <v/>
      </c>
      <c r="D1838">
        <f>IFERROR(IF(AND(A1838&gt;=129,A1838&lt;=2176),INDEX(Fields!$B$2:$B$206,MATCH(A1838-129,Fields!$D$2:$D$206,1)),""),"")</f>
        <v/>
      </c>
      <c r="E1838">
        <f>IFERROR(IF(AND(A1838&gt;=129,A1838&lt;=2176),INDEX(Fields!$C$2:$C$206,MATCH(A1838-129,Fields!$D$2:$D$206,1)),""),"")</f>
        <v/>
      </c>
    </row>
    <row r="1839">
      <c r="A1839" t="n">
        <v>1838</v>
      </c>
      <c r="B1839">
        <f>IFERROR(INDEX(RawBits!$A:$A,MATCH($A1839,RawBits!$H:$H,0)),"?")</f>
        <v/>
      </c>
      <c r="C1839">
        <f>IFERROR(INDEX(RawBits!$G:$G,MATCH($A1839,RawBits!$H:$H,0)),"")</f>
        <v/>
      </c>
      <c r="D1839">
        <f>IFERROR(IF(AND(A1839&gt;=129,A1839&lt;=2176),INDEX(Fields!$B$2:$B$206,MATCH(A1839-129,Fields!$D$2:$D$206,1)),""),"")</f>
        <v/>
      </c>
      <c r="E1839">
        <f>IFERROR(IF(AND(A1839&gt;=129,A1839&lt;=2176),INDEX(Fields!$C$2:$C$206,MATCH(A1839-129,Fields!$D$2:$D$206,1)),""),"")</f>
        <v/>
      </c>
    </row>
    <row r="1840">
      <c r="A1840" t="n">
        <v>1839</v>
      </c>
      <c r="B1840">
        <f>IFERROR(INDEX(RawBits!$A:$A,MATCH($A1840,RawBits!$H:$H,0)),"?")</f>
        <v/>
      </c>
      <c r="C1840">
        <f>IFERROR(INDEX(RawBits!$G:$G,MATCH($A1840,RawBits!$H:$H,0)),"")</f>
        <v/>
      </c>
      <c r="D1840">
        <f>IFERROR(IF(AND(A1840&gt;=129,A1840&lt;=2176),INDEX(Fields!$B$2:$B$206,MATCH(A1840-129,Fields!$D$2:$D$206,1)),""),"")</f>
        <v/>
      </c>
      <c r="E1840">
        <f>IFERROR(IF(AND(A1840&gt;=129,A1840&lt;=2176),INDEX(Fields!$C$2:$C$206,MATCH(A1840-129,Fields!$D$2:$D$206,1)),""),"")</f>
        <v/>
      </c>
    </row>
    <row r="1841">
      <c r="A1841" t="n">
        <v>1840</v>
      </c>
      <c r="B1841">
        <f>IFERROR(INDEX(RawBits!$A:$A,MATCH($A1841,RawBits!$H:$H,0)),"?")</f>
        <v/>
      </c>
      <c r="C1841">
        <f>IFERROR(INDEX(RawBits!$G:$G,MATCH($A1841,RawBits!$H:$H,0)),"")</f>
        <v/>
      </c>
      <c r="D1841">
        <f>IFERROR(IF(AND(A1841&gt;=129,A1841&lt;=2176),INDEX(Fields!$B$2:$B$206,MATCH(A1841-129,Fields!$D$2:$D$206,1)),""),"")</f>
        <v/>
      </c>
      <c r="E1841">
        <f>IFERROR(IF(AND(A1841&gt;=129,A1841&lt;=2176),INDEX(Fields!$C$2:$C$206,MATCH(A1841-129,Fields!$D$2:$D$206,1)),""),"")</f>
        <v/>
      </c>
    </row>
    <row r="1842">
      <c r="A1842" t="n">
        <v>1841</v>
      </c>
      <c r="B1842">
        <f>IFERROR(INDEX(RawBits!$A:$A,MATCH($A1842,RawBits!$H:$H,0)),"?")</f>
        <v/>
      </c>
      <c r="C1842">
        <f>IFERROR(INDEX(RawBits!$G:$G,MATCH($A1842,RawBits!$H:$H,0)),"")</f>
        <v/>
      </c>
      <c r="D1842">
        <f>IFERROR(IF(AND(A1842&gt;=129,A1842&lt;=2176),INDEX(Fields!$B$2:$B$206,MATCH(A1842-129,Fields!$D$2:$D$206,1)),""),"")</f>
        <v/>
      </c>
      <c r="E1842">
        <f>IFERROR(IF(AND(A1842&gt;=129,A1842&lt;=2176),INDEX(Fields!$C$2:$C$206,MATCH(A1842-129,Fields!$D$2:$D$206,1)),""),"")</f>
        <v/>
      </c>
    </row>
    <row r="1843">
      <c r="A1843" t="n">
        <v>1842</v>
      </c>
      <c r="B1843">
        <f>IFERROR(INDEX(RawBits!$A:$A,MATCH($A1843,RawBits!$H:$H,0)),"?")</f>
        <v/>
      </c>
      <c r="C1843">
        <f>IFERROR(INDEX(RawBits!$G:$G,MATCH($A1843,RawBits!$H:$H,0)),"")</f>
        <v/>
      </c>
      <c r="D1843">
        <f>IFERROR(IF(AND(A1843&gt;=129,A1843&lt;=2176),INDEX(Fields!$B$2:$B$206,MATCH(A1843-129,Fields!$D$2:$D$206,1)),""),"")</f>
        <v/>
      </c>
      <c r="E1843">
        <f>IFERROR(IF(AND(A1843&gt;=129,A1843&lt;=2176),INDEX(Fields!$C$2:$C$206,MATCH(A1843-129,Fields!$D$2:$D$206,1)),""),"")</f>
        <v/>
      </c>
    </row>
    <row r="1844">
      <c r="A1844" t="n">
        <v>1843</v>
      </c>
      <c r="B1844">
        <f>IFERROR(INDEX(RawBits!$A:$A,MATCH($A1844,RawBits!$H:$H,0)),"?")</f>
        <v/>
      </c>
      <c r="C1844">
        <f>IFERROR(INDEX(RawBits!$G:$G,MATCH($A1844,RawBits!$H:$H,0)),"")</f>
        <v/>
      </c>
      <c r="D1844">
        <f>IFERROR(IF(AND(A1844&gt;=129,A1844&lt;=2176),INDEX(Fields!$B$2:$B$206,MATCH(A1844-129,Fields!$D$2:$D$206,1)),""),"")</f>
        <v/>
      </c>
      <c r="E1844">
        <f>IFERROR(IF(AND(A1844&gt;=129,A1844&lt;=2176),INDEX(Fields!$C$2:$C$206,MATCH(A1844-129,Fields!$D$2:$D$206,1)),""),"")</f>
        <v/>
      </c>
    </row>
    <row r="1845">
      <c r="A1845" t="n">
        <v>1844</v>
      </c>
      <c r="B1845">
        <f>IFERROR(INDEX(RawBits!$A:$A,MATCH($A1845,RawBits!$H:$H,0)),"?")</f>
        <v/>
      </c>
      <c r="C1845">
        <f>IFERROR(INDEX(RawBits!$G:$G,MATCH($A1845,RawBits!$H:$H,0)),"")</f>
        <v/>
      </c>
      <c r="D1845">
        <f>IFERROR(IF(AND(A1845&gt;=129,A1845&lt;=2176),INDEX(Fields!$B$2:$B$206,MATCH(A1845-129,Fields!$D$2:$D$206,1)),""),"")</f>
        <v/>
      </c>
      <c r="E1845">
        <f>IFERROR(IF(AND(A1845&gt;=129,A1845&lt;=2176),INDEX(Fields!$C$2:$C$206,MATCH(A1845-129,Fields!$D$2:$D$206,1)),""),"")</f>
        <v/>
      </c>
    </row>
    <row r="1846">
      <c r="A1846" t="n">
        <v>1845</v>
      </c>
      <c r="B1846">
        <f>IFERROR(INDEX(RawBits!$A:$A,MATCH($A1846,RawBits!$H:$H,0)),"?")</f>
        <v/>
      </c>
      <c r="C1846">
        <f>IFERROR(INDEX(RawBits!$G:$G,MATCH($A1846,RawBits!$H:$H,0)),"")</f>
        <v/>
      </c>
      <c r="D1846">
        <f>IFERROR(IF(AND(A1846&gt;=129,A1846&lt;=2176),INDEX(Fields!$B$2:$B$206,MATCH(A1846-129,Fields!$D$2:$D$206,1)),""),"")</f>
        <v/>
      </c>
      <c r="E1846">
        <f>IFERROR(IF(AND(A1846&gt;=129,A1846&lt;=2176),INDEX(Fields!$C$2:$C$206,MATCH(A1846-129,Fields!$D$2:$D$206,1)),""),"")</f>
        <v/>
      </c>
    </row>
    <row r="1847">
      <c r="A1847" t="n">
        <v>1846</v>
      </c>
      <c r="B1847">
        <f>IFERROR(INDEX(RawBits!$A:$A,MATCH($A1847,RawBits!$H:$H,0)),"?")</f>
        <v/>
      </c>
      <c r="C1847">
        <f>IFERROR(INDEX(RawBits!$G:$G,MATCH($A1847,RawBits!$H:$H,0)),"")</f>
        <v/>
      </c>
      <c r="D1847">
        <f>IFERROR(IF(AND(A1847&gt;=129,A1847&lt;=2176),INDEX(Fields!$B$2:$B$206,MATCH(A1847-129,Fields!$D$2:$D$206,1)),""),"")</f>
        <v/>
      </c>
      <c r="E1847">
        <f>IFERROR(IF(AND(A1847&gt;=129,A1847&lt;=2176),INDEX(Fields!$C$2:$C$206,MATCH(A1847-129,Fields!$D$2:$D$206,1)),""),"")</f>
        <v/>
      </c>
    </row>
    <row r="1848">
      <c r="A1848" t="n">
        <v>1847</v>
      </c>
      <c r="B1848">
        <f>IFERROR(INDEX(RawBits!$A:$A,MATCH($A1848,RawBits!$H:$H,0)),"?")</f>
        <v/>
      </c>
      <c r="C1848">
        <f>IFERROR(INDEX(RawBits!$G:$G,MATCH($A1848,RawBits!$H:$H,0)),"")</f>
        <v/>
      </c>
      <c r="D1848">
        <f>IFERROR(IF(AND(A1848&gt;=129,A1848&lt;=2176),INDEX(Fields!$B$2:$B$206,MATCH(A1848-129,Fields!$D$2:$D$206,1)),""),"")</f>
        <v/>
      </c>
      <c r="E1848">
        <f>IFERROR(IF(AND(A1848&gt;=129,A1848&lt;=2176),INDEX(Fields!$C$2:$C$206,MATCH(A1848-129,Fields!$D$2:$D$206,1)),""),"")</f>
        <v/>
      </c>
    </row>
    <row r="1849">
      <c r="A1849" t="n">
        <v>1848</v>
      </c>
      <c r="B1849">
        <f>IFERROR(INDEX(RawBits!$A:$A,MATCH($A1849,RawBits!$H:$H,0)),"?")</f>
        <v/>
      </c>
      <c r="C1849">
        <f>IFERROR(INDEX(RawBits!$G:$G,MATCH($A1849,RawBits!$H:$H,0)),"")</f>
        <v/>
      </c>
      <c r="D1849">
        <f>IFERROR(IF(AND(A1849&gt;=129,A1849&lt;=2176),INDEX(Fields!$B$2:$B$206,MATCH(A1849-129,Fields!$D$2:$D$206,1)),""),"")</f>
        <v/>
      </c>
      <c r="E1849">
        <f>IFERROR(IF(AND(A1849&gt;=129,A1849&lt;=2176),INDEX(Fields!$C$2:$C$206,MATCH(A1849-129,Fields!$D$2:$D$206,1)),""),"")</f>
        <v/>
      </c>
    </row>
    <row r="1850">
      <c r="A1850" t="n">
        <v>1849</v>
      </c>
      <c r="B1850">
        <f>IFERROR(INDEX(RawBits!$A:$A,MATCH($A1850,RawBits!$H:$H,0)),"?")</f>
        <v/>
      </c>
      <c r="C1850">
        <f>IFERROR(INDEX(RawBits!$G:$G,MATCH($A1850,RawBits!$H:$H,0)),"")</f>
        <v/>
      </c>
      <c r="D1850">
        <f>IFERROR(IF(AND(A1850&gt;=129,A1850&lt;=2176),INDEX(Fields!$B$2:$B$206,MATCH(A1850-129,Fields!$D$2:$D$206,1)),""),"")</f>
        <v/>
      </c>
      <c r="E1850">
        <f>IFERROR(IF(AND(A1850&gt;=129,A1850&lt;=2176),INDEX(Fields!$C$2:$C$206,MATCH(A1850-129,Fields!$D$2:$D$206,1)),""),"")</f>
        <v/>
      </c>
    </row>
    <row r="1851">
      <c r="A1851" t="n">
        <v>1850</v>
      </c>
      <c r="B1851">
        <f>IFERROR(INDEX(RawBits!$A:$A,MATCH($A1851,RawBits!$H:$H,0)),"?")</f>
        <v/>
      </c>
      <c r="C1851">
        <f>IFERROR(INDEX(RawBits!$G:$G,MATCH($A1851,RawBits!$H:$H,0)),"")</f>
        <v/>
      </c>
      <c r="D1851">
        <f>IFERROR(IF(AND(A1851&gt;=129,A1851&lt;=2176),INDEX(Fields!$B$2:$B$206,MATCH(A1851-129,Fields!$D$2:$D$206,1)),""),"")</f>
        <v/>
      </c>
      <c r="E1851">
        <f>IFERROR(IF(AND(A1851&gt;=129,A1851&lt;=2176),INDEX(Fields!$C$2:$C$206,MATCH(A1851-129,Fields!$D$2:$D$206,1)),""),"")</f>
        <v/>
      </c>
    </row>
    <row r="1852">
      <c r="A1852" t="n">
        <v>1851</v>
      </c>
      <c r="B1852">
        <f>IFERROR(INDEX(RawBits!$A:$A,MATCH($A1852,RawBits!$H:$H,0)),"?")</f>
        <v/>
      </c>
      <c r="C1852">
        <f>IFERROR(INDEX(RawBits!$G:$G,MATCH($A1852,RawBits!$H:$H,0)),"")</f>
        <v/>
      </c>
      <c r="D1852">
        <f>IFERROR(IF(AND(A1852&gt;=129,A1852&lt;=2176),INDEX(Fields!$B$2:$B$206,MATCH(A1852-129,Fields!$D$2:$D$206,1)),""),"")</f>
        <v/>
      </c>
      <c r="E1852">
        <f>IFERROR(IF(AND(A1852&gt;=129,A1852&lt;=2176),INDEX(Fields!$C$2:$C$206,MATCH(A1852-129,Fields!$D$2:$D$206,1)),""),"")</f>
        <v/>
      </c>
    </row>
    <row r="1853">
      <c r="A1853" t="n">
        <v>1852</v>
      </c>
      <c r="B1853">
        <f>IFERROR(INDEX(RawBits!$A:$A,MATCH($A1853,RawBits!$H:$H,0)),"?")</f>
        <v/>
      </c>
      <c r="C1853">
        <f>IFERROR(INDEX(RawBits!$G:$G,MATCH($A1853,RawBits!$H:$H,0)),"")</f>
        <v/>
      </c>
      <c r="D1853">
        <f>IFERROR(IF(AND(A1853&gt;=129,A1853&lt;=2176),INDEX(Fields!$B$2:$B$206,MATCH(A1853-129,Fields!$D$2:$D$206,1)),""),"")</f>
        <v/>
      </c>
      <c r="E1853">
        <f>IFERROR(IF(AND(A1853&gt;=129,A1853&lt;=2176),INDEX(Fields!$C$2:$C$206,MATCH(A1853-129,Fields!$D$2:$D$206,1)),""),"")</f>
        <v/>
      </c>
    </row>
    <row r="1854">
      <c r="A1854" t="n">
        <v>1853</v>
      </c>
      <c r="B1854">
        <f>IFERROR(INDEX(RawBits!$A:$A,MATCH($A1854,RawBits!$H:$H,0)),"?")</f>
        <v/>
      </c>
      <c r="C1854">
        <f>IFERROR(INDEX(RawBits!$G:$G,MATCH($A1854,RawBits!$H:$H,0)),"")</f>
        <v/>
      </c>
      <c r="D1854">
        <f>IFERROR(IF(AND(A1854&gt;=129,A1854&lt;=2176),INDEX(Fields!$B$2:$B$206,MATCH(A1854-129,Fields!$D$2:$D$206,1)),""),"")</f>
        <v/>
      </c>
      <c r="E1854">
        <f>IFERROR(IF(AND(A1854&gt;=129,A1854&lt;=2176),INDEX(Fields!$C$2:$C$206,MATCH(A1854-129,Fields!$D$2:$D$206,1)),""),"")</f>
        <v/>
      </c>
    </row>
    <row r="1855">
      <c r="A1855" t="n">
        <v>1854</v>
      </c>
      <c r="B1855">
        <f>IFERROR(INDEX(RawBits!$A:$A,MATCH($A1855,RawBits!$H:$H,0)),"?")</f>
        <v/>
      </c>
      <c r="C1855">
        <f>IFERROR(INDEX(RawBits!$G:$G,MATCH($A1855,RawBits!$H:$H,0)),"")</f>
        <v/>
      </c>
      <c r="D1855">
        <f>IFERROR(IF(AND(A1855&gt;=129,A1855&lt;=2176),INDEX(Fields!$B$2:$B$206,MATCH(A1855-129,Fields!$D$2:$D$206,1)),""),"")</f>
        <v/>
      </c>
      <c r="E1855">
        <f>IFERROR(IF(AND(A1855&gt;=129,A1855&lt;=2176),INDEX(Fields!$C$2:$C$206,MATCH(A1855-129,Fields!$D$2:$D$206,1)),""),"")</f>
        <v/>
      </c>
    </row>
    <row r="1856">
      <c r="A1856" t="n">
        <v>1855</v>
      </c>
      <c r="B1856">
        <f>IFERROR(INDEX(RawBits!$A:$A,MATCH($A1856,RawBits!$H:$H,0)),"?")</f>
        <v/>
      </c>
      <c r="C1856">
        <f>IFERROR(INDEX(RawBits!$G:$G,MATCH($A1856,RawBits!$H:$H,0)),"")</f>
        <v/>
      </c>
      <c r="D1856">
        <f>IFERROR(IF(AND(A1856&gt;=129,A1856&lt;=2176),INDEX(Fields!$B$2:$B$206,MATCH(A1856-129,Fields!$D$2:$D$206,1)),""),"")</f>
        <v/>
      </c>
      <c r="E1856">
        <f>IFERROR(IF(AND(A1856&gt;=129,A1856&lt;=2176),INDEX(Fields!$C$2:$C$206,MATCH(A1856-129,Fields!$D$2:$D$206,1)),""),"")</f>
        <v/>
      </c>
    </row>
    <row r="1857">
      <c r="A1857" t="n">
        <v>1856</v>
      </c>
      <c r="B1857">
        <f>IFERROR(INDEX(RawBits!$A:$A,MATCH($A1857,RawBits!$H:$H,0)),"?")</f>
        <v/>
      </c>
      <c r="C1857">
        <f>IFERROR(INDEX(RawBits!$G:$G,MATCH($A1857,RawBits!$H:$H,0)),"")</f>
        <v/>
      </c>
      <c r="D1857">
        <f>IFERROR(IF(AND(A1857&gt;=129,A1857&lt;=2176),INDEX(Fields!$B$2:$B$206,MATCH(A1857-129,Fields!$D$2:$D$206,1)),""),"")</f>
        <v/>
      </c>
      <c r="E1857">
        <f>IFERROR(IF(AND(A1857&gt;=129,A1857&lt;=2176),INDEX(Fields!$C$2:$C$206,MATCH(A1857-129,Fields!$D$2:$D$206,1)),""),"")</f>
        <v/>
      </c>
    </row>
    <row r="1858">
      <c r="A1858" t="n">
        <v>1857</v>
      </c>
      <c r="B1858">
        <f>IFERROR(INDEX(RawBits!$A:$A,MATCH($A1858,RawBits!$H:$H,0)),"?")</f>
        <v/>
      </c>
      <c r="C1858">
        <f>IFERROR(INDEX(RawBits!$G:$G,MATCH($A1858,RawBits!$H:$H,0)),"")</f>
        <v/>
      </c>
      <c r="D1858">
        <f>IFERROR(IF(AND(A1858&gt;=129,A1858&lt;=2176),INDEX(Fields!$B$2:$B$206,MATCH(A1858-129,Fields!$D$2:$D$206,1)),""),"")</f>
        <v/>
      </c>
      <c r="E1858">
        <f>IFERROR(IF(AND(A1858&gt;=129,A1858&lt;=2176),INDEX(Fields!$C$2:$C$206,MATCH(A1858-129,Fields!$D$2:$D$206,1)),""),"")</f>
        <v/>
      </c>
    </row>
    <row r="1859">
      <c r="A1859" t="n">
        <v>1858</v>
      </c>
      <c r="B1859">
        <f>IFERROR(INDEX(RawBits!$A:$A,MATCH($A1859,RawBits!$H:$H,0)),"?")</f>
        <v/>
      </c>
      <c r="C1859">
        <f>IFERROR(INDEX(RawBits!$G:$G,MATCH($A1859,RawBits!$H:$H,0)),"")</f>
        <v/>
      </c>
      <c r="D1859">
        <f>IFERROR(IF(AND(A1859&gt;=129,A1859&lt;=2176),INDEX(Fields!$B$2:$B$206,MATCH(A1859-129,Fields!$D$2:$D$206,1)),""),"")</f>
        <v/>
      </c>
      <c r="E1859">
        <f>IFERROR(IF(AND(A1859&gt;=129,A1859&lt;=2176),INDEX(Fields!$C$2:$C$206,MATCH(A1859-129,Fields!$D$2:$D$206,1)),""),"")</f>
        <v/>
      </c>
    </row>
    <row r="1860">
      <c r="A1860" t="n">
        <v>1859</v>
      </c>
      <c r="B1860">
        <f>IFERROR(INDEX(RawBits!$A:$A,MATCH($A1860,RawBits!$H:$H,0)),"?")</f>
        <v/>
      </c>
      <c r="C1860">
        <f>IFERROR(INDEX(RawBits!$G:$G,MATCH($A1860,RawBits!$H:$H,0)),"")</f>
        <v/>
      </c>
      <c r="D1860">
        <f>IFERROR(IF(AND(A1860&gt;=129,A1860&lt;=2176),INDEX(Fields!$B$2:$B$206,MATCH(A1860-129,Fields!$D$2:$D$206,1)),""),"")</f>
        <v/>
      </c>
      <c r="E1860">
        <f>IFERROR(IF(AND(A1860&gt;=129,A1860&lt;=2176),INDEX(Fields!$C$2:$C$206,MATCH(A1860-129,Fields!$D$2:$D$206,1)),""),"")</f>
        <v/>
      </c>
    </row>
    <row r="1861">
      <c r="A1861" t="n">
        <v>1860</v>
      </c>
      <c r="B1861">
        <f>IFERROR(INDEX(RawBits!$A:$A,MATCH($A1861,RawBits!$H:$H,0)),"?")</f>
        <v/>
      </c>
      <c r="C1861">
        <f>IFERROR(INDEX(RawBits!$G:$G,MATCH($A1861,RawBits!$H:$H,0)),"")</f>
        <v/>
      </c>
      <c r="D1861">
        <f>IFERROR(IF(AND(A1861&gt;=129,A1861&lt;=2176),INDEX(Fields!$B$2:$B$206,MATCH(A1861-129,Fields!$D$2:$D$206,1)),""),"")</f>
        <v/>
      </c>
      <c r="E1861">
        <f>IFERROR(IF(AND(A1861&gt;=129,A1861&lt;=2176),INDEX(Fields!$C$2:$C$206,MATCH(A1861-129,Fields!$D$2:$D$206,1)),""),"")</f>
        <v/>
      </c>
    </row>
    <row r="1862">
      <c r="A1862" t="n">
        <v>1861</v>
      </c>
      <c r="B1862">
        <f>IFERROR(INDEX(RawBits!$A:$A,MATCH($A1862,RawBits!$H:$H,0)),"?")</f>
        <v/>
      </c>
      <c r="C1862">
        <f>IFERROR(INDEX(RawBits!$G:$G,MATCH($A1862,RawBits!$H:$H,0)),"")</f>
        <v/>
      </c>
      <c r="D1862">
        <f>IFERROR(IF(AND(A1862&gt;=129,A1862&lt;=2176),INDEX(Fields!$B$2:$B$206,MATCH(A1862-129,Fields!$D$2:$D$206,1)),""),"")</f>
        <v/>
      </c>
      <c r="E1862">
        <f>IFERROR(IF(AND(A1862&gt;=129,A1862&lt;=2176),INDEX(Fields!$C$2:$C$206,MATCH(A1862-129,Fields!$D$2:$D$206,1)),""),"")</f>
        <v/>
      </c>
    </row>
    <row r="1863">
      <c r="A1863" t="n">
        <v>1862</v>
      </c>
      <c r="B1863">
        <f>IFERROR(INDEX(RawBits!$A:$A,MATCH($A1863,RawBits!$H:$H,0)),"?")</f>
        <v/>
      </c>
      <c r="C1863">
        <f>IFERROR(INDEX(RawBits!$G:$G,MATCH($A1863,RawBits!$H:$H,0)),"")</f>
        <v/>
      </c>
      <c r="D1863">
        <f>IFERROR(IF(AND(A1863&gt;=129,A1863&lt;=2176),INDEX(Fields!$B$2:$B$206,MATCH(A1863-129,Fields!$D$2:$D$206,1)),""),"")</f>
        <v/>
      </c>
      <c r="E1863">
        <f>IFERROR(IF(AND(A1863&gt;=129,A1863&lt;=2176),INDEX(Fields!$C$2:$C$206,MATCH(A1863-129,Fields!$D$2:$D$206,1)),""),"")</f>
        <v/>
      </c>
    </row>
    <row r="1864">
      <c r="A1864" t="n">
        <v>1863</v>
      </c>
      <c r="B1864">
        <f>IFERROR(INDEX(RawBits!$A:$A,MATCH($A1864,RawBits!$H:$H,0)),"?")</f>
        <v/>
      </c>
      <c r="C1864">
        <f>IFERROR(INDEX(RawBits!$G:$G,MATCH($A1864,RawBits!$H:$H,0)),"")</f>
        <v/>
      </c>
      <c r="D1864">
        <f>IFERROR(IF(AND(A1864&gt;=129,A1864&lt;=2176),INDEX(Fields!$B$2:$B$206,MATCH(A1864-129,Fields!$D$2:$D$206,1)),""),"")</f>
        <v/>
      </c>
      <c r="E1864">
        <f>IFERROR(IF(AND(A1864&gt;=129,A1864&lt;=2176),INDEX(Fields!$C$2:$C$206,MATCH(A1864-129,Fields!$D$2:$D$206,1)),""),"")</f>
        <v/>
      </c>
    </row>
    <row r="1865">
      <c r="A1865" t="n">
        <v>1864</v>
      </c>
      <c r="B1865">
        <f>IFERROR(INDEX(RawBits!$A:$A,MATCH($A1865,RawBits!$H:$H,0)),"?")</f>
        <v/>
      </c>
      <c r="C1865">
        <f>IFERROR(INDEX(RawBits!$G:$G,MATCH($A1865,RawBits!$H:$H,0)),"")</f>
        <v/>
      </c>
      <c r="D1865">
        <f>IFERROR(IF(AND(A1865&gt;=129,A1865&lt;=2176),INDEX(Fields!$B$2:$B$206,MATCH(A1865-129,Fields!$D$2:$D$206,1)),""),"")</f>
        <v/>
      </c>
      <c r="E1865">
        <f>IFERROR(IF(AND(A1865&gt;=129,A1865&lt;=2176),INDEX(Fields!$C$2:$C$206,MATCH(A1865-129,Fields!$D$2:$D$206,1)),""),"")</f>
        <v/>
      </c>
    </row>
    <row r="1866">
      <c r="A1866" t="n">
        <v>1865</v>
      </c>
      <c r="B1866">
        <f>IFERROR(INDEX(RawBits!$A:$A,MATCH($A1866,RawBits!$H:$H,0)),"?")</f>
        <v/>
      </c>
      <c r="C1866">
        <f>IFERROR(INDEX(RawBits!$G:$G,MATCH($A1866,RawBits!$H:$H,0)),"")</f>
        <v/>
      </c>
      <c r="D1866">
        <f>IFERROR(IF(AND(A1866&gt;=129,A1866&lt;=2176),INDEX(Fields!$B$2:$B$206,MATCH(A1866-129,Fields!$D$2:$D$206,1)),""),"")</f>
        <v/>
      </c>
      <c r="E1866">
        <f>IFERROR(IF(AND(A1866&gt;=129,A1866&lt;=2176),INDEX(Fields!$C$2:$C$206,MATCH(A1866-129,Fields!$D$2:$D$206,1)),""),"")</f>
        <v/>
      </c>
    </row>
    <row r="1867">
      <c r="A1867" t="n">
        <v>1866</v>
      </c>
      <c r="B1867">
        <f>IFERROR(INDEX(RawBits!$A:$A,MATCH($A1867,RawBits!$H:$H,0)),"?")</f>
        <v/>
      </c>
      <c r="C1867">
        <f>IFERROR(INDEX(RawBits!$G:$G,MATCH($A1867,RawBits!$H:$H,0)),"")</f>
        <v/>
      </c>
      <c r="D1867">
        <f>IFERROR(IF(AND(A1867&gt;=129,A1867&lt;=2176),INDEX(Fields!$B$2:$B$206,MATCH(A1867-129,Fields!$D$2:$D$206,1)),""),"")</f>
        <v/>
      </c>
      <c r="E1867">
        <f>IFERROR(IF(AND(A1867&gt;=129,A1867&lt;=2176),INDEX(Fields!$C$2:$C$206,MATCH(A1867-129,Fields!$D$2:$D$206,1)),""),"")</f>
        <v/>
      </c>
    </row>
    <row r="1868">
      <c r="A1868" t="n">
        <v>1867</v>
      </c>
      <c r="B1868">
        <f>IFERROR(INDEX(RawBits!$A:$A,MATCH($A1868,RawBits!$H:$H,0)),"?")</f>
        <v/>
      </c>
      <c r="C1868">
        <f>IFERROR(INDEX(RawBits!$G:$G,MATCH($A1868,RawBits!$H:$H,0)),"")</f>
        <v/>
      </c>
      <c r="D1868">
        <f>IFERROR(IF(AND(A1868&gt;=129,A1868&lt;=2176),INDEX(Fields!$B$2:$B$206,MATCH(A1868-129,Fields!$D$2:$D$206,1)),""),"")</f>
        <v/>
      </c>
      <c r="E1868">
        <f>IFERROR(IF(AND(A1868&gt;=129,A1868&lt;=2176),INDEX(Fields!$C$2:$C$206,MATCH(A1868-129,Fields!$D$2:$D$206,1)),""),"")</f>
        <v/>
      </c>
    </row>
    <row r="1869">
      <c r="A1869" t="n">
        <v>1868</v>
      </c>
      <c r="B1869">
        <f>IFERROR(INDEX(RawBits!$A:$A,MATCH($A1869,RawBits!$H:$H,0)),"?")</f>
        <v/>
      </c>
      <c r="C1869">
        <f>IFERROR(INDEX(RawBits!$G:$G,MATCH($A1869,RawBits!$H:$H,0)),"")</f>
        <v/>
      </c>
      <c r="D1869">
        <f>IFERROR(IF(AND(A1869&gt;=129,A1869&lt;=2176),INDEX(Fields!$B$2:$B$206,MATCH(A1869-129,Fields!$D$2:$D$206,1)),""),"")</f>
        <v/>
      </c>
      <c r="E1869">
        <f>IFERROR(IF(AND(A1869&gt;=129,A1869&lt;=2176),INDEX(Fields!$C$2:$C$206,MATCH(A1869-129,Fields!$D$2:$D$206,1)),""),"")</f>
        <v/>
      </c>
    </row>
    <row r="1870">
      <c r="A1870" t="n">
        <v>1869</v>
      </c>
      <c r="B1870">
        <f>IFERROR(INDEX(RawBits!$A:$A,MATCH($A1870,RawBits!$H:$H,0)),"?")</f>
        <v/>
      </c>
      <c r="C1870">
        <f>IFERROR(INDEX(RawBits!$G:$G,MATCH($A1870,RawBits!$H:$H,0)),"")</f>
        <v/>
      </c>
      <c r="D1870">
        <f>IFERROR(IF(AND(A1870&gt;=129,A1870&lt;=2176),INDEX(Fields!$B$2:$B$206,MATCH(A1870-129,Fields!$D$2:$D$206,1)),""),"")</f>
        <v/>
      </c>
      <c r="E1870">
        <f>IFERROR(IF(AND(A1870&gt;=129,A1870&lt;=2176),INDEX(Fields!$C$2:$C$206,MATCH(A1870-129,Fields!$D$2:$D$206,1)),""),"")</f>
        <v/>
      </c>
    </row>
    <row r="1871">
      <c r="A1871" t="n">
        <v>1870</v>
      </c>
      <c r="B1871">
        <f>IFERROR(INDEX(RawBits!$A:$A,MATCH($A1871,RawBits!$H:$H,0)),"?")</f>
        <v/>
      </c>
      <c r="C1871">
        <f>IFERROR(INDEX(RawBits!$G:$G,MATCH($A1871,RawBits!$H:$H,0)),"")</f>
        <v/>
      </c>
      <c r="D1871">
        <f>IFERROR(IF(AND(A1871&gt;=129,A1871&lt;=2176),INDEX(Fields!$B$2:$B$206,MATCH(A1871-129,Fields!$D$2:$D$206,1)),""),"")</f>
        <v/>
      </c>
      <c r="E1871">
        <f>IFERROR(IF(AND(A1871&gt;=129,A1871&lt;=2176),INDEX(Fields!$C$2:$C$206,MATCH(A1871-129,Fields!$D$2:$D$206,1)),""),"")</f>
        <v/>
      </c>
    </row>
    <row r="1872">
      <c r="A1872" t="n">
        <v>1871</v>
      </c>
      <c r="B1872">
        <f>IFERROR(INDEX(RawBits!$A:$A,MATCH($A1872,RawBits!$H:$H,0)),"?")</f>
        <v/>
      </c>
      <c r="C1872">
        <f>IFERROR(INDEX(RawBits!$G:$G,MATCH($A1872,RawBits!$H:$H,0)),"")</f>
        <v/>
      </c>
      <c r="D1872">
        <f>IFERROR(IF(AND(A1872&gt;=129,A1872&lt;=2176),INDEX(Fields!$B$2:$B$206,MATCH(A1872-129,Fields!$D$2:$D$206,1)),""),"")</f>
        <v/>
      </c>
      <c r="E1872">
        <f>IFERROR(IF(AND(A1872&gt;=129,A1872&lt;=2176),INDEX(Fields!$C$2:$C$206,MATCH(A1872-129,Fields!$D$2:$D$206,1)),""),"")</f>
        <v/>
      </c>
    </row>
    <row r="1873">
      <c r="A1873" t="n">
        <v>1872</v>
      </c>
      <c r="B1873">
        <f>IFERROR(INDEX(RawBits!$A:$A,MATCH($A1873,RawBits!$H:$H,0)),"?")</f>
        <v/>
      </c>
      <c r="C1873">
        <f>IFERROR(INDEX(RawBits!$G:$G,MATCH($A1873,RawBits!$H:$H,0)),"")</f>
        <v/>
      </c>
      <c r="D1873">
        <f>IFERROR(IF(AND(A1873&gt;=129,A1873&lt;=2176),INDEX(Fields!$B$2:$B$206,MATCH(A1873-129,Fields!$D$2:$D$206,1)),""),"")</f>
        <v/>
      </c>
      <c r="E1873">
        <f>IFERROR(IF(AND(A1873&gt;=129,A1873&lt;=2176),INDEX(Fields!$C$2:$C$206,MATCH(A1873-129,Fields!$D$2:$D$206,1)),""),"")</f>
        <v/>
      </c>
    </row>
    <row r="1874">
      <c r="A1874" t="n">
        <v>1873</v>
      </c>
      <c r="B1874">
        <f>IFERROR(INDEX(RawBits!$A:$A,MATCH($A1874,RawBits!$H:$H,0)),"?")</f>
        <v/>
      </c>
      <c r="C1874">
        <f>IFERROR(INDEX(RawBits!$G:$G,MATCH($A1874,RawBits!$H:$H,0)),"")</f>
        <v/>
      </c>
      <c r="D1874">
        <f>IFERROR(IF(AND(A1874&gt;=129,A1874&lt;=2176),INDEX(Fields!$B$2:$B$206,MATCH(A1874-129,Fields!$D$2:$D$206,1)),""),"")</f>
        <v/>
      </c>
      <c r="E1874">
        <f>IFERROR(IF(AND(A1874&gt;=129,A1874&lt;=2176),INDEX(Fields!$C$2:$C$206,MATCH(A1874-129,Fields!$D$2:$D$206,1)),""),"")</f>
        <v/>
      </c>
    </row>
    <row r="1875">
      <c r="A1875" t="n">
        <v>1874</v>
      </c>
      <c r="B1875">
        <f>IFERROR(INDEX(RawBits!$A:$A,MATCH($A1875,RawBits!$H:$H,0)),"?")</f>
        <v/>
      </c>
      <c r="C1875">
        <f>IFERROR(INDEX(RawBits!$G:$G,MATCH($A1875,RawBits!$H:$H,0)),"")</f>
        <v/>
      </c>
      <c r="D1875">
        <f>IFERROR(IF(AND(A1875&gt;=129,A1875&lt;=2176),INDEX(Fields!$B$2:$B$206,MATCH(A1875-129,Fields!$D$2:$D$206,1)),""),"")</f>
        <v/>
      </c>
      <c r="E1875">
        <f>IFERROR(IF(AND(A1875&gt;=129,A1875&lt;=2176),INDEX(Fields!$C$2:$C$206,MATCH(A1875-129,Fields!$D$2:$D$206,1)),""),"")</f>
        <v/>
      </c>
    </row>
    <row r="1876">
      <c r="A1876" t="n">
        <v>1875</v>
      </c>
      <c r="B1876">
        <f>IFERROR(INDEX(RawBits!$A:$A,MATCH($A1876,RawBits!$H:$H,0)),"?")</f>
        <v/>
      </c>
      <c r="C1876">
        <f>IFERROR(INDEX(RawBits!$G:$G,MATCH($A1876,RawBits!$H:$H,0)),"")</f>
        <v/>
      </c>
      <c r="D1876">
        <f>IFERROR(IF(AND(A1876&gt;=129,A1876&lt;=2176),INDEX(Fields!$B$2:$B$206,MATCH(A1876-129,Fields!$D$2:$D$206,1)),""),"")</f>
        <v/>
      </c>
      <c r="E1876">
        <f>IFERROR(IF(AND(A1876&gt;=129,A1876&lt;=2176),INDEX(Fields!$C$2:$C$206,MATCH(A1876-129,Fields!$D$2:$D$206,1)),""),"")</f>
        <v/>
      </c>
    </row>
    <row r="1877">
      <c r="A1877" t="n">
        <v>1876</v>
      </c>
      <c r="B1877">
        <f>IFERROR(INDEX(RawBits!$A:$A,MATCH($A1877,RawBits!$H:$H,0)),"?")</f>
        <v/>
      </c>
      <c r="C1877">
        <f>IFERROR(INDEX(RawBits!$G:$G,MATCH($A1877,RawBits!$H:$H,0)),"")</f>
        <v/>
      </c>
      <c r="D1877">
        <f>IFERROR(IF(AND(A1877&gt;=129,A1877&lt;=2176),INDEX(Fields!$B$2:$B$206,MATCH(A1877-129,Fields!$D$2:$D$206,1)),""),"")</f>
        <v/>
      </c>
      <c r="E1877">
        <f>IFERROR(IF(AND(A1877&gt;=129,A1877&lt;=2176),INDEX(Fields!$C$2:$C$206,MATCH(A1877-129,Fields!$D$2:$D$206,1)),""),"")</f>
        <v/>
      </c>
    </row>
    <row r="1878">
      <c r="A1878" t="n">
        <v>1877</v>
      </c>
      <c r="B1878">
        <f>IFERROR(INDEX(RawBits!$A:$A,MATCH($A1878,RawBits!$H:$H,0)),"?")</f>
        <v/>
      </c>
      <c r="C1878">
        <f>IFERROR(INDEX(RawBits!$G:$G,MATCH($A1878,RawBits!$H:$H,0)),"")</f>
        <v/>
      </c>
      <c r="D1878">
        <f>IFERROR(IF(AND(A1878&gt;=129,A1878&lt;=2176),INDEX(Fields!$B$2:$B$206,MATCH(A1878-129,Fields!$D$2:$D$206,1)),""),"")</f>
        <v/>
      </c>
      <c r="E1878">
        <f>IFERROR(IF(AND(A1878&gt;=129,A1878&lt;=2176),INDEX(Fields!$C$2:$C$206,MATCH(A1878-129,Fields!$D$2:$D$206,1)),""),"")</f>
        <v/>
      </c>
    </row>
    <row r="1879">
      <c r="A1879" t="n">
        <v>1878</v>
      </c>
      <c r="B1879">
        <f>IFERROR(INDEX(RawBits!$A:$A,MATCH($A1879,RawBits!$H:$H,0)),"?")</f>
        <v/>
      </c>
      <c r="C1879">
        <f>IFERROR(INDEX(RawBits!$G:$G,MATCH($A1879,RawBits!$H:$H,0)),"")</f>
        <v/>
      </c>
      <c r="D1879">
        <f>IFERROR(IF(AND(A1879&gt;=129,A1879&lt;=2176),INDEX(Fields!$B$2:$B$206,MATCH(A1879-129,Fields!$D$2:$D$206,1)),""),"")</f>
        <v/>
      </c>
      <c r="E1879">
        <f>IFERROR(IF(AND(A1879&gt;=129,A1879&lt;=2176),INDEX(Fields!$C$2:$C$206,MATCH(A1879-129,Fields!$D$2:$D$206,1)),""),"")</f>
        <v/>
      </c>
    </row>
    <row r="1880">
      <c r="A1880" t="n">
        <v>1879</v>
      </c>
      <c r="B1880">
        <f>IFERROR(INDEX(RawBits!$A:$A,MATCH($A1880,RawBits!$H:$H,0)),"?")</f>
        <v/>
      </c>
      <c r="C1880">
        <f>IFERROR(INDEX(RawBits!$G:$G,MATCH($A1880,RawBits!$H:$H,0)),"")</f>
        <v/>
      </c>
      <c r="D1880">
        <f>IFERROR(IF(AND(A1880&gt;=129,A1880&lt;=2176),INDEX(Fields!$B$2:$B$206,MATCH(A1880-129,Fields!$D$2:$D$206,1)),""),"")</f>
        <v/>
      </c>
      <c r="E1880">
        <f>IFERROR(IF(AND(A1880&gt;=129,A1880&lt;=2176),INDEX(Fields!$C$2:$C$206,MATCH(A1880-129,Fields!$D$2:$D$206,1)),""),"")</f>
        <v/>
      </c>
    </row>
    <row r="1881">
      <c r="A1881" t="n">
        <v>1880</v>
      </c>
      <c r="B1881">
        <f>IFERROR(INDEX(RawBits!$A:$A,MATCH($A1881,RawBits!$H:$H,0)),"?")</f>
        <v/>
      </c>
      <c r="C1881">
        <f>IFERROR(INDEX(RawBits!$G:$G,MATCH($A1881,RawBits!$H:$H,0)),"")</f>
        <v/>
      </c>
      <c r="D1881">
        <f>IFERROR(IF(AND(A1881&gt;=129,A1881&lt;=2176),INDEX(Fields!$B$2:$B$206,MATCH(A1881-129,Fields!$D$2:$D$206,1)),""),"")</f>
        <v/>
      </c>
      <c r="E1881">
        <f>IFERROR(IF(AND(A1881&gt;=129,A1881&lt;=2176),INDEX(Fields!$C$2:$C$206,MATCH(A1881-129,Fields!$D$2:$D$206,1)),""),"")</f>
        <v/>
      </c>
    </row>
    <row r="1882">
      <c r="A1882" t="n">
        <v>1881</v>
      </c>
      <c r="B1882">
        <f>IFERROR(INDEX(RawBits!$A:$A,MATCH($A1882,RawBits!$H:$H,0)),"?")</f>
        <v/>
      </c>
      <c r="C1882">
        <f>IFERROR(INDEX(RawBits!$G:$G,MATCH($A1882,RawBits!$H:$H,0)),"")</f>
        <v/>
      </c>
      <c r="D1882">
        <f>IFERROR(IF(AND(A1882&gt;=129,A1882&lt;=2176),INDEX(Fields!$B$2:$B$206,MATCH(A1882-129,Fields!$D$2:$D$206,1)),""),"")</f>
        <v/>
      </c>
      <c r="E1882">
        <f>IFERROR(IF(AND(A1882&gt;=129,A1882&lt;=2176),INDEX(Fields!$C$2:$C$206,MATCH(A1882-129,Fields!$D$2:$D$206,1)),""),"")</f>
        <v/>
      </c>
    </row>
    <row r="1883">
      <c r="A1883" t="n">
        <v>1882</v>
      </c>
      <c r="B1883">
        <f>IFERROR(INDEX(RawBits!$A:$A,MATCH($A1883,RawBits!$H:$H,0)),"?")</f>
        <v/>
      </c>
      <c r="C1883">
        <f>IFERROR(INDEX(RawBits!$G:$G,MATCH($A1883,RawBits!$H:$H,0)),"")</f>
        <v/>
      </c>
      <c r="D1883">
        <f>IFERROR(IF(AND(A1883&gt;=129,A1883&lt;=2176),INDEX(Fields!$B$2:$B$206,MATCH(A1883-129,Fields!$D$2:$D$206,1)),""),"")</f>
        <v/>
      </c>
      <c r="E1883">
        <f>IFERROR(IF(AND(A1883&gt;=129,A1883&lt;=2176),INDEX(Fields!$C$2:$C$206,MATCH(A1883-129,Fields!$D$2:$D$206,1)),""),"")</f>
        <v/>
      </c>
    </row>
    <row r="1884">
      <c r="A1884" t="n">
        <v>1883</v>
      </c>
      <c r="B1884">
        <f>IFERROR(INDEX(RawBits!$A:$A,MATCH($A1884,RawBits!$H:$H,0)),"?")</f>
        <v/>
      </c>
      <c r="C1884">
        <f>IFERROR(INDEX(RawBits!$G:$G,MATCH($A1884,RawBits!$H:$H,0)),"")</f>
        <v/>
      </c>
      <c r="D1884">
        <f>IFERROR(IF(AND(A1884&gt;=129,A1884&lt;=2176),INDEX(Fields!$B$2:$B$206,MATCH(A1884-129,Fields!$D$2:$D$206,1)),""),"")</f>
        <v/>
      </c>
      <c r="E1884">
        <f>IFERROR(IF(AND(A1884&gt;=129,A1884&lt;=2176),INDEX(Fields!$C$2:$C$206,MATCH(A1884-129,Fields!$D$2:$D$206,1)),""),"")</f>
        <v/>
      </c>
    </row>
    <row r="1885">
      <c r="A1885" t="n">
        <v>1884</v>
      </c>
      <c r="B1885">
        <f>IFERROR(INDEX(RawBits!$A:$A,MATCH($A1885,RawBits!$H:$H,0)),"?")</f>
        <v/>
      </c>
      <c r="C1885">
        <f>IFERROR(INDEX(RawBits!$G:$G,MATCH($A1885,RawBits!$H:$H,0)),"")</f>
        <v/>
      </c>
      <c r="D1885">
        <f>IFERROR(IF(AND(A1885&gt;=129,A1885&lt;=2176),INDEX(Fields!$B$2:$B$206,MATCH(A1885-129,Fields!$D$2:$D$206,1)),""),"")</f>
        <v/>
      </c>
      <c r="E1885">
        <f>IFERROR(IF(AND(A1885&gt;=129,A1885&lt;=2176),INDEX(Fields!$C$2:$C$206,MATCH(A1885-129,Fields!$D$2:$D$206,1)),""),"")</f>
        <v/>
      </c>
    </row>
    <row r="1886">
      <c r="A1886" t="n">
        <v>1885</v>
      </c>
      <c r="B1886">
        <f>IFERROR(INDEX(RawBits!$A:$A,MATCH($A1886,RawBits!$H:$H,0)),"?")</f>
        <v/>
      </c>
      <c r="C1886">
        <f>IFERROR(INDEX(RawBits!$G:$G,MATCH($A1886,RawBits!$H:$H,0)),"")</f>
        <v/>
      </c>
      <c r="D1886">
        <f>IFERROR(IF(AND(A1886&gt;=129,A1886&lt;=2176),INDEX(Fields!$B$2:$B$206,MATCH(A1886-129,Fields!$D$2:$D$206,1)),""),"")</f>
        <v/>
      </c>
      <c r="E1886">
        <f>IFERROR(IF(AND(A1886&gt;=129,A1886&lt;=2176),INDEX(Fields!$C$2:$C$206,MATCH(A1886-129,Fields!$D$2:$D$206,1)),""),"")</f>
        <v/>
      </c>
    </row>
    <row r="1887">
      <c r="A1887" t="n">
        <v>1886</v>
      </c>
      <c r="B1887">
        <f>IFERROR(INDEX(RawBits!$A:$A,MATCH($A1887,RawBits!$H:$H,0)),"?")</f>
        <v/>
      </c>
      <c r="C1887">
        <f>IFERROR(INDEX(RawBits!$G:$G,MATCH($A1887,RawBits!$H:$H,0)),"")</f>
        <v/>
      </c>
      <c r="D1887">
        <f>IFERROR(IF(AND(A1887&gt;=129,A1887&lt;=2176),INDEX(Fields!$B$2:$B$206,MATCH(A1887-129,Fields!$D$2:$D$206,1)),""),"")</f>
        <v/>
      </c>
      <c r="E1887">
        <f>IFERROR(IF(AND(A1887&gt;=129,A1887&lt;=2176),INDEX(Fields!$C$2:$C$206,MATCH(A1887-129,Fields!$D$2:$D$206,1)),""),"")</f>
        <v/>
      </c>
    </row>
    <row r="1888">
      <c r="A1888" t="n">
        <v>1887</v>
      </c>
      <c r="B1888">
        <f>IFERROR(INDEX(RawBits!$A:$A,MATCH($A1888,RawBits!$H:$H,0)),"?")</f>
        <v/>
      </c>
      <c r="C1888">
        <f>IFERROR(INDEX(RawBits!$G:$G,MATCH($A1888,RawBits!$H:$H,0)),"")</f>
        <v/>
      </c>
      <c r="D1888">
        <f>IFERROR(IF(AND(A1888&gt;=129,A1888&lt;=2176),INDEX(Fields!$B$2:$B$206,MATCH(A1888-129,Fields!$D$2:$D$206,1)),""),"")</f>
        <v/>
      </c>
      <c r="E1888">
        <f>IFERROR(IF(AND(A1888&gt;=129,A1888&lt;=2176),INDEX(Fields!$C$2:$C$206,MATCH(A1888-129,Fields!$D$2:$D$206,1)),""),"")</f>
        <v/>
      </c>
    </row>
    <row r="1889">
      <c r="A1889" t="n">
        <v>1888</v>
      </c>
      <c r="B1889">
        <f>IFERROR(INDEX(RawBits!$A:$A,MATCH($A1889,RawBits!$H:$H,0)),"?")</f>
        <v/>
      </c>
      <c r="C1889">
        <f>IFERROR(INDEX(RawBits!$G:$G,MATCH($A1889,RawBits!$H:$H,0)),"")</f>
        <v/>
      </c>
      <c r="D1889">
        <f>IFERROR(IF(AND(A1889&gt;=129,A1889&lt;=2176),INDEX(Fields!$B$2:$B$206,MATCH(A1889-129,Fields!$D$2:$D$206,1)),""),"")</f>
        <v/>
      </c>
      <c r="E1889">
        <f>IFERROR(IF(AND(A1889&gt;=129,A1889&lt;=2176),INDEX(Fields!$C$2:$C$206,MATCH(A1889-129,Fields!$D$2:$D$206,1)),""),"")</f>
        <v/>
      </c>
    </row>
    <row r="1890">
      <c r="A1890" t="n">
        <v>1889</v>
      </c>
      <c r="B1890">
        <f>IFERROR(INDEX(RawBits!$A:$A,MATCH($A1890,RawBits!$H:$H,0)),"?")</f>
        <v/>
      </c>
      <c r="C1890">
        <f>IFERROR(INDEX(RawBits!$G:$G,MATCH($A1890,RawBits!$H:$H,0)),"")</f>
        <v/>
      </c>
      <c r="D1890">
        <f>IFERROR(IF(AND(A1890&gt;=129,A1890&lt;=2176),INDEX(Fields!$B$2:$B$206,MATCH(A1890-129,Fields!$D$2:$D$206,1)),""),"")</f>
        <v/>
      </c>
      <c r="E1890">
        <f>IFERROR(IF(AND(A1890&gt;=129,A1890&lt;=2176),INDEX(Fields!$C$2:$C$206,MATCH(A1890-129,Fields!$D$2:$D$206,1)),""),"")</f>
        <v/>
      </c>
    </row>
    <row r="1891">
      <c r="A1891" t="n">
        <v>1890</v>
      </c>
      <c r="B1891">
        <f>IFERROR(INDEX(RawBits!$A:$A,MATCH($A1891,RawBits!$H:$H,0)),"?")</f>
        <v/>
      </c>
      <c r="C1891">
        <f>IFERROR(INDEX(RawBits!$G:$G,MATCH($A1891,RawBits!$H:$H,0)),"")</f>
        <v/>
      </c>
      <c r="D1891">
        <f>IFERROR(IF(AND(A1891&gt;=129,A1891&lt;=2176),INDEX(Fields!$B$2:$B$206,MATCH(A1891-129,Fields!$D$2:$D$206,1)),""),"")</f>
        <v/>
      </c>
      <c r="E1891">
        <f>IFERROR(IF(AND(A1891&gt;=129,A1891&lt;=2176),INDEX(Fields!$C$2:$C$206,MATCH(A1891-129,Fields!$D$2:$D$206,1)),""),"")</f>
        <v/>
      </c>
    </row>
    <row r="1892">
      <c r="A1892" t="n">
        <v>1891</v>
      </c>
      <c r="B1892">
        <f>IFERROR(INDEX(RawBits!$A:$A,MATCH($A1892,RawBits!$H:$H,0)),"?")</f>
        <v/>
      </c>
      <c r="C1892">
        <f>IFERROR(INDEX(RawBits!$G:$G,MATCH($A1892,RawBits!$H:$H,0)),"")</f>
        <v/>
      </c>
      <c r="D1892">
        <f>IFERROR(IF(AND(A1892&gt;=129,A1892&lt;=2176),INDEX(Fields!$B$2:$B$206,MATCH(A1892-129,Fields!$D$2:$D$206,1)),""),"")</f>
        <v/>
      </c>
      <c r="E1892">
        <f>IFERROR(IF(AND(A1892&gt;=129,A1892&lt;=2176),INDEX(Fields!$C$2:$C$206,MATCH(A1892-129,Fields!$D$2:$D$206,1)),""),"")</f>
        <v/>
      </c>
    </row>
    <row r="1893">
      <c r="A1893" t="n">
        <v>1892</v>
      </c>
      <c r="B1893">
        <f>IFERROR(INDEX(RawBits!$A:$A,MATCH($A1893,RawBits!$H:$H,0)),"?")</f>
        <v/>
      </c>
      <c r="C1893">
        <f>IFERROR(INDEX(RawBits!$G:$G,MATCH($A1893,RawBits!$H:$H,0)),"")</f>
        <v/>
      </c>
      <c r="D1893">
        <f>IFERROR(IF(AND(A1893&gt;=129,A1893&lt;=2176),INDEX(Fields!$B$2:$B$206,MATCH(A1893-129,Fields!$D$2:$D$206,1)),""),"")</f>
        <v/>
      </c>
      <c r="E1893">
        <f>IFERROR(IF(AND(A1893&gt;=129,A1893&lt;=2176),INDEX(Fields!$C$2:$C$206,MATCH(A1893-129,Fields!$D$2:$D$206,1)),""),"")</f>
        <v/>
      </c>
    </row>
    <row r="1894">
      <c r="A1894" t="n">
        <v>1893</v>
      </c>
      <c r="B1894">
        <f>IFERROR(INDEX(RawBits!$A:$A,MATCH($A1894,RawBits!$H:$H,0)),"?")</f>
        <v/>
      </c>
      <c r="C1894">
        <f>IFERROR(INDEX(RawBits!$G:$G,MATCH($A1894,RawBits!$H:$H,0)),"")</f>
        <v/>
      </c>
      <c r="D1894">
        <f>IFERROR(IF(AND(A1894&gt;=129,A1894&lt;=2176),INDEX(Fields!$B$2:$B$206,MATCH(A1894-129,Fields!$D$2:$D$206,1)),""),"")</f>
        <v/>
      </c>
      <c r="E1894">
        <f>IFERROR(IF(AND(A1894&gt;=129,A1894&lt;=2176),INDEX(Fields!$C$2:$C$206,MATCH(A1894-129,Fields!$D$2:$D$206,1)),""),"")</f>
        <v/>
      </c>
    </row>
    <row r="1895">
      <c r="A1895" t="n">
        <v>1894</v>
      </c>
      <c r="B1895">
        <f>IFERROR(INDEX(RawBits!$A:$A,MATCH($A1895,RawBits!$H:$H,0)),"?")</f>
        <v/>
      </c>
      <c r="C1895">
        <f>IFERROR(INDEX(RawBits!$G:$G,MATCH($A1895,RawBits!$H:$H,0)),"")</f>
        <v/>
      </c>
      <c r="D1895">
        <f>IFERROR(IF(AND(A1895&gt;=129,A1895&lt;=2176),INDEX(Fields!$B$2:$B$206,MATCH(A1895-129,Fields!$D$2:$D$206,1)),""),"")</f>
        <v/>
      </c>
      <c r="E1895">
        <f>IFERROR(IF(AND(A1895&gt;=129,A1895&lt;=2176),INDEX(Fields!$C$2:$C$206,MATCH(A1895-129,Fields!$D$2:$D$206,1)),""),"")</f>
        <v/>
      </c>
    </row>
    <row r="1896">
      <c r="A1896" t="n">
        <v>1895</v>
      </c>
      <c r="B1896">
        <f>IFERROR(INDEX(RawBits!$A:$A,MATCH($A1896,RawBits!$H:$H,0)),"?")</f>
        <v/>
      </c>
      <c r="C1896">
        <f>IFERROR(INDEX(RawBits!$G:$G,MATCH($A1896,RawBits!$H:$H,0)),"")</f>
        <v/>
      </c>
      <c r="D1896">
        <f>IFERROR(IF(AND(A1896&gt;=129,A1896&lt;=2176),INDEX(Fields!$B$2:$B$206,MATCH(A1896-129,Fields!$D$2:$D$206,1)),""),"")</f>
        <v/>
      </c>
      <c r="E1896">
        <f>IFERROR(IF(AND(A1896&gt;=129,A1896&lt;=2176),INDEX(Fields!$C$2:$C$206,MATCH(A1896-129,Fields!$D$2:$D$206,1)),""),"")</f>
        <v/>
      </c>
    </row>
    <row r="1897">
      <c r="A1897" t="n">
        <v>1896</v>
      </c>
      <c r="B1897">
        <f>IFERROR(INDEX(RawBits!$A:$A,MATCH($A1897,RawBits!$H:$H,0)),"?")</f>
        <v/>
      </c>
      <c r="C1897">
        <f>IFERROR(INDEX(RawBits!$G:$G,MATCH($A1897,RawBits!$H:$H,0)),"")</f>
        <v/>
      </c>
      <c r="D1897">
        <f>IFERROR(IF(AND(A1897&gt;=129,A1897&lt;=2176),INDEX(Fields!$B$2:$B$206,MATCH(A1897-129,Fields!$D$2:$D$206,1)),""),"")</f>
        <v/>
      </c>
      <c r="E1897">
        <f>IFERROR(IF(AND(A1897&gt;=129,A1897&lt;=2176),INDEX(Fields!$C$2:$C$206,MATCH(A1897-129,Fields!$D$2:$D$206,1)),""),"")</f>
        <v/>
      </c>
    </row>
    <row r="1898">
      <c r="A1898" t="n">
        <v>1897</v>
      </c>
      <c r="B1898">
        <f>IFERROR(INDEX(RawBits!$A:$A,MATCH($A1898,RawBits!$H:$H,0)),"?")</f>
        <v/>
      </c>
      <c r="C1898">
        <f>IFERROR(INDEX(RawBits!$G:$G,MATCH($A1898,RawBits!$H:$H,0)),"")</f>
        <v/>
      </c>
      <c r="D1898">
        <f>IFERROR(IF(AND(A1898&gt;=129,A1898&lt;=2176),INDEX(Fields!$B$2:$B$206,MATCH(A1898-129,Fields!$D$2:$D$206,1)),""),"")</f>
        <v/>
      </c>
      <c r="E1898">
        <f>IFERROR(IF(AND(A1898&gt;=129,A1898&lt;=2176),INDEX(Fields!$C$2:$C$206,MATCH(A1898-129,Fields!$D$2:$D$206,1)),""),"")</f>
        <v/>
      </c>
    </row>
    <row r="1899">
      <c r="A1899" t="n">
        <v>1898</v>
      </c>
      <c r="B1899">
        <f>IFERROR(INDEX(RawBits!$A:$A,MATCH($A1899,RawBits!$H:$H,0)),"?")</f>
        <v/>
      </c>
      <c r="C1899">
        <f>IFERROR(INDEX(RawBits!$G:$G,MATCH($A1899,RawBits!$H:$H,0)),"")</f>
        <v/>
      </c>
      <c r="D1899">
        <f>IFERROR(IF(AND(A1899&gt;=129,A1899&lt;=2176),INDEX(Fields!$B$2:$B$206,MATCH(A1899-129,Fields!$D$2:$D$206,1)),""),"")</f>
        <v/>
      </c>
      <c r="E1899">
        <f>IFERROR(IF(AND(A1899&gt;=129,A1899&lt;=2176),INDEX(Fields!$C$2:$C$206,MATCH(A1899-129,Fields!$D$2:$D$206,1)),""),"")</f>
        <v/>
      </c>
    </row>
    <row r="1900">
      <c r="A1900" t="n">
        <v>1899</v>
      </c>
      <c r="B1900">
        <f>IFERROR(INDEX(RawBits!$A:$A,MATCH($A1900,RawBits!$H:$H,0)),"?")</f>
        <v/>
      </c>
      <c r="C1900">
        <f>IFERROR(INDEX(RawBits!$G:$G,MATCH($A1900,RawBits!$H:$H,0)),"")</f>
        <v/>
      </c>
      <c r="D1900">
        <f>IFERROR(IF(AND(A1900&gt;=129,A1900&lt;=2176),INDEX(Fields!$B$2:$B$206,MATCH(A1900-129,Fields!$D$2:$D$206,1)),""),"")</f>
        <v/>
      </c>
      <c r="E1900">
        <f>IFERROR(IF(AND(A1900&gt;=129,A1900&lt;=2176),INDEX(Fields!$C$2:$C$206,MATCH(A1900-129,Fields!$D$2:$D$206,1)),""),"")</f>
        <v/>
      </c>
    </row>
    <row r="1901">
      <c r="A1901" t="n">
        <v>1900</v>
      </c>
      <c r="B1901">
        <f>IFERROR(INDEX(RawBits!$A:$A,MATCH($A1901,RawBits!$H:$H,0)),"?")</f>
        <v/>
      </c>
      <c r="C1901">
        <f>IFERROR(INDEX(RawBits!$G:$G,MATCH($A1901,RawBits!$H:$H,0)),"")</f>
        <v/>
      </c>
      <c r="D1901">
        <f>IFERROR(IF(AND(A1901&gt;=129,A1901&lt;=2176),INDEX(Fields!$B$2:$B$206,MATCH(A1901-129,Fields!$D$2:$D$206,1)),""),"")</f>
        <v/>
      </c>
      <c r="E1901">
        <f>IFERROR(IF(AND(A1901&gt;=129,A1901&lt;=2176),INDEX(Fields!$C$2:$C$206,MATCH(A1901-129,Fields!$D$2:$D$206,1)),""),"")</f>
        <v/>
      </c>
    </row>
    <row r="1902">
      <c r="A1902" t="n">
        <v>1901</v>
      </c>
      <c r="B1902">
        <f>IFERROR(INDEX(RawBits!$A:$A,MATCH($A1902,RawBits!$H:$H,0)),"?")</f>
        <v/>
      </c>
      <c r="C1902">
        <f>IFERROR(INDEX(RawBits!$G:$G,MATCH($A1902,RawBits!$H:$H,0)),"")</f>
        <v/>
      </c>
      <c r="D1902">
        <f>IFERROR(IF(AND(A1902&gt;=129,A1902&lt;=2176),INDEX(Fields!$B$2:$B$206,MATCH(A1902-129,Fields!$D$2:$D$206,1)),""),"")</f>
        <v/>
      </c>
      <c r="E1902">
        <f>IFERROR(IF(AND(A1902&gt;=129,A1902&lt;=2176),INDEX(Fields!$C$2:$C$206,MATCH(A1902-129,Fields!$D$2:$D$206,1)),""),"")</f>
        <v/>
      </c>
    </row>
    <row r="1903">
      <c r="A1903" t="n">
        <v>1902</v>
      </c>
      <c r="B1903">
        <f>IFERROR(INDEX(RawBits!$A:$A,MATCH($A1903,RawBits!$H:$H,0)),"?")</f>
        <v/>
      </c>
      <c r="C1903">
        <f>IFERROR(INDEX(RawBits!$G:$G,MATCH($A1903,RawBits!$H:$H,0)),"")</f>
        <v/>
      </c>
      <c r="D1903">
        <f>IFERROR(IF(AND(A1903&gt;=129,A1903&lt;=2176),INDEX(Fields!$B$2:$B$206,MATCH(A1903-129,Fields!$D$2:$D$206,1)),""),"")</f>
        <v/>
      </c>
      <c r="E1903">
        <f>IFERROR(IF(AND(A1903&gt;=129,A1903&lt;=2176),INDEX(Fields!$C$2:$C$206,MATCH(A1903-129,Fields!$D$2:$D$206,1)),""),"")</f>
        <v/>
      </c>
    </row>
    <row r="1904">
      <c r="A1904" t="n">
        <v>1903</v>
      </c>
      <c r="B1904">
        <f>IFERROR(INDEX(RawBits!$A:$A,MATCH($A1904,RawBits!$H:$H,0)),"?")</f>
        <v/>
      </c>
      <c r="C1904">
        <f>IFERROR(INDEX(RawBits!$G:$G,MATCH($A1904,RawBits!$H:$H,0)),"")</f>
        <v/>
      </c>
      <c r="D1904">
        <f>IFERROR(IF(AND(A1904&gt;=129,A1904&lt;=2176),INDEX(Fields!$B$2:$B$206,MATCH(A1904-129,Fields!$D$2:$D$206,1)),""),"")</f>
        <v/>
      </c>
      <c r="E1904">
        <f>IFERROR(IF(AND(A1904&gt;=129,A1904&lt;=2176),INDEX(Fields!$C$2:$C$206,MATCH(A1904-129,Fields!$D$2:$D$206,1)),""),"")</f>
        <v/>
      </c>
    </row>
    <row r="1905">
      <c r="A1905" t="n">
        <v>1904</v>
      </c>
      <c r="B1905">
        <f>IFERROR(INDEX(RawBits!$A:$A,MATCH($A1905,RawBits!$H:$H,0)),"?")</f>
        <v/>
      </c>
      <c r="C1905">
        <f>IFERROR(INDEX(RawBits!$G:$G,MATCH($A1905,RawBits!$H:$H,0)),"")</f>
        <v/>
      </c>
      <c r="D1905">
        <f>IFERROR(IF(AND(A1905&gt;=129,A1905&lt;=2176),INDEX(Fields!$B$2:$B$206,MATCH(A1905-129,Fields!$D$2:$D$206,1)),""),"")</f>
        <v/>
      </c>
      <c r="E1905">
        <f>IFERROR(IF(AND(A1905&gt;=129,A1905&lt;=2176),INDEX(Fields!$C$2:$C$206,MATCH(A1905-129,Fields!$D$2:$D$206,1)),""),"")</f>
        <v/>
      </c>
    </row>
    <row r="1906">
      <c r="A1906" t="n">
        <v>1905</v>
      </c>
      <c r="B1906">
        <f>IFERROR(INDEX(RawBits!$A:$A,MATCH($A1906,RawBits!$H:$H,0)),"?")</f>
        <v/>
      </c>
      <c r="C1906">
        <f>IFERROR(INDEX(RawBits!$G:$G,MATCH($A1906,RawBits!$H:$H,0)),"")</f>
        <v/>
      </c>
      <c r="D1906">
        <f>IFERROR(IF(AND(A1906&gt;=129,A1906&lt;=2176),INDEX(Fields!$B$2:$B$206,MATCH(A1906-129,Fields!$D$2:$D$206,1)),""),"")</f>
        <v/>
      </c>
      <c r="E1906">
        <f>IFERROR(IF(AND(A1906&gt;=129,A1906&lt;=2176),INDEX(Fields!$C$2:$C$206,MATCH(A1906-129,Fields!$D$2:$D$206,1)),""),"")</f>
        <v/>
      </c>
    </row>
    <row r="1907">
      <c r="A1907" t="n">
        <v>1906</v>
      </c>
      <c r="B1907">
        <f>IFERROR(INDEX(RawBits!$A:$A,MATCH($A1907,RawBits!$H:$H,0)),"?")</f>
        <v/>
      </c>
      <c r="C1907">
        <f>IFERROR(INDEX(RawBits!$G:$G,MATCH($A1907,RawBits!$H:$H,0)),"")</f>
        <v/>
      </c>
      <c r="D1907">
        <f>IFERROR(IF(AND(A1907&gt;=129,A1907&lt;=2176),INDEX(Fields!$B$2:$B$206,MATCH(A1907-129,Fields!$D$2:$D$206,1)),""),"")</f>
        <v/>
      </c>
      <c r="E1907">
        <f>IFERROR(IF(AND(A1907&gt;=129,A1907&lt;=2176),INDEX(Fields!$C$2:$C$206,MATCH(A1907-129,Fields!$D$2:$D$206,1)),""),"")</f>
        <v/>
      </c>
    </row>
    <row r="1908">
      <c r="A1908" t="n">
        <v>1907</v>
      </c>
      <c r="B1908">
        <f>IFERROR(INDEX(RawBits!$A:$A,MATCH($A1908,RawBits!$H:$H,0)),"?")</f>
        <v/>
      </c>
      <c r="C1908">
        <f>IFERROR(INDEX(RawBits!$G:$G,MATCH($A1908,RawBits!$H:$H,0)),"")</f>
        <v/>
      </c>
      <c r="D1908">
        <f>IFERROR(IF(AND(A1908&gt;=129,A1908&lt;=2176),INDEX(Fields!$B$2:$B$206,MATCH(A1908-129,Fields!$D$2:$D$206,1)),""),"")</f>
        <v/>
      </c>
      <c r="E1908">
        <f>IFERROR(IF(AND(A1908&gt;=129,A1908&lt;=2176),INDEX(Fields!$C$2:$C$206,MATCH(A1908-129,Fields!$D$2:$D$206,1)),""),"")</f>
        <v/>
      </c>
    </row>
    <row r="1909">
      <c r="A1909" t="n">
        <v>1908</v>
      </c>
      <c r="B1909">
        <f>IFERROR(INDEX(RawBits!$A:$A,MATCH($A1909,RawBits!$H:$H,0)),"?")</f>
        <v/>
      </c>
      <c r="C1909">
        <f>IFERROR(INDEX(RawBits!$G:$G,MATCH($A1909,RawBits!$H:$H,0)),"")</f>
        <v/>
      </c>
      <c r="D1909">
        <f>IFERROR(IF(AND(A1909&gt;=129,A1909&lt;=2176),INDEX(Fields!$B$2:$B$206,MATCH(A1909-129,Fields!$D$2:$D$206,1)),""),"")</f>
        <v/>
      </c>
      <c r="E1909">
        <f>IFERROR(IF(AND(A1909&gt;=129,A1909&lt;=2176),INDEX(Fields!$C$2:$C$206,MATCH(A1909-129,Fields!$D$2:$D$206,1)),""),"")</f>
        <v/>
      </c>
    </row>
    <row r="1910">
      <c r="A1910" t="n">
        <v>1909</v>
      </c>
      <c r="B1910">
        <f>IFERROR(INDEX(RawBits!$A:$A,MATCH($A1910,RawBits!$H:$H,0)),"?")</f>
        <v/>
      </c>
      <c r="C1910">
        <f>IFERROR(INDEX(RawBits!$G:$G,MATCH($A1910,RawBits!$H:$H,0)),"")</f>
        <v/>
      </c>
      <c r="D1910">
        <f>IFERROR(IF(AND(A1910&gt;=129,A1910&lt;=2176),INDEX(Fields!$B$2:$B$206,MATCH(A1910-129,Fields!$D$2:$D$206,1)),""),"")</f>
        <v/>
      </c>
      <c r="E1910">
        <f>IFERROR(IF(AND(A1910&gt;=129,A1910&lt;=2176),INDEX(Fields!$C$2:$C$206,MATCH(A1910-129,Fields!$D$2:$D$206,1)),""),"")</f>
        <v/>
      </c>
    </row>
    <row r="1911">
      <c r="A1911" t="n">
        <v>1910</v>
      </c>
      <c r="B1911">
        <f>IFERROR(INDEX(RawBits!$A:$A,MATCH($A1911,RawBits!$H:$H,0)),"?")</f>
        <v/>
      </c>
      <c r="C1911">
        <f>IFERROR(INDEX(RawBits!$G:$G,MATCH($A1911,RawBits!$H:$H,0)),"")</f>
        <v/>
      </c>
      <c r="D1911">
        <f>IFERROR(IF(AND(A1911&gt;=129,A1911&lt;=2176),INDEX(Fields!$B$2:$B$206,MATCH(A1911-129,Fields!$D$2:$D$206,1)),""),"")</f>
        <v/>
      </c>
      <c r="E1911">
        <f>IFERROR(IF(AND(A1911&gt;=129,A1911&lt;=2176),INDEX(Fields!$C$2:$C$206,MATCH(A1911-129,Fields!$D$2:$D$206,1)),""),"")</f>
        <v/>
      </c>
    </row>
    <row r="1912">
      <c r="A1912" t="n">
        <v>1911</v>
      </c>
      <c r="B1912">
        <f>IFERROR(INDEX(RawBits!$A:$A,MATCH($A1912,RawBits!$H:$H,0)),"?")</f>
        <v/>
      </c>
      <c r="C1912">
        <f>IFERROR(INDEX(RawBits!$G:$G,MATCH($A1912,RawBits!$H:$H,0)),"")</f>
        <v/>
      </c>
      <c r="D1912">
        <f>IFERROR(IF(AND(A1912&gt;=129,A1912&lt;=2176),INDEX(Fields!$B$2:$B$206,MATCH(A1912-129,Fields!$D$2:$D$206,1)),""),"")</f>
        <v/>
      </c>
      <c r="E1912">
        <f>IFERROR(IF(AND(A1912&gt;=129,A1912&lt;=2176),INDEX(Fields!$C$2:$C$206,MATCH(A1912-129,Fields!$D$2:$D$206,1)),""),"")</f>
        <v/>
      </c>
    </row>
    <row r="1913">
      <c r="A1913" t="n">
        <v>1912</v>
      </c>
      <c r="B1913">
        <f>IFERROR(INDEX(RawBits!$A:$A,MATCH($A1913,RawBits!$H:$H,0)),"?")</f>
        <v/>
      </c>
      <c r="C1913">
        <f>IFERROR(INDEX(RawBits!$G:$G,MATCH($A1913,RawBits!$H:$H,0)),"")</f>
        <v/>
      </c>
      <c r="D1913">
        <f>IFERROR(IF(AND(A1913&gt;=129,A1913&lt;=2176),INDEX(Fields!$B$2:$B$206,MATCH(A1913-129,Fields!$D$2:$D$206,1)),""),"")</f>
        <v/>
      </c>
      <c r="E1913">
        <f>IFERROR(IF(AND(A1913&gt;=129,A1913&lt;=2176),INDEX(Fields!$C$2:$C$206,MATCH(A1913-129,Fields!$D$2:$D$206,1)),""),"")</f>
        <v/>
      </c>
    </row>
    <row r="1914">
      <c r="A1914" t="n">
        <v>1913</v>
      </c>
      <c r="B1914">
        <f>IFERROR(INDEX(RawBits!$A:$A,MATCH($A1914,RawBits!$H:$H,0)),"?")</f>
        <v/>
      </c>
      <c r="C1914">
        <f>IFERROR(INDEX(RawBits!$G:$G,MATCH($A1914,RawBits!$H:$H,0)),"")</f>
        <v/>
      </c>
      <c r="D1914">
        <f>IFERROR(IF(AND(A1914&gt;=129,A1914&lt;=2176),INDEX(Fields!$B$2:$B$206,MATCH(A1914-129,Fields!$D$2:$D$206,1)),""),"")</f>
        <v/>
      </c>
      <c r="E1914">
        <f>IFERROR(IF(AND(A1914&gt;=129,A1914&lt;=2176),INDEX(Fields!$C$2:$C$206,MATCH(A1914-129,Fields!$D$2:$D$206,1)),""),"")</f>
        <v/>
      </c>
    </row>
    <row r="1915">
      <c r="A1915" t="n">
        <v>1914</v>
      </c>
      <c r="B1915">
        <f>IFERROR(INDEX(RawBits!$A:$A,MATCH($A1915,RawBits!$H:$H,0)),"?")</f>
        <v/>
      </c>
      <c r="C1915">
        <f>IFERROR(INDEX(RawBits!$G:$G,MATCH($A1915,RawBits!$H:$H,0)),"")</f>
        <v/>
      </c>
      <c r="D1915">
        <f>IFERROR(IF(AND(A1915&gt;=129,A1915&lt;=2176),INDEX(Fields!$B$2:$B$206,MATCH(A1915-129,Fields!$D$2:$D$206,1)),""),"")</f>
        <v/>
      </c>
      <c r="E1915">
        <f>IFERROR(IF(AND(A1915&gt;=129,A1915&lt;=2176),INDEX(Fields!$C$2:$C$206,MATCH(A1915-129,Fields!$D$2:$D$206,1)),""),"")</f>
        <v/>
      </c>
    </row>
    <row r="1916">
      <c r="A1916" t="n">
        <v>1915</v>
      </c>
      <c r="B1916">
        <f>IFERROR(INDEX(RawBits!$A:$A,MATCH($A1916,RawBits!$H:$H,0)),"?")</f>
        <v/>
      </c>
      <c r="C1916">
        <f>IFERROR(INDEX(RawBits!$G:$G,MATCH($A1916,RawBits!$H:$H,0)),"")</f>
        <v/>
      </c>
      <c r="D1916">
        <f>IFERROR(IF(AND(A1916&gt;=129,A1916&lt;=2176),INDEX(Fields!$B$2:$B$206,MATCH(A1916-129,Fields!$D$2:$D$206,1)),""),"")</f>
        <v/>
      </c>
      <c r="E1916">
        <f>IFERROR(IF(AND(A1916&gt;=129,A1916&lt;=2176),INDEX(Fields!$C$2:$C$206,MATCH(A1916-129,Fields!$D$2:$D$206,1)),""),"")</f>
        <v/>
      </c>
    </row>
    <row r="1917">
      <c r="A1917" t="n">
        <v>1916</v>
      </c>
      <c r="B1917">
        <f>IFERROR(INDEX(RawBits!$A:$A,MATCH($A1917,RawBits!$H:$H,0)),"?")</f>
        <v/>
      </c>
      <c r="C1917">
        <f>IFERROR(INDEX(RawBits!$G:$G,MATCH($A1917,RawBits!$H:$H,0)),"")</f>
        <v/>
      </c>
      <c r="D1917">
        <f>IFERROR(IF(AND(A1917&gt;=129,A1917&lt;=2176),INDEX(Fields!$B$2:$B$206,MATCH(A1917-129,Fields!$D$2:$D$206,1)),""),"")</f>
        <v/>
      </c>
      <c r="E1917">
        <f>IFERROR(IF(AND(A1917&gt;=129,A1917&lt;=2176),INDEX(Fields!$C$2:$C$206,MATCH(A1917-129,Fields!$D$2:$D$206,1)),""),"")</f>
        <v/>
      </c>
    </row>
    <row r="1918">
      <c r="A1918" t="n">
        <v>1917</v>
      </c>
      <c r="B1918">
        <f>IFERROR(INDEX(RawBits!$A:$A,MATCH($A1918,RawBits!$H:$H,0)),"?")</f>
        <v/>
      </c>
      <c r="C1918">
        <f>IFERROR(INDEX(RawBits!$G:$G,MATCH($A1918,RawBits!$H:$H,0)),"")</f>
        <v/>
      </c>
      <c r="D1918">
        <f>IFERROR(IF(AND(A1918&gt;=129,A1918&lt;=2176),INDEX(Fields!$B$2:$B$206,MATCH(A1918-129,Fields!$D$2:$D$206,1)),""),"")</f>
        <v/>
      </c>
      <c r="E1918">
        <f>IFERROR(IF(AND(A1918&gt;=129,A1918&lt;=2176),INDEX(Fields!$C$2:$C$206,MATCH(A1918-129,Fields!$D$2:$D$206,1)),""),"")</f>
        <v/>
      </c>
    </row>
    <row r="1919">
      <c r="A1919" t="n">
        <v>1918</v>
      </c>
      <c r="B1919">
        <f>IFERROR(INDEX(RawBits!$A:$A,MATCH($A1919,RawBits!$H:$H,0)),"?")</f>
        <v/>
      </c>
      <c r="C1919">
        <f>IFERROR(INDEX(RawBits!$G:$G,MATCH($A1919,RawBits!$H:$H,0)),"")</f>
        <v/>
      </c>
      <c r="D1919">
        <f>IFERROR(IF(AND(A1919&gt;=129,A1919&lt;=2176),INDEX(Fields!$B$2:$B$206,MATCH(A1919-129,Fields!$D$2:$D$206,1)),""),"")</f>
        <v/>
      </c>
      <c r="E1919">
        <f>IFERROR(IF(AND(A1919&gt;=129,A1919&lt;=2176),INDEX(Fields!$C$2:$C$206,MATCH(A1919-129,Fields!$D$2:$D$206,1)),""),"")</f>
        <v/>
      </c>
    </row>
    <row r="1920">
      <c r="A1920" t="n">
        <v>1919</v>
      </c>
      <c r="B1920">
        <f>IFERROR(INDEX(RawBits!$A:$A,MATCH($A1920,RawBits!$H:$H,0)),"?")</f>
        <v/>
      </c>
      <c r="C1920">
        <f>IFERROR(INDEX(RawBits!$G:$G,MATCH($A1920,RawBits!$H:$H,0)),"")</f>
        <v/>
      </c>
      <c r="D1920">
        <f>IFERROR(IF(AND(A1920&gt;=129,A1920&lt;=2176),INDEX(Fields!$B$2:$B$206,MATCH(A1920-129,Fields!$D$2:$D$206,1)),""),"")</f>
        <v/>
      </c>
      <c r="E1920">
        <f>IFERROR(IF(AND(A1920&gt;=129,A1920&lt;=2176),INDEX(Fields!$C$2:$C$206,MATCH(A1920-129,Fields!$D$2:$D$206,1)),""),"")</f>
        <v/>
      </c>
    </row>
    <row r="1921">
      <c r="A1921" t="n">
        <v>1920</v>
      </c>
      <c r="B1921">
        <f>IFERROR(INDEX(RawBits!$A:$A,MATCH($A1921,RawBits!$H:$H,0)),"?")</f>
        <v/>
      </c>
      <c r="C1921">
        <f>IFERROR(INDEX(RawBits!$G:$G,MATCH($A1921,RawBits!$H:$H,0)),"")</f>
        <v/>
      </c>
      <c r="D1921">
        <f>IFERROR(IF(AND(A1921&gt;=129,A1921&lt;=2176),INDEX(Fields!$B$2:$B$206,MATCH(A1921-129,Fields!$D$2:$D$206,1)),""),"")</f>
        <v/>
      </c>
      <c r="E1921">
        <f>IFERROR(IF(AND(A1921&gt;=129,A1921&lt;=2176),INDEX(Fields!$C$2:$C$206,MATCH(A1921-129,Fields!$D$2:$D$206,1)),""),"")</f>
        <v/>
      </c>
    </row>
    <row r="1922">
      <c r="A1922" t="n">
        <v>1921</v>
      </c>
      <c r="B1922">
        <f>IFERROR(INDEX(RawBits!$A:$A,MATCH($A1922,RawBits!$H:$H,0)),"?")</f>
        <v/>
      </c>
      <c r="C1922">
        <f>IFERROR(INDEX(RawBits!$G:$G,MATCH($A1922,RawBits!$H:$H,0)),"")</f>
        <v/>
      </c>
      <c r="D1922">
        <f>IFERROR(IF(AND(A1922&gt;=129,A1922&lt;=2176),INDEX(Fields!$B$2:$B$206,MATCH(A1922-129,Fields!$D$2:$D$206,1)),""),"")</f>
        <v/>
      </c>
      <c r="E1922">
        <f>IFERROR(IF(AND(A1922&gt;=129,A1922&lt;=2176),INDEX(Fields!$C$2:$C$206,MATCH(A1922-129,Fields!$D$2:$D$206,1)),""),"")</f>
        <v/>
      </c>
    </row>
    <row r="1923">
      <c r="A1923" t="n">
        <v>1922</v>
      </c>
      <c r="B1923">
        <f>IFERROR(INDEX(RawBits!$A:$A,MATCH($A1923,RawBits!$H:$H,0)),"?")</f>
        <v/>
      </c>
      <c r="C1923">
        <f>IFERROR(INDEX(RawBits!$G:$G,MATCH($A1923,RawBits!$H:$H,0)),"")</f>
        <v/>
      </c>
      <c r="D1923">
        <f>IFERROR(IF(AND(A1923&gt;=129,A1923&lt;=2176),INDEX(Fields!$B$2:$B$206,MATCH(A1923-129,Fields!$D$2:$D$206,1)),""),"")</f>
        <v/>
      </c>
      <c r="E1923">
        <f>IFERROR(IF(AND(A1923&gt;=129,A1923&lt;=2176),INDEX(Fields!$C$2:$C$206,MATCH(A1923-129,Fields!$D$2:$D$206,1)),""),"")</f>
        <v/>
      </c>
    </row>
    <row r="1924">
      <c r="A1924" t="n">
        <v>1923</v>
      </c>
      <c r="B1924">
        <f>IFERROR(INDEX(RawBits!$A:$A,MATCH($A1924,RawBits!$H:$H,0)),"?")</f>
        <v/>
      </c>
      <c r="C1924">
        <f>IFERROR(INDEX(RawBits!$G:$G,MATCH($A1924,RawBits!$H:$H,0)),"")</f>
        <v/>
      </c>
      <c r="D1924">
        <f>IFERROR(IF(AND(A1924&gt;=129,A1924&lt;=2176),INDEX(Fields!$B$2:$B$206,MATCH(A1924-129,Fields!$D$2:$D$206,1)),""),"")</f>
        <v/>
      </c>
      <c r="E1924">
        <f>IFERROR(IF(AND(A1924&gt;=129,A1924&lt;=2176),INDEX(Fields!$C$2:$C$206,MATCH(A1924-129,Fields!$D$2:$D$206,1)),""),"")</f>
        <v/>
      </c>
    </row>
    <row r="1925">
      <c r="A1925" t="n">
        <v>1924</v>
      </c>
      <c r="B1925">
        <f>IFERROR(INDEX(RawBits!$A:$A,MATCH($A1925,RawBits!$H:$H,0)),"?")</f>
        <v/>
      </c>
      <c r="C1925">
        <f>IFERROR(INDEX(RawBits!$G:$G,MATCH($A1925,RawBits!$H:$H,0)),"")</f>
        <v/>
      </c>
      <c r="D1925">
        <f>IFERROR(IF(AND(A1925&gt;=129,A1925&lt;=2176),INDEX(Fields!$B$2:$B$206,MATCH(A1925-129,Fields!$D$2:$D$206,1)),""),"")</f>
        <v/>
      </c>
      <c r="E1925">
        <f>IFERROR(IF(AND(A1925&gt;=129,A1925&lt;=2176),INDEX(Fields!$C$2:$C$206,MATCH(A1925-129,Fields!$D$2:$D$206,1)),""),"")</f>
        <v/>
      </c>
    </row>
    <row r="1926">
      <c r="A1926" t="n">
        <v>1925</v>
      </c>
      <c r="B1926">
        <f>IFERROR(INDEX(RawBits!$A:$A,MATCH($A1926,RawBits!$H:$H,0)),"?")</f>
        <v/>
      </c>
      <c r="C1926">
        <f>IFERROR(INDEX(RawBits!$G:$G,MATCH($A1926,RawBits!$H:$H,0)),"")</f>
        <v/>
      </c>
      <c r="D1926">
        <f>IFERROR(IF(AND(A1926&gt;=129,A1926&lt;=2176),INDEX(Fields!$B$2:$B$206,MATCH(A1926-129,Fields!$D$2:$D$206,1)),""),"")</f>
        <v/>
      </c>
      <c r="E1926">
        <f>IFERROR(IF(AND(A1926&gt;=129,A1926&lt;=2176),INDEX(Fields!$C$2:$C$206,MATCH(A1926-129,Fields!$D$2:$D$206,1)),""),"")</f>
        <v/>
      </c>
    </row>
    <row r="1927">
      <c r="A1927" t="n">
        <v>1926</v>
      </c>
      <c r="B1927">
        <f>IFERROR(INDEX(RawBits!$A:$A,MATCH($A1927,RawBits!$H:$H,0)),"?")</f>
        <v/>
      </c>
      <c r="C1927">
        <f>IFERROR(INDEX(RawBits!$G:$G,MATCH($A1927,RawBits!$H:$H,0)),"")</f>
        <v/>
      </c>
      <c r="D1927">
        <f>IFERROR(IF(AND(A1927&gt;=129,A1927&lt;=2176),INDEX(Fields!$B$2:$B$206,MATCH(A1927-129,Fields!$D$2:$D$206,1)),""),"")</f>
        <v/>
      </c>
      <c r="E1927">
        <f>IFERROR(IF(AND(A1927&gt;=129,A1927&lt;=2176),INDEX(Fields!$C$2:$C$206,MATCH(A1927-129,Fields!$D$2:$D$206,1)),""),"")</f>
        <v/>
      </c>
    </row>
    <row r="1928">
      <c r="A1928" t="n">
        <v>1927</v>
      </c>
      <c r="B1928">
        <f>IFERROR(INDEX(RawBits!$A:$A,MATCH($A1928,RawBits!$H:$H,0)),"?")</f>
        <v/>
      </c>
      <c r="C1928">
        <f>IFERROR(INDEX(RawBits!$G:$G,MATCH($A1928,RawBits!$H:$H,0)),"")</f>
        <v/>
      </c>
      <c r="D1928">
        <f>IFERROR(IF(AND(A1928&gt;=129,A1928&lt;=2176),INDEX(Fields!$B$2:$B$206,MATCH(A1928-129,Fields!$D$2:$D$206,1)),""),"")</f>
        <v/>
      </c>
      <c r="E1928">
        <f>IFERROR(IF(AND(A1928&gt;=129,A1928&lt;=2176),INDEX(Fields!$C$2:$C$206,MATCH(A1928-129,Fields!$D$2:$D$206,1)),""),"")</f>
        <v/>
      </c>
    </row>
    <row r="1929">
      <c r="A1929" t="n">
        <v>1928</v>
      </c>
      <c r="B1929">
        <f>IFERROR(INDEX(RawBits!$A:$A,MATCH($A1929,RawBits!$H:$H,0)),"?")</f>
        <v/>
      </c>
      <c r="C1929">
        <f>IFERROR(INDEX(RawBits!$G:$G,MATCH($A1929,RawBits!$H:$H,0)),"")</f>
        <v/>
      </c>
      <c r="D1929">
        <f>IFERROR(IF(AND(A1929&gt;=129,A1929&lt;=2176),INDEX(Fields!$B$2:$B$206,MATCH(A1929-129,Fields!$D$2:$D$206,1)),""),"")</f>
        <v/>
      </c>
      <c r="E1929">
        <f>IFERROR(IF(AND(A1929&gt;=129,A1929&lt;=2176),INDEX(Fields!$C$2:$C$206,MATCH(A1929-129,Fields!$D$2:$D$206,1)),""),"")</f>
        <v/>
      </c>
    </row>
    <row r="1930">
      <c r="A1930" t="n">
        <v>1929</v>
      </c>
      <c r="B1930">
        <f>IFERROR(INDEX(RawBits!$A:$A,MATCH($A1930,RawBits!$H:$H,0)),"?")</f>
        <v/>
      </c>
      <c r="C1930">
        <f>IFERROR(INDEX(RawBits!$G:$G,MATCH($A1930,RawBits!$H:$H,0)),"")</f>
        <v/>
      </c>
      <c r="D1930">
        <f>IFERROR(IF(AND(A1930&gt;=129,A1930&lt;=2176),INDEX(Fields!$B$2:$B$206,MATCH(A1930-129,Fields!$D$2:$D$206,1)),""),"")</f>
        <v/>
      </c>
      <c r="E1930">
        <f>IFERROR(IF(AND(A1930&gt;=129,A1930&lt;=2176),INDEX(Fields!$C$2:$C$206,MATCH(A1930-129,Fields!$D$2:$D$206,1)),""),"")</f>
        <v/>
      </c>
    </row>
    <row r="1931">
      <c r="A1931" t="n">
        <v>1930</v>
      </c>
      <c r="B1931">
        <f>IFERROR(INDEX(RawBits!$A:$A,MATCH($A1931,RawBits!$H:$H,0)),"?")</f>
        <v/>
      </c>
      <c r="C1931">
        <f>IFERROR(INDEX(RawBits!$G:$G,MATCH($A1931,RawBits!$H:$H,0)),"")</f>
        <v/>
      </c>
      <c r="D1931">
        <f>IFERROR(IF(AND(A1931&gt;=129,A1931&lt;=2176),INDEX(Fields!$B$2:$B$206,MATCH(A1931-129,Fields!$D$2:$D$206,1)),""),"")</f>
        <v/>
      </c>
      <c r="E1931">
        <f>IFERROR(IF(AND(A1931&gt;=129,A1931&lt;=2176),INDEX(Fields!$C$2:$C$206,MATCH(A1931-129,Fields!$D$2:$D$206,1)),""),"")</f>
        <v/>
      </c>
    </row>
    <row r="1932">
      <c r="A1932" t="n">
        <v>1931</v>
      </c>
      <c r="B1932">
        <f>IFERROR(INDEX(RawBits!$A:$A,MATCH($A1932,RawBits!$H:$H,0)),"?")</f>
        <v/>
      </c>
      <c r="C1932">
        <f>IFERROR(INDEX(RawBits!$G:$G,MATCH($A1932,RawBits!$H:$H,0)),"")</f>
        <v/>
      </c>
      <c r="D1932">
        <f>IFERROR(IF(AND(A1932&gt;=129,A1932&lt;=2176),INDEX(Fields!$B$2:$B$206,MATCH(A1932-129,Fields!$D$2:$D$206,1)),""),"")</f>
        <v/>
      </c>
      <c r="E1932">
        <f>IFERROR(IF(AND(A1932&gt;=129,A1932&lt;=2176),INDEX(Fields!$C$2:$C$206,MATCH(A1932-129,Fields!$D$2:$D$206,1)),""),"")</f>
        <v/>
      </c>
    </row>
    <row r="1933">
      <c r="A1933" t="n">
        <v>1932</v>
      </c>
      <c r="B1933">
        <f>IFERROR(INDEX(RawBits!$A:$A,MATCH($A1933,RawBits!$H:$H,0)),"?")</f>
        <v/>
      </c>
      <c r="C1933">
        <f>IFERROR(INDEX(RawBits!$G:$G,MATCH($A1933,RawBits!$H:$H,0)),"")</f>
        <v/>
      </c>
      <c r="D1933">
        <f>IFERROR(IF(AND(A1933&gt;=129,A1933&lt;=2176),INDEX(Fields!$B$2:$B$206,MATCH(A1933-129,Fields!$D$2:$D$206,1)),""),"")</f>
        <v/>
      </c>
      <c r="E1933">
        <f>IFERROR(IF(AND(A1933&gt;=129,A1933&lt;=2176),INDEX(Fields!$C$2:$C$206,MATCH(A1933-129,Fields!$D$2:$D$206,1)),""),"")</f>
        <v/>
      </c>
    </row>
    <row r="1934">
      <c r="A1934" t="n">
        <v>1933</v>
      </c>
      <c r="B1934">
        <f>IFERROR(INDEX(RawBits!$A:$A,MATCH($A1934,RawBits!$H:$H,0)),"?")</f>
        <v/>
      </c>
      <c r="C1934">
        <f>IFERROR(INDEX(RawBits!$G:$G,MATCH($A1934,RawBits!$H:$H,0)),"")</f>
        <v/>
      </c>
      <c r="D1934">
        <f>IFERROR(IF(AND(A1934&gt;=129,A1934&lt;=2176),INDEX(Fields!$B$2:$B$206,MATCH(A1934-129,Fields!$D$2:$D$206,1)),""),"")</f>
        <v/>
      </c>
      <c r="E1934">
        <f>IFERROR(IF(AND(A1934&gt;=129,A1934&lt;=2176),INDEX(Fields!$C$2:$C$206,MATCH(A1934-129,Fields!$D$2:$D$206,1)),""),"")</f>
        <v/>
      </c>
    </row>
    <row r="1935">
      <c r="A1935" t="n">
        <v>1934</v>
      </c>
      <c r="B1935">
        <f>IFERROR(INDEX(RawBits!$A:$A,MATCH($A1935,RawBits!$H:$H,0)),"?")</f>
        <v/>
      </c>
      <c r="C1935">
        <f>IFERROR(INDEX(RawBits!$G:$G,MATCH($A1935,RawBits!$H:$H,0)),"")</f>
        <v/>
      </c>
      <c r="D1935">
        <f>IFERROR(IF(AND(A1935&gt;=129,A1935&lt;=2176),INDEX(Fields!$B$2:$B$206,MATCH(A1935-129,Fields!$D$2:$D$206,1)),""),"")</f>
        <v/>
      </c>
      <c r="E1935">
        <f>IFERROR(IF(AND(A1935&gt;=129,A1935&lt;=2176),INDEX(Fields!$C$2:$C$206,MATCH(A1935-129,Fields!$D$2:$D$206,1)),""),"")</f>
        <v/>
      </c>
    </row>
    <row r="1936">
      <c r="A1936" t="n">
        <v>1935</v>
      </c>
      <c r="B1936">
        <f>IFERROR(INDEX(RawBits!$A:$A,MATCH($A1936,RawBits!$H:$H,0)),"?")</f>
        <v/>
      </c>
      <c r="C1936">
        <f>IFERROR(INDEX(RawBits!$G:$G,MATCH($A1936,RawBits!$H:$H,0)),"")</f>
        <v/>
      </c>
      <c r="D1936">
        <f>IFERROR(IF(AND(A1936&gt;=129,A1936&lt;=2176),INDEX(Fields!$B$2:$B$206,MATCH(A1936-129,Fields!$D$2:$D$206,1)),""),"")</f>
        <v/>
      </c>
      <c r="E1936">
        <f>IFERROR(IF(AND(A1936&gt;=129,A1936&lt;=2176),INDEX(Fields!$C$2:$C$206,MATCH(A1936-129,Fields!$D$2:$D$206,1)),""),"")</f>
        <v/>
      </c>
    </row>
    <row r="1937">
      <c r="A1937" t="n">
        <v>1936</v>
      </c>
      <c r="B1937">
        <f>IFERROR(INDEX(RawBits!$A:$A,MATCH($A1937,RawBits!$H:$H,0)),"?")</f>
        <v/>
      </c>
      <c r="C1937">
        <f>IFERROR(INDEX(RawBits!$G:$G,MATCH($A1937,RawBits!$H:$H,0)),"")</f>
        <v/>
      </c>
      <c r="D1937">
        <f>IFERROR(IF(AND(A1937&gt;=129,A1937&lt;=2176),INDEX(Fields!$B$2:$B$206,MATCH(A1937-129,Fields!$D$2:$D$206,1)),""),"")</f>
        <v/>
      </c>
      <c r="E1937">
        <f>IFERROR(IF(AND(A1937&gt;=129,A1937&lt;=2176),INDEX(Fields!$C$2:$C$206,MATCH(A1937-129,Fields!$D$2:$D$206,1)),""),"")</f>
        <v/>
      </c>
    </row>
    <row r="1938">
      <c r="A1938" t="n">
        <v>1937</v>
      </c>
      <c r="B1938">
        <f>IFERROR(INDEX(RawBits!$A:$A,MATCH($A1938,RawBits!$H:$H,0)),"?")</f>
        <v/>
      </c>
      <c r="C1938">
        <f>IFERROR(INDEX(RawBits!$G:$G,MATCH($A1938,RawBits!$H:$H,0)),"")</f>
        <v/>
      </c>
      <c r="D1938">
        <f>IFERROR(IF(AND(A1938&gt;=129,A1938&lt;=2176),INDEX(Fields!$B$2:$B$206,MATCH(A1938-129,Fields!$D$2:$D$206,1)),""),"")</f>
        <v/>
      </c>
      <c r="E1938">
        <f>IFERROR(IF(AND(A1938&gt;=129,A1938&lt;=2176),INDEX(Fields!$C$2:$C$206,MATCH(A1938-129,Fields!$D$2:$D$206,1)),""),"")</f>
        <v/>
      </c>
    </row>
    <row r="1939">
      <c r="A1939" t="n">
        <v>1938</v>
      </c>
      <c r="B1939">
        <f>IFERROR(INDEX(RawBits!$A:$A,MATCH($A1939,RawBits!$H:$H,0)),"?")</f>
        <v/>
      </c>
      <c r="C1939">
        <f>IFERROR(INDEX(RawBits!$G:$G,MATCH($A1939,RawBits!$H:$H,0)),"")</f>
        <v/>
      </c>
      <c r="D1939">
        <f>IFERROR(IF(AND(A1939&gt;=129,A1939&lt;=2176),INDEX(Fields!$B$2:$B$206,MATCH(A1939-129,Fields!$D$2:$D$206,1)),""),"")</f>
        <v/>
      </c>
      <c r="E1939">
        <f>IFERROR(IF(AND(A1939&gt;=129,A1939&lt;=2176),INDEX(Fields!$C$2:$C$206,MATCH(A1939-129,Fields!$D$2:$D$206,1)),""),"")</f>
        <v/>
      </c>
    </row>
    <row r="1940">
      <c r="A1940" t="n">
        <v>1939</v>
      </c>
      <c r="B1940">
        <f>IFERROR(INDEX(RawBits!$A:$A,MATCH($A1940,RawBits!$H:$H,0)),"?")</f>
        <v/>
      </c>
      <c r="C1940">
        <f>IFERROR(INDEX(RawBits!$G:$G,MATCH($A1940,RawBits!$H:$H,0)),"")</f>
        <v/>
      </c>
      <c r="D1940">
        <f>IFERROR(IF(AND(A1940&gt;=129,A1940&lt;=2176),INDEX(Fields!$B$2:$B$206,MATCH(A1940-129,Fields!$D$2:$D$206,1)),""),"")</f>
        <v/>
      </c>
      <c r="E1940">
        <f>IFERROR(IF(AND(A1940&gt;=129,A1940&lt;=2176),INDEX(Fields!$C$2:$C$206,MATCH(A1940-129,Fields!$D$2:$D$206,1)),""),"")</f>
        <v/>
      </c>
    </row>
    <row r="1941">
      <c r="A1941" t="n">
        <v>1940</v>
      </c>
      <c r="B1941">
        <f>IFERROR(INDEX(RawBits!$A:$A,MATCH($A1941,RawBits!$H:$H,0)),"?")</f>
        <v/>
      </c>
      <c r="C1941">
        <f>IFERROR(INDEX(RawBits!$G:$G,MATCH($A1941,RawBits!$H:$H,0)),"")</f>
        <v/>
      </c>
      <c r="D1941">
        <f>IFERROR(IF(AND(A1941&gt;=129,A1941&lt;=2176),INDEX(Fields!$B$2:$B$206,MATCH(A1941-129,Fields!$D$2:$D$206,1)),""),"")</f>
        <v/>
      </c>
      <c r="E1941">
        <f>IFERROR(IF(AND(A1941&gt;=129,A1941&lt;=2176),INDEX(Fields!$C$2:$C$206,MATCH(A1941-129,Fields!$D$2:$D$206,1)),""),"")</f>
        <v/>
      </c>
    </row>
    <row r="1942">
      <c r="A1942" t="n">
        <v>1941</v>
      </c>
      <c r="B1942">
        <f>IFERROR(INDEX(RawBits!$A:$A,MATCH($A1942,RawBits!$H:$H,0)),"?")</f>
        <v/>
      </c>
      <c r="C1942">
        <f>IFERROR(INDEX(RawBits!$G:$G,MATCH($A1942,RawBits!$H:$H,0)),"")</f>
        <v/>
      </c>
      <c r="D1942">
        <f>IFERROR(IF(AND(A1942&gt;=129,A1942&lt;=2176),INDEX(Fields!$B$2:$B$206,MATCH(A1942-129,Fields!$D$2:$D$206,1)),""),"")</f>
        <v/>
      </c>
      <c r="E1942">
        <f>IFERROR(IF(AND(A1942&gt;=129,A1942&lt;=2176),INDEX(Fields!$C$2:$C$206,MATCH(A1942-129,Fields!$D$2:$D$206,1)),""),"")</f>
        <v/>
      </c>
    </row>
    <row r="1943">
      <c r="A1943" t="n">
        <v>1942</v>
      </c>
      <c r="B1943">
        <f>IFERROR(INDEX(RawBits!$A:$A,MATCH($A1943,RawBits!$H:$H,0)),"?")</f>
        <v/>
      </c>
      <c r="C1943">
        <f>IFERROR(INDEX(RawBits!$G:$G,MATCH($A1943,RawBits!$H:$H,0)),"")</f>
        <v/>
      </c>
      <c r="D1943">
        <f>IFERROR(IF(AND(A1943&gt;=129,A1943&lt;=2176),INDEX(Fields!$B$2:$B$206,MATCH(A1943-129,Fields!$D$2:$D$206,1)),""),"")</f>
        <v/>
      </c>
      <c r="E1943">
        <f>IFERROR(IF(AND(A1943&gt;=129,A1943&lt;=2176),INDEX(Fields!$C$2:$C$206,MATCH(A1943-129,Fields!$D$2:$D$206,1)),""),"")</f>
        <v/>
      </c>
    </row>
    <row r="1944">
      <c r="A1944" t="n">
        <v>1943</v>
      </c>
      <c r="B1944">
        <f>IFERROR(INDEX(RawBits!$A:$A,MATCH($A1944,RawBits!$H:$H,0)),"?")</f>
        <v/>
      </c>
      <c r="C1944">
        <f>IFERROR(INDEX(RawBits!$G:$G,MATCH($A1944,RawBits!$H:$H,0)),"")</f>
        <v/>
      </c>
      <c r="D1944">
        <f>IFERROR(IF(AND(A1944&gt;=129,A1944&lt;=2176),INDEX(Fields!$B$2:$B$206,MATCH(A1944-129,Fields!$D$2:$D$206,1)),""),"")</f>
        <v/>
      </c>
      <c r="E1944">
        <f>IFERROR(IF(AND(A1944&gt;=129,A1944&lt;=2176),INDEX(Fields!$C$2:$C$206,MATCH(A1944-129,Fields!$D$2:$D$206,1)),""),"")</f>
        <v/>
      </c>
    </row>
    <row r="1945">
      <c r="A1945" t="n">
        <v>1944</v>
      </c>
      <c r="B1945">
        <f>IFERROR(INDEX(RawBits!$A:$A,MATCH($A1945,RawBits!$H:$H,0)),"?")</f>
        <v/>
      </c>
      <c r="C1945">
        <f>IFERROR(INDEX(RawBits!$G:$G,MATCH($A1945,RawBits!$H:$H,0)),"")</f>
        <v/>
      </c>
      <c r="D1945">
        <f>IFERROR(IF(AND(A1945&gt;=129,A1945&lt;=2176),INDEX(Fields!$B$2:$B$206,MATCH(A1945-129,Fields!$D$2:$D$206,1)),""),"")</f>
        <v/>
      </c>
      <c r="E1945">
        <f>IFERROR(IF(AND(A1945&gt;=129,A1945&lt;=2176),INDEX(Fields!$C$2:$C$206,MATCH(A1945-129,Fields!$D$2:$D$206,1)),""),"")</f>
        <v/>
      </c>
    </row>
    <row r="1946">
      <c r="A1946" t="n">
        <v>1945</v>
      </c>
      <c r="B1946">
        <f>IFERROR(INDEX(RawBits!$A:$A,MATCH($A1946,RawBits!$H:$H,0)),"?")</f>
        <v/>
      </c>
      <c r="C1946">
        <f>IFERROR(INDEX(RawBits!$G:$G,MATCH($A1946,RawBits!$H:$H,0)),"")</f>
        <v/>
      </c>
      <c r="D1946">
        <f>IFERROR(IF(AND(A1946&gt;=129,A1946&lt;=2176),INDEX(Fields!$B$2:$B$206,MATCH(A1946-129,Fields!$D$2:$D$206,1)),""),"")</f>
        <v/>
      </c>
      <c r="E1946">
        <f>IFERROR(IF(AND(A1946&gt;=129,A1946&lt;=2176),INDEX(Fields!$C$2:$C$206,MATCH(A1946-129,Fields!$D$2:$D$206,1)),""),"")</f>
        <v/>
      </c>
    </row>
    <row r="1947">
      <c r="A1947" t="n">
        <v>1946</v>
      </c>
      <c r="B1947">
        <f>IFERROR(INDEX(RawBits!$A:$A,MATCH($A1947,RawBits!$H:$H,0)),"?")</f>
        <v/>
      </c>
      <c r="C1947">
        <f>IFERROR(INDEX(RawBits!$G:$G,MATCH($A1947,RawBits!$H:$H,0)),"")</f>
        <v/>
      </c>
      <c r="D1947">
        <f>IFERROR(IF(AND(A1947&gt;=129,A1947&lt;=2176),INDEX(Fields!$B$2:$B$206,MATCH(A1947-129,Fields!$D$2:$D$206,1)),""),"")</f>
        <v/>
      </c>
      <c r="E1947">
        <f>IFERROR(IF(AND(A1947&gt;=129,A1947&lt;=2176),INDEX(Fields!$C$2:$C$206,MATCH(A1947-129,Fields!$D$2:$D$206,1)),""),"")</f>
        <v/>
      </c>
    </row>
    <row r="1948">
      <c r="A1948" t="n">
        <v>1947</v>
      </c>
      <c r="B1948">
        <f>IFERROR(INDEX(RawBits!$A:$A,MATCH($A1948,RawBits!$H:$H,0)),"?")</f>
        <v/>
      </c>
      <c r="C1948">
        <f>IFERROR(INDEX(RawBits!$G:$G,MATCH($A1948,RawBits!$H:$H,0)),"")</f>
        <v/>
      </c>
      <c r="D1948">
        <f>IFERROR(IF(AND(A1948&gt;=129,A1948&lt;=2176),INDEX(Fields!$B$2:$B$206,MATCH(A1948-129,Fields!$D$2:$D$206,1)),""),"")</f>
        <v/>
      </c>
      <c r="E1948">
        <f>IFERROR(IF(AND(A1948&gt;=129,A1948&lt;=2176),INDEX(Fields!$C$2:$C$206,MATCH(A1948-129,Fields!$D$2:$D$206,1)),""),"")</f>
        <v/>
      </c>
    </row>
    <row r="1949">
      <c r="A1949" t="n">
        <v>1948</v>
      </c>
      <c r="B1949">
        <f>IFERROR(INDEX(RawBits!$A:$A,MATCH($A1949,RawBits!$H:$H,0)),"?")</f>
        <v/>
      </c>
      <c r="C1949">
        <f>IFERROR(INDEX(RawBits!$G:$G,MATCH($A1949,RawBits!$H:$H,0)),"")</f>
        <v/>
      </c>
      <c r="D1949">
        <f>IFERROR(IF(AND(A1949&gt;=129,A1949&lt;=2176),INDEX(Fields!$B$2:$B$206,MATCH(A1949-129,Fields!$D$2:$D$206,1)),""),"")</f>
        <v/>
      </c>
      <c r="E1949">
        <f>IFERROR(IF(AND(A1949&gt;=129,A1949&lt;=2176),INDEX(Fields!$C$2:$C$206,MATCH(A1949-129,Fields!$D$2:$D$206,1)),""),"")</f>
        <v/>
      </c>
    </row>
    <row r="1950">
      <c r="A1950" t="n">
        <v>1949</v>
      </c>
      <c r="B1950">
        <f>IFERROR(INDEX(RawBits!$A:$A,MATCH($A1950,RawBits!$H:$H,0)),"?")</f>
        <v/>
      </c>
      <c r="C1950">
        <f>IFERROR(INDEX(RawBits!$G:$G,MATCH($A1950,RawBits!$H:$H,0)),"")</f>
        <v/>
      </c>
      <c r="D1950">
        <f>IFERROR(IF(AND(A1950&gt;=129,A1950&lt;=2176),INDEX(Fields!$B$2:$B$206,MATCH(A1950-129,Fields!$D$2:$D$206,1)),""),"")</f>
        <v/>
      </c>
      <c r="E1950">
        <f>IFERROR(IF(AND(A1950&gt;=129,A1950&lt;=2176),INDEX(Fields!$C$2:$C$206,MATCH(A1950-129,Fields!$D$2:$D$206,1)),""),"")</f>
        <v/>
      </c>
    </row>
    <row r="1951">
      <c r="A1951" t="n">
        <v>1950</v>
      </c>
      <c r="B1951">
        <f>IFERROR(INDEX(RawBits!$A:$A,MATCH($A1951,RawBits!$H:$H,0)),"?")</f>
        <v/>
      </c>
      <c r="C1951">
        <f>IFERROR(INDEX(RawBits!$G:$G,MATCH($A1951,RawBits!$H:$H,0)),"")</f>
        <v/>
      </c>
      <c r="D1951">
        <f>IFERROR(IF(AND(A1951&gt;=129,A1951&lt;=2176),INDEX(Fields!$B$2:$B$206,MATCH(A1951-129,Fields!$D$2:$D$206,1)),""),"")</f>
        <v/>
      </c>
      <c r="E1951">
        <f>IFERROR(IF(AND(A1951&gt;=129,A1951&lt;=2176),INDEX(Fields!$C$2:$C$206,MATCH(A1951-129,Fields!$D$2:$D$206,1)),""),"")</f>
        <v/>
      </c>
    </row>
    <row r="1952">
      <c r="A1952" t="n">
        <v>1951</v>
      </c>
      <c r="B1952">
        <f>IFERROR(INDEX(RawBits!$A:$A,MATCH($A1952,RawBits!$H:$H,0)),"?")</f>
        <v/>
      </c>
      <c r="C1952">
        <f>IFERROR(INDEX(RawBits!$G:$G,MATCH($A1952,RawBits!$H:$H,0)),"")</f>
        <v/>
      </c>
      <c r="D1952">
        <f>IFERROR(IF(AND(A1952&gt;=129,A1952&lt;=2176),INDEX(Fields!$B$2:$B$206,MATCH(A1952-129,Fields!$D$2:$D$206,1)),""),"")</f>
        <v/>
      </c>
      <c r="E1952">
        <f>IFERROR(IF(AND(A1952&gt;=129,A1952&lt;=2176),INDEX(Fields!$C$2:$C$206,MATCH(A1952-129,Fields!$D$2:$D$206,1)),""),"")</f>
        <v/>
      </c>
    </row>
    <row r="1953">
      <c r="A1953" t="n">
        <v>1952</v>
      </c>
      <c r="B1953">
        <f>IFERROR(INDEX(RawBits!$A:$A,MATCH($A1953,RawBits!$H:$H,0)),"?")</f>
        <v/>
      </c>
      <c r="C1953">
        <f>IFERROR(INDEX(RawBits!$G:$G,MATCH($A1953,RawBits!$H:$H,0)),"")</f>
        <v/>
      </c>
      <c r="D1953">
        <f>IFERROR(IF(AND(A1953&gt;=129,A1953&lt;=2176),INDEX(Fields!$B$2:$B$206,MATCH(A1953-129,Fields!$D$2:$D$206,1)),""),"")</f>
        <v/>
      </c>
      <c r="E1953">
        <f>IFERROR(IF(AND(A1953&gt;=129,A1953&lt;=2176),INDEX(Fields!$C$2:$C$206,MATCH(A1953-129,Fields!$D$2:$D$206,1)),""),"")</f>
        <v/>
      </c>
    </row>
    <row r="1954">
      <c r="A1954" t="n">
        <v>1953</v>
      </c>
      <c r="B1954">
        <f>IFERROR(INDEX(RawBits!$A:$A,MATCH($A1954,RawBits!$H:$H,0)),"?")</f>
        <v/>
      </c>
      <c r="C1954">
        <f>IFERROR(INDEX(RawBits!$G:$G,MATCH($A1954,RawBits!$H:$H,0)),"")</f>
        <v/>
      </c>
      <c r="D1954">
        <f>IFERROR(IF(AND(A1954&gt;=129,A1954&lt;=2176),INDEX(Fields!$B$2:$B$206,MATCH(A1954-129,Fields!$D$2:$D$206,1)),""),"")</f>
        <v/>
      </c>
      <c r="E1954">
        <f>IFERROR(IF(AND(A1954&gt;=129,A1954&lt;=2176),INDEX(Fields!$C$2:$C$206,MATCH(A1954-129,Fields!$D$2:$D$206,1)),""),"")</f>
        <v/>
      </c>
    </row>
    <row r="1955">
      <c r="A1955" t="n">
        <v>1954</v>
      </c>
      <c r="B1955">
        <f>IFERROR(INDEX(RawBits!$A:$A,MATCH($A1955,RawBits!$H:$H,0)),"?")</f>
        <v/>
      </c>
      <c r="C1955">
        <f>IFERROR(INDEX(RawBits!$G:$G,MATCH($A1955,RawBits!$H:$H,0)),"")</f>
        <v/>
      </c>
      <c r="D1955">
        <f>IFERROR(IF(AND(A1955&gt;=129,A1955&lt;=2176),INDEX(Fields!$B$2:$B$206,MATCH(A1955-129,Fields!$D$2:$D$206,1)),""),"")</f>
        <v/>
      </c>
      <c r="E1955">
        <f>IFERROR(IF(AND(A1955&gt;=129,A1955&lt;=2176),INDEX(Fields!$C$2:$C$206,MATCH(A1955-129,Fields!$D$2:$D$206,1)),""),"")</f>
        <v/>
      </c>
    </row>
    <row r="1956">
      <c r="A1956" t="n">
        <v>1955</v>
      </c>
      <c r="B1956">
        <f>IFERROR(INDEX(RawBits!$A:$A,MATCH($A1956,RawBits!$H:$H,0)),"?")</f>
        <v/>
      </c>
      <c r="C1956">
        <f>IFERROR(INDEX(RawBits!$G:$G,MATCH($A1956,RawBits!$H:$H,0)),"")</f>
        <v/>
      </c>
      <c r="D1956">
        <f>IFERROR(IF(AND(A1956&gt;=129,A1956&lt;=2176),INDEX(Fields!$B$2:$B$206,MATCH(A1956-129,Fields!$D$2:$D$206,1)),""),"")</f>
        <v/>
      </c>
      <c r="E1956">
        <f>IFERROR(IF(AND(A1956&gt;=129,A1956&lt;=2176),INDEX(Fields!$C$2:$C$206,MATCH(A1956-129,Fields!$D$2:$D$206,1)),""),"")</f>
        <v/>
      </c>
    </row>
    <row r="1957">
      <c r="A1957" t="n">
        <v>1956</v>
      </c>
      <c r="B1957">
        <f>IFERROR(INDEX(RawBits!$A:$A,MATCH($A1957,RawBits!$H:$H,0)),"?")</f>
        <v/>
      </c>
      <c r="C1957">
        <f>IFERROR(INDEX(RawBits!$G:$G,MATCH($A1957,RawBits!$H:$H,0)),"")</f>
        <v/>
      </c>
      <c r="D1957">
        <f>IFERROR(IF(AND(A1957&gt;=129,A1957&lt;=2176),INDEX(Fields!$B$2:$B$206,MATCH(A1957-129,Fields!$D$2:$D$206,1)),""),"")</f>
        <v/>
      </c>
      <c r="E1957">
        <f>IFERROR(IF(AND(A1957&gt;=129,A1957&lt;=2176),INDEX(Fields!$C$2:$C$206,MATCH(A1957-129,Fields!$D$2:$D$206,1)),""),"")</f>
        <v/>
      </c>
    </row>
    <row r="1958">
      <c r="A1958" t="n">
        <v>1957</v>
      </c>
      <c r="B1958">
        <f>IFERROR(INDEX(RawBits!$A:$A,MATCH($A1958,RawBits!$H:$H,0)),"?")</f>
        <v/>
      </c>
      <c r="C1958">
        <f>IFERROR(INDEX(RawBits!$G:$G,MATCH($A1958,RawBits!$H:$H,0)),"")</f>
        <v/>
      </c>
      <c r="D1958">
        <f>IFERROR(IF(AND(A1958&gt;=129,A1958&lt;=2176),INDEX(Fields!$B$2:$B$206,MATCH(A1958-129,Fields!$D$2:$D$206,1)),""),"")</f>
        <v/>
      </c>
      <c r="E1958">
        <f>IFERROR(IF(AND(A1958&gt;=129,A1958&lt;=2176),INDEX(Fields!$C$2:$C$206,MATCH(A1958-129,Fields!$D$2:$D$206,1)),""),"")</f>
        <v/>
      </c>
    </row>
    <row r="1959">
      <c r="A1959" t="n">
        <v>1958</v>
      </c>
      <c r="B1959">
        <f>IFERROR(INDEX(RawBits!$A:$A,MATCH($A1959,RawBits!$H:$H,0)),"?")</f>
        <v/>
      </c>
      <c r="C1959">
        <f>IFERROR(INDEX(RawBits!$G:$G,MATCH($A1959,RawBits!$H:$H,0)),"")</f>
        <v/>
      </c>
      <c r="D1959">
        <f>IFERROR(IF(AND(A1959&gt;=129,A1959&lt;=2176),INDEX(Fields!$B$2:$B$206,MATCH(A1959-129,Fields!$D$2:$D$206,1)),""),"")</f>
        <v/>
      </c>
      <c r="E1959">
        <f>IFERROR(IF(AND(A1959&gt;=129,A1959&lt;=2176),INDEX(Fields!$C$2:$C$206,MATCH(A1959-129,Fields!$D$2:$D$206,1)),""),"")</f>
        <v/>
      </c>
    </row>
    <row r="1960">
      <c r="A1960" t="n">
        <v>1959</v>
      </c>
      <c r="B1960">
        <f>IFERROR(INDEX(RawBits!$A:$A,MATCH($A1960,RawBits!$H:$H,0)),"?")</f>
        <v/>
      </c>
      <c r="C1960">
        <f>IFERROR(INDEX(RawBits!$G:$G,MATCH($A1960,RawBits!$H:$H,0)),"")</f>
        <v/>
      </c>
      <c r="D1960">
        <f>IFERROR(IF(AND(A1960&gt;=129,A1960&lt;=2176),INDEX(Fields!$B$2:$B$206,MATCH(A1960-129,Fields!$D$2:$D$206,1)),""),"")</f>
        <v/>
      </c>
      <c r="E1960">
        <f>IFERROR(IF(AND(A1960&gt;=129,A1960&lt;=2176),INDEX(Fields!$C$2:$C$206,MATCH(A1960-129,Fields!$D$2:$D$206,1)),""),"")</f>
        <v/>
      </c>
    </row>
    <row r="1961">
      <c r="A1961" t="n">
        <v>1960</v>
      </c>
      <c r="B1961">
        <f>IFERROR(INDEX(RawBits!$A:$A,MATCH($A1961,RawBits!$H:$H,0)),"?")</f>
        <v/>
      </c>
      <c r="C1961">
        <f>IFERROR(INDEX(RawBits!$G:$G,MATCH($A1961,RawBits!$H:$H,0)),"")</f>
        <v/>
      </c>
      <c r="D1961">
        <f>IFERROR(IF(AND(A1961&gt;=129,A1961&lt;=2176),INDEX(Fields!$B$2:$B$206,MATCH(A1961-129,Fields!$D$2:$D$206,1)),""),"")</f>
        <v/>
      </c>
      <c r="E1961">
        <f>IFERROR(IF(AND(A1961&gt;=129,A1961&lt;=2176),INDEX(Fields!$C$2:$C$206,MATCH(A1961-129,Fields!$D$2:$D$206,1)),""),"")</f>
        <v/>
      </c>
    </row>
    <row r="1962">
      <c r="A1962" t="n">
        <v>1961</v>
      </c>
      <c r="B1962">
        <f>IFERROR(INDEX(RawBits!$A:$A,MATCH($A1962,RawBits!$H:$H,0)),"?")</f>
        <v/>
      </c>
      <c r="C1962">
        <f>IFERROR(INDEX(RawBits!$G:$G,MATCH($A1962,RawBits!$H:$H,0)),"")</f>
        <v/>
      </c>
      <c r="D1962">
        <f>IFERROR(IF(AND(A1962&gt;=129,A1962&lt;=2176),INDEX(Fields!$B$2:$B$206,MATCH(A1962-129,Fields!$D$2:$D$206,1)),""),"")</f>
        <v/>
      </c>
      <c r="E1962">
        <f>IFERROR(IF(AND(A1962&gt;=129,A1962&lt;=2176),INDEX(Fields!$C$2:$C$206,MATCH(A1962-129,Fields!$D$2:$D$206,1)),""),"")</f>
        <v/>
      </c>
    </row>
    <row r="1963">
      <c r="A1963" t="n">
        <v>1962</v>
      </c>
      <c r="B1963">
        <f>IFERROR(INDEX(RawBits!$A:$A,MATCH($A1963,RawBits!$H:$H,0)),"?")</f>
        <v/>
      </c>
      <c r="C1963">
        <f>IFERROR(INDEX(RawBits!$G:$G,MATCH($A1963,RawBits!$H:$H,0)),"")</f>
        <v/>
      </c>
      <c r="D1963">
        <f>IFERROR(IF(AND(A1963&gt;=129,A1963&lt;=2176),INDEX(Fields!$B$2:$B$206,MATCH(A1963-129,Fields!$D$2:$D$206,1)),""),"")</f>
        <v/>
      </c>
      <c r="E1963">
        <f>IFERROR(IF(AND(A1963&gt;=129,A1963&lt;=2176),INDEX(Fields!$C$2:$C$206,MATCH(A1963-129,Fields!$D$2:$D$206,1)),""),"")</f>
        <v/>
      </c>
    </row>
    <row r="1964">
      <c r="A1964" t="n">
        <v>1963</v>
      </c>
      <c r="B1964">
        <f>IFERROR(INDEX(RawBits!$A:$A,MATCH($A1964,RawBits!$H:$H,0)),"?")</f>
        <v/>
      </c>
      <c r="C1964">
        <f>IFERROR(INDEX(RawBits!$G:$G,MATCH($A1964,RawBits!$H:$H,0)),"")</f>
        <v/>
      </c>
      <c r="D1964">
        <f>IFERROR(IF(AND(A1964&gt;=129,A1964&lt;=2176),INDEX(Fields!$B$2:$B$206,MATCH(A1964-129,Fields!$D$2:$D$206,1)),""),"")</f>
        <v/>
      </c>
      <c r="E1964">
        <f>IFERROR(IF(AND(A1964&gt;=129,A1964&lt;=2176),INDEX(Fields!$C$2:$C$206,MATCH(A1964-129,Fields!$D$2:$D$206,1)),""),"")</f>
        <v/>
      </c>
    </row>
    <row r="1965">
      <c r="A1965" t="n">
        <v>1964</v>
      </c>
      <c r="B1965">
        <f>IFERROR(INDEX(RawBits!$A:$A,MATCH($A1965,RawBits!$H:$H,0)),"?")</f>
        <v/>
      </c>
      <c r="C1965">
        <f>IFERROR(INDEX(RawBits!$G:$G,MATCH($A1965,RawBits!$H:$H,0)),"")</f>
        <v/>
      </c>
      <c r="D1965">
        <f>IFERROR(IF(AND(A1965&gt;=129,A1965&lt;=2176),INDEX(Fields!$B$2:$B$206,MATCH(A1965-129,Fields!$D$2:$D$206,1)),""),"")</f>
        <v/>
      </c>
      <c r="E1965">
        <f>IFERROR(IF(AND(A1965&gt;=129,A1965&lt;=2176),INDEX(Fields!$C$2:$C$206,MATCH(A1965-129,Fields!$D$2:$D$206,1)),""),"")</f>
        <v/>
      </c>
    </row>
    <row r="1966">
      <c r="A1966" t="n">
        <v>1965</v>
      </c>
      <c r="B1966">
        <f>IFERROR(INDEX(RawBits!$A:$A,MATCH($A1966,RawBits!$H:$H,0)),"?")</f>
        <v/>
      </c>
      <c r="C1966">
        <f>IFERROR(INDEX(RawBits!$G:$G,MATCH($A1966,RawBits!$H:$H,0)),"")</f>
        <v/>
      </c>
      <c r="D1966">
        <f>IFERROR(IF(AND(A1966&gt;=129,A1966&lt;=2176),INDEX(Fields!$B$2:$B$206,MATCH(A1966-129,Fields!$D$2:$D$206,1)),""),"")</f>
        <v/>
      </c>
      <c r="E1966">
        <f>IFERROR(IF(AND(A1966&gt;=129,A1966&lt;=2176),INDEX(Fields!$C$2:$C$206,MATCH(A1966-129,Fields!$D$2:$D$206,1)),""),"")</f>
        <v/>
      </c>
    </row>
    <row r="1967">
      <c r="A1967" t="n">
        <v>1966</v>
      </c>
      <c r="B1967">
        <f>IFERROR(INDEX(RawBits!$A:$A,MATCH($A1967,RawBits!$H:$H,0)),"?")</f>
        <v/>
      </c>
      <c r="C1967">
        <f>IFERROR(INDEX(RawBits!$G:$G,MATCH($A1967,RawBits!$H:$H,0)),"")</f>
        <v/>
      </c>
      <c r="D1967">
        <f>IFERROR(IF(AND(A1967&gt;=129,A1967&lt;=2176),INDEX(Fields!$B$2:$B$206,MATCH(A1967-129,Fields!$D$2:$D$206,1)),""),"")</f>
        <v/>
      </c>
      <c r="E1967">
        <f>IFERROR(IF(AND(A1967&gt;=129,A1967&lt;=2176),INDEX(Fields!$C$2:$C$206,MATCH(A1967-129,Fields!$D$2:$D$206,1)),""),"")</f>
        <v/>
      </c>
    </row>
    <row r="1968">
      <c r="A1968" t="n">
        <v>1967</v>
      </c>
      <c r="B1968">
        <f>IFERROR(INDEX(RawBits!$A:$A,MATCH($A1968,RawBits!$H:$H,0)),"?")</f>
        <v/>
      </c>
      <c r="C1968">
        <f>IFERROR(INDEX(RawBits!$G:$G,MATCH($A1968,RawBits!$H:$H,0)),"")</f>
        <v/>
      </c>
      <c r="D1968">
        <f>IFERROR(IF(AND(A1968&gt;=129,A1968&lt;=2176),INDEX(Fields!$B$2:$B$206,MATCH(A1968-129,Fields!$D$2:$D$206,1)),""),"")</f>
        <v/>
      </c>
      <c r="E1968">
        <f>IFERROR(IF(AND(A1968&gt;=129,A1968&lt;=2176),INDEX(Fields!$C$2:$C$206,MATCH(A1968-129,Fields!$D$2:$D$206,1)),""),"")</f>
        <v/>
      </c>
    </row>
    <row r="1969">
      <c r="A1969" t="n">
        <v>1968</v>
      </c>
      <c r="B1969">
        <f>IFERROR(INDEX(RawBits!$A:$A,MATCH($A1969,RawBits!$H:$H,0)),"?")</f>
        <v/>
      </c>
      <c r="C1969">
        <f>IFERROR(INDEX(RawBits!$G:$G,MATCH($A1969,RawBits!$H:$H,0)),"")</f>
        <v/>
      </c>
      <c r="D1969">
        <f>IFERROR(IF(AND(A1969&gt;=129,A1969&lt;=2176),INDEX(Fields!$B$2:$B$206,MATCH(A1969-129,Fields!$D$2:$D$206,1)),""),"")</f>
        <v/>
      </c>
      <c r="E1969">
        <f>IFERROR(IF(AND(A1969&gt;=129,A1969&lt;=2176),INDEX(Fields!$C$2:$C$206,MATCH(A1969-129,Fields!$D$2:$D$206,1)),""),"")</f>
        <v/>
      </c>
    </row>
    <row r="1970">
      <c r="A1970" t="n">
        <v>1969</v>
      </c>
      <c r="B1970">
        <f>IFERROR(INDEX(RawBits!$A:$A,MATCH($A1970,RawBits!$H:$H,0)),"?")</f>
        <v/>
      </c>
      <c r="C1970">
        <f>IFERROR(INDEX(RawBits!$G:$G,MATCH($A1970,RawBits!$H:$H,0)),"")</f>
        <v/>
      </c>
      <c r="D1970">
        <f>IFERROR(IF(AND(A1970&gt;=129,A1970&lt;=2176),INDEX(Fields!$B$2:$B$206,MATCH(A1970-129,Fields!$D$2:$D$206,1)),""),"")</f>
        <v/>
      </c>
      <c r="E1970">
        <f>IFERROR(IF(AND(A1970&gt;=129,A1970&lt;=2176),INDEX(Fields!$C$2:$C$206,MATCH(A1970-129,Fields!$D$2:$D$206,1)),""),"")</f>
        <v/>
      </c>
    </row>
    <row r="1971">
      <c r="A1971" t="n">
        <v>1970</v>
      </c>
      <c r="B1971">
        <f>IFERROR(INDEX(RawBits!$A:$A,MATCH($A1971,RawBits!$H:$H,0)),"?")</f>
        <v/>
      </c>
      <c r="C1971">
        <f>IFERROR(INDEX(RawBits!$G:$G,MATCH($A1971,RawBits!$H:$H,0)),"")</f>
        <v/>
      </c>
      <c r="D1971">
        <f>IFERROR(IF(AND(A1971&gt;=129,A1971&lt;=2176),INDEX(Fields!$B$2:$B$206,MATCH(A1971-129,Fields!$D$2:$D$206,1)),""),"")</f>
        <v/>
      </c>
      <c r="E1971">
        <f>IFERROR(IF(AND(A1971&gt;=129,A1971&lt;=2176),INDEX(Fields!$C$2:$C$206,MATCH(A1971-129,Fields!$D$2:$D$206,1)),""),"")</f>
        <v/>
      </c>
    </row>
    <row r="1972">
      <c r="A1972" t="n">
        <v>1971</v>
      </c>
      <c r="B1972">
        <f>IFERROR(INDEX(RawBits!$A:$A,MATCH($A1972,RawBits!$H:$H,0)),"?")</f>
        <v/>
      </c>
      <c r="C1972">
        <f>IFERROR(INDEX(RawBits!$G:$G,MATCH($A1972,RawBits!$H:$H,0)),"")</f>
        <v/>
      </c>
      <c r="D1972">
        <f>IFERROR(IF(AND(A1972&gt;=129,A1972&lt;=2176),INDEX(Fields!$B$2:$B$206,MATCH(A1972-129,Fields!$D$2:$D$206,1)),""),"")</f>
        <v/>
      </c>
      <c r="E1972">
        <f>IFERROR(IF(AND(A1972&gt;=129,A1972&lt;=2176),INDEX(Fields!$C$2:$C$206,MATCH(A1972-129,Fields!$D$2:$D$206,1)),""),"")</f>
        <v/>
      </c>
    </row>
    <row r="1973">
      <c r="A1973" t="n">
        <v>1972</v>
      </c>
      <c r="B1973">
        <f>IFERROR(INDEX(RawBits!$A:$A,MATCH($A1973,RawBits!$H:$H,0)),"?")</f>
        <v/>
      </c>
      <c r="C1973">
        <f>IFERROR(INDEX(RawBits!$G:$G,MATCH($A1973,RawBits!$H:$H,0)),"")</f>
        <v/>
      </c>
      <c r="D1973">
        <f>IFERROR(IF(AND(A1973&gt;=129,A1973&lt;=2176),INDEX(Fields!$B$2:$B$206,MATCH(A1973-129,Fields!$D$2:$D$206,1)),""),"")</f>
        <v/>
      </c>
      <c r="E1973">
        <f>IFERROR(IF(AND(A1973&gt;=129,A1973&lt;=2176),INDEX(Fields!$C$2:$C$206,MATCH(A1973-129,Fields!$D$2:$D$206,1)),""),"")</f>
        <v/>
      </c>
    </row>
    <row r="1974">
      <c r="A1974" t="n">
        <v>1973</v>
      </c>
      <c r="B1974">
        <f>IFERROR(INDEX(RawBits!$A:$A,MATCH($A1974,RawBits!$H:$H,0)),"?")</f>
        <v/>
      </c>
      <c r="C1974">
        <f>IFERROR(INDEX(RawBits!$G:$G,MATCH($A1974,RawBits!$H:$H,0)),"")</f>
        <v/>
      </c>
      <c r="D1974">
        <f>IFERROR(IF(AND(A1974&gt;=129,A1974&lt;=2176),INDEX(Fields!$B$2:$B$206,MATCH(A1974-129,Fields!$D$2:$D$206,1)),""),"")</f>
        <v/>
      </c>
      <c r="E1974">
        <f>IFERROR(IF(AND(A1974&gt;=129,A1974&lt;=2176),INDEX(Fields!$C$2:$C$206,MATCH(A1974-129,Fields!$D$2:$D$206,1)),""),"")</f>
        <v/>
      </c>
    </row>
    <row r="1975">
      <c r="A1975" t="n">
        <v>1974</v>
      </c>
      <c r="B1975">
        <f>IFERROR(INDEX(RawBits!$A:$A,MATCH($A1975,RawBits!$H:$H,0)),"?")</f>
        <v/>
      </c>
      <c r="C1975">
        <f>IFERROR(INDEX(RawBits!$G:$G,MATCH($A1975,RawBits!$H:$H,0)),"")</f>
        <v/>
      </c>
      <c r="D1975">
        <f>IFERROR(IF(AND(A1975&gt;=129,A1975&lt;=2176),INDEX(Fields!$B$2:$B$206,MATCH(A1975-129,Fields!$D$2:$D$206,1)),""),"")</f>
        <v/>
      </c>
      <c r="E1975">
        <f>IFERROR(IF(AND(A1975&gt;=129,A1975&lt;=2176),INDEX(Fields!$C$2:$C$206,MATCH(A1975-129,Fields!$D$2:$D$206,1)),""),"")</f>
        <v/>
      </c>
    </row>
    <row r="1976">
      <c r="A1976" t="n">
        <v>1975</v>
      </c>
      <c r="B1976">
        <f>IFERROR(INDEX(RawBits!$A:$A,MATCH($A1976,RawBits!$H:$H,0)),"?")</f>
        <v/>
      </c>
      <c r="C1976">
        <f>IFERROR(INDEX(RawBits!$G:$G,MATCH($A1976,RawBits!$H:$H,0)),"")</f>
        <v/>
      </c>
      <c r="D1976">
        <f>IFERROR(IF(AND(A1976&gt;=129,A1976&lt;=2176),INDEX(Fields!$B$2:$B$206,MATCH(A1976-129,Fields!$D$2:$D$206,1)),""),"")</f>
        <v/>
      </c>
      <c r="E1976">
        <f>IFERROR(IF(AND(A1976&gt;=129,A1976&lt;=2176),INDEX(Fields!$C$2:$C$206,MATCH(A1976-129,Fields!$D$2:$D$206,1)),""),"")</f>
        <v/>
      </c>
    </row>
    <row r="1977">
      <c r="A1977" t="n">
        <v>1976</v>
      </c>
      <c r="B1977">
        <f>IFERROR(INDEX(RawBits!$A:$A,MATCH($A1977,RawBits!$H:$H,0)),"?")</f>
        <v/>
      </c>
      <c r="C1977">
        <f>IFERROR(INDEX(RawBits!$G:$G,MATCH($A1977,RawBits!$H:$H,0)),"")</f>
        <v/>
      </c>
      <c r="D1977">
        <f>IFERROR(IF(AND(A1977&gt;=129,A1977&lt;=2176),INDEX(Fields!$B$2:$B$206,MATCH(A1977-129,Fields!$D$2:$D$206,1)),""),"")</f>
        <v/>
      </c>
      <c r="E1977">
        <f>IFERROR(IF(AND(A1977&gt;=129,A1977&lt;=2176),INDEX(Fields!$C$2:$C$206,MATCH(A1977-129,Fields!$D$2:$D$206,1)),""),"")</f>
        <v/>
      </c>
    </row>
    <row r="1978">
      <c r="A1978" t="n">
        <v>1977</v>
      </c>
      <c r="B1978">
        <f>IFERROR(INDEX(RawBits!$A:$A,MATCH($A1978,RawBits!$H:$H,0)),"?")</f>
        <v/>
      </c>
      <c r="C1978">
        <f>IFERROR(INDEX(RawBits!$G:$G,MATCH($A1978,RawBits!$H:$H,0)),"")</f>
        <v/>
      </c>
      <c r="D1978">
        <f>IFERROR(IF(AND(A1978&gt;=129,A1978&lt;=2176),INDEX(Fields!$B$2:$B$206,MATCH(A1978-129,Fields!$D$2:$D$206,1)),""),"")</f>
        <v/>
      </c>
      <c r="E1978">
        <f>IFERROR(IF(AND(A1978&gt;=129,A1978&lt;=2176),INDEX(Fields!$C$2:$C$206,MATCH(A1978-129,Fields!$D$2:$D$206,1)),""),"")</f>
        <v/>
      </c>
    </row>
    <row r="1979">
      <c r="A1979" t="n">
        <v>1978</v>
      </c>
      <c r="B1979">
        <f>IFERROR(INDEX(RawBits!$A:$A,MATCH($A1979,RawBits!$H:$H,0)),"?")</f>
        <v/>
      </c>
      <c r="C1979">
        <f>IFERROR(INDEX(RawBits!$G:$G,MATCH($A1979,RawBits!$H:$H,0)),"")</f>
        <v/>
      </c>
      <c r="D1979">
        <f>IFERROR(IF(AND(A1979&gt;=129,A1979&lt;=2176),INDEX(Fields!$B$2:$B$206,MATCH(A1979-129,Fields!$D$2:$D$206,1)),""),"")</f>
        <v/>
      </c>
      <c r="E1979">
        <f>IFERROR(IF(AND(A1979&gt;=129,A1979&lt;=2176),INDEX(Fields!$C$2:$C$206,MATCH(A1979-129,Fields!$D$2:$D$206,1)),""),"")</f>
        <v/>
      </c>
    </row>
    <row r="1980">
      <c r="A1980" t="n">
        <v>1979</v>
      </c>
      <c r="B1980">
        <f>IFERROR(INDEX(RawBits!$A:$A,MATCH($A1980,RawBits!$H:$H,0)),"?")</f>
        <v/>
      </c>
      <c r="C1980">
        <f>IFERROR(INDEX(RawBits!$G:$G,MATCH($A1980,RawBits!$H:$H,0)),"")</f>
        <v/>
      </c>
      <c r="D1980">
        <f>IFERROR(IF(AND(A1980&gt;=129,A1980&lt;=2176),INDEX(Fields!$B$2:$B$206,MATCH(A1980-129,Fields!$D$2:$D$206,1)),""),"")</f>
        <v/>
      </c>
      <c r="E1980">
        <f>IFERROR(IF(AND(A1980&gt;=129,A1980&lt;=2176),INDEX(Fields!$C$2:$C$206,MATCH(A1980-129,Fields!$D$2:$D$206,1)),""),"")</f>
        <v/>
      </c>
    </row>
    <row r="1981">
      <c r="A1981" t="n">
        <v>1980</v>
      </c>
      <c r="B1981">
        <f>IFERROR(INDEX(RawBits!$A:$A,MATCH($A1981,RawBits!$H:$H,0)),"?")</f>
        <v/>
      </c>
      <c r="C1981">
        <f>IFERROR(INDEX(RawBits!$G:$G,MATCH($A1981,RawBits!$H:$H,0)),"")</f>
        <v/>
      </c>
      <c r="D1981">
        <f>IFERROR(IF(AND(A1981&gt;=129,A1981&lt;=2176),INDEX(Fields!$B$2:$B$206,MATCH(A1981-129,Fields!$D$2:$D$206,1)),""),"")</f>
        <v/>
      </c>
      <c r="E1981">
        <f>IFERROR(IF(AND(A1981&gt;=129,A1981&lt;=2176),INDEX(Fields!$C$2:$C$206,MATCH(A1981-129,Fields!$D$2:$D$206,1)),""),"")</f>
        <v/>
      </c>
    </row>
    <row r="1982">
      <c r="A1982" t="n">
        <v>1981</v>
      </c>
      <c r="B1982">
        <f>IFERROR(INDEX(RawBits!$A:$A,MATCH($A1982,RawBits!$H:$H,0)),"?")</f>
        <v/>
      </c>
      <c r="C1982">
        <f>IFERROR(INDEX(RawBits!$G:$G,MATCH($A1982,RawBits!$H:$H,0)),"")</f>
        <v/>
      </c>
      <c r="D1982">
        <f>IFERROR(IF(AND(A1982&gt;=129,A1982&lt;=2176),INDEX(Fields!$B$2:$B$206,MATCH(A1982-129,Fields!$D$2:$D$206,1)),""),"")</f>
        <v/>
      </c>
      <c r="E1982">
        <f>IFERROR(IF(AND(A1982&gt;=129,A1982&lt;=2176),INDEX(Fields!$C$2:$C$206,MATCH(A1982-129,Fields!$D$2:$D$206,1)),""),"")</f>
        <v/>
      </c>
    </row>
    <row r="1983">
      <c r="A1983" t="n">
        <v>1982</v>
      </c>
      <c r="B1983">
        <f>IFERROR(INDEX(RawBits!$A:$A,MATCH($A1983,RawBits!$H:$H,0)),"?")</f>
        <v/>
      </c>
      <c r="C1983">
        <f>IFERROR(INDEX(RawBits!$G:$G,MATCH($A1983,RawBits!$H:$H,0)),"")</f>
        <v/>
      </c>
      <c r="D1983">
        <f>IFERROR(IF(AND(A1983&gt;=129,A1983&lt;=2176),INDEX(Fields!$B$2:$B$206,MATCH(A1983-129,Fields!$D$2:$D$206,1)),""),"")</f>
        <v/>
      </c>
      <c r="E1983">
        <f>IFERROR(IF(AND(A1983&gt;=129,A1983&lt;=2176),INDEX(Fields!$C$2:$C$206,MATCH(A1983-129,Fields!$D$2:$D$206,1)),""),"")</f>
        <v/>
      </c>
    </row>
    <row r="1984">
      <c r="A1984" t="n">
        <v>1983</v>
      </c>
      <c r="B1984">
        <f>IFERROR(INDEX(RawBits!$A:$A,MATCH($A1984,RawBits!$H:$H,0)),"?")</f>
        <v/>
      </c>
      <c r="C1984">
        <f>IFERROR(INDEX(RawBits!$G:$G,MATCH($A1984,RawBits!$H:$H,0)),"")</f>
        <v/>
      </c>
      <c r="D1984">
        <f>IFERROR(IF(AND(A1984&gt;=129,A1984&lt;=2176),INDEX(Fields!$B$2:$B$206,MATCH(A1984-129,Fields!$D$2:$D$206,1)),""),"")</f>
        <v/>
      </c>
      <c r="E1984">
        <f>IFERROR(IF(AND(A1984&gt;=129,A1984&lt;=2176),INDEX(Fields!$C$2:$C$206,MATCH(A1984-129,Fields!$D$2:$D$206,1)),""),"")</f>
        <v/>
      </c>
    </row>
    <row r="1985">
      <c r="A1985" t="n">
        <v>1984</v>
      </c>
      <c r="B1985">
        <f>IFERROR(INDEX(RawBits!$A:$A,MATCH($A1985,RawBits!$H:$H,0)),"?")</f>
        <v/>
      </c>
      <c r="C1985">
        <f>IFERROR(INDEX(RawBits!$G:$G,MATCH($A1985,RawBits!$H:$H,0)),"")</f>
        <v/>
      </c>
      <c r="D1985">
        <f>IFERROR(IF(AND(A1985&gt;=129,A1985&lt;=2176),INDEX(Fields!$B$2:$B$206,MATCH(A1985-129,Fields!$D$2:$D$206,1)),""),"")</f>
        <v/>
      </c>
      <c r="E1985">
        <f>IFERROR(IF(AND(A1985&gt;=129,A1985&lt;=2176),INDEX(Fields!$C$2:$C$206,MATCH(A1985-129,Fields!$D$2:$D$206,1)),""),"")</f>
        <v/>
      </c>
    </row>
    <row r="1986">
      <c r="A1986" t="n">
        <v>1985</v>
      </c>
      <c r="B1986">
        <f>IFERROR(INDEX(RawBits!$A:$A,MATCH($A1986,RawBits!$H:$H,0)),"?")</f>
        <v/>
      </c>
      <c r="C1986">
        <f>IFERROR(INDEX(RawBits!$G:$G,MATCH($A1986,RawBits!$H:$H,0)),"")</f>
        <v/>
      </c>
      <c r="D1986">
        <f>IFERROR(IF(AND(A1986&gt;=129,A1986&lt;=2176),INDEX(Fields!$B$2:$B$206,MATCH(A1986-129,Fields!$D$2:$D$206,1)),""),"")</f>
        <v/>
      </c>
      <c r="E1986">
        <f>IFERROR(IF(AND(A1986&gt;=129,A1986&lt;=2176),INDEX(Fields!$C$2:$C$206,MATCH(A1986-129,Fields!$D$2:$D$206,1)),""),"")</f>
        <v/>
      </c>
    </row>
    <row r="1987">
      <c r="A1987" t="n">
        <v>1986</v>
      </c>
      <c r="B1987">
        <f>IFERROR(INDEX(RawBits!$A:$A,MATCH($A1987,RawBits!$H:$H,0)),"?")</f>
        <v/>
      </c>
      <c r="C1987">
        <f>IFERROR(INDEX(RawBits!$G:$G,MATCH($A1987,RawBits!$H:$H,0)),"")</f>
        <v/>
      </c>
      <c r="D1987">
        <f>IFERROR(IF(AND(A1987&gt;=129,A1987&lt;=2176),INDEX(Fields!$B$2:$B$206,MATCH(A1987-129,Fields!$D$2:$D$206,1)),""),"")</f>
        <v/>
      </c>
      <c r="E1987">
        <f>IFERROR(IF(AND(A1987&gt;=129,A1987&lt;=2176),INDEX(Fields!$C$2:$C$206,MATCH(A1987-129,Fields!$D$2:$D$206,1)),""),"")</f>
        <v/>
      </c>
    </row>
    <row r="1988">
      <c r="A1988" t="n">
        <v>1987</v>
      </c>
      <c r="B1988">
        <f>IFERROR(INDEX(RawBits!$A:$A,MATCH($A1988,RawBits!$H:$H,0)),"?")</f>
        <v/>
      </c>
      <c r="C1988">
        <f>IFERROR(INDEX(RawBits!$G:$G,MATCH($A1988,RawBits!$H:$H,0)),"")</f>
        <v/>
      </c>
      <c r="D1988">
        <f>IFERROR(IF(AND(A1988&gt;=129,A1988&lt;=2176),INDEX(Fields!$B$2:$B$206,MATCH(A1988-129,Fields!$D$2:$D$206,1)),""),"")</f>
        <v/>
      </c>
      <c r="E1988">
        <f>IFERROR(IF(AND(A1988&gt;=129,A1988&lt;=2176),INDEX(Fields!$C$2:$C$206,MATCH(A1988-129,Fields!$D$2:$D$206,1)),""),"")</f>
        <v/>
      </c>
    </row>
    <row r="1989">
      <c r="A1989" t="n">
        <v>1988</v>
      </c>
      <c r="B1989">
        <f>IFERROR(INDEX(RawBits!$A:$A,MATCH($A1989,RawBits!$H:$H,0)),"?")</f>
        <v/>
      </c>
      <c r="C1989">
        <f>IFERROR(INDEX(RawBits!$G:$G,MATCH($A1989,RawBits!$H:$H,0)),"")</f>
        <v/>
      </c>
      <c r="D1989">
        <f>IFERROR(IF(AND(A1989&gt;=129,A1989&lt;=2176),INDEX(Fields!$B$2:$B$206,MATCH(A1989-129,Fields!$D$2:$D$206,1)),""),"")</f>
        <v/>
      </c>
      <c r="E1989">
        <f>IFERROR(IF(AND(A1989&gt;=129,A1989&lt;=2176),INDEX(Fields!$C$2:$C$206,MATCH(A1989-129,Fields!$D$2:$D$206,1)),""),"")</f>
        <v/>
      </c>
    </row>
    <row r="1990">
      <c r="A1990" t="n">
        <v>1989</v>
      </c>
      <c r="B1990">
        <f>IFERROR(INDEX(RawBits!$A:$A,MATCH($A1990,RawBits!$H:$H,0)),"?")</f>
        <v/>
      </c>
      <c r="C1990">
        <f>IFERROR(INDEX(RawBits!$G:$G,MATCH($A1990,RawBits!$H:$H,0)),"")</f>
        <v/>
      </c>
      <c r="D1990">
        <f>IFERROR(IF(AND(A1990&gt;=129,A1990&lt;=2176),INDEX(Fields!$B$2:$B$206,MATCH(A1990-129,Fields!$D$2:$D$206,1)),""),"")</f>
        <v/>
      </c>
      <c r="E1990">
        <f>IFERROR(IF(AND(A1990&gt;=129,A1990&lt;=2176),INDEX(Fields!$C$2:$C$206,MATCH(A1990-129,Fields!$D$2:$D$206,1)),""),"")</f>
        <v/>
      </c>
    </row>
    <row r="1991">
      <c r="A1991" t="n">
        <v>1990</v>
      </c>
      <c r="B1991">
        <f>IFERROR(INDEX(RawBits!$A:$A,MATCH($A1991,RawBits!$H:$H,0)),"?")</f>
        <v/>
      </c>
      <c r="C1991">
        <f>IFERROR(INDEX(RawBits!$G:$G,MATCH($A1991,RawBits!$H:$H,0)),"")</f>
        <v/>
      </c>
      <c r="D1991">
        <f>IFERROR(IF(AND(A1991&gt;=129,A1991&lt;=2176),INDEX(Fields!$B$2:$B$206,MATCH(A1991-129,Fields!$D$2:$D$206,1)),""),"")</f>
        <v/>
      </c>
      <c r="E1991">
        <f>IFERROR(IF(AND(A1991&gt;=129,A1991&lt;=2176),INDEX(Fields!$C$2:$C$206,MATCH(A1991-129,Fields!$D$2:$D$206,1)),""),"")</f>
        <v/>
      </c>
    </row>
    <row r="1992">
      <c r="A1992" t="n">
        <v>1991</v>
      </c>
      <c r="B1992">
        <f>IFERROR(INDEX(RawBits!$A:$A,MATCH($A1992,RawBits!$H:$H,0)),"?")</f>
        <v/>
      </c>
      <c r="C1992">
        <f>IFERROR(INDEX(RawBits!$G:$G,MATCH($A1992,RawBits!$H:$H,0)),"")</f>
        <v/>
      </c>
      <c r="D1992">
        <f>IFERROR(IF(AND(A1992&gt;=129,A1992&lt;=2176),INDEX(Fields!$B$2:$B$206,MATCH(A1992-129,Fields!$D$2:$D$206,1)),""),"")</f>
        <v/>
      </c>
      <c r="E1992">
        <f>IFERROR(IF(AND(A1992&gt;=129,A1992&lt;=2176),INDEX(Fields!$C$2:$C$206,MATCH(A1992-129,Fields!$D$2:$D$206,1)),""),"")</f>
        <v/>
      </c>
    </row>
    <row r="1993">
      <c r="A1993" t="n">
        <v>1992</v>
      </c>
      <c r="B1993">
        <f>IFERROR(INDEX(RawBits!$A:$A,MATCH($A1993,RawBits!$H:$H,0)),"?")</f>
        <v/>
      </c>
      <c r="C1993">
        <f>IFERROR(INDEX(RawBits!$G:$G,MATCH($A1993,RawBits!$H:$H,0)),"")</f>
        <v/>
      </c>
      <c r="D1993">
        <f>IFERROR(IF(AND(A1993&gt;=129,A1993&lt;=2176),INDEX(Fields!$B$2:$B$206,MATCH(A1993-129,Fields!$D$2:$D$206,1)),""),"")</f>
        <v/>
      </c>
      <c r="E1993">
        <f>IFERROR(IF(AND(A1993&gt;=129,A1993&lt;=2176),INDEX(Fields!$C$2:$C$206,MATCH(A1993-129,Fields!$D$2:$D$206,1)),""),"")</f>
        <v/>
      </c>
    </row>
    <row r="1994">
      <c r="A1994" t="n">
        <v>1993</v>
      </c>
      <c r="B1994">
        <f>IFERROR(INDEX(RawBits!$A:$A,MATCH($A1994,RawBits!$H:$H,0)),"?")</f>
        <v/>
      </c>
      <c r="C1994">
        <f>IFERROR(INDEX(RawBits!$G:$G,MATCH($A1994,RawBits!$H:$H,0)),"")</f>
        <v/>
      </c>
      <c r="D1994">
        <f>IFERROR(IF(AND(A1994&gt;=129,A1994&lt;=2176),INDEX(Fields!$B$2:$B$206,MATCH(A1994-129,Fields!$D$2:$D$206,1)),""),"")</f>
        <v/>
      </c>
      <c r="E1994">
        <f>IFERROR(IF(AND(A1994&gt;=129,A1994&lt;=2176),INDEX(Fields!$C$2:$C$206,MATCH(A1994-129,Fields!$D$2:$D$206,1)),""),"")</f>
        <v/>
      </c>
    </row>
    <row r="1995">
      <c r="A1995" t="n">
        <v>1994</v>
      </c>
      <c r="B1995">
        <f>IFERROR(INDEX(RawBits!$A:$A,MATCH($A1995,RawBits!$H:$H,0)),"?")</f>
        <v/>
      </c>
      <c r="C1995">
        <f>IFERROR(INDEX(RawBits!$G:$G,MATCH($A1995,RawBits!$H:$H,0)),"")</f>
        <v/>
      </c>
      <c r="D1995">
        <f>IFERROR(IF(AND(A1995&gt;=129,A1995&lt;=2176),INDEX(Fields!$B$2:$B$206,MATCH(A1995-129,Fields!$D$2:$D$206,1)),""),"")</f>
        <v/>
      </c>
      <c r="E1995">
        <f>IFERROR(IF(AND(A1995&gt;=129,A1995&lt;=2176),INDEX(Fields!$C$2:$C$206,MATCH(A1995-129,Fields!$D$2:$D$206,1)),""),"")</f>
        <v/>
      </c>
    </row>
    <row r="1996">
      <c r="A1996" t="n">
        <v>1995</v>
      </c>
      <c r="B1996">
        <f>IFERROR(INDEX(RawBits!$A:$A,MATCH($A1996,RawBits!$H:$H,0)),"?")</f>
        <v/>
      </c>
      <c r="C1996">
        <f>IFERROR(INDEX(RawBits!$G:$G,MATCH($A1996,RawBits!$H:$H,0)),"")</f>
        <v/>
      </c>
      <c r="D1996">
        <f>IFERROR(IF(AND(A1996&gt;=129,A1996&lt;=2176),INDEX(Fields!$B$2:$B$206,MATCH(A1996-129,Fields!$D$2:$D$206,1)),""),"")</f>
        <v/>
      </c>
      <c r="E1996">
        <f>IFERROR(IF(AND(A1996&gt;=129,A1996&lt;=2176),INDEX(Fields!$C$2:$C$206,MATCH(A1996-129,Fields!$D$2:$D$206,1)),""),"")</f>
        <v/>
      </c>
    </row>
    <row r="1997">
      <c r="A1997" t="n">
        <v>1996</v>
      </c>
      <c r="B1997">
        <f>IFERROR(INDEX(RawBits!$A:$A,MATCH($A1997,RawBits!$H:$H,0)),"?")</f>
        <v/>
      </c>
      <c r="C1997">
        <f>IFERROR(INDEX(RawBits!$G:$G,MATCH($A1997,RawBits!$H:$H,0)),"")</f>
        <v/>
      </c>
      <c r="D1997">
        <f>IFERROR(IF(AND(A1997&gt;=129,A1997&lt;=2176),INDEX(Fields!$B$2:$B$206,MATCH(A1997-129,Fields!$D$2:$D$206,1)),""),"")</f>
        <v/>
      </c>
      <c r="E1997">
        <f>IFERROR(IF(AND(A1997&gt;=129,A1997&lt;=2176),INDEX(Fields!$C$2:$C$206,MATCH(A1997-129,Fields!$D$2:$D$206,1)),""),"")</f>
        <v/>
      </c>
    </row>
    <row r="1998">
      <c r="A1998" t="n">
        <v>1997</v>
      </c>
      <c r="B1998">
        <f>IFERROR(INDEX(RawBits!$A:$A,MATCH($A1998,RawBits!$H:$H,0)),"?")</f>
        <v/>
      </c>
      <c r="C1998">
        <f>IFERROR(INDEX(RawBits!$G:$G,MATCH($A1998,RawBits!$H:$H,0)),"")</f>
        <v/>
      </c>
      <c r="D1998">
        <f>IFERROR(IF(AND(A1998&gt;=129,A1998&lt;=2176),INDEX(Fields!$B$2:$B$206,MATCH(A1998-129,Fields!$D$2:$D$206,1)),""),"")</f>
        <v/>
      </c>
      <c r="E1998">
        <f>IFERROR(IF(AND(A1998&gt;=129,A1998&lt;=2176),INDEX(Fields!$C$2:$C$206,MATCH(A1998-129,Fields!$D$2:$D$206,1)),""),"")</f>
        <v/>
      </c>
    </row>
    <row r="1999">
      <c r="A1999" t="n">
        <v>1998</v>
      </c>
      <c r="B1999">
        <f>IFERROR(INDEX(RawBits!$A:$A,MATCH($A1999,RawBits!$H:$H,0)),"?")</f>
        <v/>
      </c>
      <c r="C1999">
        <f>IFERROR(INDEX(RawBits!$G:$G,MATCH($A1999,RawBits!$H:$H,0)),"")</f>
        <v/>
      </c>
      <c r="D1999">
        <f>IFERROR(IF(AND(A1999&gt;=129,A1999&lt;=2176),INDEX(Fields!$B$2:$B$206,MATCH(A1999-129,Fields!$D$2:$D$206,1)),""),"")</f>
        <v/>
      </c>
      <c r="E1999">
        <f>IFERROR(IF(AND(A1999&gt;=129,A1999&lt;=2176),INDEX(Fields!$C$2:$C$206,MATCH(A1999-129,Fields!$D$2:$D$206,1)),""),"")</f>
        <v/>
      </c>
    </row>
    <row r="2000">
      <c r="A2000" t="n">
        <v>1999</v>
      </c>
      <c r="B2000">
        <f>IFERROR(INDEX(RawBits!$A:$A,MATCH($A2000,RawBits!$H:$H,0)),"?")</f>
        <v/>
      </c>
      <c r="C2000">
        <f>IFERROR(INDEX(RawBits!$G:$G,MATCH($A2000,RawBits!$H:$H,0)),"")</f>
        <v/>
      </c>
      <c r="D2000">
        <f>IFERROR(IF(AND(A2000&gt;=129,A2000&lt;=2176),INDEX(Fields!$B$2:$B$206,MATCH(A2000-129,Fields!$D$2:$D$206,1)),""),"")</f>
        <v/>
      </c>
      <c r="E2000">
        <f>IFERROR(IF(AND(A2000&gt;=129,A2000&lt;=2176),INDEX(Fields!$C$2:$C$206,MATCH(A2000-129,Fields!$D$2:$D$206,1)),""),"")</f>
        <v/>
      </c>
    </row>
    <row r="2001">
      <c r="A2001" t="n">
        <v>2000</v>
      </c>
      <c r="B2001">
        <f>IFERROR(INDEX(RawBits!$A:$A,MATCH($A2001,RawBits!$H:$H,0)),"?")</f>
        <v/>
      </c>
      <c r="C2001">
        <f>IFERROR(INDEX(RawBits!$G:$G,MATCH($A2001,RawBits!$H:$H,0)),"")</f>
        <v/>
      </c>
      <c r="D2001">
        <f>IFERROR(IF(AND(A2001&gt;=129,A2001&lt;=2176),INDEX(Fields!$B$2:$B$206,MATCH(A2001-129,Fields!$D$2:$D$206,1)),""),"")</f>
        <v/>
      </c>
      <c r="E2001">
        <f>IFERROR(IF(AND(A2001&gt;=129,A2001&lt;=2176),INDEX(Fields!$C$2:$C$206,MATCH(A2001-129,Fields!$D$2:$D$206,1)),""),"")</f>
        <v/>
      </c>
    </row>
    <row r="2002">
      <c r="A2002" t="n">
        <v>2001</v>
      </c>
      <c r="B2002">
        <f>IFERROR(INDEX(RawBits!$A:$A,MATCH($A2002,RawBits!$H:$H,0)),"?")</f>
        <v/>
      </c>
      <c r="C2002">
        <f>IFERROR(INDEX(RawBits!$G:$G,MATCH($A2002,RawBits!$H:$H,0)),"")</f>
        <v/>
      </c>
      <c r="D2002">
        <f>IFERROR(IF(AND(A2002&gt;=129,A2002&lt;=2176),INDEX(Fields!$B$2:$B$206,MATCH(A2002-129,Fields!$D$2:$D$206,1)),""),"")</f>
        <v/>
      </c>
      <c r="E2002">
        <f>IFERROR(IF(AND(A2002&gt;=129,A2002&lt;=2176),INDEX(Fields!$C$2:$C$206,MATCH(A2002-129,Fields!$D$2:$D$206,1)),""),"")</f>
        <v/>
      </c>
    </row>
    <row r="2003">
      <c r="A2003" t="n">
        <v>2002</v>
      </c>
      <c r="B2003">
        <f>IFERROR(INDEX(RawBits!$A:$A,MATCH($A2003,RawBits!$H:$H,0)),"?")</f>
        <v/>
      </c>
      <c r="C2003">
        <f>IFERROR(INDEX(RawBits!$G:$G,MATCH($A2003,RawBits!$H:$H,0)),"")</f>
        <v/>
      </c>
      <c r="D2003">
        <f>IFERROR(IF(AND(A2003&gt;=129,A2003&lt;=2176),INDEX(Fields!$B$2:$B$206,MATCH(A2003-129,Fields!$D$2:$D$206,1)),""),"")</f>
        <v/>
      </c>
      <c r="E2003">
        <f>IFERROR(IF(AND(A2003&gt;=129,A2003&lt;=2176),INDEX(Fields!$C$2:$C$206,MATCH(A2003-129,Fields!$D$2:$D$206,1)),""),"")</f>
        <v/>
      </c>
    </row>
    <row r="2004">
      <c r="A2004" t="n">
        <v>2003</v>
      </c>
      <c r="B2004">
        <f>IFERROR(INDEX(RawBits!$A:$A,MATCH($A2004,RawBits!$H:$H,0)),"?")</f>
        <v/>
      </c>
      <c r="C2004">
        <f>IFERROR(INDEX(RawBits!$G:$G,MATCH($A2004,RawBits!$H:$H,0)),"")</f>
        <v/>
      </c>
      <c r="D2004">
        <f>IFERROR(IF(AND(A2004&gt;=129,A2004&lt;=2176),INDEX(Fields!$B$2:$B$206,MATCH(A2004-129,Fields!$D$2:$D$206,1)),""),"")</f>
        <v/>
      </c>
      <c r="E2004">
        <f>IFERROR(IF(AND(A2004&gt;=129,A2004&lt;=2176),INDEX(Fields!$C$2:$C$206,MATCH(A2004-129,Fields!$D$2:$D$206,1)),""),"")</f>
        <v/>
      </c>
    </row>
    <row r="2005">
      <c r="A2005" t="n">
        <v>2004</v>
      </c>
      <c r="B2005">
        <f>IFERROR(INDEX(RawBits!$A:$A,MATCH($A2005,RawBits!$H:$H,0)),"?")</f>
        <v/>
      </c>
      <c r="C2005">
        <f>IFERROR(INDEX(RawBits!$G:$G,MATCH($A2005,RawBits!$H:$H,0)),"")</f>
        <v/>
      </c>
      <c r="D2005">
        <f>IFERROR(IF(AND(A2005&gt;=129,A2005&lt;=2176),INDEX(Fields!$B$2:$B$206,MATCH(A2005-129,Fields!$D$2:$D$206,1)),""),"")</f>
        <v/>
      </c>
      <c r="E2005">
        <f>IFERROR(IF(AND(A2005&gt;=129,A2005&lt;=2176),INDEX(Fields!$C$2:$C$206,MATCH(A2005-129,Fields!$D$2:$D$206,1)),""),"")</f>
        <v/>
      </c>
    </row>
    <row r="2006">
      <c r="A2006" t="n">
        <v>2005</v>
      </c>
      <c r="B2006">
        <f>IFERROR(INDEX(RawBits!$A:$A,MATCH($A2006,RawBits!$H:$H,0)),"?")</f>
        <v/>
      </c>
      <c r="C2006">
        <f>IFERROR(INDEX(RawBits!$G:$G,MATCH($A2006,RawBits!$H:$H,0)),"")</f>
        <v/>
      </c>
      <c r="D2006">
        <f>IFERROR(IF(AND(A2006&gt;=129,A2006&lt;=2176),INDEX(Fields!$B$2:$B$206,MATCH(A2006-129,Fields!$D$2:$D$206,1)),""),"")</f>
        <v/>
      </c>
      <c r="E2006">
        <f>IFERROR(IF(AND(A2006&gt;=129,A2006&lt;=2176),INDEX(Fields!$C$2:$C$206,MATCH(A2006-129,Fields!$D$2:$D$206,1)),""),"")</f>
        <v/>
      </c>
    </row>
    <row r="2007">
      <c r="A2007" t="n">
        <v>2006</v>
      </c>
      <c r="B2007">
        <f>IFERROR(INDEX(RawBits!$A:$A,MATCH($A2007,RawBits!$H:$H,0)),"?")</f>
        <v/>
      </c>
      <c r="C2007">
        <f>IFERROR(INDEX(RawBits!$G:$G,MATCH($A2007,RawBits!$H:$H,0)),"")</f>
        <v/>
      </c>
      <c r="D2007">
        <f>IFERROR(IF(AND(A2007&gt;=129,A2007&lt;=2176),INDEX(Fields!$B$2:$B$206,MATCH(A2007-129,Fields!$D$2:$D$206,1)),""),"")</f>
        <v/>
      </c>
      <c r="E2007">
        <f>IFERROR(IF(AND(A2007&gt;=129,A2007&lt;=2176),INDEX(Fields!$C$2:$C$206,MATCH(A2007-129,Fields!$D$2:$D$206,1)),""),"")</f>
        <v/>
      </c>
    </row>
    <row r="2008">
      <c r="A2008" t="n">
        <v>2007</v>
      </c>
      <c r="B2008">
        <f>IFERROR(INDEX(RawBits!$A:$A,MATCH($A2008,RawBits!$H:$H,0)),"?")</f>
        <v/>
      </c>
      <c r="C2008">
        <f>IFERROR(INDEX(RawBits!$G:$G,MATCH($A2008,RawBits!$H:$H,0)),"")</f>
        <v/>
      </c>
      <c r="D2008">
        <f>IFERROR(IF(AND(A2008&gt;=129,A2008&lt;=2176),INDEX(Fields!$B$2:$B$206,MATCH(A2008-129,Fields!$D$2:$D$206,1)),""),"")</f>
        <v/>
      </c>
      <c r="E2008">
        <f>IFERROR(IF(AND(A2008&gt;=129,A2008&lt;=2176),INDEX(Fields!$C$2:$C$206,MATCH(A2008-129,Fields!$D$2:$D$206,1)),""),"")</f>
        <v/>
      </c>
    </row>
    <row r="2009">
      <c r="A2009" t="n">
        <v>2008</v>
      </c>
      <c r="B2009">
        <f>IFERROR(INDEX(RawBits!$A:$A,MATCH($A2009,RawBits!$H:$H,0)),"?")</f>
        <v/>
      </c>
      <c r="C2009">
        <f>IFERROR(INDEX(RawBits!$G:$G,MATCH($A2009,RawBits!$H:$H,0)),"")</f>
        <v/>
      </c>
      <c r="D2009">
        <f>IFERROR(IF(AND(A2009&gt;=129,A2009&lt;=2176),INDEX(Fields!$B$2:$B$206,MATCH(A2009-129,Fields!$D$2:$D$206,1)),""),"")</f>
        <v/>
      </c>
      <c r="E2009">
        <f>IFERROR(IF(AND(A2009&gt;=129,A2009&lt;=2176),INDEX(Fields!$C$2:$C$206,MATCH(A2009-129,Fields!$D$2:$D$206,1)),""),"")</f>
        <v/>
      </c>
    </row>
    <row r="2010">
      <c r="A2010" t="n">
        <v>2009</v>
      </c>
      <c r="B2010">
        <f>IFERROR(INDEX(RawBits!$A:$A,MATCH($A2010,RawBits!$H:$H,0)),"?")</f>
        <v/>
      </c>
      <c r="C2010">
        <f>IFERROR(INDEX(RawBits!$G:$G,MATCH($A2010,RawBits!$H:$H,0)),"")</f>
        <v/>
      </c>
      <c r="D2010">
        <f>IFERROR(IF(AND(A2010&gt;=129,A2010&lt;=2176),INDEX(Fields!$B$2:$B$206,MATCH(A2010-129,Fields!$D$2:$D$206,1)),""),"")</f>
        <v/>
      </c>
      <c r="E2010">
        <f>IFERROR(IF(AND(A2010&gt;=129,A2010&lt;=2176),INDEX(Fields!$C$2:$C$206,MATCH(A2010-129,Fields!$D$2:$D$206,1)),""),"")</f>
        <v/>
      </c>
    </row>
    <row r="2011">
      <c r="A2011" t="n">
        <v>2010</v>
      </c>
      <c r="B2011">
        <f>IFERROR(INDEX(RawBits!$A:$A,MATCH($A2011,RawBits!$H:$H,0)),"?")</f>
        <v/>
      </c>
      <c r="C2011">
        <f>IFERROR(INDEX(RawBits!$G:$G,MATCH($A2011,RawBits!$H:$H,0)),"")</f>
        <v/>
      </c>
      <c r="D2011">
        <f>IFERROR(IF(AND(A2011&gt;=129,A2011&lt;=2176),INDEX(Fields!$B$2:$B$206,MATCH(A2011-129,Fields!$D$2:$D$206,1)),""),"")</f>
        <v/>
      </c>
      <c r="E2011">
        <f>IFERROR(IF(AND(A2011&gt;=129,A2011&lt;=2176),INDEX(Fields!$C$2:$C$206,MATCH(A2011-129,Fields!$D$2:$D$206,1)),""),"")</f>
        <v/>
      </c>
    </row>
    <row r="2012">
      <c r="A2012" t="n">
        <v>2011</v>
      </c>
      <c r="B2012">
        <f>IFERROR(INDEX(RawBits!$A:$A,MATCH($A2012,RawBits!$H:$H,0)),"?")</f>
        <v/>
      </c>
      <c r="C2012">
        <f>IFERROR(INDEX(RawBits!$G:$G,MATCH($A2012,RawBits!$H:$H,0)),"")</f>
        <v/>
      </c>
      <c r="D2012">
        <f>IFERROR(IF(AND(A2012&gt;=129,A2012&lt;=2176),INDEX(Fields!$B$2:$B$206,MATCH(A2012-129,Fields!$D$2:$D$206,1)),""),"")</f>
        <v/>
      </c>
      <c r="E2012">
        <f>IFERROR(IF(AND(A2012&gt;=129,A2012&lt;=2176),INDEX(Fields!$C$2:$C$206,MATCH(A2012-129,Fields!$D$2:$D$206,1)),""),"")</f>
        <v/>
      </c>
    </row>
    <row r="2013">
      <c r="A2013" t="n">
        <v>2012</v>
      </c>
      <c r="B2013">
        <f>IFERROR(INDEX(RawBits!$A:$A,MATCH($A2013,RawBits!$H:$H,0)),"?")</f>
        <v/>
      </c>
      <c r="C2013">
        <f>IFERROR(INDEX(RawBits!$G:$G,MATCH($A2013,RawBits!$H:$H,0)),"")</f>
        <v/>
      </c>
      <c r="D2013">
        <f>IFERROR(IF(AND(A2013&gt;=129,A2013&lt;=2176),INDEX(Fields!$B$2:$B$206,MATCH(A2013-129,Fields!$D$2:$D$206,1)),""),"")</f>
        <v/>
      </c>
      <c r="E2013">
        <f>IFERROR(IF(AND(A2013&gt;=129,A2013&lt;=2176),INDEX(Fields!$C$2:$C$206,MATCH(A2013-129,Fields!$D$2:$D$206,1)),""),"")</f>
        <v/>
      </c>
    </row>
    <row r="2014">
      <c r="A2014" t="n">
        <v>2013</v>
      </c>
      <c r="B2014">
        <f>IFERROR(INDEX(RawBits!$A:$A,MATCH($A2014,RawBits!$H:$H,0)),"?")</f>
        <v/>
      </c>
      <c r="C2014">
        <f>IFERROR(INDEX(RawBits!$G:$G,MATCH($A2014,RawBits!$H:$H,0)),"")</f>
        <v/>
      </c>
      <c r="D2014">
        <f>IFERROR(IF(AND(A2014&gt;=129,A2014&lt;=2176),INDEX(Fields!$B$2:$B$206,MATCH(A2014-129,Fields!$D$2:$D$206,1)),""),"")</f>
        <v/>
      </c>
      <c r="E2014">
        <f>IFERROR(IF(AND(A2014&gt;=129,A2014&lt;=2176),INDEX(Fields!$C$2:$C$206,MATCH(A2014-129,Fields!$D$2:$D$206,1)),""),"")</f>
        <v/>
      </c>
    </row>
    <row r="2015">
      <c r="A2015" t="n">
        <v>2014</v>
      </c>
      <c r="B2015">
        <f>IFERROR(INDEX(RawBits!$A:$A,MATCH($A2015,RawBits!$H:$H,0)),"?")</f>
        <v/>
      </c>
      <c r="C2015">
        <f>IFERROR(INDEX(RawBits!$G:$G,MATCH($A2015,RawBits!$H:$H,0)),"")</f>
        <v/>
      </c>
      <c r="D2015">
        <f>IFERROR(IF(AND(A2015&gt;=129,A2015&lt;=2176),INDEX(Fields!$B$2:$B$206,MATCH(A2015-129,Fields!$D$2:$D$206,1)),""),"")</f>
        <v/>
      </c>
      <c r="E2015">
        <f>IFERROR(IF(AND(A2015&gt;=129,A2015&lt;=2176),INDEX(Fields!$C$2:$C$206,MATCH(A2015-129,Fields!$D$2:$D$206,1)),""),"")</f>
        <v/>
      </c>
    </row>
    <row r="2016">
      <c r="A2016" t="n">
        <v>2015</v>
      </c>
      <c r="B2016">
        <f>IFERROR(INDEX(RawBits!$A:$A,MATCH($A2016,RawBits!$H:$H,0)),"?")</f>
        <v/>
      </c>
      <c r="C2016">
        <f>IFERROR(INDEX(RawBits!$G:$G,MATCH($A2016,RawBits!$H:$H,0)),"")</f>
        <v/>
      </c>
      <c r="D2016">
        <f>IFERROR(IF(AND(A2016&gt;=129,A2016&lt;=2176),INDEX(Fields!$B$2:$B$206,MATCH(A2016-129,Fields!$D$2:$D$206,1)),""),"")</f>
        <v/>
      </c>
      <c r="E2016">
        <f>IFERROR(IF(AND(A2016&gt;=129,A2016&lt;=2176),INDEX(Fields!$C$2:$C$206,MATCH(A2016-129,Fields!$D$2:$D$206,1)),""),"")</f>
        <v/>
      </c>
    </row>
    <row r="2017">
      <c r="A2017" t="n">
        <v>2016</v>
      </c>
      <c r="B2017">
        <f>IFERROR(INDEX(RawBits!$A:$A,MATCH($A2017,RawBits!$H:$H,0)),"?")</f>
        <v/>
      </c>
      <c r="C2017">
        <f>IFERROR(INDEX(RawBits!$G:$G,MATCH($A2017,RawBits!$H:$H,0)),"")</f>
        <v/>
      </c>
      <c r="D2017">
        <f>IFERROR(IF(AND(A2017&gt;=129,A2017&lt;=2176),INDEX(Fields!$B$2:$B$206,MATCH(A2017-129,Fields!$D$2:$D$206,1)),""),"")</f>
        <v/>
      </c>
      <c r="E2017">
        <f>IFERROR(IF(AND(A2017&gt;=129,A2017&lt;=2176),INDEX(Fields!$C$2:$C$206,MATCH(A2017-129,Fields!$D$2:$D$206,1)),""),"")</f>
        <v/>
      </c>
    </row>
    <row r="2018">
      <c r="A2018" t="n">
        <v>2017</v>
      </c>
      <c r="B2018">
        <f>IFERROR(INDEX(RawBits!$A:$A,MATCH($A2018,RawBits!$H:$H,0)),"?")</f>
        <v/>
      </c>
      <c r="C2018">
        <f>IFERROR(INDEX(RawBits!$G:$G,MATCH($A2018,RawBits!$H:$H,0)),"")</f>
        <v/>
      </c>
      <c r="D2018">
        <f>IFERROR(IF(AND(A2018&gt;=129,A2018&lt;=2176),INDEX(Fields!$B$2:$B$206,MATCH(A2018-129,Fields!$D$2:$D$206,1)),""),"")</f>
        <v/>
      </c>
      <c r="E2018">
        <f>IFERROR(IF(AND(A2018&gt;=129,A2018&lt;=2176),INDEX(Fields!$C$2:$C$206,MATCH(A2018-129,Fields!$D$2:$D$206,1)),""),"")</f>
        <v/>
      </c>
    </row>
    <row r="2019">
      <c r="A2019" t="n">
        <v>2018</v>
      </c>
      <c r="B2019">
        <f>IFERROR(INDEX(RawBits!$A:$A,MATCH($A2019,RawBits!$H:$H,0)),"?")</f>
        <v/>
      </c>
      <c r="C2019">
        <f>IFERROR(INDEX(RawBits!$G:$G,MATCH($A2019,RawBits!$H:$H,0)),"")</f>
        <v/>
      </c>
      <c r="D2019">
        <f>IFERROR(IF(AND(A2019&gt;=129,A2019&lt;=2176),INDEX(Fields!$B$2:$B$206,MATCH(A2019-129,Fields!$D$2:$D$206,1)),""),"")</f>
        <v/>
      </c>
      <c r="E2019">
        <f>IFERROR(IF(AND(A2019&gt;=129,A2019&lt;=2176),INDEX(Fields!$C$2:$C$206,MATCH(A2019-129,Fields!$D$2:$D$206,1)),""),"")</f>
        <v/>
      </c>
    </row>
    <row r="2020">
      <c r="A2020" t="n">
        <v>2019</v>
      </c>
      <c r="B2020">
        <f>IFERROR(INDEX(RawBits!$A:$A,MATCH($A2020,RawBits!$H:$H,0)),"?")</f>
        <v/>
      </c>
      <c r="C2020">
        <f>IFERROR(INDEX(RawBits!$G:$G,MATCH($A2020,RawBits!$H:$H,0)),"")</f>
        <v/>
      </c>
      <c r="D2020">
        <f>IFERROR(IF(AND(A2020&gt;=129,A2020&lt;=2176),INDEX(Fields!$B$2:$B$206,MATCH(A2020-129,Fields!$D$2:$D$206,1)),""),"")</f>
        <v/>
      </c>
      <c r="E2020">
        <f>IFERROR(IF(AND(A2020&gt;=129,A2020&lt;=2176),INDEX(Fields!$C$2:$C$206,MATCH(A2020-129,Fields!$D$2:$D$206,1)),""),"")</f>
        <v/>
      </c>
    </row>
    <row r="2021">
      <c r="A2021" t="n">
        <v>2020</v>
      </c>
      <c r="B2021">
        <f>IFERROR(INDEX(RawBits!$A:$A,MATCH($A2021,RawBits!$H:$H,0)),"?")</f>
        <v/>
      </c>
      <c r="C2021">
        <f>IFERROR(INDEX(RawBits!$G:$G,MATCH($A2021,RawBits!$H:$H,0)),"")</f>
        <v/>
      </c>
      <c r="D2021">
        <f>IFERROR(IF(AND(A2021&gt;=129,A2021&lt;=2176),INDEX(Fields!$B$2:$B$206,MATCH(A2021-129,Fields!$D$2:$D$206,1)),""),"")</f>
        <v/>
      </c>
      <c r="E2021">
        <f>IFERROR(IF(AND(A2021&gt;=129,A2021&lt;=2176),INDEX(Fields!$C$2:$C$206,MATCH(A2021-129,Fields!$D$2:$D$206,1)),""),"")</f>
        <v/>
      </c>
    </row>
    <row r="2022">
      <c r="A2022" t="n">
        <v>2021</v>
      </c>
      <c r="B2022">
        <f>IFERROR(INDEX(RawBits!$A:$A,MATCH($A2022,RawBits!$H:$H,0)),"?")</f>
        <v/>
      </c>
      <c r="C2022">
        <f>IFERROR(INDEX(RawBits!$G:$G,MATCH($A2022,RawBits!$H:$H,0)),"")</f>
        <v/>
      </c>
      <c r="D2022">
        <f>IFERROR(IF(AND(A2022&gt;=129,A2022&lt;=2176),INDEX(Fields!$B$2:$B$206,MATCH(A2022-129,Fields!$D$2:$D$206,1)),""),"")</f>
        <v/>
      </c>
      <c r="E2022">
        <f>IFERROR(IF(AND(A2022&gt;=129,A2022&lt;=2176),INDEX(Fields!$C$2:$C$206,MATCH(A2022-129,Fields!$D$2:$D$206,1)),""),"")</f>
        <v/>
      </c>
    </row>
    <row r="2023">
      <c r="A2023" t="n">
        <v>2022</v>
      </c>
      <c r="B2023">
        <f>IFERROR(INDEX(RawBits!$A:$A,MATCH($A2023,RawBits!$H:$H,0)),"?")</f>
        <v/>
      </c>
      <c r="C2023">
        <f>IFERROR(INDEX(RawBits!$G:$G,MATCH($A2023,RawBits!$H:$H,0)),"")</f>
        <v/>
      </c>
      <c r="D2023">
        <f>IFERROR(IF(AND(A2023&gt;=129,A2023&lt;=2176),INDEX(Fields!$B$2:$B$206,MATCH(A2023-129,Fields!$D$2:$D$206,1)),""),"")</f>
        <v/>
      </c>
      <c r="E2023">
        <f>IFERROR(IF(AND(A2023&gt;=129,A2023&lt;=2176),INDEX(Fields!$C$2:$C$206,MATCH(A2023-129,Fields!$D$2:$D$206,1)),""),"")</f>
        <v/>
      </c>
    </row>
    <row r="2024">
      <c r="A2024" t="n">
        <v>2023</v>
      </c>
      <c r="B2024">
        <f>IFERROR(INDEX(RawBits!$A:$A,MATCH($A2024,RawBits!$H:$H,0)),"?")</f>
        <v/>
      </c>
      <c r="C2024">
        <f>IFERROR(INDEX(RawBits!$G:$G,MATCH($A2024,RawBits!$H:$H,0)),"")</f>
        <v/>
      </c>
      <c r="D2024">
        <f>IFERROR(IF(AND(A2024&gt;=129,A2024&lt;=2176),INDEX(Fields!$B$2:$B$206,MATCH(A2024-129,Fields!$D$2:$D$206,1)),""),"")</f>
        <v/>
      </c>
      <c r="E2024">
        <f>IFERROR(IF(AND(A2024&gt;=129,A2024&lt;=2176),INDEX(Fields!$C$2:$C$206,MATCH(A2024-129,Fields!$D$2:$D$206,1)),""),"")</f>
        <v/>
      </c>
    </row>
    <row r="2025">
      <c r="A2025" t="n">
        <v>2024</v>
      </c>
      <c r="B2025">
        <f>IFERROR(INDEX(RawBits!$A:$A,MATCH($A2025,RawBits!$H:$H,0)),"?")</f>
        <v/>
      </c>
      <c r="C2025">
        <f>IFERROR(INDEX(RawBits!$G:$G,MATCH($A2025,RawBits!$H:$H,0)),"")</f>
        <v/>
      </c>
      <c r="D2025">
        <f>IFERROR(IF(AND(A2025&gt;=129,A2025&lt;=2176),INDEX(Fields!$B$2:$B$206,MATCH(A2025-129,Fields!$D$2:$D$206,1)),""),"")</f>
        <v/>
      </c>
      <c r="E2025">
        <f>IFERROR(IF(AND(A2025&gt;=129,A2025&lt;=2176),INDEX(Fields!$C$2:$C$206,MATCH(A2025-129,Fields!$D$2:$D$206,1)),""),"")</f>
        <v/>
      </c>
    </row>
    <row r="2026">
      <c r="A2026" t="n">
        <v>2025</v>
      </c>
      <c r="B2026">
        <f>IFERROR(INDEX(RawBits!$A:$A,MATCH($A2026,RawBits!$H:$H,0)),"?")</f>
        <v/>
      </c>
      <c r="C2026">
        <f>IFERROR(INDEX(RawBits!$G:$G,MATCH($A2026,RawBits!$H:$H,0)),"")</f>
        <v/>
      </c>
      <c r="D2026">
        <f>IFERROR(IF(AND(A2026&gt;=129,A2026&lt;=2176),INDEX(Fields!$B$2:$B$206,MATCH(A2026-129,Fields!$D$2:$D$206,1)),""),"")</f>
        <v/>
      </c>
      <c r="E2026">
        <f>IFERROR(IF(AND(A2026&gt;=129,A2026&lt;=2176),INDEX(Fields!$C$2:$C$206,MATCH(A2026-129,Fields!$D$2:$D$206,1)),""),"")</f>
        <v/>
      </c>
    </row>
    <row r="2027">
      <c r="A2027" t="n">
        <v>2026</v>
      </c>
      <c r="B2027">
        <f>IFERROR(INDEX(RawBits!$A:$A,MATCH($A2027,RawBits!$H:$H,0)),"?")</f>
        <v/>
      </c>
      <c r="C2027">
        <f>IFERROR(INDEX(RawBits!$G:$G,MATCH($A2027,RawBits!$H:$H,0)),"")</f>
        <v/>
      </c>
      <c r="D2027">
        <f>IFERROR(IF(AND(A2027&gt;=129,A2027&lt;=2176),INDEX(Fields!$B$2:$B$206,MATCH(A2027-129,Fields!$D$2:$D$206,1)),""),"")</f>
        <v/>
      </c>
      <c r="E2027">
        <f>IFERROR(IF(AND(A2027&gt;=129,A2027&lt;=2176),INDEX(Fields!$C$2:$C$206,MATCH(A2027-129,Fields!$D$2:$D$206,1)),""),"")</f>
        <v/>
      </c>
    </row>
    <row r="2028">
      <c r="A2028" t="n">
        <v>2027</v>
      </c>
      <c r="B2028">
        <f>IFERROR(INDEX(RawBits!$A:$A,MATCH($A2028,RawBits!$H:$H,0)),"?")</f>
        <v/>
      </c>
      <c r="C2028">
        <f>IFERROR(INDEX(RawBits!$G:$G,MATCH($A2028,RawBits!$H:$H,0)),"")</f>
        <v/>
      </c>
      <c r="D2028">
        <f>IFERROR(IF(AND(A2028&gt;=129,A2028&lt;=2176),INDEX(Fields!$B$2:$B$206,MATCH(A2028-129,Fields!$D$2:$D$206,1)),""),"")</f>
        <v/>
      </c>
      <c r="E2028">
        <f>IFERROR(IF(AND(A2028&gt;=129,A2028&lt;=2176),INDEX(Fields!$C$2:$C$206,MATCH(A2028-129,Fields!$D$2:$D$206,1)),""),"")</f>
        <v/>
      </c>
    </row>
    <row r="2029">
      <c r="A2029" t="n">
        <v>2028</v>
      </c>
      <c r="B2029">
        <f>IFERROR(INDEX(RawBits!$A:$A,MATCH($A2029,RawBits!$H:$H,0)),"?")</f>
        <v/>
      </c>
      <c r="C2029">
        <f>IFERROR(INDEX(RawBits!$G:$G,MATCH($A2029,RawBits!$H:$H,0)),"")</f>
        <v/>
      </c>
      <c r="D2029">
        <f>IFERROR(IF(AND(A2029&gt;=129,A2029&lt;=2176),INDEX(Fields!$B$2:$B$206,MATCH(A2029-129,Fields!$D$2:$D$206,1)),""),"")</f>
        <v/>
      </c>
      <c r="E2029">
        <f>IFERROR(IF(AND(A2029&gt;=129,A2029&lt;=2176),INDEX(Fields!$C$2:$C$206,MATCH(A2029-129,Fields!$D$2:$D$206,1)),""),"")</f>
        <v/>
      </c>
    </row>
    <row r="2030">
      <c r="A2030" t="n">
        <v>2029</v>
      </c>
      <c r="B2030">
        <f>IFERROR(INDEX(RawBits!$A:$A,MATCH($A2030,RawBits!$H:$H,0)),"?")</f>
        <v/>
      </c>
      <c r="C2030">
        <f>IFERROR(INDEX(RawBits!$G:$G,MATCH($A2030,RawBits!$H:$H,0)),"")</f>
        <v/>
      </c>
      <c r="D2030">
        <f>IFERROR(IF(AND(A2030&gt;=129,A2030&lt;=2176),INDEX(Fields!$B$2:$B$206,MATCH(A2030-129,Fields!$D$2:$D$206,1)),""),"")</f>
        <v/>
      </c>
      <c r="E2030">
        <f>IFERROR(IF(AND(A2030&gt;=129,A2030&lt;=2176),INDEX(Fields!$C$2:$C$206,MATCH(A2030-129,Fields!$D$2:$D$206,1)),""),"")</f>
        <v/>
      </c>
    </row>
    <row r="2031">
      <c r="A2031" t="n">
        <v>2030</v>
      </c>
      <c r="B2031">
        <f>IFERROR(INDEX(RawBits!$A:$A,MATCH($A2031,RawBits!$H:$H,0)),"?")</f>
        <v/>
      </c>
      <c r="C2031">
        <f>IFERROR(INDEX(RawBits!$G:$G,MATCH($A2031,RawBits!$H:$H,0)),"")</f>
        <v/>
      </c>
      <c r="D2031">
        <f>IFERROR(IF(AND(A2031&gt;=129,A2031&lt;=2176),INDEX(Fields!$B$2:$B$206,MATCH(A2031-129,Fields!$D$2:$D$206,1)),""),"")</f>
        <v/>
      </c>
      <c r="E2031">
        <f>IFERROR(IF(AND(A2031&gt;=129,A2031&lt;=2176),INDEX(Fields!$C$2:$C$206,MATCH(A2031-129,Fields!$D$2:$D$206,1)),""),"")</f>
        <v/>
      </c>
    </row>
    <row r="2032">
      <c r="A2032" t="n">
        <v>2031</v>
      </c>
      <c r="B2032">
        <f>IFERROR(INDEX(RawBits!$A:$A,MATCH($A2032,RawBits!$H:$H,0)),"?")</f>
        <v/>
      </c>
      <c r="C2032">
        <f>IFERROR(INDEX(RawBits!$G:$G,MATCH($A2032,RawBits!$H:$H,0)),"")</f>
        <v/>
      </c>
      <c r="D2032">
        <f>IFERROR(IF(AND(A2032&gt;=129,A2032&lt;=2176),INDEX(Fields!$B$2:$B$206,MATCH(A2032-129,Fields!$D$2:$D$206,1)),""),"")</f>
        <v/>
      </c>
      <c r="E2032">
        <f>IFERROR(IF(AND(A2032&gt;=129,A2032&lt;=2176),INDEX(Fields!$C$2:$C$206,MATCH(A2032-129,Fields!$D$2:$D$206,1)),""),"")</f>
        <v/>
      </c>
    </row>
    <row r="2033">
      <c r="A2033" t="n">
        <v>2032</v>
      </c>
      <c r="B2033">
        <f>IFERROR(INDEX(RawBits!$A:$A,MATCH($A2033,RawBits!$H:$H,0)),"?")</f>
        <v/>
      </c>
      <c r="C2033">
        <f>IFERROR(INDEX(RawBits!$G:$G,MATCH($A2033,RawBits!$H:$H,0)),"")</f>
        <v/>
      </c>
      <c r="D2033">
        <f>IFERROR(IF(AND(A2033&gt;=129,A2033&lt;=2176),INDEX(Fields!$B$2:$B$206,MATCH(A2033-129,Fields!$D$2:$D$206,1)),""),"")</f>
        <v/>
      </c>
      <c r="E2033">
        <f>IFERROR(IF(AND(A2033&gt;=129,A2033&lt;=2176),INDEX(Fields!$C$2:$C$206,MATCH(A2033-129,Fields!$D$2:$D$206,1)),""),"")</f>
        <v/>
      </c>
    </row>
    <row r="2034">
      <c r="A2034" t="n">
        <v>2033</v>
      </c>
      <c r="B2034">
        <f>IFERROR(INDEX(RawBits!$A:$A,MATCH($A2034,RawBits!$H:$H,0)),"?")</f>
        <v/>
      </c>
      <c r="C2034">
        <f>IFERROR(INDEX(RawBits!$G:$G,MATCH($A2034,RawBits!$H:$H,0)),"")</f>
        <v/>
      </c>
      <c r="D2034">
        <f>IFERROR(IF(AND(A2034&gt;=129,A2034&lt;=2176),INDEX(Fields!$B$2:$B$206,MATCH(A2034-129,Fields!$D$2:$D$206,1)),""),"")</f>
        <v/>
      </c>
      <c r="E2034">
        <f>IFERROR(IF(AND(A2034&gt;=129,A2034&lt;=2176),INDEX(Fields!$C$2:$C$206,MATCH(A2034-129,Fields!$D$2:$D$206,1)),""),"")</f>
        <v/>
      </c>
    </row>
    <row r="2035">
      <c r="A2035" t="n">
        <v>2034</v>
      </c>
      <c r="B2035">
        <f>IFERROR(INDEX(RawBits!$A:$A,MATCH($A2035,RawBits!$H:$H,0)),"?")</f>
        <v/>
      </c>
      <c r="C2035">
        <f>IFERROR(INDEX(RawBits!$G:$G,MATCH($A2035,RawBits!$H:$H,0)),"")</f>
        <v/>
      </c>
      <c r="D2035">
        <f>IFERROR(IF(AND(A2035&gt;=129,A2035&lt;=2176),INDEX(Fields!$B$2:$B$206,MATCH(A2035-129,Fields!$D$2:$D$206,1)),""),"")</f>
        <v/>
      </c>
      <c r="E2035">
        <f>IFERROR(IF(AND(A2035&gt;=129,A2035&lt;=2176),INDEX(Fields!$C$2:$C$206,MATCH(A2035-129,Fields!$D$2:$D$206,1)),""),"")</f>
        <v/>
      </c>
    </row>
    <row r="2036">
      <c r="A2036" t="n">
        <v>2035</v>
      </c>
      <c r="B2036">
        <f>IFERROR(INDEX(RawBits!$A:$A,MATCH($A2036,RawBits!$H:$H,0)),"?")</f>
        <v/>
      </c>
      <c r="C2036">
        <f>IFERROR(INDEX(RawBits!$G:$G,MATCH($A2036,RawBits!$H:$H,0)),"")</f>
        <v/>
      </c>
      <c r="D2036">
        <f>IFERROR(IF(AND(A2036&gt;=129,A2036&lt;=2176),INDEX(Fields!$B$2:$B$206,MATCH(A2036-129,Fields!$D$2:$D$206,1)),""),"")</f>
        <v/>
      </c>
      <c r="E2036">
        <f>IFERROR(IF(AND(A2036&gt;=129,A2036&lt;=2176),INDEX(Fields!$C$2:$C$206,MATCH(A2036-129,Fields!$D$2:$D$206,1)),""),"")</f>
        <v/>
      </c>
    </row>
    <row r="2037">
      <c r="A2037" t="n">
        <v>2036</v>
      </c>
      <c r="B2037">
        <f>IFERROR(INDEX(RawBits!$A:$A,MATCH($A2037,RawBits!$H:$H,0)),"?")</f>
        <v/>
      </c>
      <c r="C2037">
        <f>IFERROR(INDEX(RawBits!$G:$G,MATCH($A2037,RawBits!$H:$H,0)),"")</f>
        <v/>
      </c>
      <c r="D2037">
        <f>IFERROR(IF(AND(A2037&gt;=129,A2037&lt;=2176),INDEX(Fields!$B$2:$B$206,MATCH(A2037-129,Fields!$D$2:$D$206,1)),""),"")</f>
        <v/>
      </c>
      <c r="E2037">
        <f>IFERROR(IF(AND(A2037&gt;=129,A2037&lt;=2176),INDEX(Fields!$C$2:$C$206,MATCH(A2037-129,Fields!$D$2:$D$206,1)),""),"")</f>
        <v/>
      </c>
    </row>
    <row r="2038">
      <c r="A2038" t="n">
        <v>2037</v>
      </c>
      <c r="B2038">
        <f>IFERROR(INDEX(RawBits!$A:$A,MATCH($A2038,RawBits!$H:$H,0)),"?")</f>
        <v/>
      </c>
      <c r="C2038">
        <f>IFERROR(INDEX(RawBits!$G:$G,MATCH($A2038,RawBits!$H:$H,0)),"")</f>
        <v/>
      </c>
      <c r="D2038">
        <f>IFERROR(IF(AND(A2038&gt;=129,A2038&lt;=2176),INDEX(Fields!$B$2:$B$206,MATCH(A2038-129,Fields!$D$2:$D$206,1)),""),"")</f>
        <v/>
      </c>
      <c r="E2038">
        <f>IFERROR(IF(AND(A2038&gt;=129,A2038&lt;=2176),INDEX(Fields!$C$2:$C$206,MATCH(A2038-129,Fields!$D$2:$D$206,1)),""),"")</f>
        <v/>
      </c>
    </row>
    <row r="2039">
      <c r="A2039" t="n">
        <v>2038</v>
      </c>
      <c r="B2039">
        <f>IFERROR(INDEX(RawBits!$A:$A,MATCH($A2039,RawBits!$H:$H,0)),"?")</f>
        <v/>
      </c>
      <c r="C2039">
        <f>IFERROR(INDEX(RawBits!$G:$G,MATCH($A2039,RawBits!$H:$H,0)),"")</f>
        <v/>
      </c>
      <c r="D2039">
        <f>IFERROR(IF(AND(A2039&gt;=129,A2039&lt;=2176),INDEX(Fields!$B$2:$B$206,MATCH(A2039-129,Fields!$D$2:$D$206,1)),""),"")</f>
        <v/>
      </c>
      <c r="E2039">
        <f>IFERROR(IF(AND(A2039&gt;=129,A2039&lt;=2176),INDEX(Fields!$C$2:$C$206,MATCH(A2039-129,Fields!$D$2:$D$206,1)),""),"")</f>
        <v/>
      </c>
    </row>
    <row r="2040">
      <c r="A2040" t="n">
        <v>2039</v>
      </c>
      <c r="B2040">
        <f>IFERROR(INDEX(RawBits!$A:$A,MATCH($A2040,RawBits!$H:$H,0)),"?")</f>
        <v/>
      </c>
      <c r="C2040">
        <f>IFERROR(INDEX(RawBits!$G:$G,MATCH($A2040,RawBits!$H:$H,0)),"")</f>
        <v/>
      </c>
      <c r="D2040">
        <f>IFERROR(IF(AND(A2040&gt;=129,A2040&lt;=2176),INDEX(Fields!$B$2:$B$206,MATCH(A2040-129,Fields!$D$2:$D$206,1)),""),"")</f>
        <v/>
      </c>
      <c r="E2040">
        <f>IFERROR(IF(AND(A2040&gt;=129,A2040&lt;=2176),INDEX(Fields!$C$2:$C$206,MATCH(A2040-129,Fields!$D$2:$D$206,1)),""),"")</f>
        <v/>
      </c>
    </row>
    <row r="2041">
      <c r="A2041" t="n">
        <v>2040</v>
      </c>
      <c r="B2041">
        <f>IFERROR(INDEX(RawBits!$A:$A,MATCH($A2041,RawBits!$H:$H,0)),"?")</f>
        <v/>
      </c>
      <c r="C2041">
        <f>IFERROR(INDEX(RawBits!$G:$G,MATCH($A2041,RawBits!$H:$H,0)),"")</f>
        <v/>
      </c>
      <c r="D2041">
        <f>IFERROR(IF(AND(A2041&gt;=129,A2041&lt;=2176),INDEX(Fields!$B$2:$B$206,MATCH(A2041-129,Fields!$D$2:$D$206,1)),""),"")</f>
        <v/>
      </c>
      <c r="E2041">
        <f>IFERROR(IF(AND(A2041&gt;=129,A2041&lt;=2176),INDEX(Fields!$C$2:$C$206,MATCH(A2041-129,Fields!$D$2:$D$206,1)),""),"")</f>
        <v/>
      </c>
    </row>
    <row r="2042">
      <c r="A2042" t="n">
        <v>2041</v>
      </c>
      <c r="B2042">
        <f>IFERROR(INDEX(RawBits!$A:$A,MATCH($A2042,RawBits!$H:$H,0)),"?")</f>
        <v/>
      </c>
      <c r="C2042">
        <f>IFERROR(INDEX(RawBits!$G:$G,MATCH($A2042,RawBits!$H:$H,0)),"")</f>
        <v/>
      </c>
      <c r="D2042">
        <f>IFERROR(IF(AND(A2042&gt;=129,A2042&lt;=2176),INDEX(Fields!$B$2:$B$206,MATCH(A2042-129,Fields!$D$2:$D$206,1)),""),"")</f>
        <v/>
      </c>
      <c r="E2042">
        <f>IFERROR(IF(AND(A2042&gt;=129,A2042&lt;=2176),INDEX(Fields!$C$2:$C$206,MATCH(A2042-129,Fields!$D$2:$D$206,1)),""),"")</f>
        <v/>
      </c>
    </row>
    <row r="2043">
      <c r="A2043" t="n">
        <v>2042</v>
      </c>
      <c r="B2043">
        <f>IFERROR(INDEX(RawBits!$A:$A,MATCH($A2043,RawBits!$H:$H,0)),"?")</f>
        <v/>
      </c>
      <c r="C2043">
        <f>IFERROR(INDEX(RawBits!$G:$G,MATCH($A2043,RawBits!$H:$H,0)),"")</f>
        <v/>
      </c>
      <c r="D2043">
        <f>IFERROR(IF(AND(A2043&gt;=129,A2043&lt;=2176),INDEX(Fields!$B$2:$B$206,MATCH(A2043-129,Fields!$D$2:$D$206,1)),""),"")</f>
        <v/>
      </c>
      <c r="E2043">
        <f>IFERROR(IF(AND(A2043&gt;=129,A2043&lt;=2176),INDEX(Fields!$C$2:$C$206,MATCH(A2043-129,Fields!$D$2:$D$206,1)),""),"")</f>
        <v/>
      </c>
    </row>
    <row r="2044">
      <c r="A2044" t="n">
        <v>2043</v>
      </c>
      <c r="B2044">
        <f>IFERROR(INDEX(RawBits!$A:$A,MATCH($A2044,RawBits!$H:$H,0)),"?")</f>
        <v/>
      </c>
      <c r="C2044">
        <f>IFERROR(INDEX(RawBits!$G:$G,MATCH($A2044,RawBits!$H:$H,0)),"")</f>
        <v/>
      </c>
      <c r="D2044">
        <f>IFERROR(IF(AND(A2044&gt;=129,A2044&lt;=2176),INDEX(Fields!$B$2:$B$206,MATCH(A2044-129,Fields!$D$2:$D$206,1)),""),"")</f>
        <v/>
      </c>
      <c r="E2044">
        <f>IFERROR(IF(AND(A2044&gt;=129,A2044&lt;=2176),INDEX(Fields!$C$2:$C$206,MATCH(A2044-129,Fields!$D$2:$D$206,1)),""),"")</f>
        <v/>
      </c>
    </row>
    <row r="2045">
      <c r="A2045" t="n">
        <v>2044</v>
      </c>
      <c r="B2045">
        <f>IFERROR(INDEX(RawBits!$A:$A,MATCH($A2045,RawBits!$H:$H,0)),"?")</f>
        <v/>
      </c>
      <c r="C2045">
        <f>IFERROR(INDEX(RawBits!$G:$G,MATCH($A2045,RawBits!$H:$H,0)),"")</f>
        <v/>
      </c>
      <c r="D2045">
        <f>IFERROR(IF(AND(A2045&gt;=129,A2045&lt;=2176),INDEX(Fields!$B$2:$B$206,MATCH(A2045-129,Fields!$D$2:$D$206,1)),""),"")</f>
        <v/>
      </c>
      <c r="E2045">
        <f>IFERROR(IF(AND(A2045&gt;=129,A2045&lt;=2176),INDEX(Fields!$C$2:$C$206,MATCH(A2045-129,Fields!$D$2:$D$206,1)),""),"")</f>
        <v/>
      </c>
    </row>
    <row r="2046">
      <c r="A2046" t="n">
        <v>2045</v>
      </c>
      <c r="B2046">
        <f>IFERROR(INDEX(RawBits!$A:$A,MATCH($A2046,RawBits!$H:$H,0)),"?")</f>
        <v/>
      </c>
      <c r="C2046">
        <f>IFERROR(INDEX(RawBits!$G:$G,MATCH($A2046,RawBits!$H:$H,0)),"")</f>
        <v/>
      </c>
      <c r="D2046">
        <f>IFERROR(IF(AND(A2046&gt;=129,A2046&lt;=2176),INDEX(Fields!$B$2:$B$206,MATCH(A2046-129,Fields!$D$2:$D$206,1)),""),"")</f>
        <v/>
      </c>
      <c r="E2046">
        <f>IFERROR(IF(AND(A2046&gt;=129,A2046&lt;=2176),INDEX(Fields!$C$2:$C$206,MATCH(A2046-129,Fields!$D$2:$D$206,1)),""),"")</f>
        <v/>
      </c>
    </row>
    <row r="2047">
      <c r="A2047" t="n">
        <v>2046</v>
      </c>
      <c r="B2047">
        <f>IFERROR(INDEX(RawBits!$A:$A,MATCH($A2047,RawBits!$H:$H,0)),"?")</f>
        <v/>
      </c>
      <c r="C2047">
        <f>IFERROR(INDEX(RawBits!$G:$G,MATCH($A2047,RawBits!$H:$H,0)),"")</f>
        <v/>
      </c>
      <c r="D2047">
        <f>IFERROR(IF(AND(A2047&gt;=129,A2047&lt;=2176),INDEX(Fields!$B$2:$B$206,MATCH(A2047-129,Fields!$D$2:$D$206,1)),""),"")</f>
        <v/>
      </c>
      <c r="E2047">
        <f>IFERROR(IF(AND(A2047&gt;=129,A2047&lt;=2176),INDEX(Fields!$C$2:$C$206,MATCH(A2047-129,Fields!$D$2:$D$206,1)),""),"")</f>
        <v/>
      </c>
    </row>
    <row r="2048">
      <c r="A2048" t="n">
        <v>2047</v>
      </c>
      <c r="B2048">
        <f>IFERROR(INDEX(RawBits!$A:$A,MATCH($A2048,RawBits!$H:$H,0)),"?")</f>
        <v/>
      </c>
      <c r="C2048">
        <f>IFERROR(INDEX(RawBits!$G:$G,MATCH($A2048,RawBits!$H:$H,0)),"")</f>
        <v/>
      </c>
      <c r="D2048">
        <f>IFERROR(IF(AND(A2048&gt;=129,A2048&lt;=2176),INDEX(Fields!$B$2:$B$206,MATCH(A2048-129,Fields!$D$2:$D$206,1)),""),"")</f>
        <v/>
      </c>
      <c r="E2048">
        <f>IFERROR(IF(AND(A2048&gt;=129,A2048&lt;=2176),INDEX(Fields!$C$2:$C$206,MATCH(A2048-129,Fields!$D$2:$D$206,1)),""),"")</f>
        <v/>
      </c>
    </row>
    <row r="2049">
      <c r="A2049" t="n">
        <v>2048</v>
      </c>
      <c r="B2049">
        <f>IFERROR(INDEX(RawBits!$A:$A,MATCH($A2049,RawBits!$H:$H,0)),"?")</f>
        <v/>
      </c>
      <c r="C2049">
        <f>IFERROR(INDEX(RawBits!$G:$G,MATCH($A2049,RawBits!$H:$H,0)),"")</f>
        <v/>
      </c>
      <c r="D2049">
        <f>IFERROR(IF(AND(A2049&gt;=129,A2049&lt;=2176),INDEX(Fields!$B$2:$B$206,MATCH(A2049-129,Fields!$D$2:$D$206,1)),""),"")</f>
        <v/>
      </c>
      <c r="E2049">
        <f>IFERROR(IF(AND(A2049&gt;=129,A2049&lt;=2176),INDEX(Fields!$C$2:$C$206,MATCH(A2049-129,Fields!$D$2:$D$206,1)),""),"")</f>
        <v/>
      </c>
    </row>
    <row r="2050">
      <c r="A2050" t="n">
        <v>2049</v>
      </c>
      <c r="B2050">
        <f>IFERROR(INDEX(RawBits!$A:$A,MATCH($A2050,RawBits!$H:$H,0)),"?")</f>
        <v/>
      </c>
      <c r="C2050">
        <f>IFERROR(INDEX(RawBits!$G:$G,MATCH($A2050,RawBits!$H:$H,0)),"")</f>
        <v/>
      </c>
      <c r="D2050">
        <f>IFERROR(IF(AND(A2050&gt;=129,A2050&lt;=2176),INDEX(Fields!$B$2:$B$206,MATCH(A2050-129,Fields!$D$2:$D$206,1)),""),"")</f>
        <v/>
      </c>
      <c r="E2050">
        <f>IFERROR(IF(AND(A2050&gt;=129,A2050&lt;=2176),INDEX(Fields!$C$2:$C$206,MATCH(A2050-129,Fields!$D$2:$D$206,1)),""),"")</f>
        <v/>
      </c>
    </row>
    <row r="2051">
      <c r="A2051" t="n">
        <v>2050</v>
      </c>
      <c r="B2051">
        <f>IFERROR(INDEX(RawBits!$A:$A,MATCH($A2051,RawBits!$H:$H,0)),"?")</f>
        <v/>
      </c>
      <c r="C2051">
        <f>IFERROR(INDEX(RawBits!$G:$G,MATCH($A2051,RawBits!$H:$H,0)),"")</f>
        <v/>
      </c>
      <c r="D2051">
        <f>IFERROR(IF(AND(A2051&gt;=129,A2051&lt;=2176),INDEX(Fields!$B$2:$B$206,MATCH(A2051-129,Fields!$D$2:$D$206,1)),""),"")</f>
        <v/>
      </c>
      <c r="E2051">
        <f>IFERROR(IF(AND(A2051&gt;=129,A2051&lt;=2176),INDEX(Fields!$C$2:$C$206,MATCH(A2051-129,Fields!$D$2:$D$206,1)),""),"")</f>
        <v/>
      </c>
    </row>
    <row r="2052">
      <c r="A2052" t="n">
        <v>2051</v>
      </c>
      <c r="B2052">
        <f>IFERROR(INDEX(RawBits!$A:$A,MATCH($A2052,RawBits!$H:$H,0)),"?")</f>
        <v/>
      </c>
      <c r="C2052">
        <f>IFERROR(INDEX(RawBits!$G:$G,MATCH($A2052,RawBits!$H:$H,0)),"")</f>
        <v/>
      </c>
      <c r="D2052">
        <f>IFERROR(IF(AND(A2052&gt;=129,A2052&lt;=2176),INDEX(Fields!$B$2:$B$206,MATCH(A2052-129,Fields!$D$2:$D$206,1)),""),"")</f>
        <v/>
      </c>
      <c r="E2052">
        <f>IFERROR(IF(AND(A2052&gt;=129,A2052&lt;=2176),INDEX(Fields!$C$2:$C$206,MATCH(A2052-129,Fields!$D$2:$D$206,1)),""),"")</f>
        <v/>
      </c>
    </row>
    <row r="2053">
      <c r="A2053" t="n">
        <v>2052</v>
      </c>
      <c r="B2053">
        <f>IFERROR(INDEX(RawBits!$A:$A,MATCH($A2053,RawBits!$H:$H,0)),"?")</f>
        <v/>
      </c>
      <c r="C2053">
        <f>IFERROR(INDEX(RawBits!$G:$G,MATCH($A2053,RawBits!$H:$H,0)),"")</f>
        <v/>
      </c>
      <c r="D2053">
        <f>IFERROR(IF(AND(A2053&gt;=129,A2053&lt;=2176),INDEX(Fields!$B$2:$B$206,MATCH(A2053-129,Fields!$D$2:$D$206,1)),""),"")</f>
        <v/>
      </c>
      <c r="E2053">
        <f>IFERROR(IF(AND(A2053&gt;=129,A2053&lt;=2176),INDEX(Fields!$C$2:$C$206,MATCH(A2053-129,Fields!$D$2:$D$206,1)),""),"")</f>
        <v/>
      </c>
    </row>
    <row r="2054">
      <c r="A2054" t="n">
        <v>2053</v>
      </c>
      <c r="B2054">
        <f>IFERROR(INDEX(RawBits!$A:$A,MATCH($A2054,RawBits!$H:$H,0)),"?")</f>
        <v/>
      </c>
      <c r="C2054">
        <f>IFERROR(INDEX(RawBits!$G:$G,MATCH($A2054,RawBits!$H:$H,0)),"")</f>
        <v/>
      </c>
      <c r="D2054">
        <f>IFERROR(IF(AND(A2054&gt;=129,A2054&lt;=2176),INDEX(Fields!$B$2:$B$206,MATCH(A2054-129,Fields!$D$2:$D$206,1)),""),"")</f>
        <v/>
      </c>
      <c r="E2054">
        <f>IFERROR(IF(AND(A2054&gt;=129,A2054&lt;=2176),INDEX(Fields!$C$2:$C$206,MATCH(A2054-129,Fields!$D$2:$D$206,1)),""),"")</f>
        <v/>
      </c>
    </row>
    <row r="2055">
      <c r="A2055" t="n">
        <v>2054</v>
      </c>
      <c r="B2055">
        <f>IFERROR(INDEX(RawBits!$A:$A,MATCH($A2055,RawBits!$H:$H,0)),"?")</f>
        <v/>
      </c>
      <c r="C2055">
        <f>IFERROR(INDEX(RawBits!$G:$G,MATCH($A2055,RawBits!$H:$H,0)),"")</f>
        <v/>
      </c>
      <c r="D2055">
        <f>IFERROR(IF(AND(A2055&gt;=129,A2055&lt;=2176),INDEX(Fields!$B$2:$B$206,MATCH(A2055-129,Fields!$D$2:$D$206,1)),""),"")</f>
        <v/>
      </c>
      <c r="E2055">
        <f>IFERROR(IF(AND(A2055&gt;=129,A2055&lt;=2176),INDEX(Fields!$C$2:$C$206,MATCH(A2055-129,Fields!$D$2:$D$206,1)),""),"")</f>
        <v/>
      </c>
    </row>
    <row r="2056">
      <c r="A2056" t="n">
        <v>2055</v>
      </c>
      <c r="B2056">
        <f>IFERROR(INDEX(RawBits!$A:$A,MATCH($A2056,RawBits!$H:$H,0)),"?")</f>
        <v/>
      </c>
      <c r="C2056">
        <f>IFERROR(INDEX(RawBits!$G:$G,MATCH($A2056,RawBits!$H:$H,0)),"")</f>
        <v/>
      </c>
      <c r="D2056">
        <f>IFERROR(IF(AND(A2056&gt;=129,A2056&lt;=2176),INDEX(Fields!$B$2:$B$206,MATCH(A2056-129,Fields!$D$2:$D$206,1)),""),"")</f>
        <v/>
      </c>
      <c r="E2056">
        <f>IFERROR(IF(AND(A2056&gt;=129,A2056&lt;=2176),INDEX(Fields!$C$2:$C$206,MATCH(A2056-129,Fields!$D$2:$D$206,1)),""),"")</f>
        <v/>
      </c>
    </row>
    <row r="2057">
      <c r="A2057" t="n">
        <v>2056</v>
      </c>
      <c r="B2057">
        <f>IFERROR(INDEX(RawBits!$A:$A,MATCH($A2057,RawBits!$H:$H,0)),"?")</f>
        <v/>
      </c>
      <c r="C2057">
        <f>IFERROR(INDEX(RawBits!$G:$G,MATCH($A2057,RawBits!$H:$H,0)),"")</f>
        <v/>
      </c>
      <c r="D2057">
        <f>IFERROR(IF(AND(A2057&gt;=129,A2057&lt;=2176),INDEX(Fields!$B$2:$B$206,MATCH(A2057-129,Fields!$D$2:$D$206,1)),""),"")</f>
        <v/>
      </c>
      <c r="E2057">
        <f>IFERROR(IF(AND(A2057&gt;=129,A2057&lt;=2176),INDEX(Fields!$C$2:$C$206,MATCH(A2057-129,Fields!$D$2:$D$206,1)),""),"")</f>
        <v/>
      </c>
    </row>
    <row r="2058">
      <c r="A2058" t="n">
        <v>2057</v>
      </c>
      <c r="B2058">
        <f>IFERROR(INDEX(RawBits!$A:$A,MATCH($A2058,RawBits!$H:$H,0)),"?")</f>
        <v/>
      </c>
      <c r="C2058">
        <f>IFERROR(INDEX(RawBits!$G:$G,MATCH($A2058,RawBits!$H:$H,0)),"")</f>
        <v/>
      </c>
      <c r="D2058">
        <f>IFERROR(IF(AND(A2058&gt;=129,A2058&lt;=2176),INDEX(Fields!$B$2:$B$206,MATCH(A2058-129,Fields!$D$2:$D$206,1)),""),"")</f>
        <v/>
      </c>
      <c r="E2058">
        <f>IFERROR(IF(AND(A2058&gt;=129,A2058&lt;=2176),INDEX(Fields!$C$2:$C$206,MATCH(A2058-129,Fields!$D$2:$D$206,1)),""),"")</f>
        <v/>
      </c>
    </row>
    <row r="2059">
      <c r="A2059" t="n">
        <v>2058</v>
      </c>
      <c r="B2059">
        <f>IFERROR(INDEX(RawBits!$A:$A,MATCH($A2059,RawBits!$H:$H,0)),"?")</f>
        <v/>
      </c>
      <c r="C2059">
        <f>IFERROR(INDEX(RawBits!$G:$G,MATCH($A2059,RawBits!$H:$H,0)),"")</f>
        <v/>
      </c>
      <c r="D2059">
        <f>IFERROR(IF(AND(A2059&gt;=129,A2059&lt;=2176),INDEX(Fields!$B$2:$B$206,MATCH(A2059-129,Fields!$D$2:$D$206,1)),""),"")</f>
        <v/>
      </c>
      <c r="E2059">
        <f>IFERROR(IF(AND(A2059&gt;=129,A2059&lt;=2176),INDEX(Fields!$C$2:$C$206,MATCH(A2059-129,Fields!$D$2:$D$206,1)),""),"")</f>
        <v/>
      </c>
    </row>
    <row r="2060">
      <c r="A2060" t="n">
        <v>2059</v>
      </c>
      <c r="B2060">
        <f>IFERROR(INDEX(RawBits!$A:$A,MATCH($A2060,RawBits!$H:$H,0)),"?")</f>
        <v/>
      </c>
      <c r="C2060">
        <f>IFERROR(INDEX(RawBits!$G:$G,MATCH($A2060,RawBits!$H:$H,0)),"")</f>
        <v/>
      </c>
      <c r="D2060">
        <f>IFERROR(IF(AND(A2060&gt;=129,A2060&lt;=2176),INDEX(Fields!$B$2:$B$206,MATCH(A2060-129,Fields!$D$2:$D$206,1)),""),"")</f>
        <v/>
      </c>
      <c r="E2060">
        <f>IFERROR(IF(AND(A2060&gt;=129,A2060&lt;=2176),INDEX(Fields!$C$2:$C$206,MATCH(A2060-129,Fields!$D$2:$D$206,1)),""),"")</f>
        <v/>
      </c>
    </row>
    <row r="2061">
      <c r="A2061" t="n">
        <v>2060</v>
      </c>
      <c r="B2061">
        <f>IFERROR(INDEX(RawBits!$A:$A,MATCH($A2061,RawBits!$H:$H,0)),"?")</f>
        <v/>
      </c>
      <c r="C2061">
        <f>IFERROR(INDEX(RawBits!$G:$G,MATCH($A2061,RawBits!$H:$H,0)),"")</f>
        <v/>
      </c>
      <c r="D2061">
        <f>IFERROR(IF(AND(A2061&gt;=129,A2061&lt;=2176),INDEX(Fields!$B$2:$B$206,MATCH(A2061-129,Fields!$D$2:$D$206,1)),""),"")</f>
        <v/>
      </c>
      <c r="E2061">
        <f>IFERROR(IF(AND(A2061&gt;=129,A2061&lt;=2176),INDEX(Fields!$C$2:$C$206,MATCH(A2061-129,Fields!$D$2:$D$206,1)),""),"")</f>
        <v/>
      </c>
    </row>
    <row r="2062">
      <c r="A2062" t="n">
        <v>2061</v>
      </c>
      <c r="B2062">
        <f>IFERROR(INDEX(RawBits!$A:$A,MATCH($A2062,RawBits!$H:$H,0)),"?")</f>
        <v/>
      </c>
      <c r="C2062">
        <f>IFERROR(INDEX(RawBits!$G:$G,MATCH($A2062,RawBits!$H:$H,0)),"")</f>
        <v/>
      </c>
      <c r="D2062">
        <f>IFERROR(IF(AND(A2062&gt;=129,A2062&lt;=2176),INDEX(Fields!$B$2:$B$206,MATCH(A2062-129,Fields!$D$2:$D$206,1)),""),"")</f>
        <v/>
      </c>
      <c r="E2062">
        <f>IFERROR(IF(AND(A2062&gt;=129,A2062&lt;=2176),INDEX(Fields!$C$2:$C$206,MATCH(A2062-129,Fields!$D$2:$D$206,1)),""),"")</f>
        <v/>
      </c>
    </row>
    <row r="2063">
      <c r="A2063" t="n">
        <v>2062</v>
      </c>
      <c r="B2063">
        <f>IFERROR(INDEX(RawBits!$A:$A,MATCH($A2063,RawBits!$H:$H,0)),"?")</f>
        <v/>
      </c>
      <c r="C2063">
        <f>IFERROR(INDEX(RawBits!$G:$G,MATCH($A2063,RawBits!$H:$H,0)),"")</f>
        <v/>
      </c>
      <c r="D2063">
        <f>IFERROR(IF(AND(A2063&gt;=129,A2063&lt;=2176),INDEX(Fields!$B$2:$B$206,MATCH(A2063-129,Fields!$D$2:$D$206,1)),""),"")</f>
        <v/>
      </c>
      <c r="E2063">
        <f>IFERROR(IF(AND(A2063&gt;=129,A2063&lt;=2176),INDEX(Fields!$C$2:$C$206,MATCH(A2063-129,Fields!$D$2:$D$206,1)),""),"")</f>
        <v/>
      </c>
    </row>
    <row r="2064">
      <c r="A2064" t="n">
        <v>2063</v>
      </c>
      <c r="B2064">
        <f>IFERROR(INDEX(RawBits!$A:$A,MATCH($A2064,RawBits!$H:$H,0)),"?")</f>
        <v/>
      </c>
      <c r="C2064">
        <f>IFERROR(INDEX(RawBits!$G:$G,MATCH($A2064,RawBits!$H:$H,0)),"")</f>
        <v/>
      </c>
      <c r="D2064">
        <f>IFERROR(IF(AND(A2064&gt;=129,A2064&lt;=2176),INDEX(Fields!$B$2:$B$206,MATCH(A2064-129,Fields!$D$2:$D$206,1)),""),"")</f>
        <v/>
      </c>
      <c r="E2064">
        <f>IFERROR(IF(AND(A2064&gt;=129,A2064&lt;=2176),INDEX(Fields!$C$2:$C$206,MATCH(A2064-129,Fields!$D$2:$D$206,1)),""),"")</f>
        <v/>
      </c>
    </row>
    <row r="2065">
      <c r="A2065" t="n">
        <v>2064</v>
      </c>
      <c r="B2065">
        <f>IFERROR(INDEX(RawBits!$A:$A,MATCH($A2065,RawBits!$H:$H,0)),"?")</f>
        <v/>
      </c>
      <c r="C2065">
        <f>IFERROR(INDEX(RawBits!$G:$G,MATCH($A2065,RawBits!$H:$H,0)),"")</f>
        <v/>
      </c>
      <c r="D2065">
        <f>IFERROR(IF(AND(A2065&gt;=129,A2065&lt;=2176),INDEX(Fields!$B$2:$B$206,MATCH(A2065-129,Fields!$D$2:$D$206,1)),""),"")</f>
        <v/>
      </c>
      <c r="E2065">
        <f>IFERROR(IF(AND(A2065&gt;=129,A2065&lt;=2176),INDEX(Fields!$C$2:$C$206,MATCH(A2065-129,Fields!$D$2:$D$206,1)),""),"")</f>
        <v/>
      </c>
    </row>
    <row r="2066">
      <c r="A2066" t="n">
        <v>2065</v>
      </c>
      <c r="B2066">
        <f>IFERROR(INDEX(RawBits!$A:$A,MATCH($A2066,RawBits!$H:$H,0)),"?")</f>
        <v/>
      </c>
      <c r="C2066">
        <f>IFERROR(INDEX(RawBits!$G:$G,MATCH($A2066,RawBits!$H:$H,0)),"")</f>
        <v/>
      </c>
      <c r="D2066">
        <f>IFERROR(IF(AND(A2066&gt;=129,A2066&lt;=2176),INDEX(Fields!$B$2:$B$206,MATCH(A2066-129,Fields!$D$2:$D$206,1)),""),"")</f>
        <v/>
      </c>
      <c r="E2066">
        <f>IFERROR(IF(AND(A2066&gt;=129,A2066&lt;=2176),INDEX(Fields!$C$2:$C$206,MATCH(A2066-129,Fields!$D$2:$D$206,1)),""),"")</f>
        <v/>
      </c>
    </row>
    <row r="2067">
      <c r="A2067" t="n">
        <v>2066</v>
      </c>
      <c r="B2067">
        <f>IFERROR(INDEX(RawBits!$A:$A,MATCH($A2067,RawBits!$H:$H,0)),"?")</f>
        <v/>
      </c>
      <c r="C2067">
        <f>IFERROR(INDEX(RawBits!$G:$G,MATCH($A2067,RawBits!$H:$H,0)),"")</f>
        <v/>
      </c>
      <c r="D2067">
        <f>IFERROR(IF(AND(A2067&gt;=129,A2067&lt;=2176),INDEX(Fields!$B$2:$B$206,MATCH(A2067-129,Fields!$D$2:$D$206,1)),""),"")</f>
        <v/>
      </c>
      <c r="E2067">
        <f>IFERROR(IF(AND(A2067&gt;=129,A2067&lt;=2176),INDEX(Fields!$C$2:$C$206,MATCH(A2067-129,Fields!$D$2:$D$206,1)),""),"")</f>
        <v/>
      </c>
    </row>
    <row r="2068">
      <c r="A2068" t="n">
        <v>2067</v>
      </c>
      <c r="B2068">
        <f>IFERROR(INDEX(RawBits!$A:$A,MATCH($A2068,RawBits!$H:$H,0)),"?")</f>
        <v/>
      </c>
      <c r="C2068">
        <f>IFERROR(INDEX(RawBits!$G:$G,MATCH($A2068,RawBits!$H:$H,0)),"")</f>
        <v/>
      </c>
      <c r="D2068">
        <f>IFERROR(IF(AND(A2068&gt;=129,A2068&lt;=2176),INDEX(Fields!$B$2:$B$206,MATCH(A2068-129,Fields!$D$2:$D$206,1)),""),"")</f>
        <v/>
      </c>
      <c r="E2068">
        <f>IFERROR(IF(AND(A2068&gt;=129,A2068&lt;=2176),INDEX(Fields!$C$2:$C$206,MATCH(A2068-129,Fields!$D$2:$D$206,1)),""),"")</f>
        <v/>
      </c>
    </row>
    <row r="2069">
      <c r="A2069" t="n">
        <v>2068</v>
      </c>
      <c r="B2069">
        <f>IFERROR(INDEX(RawBits!$A:$A,MATCH($A2069,RawBits!$H:$H,0)),"?")</f>
        <v/>
      </c>
      <c r="C2069">
        <f>IFERROR(INDEX(RawBits!$G:$G,MATCH($A2069,RawBits!$H:$H,0)),"")</f>
        <v/>
      </c>
      <c r="D2069">
        <f>IFERROR(IF(AND(A2069&gt;=129,A2069&lt;=2176),INDEX(Fields!$B$2:$B$206,MATCH(A2069-129,Fields!$D$2:$D$206,1)),""),"")</f>
        <v/>
      </c>
      <c r="E2069">
        <f>IFERROR(IF(AND(A2069&gt;=129,A2069&lt;=2176),INDEX(Fields!$C$2:$C$206,MATCH(A2069-129,Fields!$D$2:$D$206,1)),""),"")</f>
        <v/>
      </c>
    </row>
    <row r="2070">
      <c r="A2070" t="n">
        <v>2069</v>
      </c>
      <c r="B2070">
        <f>IFERROR(INDEX(RawBits!$A:$A,MATCH($A2070,RawBits!$H:$H,0)),"?")</f>
        <v/>
      </c>
      <c r="C2070">
        <f>IFERROR(INDEX(RawBits!$G:$G,MATCH($A2070,RawBits!$H:$H,0)),"")</f>
        <v/>
      </c>
      <c r="D2070">
        <f>IFERROR(IF(AND(A2070&gt;=129,A2070&lt;=2176),INDEX(Fields!$B$2:$B$206,MATCH(A2070-129,Fields!$D$2:$D$206,1)),""),"")</f>
        <v/>
      </c>
      <c r="E2070">
        <f>IFERROR(IF(AND(A2070&gt;=129,A2070&lt;=2176),INDEX(Fields!$C$2:$C$206,MATCH(A2070-129,Fields!$D$2:$D$206,1)),""),"")</f>
        <v/>
      </c>
    </row>
    <row r="2071">
      <c r="A2071" t="n">
        <v>2070</v>
      </c>
      <c r="B2071">
        <f>IFERROR(INDEX(RawBits!$A:$A,MATCH($A2071,RawBits!$H:$H,0)),"?")</f>
        <v/>
      </c>
      <c r="C2071">
        <f>IFERROR(INDEX(RawBits!$G:$G,MATCH($A2071,RawBits!$H:$H,0)),"")</f>
        <v/>
      </c>
      <c r="D2071">
        <f>IFERROR(IF(AND(A2071&gt;=129,A2071&lt;=2176),INDEX(Fields!$B$2:$B$206,MATCH(A2071-129,Fields!$D$2:$D$206,1)),""),"")</f>
        <v/>
      </c>
      <c r="E2071">
        <f>IFERROR(IF(AND(A2071&gt;=129,A2071&lt;=2176),INDEX(Fields!$C$2:$C$206,MATCH(A2071-129,Fields!$D$2:$D$206,1)),""),"")</f>
        <v/>
      </c>
    </row>
    <row r="2072">
      <c r="A2072" t="n">
        <v>2071</v>
      </c>
      <c r="B2072">
        <f>IFERROR(INDEX(RawBits!$A:$A,MATCH($A2072,RawBits!$H:$H,0)),"?")</f>
        <v/>
      </c>
      <c r="C2072">
        <f>IFERROR(INDEX(RawBits!$G:$G,MATCH($A2072,RawBits!$H:$H,0)),"")</f>
        <v/>
      </c>
      <c r="D2072">
        <f>IFERROR(IF(AND(A2072&gt;=129,A2072&lt;=2176),INDEX(Fields!$B$2:$B$206,MATCH(A2072-129,Fields!$D$2:$D$206,1)),""),"")</f>
        <v/>
      </c>
      <c r="E2072">
        <f>IFERROR(IF(AND(A2072&gt;=129,A2072&lt;=2176),INDEX(Fields!$C$2:$C$206,MATCH(A2072-129,Fields!$D$2:$D$206,1)),""),"")</f>
        <v/>
      </c>
    </row>
    <row r="2073">
      <c r="A2073" t="n">
        <v>2072</v>
      </c>
      <c r="B2073">
        <f>IFERROR(INDEX(RawBits!$A:$A,MATCH($A2073,RawBits!$H:$H,0)),"?")</f>
        <v/>
      </c>
      <c r="C2073">
        <f>IFERROR(INDEX(RawBits!$G:$G,MATCH($A2073,RawBits!$H:$H,0)),"")</f>
        <v/>
      </c>
      <c r="D2073">
        <f>IFERROR(IF(AND(A2073&gt;=129,A2073&lt;=2176),INDEX(Fields!$B$2:$B$206,MATCH(A2073-129,Fields!$D$2:$D$206,1)),""),"")</f>
        <v/>
      </c>
      <c r="E2073">
        <f>IFERROR(IF(AND(A2073&gt;=129,A2073&lt;=2176),INDEX(Fields!$C$2:$C$206,MATCH(A2073-129,Fields!$D$2:$D$206,1)),""),"")</f>
        <v/>
      </c>
    </row>
    <row r="2074">
      <c r="A2074" t="n">
        <v>2073</v>
      </c>
      <c r="B2074">
        <f>IFERROR(INDEX(RawBits!$A:$A,MATCH($A2074,RawBits!$H:$H,0)),"?")</f>
        <v/>
      </c>
      <c r="C2074">
        <f>IFERROR(INDEX(RawBits!$G:$G,MATCH($A2074,RawBits!$H:$H,0)),"")</f>
        <v/>
      </c>
      <c r="D2074">
        <f>IFERROR(IF(AND(A2074&gt;=129,A2074&lt;=2176),INDEX(Fields!$B$2:$B$206,MATCH(A2074-129,Fields!$D$2:$D$206,1)),""),"")</f>
        <v/>
      </c>
      <c r="E2074">
        <f>IFERROR(IF(AND(A2074&gt;=129,A2074&lt;=2176),INDEX(Fields!$C$2:$C$206,MATCH(A2074-129,Fields!$D$2:$D$206,1)),""),"")</f>
        <v/>
      </c>
    </row>
    <row r="2075">
      <c r="A2075" t="n">
        <v>2074</v>
      </c>
      <c r="B2075">
        <f>IFERROR(INDEX(RawBits!$A:$A,MATCH($A2075,RawBits!$H:$H,0)),"?")</f>
        <v/>
      </c>
      <c r="C2075">
        <f>IFERROR(INDEX(RawBits!$G:$G,MATCH($A2075,RawBits!$H:$H,0)),"")</f>
        <v/>
      </c>
      <c r="D2075">
        <f>IFERROR(IF(AND(A2075&gt;=129,A2075&lt;=2176),INDEX(Fields!$B$2:$B$206,MATCH(A2075-129,Fields!$D$2:$D$206,1)),""),"")</f>
        <v/>
      </c>
      <c r="E2075">
        <f>IFERROR(IF(AND(A2075&gt;=129,A2075&lt;=2176),INDEX(Fields!$C$2:$C$206,MATCH(A2075-129,Fields!$D$2:$D$206,1)),""),"")</f>
        <v/>
      </c>
    </row>
    <row r="2076">
      <c r="A2076" t="n">
        <v>2075</v>
      </c>
      <c r="B2076">
        <f>IFERROR(INDEX(RawBits!$A:$A,MATCH($A2076,RawBits!$H:$H,0)),"?")</f>
        <v/>
      </c>
      <c r="C2076">
        <f>IFERROR(INDEX(RawBits!$G:$G,MATCH($A2076,RawBits!$H:$H,0)),"")</f>
        <v/>
      </c>
      <c r="D2076">
        <f>IFERROR(IF(AND(A2076&gt;=129,A2076&lt;=2176),INDEX(Fields!$B$2:$B$206,MATCH(A2076-129,Fields!$D$2:$D$206,1)),""),"")</f>
        <v/>
      </c>
      <c r="E2076">
        <f>IFERROR(IF(AND(A2076&gt;=129,A2076&lt;=2176),INDEX(Fields!$C$2:$C$206,MATCH(A2076-129,Fields!$D$2:$D$206,1)),""),"")</f>
        <v/>
      </c>
    </row>
    <row r="2077">
      <c r="A2077" t="n">
        <v>2076</v>
      </c>
      <c r="B2077">
        <f>IFERROR(INDEX(RawBits!$A:$A,MATCH($A2077,RawBits!$H:$H,0)),"?")</f>
        <v/>
      </c>
      <c r="C2077">
        <f>IFERROR(INDEX(RawBits!$G:$G,MATCH($A2077,RawBits!$H:$H,0)),"")</f>
        <v/>
      </c>
      <c r="D2077">
        <f>IFERROR(IF(AND(A2077&gt;=129,A2077&lt;=2176),INDEX(Fields!$B$2:$B$206,MATCH(A2077-129,Fields!$D$2:$D$206,1)),""),"")</f>
        <v/>
      </c>
      <c r="E2077">
        <f>IFERROR(IF(AND(A2077&gt;=129,A2077&lt;=2176),INDEX(Fields!$C$2:$C$206,MATCH(A2077-129,Fields!$D$2:$D$206,1)),""),"")</f>
        <v/>
      </c>
    </row>
    <row r="2078">
      <c r="A2078" t="n">
        <v>2077</v>
      </c>
      <c r="B2078">
        <f>IFERROR(INDEX(RawBits!$A:$A,MATCH($A2078,RawBits!$H:$H,0)),"?")</f>
        <v/>
      </c>
      <c r="C2078">
        <f>IFERROR(INDEX(RawBits!$G:$G,MATCH($A2078,RawBits!$H:$H,0)),"")</f>
        <v/>
      </c>
      <c r="D2078">
        <f>IFERROR(IF(AND(A2078&gt;=129,A2078&lt;=2176),INDEX(Fields!$B$2:$B$206,MATCH(A2078-129,Fields!$D$2:$D$206,1)),""),"")</f>
        <v/>
      </c>
      <c r="E2078">
        <f>IFERROR(IF(AND(A2078&gt;=129,A2078&lt;=2176),INDEX(Fields!$C$2:$C$206,MATCH(A2078-129,Fields!$D$2:$D$206,1)),""),"")</f>
        <v/>
      </c>
    </row>
    <row r="2079">
      <c r="A2079" t="n">
        <v>2078</v>
      </c>
      <c r="B2079">
        <f>IFERROR(INDEX(RawBits!$A:$A,MATCH($A2079,RawBits!$H:$H,0)),"?")</f>
        <v/>
      </c>
      <c r="C2079">
        <f>IFERROR(INDEX(RawBits!$G:$G,MATCH($A2079,RawBits!$H:$H,0)),"")</f>
        <v/>
      </c>
      <c r="D2079">
        <f>IFERROR(IF(AND(A2079&gt;=129,A2079&lt;=2176),INDEX(Fields!$B$2:$B$206,MATCH(A2079-129,Fields!$D$2:$D$206,1)),""),"")</f>
        <v/>
      </c>
      <c r="E2079">
        <f>IFERROR(IF(AND(A2079&gt;=129,A2079&lt;=2176),INDEX(Fields!$C$2:$C$206,MATCH(A2079-129,Fields!$D$2:$D$206,1)),""),"")</f>
        <v/>
      </c>
    </row>
    <row r="2080">
      <c r="A2080" t="n">
        <v>2079</v>
      </c>
      <c r="B2080">
        <f>IFERROR(INDEX(RawBits!$A:$A,MATCH($A2080,RawBits!$H:$H,0)),"?")</f>
        <v/>
      </c>
      <c r="C2080">
        <f>IFERROR(INDEX(RawBits!$G:$G,MATCH($A2080,RawBits!$H:$H,0)),"")</f>
        <v/>
      </c>
      <c r="D2080">
        <f>IFERROR(IF(AND(A2080&gt;=129,A2080&lt;=2176),INDEX(Fields!$B$2:$B$206,MATCH(A2080-129,Fields!$D$2:$D$206,1)),""),"")</f>
        <v/>
      </c>
      <c r="E2080">
        <f>IFERROR(IF(AND(A2080&gt;=129,A2080&lt;=2176),INDEX(Fields!$C$2:$C$206,MATCH(A2080-129,Fields!$D$2:$D$206,1)),""),"")</f>
        <v/>
      </c>
    </row>
    <row r="2081">
      <c r="A2081" t="n">
        <v>2080</v>
      </c>
      <c r="B2081">
        <f>IFERROR(INDEX(RawBits!$A:$A,MATCH($A2081,RawBits!$H:$H,0)),"?")</f>
        <v/>
      </c>
      <c r="C2081">
        <f>IFERROR(INDEX(RawBits!$G:$G,MATCH($A2081,RawBits!$H:$H,0)),"")</f>
        <v/>
      </c>
      <c r="D2081">
        <f>IFERROR(IF(AND(A2081&gt;=129,A2081&lt;=2176),INDEX(Fields!$B$2:$B$206,MATCH(A2081-129,Fields!$D$2:$D$206,1)),""),"")</f>
        <v/>
      </c>
      <c r="E2081">
        <f>IFERROR(IF(AND(A2081&gt;=129,A2081&lt;=2176),INDEX(Fields!$C$2:$C$206,MATCH(A2081-129,Fields!$D$2:$D$206,1)),""),"")</f>
        <v/>
      </c>
    </row>
    <row r="2082">
      <c r="A2082" t="n">
        <v>2081</v>
      </c>
      <c r="B2082">
        <f>IFERROR(INDEX(RawBits!$A:$A,MATCH($A2082,RawBits!$H:$H,0)),"?")</f>
        <v/>
      </c>
      <c r="C2082">
        <f>IFERROR(INDEX(RawBits!$G:$G,MATCH($A2082,RawBits!$H:$H,0)),"")</f>
        <v/>
      </c>
      <c r="D2082">
        <f>IFERROR(IF(AND(A2082&gt;=129,A2082&lt;=2176),INDEX(Fields!$B$2:$B$206,MATCH(A2082-129,Fields!$D$2:$D$206,1)),""),"")</f>
        <v/>
      </c>
      <c r="E2082">
        <f>IFERROR(IF(AND(A2082&gt;=129,A2082&lt;=2176),INDEX(Fields!$C$2:$C$206,MATCH(A2082-129,Fields!$D$2:$D$206,1)),""),"")</f>
        <v/>
      </c>
    </row>
    <row r="2083">
      <c r="A2083" t="n">
        <v>2082</v>
      </c>
      <c r="B2083">
        <f>IFERROR(INDEX(RawBits!$A:$A,MATCH($A2083,RawBits!$H:$H,0)),"?")</f>
        <v/>
      </c>
      <c r="C2083">
        <f>IFERROR(INDEX(RawBits!$G:$G,MATCH($A2083,RawBits!$H:$H,0)),"")</f>
        <v/>
      </c>
      <c r="D2083">
        <f>IFERROR(IF(AND(A2083&gt;=129,A2083&lt;=2176),INDEX(Fields!$B$2:$B$206,MATCH(A2083-129,Fields!$D$2:$D$206,1)),""),"")</f>
        <v/>
      </c>
      <c r="E2083">
        <f>IFERROR(IF(AND(A2083&gt;=129,A2083&lt;=2176),INDEX(Fields!$C$2:$C$206,MATCH(A2083-129,Fields!$D$2:$D$206,1)),""),"")</f>
        <v/>
      </c>
    </row>
    <row r="2084">
      <c r="A2084" t="n">
        <v>2083</v>
      </c>
      <c r="B2084">
        <f>IFERROR(INDEX(RawBits!$A:$A,MATCH($A2084,RawBits!$H:$H,0)),"?")</f>
        <v/>
      </c>
      <c r="C2084">
        <f>IFERROR(INDEX(RawBits!$G:$G,MATCH($A2084,RawBits!$H:$H,0)),"")</f>
        <v/>
      </c>
      <c r="D2084">
        <f>IFERROR(IF(AND(A2084&gt;=129,A2084&lt;=2176),INDEX(Fields!$B$2:$B$206,MATCH(A2084-129,Fields!$D$2:$D$206,1)),""),"")</f>
        <v/>
      </c>
      <c r="E2084">
        <f>IFERROR(IF(AND(A2084&gt;=129,A2084&lt;=2176),INDEX(Fields!$C$2:$C$206,MATCH(A2084-129,Fields!$D$2:$D$206,1)),""),"")</f>
        <v/>
      </c>
    </row>
    <row r="2085">
      <c r="A2085" t="n">
        <v>2084</v>
      </c>
      <c r="B2085">
        <f>IFERROR(INDEX(RawBits!$A:$A,MATCH($A2085,RawBits!$H:$H,0)),"?")</f>
        <v/>
      </c>
      <c r="C2085">
        <f>IFERROR(INDEX(RawBits!$G:$G,MATCH($A2085,RawBits!$H:$H,0)),"")</f>
        <v/>
      </c>
      <c r="D2085">
        <f>IFERROR(IF(AND(A2085&gt;=129,A2085&lt;=2176),INDEX(Fields!$B$2:$B$206,MATCH(A2085-129,Fields!$D$2:$D$206,1)),""),"")</f>
        <v/>
      </c>
      <c r="E2085">
        <f>IFERROR(IF(AND(A2085&gt;=129,A2085&lt;=2176),INDEX(Fields!$C$2:$C$206,MATCH(A2085-129,Fields!$D$2:$D$206,1)),""),"")</f>
        <v/>
      </c>
    </row>
    <row r="2086">
      <c r="A2086" t="n">
        <v>2085</v>
      </c>
      <c r="B2086">
        <f>IFERROR(INDEX(RawBits!$A:$A,MATCH($A2086,RawBits!$H:$H,0)),"?")</f>
        <v/>
      </c>
      <c r="C2086">
        <f>IFERROR(INDEX(RawBits!$G:$G,MATCH($A2086,RawBits!$H:$H,0)),"")</f>
        <v/>
      </c>
      <c r="D2086">
        <f>IFERROR(IF(AND(A2086&gt;=129,A2086&lt;=2176),INDEX(Fields!$B$2:$B$206,MATCH(A2086-129,Fields!$D$2:$D$206,1)),""),"")</f>
        <v/>
      </c>
      <c r="E2086">
        <f>IFERROR(IF(AND(A2086&gt;=129,A2086&lt;=2176),INDEX(Fields!$C$2:$C$206,MATCH(A2086-129,Fields!$D$2:$D$206,1)),""),"")</f>
        <v/>
      </c>
    </row>
    <row r="2087">
      <c r="A2087" t="n">
        <v>2086</v>
      </c>
      <c r="B2087">
        <f>IFERROR(INDEX(RawBits!$A:$A,MATCH($A2087,RawBits!$H:$H,0)),"?")</f>
        <v/>
      </c>
      <c r="C2087">
        <f>IFERROR(INDEX(RawBits!$G:$G,MATCH($A2087,RawBits!$H:$H,0)),"")</f>
        <v/>
      </c>
      <c r="D2087">
        <f>IFERROR(IF(AND(A2087&gt;=129,A2087&lt;=2176),INDEX(Fields!$B$2:$B$206,MATCH(A2087-129,Fields!$D$2:$D$206,1)),""),"")</f>
        <v/>
      </c>
      <c r="E2087">
        <f>IFERROR(IF(AND(A2087&gt;=129,A2087&lt;=2176),INDEX(Fields!$C$2:$C$206,MATCH(A2087-129,Fields!$D$2:$D$206,1)),""),"")</f>
        <v/>
      </c>
    </row>
    <row r="2088">
      <c r="A2088" t="n">
        <v>2087</v>
      </c>
      <c r="B2088">
        <f>IFERROR(INDEX(RawBits!$A:$A,MATCH($A2088,RawBits!$H:$H,0)),"?")</f>
        <v/>
      </c>
      <c r="C2088">
        <f>IFERROR(INDEX(RawBits!$G:$G,MATCH($A2088,RawBits!$H:$H,0)),"")</f>
        <v/>
      </c>
      <c r="D2088">
        <f>IFERROR(IF(AND(A2088&gt;=129,A2088&lt;=2176),INDEX(Fields!$B$2:$B$206,MATCH(A2088-129,Fields!$D$2:$D$206,1)),""),"")</f>
        <v/>
      </c>
      <c r="E2088">
        <f>IFERROR(IF(AND(A2088&gt;=129,A2088&lt;=2176),INDEX(Fields!$C$2:$C$206,MATCH(A2088-129,Fields!$D$2:$D$206,1)),""),"")</f>
        <v/>
      </c>
    </row>
    <row r="2089">
      <c r="A2089" t="n">
        <v>2088</v>
      </c>
      <c r="B2089">
        <f>IFERROR(INDEX(RawBits!$A:$A,MATCH($A2089,RawBits!$H:$H,0)),"?")</f>
        <v/>
      </c>
      <c r="C2089">
        <f>IFERROR(INDEX(RawBits!$G:$G,MATCH($A2089,RawBits!$H:$H,0)),"")</f>
        <v/>
      </c>
      <c r="D2089">
        <f>IFERROR(IF(AND(A2089&gt;=129,A2089&lt;=2176),INDEX(Fields!$B$2:$B$206,MATCH(A2089-129,Fields!$D$2:$D$206,1)),""),"")</f>
        <v/>
      </c>
      <c r="E2089">
        <f>IFERROR(IF(AND(A2089&gt;=129,A2089&lt;=2176),INDEX(Fields!$C$2:$C$206,MATCH(A2089-129,Fields!$D$2:$D$206,1)),""),"")</f>
        <v/>
      </c>
    </row>
    <row r="2090">
      <c r="A2090" t="n">
        <v>2089</v>
      </c>
      <c r="B2090">
        <f>IFERROR(INDEX(RawBits!$A:$A,MATCH($A2090,RawBits!$H:$H,0)),"?")</f>
        <v/>
      </c>
      <c r="C2090">
        <f>IFERROR(INDEX(RawBits!$G:$G,MATCH($A2090,RawBits!$H:$H,0)),"")</f>
        <v/>
      </c>
      <c r="D2090">
        <f>IFERROR(IF(AND(A2090&gt;=129,A2090&lt;=2176),INDEX(Fields!$B$2:$B$206,MATCH(A2090-129,Fields!$D$2:$D$206,1)),""),"")</f>
        <v/>
      </c>
      <c r="E2090">
        <f>IFERROR(IF(AND(A2090&gt;=129,A2090&lt;=2176),INDEX(Fields!$C$2:$C$206,MATCH(A2090-129,Fields!$D$2:$D$206,1)),""),"")</f>
        <v/>
      </c>
    </row>
    <row r="2091">
      <c r="A2091" t="n">
        <v>2090</v>
      </c>
      <c r="B2091">
        <f>IFERROR(INDEX(RawBits!$A:$A,MATCH($A2091,RawBits!$H:$H,0)),"?")</f>
        <v/>
      </c>
      <c r="C2091">
        <f>IFERROR(INDEX(RawBits!$G:$G,MATCH($A2091,RawBits!$H:$H,0)),"")</f>
        <v/>
      </c>
      <c r="D2091">
        <f>IFERROR(IF(AND(A2091&gt;=129,A2091&lt;=2176),INDEX(Fields!$B$2:$B$206,MATCH(A2091-129,Fields!$D$2:$D$206,1)),""),"")</f>
        <v/>
      </c>
      <c r="E2091">
        <f>IFERROR(IF(AND(A2091&gt;=129,A2091&lt;=2176),INDEX(Fields!$C$2:$C$206,MATCH(A2091-129,Fields!$D$2:$D$206,1)),""),"")</f>
        <v/>
      </c>
    </row>
    <row r="2092">
      <c r="A2092" t="n">
        <v>2091</v>
      </c>
      <c r="B2092">
        <f>IFERROR(INDEX(RawBits!$A:$A,MATCH($A2092,RawBits!$H:$H,0)),"?")</f>
        <v/>
      </c>
      <c r="C2092">
        <f>IFERROR(INDEX(RawBits!$G:$G,MATCH($A2092,RawBits!$H:$H,0)),"")</f>
        <v/>
      </c>
      <c r="D2092">
        <f>IFERROR(IF(AND(A2092&gt;=129,A2092&lt;=2176),INDEX(Fields!$B$2:$B$206,MATCH(A2092-129,Fields!$D$2:$D$206,1)),""),"")</f>
        <v/>
      </c>
      <c r="E2092">
        <f>IFERROR(IF(AND(A2092&gt;=129,A2092&lt;=2176),INDEX(Fields!$C$2:$C$206,MATCH(A2092-129,Fields!$D$2:$D$206,1)),""),"")</f>
        <v/>
      </c>
    </row>
    <row r="2093">
      <c r="A2093" t="n">
        <v>2092</v>
      </c>
      <c r="B2093">
        <f>IFERROR(INDEX(RawBits!$A:$A,MATCH($A2093,RawBits!$H:$H,0)),"?")</f>
        <v/>
      </c>
      <c r="C2093">
        <f>IFERROR(INDEX(RawBits!$G:$G,MATCH($A2093,RawBits!$H:$H,0)),"")</f>
        <v/>
      </c>
      <c r="D2093">
        <f>IFERROR(IF(AND(A2093&gt;=129,A2093&lt;=2176),INDEX(Fields!$B$2:$B$206,MATCH(A2093-129,Fields!$D$2:$D$206,1)),""),"")</f>
        <v/>
      </c>
      <c r="E2093">
        <f>IFERROR(IF(AND(A2093&gt;=129,A2093&lt;=2176),INDEX(Fields!$C$2:$C$206,MATCH(A2093-129,Fields!$D$2:$D$206,1)),""),"")</f>
        <v/>
      </c>
    </row>
    <row r="2094">
      <c r="A2094" t="n">
        <v>2093</v>
      </c>
      <c r="B2094">
        <f>IFERROR(INDEX(RawBits!$A:$A,MATCH($A2094,RawBits!$H:$H,0)),"?")</f>
        <v/>
      </c>
      <c r="C2094">
        <f>IFERROR(INDEX(RawBits!$G:$G,MATCH($A2094,RawBits!$H:$H,0)),"")</f>
        <v/>
      </c>
      <c r="D2094">
        <f>IFERROR(IF(AND(A2094&gt;=129,A2094&lt;=2176),INDEX(Fields!$B$2:$B$206,MATCH(A2094-129,Fields!$D$2:$D$206,1)),""),"")</f>
        <v/>
      </c>
      <c r="E2094">
        <f>IFERROR(IF(AND(A2094&gt;=129,A2094&lt;=2176),INDEX(Fields!$C$2:$C$206,MATCH(A2094-129,Fields!$D$2:$D$206,1)),""),"")</f>
        <v/>
      </c>
    </row>
    <row r="2095">
      <c r="A2095" t="n">
        <v>2094</v>
      </c>
      <c r="B2095">
        <f>IFERROR(INDEX(RawBits!$A:$A,MATCH($A2095,RawBits!$H:$H,0)),"?")</f>
        <v/>
      </c>
      <c r="C2095">
        <f>IFERROR(INDEX(RawBits!$G:$G,MATCH($A2095,RawBits!$H:$H,0)),"")</f>
        <v/>
      </c>
      <c r="D2095">
        <f>IFERROR(IF(AND(A2095&gt;=129,A2095&lt;=2176),INDEX(Fields!$B$2:$B$206,MATCH(A2095-129,Fields!$D$2:$D$206,1)),""),"")</f>
        <v/>
      </c>
      <c r="E2095">
        <f>IFERROR(IF(AND(A2095&gt;=129,A2095&lt;=2176),INDEX(Fields!$C$2:$C$206,MATCH(A2095-129,Fields!$D$2:$D$206,1)),""),"")</f>
        <v/>
      </c>
    </row>
    <row r="2096">
      <c r="A2096" t="n">
        <v>2095</v>
      </c>
      <c r="B2096">
        <f>IFERROR(INDEX(RawBits!$A:$A,MATCH($A2096,RawBits!$H:$H,0)),"?")</f>
        <v/>
      </c>
      <c r="C2096">
        <f>IFERROR(INDEX(RawBits!$G:$G,MATCH($A2096,RawBits!$H:$H,0)),"")</f>
        <v/>
      </c>
      <c r="D2096">
        <f>IFERROR(IF(AND(A2096&gt;=129,A2096&lt;=2176),INDEX(Fields!$B$2:$B$206,MATCH(A2096-129,Fields!$D$2:$D$206,1)),""),"")</f>
        <v/>
      </c>
      <c r="E2096">
        <f>IFERROR(IF(AND(A2096&gt;=129,A2096&lt;=2176),INDEX(Fields!$C$2:$C$206,MATCH(A2096-129,Fields!$D$2:$D$206,1)),""),"")</f>
        <v/>
      </c>
    </row>
    <row r="2097">
      <c r="A2097" t="n">
        <v>2096</v>
      </c>
      <c r="B2097">
        <f>IFERROR(INDEX(RawBits!$A:$A,MATCH($A2097,RawBits!$H:$H,0)),"?")</f>
        <v/>
      </c>
      <c r="C2097">
        <f>IFERROR(INDEX(RawBits!$G:$G,MATCH($A2097,RawBits!$H:$H,0)),"")</f>
        <v/>
      </c>
      <c r="D2097">
        <f>IFERROR(IF(AND(A2097&gt;=129,A2097&lt;=2176),INDEX(Fields!$B$2:$B$206,MATCH(A2097-129,Fields!$D$2:$D$206,1)),""),"")</f>
        <v/>
      </c>
      <c r="E2097">
        <f>IFERROR(IF(AND(A2097&gt;=129,A2097&lt;=2176),INDEX(Fields!$C$2:$C$206,MATCH(A2097-129,Fields!$D$2:$D$206,1)),""),"")</f>
        <v/>
      </c>
    </row>
    <row r="2098">
      <c r="A2098" t="n">
        <v>2097</v>
      </c>
      <c r="B2098">
        <f>IFERROR(INDEX(RawBits!$A:$A,MATCH($A2098,RawBits!$H:$H,0)),"?")</f>
        <v/>
      </c>
      <c r="C2098">
        <f>IFERROR(INDEX(RawBits!$G:$G,MATCH($A2098,RawBits!$H:$H,0)),"")</f>
        <v/>
      </c>
      <c r="D2098">
        <f>IFERROR(IF(AND(A2098&gt;=129,A2098&lt;=2176),INDEX(Fields!$B$2:$B$206,MATCH(A2098-129,Fields!$D$2:$D$206,1)),""),"")</f>
        <v/>
      </c>
      <c r="E2098">
        <f>IFERROR(IF(AND(A2098&gt;=129,A2098&lt;=2176),INDEX(Fields!$C$2:$C$206,MATCH(A2098-129,Fields!$D$2:$D$206,1)),""),"")</f>
        <v/>
      </c>
    </row>
    <row r="2099">
      <c r="A2099" t="n">
        <v>2098</v>
      </c>
      <c r="B2099">
        <f>IFERROR(INDEX(RawBits!$A:$A,MATCH($A2099,RawBits!$H:$H,0)),"?")</f>
        <v/>
      </c>
      <c r="C2099">
        <f>IFERROR(INDEX(RawBits!$G:$G,MATCH($A2099,RawBits!$H:$H,0)),"")</f>
        <v/>
      </c>
      <c r="D2099">
        <f>IFERROR(IF(AND(A2099&gt;=129,A2099&lt;=2176),INDEX(Fields!$B$2:$B$206,MATCH(A2099-129,Fields!$D$2:$D$206,1)),""),"")</f>
        <v/>
      </c>
      <c r="E2099">
        <f>IFERROR(IF(AND(A2099&gt;=129,A2099&lt;=2176),INDEX(Fields!$C$2:$C$206,MATCH(A2099-129,Fields!$D$2:$D$206,1)),""),"")</f>
        <v/>
      </c>
    </row>
    <row r="2100">
      <c r="A2100" t="n">
        <v>2099</v>
      </c>
      <c r="B2100">
        <f>IFERROR(INDEX(RawBits!$A:$A,MATCH($A2100,RawBits!$H:$H,0)),"?")</f>
        <v/>
      </c>
      <c r="C2100">
        <f>IFERROR(INDEX(RawBits!$G:$G,MATCH($A2100,RawBits!$H:$H,0)),"")</f>
        <v/>
      </c>
      <c r="D2100">
        <f>IFERROR(IF(AND(A2100&gt;=129,A2100&lt;=2176),INDEX(Fields!$B$2:$B$206,MATCH(A2100-129,Fields!$D$2:$D$206,1)),""),"")</f>
        <v/>
      </c>
      <c r="E2100">
        <f>IFERROR(IF(AND(A2100&gt;=129,A2100&lt;=2176),INDEX(Fields!$C$2:$C$206,MATCH(A2100-129,Fields!$D$2:$D$206,1)),""),"")</f>
        <v/>
      </c>
    </row>
    <row r="2101">
      <c r="A2101" t="n">
        <v>2100</v>
      </c>
      <c r="B2101">
        <f>IFERROR(INDEX(RawBits!$A:$A,MATCH($A2101,RawBits!$H:$H,0)),"?")</f>
        <v/>
      </c>
      <c r="C2101">
        <f>IFERROR(INDEX(RawBits!$G:$G,MATCH($A2101,RawBits!$H:$H,0)),"")</f>
        <v/>
      </c>
      <c r="D2101">
        <f>IFERROR(IF(AND(A2101&gt;=129,A2101&lt;=2176),INDEX(Fields!$B$2:$B$206,MATCH(A2101-129,Fields!$D$2:$D$206,1)),""),"")</f>
        <v/>
      </c>
      <c r="E2101">
        <f>IFERROR(IF(AND(A2101&gt;=129,A2101&lt;=2176),INDEX(Fields!$C$2:$C$206,MATCH(A2101-129,Fields!$D$2:$D$206,1)),""),"")</f>
        <v/>
      </c>
    </row>
    <row r="2102">
      <c r="A2102" t="n">
        <v>2101</v>
      </c>
      <c r="B2102">
        <f>IFERROR(INDEX(RawBits!$A:$A,MATCH($A2102,RawBits!$H:$H,0)),"?")</f>
        <v/>
      </c>
      <c r="C2102">
        <f>IFERROR(INDEX(RawBits!$G:$G,MATCH($A2102,RawBits!$H:$H,0)),"")</f>
        <v/>
      </c>
      <c r="D2102">
        <f>IFERROR(IF(AND(A2102&gt;=129,A2102&lt;=2176),INDEX(Fields!$B$2:$B$206,MATCH(A2102-129,Fields!$D$2:$D$206,1)),""),"")</f>
        <v/>
      </c>
      <c r="E2102">
        <f>IFERROR(IF(AND(A2102&gt;=129,A2102&lt;=2176),INDEX(Fields!$C$2:$C$206,MATCH(A2102-129,Fields!$D$2:$D$206,1)),""),"")</f>
        <v/>
      </c>
    </row>
    <row r="2103">
      <c r="A2103" t="n">
        <v>2102</v>
      </c>
      <c r="B2103">
        <f>IFERROR(INDEX(RawBits!$A:$A,MATCH($A2103,RawBits!$H:$H,0)),"?")</f>
        <v/>
      </c>
      <c r="C2103">
        <f>IFERROR(INDEX(RawBits!$G:$G,MATCH($A2103,RawBits!$H:$H,0)),"")</f>
        <v/>
      </c>
      <c r="D2103">
        <f>IFERROR(IF(AND(A2103&gt;=129,A2103&lt;=2176),INDEX(Fields!$B$2:$B$206,MATCH(A2103-129,Fields!$D$2:$D$206,1)),""),"")</f>
        <v/>
      </c>
      <c r="E2103">
        <f>IFERROR(IF(AND(A2103&gt;=129,A2103&lt;=2176),INDEX(Fields!$C$2:$C$206,MATCH(A2103-129,Fields!$D$2:$D$206,1)),""),"")</f>
        <v/>
      </c>
    </row>
    <row r="2104">
      <c r="A2104" t="n">
        <v>2103</v>
      </c>
      <c r="B2104">
        <f>IFERROR(INDEX(RawBits!$A:$A,MATCH($A2104,RawBits!$H:$H,0)),"?")</f>
        <v/>
      </c>
      <c r="C2104">
        <f>IFERROR(INDEX(RawBits!$G:$G,MATCH($A2104,RawBits!$H:$H,0)),"")</f>
        <v/>
      </c>
      <c r="D2104">
        <f>IFERROR(IF(AND(A2104&gt;=129,A2104&lt;=2176),INDEX(Fields!$B$2:$B$206,MATCH(A2104-129,Fields!$D$2:$D$206,1)),""),"")</f>
        <v/>
      </c>
      <c r="E2104">
        <f>IFERROR(IF(AND(A2104&gt;=129,A2104&lt;=2176),INDEX(Fields!$C$2:$C$206,MATCH(A2104-129,Fields!$D$2:$D$206,1)),""),"")</f>
        <v/>
      </c>
    </row>
    <row r="2105">
      <c r="A2105" t="n">
        <v>2104</v>
      </c>
      <c r="B2105">
        <f>IFERROR(INDEX(RawBits!$A:$A,MATCH($A2105,RawBits!$H:$H,0)),"?")</f>
        <v/>
      </c>
      <c r="C2105">
        <f>IFERROR(INDEX(RawBits!$G:$G,MATCH($A2105,RawBits!$H:$H,0)),"")</f>
        <v/>
      </c>
      <c r="D2105">
        <f>IFERROR(IF(AND(A2105&gt;=129,A2105&lt;=2176),INDEX(Fields!$B$2:$B$206,MATCH(A2105-129,Fields!$D$2:$D$206,1)),""),"")</f>
        <v/>
      </c>
      <c r="E2105">
        <f>IFERROR(IF(AND(A2105&gt;=129,A2105&lt;=2176),INDEX(Fields!$C$2:$C$206,MATCH(A2105-129,Fields!$D$2:$D$206,1)),""),"")</f>
        <v/>
      </c>
    </row>
    <row r="2106">
      <c r="A2106" t="n">
        <v>2105</v>
      </c>
      <c r="B2106">
        <f>IFERROR(INDEX(RawBits!$A:$A,MATCH($A2106,RawBits!$H:$H,0)),"?")</f>
        <v/>
      </c>
      <c r="C2106">
        <f>IFERROR(INDEX(RawBits!$G:$G,MATCH($A2106,RawBits!$H:$H,0)),"")</f>
        <v/>
      </c>
      <c r="D2106">
        <f>IFERROR(IF(AND(A2106&gt;=129,A2106&lt;=2176),INDEX(Fields!$B$2:$B$206,MATCH(A2106-129,Fields!$D$2:$D$206,1)),""),"")</f>
        <v/>
      </c>
      <c r="E2106">
        <f>IFERROR(IF(AND(A2106&gt;=129,A2106&lt;=2176),INDEX(Fields!$C$2:$C$206,MATCH(A2106-129,Fields!$D$2:$D$206,1)),""),"")</f>
        <v/>
      </c>
    </row>
    <row r="2107">
      <c r="A2107" t="n">
        <v>2106</v>
      </c>
      <c r="B2107">
        <f>IFERROR(INDEX(RawBits!$A:$A,MATCH($A2107,RawBits!$H:$H,0)),"?")</f>
        <v/>
      </c>
      <c r="C2107">
        <f>IFERROR(INDEX(RawBits!$G:$G,MATCH($A2107,RawBits!$H:$H,0)),"")</f>
        <v/>
      </c>
      <c r="D2107">
        <f>IFERROR(IF(AND(A2107&gt;=129,A2107&lt;=2176),INDEX(Fields!$B$2:$B$206,MATCH(A2107-129,Fields!$D$2:$D$206,1)),""),"")</f>
        <v/>
      </c>
      <c r="E2107">
        <f>IFERROR(IF(AND(A2107&gt;=129,A2107&lt;=2176),INDEX(Fields!$C$2:$C$206,MATCH(A2107-129,Fields!$D$2:$D$206,1)),""),"")</f>
        <v/>
      </c>
    </row>
    <row r="2108">
      <c r="A2108" t="n">
        <v>2107</v>
      </c>
      <c r="B2108">
        <f>IFERROR(INDEX(RawBits!$A:$A,MATCH($A2108,RawBits!$H:$H,0)),"?")</f>
        <v/>
      </c>
      <c r="C2108">
        <f>IFERROR(INDEX(RawBits!$G:$G,MATCH($A2108,RawBits!$H:$H,0)),"")</f>
        <v/>
      </c>
      <c r="D2108">
        <f>IFERROR(IF(AND(A2108&gt;=129,A2108&lt;=2176),INDEX(Fields!$B$2:$B$206,MATCH(A2108-129,Fields!$D$2:$D$206,1)),""),"")</f>
        <v/>
      </c>
      <c r="E2108">
        <f>IFERROR(IF(AND(A2108&gt;=129,A2108&lt;=2176),INDEX(Fields!$C$2:$C$206,MATCH(A2108-129,Fields!$D$2:$D$206,1)),""),"")</f>
        <v/>
      </c>
    </row>
    <row r="2109">
      <c r="A2109" t="n">
        <v>2108</v>
      </c>
      <c r="B2109">
        <f>IFERROR(INDEX(RawBits!$A:$A,MATCH($A2109,RawBits!$H:$H,0)),"?")</f>
        <v/>
      </c>
      <c r="C2109">
        <f>IFERROR(INDEX(RawBits!$G:$G,MATCH($A2109,RawBits!$H:$H,0)),"")</f>
        <v/>
      </c>
      <c r="D2109">
        <f>IFERROR(IF(AND(A2109&gt;=129,A2109&lt;=2176),INDEX(Fields!$B$2:$B$206,MATCH(A2109-129,Fields!$D$2:$D$206,1)),""),"")</f>
        <v/>
      </c>
      <c r="E2109">
        <f>IFERROR(IF(AND(A2109&gt;=129,A2109&lt;=2176),INDEX(Fields!$C$2:$C$206,MATCH(A2109-129,Fields!$D$2:$D$206,1)),""),"")</f>
        <v/>
      </c>
    </row>
    <row r="2110">
      <c r="A2110" t="n">
        <v>2109</v>
      </c>
      <c r="B2110">
        <f>IFERROR(INDEX(RawBits!$A:$A,MATCH($A2110,RawBits!$H:$H,0)),"?")</f>
        <v/>
      </c>
      <c r="C2110">
        <f>IFERROR(INDEX(RawBits!$G:$G,MATCH($A2110,RawBits!$H:$H,0)),"")</f>
        <v/>
      </c>
      <c r="D2110">
        <f>IFERROR(IF(AND(A2110&gt;=129,A2110&lt;=2176),INDEX(Fields!$B$2:$B$206,MATCH(A2110-129,Fields!$D$2:$D$206,1)),""),"")</f>
        <v/>
      </c>
      <c r="E2110">
        <f>IFERROR(IF(AND(A2110&gt;=129,A2110&lt;=2176),INDEX(Fields!$C$2:$C$206,MATCH(A2110-129,Fields!$D$2:$D$206,1)),""),"")</f>
        <v/>
      </c>
    </row>
    <row r="2111">
      <c r="A2111" t="n">
        <v>2110</v>
      </c>
      <c r="B2111">
        <f>IFERROR(INDEX(RawBits!$A:$A,MATCH($A2111,RawBits!$H:$H,0)),"?")</f>
        <v/>
      </c>
      <c r="C2111">
        <f>IFERROR(INDEX(RawBits!$G:$G,MATCH($A2111,RawBits!$H:$H,0)),"")</f>
        <v/>
      </c>
      <c r="D2111">
        <f>IFERROR(IF(AND(A2111&gt;=129,A2111&lt;=2176),INDEX(Fields!$B$2:$B$206,MATCH(A2111-129,Fields!$D$2:$D$206,1)),""),"")</f>
        <v/>
      </c>
      <c r="E2111">
        <f>IFERROR(IF(AND(A2111&gt;=129,A2111&lt;=2176),INDEX(Fields!$C$2:$C$206,MATCH(A2111-129,Fields!$D$2:$D$206,1)),""),"")</f>
        <v/>
      </c>
    </row>
    <row r="2112">
      <c r="A2112" t="n">
        <v>2111</v>
      </c>
      <c r="B2112">
        <f>IFERROR(INDEX(RawBits!$A:$A,MATCH($A2112,RawBits!$H:$H,0)),"?")</f>
        <v/>
      </c>
      <c r="C2112">
        <f>IFERROR(INDEX(RawBits!$G:$G,MATCH($A2112,RawBits!$H:$H,0)),"")</f>
        <v/>
      </c>
      <c r="D2112">
        <f>IFERROR(IF(AND(A2112&gt;=129,A2112&lt;=2176),INDEX(Fields!$B$2:$B$206,MATCH(A2112-129,Fields!$D$2:$D$206,1)),""),"")</f>
        <v/>
      </c>
      <c r="E2112">
        <f>IFERROR(IF(AND(A2112&gt;=129,A2112&lt;=2176),INDEX(Fields!$C$2:$C$206,MATCH(A2112-129,Fields!$D$2:$D$206,1)),""),"")</f>
        <v/>
      </c>
    </row>
    <row r="2113">
      <c r="A2113" t="n">
        <v>2112</v>
      </c>
      <c r="B2113">
        <f>IFERROR(INDEX(RawBits!$A:$A,MATCH($A2113,RawBits!$H:$H,0)),"?")</f>
        <v/>
      </c>
      <c r="C2113">
        <f>IFERROR(INDEX(RawBits!$G:$G,MATCH($A2113,RawBits!$H:$H,0)),"")</f>
        <v/>
      </c>
      <c r="D2113">
        <f>IFERROR(IF(AND(A2113&gt;=129,A2113&lt;=2176),INDEX(Fields!$B$2:$B$206,MATCH(A2113-129,Fields!$D$2:$D$206,1)),""),"")</f>
        <v/>
      </c>
      <c r="E2113">
        <f>IFERROR(IF(AND(A2113&gt;=129,A2113&lt;=2176),INDEX(Fields!$C$2:$C$206,MATCH(A2113-129,Fields!$D$2:$D$206,1)),""),"")</f>
        <v/>
      </c>
    </row>
    <row r="2114">
      <c r="A2114" t="n">
        <v>2113</v>
      </c>
      <c r="B2114">
        <f>IFERROR(INDEX(RawBits!$A:$A,MATCH($A2114,RawBits!$H:$H,0)),"?")</f>
        <v/>
      </c>
      <c r="C2114">
        <f>IFERROR(INDEX(RawBits!$G:$G,MATCH($A2114,RawBits!$H:$H,0)),"")</f>
        <v/>
      </c>
      <c r="D2114">
        <f>IFERROR(IF(AND(A2114&gt;=129,A2114&lt;=2176),INDEX(Fields!$B$2:$B$206,MATCH(A2114-129,Fields!$D$2:$D$206,1)),""),"")</f>
        <v/>
      </c>
      <c r="E2114">
        <f>IFERROR(IF(AND(A2114&gt;=129,A2114&lt;=2176),INDEX(Fields!$C$2:$C$206,MATCH(A2114-129,Fields!$D$2:$D$206,1)),""),"")</f>
        <v/>
      </c>
    </row>
    <row r="2115">
      <c r="A2115" t="n">
        <v>2114</v>
      </c>
      <c r="B2115">
        <f>IFERROR(INDEX(RawBits!$A:$A,MATCH($A2115,RawBits!$H:$H,0)),"?")</f>
        <v/>
      </c>
      <c r="C2115">
        <f>IFERROR(INDEX(RawBits!$G:$G,MATCH($A2115,RawBits!$H:$H,0)),"")</f>
        <v/>
      </c>
      <c r="D2115">
        <f>IFERROR(IF(AND(A2115&gt;=129,A2115&lt;=2176),INDEX(Fields!$B$2:$B$206,MATCH(A2115-129,Fields!$D$2:$D$206,1)),""),"")</f>
        <v/>
      </c>
      <c r="E2115">
        <f>IFERROR(IF(AND(A2115&gt;=129,A2115&lt;=2176),INDEX(Fields!$C$2:$C$206,MATCH(A2115-129,Fields!$D$2:$D$206,1)),""),"")</f>
        <v/>
      </c>
    </row>
    <row r="2116">
      <c r="A2116" t="n">
        <v>2115</v>
      </c>
      <c r="B2116">
        <f>IFERROR(INDEX(RawBits!$A:$A,MATCH($A2116,RawBits!$H:$H,0)),"?")</f>
        <v/>
      </c>
      <c r="C2116">
        <f>IFERROR(INDEX(RawBits!$G:$G,MATCH($A2116,RawBits!$H:$H,0)),"")</f>
        <v/>
      </c>
      <c r="D2116">
        <f>IFERROR(IF(AND(A2116&gt;=129,A2116&lt;=2176),INDEX(Fields!$B$2:$B$206,MATCH(A2116-129,Fields!$D$2:$D$206,1)),""),"")</f>
        <v/>
      </c>
      <c r="E2116">
        <f>IFERROR(IF(AND(A2116&gt;=129,A2116&lt;=2176),INDEX(Fields!$C$2:$C$206,MATCH(A2116-129,Fields!$D$2:$D$206,1)),""),"")</f>
        <v/>
      </c>
    </row>
    <row r="2117">
      <c r="A2117" t="n">
        <v>2116</v>
      </c>
      <c r="B2117">
        <f>IFERROR(INDEX(RawBits!$A:$A,MATCH($A2117,RawBits!$H:$H,0)),"?")</f>
        <v/>
      </c>
      <c r="C2117">
        <f>IFERROR(INDEX(RawBits!$G:$G,MATCH($A2117,RawBits!$H:$H,0)),"")</f>
        <v/>
      </c>
      <c r="D2117">
        <f>IFERROR(IF(AND(A2117&gt;=129,A2117&lt;=2176),INDEX(Fields!$B$2:$B$206,MATCH(A2117-129,Fields!$D$2:$D$206,1)),""),"")</f>
        <v/>
      </c>
      <c r="E2117">
        <f>IFERROR(IF(AND(A2117&gt;=129,A2117&lt;=2176),INDEX(Fields!$C$2:$C$206,MATCH(A2117-129,Fields!$D$2:$D$206,1)),""),"")</f>
        <v/>
      </c>
    </row>
    <row r="2118">
      <c r="A2118" t="n">
        <v>2117</v>
      </c>
      <c r="B2118">
        <f>IFERROR(INDEX(RawBits!$A:$A,MATCH($A2118,RawBits!$H:$H,0)),"?")</f>
        <v/>
      </c>
      <c r="C2118">
        <f>IFERROR(INDEX(RawBits!$G:$G,MATCH($A2118,RawBits!$H:$H,0)),"")</f>
        <v/>
      </c>
      <c r="D2118">
        <f>IFERROR(IF(AND(A2118&gt;=129,A2118&lt;=2176),INDEX(Fields!$B$2:$B$206,MATCH(A2118-129,Fields!$D$2:$D$206,1)),""),"")</f>
        <v/>
      </c>
      <c r="E2118">
        <f>IFERROR(IF(AND(A2118&gt;=129,A2118&lt;=2176),INDEX(Fields!$C$2:$C$206,MATCH(A2118-129,Fields!$D$2:$D$206,1)),""),"")</f>
        <v/>
      </c>
    </row>
    <row r="2119">
      <c r="A2119" t="n">
        <v>2118</v>
      </c>
      <c r="B2119">
        <f>IFERROR(INDEX(RawBits!$A:$A,MATCH($A2119,RawBits!$H:$H,0)),"?")</f>
        <v/>
      </c>
      <c r="C2119">
        <f>IFERROR(INDEX(RawBits!$G:$G,MATCH($A2119,RawBits!$H:$H,0)),"")</f>
        <v/>
      </c>
      <c r="D2119">
        <f>IFERROR(IF(AND(A2119&gt;=129,A2119&lt;=2176),INDEX(Fields!$B$2:$B$206,MATCH(A2119-129,Fields!$D$2:$D$206,1)),""),"")</f>
        <v/>
      </c>
      <c r="E2119">
        <f>IFERROR(IF(AND(A2119&gt;=129,A2119&lt;=2176),INDEX(Fields!$C$2:$C$206,MATCH(A2119-129,Fields!$D$2:$D$206,1)),""),"")</f>
        <v/>
      </c>
    </row>
    <row r="2120">
      <c r="A2120" t="n">
        <v>2119</v>
      </c>
      <c r="B2120">
        <f>IFERROR(INDEX(RawBits!$A:$A,MATCH($A2120,RawBits!$H:$H,0)),"?")</f>
        <v/>
      </c>
      <c r="C2120">
        <f>IFERROR(INDEX(RawBits!$G:$G,MATCH($A2120,RawBits!$H:$H,0)),"")</f>
        <v/>
      </c>
      <c r="D2120">
        <f>IFERROR(IF(AND(A2120&gt;=129,A2120&lt;=2176),INDEX(Fields!$B$2:$B$206,MATCH(A2120-129,Fields!$D$2:$D$206,1)),""),"")</f>
        <v/>
      </c>
      <c r="E2120">
        <f>IFERROR(IF(AND(A2120&gt;=129,A2120&lt;=2176),INDEX(Fields!$C$2:$C$206,MATCH(A2120-129,Fields!$D$2:$D$206,1)),""),"")</f>
        <v/>
      </c>
    </row>
    <row r="2121">
      <c r="A2121" t="n">
        <v>2120</v>
      </c>
      <c r="B2121">
        <f>IFERROR(INDEX(RawBits!$A:$A,MATCH($A2121,RawBits!$H:$H,0)),"?")</f>
        <v/>
      </c>
      <c r="C2121">
        <f>IFERROR(INDEX(RawBits!$G:$G,MATCH($A2121,RawBits!$H:$H,0)),"")</f>
        <v/>
      </c>
      <c r="D2121">
        <f>IFERROR(IF(AND(A2121&gt;=129,A2121&lt;=2176),INDEX(Fields!$B$2:$B$206,MATCH(A2121-129,Fields!$D$2:$D$206,1)),""),"")</f>
        <v/>
      </c>
      <c r="E2121">
        <f>IFERROR(IF(AND(A2121&gt;=129,A2121&lt;=2176),INDEX(Fields!$C$2:$C$206,MATCH(A2121-129,Fields!$D$2:$D$206,1)),""),"")</f>
        <v/>
      </c>
    </row>
    <row r="2122">
      <c r="A2122" t="n">
        <v>2121</v>
      </c>
      <c r="B2122">
        <f>IFERROR(INDEX(RawBits!$A:$A,MATCH($A2122,RawBits!$H:$H,0)),"?")</f>
        <v/>
      </c>
      <c r="C2122">
        <f>IFERROR(INDEX(RawBits!$G:$G,MATCH($A2122,RawBits!$H:$H,0)),"")</f>
        <v/>
      </c>
      <c r="D2122">
        <f>IFERROR(IF(AND(A2122&gt;=129,A2122&lt;=2176),INDEX(Fields!$B$2:$B$206,MATCH(A2122-129,Fields!$D$2:$D$206,1)),""),"")</f>
        <v/>
      </c>
      <c r="E2122">
        <f>IFERROR(IF(AND(A2122&gt;=129,A2122&lt;=2176),INDEX(Fields!$C$2:$C$206,MATCH(A2122-129,Fields!$D$2:$D$206,1)),""),"")</f>
        <v/>
      </c>
    </row>
    <row r="2123">
      <c r="A2123" t="n">
        <v>2122</v>
      </c>
      <c r="B2123">
        <f>IFERROR(INDEX(RawBits!$A:$A,MATCH($A2123,RawBits!$H:$H,0)),"?")</f>
        <v/>
      </c>
      <c r="C2123">
        <f>IFERROR(INDEX(RawBits!$G:$G,MATCH($A2123,RawBits!$H:$H,0)),"")</f>
        <v/>
      </c>
      <c r="D2123">
        <f>IFERROR(IF(AND(A2123&gt;=129,A2123&lt;=2176),INDEX(Fields!$B$2:$B$206,MATCH(A2123-129,Fields!$D$2:$D$206,1)),""),"")</f>
        <v/>
      </c>
      <c r="E2123">
        <f>IFERROR(IF(AND(A2123&gt;=129,A2123&lt;=2176),INDEX(Fields!$C$2:$C$206,MATCH(A2123-129,Fields!$D$2:$D$206,1)),""),"")</f>
        <v/>
      </c>
    </row>
    <row r="2124">
      <c r="A2124" t="n">
        <v>2123</v>
      </c>
      <c r="B2124">
        <f>IFERROR(INDEX(RawBits!$A:$A,MATCH($A2124,RawBits!$H:$H,0)),"?")</f>
        <v/>
      </c>
      <c r="C2124">
        <f>IFERROR(INDEX(RawBits!$G:$G,MATCH($A2124,RawBits!$H:$H,0)),"")</f>
        <v/>
      </c>
      <c r="D2124">
        <f>IFERROR(IF(AND(A2124&gt;=129,A2124&lt;=2176),INDEX(Fields!$B$2:$B$206,MATCH(A2124-129,Fields!$D$2:$D$206,1)),""),"")</f>
        <v/>
      </c>
      <c r="E2124">
        <f>IFERROR(IF(AND(A2124&gt;=129,A2124&lt;=2176),INDEX(Fields!$C$2:$C$206,MATCH(A2124-129,Fields!$D$2:$D$206,1)),""),"")</f>
        <v/>
      </c>
    </row>
    <row r="2125">
      <c r="A2125" t="n">
        <v>2124</v>
      </c>
      <c r="B2125">
        <f>IFERROR(INDEX(RawBits!$A:$A,MATCH($A2125,RawBits!$H:$H,0)),"?")</f>
        <v/>
      </c>
      <c r="C2125">
        <f>IFERROR(INDEX(RawBits!$G:$G,MATCH($A2125,RawBits!$H:$H,0)),"")</f>
        <v/>
      </c>
      <c r="D2125">
        <f>IFERROR(IF(AND(A2125&gt;=129,A2125&lt;=2176),INDEX(Fields!$B$2:$B$206,MATCH(A2125-129,Fields!$D$2:$D$206,1)),""),"")</f>
        <v/>
      </c>
      <c r="E2125">
        <f>IFERROR(IF(AND(A2125&gt;=129,A2125&lt;=2176),INDEX(Fields!$C$2:$C$206,MATCH(A2125-129,Fields!$D$2:$D$206,1)),""),"")</f>
        <v/>
      </c>
    </row>
    <row r="2126">
      <c r="A2126" t="n">
        <v>2125</v>
      </c>
      <c r="B2126">
        <f>IFERROR(INDEX(RawBits!$A:$A,MATCH($A2126,RawBits!$H:$H,0)),"?")</f>
        <v/>
      </c>
      <c r="C2126">
        <f>IFERROR(INDEX(RawBits!$G:$G,MATCH($A2126,RawBits!$H:$H,0)),"")</f>
        <v/>
      </c>
      <c r="D2126">
        <f>IFERROR(IF(AND(A2126&gt;=129,A2126&lt;=2176),INDEX(Fields!$B$2:$B$206,MATCH(A2126-129,Fields!$D$2:$D$206,1)),""),"")</f>
        <v/>
      </c>
      <c r="E2126">
        <f>IFERROR(IF(AND(A2126&gt;=129,A2126&lt;=2176),INDEX(Fields!$C$2:$C$206,MATCH(A2126-129,Fields!$D$2:$D$206,1)),""),"")</f>
        <v/>
      </c>
    </row>
    <row r="2127">
      <c r="A2127" t="n">
        <v>2126</v>
      </c>
      <c r="B2127">
        <f>IFERROR(INDEX(RawBits!$A:$A,MATCH($A2127,RawBits!$H:$H,0)),"?")</f>
        <v/>
      </c>
      <c r="C2127">
        <f>IFERROR(INDEX(RawBits!$G:$G,MATCH($A2127,RawBits!$H:$H,0)),"")</f>
        <v/>
      </c>
      <c r="D2127">
        <f>IFERROR(IF(AND(A2127&gt;=129,A2127&lt;=2176),INDEX(Fields!$B$2:$B$206,MATCH(A2127-129,Fields!$D$2:$D$206,1)),""),"")</f>
        <v/>
      </c>
      <c r="E2127">
        <f>IFERROR(IF(AND(A2127&gt;=129,A2127&lt;=2176),INDEX(Fields!$C$2:$C$206,MATCH(A2127-129,Fields!$D$2:$D$206,1)),""),"")</f>
        <v/>
      </c>
    </row>
    <row r="2128">
      <c r="A2128" t="n">
        <v>2127</v>
      </c>
      <c r="B2128">
        <f>IFERROR(INDEX(RawBits!$A:$A,MATCH($A2128,RawBits!$H:$H,0)),"?")</f>
        <v/>
      </c>
      <c r="C2128">
        <f>IFERROR(INDEX(RawBits!$G:$G,MATCH($A2128,RawBits!$H:$H,0)),"")</f>
        <v/>
      </c>
      <c r="D2128">
        <f>IFERROR(IF(AND(A2128&gt;=129,A2128&lt;=2176),INDEX(Fields!$B$2:$B$206,MATCH(A2128-129,Fields!$D$2:$D$206,1)),""),"")</f>
        <v/>
      </c>
      <c r="E2128">
        <f>IFERROR(IF(AND(A2128&gt;=129,A2128&lt;=2176),INDEX(Fields!$C$2:$C$206,MATCH(A2128-129,Fields!$D$2:$D$206,1)),""),"")</f>
        <v/>
      </c>
    </row>
    <row r="2129">
      <c r="A2129" t="n">
        <v>2128</v>
      </c>
      <c r="B2129">
        <f>IFERROR(INDEX(RawBits!$A:$A,MATCH($A2129,RawBits!$H:$H,0)),"?")</f>
        <v/>
      </c>
      <c r="C2129">
        <f>IFERROR(INDEX(RawBits!$G:$G,MATCH($A2129,RawBits!$H:$H,0)),"")</f>
        <v/>
      </c>
      <c r="D2129">
        <f>IFERROR(IF(AND(A2129&gt;=129,A2129&lt;=2176),INDEX(Fields!$B$2:$B$206,MATCH(A2129-129,Fields!$D$2:$D$206,1)),""),"")</f>
        <v/>
      </c>
      <c r="E2129">
        <f>IFERROR(IF(AND(A2129&gt;=129,A2129&lt;=2176),INDEX(Fields!$C$2:$C$206,MATCH(A2129-129,Fields!$D$2:$D$206,1)),""),"")</f>
        <v/>
      </c>
    </row>
    <row r="2130">
      <c r="A2130" t="n">
        <v>2129</v>
      </c>
      <c r="B2130">
        <f>IFERROR(INDEX(RawBits!$A:$A,MATCH($A2130,RawBits!$H:$H,0)),"?")</f>
        <v/>
      </c>
      <c r="C2130">
        <f>IFERROR(INDEX(RawBits!$G:$G,MATCH($A2130,RawBits!$H:$H,0)),"")</f>
        <v/>
      </c>
      <c r="D2130">
        <f>IFERROR(IF(AND(A2130&gt;=129,A2130&lt;=2176),INDEX(Fields!$B$2:$B$206,MATCH(A2130-129,Fields!$D$2:$D$206,1)),""),"")</f>
        <v/>
      </c>
      <c r="E2130">
        <f>IFERROR(IF(AND(A2130&gt;=129,A2130&lt;=2176),INDEX(Fields!$C$2:$C$206,MATCH(A2130-129,Fields!$D$2:$D$206,1)),""),"")</f>
        <v/>
      </c>
    </row>
    <row r="2131">
      <c r="A2131" t="n">
        <v>2130</v>
      </c>
      <c r="B2131">
        <f>IFERROR(INDEX(RawBits!$A:$A,MATCH($A2131,RawBits!$H:$H,0)),"?")</f>
        <v/>
      </c>
      <c r="C2131">
        <f>IFERROR(INDEX(RawBits!$G:$G,MATCH($A2131,RawBits!$H:$H,0)),"")</f>
        <v/>
      </c>
      <c r="D2131">
        <f>IFERROR(IF(AND(A2131&gt;=129,A2131&lt;=2176),INDEX(Fields!$B$2:$B$206,MATCH(A2131-129,Fields!$D$2:$D$206,1)),""),"")</f>
        <v/>
      </c>
      <c r="E2131">
        <f>IFERROR(IF(AND(A2131&gt;=129,A2131&lt;=2176),INDEX(Fields!$C$2:$C$206,MATCH(A2131-129,Fields!$D$2:$D$206,1)),""),"")</f>
        <v/>
      </c>
    </row>
    <row r="2132">
      <c r="A2132" t="n">
        <v>2131</v>
      </c>
      <c r="B2132">
        <f>IFERROR(INDEX(RawBits!$A:$A,MATCH($A2132,RawBits!$H:$H,0)),"?")</f>
        <v/>
      </c>
      <c r="C2132">
        <f>IFERROR(INDEX(RawBits!$G:$G,MATCH($A2132,RawBits!$H:$H,0)),"")</f>
        <v/>
      </c>
      <c r="D2132">
        <f>IFERROR(IF(AND(A2132&gt;=129,A2132&lt;=2176),INDEX(Fields!$B$2:$B$206,MATCH(A2132-129,Fields!$D$2:$D$206,1)),""),"")</f>
        <v/>
      </c>
      <c r="E2132">
        <f>IFERROR(IF(AND(A2132&gt;=129,A2132&lt;=2176),INDEX(Fields!$C$2:$C$206,MATCH(A2132-129,Fields!$D$2:$D$206,1)),""),"")</f>
        <v/>
      </c>
    </row>
    <row r="2133">
      <c r="A2133" t="n">
        <v>2132</v>
      </c>
      <c r="B2133">
        <f>IFERROR(INDEX(RawBits!$A:$A,MATCH($A2133,RawBits!$H:$H,0)),"?")</f>
        <v/>
      </c>
      <c r="C2133">
        <f>IFERROR(INDEX(RawBits!$G:$G,MATCH($A2133,RawBits!$H:$H,0)),"")</f>
        <v/>
      </c>
      <c r="D2133">
        <f>IFERROR(IF(AND(A2133&gt;=129,A2133&lt;=2176),INDEX(Fields!$B$2:$B$206,MATCH(A2133-129,Fields!$D$2:$D$206,1)),""),"")</f>
        <v/>
      </c>
      <c r="E2133">
        <f>IFERROR(IF(AND(A2133&gt;=129,A2133&lt;=2176),INDEX(Fields!$C$2:$C$206,MATCH(A2133-129,Fields!$D$2:$D$206,1)),""),"")</f>
        <v/>
      </c>
    </row>
    <row r="2134">
      <c r="A2134" t="n">
        <v>2133</v>
      </c>
      <c r="B2134">
        <f>IFERROR(INDEX(RawBits!$A:$A,MATCH($A2134,RawBits!$H:$H,0)),"?")</f>
        <v/>
      </c>
      <c r="C2134">
        <f>IFERROR(INDEX(RawBits!$G:$G,MATCH($A2134,RawBits!$H:$H,0)),"")</f>
        <v/>
      </c>
      <c r="D2134">
        <f>IFERROR(IF(AND(A2134&gt;=129,A2134&lt;=2176),INDEX(Fields!$B$2:$B$206,MATCH(A2134-129,Fields!$D$2:$D$206,1)),""),"")</f>
        <v/>
      </c>
      <c r="E2134">
        <f>IFERROR(IF(AND(A2134&gt;=129,A2134&lt;=2176),INDEX(Fields!$C$2:$C$206,MATCH(A2134-129,Fields!$D$2:$D$206,1)),""),"")</f>
        <v/>
      </c>
    </row>
    <row r="2135">
      <c r="A2135" t="n">
        <v>2134</v>
      </c>
      <c r="B2135">
        <f>IFERROR(INDEX(RawBits!$A:$A,MATCH($A2135,RawBits!$H:$H,0)),"?")</f>
        <v/>
      </c>
      <c r="C2135">
        <f>IFERROR(INDEX(RawBits!$G:$G,MATCH($A2135,RawBits!$H:$H,0)),"")</f>
        <v/>
      </c>
      <c r="D2135">
        <f>IFERROR(IF(AND(A2135&gt;=129,A2135&lt;=2176),INDEX(Fields!$B$2:$B$206,MATCH(A2135-129,Fields!$D$2:$D$206,1)),""),"")</f>
        <v/>
      </c>
      <c r="E2135">
        <f>IFERROR(IF(AND(A2135&gt;=129,A2135&lt;=2176),INDEX(Fields!$C$2:$C$206,MATCH(A2135-129,Fields!$D$2:$D$206,1)),""),"")</f>
        <v/>
      </c>
    </row>
    <row r="2136">
      <c r="A2136" t="n">
        <v>2135</v>
      </c>
      <c r="B2136">
        <f>IFERROR(INDEX(RawBits!$A:$A,MATCH($A2136,RawBits!$H:$H,0)),"?")</f>
        <v/>
      </c>
      <c r="C2136">
        <f>IFERROR(INDEX(RawBits!$G:$G,MATCH($A2136,RawBits!$H:$H,0)),"")</f>
        <v/>
      </c>
      <c r="D2136">
        <f>IFERROR(IF(AND(A2136&gt;=129,A2136&lt;=2176),INDEX(Fields!$B$2:$B$206,MATCH(A2136-129,Fields!$D$2:$D$206,1)),""),"")</f>
        <v/>
      </c>
      <c r="E2136">
        <f>IFERROR(IF(AND(A2136&gt;=129,A2136&lt;=2176),INDEX(Fields!$C$2:$C$206,MATCH(A2136-129,Fields!$D$2:$D$206,1)),""),"")</f>
        <v/>
      </c>
    </row>
    <row r="2137">
      <c r="A2137" t="n">
        <v>2136</v>
      </c>
      <c r="B2137">
        <f>IFERROR(INDEX(RawBits!$A:$A,MATCH($A2137,RawBits!$H:$H,0)),"?")</f>
        <v/>
      </c>
      <c r="C2137">
        <f>IFERROR(INDEX(RawBits!$G:$G,MATCH($A2137,RawBits!$H:$H,0)),"")</f>
        <v/>
      </c>
      <c r="D2137">
        <f>IFERROR(IF(AND(A2137&gt;=129,A2137&lt;=2176),INDEX(Fields!$B$2:$B$206,MATCH(A2137-129,Fields!$D$2:$D$206,1)),""),"")</f>
        <v/>
      </c>
      <c r="E2137">
        <f>IFERROR(IF(AND(A2137&gt;=129,A2137&lt;=2176),INDEX(Fields!$C$2:$C$206,MATCH(A2137-129,Fields!$D$2:$D$206,1)),""),"")</f>
        <v/>
      </c>
    </row>
    <row r="2138">
      <c r="A2138" t="n">
        <v>2137</v>
      </c>
      <c r="B2138">
        <f>IFERROR(INDEX(RawBits!$A:$A,MATCH($A2138,RawBits!$H:$H,0)),"?")</f>
        <v/>
      </c>
      <c r="C2138">
        <f>IFERROR(INDEX(RawBits!$G:$G,MATCH($A2138,RawBits!$H:$H,0)),"")</f>
        <v/>
      </c>
      <c r="D2138">
        <f>IFERROR(IF(AND(A2138&gt;=129,A2138&lt;=2176),INDEX(Fields!$B$2:$B$206,MATCH(A2138-129,Fields!$D$2:$D$206,1)),""),"")</f>
        <v/>
      </c>
      <c r="E2138">
        <f>IFERROR(IF(AND(A2138&gt;=129,A2138&lt;=2176),INDEX(Fields!$C$2:$C$206,MATCH(A2138-129,Fields!$D$2:$D$206,1)),""),"")</f>
        <v/>
      </c>
    </row>
    <row r="2139">
      <c r="A2139" t="n">
        <v>2138</v>
      </c>
      <c r="B2139">
        <f>IFERROR(INDEX(RawBits!$A:$A,MATCH($A2139,RawBits!$H:$H,0)),"?")</f>
        <v/>
      </c>
      <c r="C2139">
        <f>IFERROR(INDEX(RawBits!$G:$G,MATCH($A2139,RawBits!$H:$H,0)),"")</f>
        <v/>
      </c>
      <c r="D2139">
        <f>IFERROR(IF(AND(A2139&gt;=129,A2139&lt;=2176),INDEX(Fields!$B$2:$B$206,MATCH(A2139-129,Fields!$D$2:$D$206,1)),""),"")</f>
        <v/>
      </c>
      <c r="E2139">
        <f>IFERROR(IF(AND(A2139&gt;=129,A2139&lt;=2176),INDEX(Fields!$C$2:$C$206,MATCH(A2139-129,Fields!$D$2:$D$206,1)),""),"")</f>
        <v/>
      </c>
    </row>
    <row r="2140">
      <c r="A2140" t="n">
        <v>2139</v>
      </c>
      <c r="B2140">
        <f>IFERROR(INDEX(RawBits!$A:$A,MATCH($A2140,RawBits!$H:$H,0)),"?")</f>
        <v/>
      </c>
      <c r="C2140">
        <f>IFERROR(INDEX(RawBits!$G:$G,MATCH($A2140,RawBits!$H:$H,0)),"")</f>
        <v/>
      </c>
      <c r="D2140">
        <f>IFERROR(IF(AND(A2140&gt;=129,A2140&lt;=2176),INDEX(Fields!$B$2:$B$206,MATCH(A2140-129,Fields!$D$2:$D$206,1)),""),"")</f>
        <v/>
      </c>
      <c r="E2140">
        <f>IFERROR(IF(AND(A2140&gt;=129,A2140&lt;=2176),INDEX(Fields!$C$2:$C$206,MATCH(A2140-129,Fields!$D$2:$D$206,1)),""),"")</f>
        <v/>
      </c>
    </row>
    <row r="2141">
      <c r="A2141" t="n">
        <v>2140</v>
      </c>
      <c r="B2141">
        <f>IFERROR(INDEX(RawBits!$A:$A,MATCH($A2141,RawBits!$H:$H,0)),"?")</f>
        <v/>
      </c>
      <c r="C2141">
        <f>IFERROR(INDEX(RawBits!$G:$G,MATCH($A2141,RawBits!$H:$H,0)),"")</f>
        <v/>
      </c>
      <c r="D2141">
        <f>IFERROR(IF(AND(A2141&gt;=129,A2141&lt;=2176),INDEX(Fields!$B$2:$B$206,MATCH(A2141-129,Fields!$D$2:$D$206,1)),""),"")</f>
        <v/>
      </c>
      <c r="E2141">
        <f>IFERROR(IF(AND(A2141&gt;=129,A2141&lt;=2176),INDEX(Fields!$C$2:$C$206,MATCH(A2141-129,Fields!$D$2:$D$206,1)),""),"")</f>
        <v/>
      </c>
    </row>
    <row r="2142">
      <c r="A2142" t="n">
        <v>2141</v>
      </c>
      <c r="B2142">
        <f>IFERROR(INDEX(RawBits!$A:$A,MATCH($A2142,RawBits!$H:$H,0)),"?")</f>
        <v/>
      </c>
      <c r="C2142">
        <f>IFERROR(INDEX(RawBits!$G:$G,MATCH($A2142,RawBits!$H:$H,0)),"")</f>
        <v/>
      </c>
      <c r="D2142">
        <f>IFERROR(IF(AND(A2142&gt;=129,A2142&lt;=2176),INDEX(Fields!$B$2:$B$206,MATCH(A2142-129,Fields!$D$2:$D$206,1)),""),"")</f>
        <v/>
      </c>
      <c r="E2142">
        <f>IFERROR(IF(AND(A2142&gt;=129,A2142&lt;=2176),INDEX(Fields!$C$2:$C$206,MATCH(A2142-129,Fields!$D$2:$D$206,1)),""),"")</f>
        <v/>
      </c>
    </row>
    <row r="2143">
      <c r="A2143" t="n">
        <v>2142</v>
      </c>
      <c r="B2143">
        <f>IFERROR(INDEX(RawBits!$A:$A,MATCH($A2143,RawBits!$H:$H,0)),"?")</f>
        <v/>
      </c>
      <c r="C2143">
        <f>IFERROR(INDEX(RawBits!$G:$G,MATCH($A2143,RawBits!$H:$H,0)),"")</f>
        <v/>
      </c>
      <c r="D2143">
        <f>IFERROR(IF(AND(A2143&gt;=129,A2143&lt;=2176),INDEX(Fields!$B$2:$B$206,MATCH(A2143-129,Fields!$D$2:$D$206,1)),""),"")</f>
        <v/>
      </c>
      <c r="E2143">
        <f>IFERROR(IF(AND(A2143&gt;=129,A2143&lt;=2176),INDEX(Fields!$C$2:$C$206,MATCH(A2143-129,Fields!$D$2:$D$206,1)),""),"")</f>
        <v/>
      </c>
    </row>
    <row r="2144">
      <c r="A2144" t="n">
        <v>2143</v>
      </c>
      <c r="B2144">
        <f>IFERROR(INDEX(RawBits!$A:$A,MATCH($A2144,RawBits!$H:$H,0)),"?")</f>
        <v/>
      </c>
      <c r="C2144">
        <f>IFERROR(INDEX(RawBits!$G:$G,MATCH($A2144,RawBits!$H:$H,0)),"")</f>
        <v/>
      </c>
      <c r="D2144">
        <f>IFERROR(IF(AND(A2144&gt;=129,A2144&lt;=2176),INDEX(Fields!$B$2:$B$206,MATCH(A2144-129,Fields!$D$2:$D$206,1)),""),"")</f>
        <v/>
      </c>
      <c r="E2144">
        <f>IFERROR(IF(AND(A2144&gt;=129,A2144&lt;=2176),INDEX(Fields!$C$2:$C$206,MATCH(A2144-129,Fields!$D$2:$D$206,1)),""),"")</f>
        <v/>
      </c>
    </row>
    <row r="2145">
      <c r="A2145" t="n">
        <v>2144</v>
      </c>
      <c r="B2145">
        <f>IFERROR(INDEX(RawBits!$A:$A,MATCH($A2145,RawBits!$H:$H,0)),"?")</f>
        <v/>
      </c>
      <c r="C2145">
        <f>IFERROR(INDEX(RawBits!$G:$G,MATCH($A2145,RawBits!$H:$H,0)),"")</f>
        <v/>
      </c>
      <c r="D2145">
        <f>IFERROR(IF(AND(A2145&gt;=129,A2145&lt;=2176),INDEX(Fields!$B$2:$B$206,MATCH(A2145-129,Fields!$D$2:$D$206,1)),""),"")</f>
        <v/>
      </c>
      <c r="E2145">
        <f>IFERROR(IF(AND(A2145&gt;=129,A2145&lt;=2176),INDEX(Fields!$C$2:$C$206,MATCH(A2145-129,Fields!$D$2:$D$206,1)),""),"")</f>
        <v/>
      </c>
    </row>
    <row r="2146">
      <c r="A2146" t="n">
        <v>2145</v>
      </c>
      <c r="B2146">
        <f>IFERROR(INDEX(RawBits!$A:$A,MATCH($A2146,RawBits!$H:$H,0)),"?")</f>
        <v/>
      </c>
      <c r="C2146">
        <f>IFERROR(INDEX(RawBits!$G:$G,MATCH($A2146,RawBits!$H:$H,0)),"")</f>
        <v/>
      </c>
      <c r="D2146">
        <f>IFERROR(IF(AND(A2146&gt;=129,A2146&lt;=2176),INDEX(Fields!$B$2:$B$206,MATCH(A2146-129,Fields!$D$2:$D$206,1)),""),"")</f>
        <v/>
      </c>
      <c r="E2146">
        <f>IFERROR(IF(AND(A2146&gt;=129,A2146&lt;=2176),INDEX(Fields!$C$2:$C$206,MATCH(A2146-129,Fields!$D$2:$D$206,1)),""),"")</f>
        <v/>
      </c>
    </row>
    <row r="2147">
      <c r="A2147" t="n">
        <v>2146</v>
      </c>
      <c r="B2147">
        <f>IFERROR(INDEX(RawBits!$A:$A,MATCH($A2147,RawBits!$H:$H,0)),"?")</f>
        <v/>
      </c>
      <c r="C2147">
        <f>IFERROR(INDEX(RawBits!$G:$G,MATCH($A2147,RawBits!$H:$H,0)),"")</f>
        <v/>
      </c>
      <c r="D2147">
        <f>IFERROR(IF(AND(A2147&gt;=129,A2147&lt;=2176),INDEX(Fields!$B$2:$B$206,MATCH(A2147-129,Fields!$D$2:$D$206,1)),""),"")</f>
        <v/>
      </c>
      <c r="E2147">
        <f>IFERROR(IF(AND(A2147&gt;=129,A2147&lt;=2176),INDEX(Fields!$C$2:$C$206,MATCH(A2147-129,Fields!$D$2:$D$206,1)),""),"")</f>
        <v/>
      </c>
    </row>
    <row r="2148">
      <c r="A2148" t="n">
        <v>2147</v>
      </c>
      <c r="B2148">
        <f>IFERROR(INDEX(RawBits!$A:$A,MATCH($A2148,RawBits!$H:$H,0)),"?")</f>
        <v/>
      </c>
      <c r="C2148">
        <f>IFERROR(INDEX(RawBits!$G:$G,MATCH($A2148,RawBits!$H:$H,0)),"")</f>
        <v/>
      </c>
      <c r="D2148">
        <f>IFERROR(IF(AND(A2148&gt;=129,A2148&lt;=2176),INDEX(Fields!$B$2:$B$206,MATCH(A2148-129,Fields!$D$2:$D$206,1)),""),"")</f>
        <v/>
      </c>
      <c r="E2148">
        <f>IFERROR(IF(AND(A2148&gt;=129,A2148&lt;=2176),INDEX(Fields!$C$2:$C$206,MATCH(A2148-129,Fields!$D$2:$D$206,1)),""),"")</f>
        <v/>
      </c>
    </row>
    <row r="2149">
      <c r="A2149" t="n">
        <v>2148</v>
      </c>
      <c r="B2149">
        <f>IFERROR(INDEX(RawBits!$A:$A,MATCH($A2149,RawBits!$H:$H,0)),"?")</f>
        <v/>
      </c>
      <c r="C2149">
        <f>IFERROR(INDEX(RawBits!$G:$G,MATCH($A2149,RawBits!$H:$H,0)),"")</f>
        <v/>
      </c>
      <c r="D2149">
        <f>IFERROR(IF(AND(A2149&gt;=129,A2149&lt;=2176),INDEX(Fields!$B$2:$B$206,MATCH(A2149-129,Fields!$D$2:$D$206,1)),""),"")</f>
        <v/>
      </c>
      <c r="E2149">
        <f>IFERROR(IF(AND(A2149&gt;=129,A2149&lt;=2176),INDEX(Fields!$C$2:$C$206,MATCH(A2149-129,Fields!$D$2:$D$206,1)),""),"")</f>
        <v/>
      </c>
    </row>
    <row r="2150">
      <c r="A2150" t="n">
        <v>2149</v>
      </c>
      <c r="B2150">
        <f>IFERROR(INDEX(RawBits!$A:$A,MATCH($A2150,RawBits!$H:$H,0)),"?")</f>
        <v/>
      </c>
      <c r="C2150">
        <f>IFERROR(INDEX(RawBits!$G:$G,MATCH($A2150,RawBits!$H:$H,0)),"")</f>
        <v/>
      </c>
      <c r="D2150">
        <f>IFERROR(IF(AND(A2150&gt;=129,A2150&lt;=2176),INDEX(Fields!$B$2:$B$206,MATCH(A2150-129,Fields!$D$2:$D$206,1)),""),"")</f>
        <v/>
      </c>
      <c r="E2150">
        <f>IFERROR(IF(AND(A2150&gt;=129,A2150&lt;=2176),INDEX(Fields!$C$2:$C$206,MATCH(A2150-129,Fields!$D$2:$D$206,1)),""),"")</f>
        <v/>
      </c>
    </row>
    <row r="2151">
      <c r="A2151" t="n">
        <v>2150</v>
      </c>
      <c r="B2151">
        <f>IFERROR(INDEX(RawBits!$A:$A,MATCH($A2151,RawBits!$H:$H,0)),"?")</f>
        <v/>
      </c>
      <c r="C2151">
        <f>IFERROR(INDEX(RawBits!$G:$G,MATCH($A2151,RawBits!$H:$H,0)),"")</f>
        <v/>
      </c>
      <c r="D2151">
        <f>IFERROR(IF(AND(A2151&gt;=129,A2151&lt;=2176),INDEX(Fields!$B$2:$B$206,MATCH(A2151-129,Fields!$D$2:$D$206,1)),""),"")</f>
        <v/>
      </c>
      <c r="E2151">
        <f>IFERROR(IF(AND(A2151&gt;=129,A2151&lt;=2176),INDEX(Fields!$C$2:$C$206,MATCH(A2151-129,Fields!$D$2:$D$206,1)),""),"")</f>
        <v/>
      </c>
    </row>
    <row r="2152">
      <c r="A2152" t="n">
        <v>2151</v>
      </c>
      <c r="B2152">
        <f>IFERROR(INDEX(RawBits!$A:$A,MATCH($A2152,RawBits!$H:$H,0)),"?")</f>
        <v/>
      </c>
      <c r="C2152">
        <f>IFERROR(INDEX(RawBits!$G:$G,MATCH($A2152,RawBits!$H:$H,0)),"")</f>
        <v/>
      </c>
      <c r="D2152">
        <f>IFERROR(IF(AND(A2152&gt;=129,A2152&lt;=2176),INDEX(Fields!$B$2:$B$206,MATCH(A2152-129,Fields!$D$2:$D$206,1)),""),"")</f>
        <v/>
      </c>
      <c r="E2152">
        <f>IFERROR(IF(AND(A2152&gt;=129,A2152&lt;=2176),INDEX(Fields!$C$2:$C$206,MATCH(A2152-129,Fields!$D$2:$D$206,1)),""),"")</f>
        <v/>
      </c>
    </row>
    <row r="2153">
      <c r="A2153" t="n">
        <v>2152</v>
      </c>
      <c r="B2153">
        <f>IFERROR(INDEX(RawBits!$A:$A,MATCH($A2153,RawBits!$H:$H,0)),"?")</f>
        <v/>
      </c>
      <c r="C2153">
        <f>IFERROR(INDEX(RawBits!$G:$G,MATCH($A2153,RawBits!$H:$H,0)),"")</f>
        <v/>
      </c>
      <c r="D2153">
        <f>IFERROR(IF(AND(A2153&gt;=129,A2153&lt;=2176),INDEX(Fields!$B$2:$B$206,MATCH(A2153-129,Fields!$D$2:$D$206,1)),""),"")</f>
        <v/>
      </c>
      <c r="E2153">
        <f>IFERROR(IF(AND(A2153&gt;=129,A2153&lt;=2176),INDEX(Fields!$C$2:$C$206,MATCH(A2153-129,Fields!$D$2:$D$206,1)),""),"")</f>
        <v/>
      </c>
    </row>
    <row r="2154">
      <c r="A2154" t="n">
        <v>2153</v>
      </c>
      <c r="B2154">
        <f>IFERROR(INDEX(RawBits!$A:$A,MATCH($A2154,RawBits!$H:$H,0)),"?")</f>
        <v/>
      </c>
      <c r="C2154">
        <f>IFERROR(INDEX(RawBits!$G:$G,MATCH($A2154,RawBits!$H:$H,0)),"")</f>
        <v/>
      </c>
      <c r="D2154">
        <f>IFERROR(IF(AND(A2154&gt;=129,A2154&lt;=2176),INDEX(Fields!$B$2:$B$206,MATCH(A2154-129,Fields!$D$2:$D$206,1)),""),"")</f>
        <v/>
      </c>
      <c r="E2154">
        <f>IFERROR(IF(AND(A2154&gt;=129,A2154&lt;=2176),INDEX(Fields!$C$2:$C$206,MATCH(A2154-129,Fields!$D$2:$D$206,1)),""),"")</f>
        <v/>
      </c>
    </row>
    <row r="2155">
      <c r="A2155" t="n">
        <v>2154</v>
      </c>
      <c r="B2155">
        <f>IFERROR(INDEX(RawBits!$A:$A,MATCH($A2155,RawBits!$H:$H,0)),"?")</f>
        <v/>
      </c>
      <c r="C2155">
        <f>IFERROR(INDEX(RawBits!$G:$G,MATCH($A2155,RawBits!$H:$H,0)),"")</f>
        <v/>
      </c>
      <c r="D2155">
        <f>IFERROR(IF(AND(A2155&gt;=129,A2155&lt;=2176),INDEX(Fields!$B$2:$B$206,MATCH(A2155-129,Fields!$D$2:$D$206,1)),""),"")</f>
        <v/>
      </c>
      <c r="E2155">
        <f>IFERROR(IF(AND(A2155&gt;=129,A2155&lt;=2176),INDEX(Fields!$C$2:$C$206,MATCH(A2155-129,Fields!$D$2:$D$206,1)),""),"")</f>
        <v/>
      </c>
    </row>
    <row r="2156">
      <c r="A2156" t="n">
        <v>2155</v>
      </c>
      <c r="B2156">
        <f>IFERROR(INDEX(RawBits!$A:$A,MATCH($A2156,RawBits!$H:$H,0)),"?")</f>
        <v/>
      </c>
      <c r="C2156">
        <f>IFERROR(INDEX(RawBits!$G:$G,MATCH($A2156,RawBits!$H:$H,0)),"")</f>
        <v/>
      </c>
      <c r="D2156">
        <f>IFERROR(IF(AND(A2156&gt;=129,A2156&lt;=2176),INDEX(Fields!$B$2:$B$206,MATCH(A2156-129,Fields!$D$2:$D$206,1)),""),"")</f>
        <v/>
      </c>
      <c r="E2156">
        <f>IFERROR(IF(AND(A2156&gt;=129,A2156&lt;=2176),INDEX(Fields!$C$2:$C$206,MATCH(A2156-129,Fields!$D$2:$D$206,1)),""),"")</f>
        <v/>
      </c>
    </row>
    <row r="2157">
      <c r="A2157" t="n">
        <v>2156</v>
      </c>
      <c r="B2157">
        <f>IFERROR(INDEX(RawBits!$A:$A,MATCH($A2157,RawBits!$H:$H,0)),"?")</f>
        <v/>
      </c>
      <c r="C2157">
        <f>IFERROR(INDEX(RawBits!$G:$G,MATCH($A2157,RawBits!$H:$H,0)),"")</f>
        <v/>
      </c>
      <c r="D2157">
        <f>IFERROR(IF(AND(A2157&gt;=129,A2157&lt;=2176),INDEX(Fields!$B$2:$B$206,MATCH(A2157-129,Fields!$D$2:$D$206,1)),""),"")</f>
        <v/>
      </c>
      <c r="E2157">
        <f>IFERROR(IF(AND(A2157&gt;=129,A2157&lt;=2176),INDEX(Fields!$C$2:$C$206,MATCH(A2157-129,Fields!$D$2:$D$206,1)),""),"")</f>
        <v/>
      </c>
    </row>
    <row r="2158">
      <c r="A2158" t="n">
        <v>2157</v>
      </c>
      <c r="B2158">
        <f>IFERROR(INDEX(RawBits!$A:$A,MATCH($A2158,RawBits!$H:$H,0)),"?")</f>
        <v/>
      </c>
      <c r="C2158">
        <f>IFERROR(INDEX(RawBits!$G:$G,MATCH($A2158,RawBits!$H:$H,0)),"")</f>
        <v/>
      </c>
      <c r="D2158">
        <f>IFERROR(IF(AND(A2158&gt;=129,A2158&lt;=2176),INDEX(Fields!$B$2:$B$206,MATCH(A2158-129,Fields!$D$2:$D$206,1)),""),"")</f>
        <v/>
      </c>
      <c r="E2158">
        <f>IFERROR(IF(AND(A2158&gt;=129,A2158&lt;=2176),INDEX(Fields!$C$2:$C$206,MATCH(A2158-129,Fields!$D$2:$D$206,1)),""),"")</f>
        <v/>
      </c>
    </row>
    <row r="2159">
      <c r="A2159" t="n">
        <v>2158</v>
      </c>
      <c r="B2159">
        <f>IFERROR(INDEX(RawBits!$A:$A,MATCH($A2159,RawBits!$H:$H,0)),"?")</f>
        <v/>
      </c>
      <c r="C2159">
        <f>IFERROR(INDEX(RawBits!$G:$G,MATCH($A2159,RawBits!$H:$H,0)),"")</f>
        <v/>
      </c>
      <c r="D2159">
        <f>IFERROR(IF(AND(A2159&gt;=129,A2159&lt;=2176),INDEX(Fields!$B$2:$B$206,MATCH(A2159-129,Fields!$D$2:$D$206,1)),""),"")</f>
        <v/>
      </c>
      <c r="E2159">
        <f>IFERROR(IF(AND(A2159&gt;=129,A2159&lt;=2176),INDEX(Fields!$C$2:$C$206,MATCH(A2159-129,Fields!$D$2:$D$206,1)),""),"")</f>
        <v/>
      </c>
    </row>
    <row r="2160">
      <c r="A2160" t="n">
        <v>2159</v>
      </c>
      <c r="B2160">
        <f>IFERROR(INDEX(RawBits!$A:$A,MATCH($A2160,RawBits!$H:$H,0)),"?")</f>
        <v/>
      </c>
      <c r="C2160">
        <f>IFERROR(INDEX(RawBits!$G:$G,MATCH($A2160,RawBits!$H:$H,0)),"")</f>
        <v/>
      </c>
      <c r="D2160">
        <f>IFERROR(IF(AND(A2160&gt;=129,A2160&lt;=2176),INDEX(Fields!$B$2:$B$206,MATCH(A2160-129,Fields!$D$2:$D$206,1)),""),"")</f>
        <v/>
      </c>
      <c r="E2160">
        <f>IFERROR(IF(AND(A2160&gt;=129,A2160&lt;=2176),INDEX(Fields!$C$2:$C$206,MATCH(A2160-129,Fields!$D$2:$D$206,1)),""),"")</f>
        <v/>
      </c>
    </row>
    <row r="2161">
      <c r="A2161" t="n">
        <v>2160</v>
      </c>
      <c r="B2161">
        <f>IFERROR(INDEX(RawBits!$A:$A,MATCH($A2161,RawBits!$H:$H,0)),"?")</f>
        <v/>
      </c>
      <c r="C2161">
        <f>IFERROR(INDEX(RawBits!$G:$G,MATCH($A2161,RawBits!$H:$H,0)),"")</f>
        <v/>
      </c>
      <c r="D2161">
        <f>IFERROR(IF(AND(A2161&gt;=129,A2161&lt;=2176),INDEX(Fields!$B$2:$B$206,MATCH(A2161-129,Fields!$D$2:$D$206,1)),""),"")</f>
        <v/>
      </c>
      <c r="E2161">
        <f>IFERROR(IF(AND(A2161&gt;=129,A2161&lt;=2176),INDEX(Fields!$C$2:$C$206,MATCH(A2161-129,Fields!$D$2:$D$206,1)),""),"")</f>
        <v/>
      </c>
    </row>
    <row r="2162">
      <c r="A2162" t="n">
        <v>2161</v>
      </c>
      <c r="B2162">
        <f>IFERROR(INDEX(RawBits!$A:$A,MATCH($A2162,RawBits!$H:$H,0)),"?")</f>
        <v/>
      </c>
      <c r="C2162">
        <f>IFERROR(INDEX(RawBits!$G:$G,MATCH($A2162,RawBits!$H:$H,0)),"")</f>
        <v/>
      </c>
      <c r="D2162">
        <f>IFERROR(IF(AND(A2162&gt;=129,A2162&lt;=2176),INDEX(Fields!$B$2:$B$206,MATCH(A2162-129,Fields!$D$2:$D$206,1)),""),"")</f>
        <v/>
      </c>
      <c r="E2162">
        <f>IFERROR(IF(AND(A2162&gt;=129,A2162&lt;=2176),INDEX(Fields!$C$2:$C$206,MATCH(A2162-129,Fields!$D$2:$D$206,1)),""),"")</f>
        <v/>
      </c>
    </row>
    <row r="2163">
      <c r="A2163" t="n">
        <v>2162</v>
      </c>
      <c r="B2163">
        <f>IFERROR(INDEX(RawBits!$A:$A,MATCH($A2163,RawBits!$H:$H,0)),"?")</f>
        <v/>
      </c>
      <c r="C2163">
        <f>IFERROR(INDEX(RawBits!$G:$G,MATCH($A2163,RawBits!$H:$H,0)),"")</f>
        <v/>
      </c>
      <c r="D2163">
        <f>IFERROR(IF(AND(A2163&gt;=129,A2163&lt;=2176),INDEX(Fields!$B$2:$B$206,MATCH(A2163-129,Fields!$D$2:$D$206,1)),""),"")</f>
        <v/>
      </c>
      <c r="E2163">
        <f>IFERROR(IF(AND(A2163&gt;=129,A2163&lt;=2176),INDEX(Fields!$C$2:$C$206,MATCH(A2163-129,Fields!$D$2:$D$206,1)),""),"")</f>
        <v/>
      </c>
    </row>
    <row r="2164">
      <c r="A2164" t="n">
        <v>2163</v>
      </c>
      <c r="B2164">
        <f>IFERROR(INDEX(RawBits!$A:$A,MATCH($A2164,RawBits!$H:$H,0)),"?")</f>
        <v/>
      </c>
      <c r="C2164">
        <f>IFERROR(INDEX(RawBits!$G:$G,MATCH($A2164,RawBits!$H:$H,0)),"")</f>
        <v/>
      </c>
      <c r="D2164">
        <f>IFERROR(IF(AND(A2164&gt;=129,A2164&lt;=2176),INDEX(Fields!$B$2:$B$206,MATCH(A2164-129,Fields!$D$2:$D$206,1)),""),"")</f>
        <v/>
      </c>
      <c r="E2164">
        <f>IFERROR(IF(AND(A2164&gt;=129,A2164&lt;=2176),INDEX(Fields!$C$2:$C$206,MATCH(A2164-129,Fields!$D$2:$D$206,1)),""),"")</f>
        <v/>
      </c>
    </row>
    <row r="2165">
      <c r="A2165" t="n">
        <v>2164</v>
      </c>
      <c r="B2165">
        <f>IFERROR(INDEX(RawBits!$A:$A,MATCH($A2165,RawBits!$H:$H,0)),"?")</f>
        <v/>
      </c>
      <c r="C2165">
        <f>IFERROR(INDEX(RawBits!$G:$G,MATCH($A2165,RawBits!$H:$H,0)),"")</f>
        <v/>
      </c>
      <c r="D2165">
        <f>IFERROR(IF(AND(A2165&gt;=129,A2165&lt;=2176),INDEX(Fields!$B$2:$B$206,MATCH(A2165-129,Fields!$D$2:$D$206,1)),""),"")</f>
        <v/>
      </c>
      <c r="E2165">
        <f>IFERROR(IF(AND(A2165&gt;=129,A2165&lt;=2176),INDEX(Fields!$C$2:$C$206,MATCH(A2165-129,Fields!$D$2:$D$206,1)),""),"")</f>
        <v/>
      </c>
    </row>
    <row r="2166">
      <c r="A2166" t="n">
        <v>2165</v>
      </c>
      <c r="B2166">
        <f>IFERROR(INDEX(RawBits!$A:$A,MATCH($A2166,RawBits!$H:$H,0)),"?")</f>
        <v/>
      </c>
      <c r="C2166">
        <f>IFERROR(INDEX(RawBits!$G:$G,MATCH($A2166,RawBits!$H:$H,0)),"")</f>
        <v/>
      </c>
      <c r="D2166">
        <f>IFERROR(IF(AND(A2166&gt;=129,A2166&lt;=2176),INDEX(Fields!$B$2:$B$206,MATCH(A2166-129,Fields!$D$2:$D$206,1)),""),"")</f>
        <v/>
      </c>
      <c r="E2166">
        <f>IFERROR(IF(AND(A2166&gt;=129,A2166&lt;=2176),INDEX(Fields!$C$2:$C$206,MATCH(A2166-129,Fields!$D$2:$D$206,1)),""),"")</f>
        <v/>
      </c>
    </row>
    <row r="2167">
      <c r="A2167" t="n">
        <v>2166</v>
      </c>
      <c r="B2167">
        <f>IFERROR(INDEX(RawBits!$A:$A,MATCH($A2167,RawBits!$H:$H,0)),"?")</f>
        <v/>
      </c>
      <c r="C2167">
        <f>IFERROR(INDEX(RawBits!$G:$G,MATCH($A2167,RawBits!$H:$H,0)),"")</f>
        <v/>
      </c>
      <c r="D2167">
        <f>IFERROR(IF(AND(A2167&gt;=129,A2167&lt;=2176),INDEX(Fields!$B$2:$B$206,MATCH(A2167-129,Fields!$D$2:$D$206,1)),""),"")</f>
        <v/>
      </c>
      <c r="E2167">
        <f>IFERROR(IF(AND(A2167&gt;=129,A2167&lt;=2176),INDEX(Fields!$C$2:$C$206,MATCH(A2167-129,Fields!$D$2:$D$206,1)),""),"")</f>
        <v/>
      </c>
    </row>
    <row r="2168">
      <c r="A2168" t="n">
        <v>2167</v>
      </c>
      <c r="B2168">
        <f>IFERROR(INDEX(RawBits!$A:$A,MATCH($A2168,RawBits!$H:$H,0)),"?")</f>
        <v/>
      </c>
      <c r="C2168">
        <f>IFERROR(INDEX(RawBits!$G:$G,MATCH($A2168,RawBits!$H:$H,0)),"")</f>
        <v/>
      </c>
      <c r="D2168">
        <f>IFERROR(IF(AND(A2168&gt;=129,A2168&lt;=2176),INDEX(Fields!$B$2:$B$206,MATCH(A2168-129,Fields!$D$2:$D$206,1)),""),"")</f>
        <v/>
      </c>
      <c r="E2168">
        <f>IFERROR(IF(AND(A2168&gt;=129,A2168&lt;=2176),INDEX(Fields!$C$2:$C$206,MATCH(A2168-129,Fields!$D$2:$D$206,1)),""),"")</f>
        <v/>
      </c>
    </row>
    <row r="2169">
      <c r="A2169" t="n">
        <v>2168</v>
      </c>
      <c r="B2169">
        <f>IFERROR(INDEX(RawBits!$A:$A,MATCH($A2169,RawBits!$H:$H,0)),"?")</f>
        <v/>
      </c>
      <c r="C2169">
        <f>IFERROR(INDEX(RawBits!$G:$G,MATCH($A2169,RawBits!$H:$H,0)),"")</f>
        <v/>
      </c>
      <c r="D2169">
        <f>IFERROR(IF(AND(A2169&gt;=129,A2169&lt;=2176),INDEX(Fields!$B$2:$B$206,MATCH(A2169-129,Fields!$D$2:$D$206,1)),""),"")</f>
        <v/>
      </c>
      <c r="E2169">
        <f>IFERROR(IF(AND(A2169&gt;=129,A2169&lt;=2176),INDEX(Fields!$C$2:$C$206,MATCH(A2169-129,Fields!$D$2:$D$206,1)),""),"")</f>
        <v/>
      </c>
    </row>
    <row r="2170">
      <c r="A2170" t="n">
        <v>2169</v>
      </c>
      <c r="B2170">
        <f>IFERROR(INDEX(RawBits!$A:$A,MATCH($A2170,RawBits!$H:$H,0)),"?")</f>
        <v/>
      </c>
      <c r="C2170">
        <f>IFERROR(INDEX(RawBits!$G:$G,MATCH($A2170,RawBits!$H:$H,0)),"")</f>
        <v/>
      </c>
      <c r="D2170">
        <f>IFERROR(IF(AND(A2170&gt;=129,A2170&lt;=2176),INDEX(Fields!$B$2:$B$206,MATCH(A2170-129,Fields!$D$2:$D$206,1)),""),"")</f>
        <v/>
      </c>
      <c r="E2170">
        <f>IFERROR(IF(AND(A2170&gt;=129,A2170&lt;=2176),INDEX(Fields!$C$2:$C$206,MATCH(A2170-129,Fields!$D$2:$D$206,1)),""),"")</f>
        <v/>
      </c>
    </row>
    <row r="2171">
      <c r="A2171" t="n">
        <v>2170</v>
      </c>
      <c r="B2171">
        <f>IFERROR(INDEX(RawBits!$A:$A,MATCH($A2171,RawBits!$H:$H,0)),"?")</f>
        <v/>
      </c>
      <c r="C2171">
        <f>IFERROR(INDEX(RawBits!$G:$G,MATCH($A2171,RawBits!$H:$H,0)),"")</f>
        <v/>
      </c>
      <c r="D2171">
        <f>IFERROR(IF(AND(A2171&gt;=129,A2171&lt;=2176),INDEX(Fields!$B$2:$B$206,MATCH(A2171-129,Fields!$D$2:$D$206,1)),""),"")</f>
        <v/>
      </c>
      <c r="E2171">
        <f>IFERROR(IF(AND(A2171&gt;=129,A2171&lt;=2176),INDEX(Fields!$C$2:$C$206,MATCH(A2171-129,Fields!$D$2:$D$206,1)),""),"")</f>
        <v/>
      </c>
    </row>
    <row r="2172">
      <c r="A2172" t="n">
        <v>2171</v>
      </c>
      <c r="B2172">
        <f>IFERROR(INDEX(RawBits!$A:$A,MATCH($A2172,RawBits!$H:$H,0)),"?")</f>
        <v/>
      </c>
      <c r="C2172">
        <f>IFERROR(INDEX(RawBits!$G:$G,MATCH($A2172,RawBits!$H:$H,0)),"")</f>
        <v/>
      </c>
      <c r="D2172">
        <f>IFERROR(IF(AND(A2172&gt;=129,A2172&lt;=2176),INDEX(Fields!$B$2:$B$206,MATCH(A2172-129,Fields!$D$2:$D$206,1)),""),"")</f>
        <v/>
      </c>
      <c r="E2172">
        <f>IFERROR(IF(AND(A2172&gt;=129,A2172&lt;=2176),INDEX(Fields!$C$2:$C$206,MATCH(A2172-129,Fields!$D$2:$D$206,1)),""),"")</f>
        <v/>
      </c>
    </row>
    <row r="2173">
      <c r="A2173" t="n">
        <v>2172</v>
      </c>
      <c r="B2173">
        <f>IFERROR(INDEX(RawBits!$A:$A,MATCH($A2173,RawBits!$H:$H,0)),"?")</f>
        <v/>
      </c>
      <c r="C2173">
        <f>IFERROR(INDEX(RawBits!$G:$G,MATCH($A2173,RawBits!$H:$H,0)),"")</f>
        <v/>
      </c>
      <c r="D2173">
        <f>IFERROR(IF(AND(A2173&gt;=129,A2173&lt;=2176),INDEX(Fields!$B$2:$B$206,MATCH(A2173-129,Fields!$D$2:$D$206,1)),""),"")</f>
        <v/>
      </c>
      <c r="E2173">
        <f>IFERROR(IF(AND(A2173&gt;=129,A2173&lt;=2176),INDEX(Fields!$C$2:$C$206,MATCH(A2173-129,Fields!$D$2:$D$206,1)),""),"")</f>
        <v/>
      </c>
    </row>
    <row r="2174">
      <c r="A2174" t="n">
        <v>2173</v>
      </c>
      <c r="B2174">
        <f>IFERROR(INDEX(RawBits!$A:$A,MATCH($A2174,RawBits!$H:$H,0)),"?")</f>
        <v/>
      </c>
      <c r="C2174">
        <f>IFERROR(INDEX(RawBits!$G:$G,MATCH($A2174,RawBits!$H:$H,0)),"")</f>
        <v/>
      </c>
      <c r="D2174">
        <f>IFERROR(IF(AND(A2174&gt;=129,A2174&lt;=2176),INDEX(Fields!$B$2:$B$206,MATCH(A2174-129,Fields!$D$2:$D$206,1)),""),"")</f>
        <v/>
      </c>
      <c r="E2174">
        <f>IFERROR(IF(AND(A2174&gt;=129,A2174&lt;=2176),INDEX(Fields!$C$2:$C$206,MATCH(A2174-129,Fields!$D$2:$D$206,1)),""),"")</f>
        <v/>
      </c>
    </row>
    <row r="2175">
      <c r="A2175" t="n">
        <v>2174</v>
      </c>
      <c r="B2175">
        <f>IFERROR(INDEX(RawBits!$A:$A,MATCH($A2175,RawBits!$H:$H,0)),"?")</f>
        <v/>
      </c>
      <c r="C2175">
        <f>IFERROR(INDEX(RawBits!$G:$G,MATCH($A2175,RawBits!$H:$H,0)),"")</f>
        <v/>
      </c>
      <c r="D2175">
        <f>IFERROR(IF(AND(A2175&gt;=129,A2175&lt;=2176),INDEX(Fields!$B$2:$B$206,MATCH(A2175-129,Fields!$D$2:$D$206,1)),""),"")</f>
        <v/>
      </c>
      <c r="E2175">
        <f>IFERROR(IF(AND(A2175&gt;=129,A2175&lt;=2176),INDEX(Fields!$C$2:$C$206,MATCH(A2175-129,Fields!$D$2:$D$206,1)),""),"")</f>
        <v/>
      </c>
    </row>
    <row r="2176">
      <c r="A2176" t="n">
        <v>2175</v>
      </c>
      <c r="B2176">
        <f>IFERROR(INDEX(RawBits!$A:$A,MATCH($A2176,RawBits!$H:$H,0)),"?")</f>
        <v/>
      </c>
      <c r="C2176">
        <f>IFERROR(INDEX(RawBits!$G:$G,MATCH($A2176,RawBits!$H:$H,0)),"")</f>
        <v/>
      </c>
      <c r="D2176">
        <f>IFERROR(IF(AND(A2176&gt;=129,A2176&lt;=2176),INDEX(Fields!$B$2:$B$206,MATCH(A2176-129,Fields!$D$2:$D$206,1)),""),"")</f>
        <v/>
      </c>
      <c r="E2176">
        <f>IFERROR(IF(AND(A2176&gt;=129,A2176&lt;=2176),INDEX(Fields!$C$2:$C$206,MATCH(A2176-129,Fields!$D$2:$D$206,1)),""),"")</f>
        <v/>
      </c>
    </row>
    <row r="2177">
      <c r="A2177" t="n">
        <v>2176</v>
      </c>
      <c r="B2177">
        <f>IFERROR(INDEX(RawBits!$A:$A,MATCH($A2177,RawBits!$H:$H,0)),"?")</f>
        <v/>
      </c>
      <c r="C2177">
        <f>IFERROR(INDEX(RawBits!$G:$G,MATCH($A2177,RawBits!$H:$H,0)),"")</f>
        <v/>
      </c>
      <c r="D2177">
        <f>IFERROR(IF(AND(A2177&gt;=129,A2177&lt;=2176),INDEX(Fields!$B$2:$B$206,MATCH(A2177-129,Fields!$D$2:$D$206,1)),""),"")</f>
        <v/>
      </c>
      <c r="E2177">
        <f>IFERROR(IF(AND(A2177&gt;=129,A2177&lt;=2176),INDEX(Fields!$C$2:$C$206,MATCH(A2177-129,Fields!$D$2:$D$206,1)),""),"")</f>
        <v/>
      </c>
    </row>
    <row r="2178">
      <c r="A2178" t="n">
        <v>2177</v>
      </c>
      <c r="B2178">
        <f>IFERROR(INDEX(RawBits!$A:$A,MATCH($A2178,RawBits!$H:$H,0)),"?")</f>
        <v/>
      </c>
      <c r="C2178">
        <f>IFERROR(INDEX(RawBits!$G:$G,MATCH($A2178,RawBits!$H:$H,0)),"")</f>
        <v/>
      </c>
      <c r="D2178">
        <f>IFERROR(IF(AND(A2178&gt;=129,A2178&lt;=2176),INDEX(Fields!$B$2:$B$206,MATCH(A2178-129,Fields!$D$2:$D$206,1)),""),"")</f>
        <v/>
      </c>
      <c r="E2178">
        <f>IFERROR(IF(AND(A2178&gt;=129,A2178&lt;=2176),INDEX(Fields!$C$2:$C$206,MATCH(A2178-129,Fields!$D$2:$D$206,1)),""),"")</f>
        <v/>
      </c>
    </row>
    <row r="2179">
      <c r="A2179" t="n">
        <v>2178</v>
      </c>
      <c r="B2179">
        <f>IFERROR(INDEX(RawBits!$A:$A,MATCH($A2179,RawBits!$H:$H,0)),"?")</f>
        <v/>
      </c>
      <c r="C2179">
        <f>IFERROR(INDEX(RawBits!$G:$G,MATCH($A2179,RawBits!$H:$H,0)),"")</f>
        <v/>
      </c>
      <c r="D2179">
        <f>IFERROR(IF(AND(A2179&gt;=129,A2179&lt;=2176),INDEX(Fields!$B$2:$B$206,MATCH(A2179-129,Fields!$D$2:$D$206,1)),""),"")</f>
        <v/>
      </c>
      <c r="E2179">
        <f>IFERROR(IF(AND(A2179&gt;=129,A2179&lt;=2176),INDEX(Fields!$C$2:$C$206,MATCH(A2179-129,Fields!$D$2:$D$206,1)),""),"")</f>
        <v/>
      </c>
    </row>
    <row r="2180">
      <c r="A2180" t="n">
        <v>2179</v>
      </c>
      <c r="B2180">
        <f>IFERROR(INDEX(RawBits!$A:$A,MATCH($A2180,RawBits!$H:$H,0)),"?")</f>
        <v/>
      </c>
      <c r="C2180">
        <f>IFERROR(INDEX(RawBits!$G:$G,MATCH($A2180,RawBits!$H:$H,0)),"")</f>
        <v/>
      </c>
      <c r="D2180">
        <f>IFERROR(IF(AND(A2180&gt;=129,A2180&lt;=2176),INDEX(Fields!$B$2:$B$206,MATCH(A2180-129,Fields!$D$2:$D$206,1)),""),"")</f>
        <v/>
      </c>
      <c r="E2180">
        <f>IFERROR(IF(AND(A2180&gt;=129,A2180&lt;=2176),INDEX(Fields!$C$2:$C$206,MATCH(A2180-129,Fields!$D$2:$D$206,1)),""),"")</f>
        <v/>
      </c>
    </row>
    <row r="2181">
      <c r="A2181" t="n">
        <v>2180</v>
      </c>
      <c r="B2181">
        <f>IFERROR(INDEX(RawBits!$A:$A,MATCH($A2181,RawBits!$H:$H,0)),"?")</f>
        <v/>
      </c>
      <c r="C2181">
        <f>IFERROR(INDEX(RawBits!$G:$G,MATCH($A2181,RawBits!$H:$H,0)),"")</f>
        <v/>
      </c>
      <c r="D2181">
        <f>IFERROR(IF(AND(A2181&gt;=129,A2181&lt;=2176),INDEX(Fields!$B$2:$B$206,MATCH(A2181-129,Fields!$D$2:$D$206,1)),""),"")</f>
        <v/>
      </c>
      <c r="E2181">
        <f>IFERROR(IF(AND(A2181&gt;=129,A2181&lt;=2176),INDEX(Fields!$C$2:$C$206,MATCH(A2181-129,Fields!$D$2:$D$206,1)),""),"")</f>
        <v/>
      </c>
    </row>
    <row r="2182">
      <c r="A2182" t="n">
        <v>2181</v>
      </c>
      <c r="B2182">
        <f>IFERROR(INDEX(RawBits!$A:$A,MATCH($A2182,RawBits!$H:$H,0)),"?")</f>
        <v/>
      </c>
      <c r="C2182">
        <f>IFERROR(INDEX(RawBits!$G:$G,MATCH($A2182,RawBits!$H:$H,0)),"")</f>
        <v/>
      </c>
      <c r="D2182">
        <f>IFERROR(IF(AND(A2182&gt;=129,A2182&lt;=2176),INDEX(Fields!$B$2:$B$206,MATCH(A2182-129,Fields!$D$2:$D$206,1)),""),"")</f>
        <v/>
      </c>
      <c r="E2182">
        <f>IFERROR(IF(AND(A2182&gt;=129,A2182&lt;=2176),INDEX(Fields!$C$2:$C$206,MATCH(A2182-129,Fields!$D$2:$D$206,1)),""),"")</f>
        <v/>
      </c>
    </row>
    <row r="2183">
      <c r="A2183" t="n">
        <v>2182</v>
      </c>
      <c r="B2183">
        <f>IFERROR(INDEX(RawBits!$A:$A,MATCH($A2183,RawBits!$H:$H,0)),"?")</f>
        <v/>
      </c>
      <c r="C2183">
        <f>IFERROR(INDEX(RawBits!$G:$G,MATCH($A2183,RawBits!$H:$H,0)),"")</f>
        <v/>
      </c>
      <c r="D2183">
        <f>IFERROR(IF(AND(A2183&gt;=129,A2183&lt;=2176),INDEX(Fields!$B$2:$B$206,MATCH(A2183-129,Fields!$D$2:$D$206,1)),""),"")</f>
        <v/>
      </c>
      <c r="E2183">
        <f>IFERROR(IF(AND(A2183&gt;=129,A2183&lt;=2176),INDEX(Fields!$C$2:$C$206,MATCH(A2183-129,Fields!$D$2:$D$206,1)),""),"")</f>
        <v/>
      </c>
    </row>
    <row r="2184">
      <c r="A2184" t="n">
        <v>2183</v>
      </c>
      <c r="B2184">
        <f>IFERROR(INDEX(RawBits!$A:$A,MATCH($A2184,RawBits!$H:$H,0)),"?")</f>
        <v/>
      </c>
      <c r="C2184">
        <f>IFERROR(INDEX(RawBits!$G:$G,MATCH($A2184,RawBits!$H:$H,0)),"")</f>
        <v/>
      </c>
      <c r="D2184">
        <f>IFERROR(IF(AND(A2184&gt;=129,A2184&lt;=2176),INDEX(Fields!$B$2:$B$206,MATCH(A2184-129,Fields!$D$2:$D$206,1)),""),"")</f>
        <v/>
      </c>
      <c r="E2184">
        <f>IFERROR(IF(AND(A2184&gt;=129,A2184&lt;=2176),INDEX(Fields!$C$2:$C$206,MATCH(A2184-129,Fields!$D$2:$D$206,1)),""),"")</f>
        <v/>
      </c>
    </row>
    <row r="2185">
      <c r="A2185" t="n">
        <v>2184</v>
      </c>
      <c r="B2185">
        <f>IFERROR(INDEX(RawBits!$A:$A,MATCH($A2185,RawBits!$H:$H,0)),"?")</f>
        <v/>
      </c>
      <c r="C2185">
        <f>IFERROR(INDEX(RawBits!$G:$G,MATCH($A2185,RawBits!$H:$H,0)),"")</f>
        <v/>
      </c>
      <c r="D2185">
        <f>IFERROR(IF(AND(A2185&gt;=129,A2185&lt;=2176),INDEX(Fields!$B$2:$B$206,MATCH(A2185-129,Fields!$D$2:$D$206,1)),""),"")</f>
        <v/>
      </c>
      <c r="E2185">
        <f>IFERROR(IF(AND(A2185&gt;=129,A2185&lt;=2176),INDEX(Fields!$C$2:$C$206,MATCH(A2185-129,Fields!$D$2:$D$206,1)),""),"")</f>
        <v/>
      </c>
    </row>
    <row r="2186">
      <c r="A2186" t="n">
        <v>2185</v>
      </c>
      <c r="B2186">
        <f>IFERROR(INDEX(RawBits!$A:$A,MATCH($A2186,RawBits!$H:$H,0)),"?")</f>
        <v/>
      </c>
      <c r="C2186">
        <f>IFERROR(INDEX(RawBits!$G:$G,MATCH($A2186,RawBits!$H:$H,0)),"")</f>
        <v/>
      </c>
      <c r="D2186">
        <f>IFERROR(IF(AND(A2186&gt;=129,A2186&lt;=2176),INDEX(Fields!$B$2:$B$206,MATCH(A2186-129,Fields!$D$2:$D$206,1)),""),"")</f>
        <v/>
      </c>
      <c r="E2186">
        <f>IFERROR(IF(AND(A2186&gt;=129,A2186&lt;=2176),INDEX(Fields!$C$2:$C$206,MATCH(A2186-129,Fields!$D$2:$D$206,1)),""),"")</f>
        <v/>
      </c>
    </row>
    <row r="2187">
      <c r="A2187" t="n">
        <v>2186</v>
      </c>
      <c r="B2187">
        <f>IFERROR(INDEX(RawBits!$A:$A,MATCH($A2187,RawBits!$H:$H,0)),"?")</f>
        <v/>
      </c>
      <c r="C2187">
        <f>IFERROR(INDEX(RawBits!$G:$G,MATCH($A2187,RawBits!$H:$H,0)),"")</f>
        <v/>
      </c>
      <c r="D2187">
        <f>IFERROR(IF(AND(A2187&gt;=129,A2187&lt;=2176),INDEX(Fields!$B$2:$B$206,MATCH(A2187-129,Fields!$D$2:$D$206,1)),""),"")</f>
        <v/>
      </c>
      <c r="E2187">
        <f>IFERROR(IF(AND(A2187&gt;=129,A2187&lt;=2176),INDEX(Fields!$C$2:$C$206,MATCH(A2187-129,Fields!$D$2:$D$206,1)),""),"")</f>
        <v/>
      </c>
    </row>
    <row r="2188">
      <c r="A2188" t="n">
        <v>2187</v>
      </c>
      <c r="B2188">
        <f>IFERROR(INDEX(RawBits!$A:$A,MATCH($A2188,RawBits!$H:$H,0)),"?")</f>
        <v/>
      </c>
      <c r="C2188">
        <f>IFERROR(INDEX(RawBits!$G:$G,MATCH($A2188,RawBits!$H:$H,0)),"")</f>
        <v/>
      </c>
      <c r="D2188">
        <f>IFERROR(IF(AND(A2188&gt;=129,A2188&lt;=2176),INDEX(Fields!$B$2:$B$206,MATCH(A2188-129,Fields!$D$2:$D$206,1)),""),"")</f>
        <v/>
      </c>
      <c r="E2188">
        <f>IFERROR(IF(AND(A2188&gt;=129,A2188&lt;=2176),INDEX(Fields!$C$2:$C$206,MATCH(A2188-129,Fields!$D$2:$D$206,1)),""),"")</f>
        <v/>
      </c>
    </row>
    <row r="2189">
      <c r="A2189" t="n">
        <v>2188</v>
      </c>
      <c r="B2189">
        <f>IFERROR(INDEX(RawBits!$A:$A,MATCH($A2189,RawBits!$H:$H,0)),"?")</f>
        <v/>
      </c>
      <c r="C2189">
        <f>IFERROR(INDEX(RawBits!$G:$G,MATCH($A2189,RawBits!$H:$H,0)),"")</f>
        <v/>
      </c>
      <c r="D2189">
        <f>IFERROR(IF(AND(A2189&gt;=129,A2189&lt;=2176),INDEX(Fields!$B$2:$B$206,MATCH(A2189-129,Fields!$D$2:$D$206,1)),""),"")</f>
        <v/>
      </c>
      <c r="E2189">
        <f>IFERROR(IF(AND(A2189&gt;=129,A2189&lt;=2176),INDEX(Fields!$C$2:$C$206,MATCH(A2189-129,Fields!$D$2:$D$206,1)),""),"")</f>
        <v/>
      </c>
    </row>
    <row r="2190">
      <c r="A2190" t="n">
        <v>2189</v>
      </c>
      <c r="B2190">
        <f>IFERROR(INDEX(RawBits!$A:$A,MATCH($A2190,RawBits!$H:$H,0)),"?")</f>
        <v/>
      </c>
      <c r="C2190">
        <f>IFERROR(INDEX(RawBits!$G:$G,MATCH($A2190,RawBits!$H:$H,0)),"")</f>
        <v/>
      </c>
      <c r="D2190">
        <f>IFERROR(IF(AND(A2190&gt;=129,A2190&lt;=2176),INDEX(Fields!$B$2:$B$206,MATCH(A2190-129,Fields!$D$2:$D$206,1)),""),"")</f>
        <v/>
      </c>
      <c r="E2190">
        <f>IFERROR(IF(AND(A2190&gt;=129,A2190&lt;=2176),INDEX(Fields!$C$2:$C$206,MATCH(A2190-129,Fields!$D$2:$D$206,1)),""),"")</f>
        <v/>
      </c>
    </row>
    <row r="2191">
      <c r="A2191" t="n">
        <v>2190</v>
      </c>
      <c r="B2191">
        <f>IFERROR(INDEX(RawBits!$A:$A,MATCH($A2191,RawBits!$H:$H,0)),"?")</f>
        <v/>
      </c>
      <c r="C2191">
        <f>IFERROR(INDEX(RawBits!$G:$G,MATCH($A2191,RawBits!$H:$H,0)),"")</f>
        <v/>
      </c>
      <c r="D2191">
        <f>IFERROR(IF(AND(A2191&gt;=129,A2191&lt;=2176),INDEX(Fields!$B$2:$B$206,MATCH(A2191-129,Fields!$D$2:$D$206,1)),""),"")</f>
        <v/>
      </c>
      <c r="E2191">
        <f>IFERROR(IF(AND(A2191&gt;=129,A2191&lt;=2176),INDEX(Fields!$C$2:$C$206,MATCH(A2191-129,Fields!$D$2:$D$206,1)),""),"")</f>
        <v/>
      </c>
    </row>
    <row r="2192">
      <c r="A2192" t="n">
        <v>2191</v>
      </c>
      <c r="B2192">
        <f>IFERROR(INDEX(RawBits!$A:$A,MATCH($A2192,RawBits!$H:$H,0)),"?")</f>
        <v/>
      </c>
      <c r="C2192">
        <f>IFERROR(INDEX(RawBits!$G:$G,MATCH($A2192,RawBits!$H:$H,0)),"")</f>
        <v/>
      </c>
      <c r="D2192">
        <f>IFERROR(IF(AND(A2192&gt;=129,A2192&lt;=2176),INDEX(Fields!$B$2:$B$206,MATCH(A2192-129,Fields!$D$2:$D$206,1)),""),"")</f>
        <v/>
      </c>
      <c r="E2192">
        <f>IFERROR(IF(AND(A2192&gt;=129,A2192&lt;=2176),INDEX(Fields!$C$2:$C$206,MATCH(A2192-129,Fields!$D$2:$D$206,1)),""),"")</f>
        <v/>
      </c>
    </row>
    <row r="2193">
      <c r="A2193" t="n">
        <v>2192</v>
      </c>
      <c r="B2193">
        <f>IFERROR(INDEX(RawBits!$A:$A,MATCH($A2193,RawBits!$H:$H,0)),"?")</f>
        <v/>
      </c>
      <c r="C2193">
        <f>IFERROR(INDEX(RawBits!$G:$G,MATCH($A2193,RawBits!$H:$H,0)),"")</f>
        <v/>
      </c>
      <c r="D2193">
        <f>IFERROR(IF(AND(A2193&gt;=129,A2193&lt;=2176),INDEX(Fields!$B$2:$B$206,MATCH(A2193-129,Fields!$D$2:$D$206,1)),""),"")</f>
        <v/>
      </c>
      <c r="E2193">
        <f>IFERROR(IF(AND(A2193&gt;=129,A2193&lt;=2176),INDEX(Fields!$C$2:$C$206,MATCH(A2193-129,Fields!$D$2:$D$206,1)),""),"")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2" customWidth="1" min="3" max="3"/>
    <col width="8" customWidth="1" min="4" max="4"/>
    <col width="40" customWidth="1" min="5" max="5"/>
    <col width="26" customWidth="1" min="6" max="6"/>
    <col width="50" customWidth="1" min="7" max="7"/>
  </cols>
  <sheetData>
    <row r="1">
      <c r="A1" s="3" t="inlineStr">
        <is>
          <t>Subsystem</t>
        </is>
      </c>
      <c r="B1" s="3" t="inlineStr">
        <is>
          <t>ItemName</t>
        </is>
      </c>
      <c r="C1" s="3" t="inlineStr">
        <is>
          <t>OffsetBit</t>
        </is>
      </c>
      <c r="D1" s="3" t="inlineStr">
        <is>
          <t>BitLen</t>
        </is>
      </c>
      <c r="E1" s="3" t="inlineStr">
        <is>
          <t>Bits</t>
        </is>
      </c>
      <c r="F1" s="3" t="inlineStr">
        <is>
          <t>ReadableValue</t>
        </is>
      </c>
      <c r="G1" s="3" t="inlineStr">
        <is>
          <t>LookupTable</t>
        </is>
      </c>
    </row>
    <row r="2">
      <c r="A2" s="5" t="inlineStr">
        <is>
          <t>HEADER</t>
        </is>
      </c>
      <c r="B2" s="5" t="inlineStr">
        <is>
          <t>Dest Address</t>
        </is>
      </c>
      <c r="C2" s="5" t="n">
        <v>0</v>
      </c>
      <c r="D2" s="5" t="n">
        <v>56</v>
      </c>
      <c r="E2" s="6">
        <f>_DestuffedBits!C2&amp;_DestuffedBits!C3&amp;_DestuffedBits!C4&amp;_DestuffedBits!C5&amp;_DestuffedBits!C6&amp;_DestuffedBits!C7&amp;_DestuffedBits!C8&amp;_DestuffedBits!C9&amp;_DestuffedBits!C10&amp;_DestuffedBits!C11&amp;_DestuffedBits!C12&amp;_DestuffedBits!C13&amp;_DestuffedBits!C14&amp;_DestuffedBits!C15&amp;_DestuffedBits!C16&amp;_DestuffedBits!C17&amp;_DestuffedBits!C18&amp;_DestuffedBits!C19&amp;_DestuffedBits!C20&amp;_DestuffedBits!C21&amp;_DestuffedBits!C22&amp;_DestuffedBits!C23&amp;_DestuffedBits!C24&amp;_DestuffedBits!C25&amp;_DestuffedBits!C26&amp;_DestuffedBits!C27&amp;_DestuffedBits!C28&amp;_DestuffedBits!C29&amp;_DestuffedBits!C30&amp;_DestuffedBits!C31&amp;_DestuffedBits!C32&amp;_DestuffedBits!C33&amp;_DestuffedBits!C34&amp;_DestuffedBits!C35&amp;_DestuffedBits!C36&amp;_DestuffedBits!C37&amp;_DestuffedBits!C38&amp;_DestuffedBits!C39&amp;_DestuffedBits!C40&amp;_DestuffedBits!C41&amp;_DestuffedBits!C42&amp;_DestuffedBits!C43&amp;_DestuffedBits!C44&amp;_DestuffedBits!C45&amp;_DestuffedBits!C46&amp;_DestuffedBits!C47&amp;_DestuffedBits!C48&amp;_DestuffedBits!C49&amp;_DestuffedBits!C50&amp;_DestuffedBits!C51&amp;_DestuffedBits!C52&amp;_DestuffedBits!C53&amp;_DestuffedBits!C54&amp;_DestuffedBits!C55&amp;_DestuffedBits!C56&amp;_DestuffedBits!C57</f>
        <v/>
      </c>
      <c r="F2" s="5">
        <f>"'"&amp;IF(AND(INT((_DestuffedBits!C2*1+_DestuffedBits!C3*2+_DestuffedBits!C4*4+_DestuffedBits!C5*8+_DestuffedBits!C6*16+_DestuffedBits!C7*32+_DestuffedBits!C8*64+_DestuffedBits!C9*128)/2)&gt;=32,INT((_DestuffedBits!C2*1+_DestuffedBits!C3*2+_DestuffedBits!C4*4+_DestuffedBits!C5*8+_DestuffedBits!C6*16+_DestuffedBits!C7*32+_DestuffedBits!C8*64+_DestuffedBits!C9*128)/2)&lt;127),CHAR(INT((_DestuffedBits!C2*1+_DestuffedBits!C3*2+_DestuffedBits!C4*4+_DestuffedBits!C5*8+_DestuffedBits!C6*16+_DestuffedBits!C7*32+_DestuffedBits!C8*64+_DestuffedBits!C9*128)/2)),"?")&amp;IF(AND(INT((_DestuffedBits!C10*1+_DestuffedBits!C11*2+_DestuffedBits!C12*4+_DestuffedBits!C13*8+_DestuffedBits!C14*16+_DestuffedBits!C15*32+_DestuffedBits!C16*64+_DestuffedBits!C17*128)/2)&gt;=32,INT((_DestuffedBits!C10*1+_DestuffedBits!C11*2+_DestuffedBits!C12*4+_DestuffedBits!C13*8+_DestuffedBits!C14*16+_DestuffedBits!C15*32+_DestuffedBits!C16*64+_DestuffedBits!C17*128)/2)&lt;127),CHAR(INT((_DestuffedBits!C10*1+_DestuffedBits!C11*2+_DestuffedBits!C12*4+_DestuffedBits!C13*8+_DestuffedBits!C14*16+_DestuffedBits!C15*32+_DestuffedBits!C16*64+_DestuffedBits!C17*128)/2)),"?")&amp;IF(AND(INT((_DestuffedBits!C18*1+_DestuffedBits!C19*2+_DestuffedBits!C20*4+_DestuffedBits!C21*8+_DestuffedBits!C22*16+_DestuffedBits!C23*32+_DestuffedBits!C24*64+_DestuffedBits!C25*128)/2)&gt;=32,INT((_DestuffedBits!C18*1+_DestuffedBits!C19*2+_DestuffedBits!C20*4+_DestuffedBits!C21*8+_DestuffedBits!C22*16+_DestuffedBits!C23*32+_DestuffedBits!C24*64+_DestuffedBits!C25*128)/2)&lt;127),CHAR(INT((_DestuffedBits!C18*1+_DestuffedBits!C19*2+_DestuffedBits!C20*4+_DestuffedBits!C21*8+_DestuffedBits!C22*16+_DestuffedBits!C23*32+_DestuffedBits!C24*64+_DestuffedBits!C25*128)/2)),"?")&amp;IF(AND(INT((_DestuffedBits!C26*1+_DestuffedBits!C27*2+_DestuffedBits!C28*4+_DestuffedBits!C29*8+_DestuffedBits!C30*16+_DestuffedBits!C31*32+_DestuffedBits!C32*64+_DestuffedBits!C33*128)/2)&gt;=32,INT((_DestuffedBits!C26*1+_DestuffedBits!C27*2+_DestuffedBits!C28*4+_DestuffedBits!C29*8+_DestuffedBits!C30*16+_DestuffedBits!C31*32+_DestuffedBits!C32*64+_DestuffedBits!C33*128)/2)&lt;127),CHAR(INT((_DestuffedBits!C26*1+_DestuffedBits!C27*2+_DestuffedBits!C28*4+_DestuffedBits!C29*8+_DestuffedBits!C30*16+_DestuffedBits!C31*32+_DestuffedBits!C32*64+_DestuffedBits!C33*128)/2)),"?")&amp;IF(AND(INT((_DestuffedBits!C34*1+_DestuffedBits!C35*2+_DestuffedBits!C36*4+_DestuffedBits!C37*8+_DestuffedBits!C38*16+_DestuffedBits!C39*32+_DestuffedBits!C40*64+_DestuffedBits!C41*128)/2)&gt;=32,INT((_DestuffedBits!C34*1+_DestuffedBits!C35*2+_DestuffedBits!C36*4+_DestuffedBits!C37*8+_DestuffedBits!C38*16+_DestuffedBits!C39*32+_DestuffedBits!C40*64+_DestuffedBits!C41*128)/2)&lt;127),CHAR(INT((_DestuffedBits!C34*1+_DestuffedBits!C35*2+_DestuffedBits!C36*4+_DestuffedBits!C37*8+_DestuffedBits!C38*16+_DestuffedBits!C39*32+_DestuffedBits!C40*64+_DestuffedBits!C41*128)/2)),"?")&amp;IF(AND(INT((_DestuffedBits!C42*1+_DestuffedBits!C43*2+_DestuffedBits!C44*4+_DestuffedBits!C45*8+_DestuffedBits!C46*16+_DestuffedBits!C47*32+_DestuffedBits!C48*64+_DestuffedBits!C49*128)/2)&gt;=32,INT((_DestuffedBits!C42*1+_DestuffedBits!C43*2+_DestuffedBits!C44*4+_DestuffedBits!C45*8+_DestuffedBits!C46*16+_DestuffedBits!C47*32+_DestuffedBits!C48*64+_DestuffedBits!C49*128)/2)&lt;127),CHAR(INT((_DestuffedBits!C42*1+_DestuffedBits!C43*2+_DestuffedBits!C44*4+_DestuffedBits!C45*8+_DestuffedBits!C46*16+_DestuffedBits!C47*32+_DestuffedBits!C48*64+_DestuffedBits!C49*128)/2)),"?")&amp;"' (SSID byte=0x"&amp;DEC2HEX(_DestuffedBits!C50*1+_DestuffedBits!C51*2+_DestuffedBits!C52*4+_DestuffedBits!C53*8+_DestuffedBits!C54*16+_DestuffedBits!C55*32+_DestuffedBits!C56*64+_DestuffedBits!C57*128,2)&amp;")"</f>
        <v/>
      </c>
      <c r="G2" s="5" t="inlineStr">
        <is>
          <t>expect 'BN0CU ' (&gt;&gt;1 of each byte, ground-test reference)</t>
        </is>
      </c>
    </row>
    <row r="3">
      <c r="A3" s="5" t="inlineStr">
        <is>
          <t>HEADER</t>
        </is>
      </c>
      <c r="B3" s="5" t="inlineStr">
        <is>
          <t>Src Address</t>
        </is>
      </c>
      <c r="C3" s="5" t="n">
        <v>56</v>
      </c>
      <c r="D3" s="5" t="n">
        <v>56</v>
      </c>
      <c r="E3" s="6">
        <f>_DestuffedBits!C58&amp;_DestuffedBits!C59&amp;_DestuffedBits!C60&amp;_DestuffedBits!C61&amp;_DestuffedBits!C62&amp;_DestuffedBits!C63&amp;_DestuffedBits!C64&amp;_DestuffedBits!C65&amp;_DestuffedBits!C66&amp;_DestuffedBits!C67&amp;_DestuffedBits!C68&amp;_DestuffedBits!C69&amp;_DestuffedBits!C70&amp;_DestuffedBits!C71&amp;_DestuffedBits!C72&amp;_DestuffedBits!C73&amp;_DestuffedBits!C74&amp;_DestuffedBits!C75&amp;_DestuffedBits!C76&amp;_DestuffedBits!C77&amp;_DestuffedBits!C78&amp;_DestuffedBits!C79&amp;_DestuffedBits!C80&amp;_DestuffedBits!C81&amp;_DestuffedBits!C82&amp;_DestuffedBits!C83&amp;_DestuffedBits!C84&amp;_DestuffedBits!C85&amp;_DestuffedBits!C86&amp;_DestuffedBits!C87&amp;_DestuffedBits!C88&amp;_DestuffedBits!C89&amp;_DestuffedBits!C90&amp;_DestuffedBits!C91&amp;_DestuffedBits!C92&amp;_DestuffedBits!C93&amp;_DestuffedBits!C94&amp;_DestuffedBits!C95&amp;_DestuffedBits!C96&amp;_DestuffedBits!C97&amp;_DestuffedBits!C98&amp;_DestuffedBits!C99&amp;_DestuffedBits!C100&amp;_DestuffedBits!C101&amp;_DestuffedBits!C102&amp;_DestuffedBits!C103&amp;_DestuffedBits!C104&amp;_DestuffedBits!C105&amp;_DestuffedBits!C106&amp;_DestuffedBits!C107&amp;_DestuffedBits!C108&amp;_DestuffedBits!C109&amp;_DestuffedBits!C110&amp;_DestuffedBits!C111&amp;_DestuffedBits!C112&amp;_DestuffedBits!C113</f>
        <v/>
      </c>
      <c r="F3" s="5">
        <f>"'"&amp;IF(AND(INT((_DestuffedBits!C58*1+_DestuffedBits!C59*2+_DestuffedBits!C60*4+_DestuffedBits!C61*8+_DestuffedBits!C62*16+_DestuffedBits!C63*32+_DestuffedBits!C64*64+_DestuffedBits!C65*128)/2)&gt;=32,INT((_DestuffedBits!C58*1+_DestuffedBits!C59*2+_DestuffedBits!C60*4+_DestuffedBits!C61*8+_DestuffedBits!C62*16+_DestuffedBits!C63*32+_DestuffedBits!C64*64+_DestuffedBits!C65*128)/2)&lt;127),CHAR(INT((_DestuffedBits!C58*1+_DestuffedBits!C59*2+_DestuffedBits!C60*4+_DestuffedBits!C61*8+_DestuffedBits!C62*16+_DestuffedBits!C63*32+_DestuffedBits!C64*64+_DestuffedBits!C65*128)/2)),"?")&amp;IF(AND(INT((_DestuffedBits!C66*1+_DestuffedBits!C67*2+_DestuffedBits!C68*4+_DestuffedBits!C69*8+_DestuffedBits!C70*16+_DestuffedBits!C71*32+_DestuffedBits!C72*64+_DestuffedBits!C73*128)/2)&gt;=32,INT((_DestuffedBits!C66*1+_DestuffedBits!C67*2+_DestuffedBits!C68*4+_DestuffedBits!C69*8+_DestuffedBits!C70*16+_DestuffedBits!C71*32+_DestuffedBits!C72*64+_DestuffedBits!C73*128)/2)&lt;127),CHAR(INT((_DestuffedBits!C66*1+_DestuffedBits!C67*2+_DestuffedBits!C68*4+_DestuffedBits!C69*8+_DestuffedBits!C70*16+_DestuffedBits!C71*32+_DestuffedBits!C72*64+_DestuffedBits!C73*128)/2)),"?")&amp;IF(AND(INT((_DestuffedBits!C74*1+_DestuffedBits!C75*2+_DestuffedBits!C76*4+_DestuffedBits!C77*8+_DestuffedBits!C78*16+_DestuffedBits!C79*32+_DestuffedBits!C80*64+_DestuffedBits!C81*128)/2)&gt;=32,INT((_DestuffedBits!C74*1+_DestuffedBits!C75*2+_DestuffedBits!C76*4+_DestuffedBits!C77*8+_DestuffedBits!C78*16+_DestuffedBits!C79*32+_DestuffedBits!C80*64+_DestuffedBits!C81*128)/2)&lt;127),CHAR(INT((_DestuffedBits!C74*1+_DestuffedBits!C75*2+_DestuffedBits!C76*4+_DestuffedBits!C77*8+_DestuffedBits!C78*16+_DestuffedBits!C79*32+_DestuffedBits!C80*64+_DestuffedBits!C81*128)/2)),"?")&amp;IF(AND(INT((_DestuffedBits!C82*1+_DestuffedBits!C83*2+_DestuffedBits!C84*4+_DestuffedBits!C85*8+_DestuffedBits!C86*16+_DestuffedBits!C87*32+_DestuffedBits!C88*64+_DestuffedBits!C89*128)/2)&gt;=32,INT((_DestuffedBits!C82*1+_DestuffedBits!C83*2+_DestuffedBits!C84*4+_DestuffedBits!C85*8+_DestuffedBits!C86*16+_DestuffedBits!C87*32+_DestuffedBits!C88*64+_DestuffedBits!C89*128)/2)&lt;127),CHAR(INT((_DestuffedBits!C82*1+_DestuffedBits!C83*2+_DestuffedBits!C84*4+_DestuffedBits!C85*8+_DestuffedBits!C86*16+_DestuffedBits!C87*32+_DestuffedBits!C88*64+_DestuffedBits!C89*128)/2)),"?")&amp;IF(AND(INT((_DestuffedBits!C90*1+_DestuffedBits!C91*2+_DestuffedBits!C92*4+_DestuffedBits!C93*8+_DestuffedBits!C94*16+_DestuffedBits!C95*32+_DestuffedBits!C96*64+_DestuffedBits!C97*128)/2)&gt;=32,INT((_DestuffedBits!C90*1+_DestuffedBits!C91*2+_DestuffedBits!C92*4+_DestuffedBits!C93*8+_DestuffedBits!C94*16+_DestuffedBits!C95*32+_DestuffedBits!C96*64+_DestuffedBits!C97*128)/2)&lt;127),CHAR(INT((_DestuffedBits!C90*1+_DestuffedBits!C91*2+_DestuffedBits!C92*4+_DestuffedBits!C93*8+_DestuffedBits!C94*16+_DestuffedBits!C95*32+_DestuffedBits!C96*64+_DestuffedBits!C97*128)/2)),"?")&amp;IF(AND(INT((_DestuffedBits!C98*1+_DestuffedBits!C99*2+_DestuffedBits!C100*4+_DestuffedBits!C101*8+_DestuffedBits!C102*16+_DestuffedBits!C103*32+_DestuffedBits!C104*64+_DestuffedBits!C105*128)/2)&gt;=32,INT((_DestuffedBits!C98*1+_DestuffedBits!C99*2+_DestuffedBits!C100*4+_DestuffedBits!C101*8+_DestuffedBits!C102*16+_DestuffedBits!C103*32+_DestuffedBits!C104*64+_DestuffedBits!C105*128)/2)&lt;127),CHAR(INT((_DestuffedBits!C98*1+_DestuffedBits!C99*2+_DestuffedBits!C100*4+_DestuffedBits!C101*8+_DestuffedBits!C102*16+_DestuffedBits!C103*32+_DestuffedBits!C104*64+_DestuffedBits!C105*128)/2)),"?")&amp;"' (SSID byte=0x"&amp;DEC2HEX(_DestuffedBits!C106*1+_DestuffedBits!C107*2+_DestuffedBits!C108*4+_DestuffedBits!C109*8+_DestuffedBits!C110*16+_DestuffedBits!C111*32+_DestuffedBits!C112*64+_DestuffedBits!C113*128,2)&amp;")"</f>
        <v/>
      </c>
      <c r="G3" s="5" t="inlineStr">
        <is>
          <t>expect 'BN0SCX' (&gt;&gt;1 of each byte, ground-test reference)</t>
        </is>
      </c>
    </row>
    <row r="4">
      <c r="A4" s="5" t="inlineStr">
        <is>
          <t>HEADER</t>
        </is>
      </c>
      <c r="B4" s="5" t="inlineStr">
        <is>
          <t>Control</t>
        </is>
      </c>
      <c r="C4" s="5" t="n">
        <v>112</v>
      </c>
      <c r="D4" s="5" t="n">
        <v>8</v>
      </c>
      <c r="E4" s="6">
        <f>_DestuffedBits!C114&amp;_DestuffedBits!C115&amp;_DestuffedBits!C116&amp;_DestuffedBits!C117&amp;_DestuffedBits!C118&amp;_DestuffedBits!C119&amp;_DestuffedBits!C120&amp;_DestuffedBits!C121</f>
        <v/>
      </c>
      <c r="F4" s="5">
        <f>"0x"&amp;DEC2HEX(_DestuffedBits!C114*1+_DestuffedBits!C115*2+_DestuffedBits!C116*4+_DestuffedBits!C117*8+_DestuffedBits!C118*16+_DestuffedBits!C119*32+_DestuffedBits!C120*64+_DestuffedBits!C121*128,2)</f>
        <v/>
      </c>
      <c r="G4" s="5" t="inlineStr">
        <is>
          <t>expect 0x03 (UI frame)</t>
        </is>
      </c>
    </row>
    <row r="5">
      <c r="A5" s="5" t="inlineStr">
        <is>
          <t>HEADER</t>
        </is>
      </c>
      <c r="B5" s="5" t="inlineStr">
        <is>
          <t>PID</t>
        </is>
      </c>
      <c r="C5" s="5" t="n">
        <v>120</v>
      </c>
      <c r="D5" s="5" t="n">
        <v>8</v>
      </c>
      <c r="E5" s="6">
        <f>_DestuffedBits!C122&amp;_DestuffedBits!C123&amp;_DestuffedBits!C124&amp;_DestuffedBits!C125&amp;_DestuffedBits!C126&amp;_DestuffedBits!C127&amp;_DestuffedBits!C128&amp;_DestuffedBits!C129</f>
        <v/>
      </c>
      <c r="F5" s="5">
        <f>"0x"&amp;DEC2HEX(_DestuffedBits!C122*1+_DestuffedBits!C123*2+_DestuffedBits!C124*4+_DestuffedBits!C125*8+_DestuffedBits!C126*16+_DestuffedBits!C127*32+_DestuffedBits!C128*64+_DestuffedBits!C129*128,2)</f>
        <v/>
      </c>
      <c r="G5" s="5" t="inlineStr">
        <is>
          <t>expect 0xF0 (no layer-3)</t>
        </is>
      </c>
    </row>
    <row r="6">
      <c r="A6" s="7" t="inlineStr">
        <is>
          <t>FSW</t>
        </is>
      </c>
      <c r="B6" s="7" t="inlineStr">
        <is>
          <t>APID</t>
        </is>
      </c>
      <c r="C6" s="7" t="n">
        <v>0</v>
      </c>
      <c r="D6" s="7" t="n">
        <v>8</v>
      </c>
      <c r="E6" s="8">
        <f>_DestuffedBits!C130&amp;_DestuffedBits!C131&amp;_DestuffedBits!C132&amp;_DestuffedBits!C133&amp;_DestuffedBits!C134&amp;_DestuffedBits!C135&amp;_DestuffedBits!C136&amp;_DestuffedBits!C137</f>
        <v/>
      </c>
      <c r="F6" s="7">
        <f>Fields!J2</f>
        <v/>
      </c>
      <c r="G6" s="7">
        <f>Fields!K2</f>
        <v/>
      </c>
    </row>
    <row r="7">
      <c r="A7" s="7" t="inlineStr">
        <is>
          <t>FSW</t>
        </is>
      </c>
      <c r="B7" s="7" t="inlineStr">
        <is>
          <t>First boot</t>
        </is>
      </c>
      <c r="C7" s="7" t="n">
        <v>8</v>
      </c>
      <c r="D7" s="7" t="n">
        <v>1</v>
      </c>
      <c r="E7" s="8">
        <f>_DestuffedBits!C138</f>
        <v/>
      </c>
      <c r="F7" s="7">
        <f>Fields!J3</f>
        <v/>
      </c>
      <c r="G7" s="7">
        <f>Fields!K3</f>
        <v/>
      </c>
    </row>
    <row r="8">
      <c r="A8" s="7" t="inlineStr">
        <is>
          <t>FSW</t>
        </is>
      </c>
      <c r="B8" s="7" t="inlineStr">
        <is>
          <t>Going to ADCS commission</t>
        </is>
      </c>
      <c r="C8" s="7" t="n">
        <v>9</v>
      </c>
      <c r="D8" s="7" t="n">
        <v>1</v>
      </c>
      <c r="E8" s="8">
        <f>_DestuffedBits!C139</f>
        <v/>
      </c>
      <c r="F8" s="7">
        <f>Fields!J4</f>
        <v/>
      </c>
      <c r="G8" s="7">
        <f>Fields!K4</f>
        <v/>
      </c>
    </row>
    <row r="9">
      <c r="A9" s="7" t="inlineStr">
        <is>
          <t>FSW</t>
        </is>
      </c>
      <c r="B9" s="7" t="inlineStr">
        <is>
          <t>adcs_commissioned</t>
        </is>
      </c>
      <c r="C9" s="7" t="n">
        <v>10</v>
      </c>
      <c r="D9" s="7" t="n">
        <v>1</v>
      </c>
      <c r="E9" s="8">
        <f>_DestuffedBits!C140</f>
        <v/>
      </c>
      <c r="F9" s="7">
        <f>Fields!J5</f>
        <v/>
      </c>
      <c r="G9" s="7">
        <f>Fields!K5</f>
        <v/>
      </c>
    </row>
    <row r="10">
      <c r="A10" s="7" t="inlineStr">
        <is>
          <t>FSW</t>
        </is>
      </c>
      <c r="B10" s="7" t="inlineStr">
        <is>
          <t>MAG</t>
        </is>
      </c>
      <c r="C10" s="7" t="n">
        <v>11</v>
      </c>
      <c r="D10" s="7" t="n">
        <v>1</v>
      </c>
      <c r="E10" s="8">
        <f>_DestuffedBits!C141</f>
        <v/>
      </c>
      <c r="F10" s="7">
        <f>Fields!J6</f>
        <v/>
      </c>
      <c r="G10" s="7">
        <f>Fields!K6</f>
        <v/>
      </c>
    </row>
    <row r="11">
      <c r="A11" s="7" t="inlineStr">
        <is>
          <t>FSW</t>
        </is>
      </c>
      <c r="B11" s="7" t="inlineStr">
        <is>
          <t>SP1</t>
        </is>
      </c>
      <c r="C11" s="7" t="n">
        <v>12</v>
      </c>
      <c r="D11" s="7" t="n">
        <v>1</v>
      </c>
      <c r="E11" s="8">
        <f>_DestuffedBits!C142</f>
        <v/>
      </c>
      <c r="F11" s="7">
        <f>Fields!J7</f>
        <v/>
      </c>
      <c r="G11" s="7">
        <f>Fields!K7</f>
        <v/>
      </c>
    </row>
    <row r="12">
      <c r="A12" s="7" t="inlineStr">
        <is>
          <t>FSW</t>
        </is>
      </c>
      <c r="B12" s="7" t="inlineStr">
        <is>
          <t>SP2</t>
        </is>
      </c>
      <c r="C12" s="7" t="n">
        <v>13</v>
      </c>
      <c r="D12" s="7" t="n">
        <v>1</v>
      </c>
      <c r="E12" s="8">
        <f>_DestuffedBits!C143</f>
        <v/>
      </c>
      <c r="F12" s="7">
        <f>Fields!J8</f>
        <v/>
      </c>
      <c r="G12" s="7">
        <f>Fields!K8</f>
        <v/>
      </c>
    </row>
    <row r="13">
      <c r="A13" s="7" t="inlineStr">
        <is>
          <t>FSW</t>
        </is>
      </c>
      <c r="B13" s="7" t="inlineStr">
        <is>
          <t>VHF</t>
        </is>
      </c>
      <c r="C13" s="7" t="n">
        <v>14</v>
      </c>
      <c r="D13" s="7" t="n">
        <v>1</v>
      </c>
      <c r="E13" s="8">
        <f>_DestuffedBits!C144</f>
        <v/>
      </c>
      <c r="F13" s="7">
        <f>Fields!J9</f>
        <v/>
      </c>
      <c r="G13" s="7">
        <f>Fields!K9</f>
        <v/>
      </c>
    </row>
    <row r="14">
      <c r="A14" s="7" t="inlineStr">
        <is>
          <t>FSW</t>
        </is>
      </c>
      <c r="B14" s="7" t="inlineStr">
        <is>
          <t>UHF</t>
        </is>
      </c>
      <c r="C14" s="7" t="n">
        <v>15</v>
      </c>
      <c r="D14" s="7" t="n">
        <v>1</v>
      </c>
      <c r="E14" s="8">
        <f>_DestuffedBits!C145</f>
        <v/>
      </c>
      <c r="F14" s="7">
        <f>Fields!J10</f>
        <v/>
      </c>
      <c r="G14" s="7">
        <f>Fields!K10</f>
        <v/>
      </c>
    </row>
    <row r="15">
      <c r="A15" s="7" t="inlineStr">
        <is>
          <t>FSW</t>
        </is>
      </c>
      <c r="B15" s="7" t="inlineStr">
        <is>
          <t>sys_state - factory reset</t>
        </is>
      </c>
      <c r="C15" s="7" t="n">
        <v>16</v>
      </c>
      <c r="D15" s="7" t="n">
        <v>1</v>
      </c>
      <c r="E15" s="8">
        <f>_DestuffedBits!C146</f>
        <v/>
      </c>
      <c r="F15" s="7">
        <f>Fields!J11</f>
        <v/>
      </c>
      <c r="G15" s="7">
        <f>Fields!K11</f>
        <v/>
      </c>
    </row>
    <row r="16">
      <c r="A16" s="7" t="inlineStr">
        <is>
          <t>FSW</t>
        </is>
      </c>
      <c r="B16" s="7" t="inlineStr">
        <is>
          <t>sys_state - reset</t>
        </is>
      </c>
      <c r="C16" s="7" t="n">
        <v>17</v>
      </c>
      <c r="D16" s="7" t="n">
        <v>1</v>
      </c>
      <c r="E16" s="8">
        <f>_DestuffedBits!C147</f>
        <v/>
      </c>
      <c r="F16" s="7">
        <f>Fields!J12</f>
        <v/>
      </c>
      <c r="G16" s="7">
        <f>Fields!K12</f>
        <v/>
      </c>
    </row>
    <row r="17">
      <c r="A17" s="7" t="inlineStr">
        <is>
          <t>FSW</t>
        </is>
      </c>
      <c r="B17" s="7" t="inlineStr">
        <is>
          <t>Main SD select</t>
        </is>
      </c>
      <c r="C17" s="7" t="n">
        <v>18</v>
      </c>
      <c r="D17" s="7" t="n">
        <v>1</v>
      </c>
      <c r="E17" s="8">
        <f>_DestuffedBits!C148</f>
        <v/>
      </c>
      <c r="F17" s="7">
        <f>Fields!J13</f>
        <v/>
      </c>
      <c r="G17" s="7">
        <f>Fields!K13</f>
        <v/>
      </c>
    </row>
    <row r="18">
      <c r="A18" s="7" t="inlineStr">
        <is>
          <t>FSW</t>
        </is>
      </c>
      <c r="B18" s="7" t="inlineStr">
        <is>
          <t>Nominal</t>
        </is>
      </c>
      <c r="C18" s="7" t="n">
        <v>19</v>
      </c>
      <c r="D18" s="7" t="n">
        <v>1</v>
      </c>
      <c r="E18" s="8">
        <f>_DestuffedBits!C149</f>
        <v/>
      </c>
      <c r="F18" s="7">
        <f>Fields!J14</f>
        <v/>
      </c>
      <c r="G18" s="7">
        <f>Fields!K14</f>
        <v/>
      </c>
    </row>
    <row r="19">
      <c r="A19" s="7" t="inlineStr">
        <is>
          <t>FSW</t>
        </is>
      </c>
      <c r="B19" s="7" t="inlineStr">
        <is>
          <t>(reserved)</t>
        </is>
      </c>
      <c r="C19" s="7" t="n">
        <v>20</v>
      </c>
      <c r="D19" s="7" t="n">
        <v>4</v>
      </c>
      <c r="E19" s="8">
        <f>_DestuffedBits!C150&amp;_DestuffedBits!C151&amp;_DestuffedBits!C152&amp;_DestuffedBits!C153</f>
        <v/>
      </c>
      <c r="F19" s="7">
        <f>Fields!J15</f>
        <v/>
      </c>
      <c r="G19" s="7">
        <f>Fields!K15</f>
        <v/>
      </c>
    </row>
    <row r="20">
      <c r="A20" s="7" t="inlineStr">
        <is>
          <t>FSW</t>
        </is>
      </c>
      <c r="B20" s="7" t="inlineStr">
        <is>
          <t>OBC Time</t>
        </is>
      </c>
      <c r="C20" s="7" t="n">
        <v>24</v>
      </c>
      <c r="D20" s="7" t="n">
        <v>32</v>
      </c>
      <c r="E20" s="8">
        <f>_DestuffedBits!C154&amp;_DestuffedBits!C155&amp;_DestuffedBits!C156&amp;_DestuffedBits!C157&amp;_DestuffedBits!C158&amp;_DestuffedBits!C159&amp;_DestuffedBits!C160&amp;_DestuffedBits!C161&amp;_DestuffedBits!C162&amp;_DestuffedBits!C163&amp;_DestuffedBits!C164&amp;_DestuffedBits!C165&amp;_DestuffedBits!C166&amp;_DestuffedBits!C167&amp;_DestuffedBits!C168&amp;_DestuffedBits!C169&amp;_DestuffedBits!C170&amp;_DestuffedBits!C171&amp;_DestuffedBits!C172&amp;_DestuffedBits!C173&amp;_DestuffedBits!C174&amp;_DestuffedBits!C175&amp;_DestuffedBits!C176&amp;_DestuffedBits!C177&amp;_DestuffedBits!C178&amp;_DestuffedBits!C179&amp;_DestuffedBits!C180&amp;_DestuffedBits!C181&amp;_DestuffedBits!C182&amp;_DestuffedBits!C183&amp;_DestuffedBits!C184&amp;_DestuffedBits!C185</f>
        <v/>
      </c>
      <c r="F20" s="7">
        <f>Fields!J16</f>
        <v/>
      </c>
      <c r="G20" s="7">
        <f>Fields!K16</f>
        <v/>
      </c>
    </row>
    <row r="21">
      <c r="A21" s="7" t="inlineStr">
        <is>
          <t>FSW</t>
        </is>
      </c>
      <c r="B21" s="7" t="inlineStr">
        <is>
          <t>Current Mode</t>
        </is>
      </c>
      <c r="C21" s="7" t="n">
        <v>56</v>
      </c>
      <c r="D21" s="7" t="n">
        <v>8</v>
      </c>
      <c r="E21" s="8">
        <f>_DestuffedBits!C186&amp;_DestuffedBits!C187&amp;_DestuffedBits!C188&amp;_DestuffedBits!C189&amp;_DestuffedBits!C190&amp;_DestuffedBits!C191&amp;_DestuffedBits!C192&amp;_DestuffedBits!C193</f>
        <v/>
      </c>
      <c r="F21" s="7">
        <f>Fields!J17</f>
        <v/>
      </c>
      <c r="G21" s="7">
        <f>Fields!K17</f>
        <v/>
      </c>
    </row>
    <row r="22">
      <c r="A22" s="7" t="inlineStr">
        <is>
          <t>FSW</t>
        </is>
      </c>
      <c r="B22" s="7" t="inlineStr">
        <is>
          <t>EPS onoff state</t>
        </is>
      </c>
      <c r="C22" s="7" t="n">
        <v>64</v>
      </c>
      <c r="D22" s="7" t="n">
        <v>1</v>
      </c>
      <c r="E22" s="8">
        <f>_DestuffedBits!C194</f>
        <v/>
      </c>
      <c r="F22" s="7">
        <f>Fields!J18</f>
        <v/>
      </c>
      <c r="G22" s="7">
        <f>Fields!K18</f>
        <v/>
      </c>
    </row>
    <row r="23">
      <c r="A23" s="7" t="inlineStr">
        <is>
          <t>FSW</t>
        </is>
      </c>
      <c r="B23" s="7" t="inlineStr">
        <is>
          <t>ADCS onoff state</t>
        </is>
      </c>
      <c r="C23" s="7" t="n">
        <v>65</v>
      </c>
      <c r="D23" s="7" t="n">
        <v>1</v>
      </c>
      <c r="E23" s="8">
        <f>_DestuffedBits!C195</f>
        <v/>
      </c>
      <c r="F23" s="7">
        <f>Fields!J19</f>
        <v/>
      </c>
      <c r="G23" s="7">
        <f>Fields!K19</f>
        <v/>
      </c>
    </row>
    <row r="24">
      <c r="A24" s="7" t="inlineStr">
        <is>
          <t>FSW</t>
        </is>
      </c>
      <c r="B24" s="7" t="inlineStr">
        <is>
          <t>UHF onoff state</t>
        </is>
      </c>
      <c r="C24" s="7" t="n">
        <v>66</v>
      </c>
      <c r="D24" s="7" t="n">
        <v>1</v>
      </c>
      <c r="E24" s="8">
        <f>_DestuffedBits!C196</f>
        <v/>
      </c>
      <c r="F24" s="7">
        <f>Fields!J20</f>
        <v/>
      </c>
      <c r="G24" s="7">
        <f>Fields!K20</f>
        <v/>
      </c>
    </row>
    <row r="25">
      <c r="A25" s="7" t="inlineStr">
        <is>
          <t>FSW</t>
        </is>
      </c>
      <c r="B25" s="7" t="inlineStr">
        <is>
          <t>Xband onoff state</t>
        </is>
      </c>
      <c r="C25" s="7" t="n">
        <v>67</v>
      </c>
      <c r="D25" s="7" t="n">
        <v>1</v>
      </c>
      <c r="E25" s="8">
        <f>_DestuffedBits!C197</f>
        <v/>
      </c>
      <c r="F25" s="7">
        <f>Fields!J21</f>
        <v/>
      </c>
      <c r="G25" s="7">
        <f>Fields!K21</f>
        <v/>
      </c>
    </row>
    <row r="26">
      <c r="A26" s="7" t="inlineStr">
        <is>
          <t>FSW</t>
        </is>
      </c>
      <c r="B26" s="7" t="inlineStr">
        <is>
          <t>CIP onoff state</t>
        </is>
      </c>
      <c r="C26" s="7" t="n">
        <v>68</v>
      </c>
      <c r="D26" s="7" t="n">
        <v>1</v>
      </c>
      <c r="E26" s="8">
        <f>_DestuffedBits!C198</f>
        <v/>
      </c>
      <c r="F26" s="7">
        <f>Fields!J22</f>
        <v/>
      </c>
      <c r="G26" s="7">
        <f>Fields!K22</f>
        <v/>
      </c>
    </row>
    <row r="27">
      <c r="A27" s="7" t="inlineStr">
        <is>
          <t>FSW</t>
        </is>
      </c>
      <c r="B27" s="7" t="inlineStr">
        <is>
          <t>HyperSCAN onoff state</t>
        </is>
      </c>
      <c r="C27" s="7" t="n">
        <v>69</v>
      </c>
      <c r="D27" s="7" t="n">
        <v>1</v>
      </c>
      <c r="E27" s="8">
        <f>_DestuffedBits!C199</f>
        <v/>
      </c>
      <c r="F27" s="7">
        <f>Fields!J23</f>
        <v/>
      </c>
      <c r="G27" s="7">
        <f>Fields!K23</f>
        <v/>
      </c>
    </row>
    <row r="28">
      <c r="A28" s="7" t="inlineStr">
        <is>
          <t>FSW</t>
        </is>
      </c>
      <c r="B28" s="7" t="inlineStr">
        <is>
          <t>SEUV onoff state</t>
        </is>
      </c>
      <c r="C28" s="7" t="n">
        <v>70</v>
      </c>
      <c r="D28" s="7" t="n">
        <v>1</v>
      </c>
      <c r="E28" s="8">
        <f>_DestuffedBits!C200</f>
        <v/>
      </c>
      <c r="F28" s="7">
        <f>Fields!J24</f>
        <v/>
      </c>
      <c r="G28" s="7">
        <f>Fields!K24</f>
        <v/>
      </c>
    </row>
    <row r="29">
      <c r="A29" s="7" t="inlineStr">
        <is>
          <t>FSW</t>
        </is>
      </c>
      <c r="B29" s="7" t="inlineStr">
        <is>
          <t>APRS onoff state</t>
        </is>
      </c>
      <c r="C29" s="7" t="n">
        <v>71</v>
      </c>
      <c r="D29" s="7" t="n">
        <v>1</v>
      </c>
      <c r="E29" s="8">
        <f>_DestuffedBits!C201</f>
        <v/>
      </c>
      <c r="F29" s="7">
        <f>Fields!J25</f>
        <v/>
      </c>
      <c r="G29" s="7">
        <f>Fields!K25</f>
        <v/>
      </c>
    </row>
    <row r="30">
      <c r="A30" s="7" t="inlineStr">
        <is>
          <t>FSW</t>
        </is>
      </c>
      <c r="B30" s="7" t="inlineStr">
        <is>
          <t>FSW Reboot Count</t>
        </is>
      </c>
      <c r="C30" s="7" t="n">
        <v>72</v>
      </c>
      <c r="D30" s="7" t="n">
        <v>16</v>
      </c>
      <c r="E30" s="8">
        <f>_DestuffedBits!C202&amp;_DestuffedBits!C203&amp;_DestuffedBits!C204&amp;_DestuffedBits!C205&amp;_DestuffedBits!C206&amp;_DestuffedBits!C207&amp;_DestuffedBits!C208&amp;_DestuffedBits!C209&amp;_DestuffedBits!C210&amp;_DestuffedBits!C211&amp;_DestuffedBits!C212&amp;_DestuffedBits!C213&amp;_DestuffedBits!C214&amp;_DestuffedBits!C215&amp;_DestuffedBits!C216&amp;_DestuffedBits!C217</f>
        <v/>
      </c>
      <c r="F30" s="7">
        <f>Fields!J26</f>
        <v/>
      </c>
      <c r="G30" s="7">
        <f>Fields!K26</f>
        <v/>
      </c>
    </row>
    <row r="31">
      <c r="A31" s="7" t="inlineStr">
        <is>
          <t>FSW</t>
        </is>
      </c>
      <c r="B31" s="7" t="inlineStr">
        <is>
          <t>CMD Accept Count</t>
        </is>
      </c>
      <c r="C31" s="7" t="n">
        <v>88</v>
      </c>
      <c r="D31" s="7" t="n">
        <v>16</v>
      </c>
      <c r="E31" s="8">
        <f>_DestuffedBits!C218&amp;_DestuffedBits!C219&amp;_DestuffedBits!C220&amp;_DestuffedBits!C221&amp;_DestuffedBits!C222&amp;_DestuffedBits!C223&amp;_DestuffedBits!C224&amp;_DestuffedBits!C225&amp;_DestuffedBits!C226&amp;_DestuffedBits!C227&amp;_DestuffedBits!C228&amp;_DestuffedBits!C229&amp;_DestuffedBits!C230&amp;_DestuffedBits!C231&amp;_DestuffedBits!C232&amp;_DestuffedBits!C233</f>
        <v/>
      </c>
      <c r="F31" s="7">
        <f>Fields!J27</f>
        <v/>
      </c>
      <c r="G31" s="7">
        <f>Fields!K27</f>
        <v/>
      </c>
    </row>
    <row r="32">
      <c r="A32" s="7" t="inlineStr">
        <is>
          <t>FSW</t>
        </is>
      </c>
      <c r="B32" s="7" t="inlineStr">
        <is>
          <t>CMD Reject Count</t>
        </is>
      </c>
      <c r="C32" s="7" t="n">
        <v>104</v>
      </c>
      <c r="D32" s="7" t="n">
        <v>16</v>
      </c>
      <c r="E32" s="8">
        <f>_DestuffedBits!C234&amp;_DestuffedBits!C235&amp;_DestuffedBits!C236&amp;_DestuffedBits!C237&amp;_DestuffedBits!C238&amp;_DestuffedBits!C239&amp;_DestuffedBits!C240&amp;_DestuffedBits!C241&amp;_DestuffedBits!C242&amp;_DestuffedBits!C243&amp;_DestuffedBits!C244&amp;_DestuffedBits!C245&amp;_DestuffedBits!C246&amp;_DestuffedBits!C247&amp;_DestuffedBits!C248&amp;_DestuffedBits!C249</f>
        <v/>
      </c>
      <c r="F32" s="7">
        <f>Fields!J28</f>
        <v/>
      </c>
      <c r="G32" s="7">
        <f>Fields!K28</f>
        <v/>
      </c>
    </row>
    <row r="33">
      <c r="A33" s="7" t="inlineStr">
        <is>
          <t>FSW</t>
        </is>
      </c>
      <c r="B33" s="7" t="inlineStr">
        <is>
          <t>Last packet send</t>
        </is>
      </c>
      <c r="C33" s="7" t="n">
        <v>120</v>
      </c>
      <c r="D33" s="7" t="n">
        <v>32</v>
      </c>
      <c r="E33" s="8">
        <f>_DestuffedBits!C250&amp;_DestuffedBits!C251&amp;_DestuffedBits!C252&amp;_DestuffedBits!C253&amp;_DestuffedBits!C254&amp;_DestuffedBits!C255&amp;_DestuffedBits!C256&amp;_DestuffedBits!C257&amp;_DestuffedBits!C258&amp;_DestuffedBits!C259&amp;_DestuffedBits!C260&amp;_DestuffedBits!C261&amp;_DestuffedBits!C262&amp;_DestuffedBits!C263&amp;_DestuffedBits!C264&amp;_DestuffedBits!C265&amp;_DestuffedBits!C266&amp;_DestuffedBits!C267&amp;_DestuffedBits!C268&amp;_DestuffedBits!C269&amp;_DestuffedBits!C270&amp;_DestuffedBits!C271&amp;_DestuffedBits!C272&amp;_DestuffedBits!C273&amp;_DestuffedBits!C274&amp;_DestuffedBits!C275&amp;_DestuffedBits!C276&amp;_DestuffedBits!C277&amp;_DestuffedBits!C278&amp;_DestuffedBits!C279&amp;_DestuffedBits!C280&amp;_DestuffedBits!C281</f>
        <v/>
      </c>
      <c r="F33" s="7">
        <f>Fields!J29</f>
        <v/>
      </c>
      <c r="G33" s="7">
        <f>Fields!K29</f>
        <v/>
      </c>
    </row>
    <row r="34">
      <c r="A34" s="7" t="inlineStr">
        <is>
          <t>FSW</t>
        </is>
      </c>
      <c r="B34" s="7" t="inlineStr">
        <is>
          <t>Last packet send time</t>
        </is>
      </c>
      <c r="C34" s="7" t="n">
        <v>152</v>
      </c>
      <c r="D34" s="7" t="n">
        <v>32</v>
      </c>
      <c r="E34" s="8">
        <f>_DestuffedBits!C282&amp;_DestuffedBits!C283&amp;_DestuffedBits!C284&amp;_DestuffedBits!C285&amp;_DestuffedBits!C286&amp;_DestuffedBits!C287&amp;_DestuffedBits!C288&amp;_DestuffedBits!C289&amp;_DestuffedBits!C290&amp;_DestuffedBits!C291&amp;_DestuffedBits!C292&amp;_DestuffedBits!C293&amp;_DestuffedBits!C294&amp;_DestuffedBits!C295&amp;_DestuffedBits!C296&amp;_DestuffedBits!C297&amp;_DestuffedBits!C298&amp;_DestuffedBits!C299&amp;_DestuffedBits!C300&amp;_DestuffedBits!C301&amp;_DestuffedBits!C302&amp;_DestuffedBits!C303&amp;_DestuffedBits!C304&amp;_DestuffedBits!C305&amp;_DestuffedBits!C306&amp;_DestuffedBits!C307&amp;_DestuffedBits!C308&amp;_DestuffedBits!C309&amp;_DestuffedBits!C310&amp;_DestuffedBits!C311&amp;_DestuffedBits!C312&amp;_DestuffedBits!C313</f>
        <v/>
      </c>
      <c r="F34" s="7">
        <f>Fields!J30</f>
        <v/>
      </c>
      <c r="G34" s="7">
        <f>Fields!K30</f>
        <v/>
      </c>
    </row>
    <row r="35">
      <c r="A35" s="7" t="inlineStr">
        <is>
          <t>FSW</t>
        </is>
      </c>
      <c r="B35" s="7" t="inlineStr">
        <is>
          <t>Last Accept CMD Time</t>
        </is>
      </c>
      <c r="C35" s="7" t="n">
        <v>184</v>
      </c>
      <c r="D35" s="7" t="n">
        <v>32</v>
      </c>
      <c r="E35" s="8">
        <f>_DestuffedBits!C314&amp;_DestuffedBits!C315&amp;_DestuffedBits!C316&amp;_DestuffedBits!C317&amp;_DestuffedBits!C318&amp;_DestuffedBits!C319&amp;_DestuffedBits!C320&amp;_DestuffedBits!C321&amp;_DestuffedBits!C322&amp;_DestuffedBits!C323&amp;_DestuffedBits!C324&amp;_DestuffedBits!C325&amp;_DestuffedBits!C326&amp;_DestuffedBits!C327&amp;_DestuffedBits!C328&amp;_DestuffedBits!C329&amp;_DestuffedBits!C330&amp;_DestuffedBits!C331&amp;_DestuffedBits!C332&amp;_DestuffedBits!C333&amp;_DestuffedBits!C334&amp;_DestuffedBits!C335&amp;_DestuffedBits!C336&amp;_DestuffedBits!C337&amp;_DestuffedBits!C338&amp;_DestuffedBits!C339&amp;_DestuffedBits!C340&amp;_DestuffedBits!C341&amp;_DestuffedBits!C342&amp;_DestuffedBits!C343&amp;_DestuffedBits!C344&amp;_DestuffedBits!C345</f>
        <v/>
      </c>
      <c r="F35" s="7">
        <f>Fields!J31</f>
        <v/>
      </c>
      <c r="G35" s="7">
        <f>Fields!K31</f>
        <v/>
      </c>
    </row>
    <row r="36">
      <c r="A36" s="7" t="inlineStr">
        <is>
          <t>FSW</t>
        </is>
      </c>
      <c r="B36" s="7" t="inlineStr">
        <is>
          <t>Last Accept CMD Type OPCODE</t>
        </is>
      </c>
      <c r="C36" s="7" t="n">
        <v>216</v>
      </c>
      <c r="D36" s="7" t="n">
        <v>4</v>
      </c>
      <c r="E36" s="8">
        <f>_DestuffedBits!C346&amp;_DestuffedBits!C347&amp;_DestuffedBits!C348&amp;_DestuffedBits!C349</f>
        <v/>
      </c>
      <c r="F36" s="7">
        <f>Fields!J32</f>
        <v/>
      </c>
      <c r="G36" s="7">
        <f>Fields!K32</f>
        <v/>
      </c>
    </row>
    <row r="37">
      <c r="A37" s="7" t="inlineStr">
        <is>
          <t>FSW</t>
        </is>
      </c>
      <c r="B37" s="7" t="inlineStr">
        <is>
          <t>Last Accept CMD Type APID</t>
        </is>
      </c>
      <c r="C37" s="7" t="n">
        <v>220</v>
      </c>
      <c r="D37" s="7" t="n">
        <v>4</v>
      </c>
      <c r="E37" s="8">
        <f>_DestuffedBits!C350&amp;_DestuffedBits!C351&amp;_DestuffedBits!C352&amp;_DestuffedBits!C353</f>
        <v/>
      </c>
      <c r="F37" s="7">
        <f>Fields!J33</f>
        <v/>
      </c>
      <c r="G37" s="7">
        <f>Fields!K33</f>
        <v/>
      </c>
    </row>
    <row r="38">
      <c r="A38" s="7" t="inlineStr">
        <is>
          <t>FSW</t>
        </is>
      </c>
      <c r="B38" s="7" t="inlineStr">
        <is>
          <t>FSW static data addr</t>
        </is>
      </c>
      <c r="C38" s="7" t="n">
        <v>224</v>
      </c>
      <c r="D38" s="7" t="n">
        <v>32</v>
      </c>
      <c r="E38" s="8">
        <f>_DestuffedBits!C354&amp;_DestuffedBits!C355&amp;_DestuffedBits!C356&amp;_DestuffedBits!C357&amp;_DestuffedBits!C358&amp;_DestuffedBits!C359&amp;_DestuffedBits!C360&amp;_DestuffedBits!C361&amp;_DestuffedBits!C362&amp;_DestuffedBits!C363&amp;_DestuffedBits!C364&amp;_DestuffedBits!C365&amp;_DestuffedBits!C366&amp;_DestuffedBits!C367&amp;_DestuffedBits!C368&amp;_DestuffedBits!C369&amp;_DestuffedBits!C370&amp;_DestuffedBits!C371&amp;_DestuffedBits!C372&amp;_DestuffedBits!C373&amp;_DestuffedBits!C374&amp;_DestuffedBits!C375&amp;_DestuffedBits!C376&amp;_DestuffedBits!C377&amp;_DestuffedBits!C378&amp;_DestuffedBits!C379&amp;_DestuffedBits!C380&amp;_DestuffedBits!C381&amp;_DestuffedBits!C382&amp;_DestuffedBits!C383&amp;_DestuffedBits!C384&amp;_DestuffedBits!C385</f>
        <v/>
      </c>
      <c r="F38" s="7">
        <f>Fields!J34</f>
        <v/>
      </c>
      <c r="G38" s="7">
        <f>Fields!K34</f>
        <v/>
      </c>
    </row>
    <row r="39">
      <c r="A39" s="7" t="inlineStr">
        <is>
          <t>FSW</t>
        </is>
      </c>
      <c r="B39" s="7" t="inlineStr">
        <is>
          <t>FSW dynamic data addr</t>
        </is>
      </c>
      <c r="C39" s="7" t="n">
        <v>256</v>
      </c>
      <c r="D39" s="7" t="n">
        <v>32</v>
      </c>
      <c r="E39" s="8">
        <f>_DestuffedBits!C386&amp;_DestuffedBits!C387&amp;_DestuffedBits!C388&amp;_DestuffedBits!C389&amp;_DestuffedBits!C390&amp;_DestuffedBits!C391&amp;_DestuffedBits!C392&amp;_DestuffedBits!C393&amp;_DestuffedBits!C394&amp;_DestuffedBits!C395&amp;_DestuffedBits!C396&amp;_DestuffedBits!C397&amp;_DestuffedBits!C398&amp;_DestuffedBits!C399&amp;_DestuffedBits!C400&amp;_DestuffedBits!C401&amp;_DestuffedBits!C402&amp;_DestuffedBits!C403&amp;_DestuffedBits!C404&amp;_DestuffedBits!C405&amp;_DestuffedBits!C406&amp;_DestuffedBits!C407&amp;_DestuffedBits!C408&amp;_DestuffedBits!C409&amp;_DestuffedBits!C410&amp;_DestuffedBits!C411&amp;_DestuffedBits!C412&amp;_DestuffedBits!C413&amp;_DestuffedBits!C414&amp;_DestuffedBits!C415&amp;_DestuffedBits!C416&amp;_DestuffedBits!C417</f>
        <v/>
      </c>
      <c r="F39" s="7">
        <f>Fields!J35</f>
        <v/>
      </c>
      <c r="G39" s="7">
        <f>Fields!K35</f>
        <v/>
      </c>
    </row>
    <row r="40">
      <c r="A40" s="7" t="inlineStr">
        <is>
          <t>FSW</t>
        </is>
      </c>
      <c r="B40" s="7" t="inlineStr">
        <is>
          <t>SD Write Pointer Beacon</t>
        </is>
      </c>
      <c r="C40" s="7" t="n">
        <v>288</v>
      </c>
      <c r="D40" s="7" t="n">
        <v>32</v>
      </c>
      <c r="E40" s="8">
        <f>_DestuffedBits!C418&amp;_DestuffedBits!C419&amp;_DestuffedBits!C420&amp;_DestuffedBits!C421&amp;_DestuffedBits!C422&amp;_DestuffedBits!C423&amp;_DestuffedBits!C424&amp;_DestuffedBits!C425&amp;_DestuffedBits!C426&amp;_DestuffedBits!C427&amp;_DestuffedBits!C428&amp;_DestuffedBits!C429&amp;_DestuffedBits!C430&amp;_DestuffedBits!C431&amp;_DestuffedBits!C432&amp;_DestuffedBits!C433&amp;_DestuffedBits!C434&amp;_DestuffedBits!C435&amp;_DestuffedBits!C436&amp;_DestuffedBits!C437&amp;_DestuffedBits!C438&amp;_DestuffedBits!C439&amp;_DestuffedBits!C440&amp;_DestuffedBits!C441&amp;_DestuffedBits!C442&amp;_DestuffedBits!C443&amp;_DestuffedBits!C444&amp;_DestuffedBits!C445&amp;_DestuffedBits!C446&amp;_DestuffedBits!C447&amp;_DestuffedBits!C448&amp;_DestuffedBits!C449</f>
        <v/>
      </c>
      <c r="F40" s="7">
        <f>Fields!J36</f>
        <v/>
      </c>
      <c r="G40" s="7">
        <f>Fields!K36</f>
        <v/>
      </c>
    </row>
    <row r="41">
      <c r="A41" s="7" t="inlineStr">
        <is>
          <t>FSW</t>
        </is>
      </c>
      <c r="B41" s="7" t="inlineStr">
        <is>
          <t>SD Write Pointer plCip</t>
        </is>
      </c>
      <c r="C41" s="7" t="n">
        <v>320</v>
      </c>
      <c r="D41" s="7" t="n">
        <v>32</v>
      </c>
      <c r="E41" s="8">
        <f>_DestuffedBits!C450&amp;_DestuffedBits!C451&amp;_DestuffedBits!C452&amp;_DestuffedBits!C453&amp;_DestuffedBits!C454&amp;_DestuffedBits!C455&amp;_DestuffedBits!C456&amp;_DestuffedBits!C457&amp;_DestuffedBits!C458&amp;_DestuffedBits!C459&amp;_DestuffedBits!C460&amp;_DestuffedBits!C461&amp;_DestuffedBits!C462&amp;_DestuffedBits!C463&amp;_DestuffedBits!C464&amp;_DestuffedBits!C465&amp;_DestuffedBits!C466&amp;_DestuffedBits!C467&amp;_DestuffedBits!C468&amp;_DestuffedBits!C469&amp;_DestuffedBits!C470&amp;_DestuffedBits!C471&amp;_DestuffedBits!C472&amp;_DestuffedBits!C473&amp;_DestuffedBits!C474&amp;_DestuffedBits!C475&amp;_DestuffedBits!C476&amp;_DestuffedBits!C477&amp;_DestuffedBits!C478&amp;_DestuffedBits!C479&amp;_DestuffedBits!C480&amp;_DestuffedBits!C481</f>
        <v/>
      </c>
      <c r="F41" s="7">
        <f>Fields!J37</f>
        <v/>
      </c>
      <c r="G41" s="7">
        <f>Fields!K37</f>
        <v/>
      </c>
    </row>
    <row r="42">
      <c r="A42" s="7" t="inlineStr">
        <is>
          <t>FSW</t>
        </is>
      </c>
      <c r="B42" s="7" t="inlineStr">
        <is>
          <t>SD Write Pointer plSeuv</t>
        </is>
      </c>
      <c r="C42" s="7" t="n">
        <v>352</v>
      </c>
      <c r="D42" s="7" t="n">
        <v>32</v>
      </c>
      <c r="E42" s="8">
        <f>_DestuffedBits!C482&amp;_DestuffedBits!C483&amp;_DestuffedBits!C484&amp;_DestuffedBits!C485&amp;_DestuffedBits!C486&amp;_DestuffedBits!C487&amp;_DestuffedBits!C488&amp;_DestuffedBits!C489&amp;_DestuffedBits!C490&amp;_DestuffedBits!C491&amp;_DestuffedBits!C492&amp;_DestuffedBits!C493&amp;_DestuffedBits!C494&amp;_DestuffedBits!C495&amp;_DestuffedBits!C496&amp;_DestuffedBits!C497&amp;_DestuffedBits!C498&amp;_DestuffedBits!C499&amp;_DestuffedBits!C500&amp;_DestuffedBits!C501&amp;_DestuffedBits!C502&amp;_DestuffedBits!C503&amp;_DestuffedBits!C504&amp;_DestuffedBits!C505&amp;_DestuffedBits!C506&amp;_DestuffedBits!C507&amp;_DestuffedBits!C508&amp;_DestuffedBits!C509&amp;_DestuffedBits!C510&amp;_DestuffedBits!C511&amp;_DestuffedBits!C512&amp;_DestuffedBits!C513</f>
        <v/>
      </c>
      <c r="F42" s="7">
        <f>Fields!J38</f>
        <v/>
      </c>
      <c r="G42" s="7">
        <f>Fields!K38</f>
        <v/>
      </c>
    </row>
    <row r="43">
      <c r="A43" s="7" t="inlineStr">
        <is>
          <t>FSW</t>
        </is>
      </c>
      <c r="B43" s="7" t="inlineStr">
        <is>
          <t>SD Write Pointer plHyperscan</t>
        </is>
      </c>
      <c r="C43" s="7" t="n">
        <v>384</v>
      </c>
      <c r="D43" s="7" t="n">
        <v>32</v>
      </c>
      <c r="E43" s="8">
        <f>_DestuffedBits!C514&amp;_DestuffedBits!C515&amp;_DestuffedBits!C516&amp;_DestuffedBits!C517&amp;_DestuffedBits!C518&amp;_DestuffedBits!C519&amp;_DestuffedBits!C520&amp;_DestuffedBits!C521&amp;_DestuffedBits!C522&amp;_DestuffedBits!C523&amp;_DestuffedBits!C524&amp;_DestuffedBits!C525&amp;_DestuffedBits!C526&amp;_DestuffedBits!C527&amp;_DestuffedBits!C528&amp;_DestuffedBits!C529&amp;_DestuffedBits!C530&amp;_DestuffedBits!C531&amp;_DestuffedBits!C532&amp;_DestuffedBits!C533&amp;_DestuffedBits!C534&amp;_DestuffedBits!C535&amp;_DestuffedBits!C536&amp;_DestuffedBits!C537&amp;_DestuffedBits!C538&amp;_DestuffedBits!C539&amp;_DestuffedBits!C540&amp;_DestuffedBits!C541&amp;_DestuffedBits!C542&amp;_DestuffedBits!C543&amp;_DestuffedBits!C544&amp;_DestuffedBits!C545</f>
        <v/>
      </c>
      <c r="F43" s="7">
        <f>Fields!J39</f>
        <v/>
      </c>
      <c r="G43" s="7">
        <f>Fields!K39</f>
        <v/>
      </c>
    </row>
    <row r="44">
      <c r="A44" s="7" t="inlineStr">
        <is>
          <t>FSW</t>
        </is>
      </c>
      <c r="B44" s="7" t="inlineStr">
        <is>
          <t>SD Write Pointer AdcsDetailData</t>
        </is>
      </c>
      <c r="C44" s="7" t="n">
        <v>416</v>
      </c>
      <c r="D44" s="7" t="n">
        <v>32</v>
      </c>
      <c r="E44" s="8">
        <f>_DestuffedBits!C546&amp;_DestuffedBits!C547&amp;_DestuffedBits!C548&amp;_DestuffedBits!C549&amp;_DestuffedBits!C550&amp;_DestuffedBits!C551&amp;_DestuffedBits!C552&amp;_DestuffedBits!C553&amp;_DestuffedBits!C554&amp;_DestuffedBits!C555&amp;_DestuffedBits!C556&amp;_DestuffedBits!C557&amp;_DestuffedBits!C558&amp;_DestuffedBits!C559&amp;_DestuffedBits!C560&amp;_DestuffedBits!C561&amp;_DestuffedBits!C562&amp;_DestuffedBits!C563&amp;_DestuffedBits!C564&amp;_DestuffedBits!C565&amp;_DestuffedBits!C566&amp;_DestuffedBits!C567&amp;_DestuffedBits!C568&amp;_DestuffedBits!C569&amp;_DestuffedBits!C570&amp;_DestuffedBits!C571&amp;_DestuffedBits!C572&amp;_DestuffedBits!C573&amp;_DestuffedBits!C574&amp;_DestuffedBits!C575&amp;_DestuffedBits!C576&amp;_DestuffedBits!C577</f>
        <v/>
      </c>
      <c r="F44" s="7">
        <f>Fields!J40</f>
        <v/>
      </c>
      <c r="G44" s="7">
        <f>Fields!K40</f>
        <v/>
      </c>
    </row>
    <row r="45">
      <c r="A45" s="9" t="inlineStr">
        <is>
          <t>FSW</t>
        </is>
      </c>
      <c r="B45" s="9" t="inlineStr">
        <is>
          <t>CMD Loss Timer</t>
        </is>
      </c>
      <c r="C45" s="9" t="n">
        <v>448</v>
      </c>
      <c r="D45" s="9" t="n">
        <v>32</v>
      </c>
      <c r="E45" s="10">
        <f>_DestuffedBits!C578&amp;_DestuffedBits!C579&amp;_DestuffedBits!C580&amp;_DestuffedBits!C581&amp;_DestuffedBits!C582&amp;_DestuffedBits!C583&amp;_DestuffedBits!C584&amp;_DestuffedBits!C585&amp;_DestuffedBits!C586&amp;_DestuffedBits!C587&amp;_DestuffedBits!C588&amp;_DestuffedBits!C589&amp;_DestuffedBits!C590&amp;_DestuffedBits!C591&amp;_DestuffedBits!C592&amp;_DestuffedBits!C593&amp;_DestuffedBits!C594&amp;_DestuffedBits!C595&amp;_DestuffedBits!C596&amp;_DestuffedBits!C597&amp;_DestuffedBits!C598&amp;_DestuffedBits!C599&amp;_DestuffedBits!C600&amp;_DestuffedBits!C601&amp;_DestuffedBits!C602&amp;_DestuffedBits!C603&amp;_DestuffedBits!C604&amp;_DestuffedBits!C605&amp;_DestuffedBits!C606&amp;_DestuffedBits!C607&amp;_DestuffedBits!C608&amp;_DestuffedBits!C609</f>
        <v/>
      </c>
      <c r="F45" s="9">
        <f>Fields!J41</f>
        <v/>
      </c>
      <c r="G45" s="9">
        <f>Fields!K41</f>
        <v/>
      </c>
    </row>
    <row r="46">
      <c r="A46" s="11" t="inlineStr">
        <is>
          <t>FSW</t>
        </is>
      </c>
      <c r="B46" s="11" t="inlineStr">
        <is>
          <t>HyperScan xband write file number</t>
        </is>
      </c>
      <c r="C46" s="11" t="n">
        <v>480</v>
      </c>
      <c r="D46" s="11" t="n">
        <v>16</v>
      </c>
      <c r="E46" s="12">
        <f>_DestuffedBits!C610&amp;_DestuffedBits!C611&amp;_DestuffedBits!C612&amp;_DestuffedBits!C613&amp;_DestuffedBits!C614&amp;_DestuffedBits!C615&amp;_DestuffedBits!C616&amp;_DestuffedBits!C617&amp;_DestuffedBits!C618&amp;_DestuffedBits!C619&amp;_DestuffedBits!C620&amp;_DestuffedBits!C621&amp;_DestuffedBits!C622&amp;_DestuffedBits!C623&amp;_DestuffedBits!C624&amp;_DestuffedBits!C625</f>
        <v/>
      </c>
      <c r="F46" s="11">
        <f>Fields!J42</f>
        <v/>
      </c>
      <c r="G46" s="11">
        <f>Fields!K42</f>
        <v/>
      </c>
    </row>
    <row r="47">
      <c r="A47" s="11" t="inlineStr">
        <is>
          <t>FSW</t>
        </is>
      </c>
      <c r="B47" s="11" t="inlineStr">
        <is>
          <t>SEUV xband write file number</t>
        </is>
      </c>
      <c r="C47" s="11" t="n">
        <v>496</v>
      </c>
      <c r="D47" s="11" t="n">
        <v>16</v>
      </c>
      <c r="E47" s="12">
        <f>_DestuffedBits!C626&amp;_DestuffedBits!C627&amp;_DestuffedBits!C628&amp;_DestuffedBits!C629&amp;_DestuffedBits!C630&amp;_DestuffedBits!C631&amp;_DestuffedBits!C632&amp;_DestuffedBits!C633&amp;_DestuffedBits!C634&amp;_DestuffedBits!C635&amp;_DestuffedBits!C636&amp;_DestuffedBits!C637&amp;_DestuffedBits!C638&amp;_DestuffedBits!C639&amp;_DestuffedBits!C640&amp;_DestuffedBits!C641</f>
        <v/>
      </c>
      <c r="F47" s="11">
        <f>Fields!J43</f>
        <v/>
      </c>
      <c r="G47" s="11">
        <f>Fields!K43</f>
        <v/>
      </c>
    </row>
    <row r="48">
      <c r="A48" s="11" t="inlineStr">
        <is>
          <t>FSW</t>
        </is>
      </c>
      <c r="B48" s="11" t="inlineStr">
        <is>
          <t>Cip xband write file number</t>
        </is>
      </c>
      <c r="C48" s="11" t="n">
        <v>512</v>
      </c>
      <c r="D48" s="11" t="n">
        <v>16</v>
      </c>
      <c r="E48" s="12">
        <f>_DestuffedBits!C642&amp;_DestuffedBits!C643&amp;_DestuffedBits!C644&amp;_DestuffedBits!C645&amp;_DestuffedBits!C646&amp;_DestuffedBits!C647&amp;_DestuffedBits!C648&amp;_DestuffedBits!C649&amp;_DestuffedBits!C650&amp;_DestuffedBits!C651&amp;_DestuffedBits!C652&amp;_DestuffedBits!C653&amp;_DestuffedBits!C654&amp;_DestuffedBits!C655&amp;_DestuffedBits!C656&amp;_DestuffedBits!C657</f>
        <v/>
      </c>
      <c r="F48" s="11">
        <f>Fields!J44</f>
        <v/>
      </c>
      <c r="G48" s="11">
        <f>Fields!K44</f>
        <v/>
      </c>
    </row>
    <row r="49">
      <c r="A49" s="11" t="inlineStr">
        <is>
          <t>ADCS</t>
        </is>
      </c>
      <c r="B49" s="11" t="inlineStr">
        <is>
          <t>ADCS Time</t>
        </is>
      </c>
      <c r="C49" s="11" t="n">
        <v>528</v>
      </c>
      <c r="D49" s="11" t="n">
        <v>32</v>
      </c>
      <c r="E49" s="12">
        <f>_DestuffedBits!C658&amp;_DestuffedBits!C659&amp;_DestuffedBits!C660&amp;_DestuffedBits!C661&amp;_DestuffedBits!C662&amp;_DestuffedBits!C663&amp;_DestuffedBits!C664&amp;_DestuffedBits!C665&amp;_DestuffedBits!C666&amp;_DestuffedBits!C667&amp;_DestuffedBits!C668&amp;_DestuffedBits!C669&amp;_DestuffedBits!C670&amp;_DestuffedBits!C671&amp;_DestuffedBits!C672&amp;_DestuffedBits!C673&amp;_DestuffedBits!C674&amp;_DestuffedBits!C675&amp;_DestuffedBits!C676&amp;_DestuffedBits!C677&amp;_DestuffedBits!C678&amp;_DestuffedBits!C679&amp;_DestuffedBits!C680&amp;_DestuffedBits!C681&amp;_DestuffedBits!C682&amp;_DestuffedBits!C683&amp;_DestuffedBits!C684&amp;_DestuffedBits!C685&amp;_DestuffedBits!C686&amp;_DestuffedBits!C687&amp;_DestuffedBits!C688&amp;_DestuffedBits!C689</f>
        <v/>
      </c>
      <c r="F49" s="11">
        <f>Fields!J45</f>
        <v/>
      </c>
      <c r="G49" s="11">
        <f>Fields!K45</f>
        <v/>
      </c>
    </row>
    <row r="50">
      <c r="A50" s="11" t="inlineStr">
        <is>
          <t>ADCS</t>
        </is>
      </c>
      <c r="B50" s="11" t="inlineStr">
        <is>
          <t>ADCS Time Milliseconds</t>
        </is>
      </c>
      <c r="C50" s="11" t="n">
        <v>560</v>
      </c>
      <c r="D50" s="11" t="n">
        <v>16</v>
      </c>
      <c r="E50" s="12">
        <f>_DestuffedBits!C690&amp;_DestuffedBits!C691&amp;_DestuffedBits!C692&amp;_DestuffedBits!C693&amp;_DestuffedBits!C694&amp;_DestuffedBits!C695&amp;_DestuffedBits!C696&amp;_DestuffedBits!C697&amp;_DestuffedBits!C698&amp;_DestuffedBits!C699&amp;_DestuffedBits!C700&amp;_DestuffedBits!C701&amp;_DestuffedBits!C702&amp;_DestuffedBits!C703&amp;_DestuffedBits!C704&amp;_DestuffedBits!C705</f>
        <v/>
      </c>
      <c r="F50" s="11">
        <f>Fields!J46</f>
        <v/>
      </c>
      <c r="G50" s="11">
        <f>Fields!K46</f>
        <v/>
      </c>
    </row>
    <row r="51">
      <c r="A51" s="11" t="inlineStr">
        <is>
          <t>ADCS</t>
        </is>
      </c>
      <c r="B51" s="11" t="inlineStr">
        <is>
          <t>ADCS 3V3 Current</t>
        </is>
      </c>
      <c r="C51" s="11" t="n">
        <v>576</v>
      </c>
      <c r="D51" s="11" t="n">
        <v>16</v>
      </c>
      <c r="E51" s="12">
        <f>_DestuffedBits!C706&amp;_DestuffedBits!C707&amp;_DestuffedBits!C708&amp;_DestuffedBits!C709&amp;_DestuffedBits!C710&amp;_DestuffedBits!C711&amp;_DestuffedBits!C712&amp;_DestuffedBits!C713&amp;_DestuffedBits!C714&amp;_DestuffedBits!C715&amp;_DestuffedBits!C716&amp;_DestuffedBits!C717&amp;_DestuffedBits!C718&amp;_DestuffedBits!C719&amp;_DestuffedBits!C720&amp;_DestuffedBits!C721</f>
        <v/>
      </c>
      <c r="F51" s="11">
        <f>Fields!J47</f>
        <v/>
      </c>
      <c r="G51" s="11">
        <f>Fields!K47</f>
        <v/>
      </c>
    </row>
    <row r="52">
      <c r="A52" s="11" t="inlineStr">
        <is>
          <t>ADCS</t>
        </is>
      </c>
      <c r="B52" s="11" t="inlineStr">
        <is>
          <t>ADCS 5V Current</t>
        </is>
      </c>
      <c r="C52" s="11" t="n">
        <v>592</v>
      </c>
      <c r="D52" s="11" t="n">
        <v>16</v>
      </c>
      <c r="E52" s="12">
        <f>_DestuffedBits!C722&amp;_DestuffedBits!C723&amp;_DestuffedBits!C724&amp;_DestuffedBits!C725&amp;_DestuffedBits!C726&amp;_DestuffedBits!C727&amp;_DestuffedBits!C728&amp;_DestuffedBits!C729&amp;_DestuffedBits!C730&amp;_DestuffedBits!C731&amp;_DestuffedBits!C732&amp;_DestuffedBits!C733&amp;_DestuffedBits!C734&amp;_DestuffedBits!C735&amp;_DestuffedBits!C736&amp;_DestuffedBits!C737</f>
        <v/>
      </c>
      <c r="F52" s="11">
        <f>Fields!J48</f>
        <v/>
      </c>
      <c r="G52" s="11">
        <f>Fields!K48</f>
        <v/>
      </c>
    </row>
    <row r="53">
      <c r="A53" s="11" t="inlineStr">
        <is>
          <t>ADCS</t>
        </is>
      </c>
      <c r="B53" s="11" t="inlineStr">
        <is>
          <t>ADCS Vbat Current</t>
        </is>
      </c>
      <c r="C53" s="11" t="n">
        <v>608</v>
      </c>
      <c r="D53" s="11" t="n">
        <v>16</v>
      </c>
      <c r="E53" s="12">
        <f>_DestuffedBits!C738&amp;_DestuffedBits!C739&amp;_DestuffedBits!C740&amp;_DestuffedBits!C741&amp;_DestuffedBits!C742&amp;_DestuffedBits!C743&amp;_DestuffedBits!C744&amp;_DestuffedBits!C745&amp;_DestuffedBits!C746&amp;_DestuffedBits!C747&amp;_DestuffedBits!C748&amp;_DestuffedBits!C749&amp;_DestuffedBits!C750&amp;_DestuffedBits!C751&amp;_DestuffedBits!C752&amp;_DestuffedBits!C753</f>
        <v/>
      </c>
      <c r="F53" s="11">
        <f>Fields!J49</f>
        <v/>
      </c>
      <c r="G53" s="11">
        <f>Fields!K49</f>
        <v/>
      </c>
    </row>
    <row r="54">
      <c r="A54" s="11" t="inlineStr">
        <is>
          <t>ADCS</t>
        </is>
      </c>
      <c r="B54" s="11" t="inlineStr">
        <is>
          <t>ADCS MCU Temperature</t>
        </is>
      </c>
      <c r="C54" s="11" t="n">
        <v>624</v>
      </c>
      <c r="D54" s="11" t="n">
        <v>16</v>
      </c>
      <c r="E54" s="12">
        <f>_DestuffedBits!C754&amp;_DestuffedBits!C755&amp;_DestuffedBits!C756&amp;_DestuffedBits!C757&amp;_DestuffedBits!C758&amp;_DestuffedBits!C759&amp;_DestuffedBits!C760&amp;_DestuffedBits!C761&amp;_DestuffedBits!C762&amp;_DestuffedBits!C763&amp;_DestuffedBits!C764&amp;_DestuffedBits!C765&amp;_DestuffedBits!C766&amp;_DestuffedBits!C767&amp;_DestuffedBits!C768&amp;_DestuffedBits!C769</f>
        <v/>
      </c>
      <c r="F54" s="11">
        <f>Fields!J50</f>
        <v/>
      </c>
      <c r="G54" s="11">
        <f>Fields!K50</f>
        <v/>
      </c>
    </row>
    <row r="55">
      <c r="A55" s="11" t="inlineStr">
        <is>
          <t>ADCS</t>
        </is>
      </c>
      <c r="B55" s="11" t="inlineStr">
        <is>
          <t>ADCS MAG Temperature</t>
        </is>
      </c>
      <c r="C55" s="11" t="n">
        <v>640</v>
      </c>
      <c r="D55" s="11" t="n">
        <v>16</v>
      </c>
      <c r="E55" s="12">
        <f>_DestuffedBits!C770&amp;_DestuffedBits!C771&amp;_DestuffedBits!C772&amp;_DestuffedBits!C773&amp;_DestuffedBits!C774&amp;_DestuffedBits!C775&amp;_DestuffedBits!C776&amp;_DestuffedBits!C777&amp;_DestuffedBits!C778&amp;_DestuffedBits!C779&amp;_DestuffedBits!C780&amp;_DestuffedBits!C781&amp;_DestuffedBits!C782&amp;_DestuffedBits!C783&amp;_DestuffedBits!C784&amp;_DestuffedBits!C785</f>
        <v/>
      </c>
      <c r="F55" s="11">
        <f>Fields!J51</f>
        <v/>
      </c>
      <c r="G55" s="11">
        <f>Fields!K51</f>
        <v/>
      </c>
    </row>
    <row r="56">
      <c r="A56" s="11" t="inlineStr">
        <is>
          <t>ADCS</t>
        </is>
      </c>
      <c r="B56" s="11" t="inlineStr">
        <is>
          <t>ADCS Attitude Estimation Mode</t>
        </is>
      </c>
      <c r="C56" s="11" t="n">
        <v>656</v>
      </c>
      <c r="D56" s="11" t="n">
        <v>4</v>
      </c>
      <c r="E56" s="12">
        <f>_DestuffedBits!C786&amp;_DestuffedBits!C787&amp;_DestuffedBits!C788&amp;_DestuffedBits!C789</f>
        <v/>
      </c>
      <c r="F56" s="11">
        <f>Fields!J52</f>
        <v/>
      </c>
      <c r="G56" s="11">
        <f>Fields!K52</f>
        <v/>
      </c>
    </row>
    <row r="57">
      <c r="A57" s="11" t="inlineStr">
        <is>
          <t>ADCS</t>
        </is>
      </c>
      <c r="B57" s="11" t="inlineStr">
        <is>
          <t>ADCS Control Mode</t>
        </is>
      </c>
      <c r="C57" s="11" t="n">
        <v>660</v>
      </c>
      <c r="D57" s="11" t="n">
        <v>4</v>
      </c>
      <c r="E57" s="12">
        <f>_DestuffedBits!C790&amp;_DestuffedBits!C791&amp;_DestuffedBits!C792&amp;_DestuffedBits!C793</f>
        <v/>
      </c>
      <c r="F57" s="11">
        <f>Fields!J53</f>
        <v/>
      </c>
      <c r="G57" s="11">
        <f>Fields!K53</f>
        <v/>
      </c>
    </row>
    <row r="58">
      <c r="A58" s="11" t="inlineStr">
        <is>
          <t>ADCS</t>
        </is>
      </c>
      <c r="B58" s="11" t="inlineStr">
        <is>
          <t>ADCS Run Mode</t>
        </is>
      </c>
      <c r="C58" s="11" t="n">
        <v>664</v>
      </c>
      <c r="D58" s="11" t="n">
        <v>2</v>
      </c>
      <c r="E58" s="12">
        <f>_DestuffedBits!C794&amp;_DestuffedBits!C795</f>
        <v/>
      </c>
      <c r="F58" s="11">
        <f>Fields!J54</f>
        <v/>
      </c>
      <c r="G58" s="11">
        <f>Fields!K54</f>
        <v/>
      </c>
    </row>
    <row r="59">
      <c r="A59" s="11" t="inlineStr">
        <is>
          <t>ADCS</t>
        </is>
      </c>
      <c r="B59" s="11" t="inlineStr">
        <is>
          <t>(reserved)</t>
        </is>
      </c>
      <c r="C59" s="11" t="n">
        <v>666</v>
      </c>
      <c r="D59" s="11" t="n">
        <v>6</v>
      </c>
      <c r="E59" s="12">
        <f>_DestuffedBits!C796&amp;_DestuffedBits!C797&amp;_DestuffedBits!C798&amp;_DestuffedBits!C799&amp;_DestuffedBits!C800&amp;_DestuffedBits!C801</f>
        <v/>
      </c>
      <c r="F59" s="11">
        <f>Fields!J55</f>
        <v/>
      </c>
      <c r="G59" s="11">
        <f>Fields!K55</f>
        <v/>
      </c>
    </row>
    <row r="60">
      <c r="A60" s="11" t="inlineStr">
        <is>
          <t>ADCS</t>
        </is>
      </c>
      <c r="B60" s="11" t="inlineStr">
        <is>
          <t>ADCS CubeControl Signal</t>
        </is>
      </c>
      <c r="C60" s="11" t="n">
        <v>672</v>
      </c>
      <c r="D60" s="11" t="n">
        <v>1</v>
      </c>
      <c r="E60" s="12">
        <f>_DestuffedBits!C802</f>
        <v/>
      </c>
      <c r="F60" s="11">
        <f>Fields!J56</f>
        <v/>
      </c>
      <c r="G60" s="11">
        <f>Fields!K56</f>
        <v/>
      </c>
    </row>
    <row r="61">
      <c r="A61" s="11" t="inlineStr">
        <is>
          <t>ADCS</t>
        </is>
      </c>
      <c r="B61" s="11" t="inlineStr">
        <is>
          <t>ADCS CubeControl Motor</t>
        </is>
      </c>
      <c r="C61" s="11" t="n">
        <v>673</v>
      </c>
      <c r="D61" s="11" t="n">
        <v>1</v>
      </c>
      <c r="E61" s="12">
        <f>_DestuffedBits!C803</f>
        <v/>
      </c>
      <c r="F61" s="11">
        <f>Fields!J57</f>
        <v/>
      </c>
      <c r="G61" s="11">
        <f>Fields!K57</f>
        <v/>
      </c>
    </row>
    <row r="62">
      <c r="A62" s="11" t="inlineStr">
        <is>
          <t>ADCS</t>
        </is>
      </c>
      <c r="B62" s="11" t="inlineStr">
        <is>
          <t>ADCS CubeSense1</t>
        </is>
      </c>
      <c r="C62" s="11" t="n">
        <v>674</v>
      </c>
      <c r="D62" s="11" t="n">
        <v>1</v>
      </c>
      <c r="E62" s="12">
        <f>_DestuffedBits!C804</f>
        <v/>
      </c>
      <c r="F62" s="11">
        <f>Fields!J58</f>
        <v/>
      </c>
      <c r="G62" s="11">
        <f>Fields!K58</f>
        <v/>
      </c>
    </row>
    <row r="63">
      <c r="A63" s="11" t="inlineStr">
        <is>
          <t>ADCS</t>
        </is>
      </c>
      <c r="B63" s="11" t="inlineStr">
        <is>
          <t>ADCS CubeSense2</t>
        </is>
      </c>
      <c r="C63" s="11" t="n">
        <v>675</v>
      </c>
      <c r="D63" s="11" t="n">
        <v>1</v>
      </c>
      <c r="E63" s="12">
        <f>_DestuffedBits!C805</f>
        <v/>
      </c>
      <c r="F63" s="11">
        <f>Fields!J59</f>
        <v/>
      </c>
      <c r="G63" s="11">
        <f>Fields!K59</f>
        <v/>
      </c>
    </row>
    <row r="64">
      <c r="A64" s="11" t="inlineStr">
        <is>
          <t>ADCS</t>
        </is>
      </c>
      <c r="B64" s="11" t="inlineStr">
        <is>
          <t>ADCS CubeWheel1</t>
        </is>
      </c>
      <c r="C64" s="11" t="n">
        <v>676</v>
      </c>
      <c r="D64" s="11" t="n">
        <v>1</v>
      </c>
      <c r="E64" s="12">
        <f>_DestuffedBits!C806</f>
        <v/>
      </c>
      <c r="F64" s="11">
        <f>Fields!J60</f>
        <v/>
      </c>
      <c r="G64" s="11">
        <f>Fields!K60</f>
        <v/>
      </c>
    </row>
    <row r="65">
      <c r="A65" s="11" t="inlineStr">
        <is>
          <t>ADCS</t>
        </is>
      </c>
      <c r="B65" s="11" t="inlineStr">
        <is>
          <t>ADCS CubeWheel2</t>
        </is>
      </c>
      <c r="C65" s="11" t="n">
        <v>677</v>
      </c>
      <c r="D65" s="11" t="n">
        <v>1</v>
      </c>
      <c r="E65" s="12">
        <f>_DestuffedBits!C807</f>
        <v/>
      </c>
      <c r="F65" s="11">
        <f>Fields!J61</f>
        <v/>
      </c>
      <c r="G65" s="11">
        <f>Fields!K61</f>
        <v/>
      </c>
    </row>
    <row r="66">
      <c r="A66" s="11" t="inlineStr">
        <is>
          <t>ADCS</t>
        </is>
      </c>
      <c r="B66" s="11" t="inlineStr">
        <is>
          <t>ADCS CubeWheel3</t>
        </is>
      </c>
      <c r="C66" s="11" t="n">
        <v>678</v>
      </c>
      <c r="D66" s="11" t="n">
        <v>1</v>
      </c>
      <c r="E66" s="12">
        <f>_DestuffedBits!C808</f>
        <v/>
      </c>
      <c r="F66" s="11">
        <f>Fields!J62</f>
        <v/>
      </c>
      <c r="G66" s="11">
        <f>Fields!K62</f>
        <v/>
      </c>
    </row>
    <row r="67">
      <c r="A67" s="11" t="inlineStr">
        <is>
          <t>ADCS</t>
        </is>
      </c>
      <c r="B67" s="11" t="inlineStr">
        <is>
          <t>ADCS CubeStar</t>
        </is>
      </c>
      <c r="C67" s="11" t="n">
        <v>679</v>
      </c>
      <c r="D67" s="11" t="n">
        <v>1</v>
      </c>
      <c r="E67" s="12">
        <f>_DestuffedBits!C809</f>
        <v/>
      </c>
      <c r="F67" s="11">
        <f>Fields!J63</f>
        <v/>
      </c>
      <c r="G67" s="11">
        <f>Fields!K63</f>
        <v/>
      </c>
    </row>
    <row r="68">
      <c r="A68" s="11" t="inlineStr">
        <is>
          <t>ADCS</t>
        </is>
      </c>
      <c r="B68" s="11" t="inlineStr">
        <is>
          <t>ADCS CubeSense1 Communications</t>
        </is>
      </c>
      <c r="C68" s="11" t="n">
        <v>680</v>
      </c>
      <c r="D68" s="11" t="n">
        <v>1</v>
      </c>
      <c r="E68" s="12">
        <f>_DestuffedBits!C810</f>
        <v/>
      </c>
      <c r="F68" s="11">
        <f>Fields!J64</f>
        <v/>
      </c>
      <c r="G68" s="11">
        <f>Fields!K64</f>
        <v/>
      </c>
    </row>
    <row r="69">
      <c r="A69" s="11" t="inlineStr">
        <is>
          <t>ADCS</t>
        </is>
      </c>
      <c r="B69" s="11" t="inlineStr">
        <is>
          <t>ADCS CubeSense2 Communications</t>
        </is>
      </c>
      <c r="C69" s="11" t="n">
        <v>681</v>
      </c>
      <c r="D69" s="11" t="n">
        <v>1</v>
      </c>
      <c r="E69" s="12">
        <f>_DestuffedBits!C811</f>
        <v/>
      </c>
      <c r="F69" s="11">
        <f>Fields!J65</f>
        <v/>
      </c>
      <c r="G69" s="11">
        <f>Fields!K65</f>
        <v/>
      </c>
    </row>
    <row r="70">
      <c r="A70" s="11" t="inlineStr">
        <is>
          <t>ADCS</t>
        </is>
      </c>
      <c r="B70" s="11" t="inlineStr">
        <is>
          <t>ADCS CubeControl Signal Communications</t>
        </is>
      </c>
      <c r="C70" s="11" t="n">
        <v>682</v>
      </c>
      <c r="D70" s="11" t="n">
        <v>1</v>
      </c>
      <c r="E70" s="12">
        <f>_DestuffedBits!C812</f>
        <v/>
      </c>
      <c r="F70" s="11">
        <f>Fields!J66</f>
        <v/>
      </c>
      <c r="G70" s="11">
        <f>Fields!K66</f>
        <v/>
      </c>
    </row>
    <row r="71">
      <c r="A71" s="11" t="inlineStr">
        <is>
          <t>ADCS</t>
        </is>
      </c>
      <c r="B71" s="11" t="inlineStr">
        <is>
          <t>ADCS CubeControl Motor Communications</t>
        </is>
      </c>
      <c r="C71" s="11" t="n">
        <v>683</v>
      </c>
      <c r="D71" s="11" t="n">
        <v>1</v>
      </c>
      <c r="E71" s="12">
        <f>_DestuffedBits!C813</f>
        <v/>
      </c>
      <c r="F71" s="11">
        <f>Fields!J67</f>
        <v/>
      </c>
      <c r="G71" s="11">
        <f>Fields!K67</f>
        <v/>
      </c>
    </row>
    <row r="72">
      <c r="A72" s="11" t="inlineStr">
        <is>
          <t>ADCS</t>
        </is>
      </c>
      <c r="B72" s="11" t="inlineStr">
        <is>
          <t>ADCS CubeWheel1 Communications</t>
        </is>
      </c>
      <c r="C72" s="11" t="n">
        <v>684</v>
      </c>
      <c r="D72" s="11" t="n">
        <v>1</v>
      </c>
      <c r="E72" s="12">
        <f>_DestuffedBits!C814</f>
        <v/>
      </c>
      <c r="F72" s="11">
        <f>Fields!J68</f>
        <v/>
      </c>
      <c r="G72" s="11">
        <f>Fields!K68</f>
        <v/>
      </c>
    </row>
    <row r="73">
      <c r="A73" s="11" t="inlineStr">
        <is>
          <t>ADCS</t>
        </is>
      </c>
      <c r="B73" s="11" t="inlineStr">
        <is>
          <t>ADCS CubeWheel2 Communications</t>
        </is>
      </c>
      <c r="C73" s="11" t="n">
        <v>685</v>
      </c>
      <c r="D73" s="11" t="n">
        <v>1</v>
      </c>
      <c r="E73" s="12">
        <f>_DestuffedBits!C815</f>
        <v/>
      </c>
      <c r="F73" s="11">
        <f>Fields!J69</f>
        <v/>
      </c>
      <c r="G73" s="11">
        <f>Fields!K69</f>
        <v/>
      </c>
    </row>
    <row r="74">
      <c r="A74" s="11" t="inlineStr">
        <is>
          <t>ADCS</t>
        </is>
      </c>
      <c r="B74" s="11" t="inlineStr">
        <is>
          <t>ADCS CubeWheel3 Communications</t>
        </is>
      </c>
      <c r="C74" s="11" t="n">
        <v>686</v>
      </c>
      <c r="D74" s="11" t="n">
        <v>1</v>
      </c>
      <c r="E74" s="12">
        <f>_DestuffedBits!C816</f>
        <v/>
      </c>
      <c r="F74" s="11">
        <f>Fields!J70</f>
        <v/>
      </c>
      <c r="G74" s="11">
        <f>Fields!K70</f>
        <v/>
      </c>
    </row>
    <row r="75">
      <c r="A75" s="11" t="inlineStr">
        <is>
          <t>ADCS</t>
        </is>
      </c>
      <c r="B75" s="11" t="inlineStr">
        <is>
          <t>ADCS CubeStar Communications</t>
        </is>
      </c>
      <c r="C75" s="11" t="n">
        <v>687</v>
      </c>
      <c r="D75" s="11" t="n">
        <v>1</v>
      </c>
      <c r="E75" s="12">
        <f>_DestuffedBits!C817</f>
        <v/>
      </c>
      <c r="F75" s="11">
        <f>Fields!J71</f>
        <v/>
      </c>
      <c r="G75" s="11">
        <f>Fields!K71</f>
        <v/>
      </c>
    </row>
    <row r="76">
      <c r="A76" s="11" t="inlineStr">
        <is>
          <t>ADCS</t>
        </is>
      </c>
      <c r="B76" s="11" t="inlineStr">
        <is>
          <t>ADCS Cam1 SRAM Overcurrent Detected</t>
        </is>
      </c>
      <c r="C76" s="11" t="n">
        <v>688</v>
      </c>
      <c r="D76" s="11" t="n">
        <v>1</v>
      </c>
      <c r="E76" s="12">
        <f>_DestuffedBits!C818</f>
        <v/>
      </c>
      <c r="F76" s="11">
        <f>Fields!J72</f>
        <v/>
      </c>
      <c r="G76" s="11">
        <f>Fields!K72</f>
        <v/>
      </c>
    </row>
    <row r="77">
      <c r="A77" s="11" t="inlineStr">
        <is>
          <t>ADCS</t>
        </is>
      </c>
      <c r="B77" s="11" t="inlineStr">
        <is>
          <t>ADCS Cam1 3V3 Overcurrent Detected</t>
        </is>
      </c>
      <c r="C77" s="11" t="n">
        <v>689</v>
      </c>
      <c r="D77" s="11" t="n">
        <v>1</v>
      </c>
      <c r="E77" s="12">
        <f>_DestuffedBits!C819</f>
        <v/>
      </c>
      <c r="F77" s="11">
        <f>Fields!J73</f>
        <v/>
      </c>
      <c r="G77" s="11">
        <f>Fields!K73</f>
        <v/>
      </c>
    </row>
    <row r="78">
      <c r="A78" s="11" t="inlineStr">
        <is>
          <t>ADCS</t>
        </is>
      </c>
      <c r="B78" s="11" t="inlineStr">
        <is>
          <t>ADCS Cam1 Sensor Busy</t>
        </is>
      </c>
      <c r="C78" s="11" t="n">
        <v>690</v>
      </c>
      <c r="D78" s="11" t="n">
        <v>1</v>
      </c>
      <c r="E78" s="12">
        <f>_DestuffedBits!C820</f>
        <v/>
      </c>
      <c r="F78" s="11">
        <f>Fields!J74</f>
        <v/>
      </c>
      <c r="G78" s="11">
        <f>Fields!K74</f>
        <v/>
      </c>
    </row>
    <row r="79">
      <c r="A79" s="11" t="inlineStr">
        <is>
          <t>ADCS</t>
        </is>
      </c>
      <c r="B79" s="11" t="inlineStr">
        <is>
          <t>ADCS Cam1 Sensor Detection</t>
        </is>
      </c>
      <c r="C79" s="11" t="n">
        <v>691</v>
      </c>
      <c r="D79" s="11" t="n">
        <v>1</v>
      </c>
      <c r="E79" s="12">
        <f>_DestuffedBits!C821</f>
        <v/>
      </c>
      <c r="F79" s="11">
        <f>Fields!J75</f>
        <v/>
      </c>
      <c r="G79" s="11">
        <f>Fields!K75</f>
        <v/>
      </c>
    </row>
    <row r="80">
      <c r="A80" s="11" t="inlineStr">
        <is>
          <t>ADCS</t>
        </is>
      </c>
      <c r="B80" s="11" t="inlineStr">
        <is>
          <t>ADCS Cam2 SRAM Overcurrent Detected</t>
        </is>
      </c>
      <c r="C80" s="11" t="n">
        <v>692</v>
      </c>
      <c r="D80" s="11" t="n">
        <v>1</v>
      </c>
      <c r="E80" s="12">
        <f>_DestuffedBits!C822</f>
        <v/>
      </c>
      <c r="F80" s="11">
        <f>Fields!J76</f>
        <v/>
      </c>
      <c r="G80" s="11">
        <f>Fields!K76</f>
        <v/>
      </c>
    </row>
    <row r="81">
      <c r="A81" s="11" t="inlineStr">
        <is>
          <t>ADCS</t>
        </is>
      </c>
      <c r="B81" s="11" t="inlineStr">
        <is>
          <t>ADCS Cam2 3V3 Overcurrent Detected</t>
        </is>
      </c>
      <c r="C81" s="11" t="n">
        <v>693</v>
      </c>
      <c r="D81" s="11" t="n">
        <v>1</v>
      </c>
      <c r="E81" s="12">
        <f>_DestuffedBits!C823</f>
        <v/>
      </c>
      <c r="F81" s="11">
        <f>Fields!J77</f>
        <v/>
      </c>
      <c r="G81" s="11">
        <f>Fields!K77</f>
        <v/>
      </c>
    </row>
    <row r="82">
      <c r="A82" s="11" t="inlineStr">
        <is>
          <t>ADCS</t>
        </is>
      </c>
      <c r="B82" s="11" t="inlineStr">
        <is>
          <t>ADCS Cam2 Sensor Busy</t>
        </is>
      </c>
      <c r="C82" s="11" t="n">
        <v>694</v>
      </c>
      <c r="D82" s="11" t="n">
        <v>1</v>
      </c>
      <c r="E82" s="12">
        <f>_DestuffedBits!C824</f>
        <v/>
      </c>
      <c r="F82" s="11">
        <f>Fields!J78</f>
        <v/>
      </c>
      <c r="G82" s="11">
        <f>Fields!K78</f>
        <v/>
      </c>
    </row>
    <row r="83">
      <c r="A83" s="11" t="inlineStr">
        <is>
          <t>ADCS</t>
        </is>
      </c>
      <c r="B83" s="11" t="inlineStr">
        <is>
          <t>ADCS Cam2 Sensor Detection</t>
        </is>
      </c>
      <c r="C83" s="11" t="n">
        <v>695</v>
      </c>
      <c r="D83" s="11" t="n">
        <v>1</v>
      </c>
      <c r="E83" s="12">
        <f>_DestuffedBits!C825</f>
        <v/>
      </c>
      <c r="F83" s="11">
        <f>Fields!J79</f>
        <v/>
      </c>
      <c r="G83" s="11">
        <f>Fields!K79</f>
        <v/>
      </c>
    </row>
    <row r="84">
      <c r="A84" s="11" t="inlineStr">
        <is>
          <t>ADCS</t>
        </is>
      </c>
      <c r="B84" s="11" t="inlineStr">
        <is>
          <t>ADCS Magnetometer Range</t>
        </is>
      </c>
      <c r="C84" s="11" t="n">
        <v>696</v>
      </c>
      <c r="D84" s="11" t="n">
        <v>1</v>
      </c>
      <c r="E84" s="12">
        <f>_DestuffedBits!C826</f>
        <v/>
      </c>
      <c r="F84" s="11">
        <f>Fields!J80</f>
        <v/>
      </c>
      <c r="G84" s="11">
        <f>Fields!K80</f>
        <v/>
      </c>
    </row>
    <row r="85">
      <c r="A85" s="11" t="inlineStr">
        <is>
          <t>ADCS</t>
        </is>
      </c>
      <c r="B85" s="11" t="inlineStr">
        <is>
          <t>ADCS Sun Sensor Range</t>
        </is>
      </c>
      <c r="C85" s="11" t="n">
        <v>697</v>
      </c>
      <c r="D85" s="11" t="n">
        <v>1</v>
      </c>
      <c r="E85" s="12">
        <f>_DestuffedBits!C827</f>
        <v/>
      </c>
      <c r="F85" s="11">
        <f>Fields!J81</f>
        <v/>
      </c>
      <c r="G85" s="11">
        <f>Fields!K81</f>
        <v/>
      </c>
    </row>
    <row r="86">
      <c r="A86" s="11" t="inlineStr">
        <is>
          <t>ADCS</t>
        </is>
      </c>
      <c r="B86" s="11" t="inlineStr">
        <is>
          <t>ADCS Nadir Sensor Range</t>
        </is>
      </c>
      <c r="C86" s="11" t="n">
        <v>698</v>
      </c>
      <c r="D86" s="11" t="n">
        <v>1</v>
      </c>
      <c r="E86" s="12">
        <f>_DestuffedBits!C828</f>
        <v/>
      </c>
      <c r="F86" s="11">
        <f>Fields!J82</f>
        <v/>
      </c>
      <c r="G86" s="11">
        <f>Fields!K82</f>
        <v/>
      </c>
    </row>
    <row r="87">
      <c r="A87" s="11" t="inlineStr">
        <is>
          <t>ADCS</t>
        </is>
      </c>
      <c r="B87" s="11" t="inlineStr">
        <is>
          <t>ADCS Rate Sensor Range</t>
        </is>
      </c>
      <c r="C87" s="11" t="n">
        <v>699</v>
      </c>
      <c r="D87" s="11" t="n">
        <v>1</v>
      </c>
      <c r="E87" s="12">
        <f>_DestuffedBits!C829</f>
        <v/>
      </c>
      <c r="F87" s="11">
        <f>Fields!J83</f>
        <v/>
      </c>
      <c r="G87" s="11">
        <f>Fields!K83</f>
        <v/>
      </c>
    </row>
    <row r="88">
      <c r="A88" s="11" t="inlineStr">
        <is>
          <t>ADCS</t>
        </is>
      </c>
      <c r="B88" s="11" t="inlineStr">
        <is>
          <t>ADCS Wheel Speed Range</t>
        </is>
      </c>
      <c r="C88" s="11" t="n">
        <v>700</v>
      </c>
      <c r="D88" s="11" t="n">
        <v>1</v>
      </c>
      <c r="E88" s="12">
        <f>_DestuffedBits!C830</f>
        <v/>
      </c>
      <c r="F88" s="11">
        <f>Fields!J84</f>
        <v/>
      </c>
      <c r="G88" s="11">
        <f>Fields!K84</f>
        <v/>
      </c>
    </row>
    <row r="89">
      <c r="A89" s="11" t="inlineStr">
        <is>
          <t>ADCS</t>
        </is>
      </c>
      <c r="B89" s="11" t="inlineStr">
        <is>
          <t>ADCS Coarse Sun Sensor</t>
        </is>
      </c>
      <c r="C89" s="11" t="n">
        <v>701</v>
      </c>
      <c r="D89" s="11" t="n">
        <v>1</v>
      </c>
      <c r="E89" s="12">
        <f>_DestuffedBits!C831</f>
        <v/>
      </c>
      <c r="F89" s="11">
        <f>Fields!J85</f>
        <v/>
      </c>
      <c r="G89" s="11">
        <f>Fields!K85</f>
        <v/>
      </c>
    </row>
    <row r="90">
      <c r="A90" s="11" t="inlineStr">
        <is>
          <t>ADCS</t>
        </is>
      </c>
      <c r="B90" s="11" t="inlineStr">
        <is>
          <t>ADCS StarTracker Match</t>
        </is>
      </c>
      <c r="C90" s="11" t="n">
        <v>702</v>
      </c>
      <c r="D90" s="11" t="n">
        <v>1</v>
      </c>
      <c r="E90" s="12">
        <f>_DestuffedBits!C832</f>
        <v/>
      </c>
      <c r="F90" s="11">
        <f>Fields!J86</f>
        <v/>
      </c>
      <c r="G90" s="11">
        <f>Fields!K86</f>
        <v/>
      </c>
    </row>
    <row r="91">
      <c r="A91" s="11" t="inlineStr">
        <is>
          <t>ADCS</t>
        </is>
      </c>
      <c r="B91" s="11" t="inlineStr">
        <is>
          <t>ADCS Star Tracker Overcurrent Detected</t>
        </is>
      </c>
      <c r="C91" s="11" t="n">
        <v>703</v>
      </c>
      <c r="D91" s="11" t="n">
        <v>1</v>
      </c>
      <c r="E91" s="12">
        <f>_DestuffedBits!C833</f>
        <v/>
      </c>
      <c r="F91" s="11">
        <f>Fields!J87</f>
        <v/>
      </c>
      <c r="G91" s="11">
        <f>Fields!K87</f>
        <v/>
      </c>
    </row>
    <row r="92">
      <c r="A92" s="11" t="inlineStr">
        <is>
          <t>ADCS</t>
        </is>
      </c>
      <c r="B92" s="11" t="inlineStr">
        <is>
          <t>ADCS ECI referenced X coordinate</t>
        </is>
      </c>
      <c r="C92" s="11" t="n">
        <v>704</v>
      </c>
      <c r="D92" s="11" t="n">
        <v>16</v>
      </c>
      <c r="E92" s="12">
        <f>_DestuffedBits!C834&amp;_DestuffedBits!C835&amp;_DestuffedBits!C836&amp;_DestuffedBits!C837&amp;_DestuffedBits!C838&amp;_DestuffedBits!C839&amp;_DestuffedBits!C840&amp;_DestuffedBits!C841&amp;_DestuffedBits!C842&amp;_DestuffedBits!C843&amp;_DestuffedBits!C844&amp;_DestuffedBits!C845&amp;_DestuffedBits!C846&amp;_DestuffedBits!C847&amp;_DestuffedBits!C848&amp;_DestuffedBits!C849</f>
        <v/>
      </c>
      <c r="F92" s="11">
        <f>Fields!J88</f>
        <v/>
      </c>
      <c r="G92" s="11">
        <f>Fields!K88</f>
        <v/>
      </c>
    </row>
    <row r="93">
      <c r="A93" s="11" t="inlineStr">
        <is>
          <t>ADCS</t>
        </is>
      </c>
      <c r="B93" s="11" t="inlineStr">
        <is>
          <t>ADCS ECI referenced Y coordinate</t>
        </is>
      </c>
      <c r="C93" s="11" t="n">
        <v>720</v>
      </c>
      <c r="D93" s="11" t="n">
        <v>16</v>
      </c>
      <c r="E93" s="12">
        <f>_DestuffedBits!C850&amp;_DestuffedBits!C851&amp;_DestuffedBits!C852&amp;_DestuffedBits!C853&amp;_DestuffedBits!C854&amp;_DestuffedBits!C855&amp;_DestuffedBits!C856&amp;_DestuffedBits!C857&amp;_DestuffedBits!C858&amp;_DestuffedBits!C859&amp;_DestuffedBits!C860&amp;_DestuffedBits!C861&amp;_DestuffedBits!C862&amp;_DestuffedBits!C863&amp;_DestuffedBits!C864&amp;_DestuffedBits!C865</f>
        <v/>
      </c>
      <c r="F93" s="11">
        <f>Fields!J89</f>
        <v/>
      </c>
      <c r="G93" s="11">
        <f>Fields!K89</f>
        <v/>
      </c>
    </row>
    <row r="94">
      <c r="A94" s="11" t="inlineStr">
        <is>
          <t>ADCS</t>
        </is>
      </c>
      <c r="B94" s="11" t="inlineStr">
        <is>
          <t>ADCS ECI referenced Z coordinate</t>
        </is>
      </c>
      <c r="C94" s="11" t="n">
        <v>736</v>
      </c>
      <c r="D94" s="11" t="n">
        <v>16</v>
      </c>
      <c r="E94" s="12">
        <f>_DestuffedBits!C866&amp;_DestuffedBits!C867&amp;_DestuffedBits!C868&amp;_DestuffedBits!C869&amp;_DestuffedBits!C870&amp;_DestuffedBits!C871&amp;_DestuffedBits!C872&amp;_DestuffedBits!C873&amp;_DestuffedBits!C874&amp;_DestuffedBits!C875&amp;_DestuffedBits!C876&amp;_DestuffedBits!C877&amp;_DestuffedBits!C878&amp;_DestuffedBits!C879&amp;_DestuffedBits!C880&amp;_DestuffedBits!C881</f>
        <v/>
      </c>
      <c r="F94" s="11">
        <f>Fields!J90</f>
        <v/>
      </c>
      <c r="G94" s="11">
        <f>Fields!K90</f>
        <v/>
      </c>
    </row>
    <row r="95">
      <c r="A95" s="11" t="inlineStr">
        <is>
          <t>ADCS</t>
        </is>
      </c>
      <c r="B95" s="11" t="inlineStr">
        <is>
          <t>ADCS X Angular Rate</t>
        </is>
      </c>
      <c r="C95" s="11" t="n">
        <v>752</v>
      </c>
      <c r="D95" s="11" t="n">
        <v>16</v>
      </c>
      <c r="E95" s="12">
        <f>_DestuffedBits!C882&amp;_DestuffedBits!C883&amp;_DestuffedBits!C884&amp;_DestuffedBits!C885&amp;_DestuffedBits!C886&amp;_DestuffedBits!C887&amp;_DestuffedBits!C888&amp;_DestuffedBits!C889&amp;_DestuffedBits!C890&amp;_DestuffedBits!C891&amp;_DestuffedBits!C892&amp;_DestuffedBits!C893&amp;_DestuffedBits!C894&amp;_DestuffedBits!C895&amp;_DestuffedBits!C896&amp;_DestuffedBits!C897</f>
        <v/>
      </c>
      <c r="F95" s="11">
        <f>Fields!J91</f>
        <v/>
      </c>
      <c r="G95" s="11">
        <f>Fields!K91</f>
        <v/>
      </c>
    </row>
    <row r="96">
      <c r="A96" s="11" t="inlineStr">
        <is>
          <t>ADCS</t>
        </is>
      </c>
      <c r="B96" s="11" t="inlineStr">
        <is>
          <t>ADCS Y Angular Rate</t>
        </is>
      </c>
      <c r="C96" s="11" t="n">
        <v>768</v>
      </c>
      <c r="D96" s="11" t="n">
        <v>16</v>
      </c>
      <c r="E96" s="12">
        <f>_DestuffedBits!C898&amp;_DestuffedBits!C899&amp;_DestuffedBits!C900&amp;_DestuffedBits!C901&amp;_DestuffedBits!C902&amp;_DestuffedBits!C903&amp;_DestuffedBits!C904&amp;_DestuffedBits!C905&amp;_DestuffedBits!C906&amp;_DestuffedBits!C907&amp;_DestuffedBits!C908&amp;_DestuffedBits!C909&amp;_DestuffedBits!C910&amp;_DestuffedBits!C911&amp;_DestuffedBits!C912&amp;_DestuffedBits!C913</f>
        <v/>
      </c>
      <c r="F96" s="11">
        <f>Fields!J92</f>
        <v/>
      </c>
      <c r="G96" s="11">
        <f>Fields!K92</f>
        <v/>
      </c>
    </row>
    <row r="97">
      <c r="A97" s="11" t="inlineStr">
        <is>
          <t>ADCS</t>
        </is>
      </c>
      <c r="B97" s="11" t="inlineStr">
        <is>
          <t>ADCS Z Angular Rate</t>
        </is>
      </c>
      <c r="C97" s="11" t="n">
        <v>784</v>
      </c>
      <c r="D97" s="11" t="n">
        <v>16</v>
      </c>
      <c r="E97" s="12">
        <f>_DestuffedBits!C914&amp;_DestuffedBits!C915&amp;_DestuffedBits!C916&amp;_DestuffedBits!C917&amp;_DestuffedBits!C918&amp;_DestuffedBits!C919&amp;_DestuffedBits!C920&amp;_DestuffedBits!C921&amp;_DestuffedBits!C922&amp;_DestuffedBits!C923&amp;_DestuffedBits!C924&amp;_DestuffedBits!C925&amp;_DestuffedBits!C926&amp;_DestuffedBits!C927&amp;_DestuffedBits!C928&amp;_DestuffedBits!C929</f>
        <v/>
      </c>
      <c r="F97" s="11">
        <f>Fields!J93</f>
        <v/>
      </c>
      <c r="G97" s="11">
        <f>Fields!K93</f>
        <v/>
      </c>
    </row>
    <row r="98">
      <c r="A98" s="11" t="inlineStr">
        <is>
          <t>ADCS</t>
        </is>
      </c>
      <c r="B98" s="11" t="inlineStr">
        <is>
          <t>ADCS Estimated X angular rate</t>
        </is>
      </c>
      <c r="C98" s="11" t="n">
        <v>800</v>
      </c>
      <c r="D98" s="11" t="n">
        <v>16</v>
      </c>
      <c r="E98" s="12">
        <f>_DestuffedBits!C930&amp;_DestuffedBits!C931&amp;_DestuffedBits!C932&amp;_DestuffedBits!C933&amp;_DestuffedBits!C934&amp;_DestuffedBits!C935&amp;_DestuffedBits!C936&amp;_DestuffedBits!C937&amp;_DestuffedBits!C938&amp;_DestuffedBits!C939&amp;_DestuffedBits!C940&amp;_DestuffedBits!C941&amp;_DestuffedBits!C942&amp;_DestuffedBits!C943&amp;_DestuffedBits!C944&amp;_DestuffedBits!C945</f>
        <v/>
      </c>
      <c r="F98" s="11">
        <f>Fields!J94</f>
        <v/>
      </c>
      <c r="G98" s="11">
        <f>Fields!K94</f>
        <v/>
      </c>
    </row>
    <row r="99">
      <c r="A99" s="11" t="inlineStr">
        <is>
          <t>ADCS</t>
        </is>
      </c>
      <c r="B99" s="11" t="inlineStr">
        <is>
          <t>ADCS Estimated Y angular rate</t>
        </is>
      </c>
      <c r="C99" s="11" t="n">
        <v>816</v>
      </c>
      <c r="D99" s="11" t="n">
        <v>16</v>
      </c>
      <c r="E99" s="12">
        <f>_DestuffedBits!C946&amp;_DestuffedBits!C947&amp;_DestuffedBits!C948&amp;_DestuffedBits!C949&amp;_DestuffedBits!C950&amp;_DestuffedBits!C951&amp;_DestuffedBits!C952&amp;_DestuffedBits!C953&amp;_DestuffedBits!C954&amp;_DestuffedBits!C955&amp;_DestuffedBits!C956&amp;_DestuffedBits!C957&amp;_DestuffedBits!C958&amp;_DestuffedBits!C959&amp;_DestuffedBits!C960&amp;_DestuffedBits!C961</f>
        <v/>
      </c>
      <c r="F99" s="11">
        <f>Fields!J95</f>
        <v/>
      </c>
      <c r="G99" s="11">
        <f>Fields!K95</f>
        <v/>
      </c>
    </row>
    <row r="100">
      <c r="A100" s="11" t="inlineStr">
        <is>
          <t>ADCS</t>
        </is>
      </c>
      <c r="B100" s="11" t="inlineStr">
        <is>
          <t>ADCS Estimated Z angular rate</t>
        </is>
      </c>
      <c r="C100" s="11" t="n">
        <v>832</v>
      </c>
      <c r="D100" s="11" t="n">
        <v>16</v>
      </c>
      <c r="E100" s="12">
        <f>_DestuffedBits!C962&amp;_DestuffedBits!C963&amp;_DestuffedBits!C964&amp;_DestuffedBits!C965&amp;_DestuffedBits!C966&amp;_DestuffedBits!C967&amp;_DestuffedBits!C968&amp;_DestuffedBits!C969&amp;_DestuffedBits!C970&amp;_DestuffedBits!C971&amp;_DestuffedBits!C972&amp;_DestuffedBits!C973&amp;_DestuffedBits!C974&amp;_DestuffedBits!C975&amp;_DestuffedBits!C976&amp;_DestuffedBits!C977</f>
        <v/>
      </c>
      <c r="F100" s="11">
        <f>Fields!J96</f>
        <v/>
      </c>
      <c r="G100" s="11">
        <f>Fields!K96</f>
        <v/>
      </c>
    </row>
    <row r="101">
      <c r="A101" s="11" t="inlineStr">
        <is>
          <t>ADCS</t>
        </is>
      </c>
      <c r="B101" s="11" t="inlineStr">
        <is>
          <t>ADCS Current steps</t>
        </is>
      </c>
      <c r="C101" s="11" t="n">
        <v>848</v>
      </c>
      <c r="D101" s="11" t="n">
        <v>4</v>
      </c>
      <c r="E101" s="12">
        <f>_DestuffedBits!C978&amp;_DestuffedBits!C979&amp;_DestuffedBits!C980&amp;_DestuffedBits!C981</f>
        <v/>
      </c>
      <c r="F101" s="11">
        <f>Fields!J97</f>
        <v/>
      </c>
      <c r="G101" s="11">
        <f>Fields!K97</f>
        <v/>
      </c>
    </row>
    <row r="102">
      <c r="A102" s="11" t="inlineStr">
        <is>
          <t>ADCS</t>
        </is>
      </c>
      <c r="B102" s="11" t="inlineStr">
        <is>
          <t>(reserved)</t>
        </is>
      </c>
      <c r="C102" s="11" t="n">
        <v>852</v>
      </c>
      <c r="D102" s="11" t="n">
        <v>4</v>
      </c>
      <c r="E102" s="12">
        <f>_DestuffedBits!C982&amp;_DestuffedBits!C983&amp;_DestuffedBits!C984&amp;_DestuffedBits!C985</f>
        <v/>
      </c>
      <c r="F102" s="11">
        <f>Fields!J98</f>
        <v/>
      </c>
      <c r="G102" s="11">
        <f>Fields!K98</f>
        <v/>
      </c>
    </row>
    <row r="103">
      <c r="A103" s="11" t="inlineStr">
        <is>
          <t>ADCS</t>
        </is>
      </c>
      <c r="B103" s="11" t="inlineStr">
        <is>
          <t>ADCS Sun Vector X</t>
        </is>
      </c>
      <c r="C103" s="11" t="n">
        <v>856</v>
      </c>
      <c r="D103" s="11" t="n">
        <v>16</v>
      </c>
      <c r="E103" s="12">
        <f>_DestuffedBits!C986&amp;_DestuffedBits!C987&amp;_DestuffedBits!C988&amp;_DestuffedBits!C989&amp;_DestuffedBits!C990&amp;_DestuffedBits!C991&amp;_DestuffedBits!C992&amp;_DestuffedBits!C993&amp;_DestuffedBits!C994&amp;_DestuffedBits!C995&amp;_DestuffedBits!C996&amp;_DestuffedBits!C997&amp;_DestuffedBits!C998&amp;_DestuffedBits!C999&amp;_DestuffedBits!C1000&amp;_DestuffedBits!C1001</f>
        <v/>
      </c>
      <c r="F103" s="11">
        <f>Fields!J99</f>
        <v/>
      </c>
      <c r="G103" s="11">
        <f>Fields!K99</f>
        <v/>
      </c>
    </row>
    <row r="104">
      <c r="A104" s="11" t="inlineStr">
        <is>
          <t>ADCS</t>
        </is>
      </c>
      <c r="B104" s="11" t="inlineStr">
        <is>
          <t>ADCS Sun Vector Y</t>
        </is>
      </c>
      <c r="C104" s="11" t="n">
        <v>872</v>
      </c>
      <c r="D104" s="11" t="n">
        <v>16</v>
      </c>
      <c r="E104" s="12">
        <f>_DestuffedBits!C1002&amp;_DestuffedBits!C1003&amp;_DestuffedBits!C1004&amp;_DestuffedBits!C1005&amp;_DestuffedBits!C1006&amp;_DestuffedBits!C1007&amp;_DestuffedBits!C1008&amp;_DestuffedBits!C1009&amp;_DestuffedBits!C1010&amp;_DestuffedBits!C1011&amp;_DestuffedBits!C1012&amp;_DestuffedBits!C1013&amp;_DestuffedBits!C1014&amp;_DestuffedBits!C1015&amp;_DestuffedBits!C1016&amp;_DestuffedBits!C1017</f>
        <v/>
      </c>
      <c r="F104" s="11">
        <f>Fields!J100</f>
        <v/>
      </c>
      <c r="G104" s="11">
        <f>Fields!K100</f>
        <v/>
      </c>
    </row>
    <row r="105">
      <c r="A105" s="11" t="inlineStr">
        <is>
          <t>ADCS</t>
        </is>
      </c>
      <c r="B105" s="11" t="inlineStr">
        <is>
          <t>ADCS Sun Vector Z</t>
        </is>
      </c>
      <c r="C105" s="11" t="n">
        <v>888</v>
      </c>
      <c r="D105" s="11" t="n">
        <v>16</v>
      </c>
      <c r="E105" s="12">
        <f>_DestuffedBits!C1018&amp;_DestuffedBits!C1019&amp;_DestuffedBits!C1020&amp;_DestuffedBits!C1021&amp;_DestuffedBits!C1022&amp;_DestuffedBits!C1023&amp;_DestuffedBits!C1024&amp;_DestuffedBits!C1025&amp;_DestuffedBits!C1026&amp;_DestuffedBits!C1027&amp;_DestuffedBits!C1028&amp;_DestuffedBits!C1029&amp;_DestuffedBits!C1030&amp;_DestuffedBits!C1031&amp;_DestuffedBits!C1032&amp;_DestuffedBits!C1033</f>
        <v/>
      </c>
      <c r="F105" s="11">
        <f>Fields!J101</f>
        <v/>
      </c>
      <c r="G105" s="11">
        <f>Fields!K101</f>
        <v/>
      </c>
    </row>
    <row r="106">
      <c r="A106" s="11" t="inlineStr">
        <is>
          <t>ADCS</t>
        </is>
      </c>
      <c r="B106" s="11" t="inlineStr">
        <is>
          <t>ADCS Telecommand counter</t>
        </is>
      </c>
      <c r="C106" s="11" t="n">
        <v>904</v>
      </c>
      <c r="D106" s="11" t="n">
        <v>16</v>
      </c>
      <c r="E106" s="12">
        <f>_DestuffedBits!C1034&amp;_DestuffedBits!C1035&amp;_DestuffedBits!C1036&amp;_DestuffedBits!C1037&amp;_DestuffedBits!C1038&amp;_DestuffedBits!C1039&amp;_DestuffedBits!C1040&amp;_DestuffedBits!C1041&amp;_DestuffedBits!C1042&amp;_DestuffedBits!C1043&amp;_DestuffedBits!C1044&amp;_DestuffedBits!C1045&amp;_DestuffedBits!C1046&amp;_DestuffedBits!C1047&amp;_DestuffedBits!C1048&amp;_DestuffedBits!C1049</f>
        <v/>
      </c>
      <c r="F106" s="11">
        <f>Fields!J102</f>
        <v/>
      </c>
      <c r="G106" s="11">
        <f>Fields!K102</f>
        <v/>
      </c>
    </row>
    <row r="107">
      <c r="A107" s="11" t="inlineStr">
        <is>
          <t>ADCS</t>
        </is>
      </c>
      <c r="B107" s="11" t="inlineStr">
        <is>
          <t>ADCS Telemetry request counter</t>
        </is>
      </c>
      <c r="C107" s="11" t="n">
        <v>920</v>
      </c>
      <c r="D107" s="11" t="n">
        <v>16</v>
      </c>
      <c r="E107" s="12">
        <f>_DestuffedBits!C1050&amp;_DestuffedBits!C1051&amp;_DestuffedBits!C1052&amp;_DestuffedBits!C1053&amp;_DestuffedBits!C1054&amp;_DestuffedBits!C1055&amp;_DestuffedBits!C1056&amp;_DestuffedBits!C1057&amp;_DestuffedBits!C1058&amp;_DestuffedBits!C1059&amp;_DestuffedBits!C1060&amp;_DestuffedBits!C1061&amp;_DestuffedBits!C1062&amp;_DestuffedBits!C1063&amp;_DestuffedBits!C1064&amp;_DestuffedBits!C1065</f>
        <v/>
      </c>
      <c r="F107" s="11">
        <f>Fields!J103</f>
        <v/>
      </c>
      <c r="G107" s="11">
        <f>Fields!K103</f>
        <v/>
      </c>
    </row>
    <row r="108">
      <c r="A108" s="11" t="inlineStr">
        <is>
          <t>ADCS</t>
        </is>
      </c>
      <c r="B108" s="11" t="inlineStr">
        <is>
          <t>ADCS Last TC ID</t>
        </is>
      </c>
      <c r="C108" s="11" t="n">
        <v>936</v>
      </c>
      <c r="D108" s="11" t="n">
        <v>8</v>
      </c>
      <c r="E108" s="12">
        <f>_DestuffedBits!C1066&amp;_DestuffedBits!C1067&amp;_DestuffedBits!C1068&amp;_DestuffedBits!C1069&amp;_DestuffedBits!C1070&amp;_DestuffedBits!C1071&amp;_DestuffedBits!C1072&amp;_DestuffedBits!C1073</f>
        <v/>
      </c>
      <c r="F108" s="11">
        <f>Fields!J104</f>
        <v/>
      </c>
      <c r="G108" s="11">
        <f>Fields!K104</f>
        <v/>
      </c>
    </row>
    <row r="109">
      <c r="A109" s="11" t="inlineStr">
        <is>
          <t>ADCS</t>
        </is>
      </c>
      <c r="B109" s="11" t="inlineStr">
        <is>
          <t>ADCS Processed flag</t>
        </is>
      </c>
      <c r="C109" s="11" t="n">
        <v>944</v>
      </c>
      <c r="D109" s="11" t="n">
        <v>1</v>
      </c>
      <c r="E109" s="12">
        <f>_DestuffedBits!C1074</f>
        <v/>
      </c>
      <c r="F109" s="11">
        <f>Fields!J105</f>
        <v/>
      </c>
      <c r="G109" s="11">
        <f>Fields!K105</f>
        <v/>
      </c>
    </row>
    <row r="110">
      <c r="A110" s="11" t="inlineStr">
        <is>
          <t>ADCS</t>
        </is>
      </c>
      <c r="B110" s="11" t="inlineStr">
        <is>
          <t>ADCS TC error status</t>
        </is>
      </c>
      <c r="C110" s="11" t="n">
        <v>945</v>
      </c>
      <c r="D110" s="11" t="n">
        <v>4</v>
      </c>
      <c r="E110" s="12">
        <f>_DestuffedBits!C1075&amp;_DestuffedBits!C1076&amp;_DestuffedBits!C1077&amp;_DestuffedBits!C1078</f>
        <v/>
      </c>
      <c r="F110" s="11">
        <f>Fields!J106</f>
        <v/>
      </c>
      <c r="G110" s="11">
        <f>Fields!K106</f>
        <v/>
      </c>
    </row>
    <row r="111">
      <c r="A111" s="11" t="inlineStr">
        <is>
          <t>ADCS</t>
        </is>
      </c>
      <c r="B111" s="11" t="inlineStr">
        <is>
          <t>(reserved)</t>
        </is>
      </c>
      <c r="C111" s="11" t="n">
        <v>949</v>
      </c>
      <c r="D111" s="11" t="n">
        <v>3</v>
      </c>
      <c r="E111" s="12">
        <f>_DestuffedBits!C1079&amp;_DestuffedBits!C1080&amp;_DestuffedBits!C1081</f>
        <v/>
      </c>
      <c r="F111" s="11">
        <f>Fields!J107</f>
        <v/>
      </c>
      <c r="G111" s="11">
        <f>Fields!K107</f>
        <v/>
      </c>
    </row>
    <row r="112">
      <c r="A112" s="11" t="inlineStr">
        <is>
          <t>ADCS</t>
        </is>
      </c>
      <c r="B112" s="11" t="inlineStr">
        <is>
          <t>ADCS TC parameter error index</t>
        </is>
      </c>
      <c r="C112" s="11" t="n">
        <v>952</v>
      </c>
      <c r="D112" s="11" t="n">
        <v>8</v>
      </c>
      <c r="E112" s="12">
        <f>_DestuffedBits!C1082&amp;_DestuffedBits!C1083&amp;_DestuffedBits!C1084&amp;_DestuffedBits!C1085&amp;_DestuffedBits!C1086&amp;_DestuffedBits!C1087&amp;_DestuffedBits!C1088&amp;_DestuffedBits!C1089</f>
        <v/>
      </c>
      <c r="F112" s="11">
        <f>Fields!J108</f>
        <v/>
      </c>
      <c r="G112" s="11">
        <f>Fields!K108</f>
        <v/>
      </c>
    </row>
    <row r="113">
      <c r="A113" s="11" t="inlineStr">
        <is>
          <t>ADCS</t>
        </is>
      </c>
      <c r="B113" s="11" t="inlineStr">
        <is>
          <t>ADCS  X Wheel Speed</t>
        </is>
      </c>
      <c r="C113" s="11" t="n">
        <v>960</v>
      </c>
      <c r="D113" s="11" t="n">
        <v>16</v>
      </c>
      <c r="E113" s="12">
        <f>_DestuffedBits!C1090&amp;_DestuffedBits!C1091&amp;_DestuffedBits!C1092&amp;_DestuffedBits!C1093&amp;_DestuffedBits!C1094&amp;_DestuffedBits!C1095&amp;_DestuffedBits!C1096&amp;_DestuffedBits!C1097&amp;_DestuffedBits!C1098&amp;_DestuffedBits!C1099&amp;_DestuffedBits!C1100&amp;_DestuffedBits!C1101&amp;_DestuffedBits!C1102&amp;_DestuffedBits!C1103&amp;_DestuffedBits!C1104&amp;_DestuffedBits!C1105</f>
        <v/>
      </c>
      <c r="F113" s="11">
        <f>Fields!J109</f>
        <v/>
      </c>
      <c r="G113" s="11">
        <f>Fields!K109</f>
        <v/>
      </c>
    </row>
    <row r="114">
      <c r="A114" s="11" t="inlineStr">
        <is>
          <t>ADCS</t>
        </is>
      </c>
      <c r="B114" s="11" t="inlineStr">
        <is>
          <t>ADCS Y Wheel Speed</t>
        </is>
      </c>
      <c r="C114" s="11" t="n">
        <v>976</v>
      </c>
      <c r="D114" s="11" t="n">
        <v>16</v>
      </c>
      <c r="E114" s="12">
        <f>_DestuffedBits!C1106&amp;_DestuffedBits!C1107&amp;_DestuffedBits!C1108&amp;_DestuffedBits!C1109&amp;_DestuffedBits!C1110&amp;_DestuffedBits!C1111&amp;_DestuffedBits!C1112&amp;_DestuffedBits!C1113&amp;_DestuffedBits!C1114&amp;_DestuffedBits!C1115&amp;_DestuffedBits!C1116&amp;_DestuffedBits!C1117&amp;_DestuffedBits!C1118&amp;_DestuffedBits!C1119&amp;_DestuffedBits!C1120&amp;_DestuffedBits!C1121</f>
        <v/>
      </c>
      <c r="F114" s="11">
        <f>Fields!J110</f>
        <v/>
      </c>
      <c r="G114" s="11">
        <f>Fields!K110</f>
        <v/>
      </c>
    </row>
    <row r="115">
      <c r="A115" s="11" t="inlineStr">
        <is>
          <t>ADCS</t>
        </is>
      </c>
      <c r="B115" s="11" t="inlineStr">
        <is>
          <t>ADCS  Z Wheel Speed</t>
        </is>
      </c>
      <c r="C115" s="11" t="n">
        <v>992</v>
      </c>
      <c r="D115" s="11" t="n">
        <v>16</v>
      </c>
      <c r="E115" s="12">
        <f>_DestuffedBits!C1122&amp;_DestuffedBits!C1123&amp;_DestuffedBits!C1124&amp;_DestuffedBits!C1125&amp;_DestuffedBits!C1126&amp;_DestuffedBits!C1127&amp;_DestuffedBits!C1128&amp;_DestuffedBits!C1129&amp;_DestuffedBits!C1130&amp;_DestuffedBits!C1131&amp;_DestuffedBits!C1132&amp;_DestuffedBits!C1133&amp;_DestuffedBits!C1134&amp;_DestuffedBits!C1135&amp;_DestuffedBits!C1136&amp;_DestuffedBits!C1137</f>
        <v/>
      </c>
      <c r="F115" s="11">
        <f>Fields!J111</f>
        <v/>
      </c>
      <c r="G115" s="11">
        <f>Fields!K111</f>
        <v/>
      </c>
    </row>
    <row r="116">
      <c r="A116" s="11" t="inlineStr">
        <is>
          <t>ADCS</t>
        </is>
      </c>
      <c r="B116" s="11" t="inlineStr">
        <is>
          <t>ADCS eclipse Sun is Above Local Horizon</t>
        </is>
      </c>
      <c r="C116" s="11" t="n">
        <v>1008</v>
      </c>
      <c r="D116" s="11" t="n">
        <v>1</v>
      </c>
      <c r="E116" s="12">
        <f>_DestuffedBits!C1138</f>
        <v/>
      </c>
      <c r="F116" s="11">
        <f>Fields!J112</f>
        <v/>
      </c>
      <c r="G116" s="11">
        <f>Fields!K112</f>
        <v/>
      </c>
    </row>
    <row r="117">
      <c r="A117" s="11" t="inlineStr">
        <is>
          <t>ADCS</t>
        </is>
      </c>
      <c r="B117" s="11" t="inlineStr">
        <is>
          <t>(reserved)</t>
        </is>
      </c>
      <c r="C117" s="11" t="n">
        <v>1009</v>
      </c>
      <c r="D117" s="11" t="n">
        <v>7</v>
      </c>
      <c r="E117" s="12">
        <f>_DestuffedBits!C1139&amp;_DestuffedBits!C1140&amp;_DestuffedBits!C1141&amp;_DestuffedBits!C1142&amp;_DestuffedBits!C1143&amp;_DestuffedBits!C1144&amp;_DestuffedBits!C1145</f>
        <v/>
      </c>
      <c r="F117" s="11">
        <f>Fields!J113</f>
        <v/>
      </c>
      <c r="G117" s="11">
        <f>Fields!K113</f>
        <v/>
      </c>
    </row>
    <row r="118">
      <c r="A118" s="11" t="inlineStr">
        <is>
          <t>COMM</t>
        </is>
      </c>
      <c r="B118" s="11" t="inlineStr">
        <is>
          <t>UHF Temperature</t>
        </is>
      </c>
      <c r="C118" s="11" t="n">
        <v>1016</v>
      </c>
      <c r="D118" s="11" t="n">
        <v>8</v>
      </c>
      <c r="E118" s="12">
        <f>_DestuffedBits!C1146&amp;_DestuffedBits!C1147&amp;_DestuffedBits!C1148&amp;_DestuffedBits!C1149&amp;_DestuffedBits!C1150&amp;_DestuffedBits!C1151&amp;_DestuffedBits!C1152&amp;_DestuffedBits!C1153</f>
        <v/>
      </c>
      <c r="F118" s="11">
        <f>Fields!J114</f>
        <v/>
      </c>
      <c r="G118" s="11">
        <f>Fields!K114</f>
        <v/>
      </c>
    </row>
    <row r="119">
      <c r="A119" s="11" t="inlineStr">
        <is>
          <t>COMM</t>
        </is>
      </c>
      <c r="B119" s="11" t="inlineStr">
        <is>
          <t>UHF SWD Function</t>
        </is>
      </c>
      <c r="C119" s="11" t="n">
        <v>1024</v>
      </c>
      <c r="D119" s="11" t="n">
        <v>1</v>
      </c>
      <c r="E119" s="12">
        <f>_DestuffedBits!C1154</f>
        <v/>
      </c>
      <c r="F119" s="11">
        <f>Fields!J115</f>
        <v/>
      </c>
      <c r="G119" s="11">
        <f>Fields!K115</f>
        <v/>
      </c>
    </row>
    <row r="120">
      <c r="A120" s="11" t="inlineStr">
        <is>
          <t>COMM</t>
        </is>
      </c>
      <c r="B120" s="11" t="inlineStr">
        <is>
          <t>UHF Echo Mode</t>
        </is>
      </c>
      <c r="C120" s="11" t="n">
        <v>1025</v>
      </c>
      <c r="D120" s="11" t="n">
        <v>1</v>
      </c>
      <c r="E120" s="12">
        <f>_DestuffedBits!C1155</f>
        <v/>
      </c>
      <c r="F120" s="11">
        <f>Fields!J116</f>
        <v/>
      </c>
      <c r="G120" s="11">
        <f>Fields!K116</f>
        <v/>
      </c>
    </row>
    <row r="121">
      <c r="A121" s="11" t="inlineStr">
        <is>
          <t>COMM</t>
        </is>
      </c>
      <c r="B121" s="11" t="inlineStr">
        <is>
          <t>UHF AFC</t>
        </is>
      </c>
      <c r="C121" s="11" t="n">
        <v>1026</v>
      </c>
      <c r="D121" s="11" t="n">
        <v>1</v>
      </c>
      <c r="E121" s="12">
        <f>_DestuffedBits!C1156</f>
        <v/>
      </c>
      <c r="F121" s="11">
        <f>Fields!J117</f>
        <v/>
      </c>
      <c r="G121" s="11">
        <f>Fields!K117</f>
        <v/>
      </c>
    </row>
    <row r="122">
      <c r="A122" s="11" t="inlineStr">
        <is>
          <t>COMM</t>
        </is>
      </c>
      <c r="B122" s="11" t="inlineStr">
        <is>
          <t>UHF SWD Announciate</t>
        </is>
      </c>
      <c r="C122" s="11" t="n">
        <v>1027</v>
      </c>
      <c r="D122" s="11" t="n">
        <v>1</v>
      </c>
      <c r="E122" s="12">
        <f>_DestuffedBits!C1157</f>
        <v/>
      </c>
      <c r="F122" s="11">
        <f>Fields!J118</f>
        <v/>
      </c>
      <c r="G122" s="11">
        <f>Fields!K118</f>
        <v/>
      </c>
    </row>
    <row r="123">
      <c r="A123" s="11" t="inlineStr">
        <is>
          <t>COMM</t>
        </is>
      </c>
      <c r="B123" s="11" t="inlineStr">
        <is>
          <t>UHF Readback Mode</t>
        </is>
      </c>
      <c r="C123" s="11" t="n">
        <v>1028</v>
      </c>
      <c r="D123" s="11" t="n">
        <v>2</v>
      </c>
      <c r="E123" s="12">
        <f>_DestuffedBits!C1158&amp;_DestuffedBits!C1159</f>
        <v/>
      </c>
      <c r="F123" s="11">
        <f>Fields!J119</f>
        <v/>
      </c>
      <c r="G123" s="11">
        <f>Fields!K119</f>
        <v/>
      </c>
    </row>
    <row r="124">
      <c r="A124" s="11" t="inlineStr">
        <is>
          <t>COMM</t>
        </is>
      </c>
      <c r="B124" s="11" t="inlineStr">
        <is>
          <t>UHF Channel</t>
        </is>
      </c>
      <c r="C124" s="11" t="n">
        <v>1030</v>
      </c>
      <c r="D124" s="11" t="n">
        <v>2</v>
      </c>
      <c r="E124" s="12">
        <f>_DestuffedBits!C1160&amp;_DestuffedBits!C1161</f>
        <v/>
      </c>
      <c r="F124" s="11">
        <f>Fields!J120</f>
        <v/>
      </c>
      <c r="G124" s="11">
        <f>Fields!K120</f>
        <v/>
      </c>
    </row>
    <row r="125">
      <c r="A125" s="11" t="inlineStr">
        <is>
          <t>COMM</t>
        </is>
      </c>
      <c r="B125" s="11" t="inlineStr">
        <is>
          <t>Xband Symbol Rate</t>
        </is>
      </c>
      <c r="C125" s="11" t="n">
        <v>1032</v>
      </c>
      <c r="D125" s="11" t="n">
        <v>8</v>
      </c>
      <c r="E125" s="12">
        <f>_DestuffedBits!C1162&amp;_DestuffedBits!C1163&amp;_DestuffedBits!C1164&amp;_DestuffedBits!C1165&amp;_DestuffedBits!C1166&amp;_DestuffedBits!C1167&amp;_DestuffedBits!C1168&amp;_DestuffedBits!C1169</f>
        <v/>
      </c>
      <c r="F125" s="11">
        <f>Fields!J121</f>
        <v/>
      </c>
      <c r="G125" s="11">
        <f>Fields!K121</f>
        <v/>
      </c>
    </row>
    <row r="126">
      <c r="A126" s="11" t="inlineStr">
        <is>
          <t>COMM</t>
        </is>
      </c>
      <c r="B126" s="11" t="inlineStr">
        <is>
          <t>Xband Transmit Power</t>
        </is>
      </c>
      <c r="C126" s="11" t="n">
        <v>1040</v>
      </c>
      <c r="D126" s="11" t="n">
        <v>8</v>
      </c>
      <c r="E126" s="12">
        <f>_DestuffedBits!C1170&amp;_DestuffedBits!C1171&amp;_DestuffedBits!C1172&amp;_DestuffedBits!C1173&amp;_DestuffedBits!C1174&amp;_DestuffedBits!C1175&amp;_DestuffedBits!C1176&amp;_DestuffedBits!C1177</f>
        <v/>
      </c>
      <c r="F126" s="11">
        <f>Fields!J122</f>
        <v/>
      </c>
      <c r="G126" s="11">
        <f>Fields!K122</f>
        <v/>
      </c>
    </row>
    <row r="127">
      <c r="A127" s="11" t="inlineStr">
        <is>
          <t>COMM</t>
        </is>
      </c>
      <c r="B127" s="11" t="inlineStr">
        <is>
          <t>Xband MODCOD</t>
        </is>
      </c>
      <c r="C127" s="11" t="n">
        <v>1048</v>
      </c>
      <c r="D127" s="11" t="n">
        <v>8</v>
      </c>
      <c r="E127" s="12">
        <f>_DestuffedBits!C1178&amp;_DestuffedBits!C1179&amp;_DestuffedBits!C1180&amp;_DestuffedBits!C1181&amp;_DestuffedBits!C1182&amp;_DestuffedBits!C1183&amp;_DestuffedBits!C1184&amp;_DestuffedBits!C1185</f>
        <v/>
      </c>
      <c r="F127" s="11">
        <f>Fields!J123</f>
        <v/>
      </c>
      <c r="G127" s="11">
        <f>Fields!K123</f>
        <v/>
      </c>
    </row>
    <row r="128">
      <c r="A128" s="11" t="inlineStr">
        <is>
          <t>COMM</t>
        </is>
      </c>
      <c r="B128" s="11" t="inlineStr">
        <is>
          <t>Xband Roll-off</t>
        </is>
      </c>
      <c r="C128" s="11" t="n">
        <v>1056</v>
      </c>
      <c r="D128" s="11" t="n">
        <v>2</v>
      </c>
      <c r="E128" s="12">
        <f>_DestuffedBits!C1186&amp;_DestuffedBits!C1187</f>
        <v/>
      </c>
      <c r="F128" s="11">
        <f>Fields!J124</f>
        <v/>
      </c>
      <c r="G128" s="11">
        <f>Fields!K124</f>
        <v/>
      </c>
    </row>
    <row r="129">
      <c r="A129" s="11" t="inlineStr">
        <is>
          <t>COMM</t>
        </is>
      </c>
      <c r="B129" s="11" t="inlineStr">
        <is>
          <t>Xband Pilot Signal</t>
        </is>
      </c>
      <c r="C129" s="11" t="n">
        <v>1058</v>
      </c>
      <c r="D129" s="11" t="n">
        <v>1</v>
      </c>
      <c r="E129" s="12">
        <f>_DestuffedBits!C1188</f>
        <v/>
      </c>
      <c r="F129" s="11">
        <f>Fields!J125</f>
        <v/>
      </c>
      <c r="G129" s="11">
        <f>Fields!K125</f>
        <v/>
      </c>
    </row>
    <row r="130">
      <c r="A130" s="11" t="inlineStr">
        <is>
          <t>COMM</t>
        </is>
      </c>
      <c r="B130" s="11" t="inlineStr">
        <is>
          <t>Xband FEC Frame Size</t>
        </is>
      </c>
      <c r="C130" s="11" t="n">
        <v>1059</v>
      </c>
      <c r="D130" s="11" t="n">
        <v>1</v>
      </c>
      <c r="E130" s="12">
        <f>_DestuffedBits!C1189</f>
        <v/>
      </c>
      <c r="F130" s="11">
        <f>Fields!J126</f>
        <v/>
      </c>
      <c r="G130" s="11">
        <f>Fields!K126</f>
        <v/>
      </c>
    </row>
    <row r="131">
      <c r="A131" s="11" t="inlineStr">
        <is>
          <t>COMM</t>
        </is>
      </c>
      <c r="B131" s="11" t="inlineStr">
        <is>
          <t>Xband System State</t>
        </is>
      </c>
      <c r="C131" s="11" t="n">
        <v>1060</v>
      </c>
      <c r="D131" s="11" t="n">
        <v>2</v>
      </c>
      <c r="E131" s="12">
        <f>_DestuffedBits!C1190&amp;_DestuffedBits!C1191</f>
        <v/>
      </c>
      <c r="F131" s="11">
        <f>Fields!J127</f>
        <v/>
      </c>
      <c r="G131" s="11">
        <f>Fields!K127</f>
        <v/>
      </c>
    </row>
    <row r="132">
      <c r="A132" s="11" t="inlineStr">
        <is>
          <t>COMM</t>
        </is>
      </c>
      <c r="B132" s="11" t="inlineStr">
        <is>
          <t>(reserved)</t>
        </is>
      </c>
      <c r="C132" s="11" t="n">
        <v>1062</v>
      </c>
      <c r="D132" s="11" t="n">
        <v>2</v>
      </c>
      <c r="E132" s="12">
        <f>_DestuffedBits!C1192&amp;_DestuffedBits!C1193</f>
        <v/>
      </c>
      <c r="F132" s="11">
        <f>Fields!J128</f>
        <v/>
      </c>
      <c r="G132" s="11">
        <f>Fields!K128</f>
        <v/>
      </c>
    </row>
    <row r="133">
      <c r="A133" s="11" t="inlineStr">
        <is>
          <t>COMM</t>
        </is>
      </c>
      <c r="B133" s="11" t="inlineStr">
        <is>
          <t>Xband Central Frequency</t>
        </is>
      </c>
      <c r="C133" s="11" t="n">
        <v>1064</v>
      </c>
      <c r="D133" s="11" t="n">
        <v>32</v>
      </c>
      <c r="E133" s="12">
        <f>_DestuffedBits!C1194&amp;_DestuffedBits!C1195&amp;_DestuffedBits!C1196&amp;_DestuffedBits!C1197&amp;_DestuffedBits!C1198&amp;_DestuffedBits!C1199&amp;_DestuffedBits!C1200&amp;_DestuffedBits!C1201&amp;_DestuffedBits!C1202&amp;_DestuffedBits!C1203&amp;_DestuffedBits!C1204&amp;_DestuffedBits!C1205&amp;_DestuffedBits!C1206&amp;_DestuffedBits!C1207&amp;_DestuffedBits!C1208&amp;_DestuffedBits!C1209&amp;_DestuffedBits!C1210&amp;_DestuffedBits!C1211&amp;_DestuffedBits!C1212&amp;_DestuffedBits!C1213&amp;_DestuffedBits!C1214&amp;_DestuffedBits!C1215&amp;_DestuffedBits!C1216&amp;_DestuffedBits!C1217&amp;_DestuffedBits!C1218&amp;_DestuffedBits!C1219&amp;_DestuffedBits!C1220&amp;_DestuffedBits!C1221&amp;_DestuffedBits!C1222&amp;_DestuffedBits!C1223&amp;_DestuffedBits!C1224&amp;_DestuffedBits!C1225</f>
        <v/>
      </c>
      <c r="F133" s="11">
        <f>Fields!J129</f>
        <v/>
      </c>
      <c r="G133" s="11">
        <f>Fields!K129</f>
        <v/>
      </c>
    </row>
    <row r="134">
      <c r="A134" s="11" t="inlineStr">
        <is>
          <t>COMM</t>
        </is>
      </c>
      <c r="B134" s="11" t="inlineStr">
        <is>
          <t>Xband BUC PLL Lock Unlock</t>
        </is>
      </c>
      <c r="C134" s="11" t="n">
        <v>1096</v>
      </c>
      <c r="D134" s="11" t="n">
        <v>1</v>
      </c>
      <c r="E134" s="12">
        <f>_DestuffedBits!C1226</f>
        <v/>
      </c>
      <c r="F134" s="11">
        <f>Fields!J130</f>
        <v/>
      </c>
      <c r="G134" s="11">
        <f>Fields!K130</f>
        <v/>
      </c>
    </row>
    <row r="135">
      <c r="A135" s="11" t="inlineStr">
        <is>
          <t>COMM</t>
        </is>
      </c>
      <c r="B135" s="11" t="inlineStr">
        <is>
          <t>Xband BUC Over Temperature</t>
        </is>
      </c>
      <c r="C135" s="11" t="n">
        <v>1097</v>
      </c>
      <c r="D135" s="11" t="n">
        <v>1</v>
      </c>
      <c r="E135" s="12">
        <f>_DestuffedBits!C1227</f>
        <v/>
      </c>
      <c r="F135" s="11">
        <f>Fields!J131</f>
        <v/>
      </c>
      <c r="G135" s="11">
        <f>Fields!K131</f>
        <v/>
      </c>
    </row>
    <row r="136">
      <c r="A136" s="11" t="inlineStr">
        <is>
          <t>COMM</t>
        </is>
      </c>
      <c r="B136" s="11" t="inlineStr">
        <is>
          <t>Xband SDR Not Initialized</t>
        </is>
      </c>
      <c r="C136" s="11" t="n">
        <v>1098</v>
      </c>
      <c r="D136" s="11" t="n">
        <v>1</v>
      </c>
      <c r="E136" s="12">
        <f>_DestuffedBits!C1228</f>
        <v/>
      </c>
      <c r="F136" s="11">
        <f>Fields!J132</f>
        <v/>
      </c>
      <c r="G136" s="11">
        <f>Fields!K132</f>
        <v/>
      </c>
    </row>
    <row r="137">
      <c r="A137" s="11" t="inlineStr">
        <is>
          <t>COMM</t>
        </is>
      </c>
      <c r="B137" s="11" t="inlineStr">
        <is>
          <t>Xband BUC Communication Error</t>
        </is>
      </c>
      <c r="C137" s="11" t="n">
        <v>1099</v>
      </c>
      <c r="D137" s="11" t="n">
        <v>1</v>
      </c>
      <c r="E137" s="12">
        <f>_DestuffedBits!C1229</f>
        <v/>
      </c>
      <c r="F137" s="11">
        <f>Fields!J133</f>
        <v/>
      </c>
      <c r="G137" s="11">
        <f>Fields!K133</f>
        <v/>
      </c>
    </row>
    <row r="138">
      <c r="A138" s="11" t="inlineStr">
        <is>
          <t>COMM</t>
        </is>
      </c>
      <c r="B138" s="11" t="inlineStr">
        <is>
          <t>Xband System Over Temperature Stop</t>
        </is>
      </c>
      <c r="C138" s="11" t="n">
        <v>1100</v>
      </c>
      <c r="D138" s="11" t="n">
        <v>1</v>
      </c>
      <c r="E138" s="12">
        <f>_DestuffedBits!C1230</f>
        <v/>
      </c>
      <c r="F138" s="11">
        <f>Fields!J134</f>
        <v/>
      </c>
      <c r="G138" s="11">
        <f>Fields!K134</f>
        <v/>
      </c>
    </row>
    <row r="139">
      <c r="A139" s="11" t="inlineStr">
        <is>
          <t>COMM</t>
        </is>
      </c>
      <c r="B139" s="11" t="inlineStr">
        <is>
          <t>Xband Warning Predistortion Not OK</t>
        </is>
      </c>
      <c r="C139" s="11" t="n">
        <v>1101</v>
      </c>
      <c r="D139" s="11" t="n">
        <v>1</v>
      </c>
      <c r="E139" s="12">
        <f>_DestuffedBits!C1231</f>
        <v/>
      </c>
      <c r="F139" s="11">
        <f>Fields!J135</f>
        <v/>
      </c>
      <c r="G139" s="11">
        <f>Fields!K135</f>
        <v/>
      </c>
    </row>
    <row r="140">
      <c r="A140" s="11" t="inlineStr">
        <is>
          <t>COMM</t>
        </is>
      </c>
      <c r="B140" s="11" t="inlineStr">
        <is>
          <t>(reserved)</t>
        </is>
      </c>
      <c r="C140" s="11" t="n">
        <v>1102</v>
      </c>
      <c r="D140" s="11" t="n">
        <v>2</v>
      </c>
      <c r="E140" s="12">
        <f>_DestuffedBits!C1232&amp;_DestuffedBits!C1233</f>
        <v/>
      </c>
      <c r="F140" s="11">
        <f>Fields!J136</f>
        <v/>
      </c>
      <c r="G140" s="11">
        <f>Fields!K136</f>
        <v/>
      </c>
    </row>
    <row r="141">
      <c r="A141" s="11" t="inlineStr">
        <is>
          <t>COMM</t>
        </is>
      </c>
      <c r="B141" s="11" t="inlineStr">
        <is>
          <t>Xband PA Temperature</t>
        </is>
      </c>
      <c r="C141" s="11" t="n">
        <v>1104</v>
      </c>
      <c r="D141" s="11" t="n">
        <v>16</v>
      </c>
      <c r="E141" s="12">
        <f>_DestuffedBits!C1234&amp;_DestuffedBits!C1235&amp;_DestuffedBits!C1236&amp;_DestuffedBits!C1237&amp;_DestuffedBits!C1238&amp;_DestuffedBits!C1239&amp;_DestuffedBits!C1240&amp;_DestuffedBits!C1241&amp;_DestuffedBits!C1242&amp;_DestuffedBits!C1243&amp;_DestuffedBits!C1244&amp;_DestuffedBits!C1245&amp;_DestuffedBits!C1246&amp;_DestuffedBits!C1247&amp;_DestuffedBits!C1248&amp;_DestuffedBits!C1249</f>
        <v/>
      </c>
      <c r="F141" s="11">
        <f>Fields!J137</f>
        <v/>
      </c>
      <c r="G141" s="11">
        <f>Fields!K137</f>
        <v/>
      </c>
    </row>
    <row r="142">
      <c r="A142" s="11" t="inlineStr">
        <is>
          <t>COMM</t>
        </is>
      </c>
      <c r="B142" s="11" t="inlineStr">
        <is>
          <t>Xband Measured Tx Power</t>
        </is>
      </c>
      <c r="C142" s="11" t="n">
        <v>1120</v>
      </c>
      <c r="D142" s="11" t="n">
        <v>16</v>
      </c>
      <c r="E142" s="12">
        <f>_DestuffedBits!C1250&amp;_DestuffedBits!C1251&amp;_DestuffedBits!C1252&amp;_DestuffedBits!C1253&amp;_DestuffedBits!C1254&amp;_DestuffedBits!C1255&amp;_DestuffedBits!C1256&amp;_DestuffedBits!C1257&amp;_DestuffedBits!C1258&amp;_DestuffedBits!C1259&amp;_DestuffedBits!C1260&amp;_DestuffedBits!C1261&amp;_DestuffedBits!C1262&amp;_DestuffedBits!C1263&amp;_DestuffedBits!C1264&amp;_DestuffedBits!C1265</f>
        <v/>
      </c>
      <c r="F142" s="11">
        <f>Fields!J138</f>
        <v/>
      </c>
      <c r="G142" s="11">
        <f>Fields!K138</f>
        <v/>
      </c>
    </row>
    <row r="143">
      <c r="A143" s="13" t="inlineStr">
        <is>
          <t>EPS</t>
        </is>
      </c>
      <c r="B143" s="13" t="inlineStr">
        <is>
          <t>EPS SP0 Voltage</t>
        </is>
      </c>
      <c r="C143" s="13" t="n">
        <v>1136</v>
      </c>
      <c r="D143" s="13" t="n">
        <v>16</v>
      </c>
      <c r="E143" s="14">
        <f>_DestuffedBits!C1266&amp;_DestuffedBits!C1267&amp;_DestuffedBits!C1268&amp;_DestuffedBits!C1269&amp;_DestuffedBits!C1270&amp;_DestuffedBits!C1271&amp;_DestuffedBits!C1272&amp;_DestuffedBits!C1273&amp;_DestuffedBits!C1274&amp;_DestuffedBits!C1275&amp;_DestuffedBits!C1276&amp;_DestuffedBits!C1277&amp;_DestuffedBits!C1278&amp;_DestuffedBits!C1279&amp;_DestuffedBits!C1280&amp;_DestuffedBits!C1281</f>
        <v/>
      </c>
      <c r="F143" s="13">
        <f>Fields!J139</f>
        <v/>
      </c>
      <c r="G143" s="13">
        <f>Fields!K139</f>
        <v/>
      </c>
    </row>
    <row r="144">
      <c r="A144" s="13" t="inlineStr">
        <is>
          <t>EPS</t>
        </is>
      </c>
      <c r="B144" s="13" t="inlineStr">
        <is>
          <t>EPS SP1 Voltage</t>
        </is>
      </c>
      <c r="C144" s="13" t="n">
        <v>1152</v>
      </c>
      <c r="D144" s="13" t="n">
        <v>16</v>
      </c>
      <c r="E144" s="14">
        <f>_DestuffedBits!C1282&amp;_DestuffedBits!C1283&amp;_DestuffedBits!C1284&amp;_DestuffedBits!C1285&amp;_DestuffedBits!C1286&amp;_DestuffedBits!C1287&amp;_DestuffedBits!C1288&amp;_DestuffedBits!C1289&amp;_DestuffedBits!C1290&amp;_DestuffedBits!C1291&amp;_DestuffedBits!C1292&amp;_DestuffedBits!C1293&amp;_DestuffedBits!C1294&amp;_DestuffedBits!C1295&amp;_DestuffedBits!C1296&amp;_DestuffedBits!C1297</f>
        <v/>
      </c>
      <c r="F144" s="13">
        <f>Fields!J140</f>
        <v/>
      </c>
      <c r="G144" s="13">
        <f>Fields!K140</f>
        <v/>
      </c>
    </row>
    <row r="145">
      <c r="A145" s="13" t="inlineStr">
        <is>
          <t>EPS</t>
        </is>
      </c>
      <c r="B145" s="13" t="inlineStr">
        <is>
          <t>EPS SP2 Voltage</t>
        </is>
      </c>
      <c r="C145" s="13" t="n">
        <v>1168</v>
      </c>
      <c r="D145" s="13" t="n">
        <v>16</v>
      </c>
      <c r="E145" s="14">
        <f>_DestuffedBits!C1298&amp;_DestuffedBits!C1299&amp;_DestuffedBits!C1300&amp;_DestuffedBits!C1301&amp;_DestuffedBits!C1302&amp;_DestuffedBits!C1303&amp;_DestuffedBits!C1304&amp;_DestuffedBits!C1305&amp;_DestuffedBits!C1306&amp;_DestuffedBits!C1307&amp;_DestuffedBits!C1308&amp;_DestuffedBits!C1309&amp;_DestuffedBits!C1310&amp;_DestuffedBits!C1311&amp;_DestuffedBits!C1312&amp;_DestuffedBits!C1313</f>
        <v/>
      </c>
      <c r="F145" s="13">
        <f>Fields!J141</f>
        <v/>
      </c>
      <c r="G145" s="13">
        <f>Fields!K141</f>
        <v/>
      </c>
    </row>
    <row r="146">
      <c r="A146" s="13" t="inlineStr">
        <is>
          <t>EPS</t>
        </is>
      </c>
      <c r="B146" s="13" t="inlineStr">
        <is>
          <t>EPS SP3 Voltage</t>
        </is>
      </c>
      <c r="C146" s="13" t="n">
        <v>1184</v>
      </c>
      <c r="D146" s="13" t="n">
        <v>16</v>
      </c>
      <c r="E146" s="14">
        <f>_DestuffedBits!C1314&amp;_DestuffedBits!C1315&amp;_DestuffedBits!C1316&amp;_DestuffedBits!C1317&amp;_DestuffedBits!C1318&amp;_DestuffedBits!C1319&amp;_DestuffedBits!C1320&amp;_DestuffedBits!C1321&amp;_DestuffedBits!C1322&amp;_DestuffedBits!C1323&amp;_DestuffedBits!C1324&amp;_DestuffedBits!C1325&amp;_DestuffedBits!C1326&amp;_DestuffedBits!C1327&amp;_DestuffedBits!C1328&amp;_DestuffedBits!C1329</f>
        <v/>
      </c>
      <c r="F146" s="13">
        <f>Fields!J142</f>
        <v/>
      </c>
      <c r="G146" s="13">
        <f>Fields!K142</f>
        <v/>
      </c>
    </row>
    <row r="147">
      <c r="A147" s="13" t="inlineStr">
        <is>
          <t>EPS</t>
        </is>
      </c>
      <c r="B147" s="13" t="inlineStr">
        <is>
          <t>EPS SP4 Voltage</t>
        </is>
      </c>
      <c r="C147" s="13" t="n">
        <v>1200</v>
      </c>
      <c r="D147" s="13" t="n">
        <v>16</v>
      </c>
      <c r="E147" s="14">
        <f>_DestuffedBits!C1330&amp;_DestuffedBits!C1331&amp;_DestuffedBits!C1332&amp;_DestuffedBits!C1333&amp;_DestuffedBits!C1334&amp;_DestuffedBits!C1335&amp;_DestuffedBits!C1336&amp;_DestuffedBits!C1337&amp;_DestuffedBits!C1338&amp;_DestuffedBits!C1339&amp;_DestuffedBits!C1340&amp;_DestuffedBits!C1341&amp;_DestuffedBits!C1342&amp;_DestuffedBits!C1343&amp;_DestuffedBits!C1344&amp;_DestuffedBits!C1345</f>
        <v/>
      </c>
      <c r="F147" s="13">
        <f>Fields!J143</f>
        <v/>
      </c>
      <c r="G147" s="13">
        <f>Fields!K143</f>
        <v/>
      </c>
    </row>
    <row r="148">
      <c r="A148" s="13" t="inlineStr">
        <is>
          <t>EPS</t>
        </is>
      </c>
      <c r="B148" s="13" t="inlineStr">
        <is>
          <t>EPS SP0 Current</t>
        </is>
      </c>
      <c r="C148" s="13" t="n">
        <v>1216</v>
      </c>
      <c r="D148" s="13" t="n">
        <v>16</v>
      </c>
      <c r="E148" s="14">
        <f>_DestuffedBits!C1346&amp;_DestuffedBits!C1347&amp;_DestuffedBits!C1348&amp;_DestuffedBits!C1349&amp;_DestuffedBits!C1350&amp;_DestuffedBits!C1351&amp;_DestuffedBits!C1352&amp;_DestuffedBits!C1353&amp;_DestuffedBits!C1354&amp;_DestuffedBits!C1355&amp;_DestuffedBits!C1356&amp;_DestuffedBits!C1357&amp;_DestuffedBits!C1358&amp;_DestuffedBits!C1359&amp;_DestuffedBits!C1360&amp;_DestuffedBits!C1361</f>
        <v/>
      </c>
      <c r="F148" s="13">
        <f>Fields!J144</f>
        <v/>
      </c>
      <c r="G148" s="13">
        <f>Fields!K144</f>
        <v/>
      </c>
    </row>
    <row r="149">
      <c r="A149" s="13" t="inlineStr">
        <is>
          <t>EPS</t>
        </is>
      </c>
      <c r="B149" s="13" t="inlineStr">
        <is>
          <t>EPS SP1 Current</t>
        </is>
      </c>
      <c r="C149" s="13" t="n">
        <v>1232</v>
      </c>
      <c r="D149" s="13" t="n">
        <v>16</v>
      </c>
      <c r="E149" s="14">
        <f>_DestuffedBits!C1362&amp;_DestuffedBits!C1363&amp;_DestuffedBits!C1364&amp;_DestuffedBits!C1365&amp;_DestuffedBits!C1366&amp;_DestuffedBits!C1367&amp;_DestuffedBits!C1368&amp;_DestuffedBits!C1369&amp;_DestuffedBits!C1370&amp;_DestuffedBits!C1371&amp;_DestuffedBits!C1372&amp;_DestuffedBits!C1373&amp;_DestuffedBits!C1374&amp;_DestuffedBits!C1375&amp;_DestuffedBits!C1376&amp;_DestuffedBits!C1377</f>
        <v/>
      </c>
      <c r="F149" s="13">
        <f>Fields!J145</f>
        <v/>
      </c>
      <c r="G149" s="13">
        <f>Fields!K145</f>
        <v/>
      </c>
    </row>
    <row r="150">
      <c r="A150" s="13" t="inlineStr">
        <is>
          <t>EPS</t>
        </is>
      </c>
      <c r="B150" s="13" t="inlineStr">
        <is>
          <t>EPS SP2 Current</t>
        </is>
      </c>
      <c r="C150" s="13" t="n">
        <v>1248</v>
      </c>
      <c r="D150" s="13" t="n">
        <v>16</v>
      </c>
      <c r="E150" s="14">
        <f>_DestuffedBits!C1378&amp;_DestuffedBits!C1379&amp;_DestuffedBits!C1380&amp;_DestuffedBits!C1381&amp;_DestuffedBits!C1382&amp;_DestuffedBits!C1383&amp;_DestuffedBits!C1384&amp;_DestuffedBits!C1385&amp;_DestuffedBits!C1386&amp;_DestuffedBits!C1387&amp;_DestuffedBits!C1388&amp;_DestuffedBits!C1389&amp;_DestuffedBits!C1390&amp;_DestuffedBits!C1391&amp;_DestuffedBits!C1392&amp;_DestuffedBits!C1393</f>
        <v/>
      </c>
      <c r="F150" s="13">
        <f>Fields!J146</f>
        <v/>
      </c>
      <c r="G150" s="13">
        <f>Fields!K146</f>
        <v/>
      </c>
    </row>
    <row r="151">
      <c r="A151" s="13" t="inlineStr">
        <is>
          <t>EPS</t>
        </is>
      </c>
      <c r="B151" s="13" t="inlineStr">
        <is>
          <t>EPS SP3 Current</t>
        </is>
      </c>
      <c r="C151" s="13" t="n">
        <v>1264</v>
      </c>
      <c r="D151" s="13" t="n">
        <v>16</v>
      </c>
      <c r="E151" s="14">
        <f>_DestuffedBits!C1394&amp;_DestuffedBits!C1395&amp;_DestuffedBits!C1396&amp;_DestuffedBits!C1397&amp;_DestuffedBits!C1398&amp;_DestuffedBits!C1399&amp;_DestuffedBits!C1400&amp;_DestuffedBits!C1401&amp;_DestuffedBits!C1402&amp;_DestuffedBits!C1403&amp;_DestuffedBits!C1404&amp;_DestuffedBits!C1405&amp;_DestuffedBits!C1406&amp;_DestuffedBits!C1407&amp;_DestuffedBits!C1408&amp;_DestuffedBits!C1409</f>
        <v/>
      </c>
      <c r="F151" s="13">
        <f>Fields!J147</f>
        <v/>
      </c>
      <c r="G151" s="13">
        <f>Fields!K147</f>
        <v/>
      </c>
    </row>
    <row r="152">
      <c r="A152" s="13" t="inlineStr">
        <is>
          <t>EPS</t>
        </is>
      </c>
      <c r="B152" s="13" t="inlineStr">
        <is>
          <t>EPS SP4 Current</t>
        </is>
      </c>
      <c r="C152" s="13" t="n">
        <v>1280</v>
      </c>
      <c r="D152" s="13" t="n">
        <v>16</v>
      </c>
      <c r="E152" s="14">
        <f>_DestuffedBits!C1410&amp;_DestuffedBits!C1411&amp;_DestuffedBits!C1412&amp;_DestuffedBits!C1413&amp;_DestuffedBits!C1414&amp;_DestuffedBits!C1415&amp;_DestuffedBits!C1416&amp;_DestuffedBits!C1417&amp;_DestuffedBits!C1418&amp;_DestuffedBits!C1419&amp;_DestuffedBits!C1420&amp;_DestuffedBits!C1421&amp;_DestuffedBits!C1422&amp;_DestuffedBits!C1423&amp;_DestuffedBits!C1424&amp;_DestuffedBits!C1425</f>
        <v/>
      </c>
      <c r="F152" s="13">
        <f>Fields!J148</f>
        <v/>
      </c>
      <c r="G152" s="13">
        <f>Fields!K148</f>
        <v/>
      </c>
    </row>
    <row r="153">
      <c r="A153" s="13" t="inlineStr">
        <is>
          <t>EPS</t>
        </is>
      </c>
      <c r="B153" s="13" t="inlineStr">
        <is>
          <t>EPS Battery Voltage</t>
        </is>
      </c>
      <c r="C153" s="13" t="n">
        <v>1296</v>
      </c>
      <c r="D153" s="13" t="n">
        <v>16</v>
      </c>
      <c r="E153" s="14">
        <f>_DestuffedBits!C1426&amp;_DestuffedBits!C1427&amp;_DestuffedBits!C1428&amp;_DestuffedBits!C1429&amp;_DestuffedBits!C1430&amp;_DestuffedBits!C1431&amp;_DestuffedBits!C1432&amp;_DestuffedBits!C1433&amp;_DestuffedBits!C1434&amp;_DestuffedBits!C1435&amp;_DestuffedBits!C1436&amp;_DestuffedBits!C1437&amp;_DestuffedBits!C1438&amp;_DestuffedBits!C1439&amp;_DestuffedBits!C1440&amp;_DestuffedBits!C1441</f>
        <v/>
      </c>
      <c r="F153" s="13">
        <f>Fields!J149</f>
        <v/>
      </c>
      <c r="G153" s="13">
        <f>Fields!K149</f>
        <v/>
      </c>
    </row>
    <row r="154">
      <c r="A154" s="13" t="inlineStr">
        <is>
          <t>EPS</t>
        </is>
      </c>
      <c r="B154" s="13" t="inlineStr">
        <is>
          <t>EPS Battery Current</t>
        </is>
      </c>
      <c r="C154" s="13" t="n">
        <v>1312</v>
      </c>
      <c r="D154" s="13" t="n">
        <v>16</v>
      </c>
      <c r="E154" s="14">
        <f>_DestuffedBits!C1442&amp;_DestuffedBits!C1443&amp;_DestuffedBits!C1444&amp;_DestuffedBits!C1445&amp;_DestuffedBits!C1446&amp;_DestuffedBits!C1447&amp;_DestuffedBits!C1448&amp;_DestuffedBits!C1449&amp;_DestuffedBits!C1450&amp;_DestuffedBits!C1451&amp;_DestuffedBits!C1452&amp;_DestuffedBits!C1453&amp;_DestuffedBits!C1454&amp;_DestuffedBits!C1455&amp;_DestuffedBits!C1456&amp;_DestuffedBits!C1457</f>
        <v/>
      </c>
      <c r="F154" s="13">
        <f>Fields!J150</f>
        <v/>
      </c>
      <c r="G154" s="13">
        <f>Fields!K150</f>
        <v/>
      </c>
    </row>
    <row r="155">
      <c r="A155" s="13" t="inlineStr">
        <is>
          <t>EPS</t>
        </is>
      </c>
      <c r="B155" s="13" t="inlineStr">
        <is>
          <t>EPS main Battery Voltage</t>
        </is>
      </c>
      <c r="C155" s="13" t="n">
        <v>1328</v>
      </c>
      <c r="D155" s="13" t="n">
        <v>16</v>
      </c>
      <c r="E155" s="14">
        <f>_DestuffedBits!C1458&amp;_DestuffedBits!C1459&amp;_DestuffedBits!C1460&amp;_DestuffedBits!C1461&amp;_DestuffedBits!C1462&amp;_DestuffedBits!C1463&amp;_DestuffedBits!C1464&amp;_DestuffedBits!C1465&amp;_DestuffedBits!C1466&amp;_DestuffedBits!C1467&amp;_DestuffedBits!C1468&amp;_DestuffedBits!C1469&amp;_DestuffedBits!C1470&amp;_DestuffedBits!C1471&amp;_DestuffedBits!C1472&amp;_DestuffedBits!C1473</f>
        <v/>
      </c>
      <c r="F155" s="13">
        <f>Fields!J151</f>
        <v/>
      </c>
      <c r="G155" s="13">
        <f>Fields!K151</f>
        <v/>
      </c>
    </row>
    <row r="156">
      <c r="A156" s="13" t="inlineStr">
        <is>
          <t>EPS</t>
        </is>
      </c>
      <c r="B156" s="13" t="inlineStr">
        <is>
          <t>EPS main Battery Current</t>
        </is>
      </c>
      <c r="C156" s="13" t="n">
        <v>1344</v>
      </c>
      <c r="D156" s="13" t="n">
        <v>16</v>
      </c>
      <c r="E156" s="14">
        <f>_DestuffedBits!C1474&amp;_DestuffedBits!C1475&amp;_DestuffedBits!C1476&amp;_DestuffedBits!C1477&amp;_DestuffedBits!C1478&amp;_DestuffedBits!C1479&amp;_DestuffedBits!C1480&amp;_DestuffedBits!C1481&amp;_DestuffedBits!C1482&amp;_DestuffedBits!C1483&amp;_DestuffedBits!C1484&amp;_DestuffedBits!C1485&amp;_DestuffedBits!C1486&amp;_DestuffedBits!C1487&amp;_DestuffedBits!C1488&amp;_DestuffedBits!C1489</f>
        <v/>
      </c>
      <c r="F156" s="13">
        <f>Fields!J152</f>
        <v/>
      </c>
      <c r="G156" s="13">
        <f>Fields!K152</f>
        <v/>
      </c>
    </row>
    <row r="157">
      <c r="A157" s="13" t="inlineStr">
        <is>
          <t>EPS</t>
        </is>
      </c>
      <c r="B157" s="13" t="inlineStr">
        <is>
          <t>EPS main SOC</t>
        </is>
      </c>
      <c r="C157" s="13" t="n">
        <v>1360</v>
      </c>
      <c r="D157" s="13" t="n">
        <v>16</v>
      </c>
      <c r="E157" s="14">
        <f>_DestuffedBits!C1490&amp;_DestuffedBits!C1491&amp;_DestuffedBits!C1492&amp;_DestuffedBits!C1493&amp;_DestuffedBits!C1494&amp;_DestuffedBits!C1495&amp;_DestuffedBits!C1496&amp;_DestuffedBits!C1497&amp;_DestuffedBits!C1498&amp;_DestuffedBits!C1499&amp;_DestuffedBits!C1500&amp;_DestuffedBits!C1501&amp;_DestuffedBits!C1502&amp;_DestuffedBits!C1503&amp;_DestuffedBits!C1504&amp;_DestuffedBits!C1505</f>
        <v/>
      </c>
      <c r="F157" s="13">
        <f>Fields!J153</f>
        <v/>
      </c>
      <c r="G157" s="13">
        <f>Fields!K153</f>
        <v/>
      </c>
    </row>
    <row r="158">
      <c r="A158" s="13" t="inlineStr">
        <is>
          <t>EPS</t>
        </is>
      </c>
      <c r="B158" s="13" t="inlineStr">
        <is>
          <t>EPS Battery Temperature 1</t>
        </is>
      </c>
      <c r="C158" s="13" t="n">
        <v>1376</v>
      </c>
      <c r="D158" s="13" t="n">
        <v>8</v>
      </c>
      <c r="E158" s="14">
        <f>_DestuffedBits!C1506&amp;_DestuffedBits!C1507&amp;_DestuffedBits!C1508&amp;_DestuffedBits!C1509&amp;_DestuffedBits!C1510&amp;_DestuffedBits!C1511&amp;_DestuffedBits!C1512&amp;_DestuffedBits!C1513</f>
        <v/>
      </c>
      <c r="F158" s="13">
        <f>Fields!J154</f>
        <v/>
      </c>
      <c r="G158" s="13">
        <f>Fields!K154</f>
        <v/>
      </c>
    </row>
    <row r="159">
      <c r="A159" s="13" t="inlineStr">
        <is>
          <t>EPS</t>
        </is>
      </c>
      <c r="B159" s="13" t="inlineStr">
        <is>
          <t>EPS Battery Temperature 2</t>
        </is>
      </c>
      <c r="C159" s="13" t="n">
        <v>1384</v>
      </c>
      <c r="D159" s="13" t="n">
        <v>8</v>
      </c>
      <c r="E159" s="14">
        <f>_DestuffedBits!C1514&amp;_DestuffedBits!C1515&amp;_DestuffedBits!C1516&amp;_DestuffedBits!C1517&amp;_DestuffedBits!C1518&amp;_DestuffedBits!C1519&amp;_DestuffedBits!C1520&amp;_DestuffedBits!C1521</f>
        <v/>
      </c>
      <c r="F159" s="13">
        <f>Fields!J155</f>
        <v/>
      </c>
      <c r="G159" s="13">
        <f>Fields!K155</f>
        <v/>
      </c>
    </row>
    <row r="160">
      <c r="A160" s="13" t="inlineStr">
        <is>
          <t>EPS</t>
        </is>
      </c>
      <c r="B160" s="13" t="inlineStr">
        <is>
          <t>EPS Battery Temperature 3</t>
        </is>
      </c>
      <c r="C160" s="13" t="n">
        <v>1392</v>
      </c>
      <c r="D160" s="13" t="n">
        <v>8</v>
      </c>
      <c r="E160" s="14">
        <f>_DestuffedBits!C1522&amp;_DestuffedBits!C1523&amp;_DestuffedBits!C1524&amp;_DestuffedBits!C1525&amp;_DestuffedBits!C1526&amp;_DestuffedBits!C1527&amp;_DestuffedBits!C1528&amp;_DestuffedBits!C1529</f>
        <v/>
      </c>
      <c r="F160" s="13">
        <f>Fields!J156</f>
        <v/>
      </c>
      <c r="G160" s="13">
        <f>Fields!K156</f>
        <v/>
      </c>
    </row>
    <row r="161">
      <c r="A161" s="13" t="inlineStr">
        <is>
          <t>EPS</t>
        </is>
      </c>
      <c r="B161" s="13" t="inlineStr">
        <is>
          <t>EPS SP0 Temperature</t>
        </is>
      </c>
      <c r="C161" s="13" t="n">
        <v>1400</v>
      </c>
      <c r="D161" s="13" t="n">
        <v>8</v>
      </c>
      <c r="E161" s="14">
        <f>_DestuffedBits!C1530&amp;_DestuffedBits!C1531&amp;_DestuffedBits!C1532&amp;_DestuffedBits!C1533&amp;_DestuffedBits!C1534&amp;_DestuffedBits!C1535&amp;_DestuffedBits!C1536&amp;_DestuffedBits!C1537</f>
        <v/>
      </c>
      <c r="F161" s="13">
        <f>Fields!J157</f>
        <v/>
      </c>
      <c r="G161" s="13">
        <f>Fields!K157</f>
        <v/>
      </c>
    </row>
    <row r="162">
      <c r="A162" s="13" t="inlineStr">
        <is>
          <t>EPS</t>
        </is>
      </c>
      <c r="B162" s="13" t="inlineStr">
        <is>
          <t>EPS SP1 Temperature</t>
        </is>
      </c>
      <c r="C162" s="13" t="n">
        <v>1408</v>
      </c>
      <c r="D162" s="13" t="n">
        <v>8</v>
      </c>
      <c r="E162" s="14">
        <f>_DestuffedBits!C1538&amp;_DestuffedBits!C1539&amp;_DestuffedBits!C1540&amp;_DestuffedBits!C1541&amp;_DestuffedBits!C1542&amp;_DestuffedBits!C1543&amp;_DestuffedBits!C1544&amp;_DestuffedBits!C1545</f>
        <v/>
      </c>
      <c r="F162" s="13">
        <f>Fields!J158</f>
        <v/>
      </c>
      <c r="G162" s="13">
        <f>Fields!K158</f>
        <v/>
      </c>
    </row>
    <row r="163">
      <c r="A163" s="13" t="inlineStr">
        <is>
          <t>EPS</t>
        </is>
      </c>
      <c r="B163" s="13" t="inlineStr">
        <is>
          <t>EPS SP2 Temperature</t>
        </is>
      </c>
      <c r="C163" s="13" t="n">
        <v>1416</v>
      </c>
      <c r="D163" s="13" t="n">
        <v>8</v>
      </c>
      <c r="E163" s="14">
        <f>_DestuffedBits!C1546&amp;_DestuffedBits!C1547&amp;_DestuffedBits!C1548&amp;_DestuffedBits!C1549&amp;_DestuffedBits!C1550&amp;_DestuffedBits!C1551&amp;_DestuffedBits!C1552&amp;_DestuffedBits!C1553</f>
        <v/>
      </c>
      <c r="F163" s="13">
        <f>Fields!J159</f>
        <v/>
      </c>
      <c r="G163" s="13">
        <f>Fields!K159</f>
        <v/>
      </c>
    </row>
    <row r="164">
      <c r="A164" s="13" t="inlineStr">
        <is>
          <t>EPS</t>
        </is>
      </c>
      <c r="B164" s="13" t="inlineStr">
        <is>
          <t>EPS SP3 Temperature</t>
        </is>
      </c>
      <c r="C164" s="13" t="n">
        <v>1424</v>
      </c>
      <c r="D164" s="13" t="n">
        <v>8</v>
      </c>
      <c r="E164" s="14">
        <f>_DestuffedBits!C1554&amp;_DestuffedBits!C1555&amp;_DestuffedBits!C1556&amp;_DestuffedBits!C1557&amp;_DestuffedBits!C1558&amp;_DestuffedBits!C1559&amp;_DestuffedBits!C1560&amp;_DestuffedBits!C1561</f>
        <v/>
      </c>
      <c r="F164" s="13">
        <f>Fields!J160</f>
        <v/>
      </c>
      <c r="G164" s="13">
        <f>Fields!K160</f>
        <v/>
      </c>
    </row>
    <row r="165">
      <c r="A165" s="13" t="inlineStr">
        <is>
          <t>EPS</t>
        </is>
      </c>
      <c r="B165" s="13" t="inlineStr">
        <is>
          <t>EPS SP4 Temperature</t>
        </is>
      </c>
      <c r="C165" s="13" t="n">
        <v>1432</v>
      </c>
      <c r="D165" s="13" t="n">
        <v>8</v>
      </c>
      <c r="E165" s="14">
        <f>_DestuffedBits!C1562&amp;_DestuffedBits!C1563&amp;_DestuffedBits!C1564&amp;_DestuffedBits!C1565&amp;_DestuffedBits!C1566&amp;_DestuffedBits!C1567&amp;_DestuffedBits!C1568&amp;_DestuffedBits!C1569</f>
        <v/>
      </c>
      <c r="F165" s="13">
        <f>Fields!J161</f>
        <v/>
      </c>
      <c r="G165" s="13">
        <f>Fields!K161</f>
        <v/>
      </c>
    </row>
    <row r="166">
      <c r="A166" s="13" t="inlineStr">
        <is>
          <t>EPS</t>
        </is>
      </c>
      <c r="B166" s="13" t="inlineStr">
        <is>
          <t>EPS main Board Temperature</t>
        </is>
      </c>
      <c r="C166" s="13" t="n">
        <v>1440</v>
      </c>
      <c r="D166" s="13" t="n">
        <v>8</v>
      </c>
      <c r="E166" s="14">
        <f>_DestuffedBits!C1570&amp;_DestuffedBits!C1571&amp;_DestuffedBits!C1572&amp;_DestuffedBits!C1573&amp;_DestuffedBits!C1574&amp;_DestuffedBits!C1575&amp;_DestuffedBits!C1576&amp;_DestuffedBits!C1577</f>
        <v/>
      </c>
      <c r="F166" s="13">
        <f>Fields!J162</f>
        <v/>
      </c>
      <c r="G166" s="13">
        <f>Fields!K162</f>
        <v/>
      </c>
    </row>
    <row r="167">
      <c r="A167" s="13" t="inlineStr">
        <is>
          <t>EPS</t>
        </is>
      </c>
      <c r="B167" s="13" t="inlineStr">
        <is>
          <t>EPS Distribution Board Temperature</t>
        </is>
      </c>
      <c r="C167" s="13" t="n">
        <v>1448</v>
      </c>
      <c r="D167" s="13" t="n">
        <v>8</v>
      </c>
      <c r="E167" s="14">
        <f>_DestuffedBits!C1578&amp;_DestuffedBits!C1579&amp;_DestuffedBits!C1580&amp;_DestuffedBits!C1581&amp;_DestuffedBits!C1582&amp;_DestuffedBits!C1583&amp;_DestuffedBits!C1584&amp;_DestuffedBits!C1585</f>
        <v/>
      </c>
      <c r="F167" s="13">
        <f>Fields!J163</f>
        <v/>
      </c>
      <c r="G167" s="13">
        <f>Fields!K163</f>
        <v/>
      </c>
    </row>
    <row r="168">
      <c r="A168" s="13" t="inlineStr">
        <is>
          <t>EPS</t>
        </is>
      </c>
      <c r="B168" s="13" t="inlineStr">
        <is>
          <t>EPS CDH3V3 Temperature</t>
        </is>
      </c>
      <c r="C168" s="13" t="n">
        <v>1456</v>
      </c>
      <c r="D168" s="13" t="n">
        <v>8</v>
      </c>
      <c r="E168" s="14">
        <f>_DestuffedBits!C1586&amp;_DestuffedBits!C1587&amp;_DestuffedBits!C1588&amp;_DestuffedBits!C1589&amp;_DestuffedBits!C1590&amp;_DestuffedBits!C1591&amp;_DestuffedBits!C1592&amp;_DestuffedBits!C1593</f>
        <v/>
      </c>
      <c r="F168" s="13">
        <f>Fields!J164</f>
        <v/>
      </c>
      <c r="G168" s="13">
        <f>Fields!K164</f>
        <v/>
      </c>
    </row>
    <row r="169">
      <c r="A169" s="13" t="inlineStr">
        <is>
          <t>EPS</t>
        </is>
      </c>
      <c r="B169" s="13" t="inlineStr">
        <is>
          <t>EPS CDH3V3 Voltage</t>
        </is>
      </c>
      <c r="C169" s="13" t="n">
        <v>1464</v>
      </c>
      <c r="D169" s="13" t="n">
        <v>16</v>
      </c>
      <c r="E169" s="14">
        <f>_DestuffedBits!C1594&amp;_DestuffedBits!C1595&amp;_DestuffedBits!C1596&amp;_DestuffedBits!C1597&amp;_DestuffedBits!C1598&amp;_DestuffedBits!C1599&amp;_DestuffedBits!C1600&amp;_DestuffedBits!C1601&amp;_DestuffedBits!C1602&amp;_DestuffedBits!C1603&amp;_DestuffedBits!C1604&amp;_DestuffedBits!C1605&amp;_DestuffedBits!C1606&amp;_DestuffedBits!C1607&amp;_DestuffedBits!C1608&amp;_DestuffedBits!C1609</f>
        <v/>
      </c>
      <c r="F169" s="13">
        <f>Fields!J165</f>
        <v/>
      </c>
      <c r="G169" s="13">
        <f>Fields!K165</f>
        <v/>
      </c>
    </row>
    <row r="170">
      <c r="A170" s="13" t="inlineStr">
        <is>
          <t>EPS</t>
        </is>
      </c>
      <c r="B170" s="13" t="inlineStr">
        <is>
          <t>EPS CDH3V3 Current</t>
        </is>
      </c>
      <c r="C170" s="13" t="n">
        <v>1480</v>
      </c>
      <c r="D170" s="13" t="n">
        <v>16</v>
      </c>
      <c r="E170" s="14">
        <f>_DestuffedBits!C1610&amp;_DestuffedBits!C1611&amp;_DestuffedBits!C1612&amp;_DestuffedBits!C1613&amp;_DestuffedBits!C1614&amp;_DestuffedBits!C1615&amp;_DestuffedBits!C1616&amp;_DestuffedBits!C1617&amp;_DestuffedBits!C1618&amp;_DestuffedBits!C1619&amp;_DestuffedBits!C1620&amp;_DestuffedBits!C1621&amp;_DestuffedBits!C1622&amp;_DestuffedBits!C1623&amp;_DestuffedBits!C1624&amp;_DestuffedBits!C1625</f>
        <v/>
      </c>
      <c r="F170" s="13">
        <f>Fields!J166</f>
        <v/>
      </c>
      <c r="G170" s="13">
        <f>Fields!K166</f>
        <v/>
      </c>
    </row>
    <row r="171">
      <c r="A171" s="13" t="inlineStr">
        <is>
          <t>EPS</t>
        </is>
      </c>
      <c r="B171" s="13" t="inlineStr">
        <is>
          <t>EPS UHF7V Voltage</t>
        </is>
      </c>
      <c r="C171" s="13" t="n">
        <v>1496</v>
      </c>
      <c r="D171" s="13" t="n">
        <v>16</v>
      </c>
      <c r="E171" s="14">
        <f>_DestuffedBits!C1626&amp;_DestuffedBits!C1627&amp;_DestuffedBits!C1628&amp;_DestuffedBits!C1629&amp;_DestuffedBits!C1630&amp;_DestuffedBits!C1631&amp;_DestuffedBits!C1632&amp;_DestuffedBits!C1633&amp;_DestuffedBits!C1634&amp;_DestuffedBits!C1635&amp;_DestuffedBits!C1636&amp;_DestuffedBits!C1637&amp;_DestuffedBits!C1638&amp;_DestuffedBits!C1639&amp;_DestuffedBits!C1640&amp;_DestuffedBits!C1641</f>
        <v/>
      </c>
      <c r="F171" s="13">
        <f>Fields!J167</f>
        <v/>
      </c>
      <c r="G171" s="13">
        <f>Fields!K167</f>
        <v/>
      </c>
    </row>
    <row r="172">
      <c r="A172" s="9" t="inlineStr">
        <is>
          <t>EPS</t>
        </is>
      </c>
      <c r="B172" s="9" t="inlineStr">
        <is>
          <t>EPS UHF7V Current</t>
        </is>
      </c>
      <c r="C172" s="9" t="n">
        <v>1512</v>
      </c>
      <c r="D172" s="9" t="n">
        <v>16</v>
      </c>
      <c r="E172" s="10">
        <f>_DestuffedBits!C1642&amp;_DestuffedBits!C1643&amp;_DestuffedBits!C1644&amp;_DestuffedBits!C1645&amp;_DestuffedBits!C1646&amp;_DestuffedBits!C1647&amp;_DestuffedBits!C1648&amp;_DestuffedBits!C1649&amp;_DestuffedBits!C1650&amp;_DestuffedBits!C1651&amp;_DestuffedBits!C1652&amp;_DestuffedBits!C1653&amp;_DestuffedBits!C1654&amp;_DestuffedBits!C1655&amp;_DestuffedBits!C1656&amp;_DestuffedBits!C1657</f>
        <v/>
      </c>
      <c r="F172" s="9">
        <f>Fields!J168</f>
        <v/>
      </c>
      <c r="G172" s="9">
        <f>Fields!K168</f>
        <v/>
      </c>
    </row>
    <row r="173">
      <c r="A173" s="15" t="inlineStr">
        <is>
          <t>EPS</t>
        </is>
      </c>
      <c r="B173" s="15" t="inlineStr">
        <is>
          <t>EPS H-SCAN5V Voltage</t>
        </is>
      </c>
      <c r="C173" s="15" t="n">
        <v>1528</v>
      </c>
      <c r="D173" s="15" t="n">
        <v>16</v>
      </c>
      <c r="E173" s="16">
        <f>_DestuffedBits!C1658&amp;_DestuffedBits!C1659&amp;_DestuffedBits!C1660&amp;_DestuffedBits!C1661&amp;_DestuffedBits!C1662&amp;_DestuffedBits!C1663&amp;_DestuffedBits!C1664&amp;_DestuffedBits!C1665&amp;_DestuffedBits!C1666&amp;_DestuffedBits!C1667&amp;_DestuffedBits!C1668&amp;_DestuffedBits!C1669&amp;_DestuffedBits!C1670&amp;_DestuffedBits!C1671&amp;_DestuffedBits!C1672&amp;_DestuffedBits!C1673</f>
        <v/>
      </c>
      <c r="F173" s="15">
        <f>Fields!J169</f>
        <v/>
      </c>
      <c r="G173" s="15">
        <f>Fields!K169</f>
        <v/>
      </c>
    </row>
    <row r="174">
      <c r="A174" s="15" t="inlineStr">
        <is>
          <t>EPS</t>
        </is>
      </c>
      <c r="B174" s="15" t="inlineStr">
        <is>
          <t>EPS H-SCAN5V Current</t>
        </is>
      </c>
      <c r="C174" s="15" t="n">
        <v>1544</v>
      </c>
      <c r="D174" s="15" t="n">
        <v>16</v>
      </c>
      <c r="E174" s="16">
        <f>_DestuffedBits!C1674&amp;_DestuffedBits!C1675&amp;_DestuffedBits!C1676&amp;_DestuffedBits!C1677&amp;_DestuffedBits!C1678&amp;_DestuffedBits!C1679&amp;_DestuffedBits!C1680&amp;_DestuffedBits!C1681&amp;_DestuffedBits!C1682&amp;_DestuffedBits!C1683&amp;_DestuffedBits!C1684&amp;_DestuffedBits!C1685&amp;_DestuffedBits!C1686&amp;_DestuffedBits!C1687&amp;_DestuffedBits!C1688&amp;_DestuffedBits!C1689</f>
        <v/>
      </c>
      <c r="F174" s="15">
        <f>Fields!J170</f>
        <v/>
      </c>
      <c r="G174" s="15">
        <f>Fields!K170</f>
        <v/>
      </c>
    </row>
    <row r="175">
      <c r="A175" s="15" t="inlineStr">
        <is>
          <t>EPS</t>
        </is>
      </c>
      <c r="B175" s="15" t="inlineStr">
        <is>
          <t>EPS ADCS5V Voltage</t>
        </is>
      </c>
      <c r="C175" s="15" t="n">
        <v>1560</v>
      </c>
      <c r="D175" s="15" t="n">
        <v>16</v>
      </c>
      <c r="E175" s="16">
        <f>_DestuffedBits!C1690&amp;_DestuffedBits!C1691&amp;_DestuffedBits!C1692&amp;_DestuffedBits!C1693&amp;_DestuffedBits!C1694&amp;_DestuffedBits!C1695&amp;_DestuffedBits!C1696&amp;_DestuffedBits!C1697&amp;_DestuffedBits!C1698&amp;_DestuffedBits!C1699&amp;_DestuffedBits!C1700&amp;_DestuffedBits!C1701&amp;_DestuffedBits!C1702&amp;_DestuffedBits!C1703&amp;_DestuffedBits!C1704&amp;_DestuffedBits!C1705</f>
        <v/>
      </c>
      <c r="F175" s="15">
        <f>Fields!J171</f>
        <v/>
      </c>
      <c r="G175" s="15">
        <f>Fields!K171</f>
        <v/>
      </c>
    </row>
    <row r="176">
      <c r="A176" s="15" t="inlineStr">
        <is>
          <t>EPS</t>
        </is>
      </c>
      <c r="B176" s="15" t="inlineStr">
        <is>
          <t>EPS ADCS5V Current</t>
        </is>
      </c>
      <c r="C176" s="15" t="n">
        <v>1576</v>
      </c>
      <c r="D176" s="15" t="n">
        <v>16</v>
      </c>
      <c r="E176" s="16">
        <f>_DestuffedBits!C1706&amp;_DestuffedBits!C1707&amp;_DestuffedBits!C1708&amp;_DestuffedBits!C1709&amp;_DestuffedBits!C1710&amp;_DestuffedBits!C1711&amp;_DestuffedBits!C1712&amp;_DestuffedBits!C1713&amp;_DestuffedBits!C1714&amp;_DestuffedBits!C1715&amp;_DestuffedBits!C1716&amp;_DestuffedBits!C1717&amp;_DestuffedBits!C1718&amp;_DestuffedBits!C1719&amp;_DestuffedBits!C1720&amp;_DestuffedBits!C1721</f>
        <v/>
      </c>
      <c r="F176" s="15">
        <f>Fields!J172</f>
        <v/>
      </c>
      <c r="G176" s="15">
        <f>Fields!K172</f>
        <v/>
      </c>
    </row>
    <row r="177">
      <c r="A177" s="15" t="inlineStr">
        <is>
          <t>EPS</t>
        </is>
      </c>
      <c r="B177" s="15" t="inlineStr">
        <is>
          <t>EPS ADCS12V Voltage</t>
        </is>
      </c>
      <c r="C177" s="15" t="n">
        <v>1592</v>
      </c>
      <c r="D177" s="15" t="n">
        <v>16</v>
      </c>
      <c r="E177" s="16">
        <f>_DestuffedBits!C1722&amp;_DestuffedBits!C1723&amp;_DestuffedBits!C1724&amp;_DestuffedBits!C1725&amp;_DestuffedBits!C1726&amp;_DestuffedBits!C1727&amp;_DestuffedBits!C1728&amp;_DestuffedBits!C1729&amp;_DestuffedBits!C1730&amp;_DestuffedBits!C1731&amp;_DestuffedBits!C1732&amp;_DestuffedBits!C1733&amp;_DestuffedBits!C1734&amp;_DestuffedBits!C1735&amp;_DestuffedBits!C1736&amp;_DestuffedBits!C1737</f>
        <v/>
      </c>
      <c r="F177" s="15">
        <f>Fields!J173</f>
        <v/>
      </c>
      <c r="G177" s="15">
        <f>Fields!K173</f>
        <v/>
      </c>
    </row>
    <row r="178">
      <c r="A178" s="15" t="inlineStr">
        <is>
          <t>EPS</t>
        </is>
      </c>
      <c r="B178" s="15" t="inlineStr">
        <is>
          <t>EPS ADCS12V Current</t>
        </is>
      </c>
      <c r="C178" s="15" t="n">
        <v>1608</v>
      </c>
      <c r="D178" s="15" t="n">
        <v>16</v>
      </c>
      <c r="E178" s="16">
        <f>_DestuffedBits!C1738&amp;_DestuffedBits!C1739&amp;_DestuffedBits!C1740&amp;_DestuffedBits!C1741&amp;_DestuffedBits!C1742&amp;_DestuffedBits!C1743&amp;_DestuffedBits!C1744&amp;_DestuffedBits!C1745&amp;_DestuffedBits!C1746&amp;_DestuffedBits!C1747&amp;_DestuffedBits!C1748&amp;_DestuffedBits!C1749&amp;_DestuffedBits!C1750&amp;_DestuffedBits!C1751&amp;_DestuffedBits!C1752&amp;_DestuffedBits!C1753</f>
        <v/>
      </c>
      <c r="F178" s="15">
        <f>Fields!J174</f>
        <v/>
      </c>
      <c r="G178" s="15">
        <f>Fields!K174</f>
        <v/>
      </c>
    </row>
    <row r="179">
      <c r="A179" s="15" t="inlineStr">
        <is>
          <t>EPS</t>
        </is>
      </c>
      <c r="B179" s="15" t="inlineStr">
        <is>
          <t>EPS ADCS3V3 Voltage</t>
        </is>
      </c>
      <c r="C179" s="15" t="n">
        <v>1624</v>
      </c>
      <c r="D179" s="15" t="n">
        <v>16</v>
      </c>
      <c r="E179" s="16">
        <f>_DestuffedBits!C1754&amp;_DestuffedBits!C1755&amp;_DestuffedBits!C1756&amp;_DestuffedBits!C1757&amp;_DestuffedBits!C1758&amp;_DestuffedBits!C1759&amp;_DestuffedBits!C1760&amp;_DestuffedBits!C1761&amp;_DestuffedBits!C1762&amp;_DestuffedBits!C1763&amp;_DestuffedBits!C1764&amp;_DestuffedBits!C1765&amp;_DestuffedBits!C1766&amp;_DestuffedBits!C1767&amp;_DestuffedBits!C1768&amp;_DestuffedBits!C1769</f>
        <v/>
      </c>
      <c r="F179" s="15">
        <f>Fields!J175</f>
        <v/>
      </c>
      <c r="G179" s="15">
        <f>Fields!K175</f>
        <v/>
      </c>
    </row>
    <row r="180">
      <c r="A180" s="15" t="inlineStr">
        <is>
          <t>EPS</t>
        </is>
      </c>
      <c r="B180" s="15" t="inlineStr">
        <is>
          <t>EPS ADCS3V3 Current</t>
        </is>
      </c>
      <c r="C180" s="15" t="n">
        <v>1640</v>
      </c>
      <c r="D180" s="15" t="n">
        <v>16</v>
      </c>
      <c r="E180" s="16">
        <f>_DestuffedBits!C1770&amp;_DestuffedBits!C1771&amp;_DestuffedBits!C1772&amp;_DestuffedBits!C1773&amp;_DestuffedBits!C1774&amp;_DestuffedBits!C1775&amp;_DestuffedBits!C1776&amp;_DestuffedBits!C1777&amp;_DestuffedBits!C1778&amp;_DestuffedBits!C1779&amp;_DestuffedBits!C1780&amp;_DestuffedBits!C1781&amp;_DestuffedBits!C1782&amp;_DestuffedBits!C1783&amp;_DestuffedBits!C1784&amp;_DestuffedBits!C1785</f>
        <v/>
      </c>
      <c r="F180" s="15">
        <f>Fields!J176</f>
        <v/>
      </c>
      <c r="G180" s="15">
        <f>Fields!K176</f>
        <v/>
      </c>
    </row>
    <row r="181">
      <c r="A181" s="15" t="inlineStr">
        <is>
          <t>EPS</t>
        </is>
      </c>
      <c r="B181" s="15" t="inlineStr">
        <is>
          <t>EPS CIP12V Voltage</t>
        </is>
      </c>
      <c r="C181" s="15" t="n">
        <v>1656</v>
      </c>
      <c r="D181" s="15" t="n">
        <v>16</v>
      </c>
      <c r="E181" s="16">
        <f>_DestuffedBits!C1786&amp;_DestuffedBits!C1787&amp;_DestuffedBits!C1788&amp;_DestuffedBits!C1789&amp;_DestuffedBits!C1790&amp;_DestuffedBits!C1791&amp;_DestuffedBits!C1792&amp;_DestuffedBits!C1793&amp;_DestuffedBits!C1794&amp;_DestuffedBits!C1795&amp;_DestuffedBits!C1796&amp;_DestuffedBits!C1797&amp;_DestuffedBits!C1798&amp;_DestuffedBits!C1799&amp;_DestuffedBits!C1800&amp;_DestuffedBits!C1801</f>
        <v/>
      </c>
      <c r="F181" s="15">
        <f>Fields!J177</f>
        <v/>
      </c>
      <c r="G181" s="15">
        <f>Fields!K177</f>
        <v/>
      </c>
    </row>
    <row r="182">
      <c r="A182" s="15" t="inlineStr">
        <is>
          <t>EPS</t>
        </is>
      </c>
      <c r="B182" s="15" t="inlineStr">
        <is>
          <t>EPS CIP12V Current</t>
        </is>
      </c>
      <c r="C182" s="15" t="n">
        <v>1672</v>
      </c>
      <c r="D182" s="15" t="n">
        <v>16</v>
      </c>
      <c r="E182" s="16">
        <f>_DestuffedBits!C1802&amp;_DestuffedBits!C1803&amp;_DestuffedBits!C1804&amp;_DestuffedBits!C1805&amp;_DestuffedBits!C1806&amp;_DestuffedBits!C1807&amp;_DestuffedBits!C1808&amp;_DestuffedBits!C1809&amp;_DestuffedBits!C1810&amp;_DestuffedBits!C1811&amp;_DestuffedBits!C1812&amp;_DestuffedBits!C1813&amp;_DestuffedBits!C1814&amp;_DestuffedBits!C1815&amp;_DestuffedBits!C1816&amp;_DestuffedBits!C1817</f>
        <v/>
      </c>
      <c r="F182" s="15">
        <f>Fields!J178</f>
        <v/>
      </c>
      <c r="G182" s="15">
        <f>Fields!K178</f>
        <v/>
      </c>
    </row>
    <row r="183">
      <c r="A183" s="15" t="inlineStr">
        <is>
          <t>EPS</t>
        </is>
      </c>
      <c r="B183" s="15" t="inlineStr">
        <is>
          <t>EPS Xband12V Voltage</t>
        </is>
      </c>
      <c r="C183" s="15" t="n">
        <v>1688</v>
      </c>
      <c r="D183" s="15" t="n">
        <v>16</v>
      </c>
      <c r="E183" s="16">
        <f>_DestuffedBits!C1818&amp;_DestuffedBits!C1819&amp;_DestuffedBits!C1820&amp;_DestuffedBits!C1821&amp;_DestuffedBits!C1822&amp;_DestuffedBits!C1823&amp;_DestuffedBits!C1824&amp;_DestuffedBits!C1825&amp;_DestuffedBits!C1826&amp;_DestuffedBits!C1827&amp;_DestuffedBits!C1828&amp;_DestuffedBits!C1829&amp;_DestuffedBits!C1830&amp;_DestuffedBits!C1831&amp;_DestuffedBits!C1832&amp;_DestuffedBits!C1833</f>
        <v/>
      </c>
      <c r="F183" s="15">
        <f>Fields!J179</f>
        <v/>
      </c>
      <c r="G183" s="15">
        <f>Fields!K179</f>
        <v/>
      </c>
    </row>
    <row r="184">
      <c r="A184" s="15" t="inlineStr">
        <is>
          <t>EPS</t>
        </is>
      </c>
      <c r="B184" s="15" t="inlineStr">
        <is>
          <t>EPS Xband12V Current</t>
        </is>
      </c>
      <c r="C184" s="15" t="n">
        <v>1704</v>
      </c>
      <c r="D184" s="15" t="n">
        <v>16</v>
      </c>
      <c r="E184" s="16">
        <f>_DestuffedBits!C1834&amp;_DestuffedBits!C1835&amp;_DestuffedBits!C1836&amp;_DestuffedBits!C1837&amp;_DestuffedBits!C1838&amp;_DestuffedBits!C1839&amp;_DestuffedBits!C1840&amp;_DestuffedBits!C1841&amp;_DestuffedBits!C1842&amp;_DestuffedBits!C1843&amp;_DestuffedBits!C1844&amp;_DestuffedBits!C1845&amp;_DestuffedBits!C1846&amp;_DestuffedBits!C1847&amp;_DestuffedBits!C1848&amp;_DestuffedBits!C1849</f>
        <v/>
      </c>
      <c r="F184" s="15">
        <f>Fields!J180</f>
        <v/>
      </c>
      <c r="G184" s="15">
        <f>Fields!K180</f>
        <v/>
      </c>
    </row>
    <row r="185">
      <c r="A185" s="15" t="inlineStr">
        <is>
          <t>EPS</t>
        </is>
      </c>
      <c r="B185" s="15" t="inlineStr">
        <is>
          <t>EPS SEUV5V Voltage</t>
        </is>
      </c>
      <c r="C185" s="15" t="n">
        <v>1720</v>
      </c>
      <c r="D185" s="15" t="n">
        <v>16</v>
      </c>
      <c r="E185" s="16">
        <f>_DestuffedBits!C1850&amp;_DestuffedBits!C1851&amp;_DestuffedBits!C1852&amp;_DestuffedBits!C1853&amp;_DestuffedBits!C1854&amp;_DestuffedBits!C1855&amp;_DestuffedBits!C1856&amp;_DestuffedBits!C1857&amp;_DestuffedBits!C1858&amp;_DestuffedBits!C1859&amp;_DestuffedBits!C1860&amp;_DestuffedBits!C1861&amp;_DestuffedBits!C1862&amp;_DestuffedBits!C1863&amp;_DestuffedBits!C1864&amp;_DestuffedBits!C1865</f>
        <v/>
      </c>
      <c r="F185" s="15">
        <f>Fields!J181</f>
        <v/>
      </c>
      <c r="G185" s="15">
        <f>Fields!K181</f>
        <v/>
      </c>
    </row>
    <row r="186">
      <c r="A186" s="15" t="inlineStr">
        <is>
          <t>EPS</t>
        </is>
      </c>
      <c r="B186" s="15" t="inlineStr">
        <is>
          <t>EPS SEUV5V Current</t>
        </is>
      </c>
      <c r="C186" s="15" t="n">
        <v>1736</v>
      </c>
      <c r="D186" s="15" t="n">
        <v>16</v>
      </c>
      <c r="E186" s="16">
        <f>_DestuffedBits!C1866&amp;_DestuffedBits!C1867&amp;_DestuffedBits!C1868&amp;_DestuffedBits!C1869&amp;_DestuffedBits!C1870&amp;_DestuffedBits!C1871&amp;_DestuffedBits!C1872&amp;_DestuffedBits!C1873&amp;_DestuffedBits!C1874&amp;_DestuffedBits!C1875&amp;_DestuffedBits!C1876&amp;_DestuffedBits!C1877&amp;_DestuffedBits!C1878&amp;_DestuffedBits!C1879&amp;_DestuffedBits!C1880&amp;_DestuffedBits!C1881</f>
        <v/>
      </c>
      <c r="F186" s="15">
        <f>Fields!J182</f>
        <v/>
      </c>
      <c r="G186" s="15">
        <f>Fields!K182</f>
        <v/>
      </c>
    </row>
    <row r="187">
      <c r="A187" s="15" t="inlineStr">
        <is>
          <t>EPS</t>
        </is>
      </c>
      <c r="B187" s="15" t="inlineStr">
        <is>
          <t>EPS SEUV3V3 Voltage</t>
        </is>
      </c>
      <c r="C187" s="15" t="n">
        <v>1752</v>
      </c>
      <c r="D187" s="15" t="n">
        <v>16</v>
      </c>
      <c r="E187" s="16">
        <f>_DestuffedBits!C1882&amp;_DestuffedBits!C1883&amp;_DestuffedBits!C1884&amp;_DestuffedBits!C1885&amp;_DestuffedBits!C1886&amp;_DestuffedBits!C1887&amp;_DestuffedBits!C1888&amp;_DestuffedBits!C1889&amp;_DestuffedBits!C1890&amp;_DestuffedBits!C1891&amp;_DestuffedBits!C1892&amp;_DestuffedBits!C1893&amp;_DestuffedBits!C1894&amp;_DestuffedBits!C1895&amp;_DestuffedBits!C1896&amp;_DestuffedBits!C1897</f>
        <v/>
      </c>
      <c r="F187" s="15">
        <f>Fields!J183</f>
        <v/>
      </c>
      <c r="G187" s="15">
        <f>Fields!K183</f>
        <v/>
      </c>
    </row>
    <row r="188">
      <c r="A188" s="15" t="inlineStr">
        <is>
          <t>EPS</t>
        </is>
      </c>
      <c r="B188" s="15" t="inlineStr">
        <is>
          <t>EPS SEUV3V3 Current</t>
        </is>
      </c>
      <c r="C188" s="15" t="n">
        <v>1768</v>
      </c>
      <c r="D188" s="15" t="n">
        <v>16</v>
      </c>
      <c r="E188" s="16">
        <f>_DestuffedBits!C1898&amp;_DestuffedBits!C1899&amp;_DestuffedBits!C1900&amp;_DestuffedBits!C1901&amp;_DestuffedBits!C1902&amp;_DestuffedBits!C1903&amp;_DestuffedBits!C1904&amp;_DestuffedBits!C1905&amp;_DestuffedBits!C1906&amp;_DestuffedBits!C1907&amp;_DestuffedBits!C1908&amp;_DestuffedBits!C1909&amp;_DestuffedBits!C1910&amp;_DestuffedBits!C1911&amp;_DestuffedBits!C1912&amp;_DestuffedBits!C1913</f>
        <v/>
      </c>
      <c r="F188" s="15">
        <f>Fields!J184</f>
        <v/>
      </c>
      <c r="G188" s="15">
        <f>Fields!K184</f>
        <v/>
      </c>
    </row>
    <row r="189">
      <c r="A189" s="15" t="inlineStr">
        <is>
          <t>EPS</t>
        </is>
      </c>
      <c r="B189" s="15" t="inlineStr">
        <is>
          <t>EPS APRS5V Voltage</t>
        </is>
      </c>
      <c r="C189" s="15" t="n">
        <v>1784</v>
      </c>
      <c r="D189" s="15" t="n">
        <v>16</v>
      </c>
      <c r="E189" s="16">
        <f>_DestuffedBits!C1914&amp;_DestuffedBits!C1915&amp;_DestuffedBits!C1916&amp;_DestuffedBits!C1917&amp;_DestuffedBits!C1918&amp;_DestuffedBits!C1919&amp;_DestuffedBits!C1920&amp;_DestuffedBits!C1921&amp;_DestuffedBits!C1922&amp;_DestuffedBits!C1923&amp;_DestuffedBits!C1924&amp;_DestuffedBits!C1925&amp;_DestuffedBits!C1926&amp;_DestuffedBits!C1927&amp;_DestuffedBits!C1928&amp;_DestuffedBits!C1929</f>
        <v/>
      </c>
      <c r="F189" s="15">
        <f>Fields!J185</f>
        <v/>
      </c>
      <c r="G189" s="15">
        <f>Fields!K185</f>
        <v/>
      </c>
    </row>
    <row r="190">
      <c r="A190" s="15" t="inlineStr">
        <is>
          <t>EPS</t>
        </is>
      </c>
      <c r="B190" s="15" t="inlineStr">
        <is>
          <t>EPS APRS5V Current</t>
        </is>
      </c>
      <c r="C190" s="15" t="n">
        <v>1800</v>
      </c>
      <c r="D190" s="15" t="n">
        <v>16</v>
      </c>
      <c r="E190" s="16">
        <f>_DestuffedBits!C1930&amp;_DestuffedBits!C1931&amp;_DestuffedBits!C1932&amp;_DestuffedBits!C1933&amp;_DestuffedBits!C1934&amp;_DestuffedBits!C1935&amp;_DestuffedBits!C1936&amp;_DestuffedBits!C1937&amp;_DestuffedBits!C1938&amp;_DestuffedBits!C1939&amp;_DestuffedBits!C1940&amp;_DestuffedBits!C1941&amp;_DestuffedBits!C1942&amp;_DestuffedBits!C1943&amp;_DestuffedBits!C1944&amp;_DestuffedBits!C1945</f>
        <v/>
      </c>
      <c r="F190" s="15">
        <f>Fields!J186</f>
        <v/>
      </c>
      <c r="G190" s="15">
        <f>Fields!K186</f>
        <v/>
      </c>
    </row>
    <row r="191">
      <c r="A191" s="15" t="inlineStr">
        <is>
          <t>Payloads</t>
        </is>
      </c>
      <c r="B191" s="15" t="inlineStr">
        <is>
          <t>CIP Mode</t>
        </is>
      </c>
      <c r="C191" s="15" t="n">
        <v>1816</v>
      </c>
      <c r="D191" s="15" t="n">
        <v>2</v>
      </c>
      <c r="E191" s="16">
        <f>_DestuffedBits!C1946&amp;_DestuffedBits!C1947</f>
        <v/>
      </c>
      <c r="F191" s="15">
        <f>Fields!J187</f>
        <v/>
      </c>
      <c r="G191" s="15">
        <f>Fields!K187</f>
        <v/>
      </c>
    </row>
    <row r="192">
      <c r="A192" s="15" t="inlineStr">
        <is>
          <t>Payloads</t>
        </is>
      </c>
      <c r="B192" s="15" t="inlineStr">
        <is>
          <t>(reserved)</t>
        </is>
      </c>
      <c r="C192" s="15" t="n">
        <v>1818</v>
      </c>
      <c r="D192" s="15" t="n">
        <v>6</v>
      </c>
      <c r="E192" s="16">
        <f>_DestuffedBits!C1948&amp;_DestuffedBits!C1949&amp;_DestuffedBits!C1950&amp;_DestuffedBits!C1951&amp;_DestuffedBits!C1952&amp;_DestuffedBits!C1953</f>
        <v/>
      </c>
      <c r="F192" s="15">
        <f>Fields!J188</f>
        <v/>
      </c>
      <c r="G192" s="15">
        <f>Fields!K188</f>
        <v/>
      </c>
    </row>
    <row r="193">
      <c r="A193" s="15" t="inlineStr">
        <is>
          <t>Payloads</t>
        </is>
      </c>
      <c r="B193" s="15" t="inlineStr">
        <is>
          <t>CIP Temperature 0</t>
        </is>
      </c>
      <c r="C193" s="15" t="n">
        <v>1824</v>
      </c>
      <c r="D193" s="15" t="n">
        <v>16</v>
      </c>
      <c r="E193" s="16">
        <f>_DestuffedBits!C1954&amp;_DestuffedBits!C1955&amp;_DestuffedBits!C1956&amp;_DestuffedBits!C1957&amp;_DestuffedBits!C1958&amp;_DestuffedBits!C1959&amp;_DestuffedBits!C1960&amp;_DestuffedBits!C1961&amp;_DestuffedBits!C1962&amp;_DestuffedBits!C1963&amp;_DestuffedBits!C1964&amp;_DestuffedBits!C1965&amp;_DestuffedBits!C1966&amp;_DestuffedBits!C1967&amp;_DestuffedBits!C1968&amp;_DestuffedBits!C1969</f>
        <v/>
      </c>
      <c r="F193" s="15">
        <f>Fields!J189</f>
        <v/>
      </c>
      <c r="G193" s="15">
        <f>Fields!K189</f>
        <v/>
      </c>
    </row>
    <row r="194">
      <c r="A194" s="15" t="inlineStr">
        <is>
          <t>Payloads</t>
        </is>
      </c>
      <c r="B194" s="15" t="inlineStr">
        <is>
          <t>CIP Temperature 1</t>
        </is>
      </c>
      <c r="C194" s="15" t="n">
        <v>1840</v>
      </c>
      <c r="D194" s="15" t="n">
        <v>16</v>
      </c>
      <c r="E194" s="16">
        <f>_DestuffedBits!C1970&amp;_DestuffedBits!C1971&amp;_DestuffedBits!C1972&amp;_DestuffedBits!C1973&amp;_DestuffedBits!C1974&amp;_DestuffedBits!C1975&amp;_DestuffedBits!C1976&amp;_DestuffedBits!C1977&amp;_DestuffedBits!C1978&amp;_DestuffedBits!C1979&amp;_DestuffedBits!C1980&amp;_DestuffedBits!C1981&amp;_DestuffedBits!C1982&amp;_DestuffedBits!C1983&amp;_DestuffedBits!C1984&amp;_DestuffedBits!C1985</f>
        <v/>
      </c>
      <c r="F194" s="15">
        <f>Fields!J190</f>
        <v/>
      </c>
      <c r="G194" s="15">
        <f>Fields!K190</f>
        <v/>
      </c>
    </row>
    <row r="195">
      <c r="A195" s="15" t="inlineStr">
        <is>
          <t>Payloads</t>
        </is>
      </c>
      <c r="B195" s="15" t="inlineStr">
        <is>
          <t>CIP Temperature 2</t>
        </is>
      </c>
      <c r="C195" s="15" t="n">
        <v>1856</v>
      </c>
      <c r="D195" s="15" t="n">
        <v>16</v>
      </c>
      <c r="E195" s="16">
        <f>_DestuffedBits!C1986&amp;_DestuffedBits!C1987&amp;_DestuffedBits!C1988&amp;_DestuffedBits!C1989&amp;_DestuffedBits!C1990&amp;_DestuffedBits!C1991&amp;_DestuffedBits!C1992&amp;_DestuffedBits!C1993&amp;_DestuffedBits!C1994&amp;_DestuffedBits!C1995&amp;_DestuffedBits!C1996&amp;_DestuffedBits!C1997&amp;_DestuffedBits!C1998&amp;_DestuffedBits!C1999&amp;_DestuffedBits!C2000&amp;_DestuffedBits!C2001</f>
        <v/>
      </c>
      <c r="F195" s="15">
        <f>Fields!J191</f>
        <v/>
      </c>
      <c r="G195" s="15">
        <f>Fields!K191</f>
        <v/>
      </c>
    </row>
    <row r="196">
      <c r="A196" s="15" t="inlineStr">
        <is>
          <t>Payloads</t>
        </is>
      </c>
      <c r="B196" s="15" t="inlineStr">
        <is>
          <t>HyperSCAN Smartfusion2 Current</t>
        </is>
      </c>
      <c r="C196" s="15" t="n">
        <v>1872</v>
      </c>
      <c r="D196" s="15" t="n">
        <v>16</v>
      </c>
      <c r="E196" s="16">
        <f>_DestuffedBits!C2002&amp;_DestuffedBits!C2003&amp;_DestuffedBits!C2004&amp;_DestuffedBits!C2005&amp;_DestuffedBits!C2006&amp;_DestuffedBits!C2007&amp;_DestuffedBits!C2008&amp;_DestuffedBits!C2009&amp;_DestuffedBits!C2010&amp;_DestuffedBits!C2011&amp;_DestuffedBits!C2012&amp;_DestuffedBits!C2013&amp;_DestuffedBits!C2014&amp;_DestuffedBits!C2015&amp;_DestuffedBits!C2016&amp;_DestuffedBits!C2017</f>
        <v/>
      </c>
      <c r="F196" s="15">
        <f>Fields!J192</f>
        <v/>
      </c>
      <c r="G196" s="15">
        <f>Fields!K192</f>
        <v/>
      </c>
    </row>
    <row r="197">
      <c r="A197" s="15" t="inlineStr">
        <is>
          <t>Payloads</t>
        </is>
      </c>
      <c r="B197" s="15" t="inlineStr">
        <is>
          <t>HyperSCAN Smartfusion2 Temperature 1</t>
        </is>
      </c>
      <c r="C197" s="15" t="n">
        <v>1888</v>
      </c>
      <c r="D197" s="15" t="n">
        <v>16</v>
      </c>
      <c r="E197" s="16">
        <f>_DestuffedBits!C2018&amp;_DestuffedBits!C2019&amp;_DestuffedBits!C2020&amp;_DestuffedBits!C2021&amp;_DestuffedBits!C2022&amp;_DestuffedBits!C2023&amp;_DestuffedBits!C2024&amp;_DestuffedBits!C2025&amp;_DestuffedBits!C2026&amp;_DestuffedBits!C2027&amp;_DestuffedBits!C2028&amp;_DestuffedBits!C2029&amp;_DestuffedBits!C2030&amp;_DestuffedBits!C2031&amp;_DestuffedBits!C2032&amp;_DestuffedBits!C2033</f>
        <v/>
      </c>
      <c r="F197" s="15">
        <f>Fields!J193</f>
        <v/>
      </c>
      <c r="G197" s="15">
        <f>Fields!K193</f>
        <v/>
      </c>
    </row>
    <row r="198">
      <c r="A198" s="15" t="inlineStr">
        <is>
          <t>Payloads</t>
        </is>
      </c>
      <c r="B198" s="15" t="inlineStr">
        <is>
          <t>HyperSCAN CMOS Voltage 1</t>
        </is>
      </c>
      <c r="C198" s="15" t="n">
        <v>1904</v>
      </c>
      <c r="D198" s="15" t="n">
        <v>16</v>
      </c>
      <c r="E198" s="16">
        <f>_DestuffedBits!C2034&amp;_DestuffedBits!C2035&amp;_DestuffedBits!C2036&amp;_DestuffedBits!C2037&amp;_DestuffedBits!C2038&amp;_DestuffedBits!C2039&amp;_DestuffedBits!C2040&amp;_DestuffedBits!C2041&amp;_DestuffedBits!C2042&amp;_DestuffedBits!C2043&amp;_DestuffedBits!C2044&amp;_DestuffedBits!C2045&amp;_DestuffedBits!C2046&amp;_DestuffedBits!C2047&amp;_DestuffedBits!C2048&amp;_DestuffedBits!C2049</f>
        <v/>
      </c>
      <c r="F198" s="15">
        <f>Fields!J194</f>
        <v/>
      </c>
      <c r="G198" s="15">
        <f>Fields!K194</f>
        <v/>
      </c>
    </row>
    <row r="199">
      <c r="A199" s="15" t="inlineStr">
        <is>
          <t>Payloads</t>
        </is>
      </c>
      <c r="B199" s="15" t="inlineStr">
        <is>
          <t>HyperSCAN CMOS Voltage 2</t>
        </is>
      </c>
      <c r="C199" s="15" t="n">
        <v>1920</v>
      </c>
      <c r="D199" s="15" t="n">
        <v>16</v>
      </c>
      <c r="E199" s="16">
        <f>_DestuffedBits!C2050&amp;_DestuffedBits!C2051&amp;_DestuffedBits!C2052&amp;_DestuffedBits!C2053&amp;_DestuffedBits!C2054&amp;_DestuffedBits!C2055&amp;_DestuffedBits!C2056&amp;_DestuffedBits!C2057&amp;_DestuffedBits!C2058&amp;_DestuffedBits!C2059&amp;_DestuffedBits!C2060&amp;_DestuffedBits!C2061&amp;_DestuffedBits!C2062&amp;_DestuffedBits!C2063&amp;_DestuffedBits!C2064&amp;_DestuffedBits!C2065</f>
        <v/>
      </c>
      <c r="F199" s="15">
        <f>Fields!J195</f>
        <v/>
      </c>
      <c r="G199" s="15">
        <f>Fields!K195</f>
        <v/>
      </c>
    </row>
    <row r="200">
      <c r="A200" s="15" t="inlineStr">
        <is>
          <t>Payloads</t>
        </is>
      </c>
      <c r="B200" s="15" t="inlineStr">
        <is>
          <t>HyperSCAN CMOS Voltage 3</t>
        </is>
      </c>
      <c r="C200" s="15" t="n">
        <v>1936</v>
      </c>
      <c r="D200" s="15" t="n">
        <v>16</v>
      </c>
      <c r="E200" s="16">
        <f>_DestuffedBits!C2066&amp;_DestuffedBits!C2067&amp;_DestuffedBits!C2068&amp;_DestuffedBits!C2069&amp;_DestuffedBits!C2070&amp;_DestuffedBits!C2071&amp;_DestuffedBits!C2072&amp;_DestuffedBits!C2073&amp;_DestuffedBits!C2074&amp;_DestuffedBits!C2075&amp;_DestuffedBits!C2076&amp;_DestuffedBits!C2077&amp;_DestuffedBits!C2078&amp;_DestuffedBits!C2079&amp;_DestuffedBits!C2080&amp;_DestuffedBits!C2081</f>
        <v/>
      </c>
      <c r="F200" s="15">
        <f>Fields!J196</f>
        <v/>
      </c>
      <c r="G200" s="15">
        <f>Fields!K196</f>
        <v/>
      </c>
    </row>
    <row r="201">
      <c r="A201" s="15" t="inlineStr">
        <is>
          <t>Payloads</t>
        </is>
      </c>
      <c r="B201" s="15" t="inlineStr">
        <is>
          <t>HyperSCAN CMOS Voltage 4</t>
        </is>
      </c>
      <c r="C201" s="15" t="n">
        <v>1952</v>
      </c>
      <c r="D201" s="15" t="n">
        <v>16</v>
      </c>
      <c r="E201" s="16">
        <f>_DestuffedBits!C2082&amp;_DestuffedBits!C2083&amp;_DestuffedBits!C2084&amp;_DestuffedBits!C2085&amp;_DestuffedBits!C2086&amp;_DestuffedBits!C2087&amp;_DestuffedBits!C2088&amp;_DestuffedBits!C2089&amp;_DestuffedBits!C2090&amp;_DestuffedBits!C2091&amp;_DestuffedBits!C2092&amp;_DestuffedBits!C2093&amp;_DestuffedBits!C2094&amp;_DestuffedBits!C2095&amp;_DestuffedBits!C2096&amp;_DestuffedBits!C2097</f>
        <v/>
      </c>
      <c r="F201" s="15">
        <f>Fields!J197</f>
        <v/>
      </c>
      <c r="G201" s="15">
        <f>Fields!K197</f>
        <v/>
      </c>
    </row>
    <row r="202">
      <c r="A202" s="15" t="inlineStr">
        <is>
          <t>Payloads</t>
        </is>
      </c>
      <c r="B202" s="15" t="inlineStr">
        <is>
          <t>HyperSCAN CMOS Current</t>
        </is>
      </c>
      <c r="C202" s="15" t="n">
        <v>1968</v>
      </c>
      <c r="D202" s="15" t="n">
        <v>16</v>
      </c>
      <c r="E202" s="16">
        <f>_DestuffedBits!C2098&amp;_DestuffedBits!C2099&amp;_DestuffedBits!C2100&amp;_DestuffedBits!C2101&amp;_DestuffedBits!C2102&amp;_DestuffedBits!C2103&amp;_DestuffedBits!C2104&amp;_DestuffedBits!C2105&amp;_DestuffedBits!C2106&amp;_DestuffedBits!C2107&amp;_DestuffedBits!C2108&amp;_DestuffedBits!C2109&amp;_DestuffedBits!C2110&amp;_DestuffedBits!C2111&amp;_DestuffedBits!C2112&amp;_DestuffedBits!C2113</f>
        <v/>
      </c>
      <c r="F202" s="15">
        <f>Fields!J198</f>
        <v/>
      </c>
      <c r="G202" s="15">
        <f>Fields!K198</f>
        <v/>
      </c>
    </row>
    <row r="203">
      <c r="A203" s="15" t="inlineStr">
        <is>
          <t>Payloads</t>
        </is>
      </c>
      <c r="B203" s="15" t="inlineStr">
        <is>
          <t>HyperSCAN CMOS Temperature 1</t>
        </is>
      </c>
      <c r="C203" s="15" t="n">
        <v>1984</v>
      </c>
      <c r="D203" s="15" t="n">
        <v>16</v>
      </c>
      <c r="E203" s="16">
        <f>_DestuffedBits!C2114&amp;_DestuffedBits!C2115&amp;_DestuffedBits!C2116&amp;_DestuffedBits!C2117&amp;_DestuffedBits!C2118&amp;_DestuffedBits!C2119&amp;_DestuffedBits!C2120&amp;_DestuffedBits!C2121&amp;_DestuffedBits!C2122&amp;_DestuffedBits!C2123&amp;_DestuffedBits!C2124&amp;_DestuffedBits!C2125&amp;_DestuffedBits!C2126&amp;_DestuffedBits!C2127&amp;_DestuffedBits!C2128&amp;_DestuffedBits!C2129</f>
        <v/>
      </c>
      <c r="F203" s="15">
        <f>Fields!J199</f>
        <v/>
      </c>
      <c r="G203" s="15">
        <f>Fields!K199</f>
        <v/>
      </c>
    </row>
    <row r="204">
      <c r="A204" s="15" t="inlineStr">
        <is>
          <t>Payloads</t>
        </is>
      </c>
      <c r="B204" s="15" t="inlineStr">
        <is>
          <t>(reserved)</t>
        </is>
      </c>
      <c r="C204" s="15" t="n">
        <v>2000</v>
      </c>
      <c r="D204" s="15" t="n">
        <v>8</v>
      </c>
      <c r="E204" s="16">
        <f>_DestuffedBits!C2130&amp;_DestuffedBits!C2131&amp;_DestuffedBits!C2132&amp;_DestuffedBits!C2133&amp;_DestuffedBits!C2134&amp;_DestuffedBits!C2135&amp;_DestuffedBits!C2136&amp;_DestuffedBits!C2137</f>
        <v/>
      </c>
      <c r="F204" s="15">
        <f>Fields!J200</f>
        <v/>
      </c>
      <c r="G204" s="15">
        <f>Fields!K200</f>
        <v/>
      </c>
    </row>
    <row r="205">
      <c r="A205" s="15" t="inlineStr">
        <is>
          <t>Payloads</t>
        </is>
      </c>
      <c r="B205" s="15" t="inlineStr">
        <is>
          <t>APRS RX Voltage</t>
        </is>
      </c>
      <c r="C205" s="15" t="n">
        <v>2008</v>
      </c>
      <c r="D205" s="15" t="n">
        <v>8</v>
      </c>
      <c r="E205" s="16">
        <f>_DestuffedBits!C2138&amp;_DestuffedBits!C2139&amp;_DestuffedBits!C2140&amp;_DestuffedBits!C2141&amp;_DestuffedBits!C2142&amp;_DestuffedBits!C2143&amp;_DestuffedBits!C2144&amp;_DestuffedBits!C2145</f>
        <v/>
      </c>
      <c r="F205" s="15">
        <f>Fields!J201</f>
        <v/>
      </c>
      <c r="G205" s="15">
        <f>Fields!K201</f>
        <v/>
      </c>
    </row>
    <row r="206">
      <c r="A206" s="15" t="inlineStr">
        <is>
          <t>Payloads</t>
        </is>
      </c>
      <c r="B206" s="15" t="inlineStr">
        <is>
          <t>APRS TX Voltage</t>
        </is>
      </c>
      <c r="C206" s="15" t="n">
        <v>2016</v>
      </c>
      <c r="D206" s="15" t="n">
        <v>8</v>
      </c>
      <c r="E206" s="16">
        <f>_DestuffedBits!C2146&amp;_DestuffedBits!C2147&amp;_DestuffedBits!C2148&amp;_DestuffedBits!C2149&amp;_DestuffedBits!C2150&amp;_DestuffedBits!C2151&amp;_DestuffedBits!C2152&amp;_DestuffedBits!C2153</f>
        <v/>
      </c>
      <c r="F206" s="15">
        <f>Fields!J202</f>
        <v/>
      </c>
      <c r="G206" s="15">
        <f>Fields!K202</f>
        <v/>
      </c>
    </row>
    <row r="207">
      <c r="A207" s="15" t="inlineStr">
        <is>
          <t>Payloads</t>
        </is>
      </c>
      <c r="B207" s="15" t="inlineStr">
        <is>
          <t>APRS Radio on/off</t>
        </is>
      </c>
      <c r="C207" s="15" t="n">
        <v>2024</v>
      </c>
      <c r="D207" s="15" t="n">
        <v>2</v>
      </c>
      <c r="E207" s="16">
        <f>_DestuffedBits!C2154&amp;_DestuffedBits!C2155</f>
        <v/>
      </c>
      <c r="F207" s="15">
        <f>Fields!J203</f>
        <v/>
      </c>
      <c r="G207" s="15">
        <f>Fields!K203</f>
        <v/>
      </c>
    </row>
    <row r="208">
      <c r="A208" s="15" t="inlineStr">
        <is>
          <t>Payloads</t>
        </is>
      </c>
      <c r="B208" s="15" t="inlineStr">
        <is>
          <t>APRS Digipeater on/off</t>
        </is>
      </c>
      <c r="C208" s="15" t="n">
        <v>2026</v>
      </c>
      <c r="D208" s="15" t="n">
        <v>2</v>
      </c>
      <c r="E208" s="16">
        <f>_DestuffedBits!C2156&amp;_DestuffedBits!C2157</f>
        <v/>
      </c>
      <c r="F208" s="15">
        <f>Fields!J204</f>
        <v/>
      </c>
      <c r="G208" s="15">
        <f>Fields!K204</f>
        <v/>
      </c>
    </row>
    <row r="209">
      <c r="A209" s="15" t="inlineStr">
        <is>
          <t>Payloads</t>
        </is>
      </c>
      <c r="B209" s="15" t="inlineStr">
        <is>
          <t>(reserved)</t>
        </is>
      </c>
      <c r="C209" s="15" t="n">
        <v>2028</v>
      </c>
      <c r="D209" s="15" t="n">
        <v>4</v>
      </c>
      <c r="E209" s="16">
        <f>_DestuffedBits!C2158&amp;_DestuffedBits!C2159&amp;_DestuffedBits!C2160&amp;_DestuffedBits!C2161</f>
        <v/>
      </c>
      <c r="F209" s="15">
        <f>Fields!J205</f>
        <v/>
      </c>
      <c r="G209" s="15">
        <f>Fields!K205</f>
        <v/>
      </c>
    </row>
    <row r="210">
      <c r="A210" s="15" t="inlineStr">
        <is>
          <t>Payloads</t>
        </is>
      </c>
      <c r="B210" s="15" t="inlineStr">
        <is>
          <t>APRS Temperature</t>
        </is>
      </c>
      <c r="C210" s="15" t="n">
        <v>2032</v>
      </c>
      <c r="D210" s="15" t="n">
        <v>16</v>
      </c>
      <c r="E210" s="16">
        <f>_DestuffedBits!C2162&amp;_DestuffedBits!C2163&amp;_DestuffedBits!C2164&amp;_DestuffedBits!C2165&amp;_DestuffedBits!C2166&amp;_DestuffedBits!C2167&amp;_DestuffedBits!C2168&amp;_DestuffedBits!C2169&amp;_DestuffedBits!C2170&amp;_DestuffedBits!C2171&amp;_DestuffedBits!C2172&amp;_DestuffedBits!C2173&amp;_DestuffedBits!C2174&amp;_DestuffedBits!C2175&amp;_DestuffedBits!C2176&amp;_DestuffedBits!C2177</f>
        <v/>
      </c>
      <c r="F210" s="15">
        <f>Fields!J206</f>
        <v/>
      </c>
      <c r="G210" s="15">
        <f>Fields!K206</f>
        <v/>
      </c>
    </row>
    <row r="211">
      <c r="A211" s="17" t="inlineStr">
        <is>
          <t>FCS</t>
        </is>
      </c>
      <c r="B211" s="17" t="inlineStr">
        <is>
          <t>FCS (CRC-16/X.25, little-endian)</t>
        </is>
      </c>
      <c r="C211" s="17" t="n">
        <v>2176</v>
      </c>
      <c r="D211" s="17" t="n">
        <v>16</v>
      </c>
      <c r="E211" s="18">
        <f>_DestuffedBits!C2178&amp;_DestuffedBits!C2179&amp;_DestuffedBits!C2180&amp;_DestuffedBits!C2181&amp;_DestuffedBits!C2182&amp;_DestuffedBits!C2183&amp;_DestuffedBits!C2184&amp;_DestuffedBits!C2185&amp;_DestuffedBits!C2186&amp;_DestuffedBits!C2187&amp;_DestuffedBits!C2188&amp;_DestuffedBits!C2189&amp;_DestuffedBits!C2190&amp;_DestuffedBits!C2191&amp;_DestuffedBits!C2192&amp;_DestuffedBits!C2193</f>
        <v/>
      </c>
      <c r="F211" s="17">
        <f>"0x"&amp;DEC2HEX(CRC_Check!D2,4)</f>
        <v/>
      </c>
      <c r="G211" s="17">
        <f>"computed CRC="&amp;CRC_Check!B1&amp;"  transmitted FCS="&amp;CRC_Check!B2&amp;"  -&gt; "&amp;CRC_Check!B3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82"/>
  <sheetViews>
    <sheetView workbookViewId="0">
      <pane ySplit="6" topLeftCell="A7" activePane="bottomLeft" state="frozen"/>
      <selection pane="bottomLeft" activeCell="A1" sqref="A1"/>
    </sheetView>
  </sheetViews>
  <sheetFormatPr baseColWidth="8" defaultRowHeight="15"/>
  <cols>
    <col width="16" customWidth="1" min="1" max="1"/>
    <col width="22" customWidth="1" min="2" max="2"/>
    <col width="10" customWidth="1" min="3" max="3"/>
    <col width="8" customWidth="1" min="4" max="4"/>
    <col width="10" customWidth="1" min="5" max="5"/>
    <col width="9" customWidth="1" min="6" max="6"/>
    <col width="10" customWidth="1" min="7" max="7"/>
  </cols>
  <sheetData>
    <row r="1">
      <c r="A1" s="19" t="inlineStr">
        <is>
          <t>Computed CRC-16/X.25 over destuffed payload bits (positions 1..2176):</t>
        </is>
      </c>
      <c r="B1">
        <f>DEC2HEX(_xlfn.BITXOR(G2182,65535),4)</f>
        <v/>
      </c>
    </row>
    <row r="2">
      <c r="A2" s="19" t="inlineStr">
        <is>
          <t>Transmitted FCS (destuffed positions 2177..2192, little-endian):</t>
        </is>
      </c>
      <c r="B2">
        <f>DEC2HEX(D2,4)</f>
        <v/>
      </c>
      <c r="D2">
        <f>E2+F2*256</f>
        <v/>
      </c>
      <c r="E2">
        <f>_DestuffedBits!C2178*1+_DestuffedBits!C2179*2+_DestuffedBits!C2180*4+_DestuffedBits!C2181*8+_DestuffedBits!C2182*16+_DestuffedBits!C2183*32+_DestuffedBits!C2184*64+_DestuffedBits!C2185*128</f>
        <v/>
      </c>
      <c r="F2">
        <f>_DestuffedBits!C2186*1+_DestuffedBits!C2187*2+_DestuffedBits!C2188*4+_DestuffedBits!C2189*8+_DestuffedBits!C2190*16+_DestuffedBits!C2191*32+_DestuffedBits!C2192*64+_DestuffedBits!C2193*128</f>
        <v/>
      </c>
    </row>
    <row r="3">
      <c r="A3" s="19" t="inlineStr">
        <is>
          <t>CRC check:</t>
        </is>
      </c>
      <c r="B3" s="19">
        <f>IF(B1=B2,"PASS","FAIL")</f>
        <v/>
      </c>
    </row>
    <row r="5">
      <c r="A5" s="3" t="inlineStr">
        <is>
          <t>BitPos(payload)</t>
        </is>
      </c>
      <c r="B5" s="3" t="inlineStr">
        <is>
          <t>PayloadBit</t>
        </is>
      </c>
      <c r="C5" s="3" t="inlineStr">
        <is>
          <t>crc_prev</t>
        </is>
      </c>
      <c r="D5" s="3" t="inlineStr">
        <is>
          <t>lsb</t>
        </is>
      </c>
      <c r="E5" s="3" t="inlineStr">
        <is>
          <t>shifted</t>
        </is>
      </c>
      <c r="F5" s="3" t="inlineStr">
        <is>
          <t>xorflag</t>
        </is>
      </c>
      <c r="G5" s="3" t="inlineStr">
        <is>
          <t>crc_new</t>
        </is>
      </c>
    </row>
    <row r="6">
      <c r="A6" t="n">
        <v>0</v>
      </c>
      <c r="G6" t="n">
        <v>65535</v>
      </c>
    </row>
    <row r="7">
      <c r="A7" t="n">
        <v>1</v>
      </c>
      <c r="B7">
        <f>_DestuffedBits!C2</f>
        <v/>
      </c>
      <c r="C7">
        <f>G6</f>
        <v/>
      </c>
      <c r="D7">
        <f>_xlfn.BITAND(C7,1)</f>
        <v/>
      </c>
      <c r="E7">
        <f>_xlfn.BITRSHIFT(C7,1)</f>
        <v/>
      </c>
      <c r="F7">
        <f>_xlfn.BITXOR(D7,B7)</f>
        <v/>
      </c>
      <c r="G7">
        <f>IF(F7=1,_xlfn.BITXOR(E7,33800),E7)</f>
        <v/>
      </c>
    </row>
    <row r="8">
      <c r="A8" t="n">
        <v>2</v>
      </c>
      <c r="B8">
        <f>_DestuffedBits!C3</f>
        <v/>
      </c>
      <c r="C8">
        <f>G7</f>
        <v/>
      </c>
      <c r="D8">
        <f>_xlfn.BITAND(C8,1)</f>
        <v/>
      </c>
      <c r="E8">
        <f>_xlfn.BITRSHIFT(C8,1)</f>
        <v/>
      </c>
      <c r="F8">
        <f>_xlfn.BITXOR(D8,B8)</f>
        <v/>
      </c>
      <c r="G8">
        <f>IF(F8=1,_xlfn.BITXOR(E8,33800),E8)</f>
        <v/>
      </c>
    </row>
    <row r="9">
      <c r="A9" t="n">
        <v>3</v>
      </c>
      <c r="B9">
        <f>_DestuffedBits!C4</f>
        <v/>
      </c>
      <c r="C9">
        <f>G8</f>
        <v/>
      </c>
      <c r="D9">
        <f>_xlfn.BITAND(C9,1)</f>
        <v/>
      </c>
      <c r="E9">
        <f>_xlfn.BITRSHIFT(C9,1)</f>
        <v/>
      </c>
      <c r="F9">
        <f>_xlfn.BITXOR(D9,B9)</f>
        <v/>
      </c>
      <c r="G9">
        <f>IF(F9=1,_xlfn.BITXOR(E9,33800),E9)</f>
        <v/>
      </c>
    </row>
    <row r="10">
      <c r="A10" t="n">
        <v>4</v>
      </c>
      <c r="B10">
        <f>_DestuffedBits!C5</f>
        <v/>
      </c>
      <c r="C10">
        <f>G9</f>
        <v/>
      </c>
      <c r="D10">
        <f>_xlfn.BITAND(C10,1)</f>
        <v/>
      </c>
      <c r="E10">
        <f>_xlfn.BITRSHIFT(C10,1)</f>
        <v/>
      </c>
      <c r="F10">
        <f>_xlfn.BITXOR(D10,B10)</f>
        <v/>
      </c>
      <c r="G10">
        <f>IF(F10=1,_xlfn.BITXOR(E10,33800),E10)</f>
        <v/>
      </c>
    </row>
    <row r="11">
      <c r="A11" t="n">
        <v>5</v>
      </c>
      <c r="B11">
        <f>_DestuffedBits!C6</f>
        <v/>
      </c>
      <c r="C11">
        <f>G10</f>
        <v/>
      </c>
      <c r="D11">
        <f>_xlfn.BITAND(C11,1)</f>
        <v/>
      </c>
      <c r="E11">
        <f>_xlfn.BITRSHIFT(C11,1)</f>
        <v/>
      </c>
      <c r="F11">
        <f>_xlfn.BITXOR(D11,B11)</f>
        <v/>
      </c>
      <c r="G11">
        <f>IF(F11=1,_xlfn.BITXOR(E11,33800),E11)</f>
        <v/>
      </c>
    </row>
    <row r="12">
      <c r="A12" t="n">
        <v>6</v>
      </c>
      <c r="B12">
        <f>_DestuffedBits!C7</f>
        <v/>
      </c>
      <c r="C12">
        <f>G11</f>
        <v/>
      </c>
      <c r="D12">
        <f>_xlfn.BITAND(C12,1)</f>
        <v/>
      </c>
      <c r="E12">
        <f>_xlfn.BITRSHIFT(C12,1)</f>
        <v/>
      </c>
      <c r="F12">
        <f>_xlfn.BITXOR(D12,B12)</f>
        <v/>
      </c>
      <c r="G12">
        <f>IF(F12=1,_xlfn.BITXOR(E12,33800),E12)</f>
        <v/>
      </c>
    </row>
    <row r="13">
      <c r="A13" t="n">
        <v>7</v>
      </c>
      <c r="B13">
        <f>_DestuffedBits!C8</f>
        <v/>
      </c>
      <c r="C13">
        <f>G12</f>
        <v/>
      </c>
      <c r="D13">
        <f>_xlfn.BITAND(C13,1)</f>
        <v/>
      </c>
      <c r="E13">
        <f>_xlfn.BITRSHIFT(C13,1)</f>
        <v/>
      </c>
      <c r="F13">
        <f>_xlfn.BITXOR(D13,B13)</f>
        <v/>
      </c>
      <c r="G13">
        <f>IF(F13=1,_xlfn.BITXOR(E13,33800),E13)</f>
        <v/>
      </c>
    </row>
    <row r="14">
      <c r="A14" t="n">
        <v>8</v>
      </c>
      <c r="B14">
        <f>_DestuffedBits!C9</f>
        <v/>
      </c>
      <c r="C14">
        <f>G13</f>
        <v/>
      </c>
      <c r="D14">
        <f>_xlfn.BITAND(C14,1)</f>
        <v/>
      </c>
      <c r="E14">
        <f>_xlfn.BITRSHIFT(C14,1)</f>
        <v/>
      </c>
      <c r="F14">
        <f>_xlfn.BITXOR(D14,B14)</f>
        <v/>
      </c>
      <c r="G14">
        <f>IF(F14=1,_xlfn.BITXOR(E14,33800),E14)</f>
        <v/>
      </c>
    </row>
    <row r="15">
      <c r="A15" t="n">
        <v>9</v>
      </c>
      <c r="B15">
        <f>_DestuffedBits!C10</f>
        <v/>
      </c>
      <c r="C15">
        <f>G14</f>
        <v/>
      </c>
      <c r="D15">
        <f>_xlfn.BITAND(C15,1)</f>
        <v/>
      </c>
      <c r="E15">
        <f>_xlfn.BITRSHIFT(C15,1)</f>
        <v/>
      </c>
      <c r="F15">
        <f>_xlfn.BITXOR(D15,B15)</f>
        <v/>
      </c>
      <c r="G15">
        <f>IF(F15=1,_xlfn.BITXOR(E15,33800),E15)</f>
        <v/>
      </c>
    </row>
    <row r="16">
      <c r="A16" t="n">
        <v>10</v>
      </c>
      <c r="B16">
        <f>_DestuffedBits!C11</f>
        <v/>
      </c>
      <c r="C16">
        <f>G15</f>
        <v/>
      </c>
      <c r="D16">
        <f>_xlfn.BITAND(C16,1)</f>
        <v/>
      </c>
      <c r="E16">
        <f>_xlfn.BITRSHIFT(C16,1)</f>
        <v/>
      </c>
      <c r="F16">
        <f>_xlfn.BITXOR(D16,B16)</f>
        <v/>
      </c>
      <c r="G16">
        <f>IF(F16=1,_xlfn.BITXOR(E16,33800),E16)</f>
        <v/>
      </c>
    </row>
    <row r="17">
      <c r="A17" t="n">
        <v>11</v>
      </c>
      <c r="B17">
        <f>_DestuffedBits!C12</f>
        <v/>
      </c>
      <c r="C17">
        <f>G16</f>
        <v/>
      </c>
      <c r="D17">
        <f>_xlfn.BITAND(C17,1)</f>
        <v/>
      </c>
      <c r="E17">
        <f>_xlfn.BITRSHIFT(C17,1)</f>
        <v/>
      </c>
      <c r="F17">
        <f>_xlfn.BITXOR(D17,B17)</f>
        <v/>
      </c>
      <c r="G17">
        <f>IF(F17=1,_xlfn.BITXOR(E17,33800),E17)</f>
        <v/>
      </c>
    </row>
    <row r="18">
      <c r="A18" t="n">
        <v>12</v>
      </c>
      <c r="B18">
        <f>_DestuffedBits!C13</f>
        <v/>
      </c>
      <c r="C18">
        <f>G17</f>
        <v/>
      </c>
      <c r="D18">
        <f>_xlfn.BITAND(C18,1)</f>
        <v/>
      </c>
      <c r="E18">
        <f>_xlfn.BITRSHIFT(C18,1)</f>
        <v/>
      </c>
      <c r="F18">
        <f>_xlfn.BITXOR(D18,B18)</f>
        <v/>
      </c>
      <c r="G18">
        <f>IF(F18=1,_xlfn.BITXOR(E18,33800),E18)</f>
        <v/>
      </c>
    </row>
    <row r="19">
      <c r="A19" t="n">
        <v>13</v>
      </c>
      <c r="B19">
        <f>_DestuffedBits!C14</f>
        <v/>
      </c>
      <c r="C19">
        <f>G18</f>
        <v/>
      </c>
      <c r="D19">
        <f>_xlfn.BITAND(C19,1)</f>
        <v/>
      </c>
      <c r="E19">
        <f>_xlfn.BITRSHIFT(C19,1)</f>
        <v/>
      </c>
      <c r="F19">
        <f>_xlfn.BITXOR(D19,B19)</f>
        <v/>
      </c>
      <c r="G19">
        <f>IF(F19=1,_xlfn.BITXOR(E19,33800),E19)</f>
        <v/>
      </c>
    </row>
    <row r="20">
      <c r="A20" t="n">
        <v>14</v>
      </c>
      <c r="B20">
        <f>_DestuffedBits!C15</f>
        <v/>
      </c>
      <c r="C20">
        <f>G19</f>
        <v/>
      </c>
      <c r="D20">
        <f>_xlfn.BITAND(C20,1)</f>
        <v/>
      </c>
      <c r="E20">
        <f>_xlfn.BITRSHIFT(C20,1)</f>
        <v/>
      </c>
      <c r="F20">
        <f>_xlfn.BITXOR(D20,B20)</f>
        <v/>
      </c>
      <c r="G20">
        <f>IF(F20=1,_xlfn.BITXOR(E20,33800),E20)</f>
        <v/>
      </c>
    </row>
    <row r="21">
      <c r="A21" t="n">
        <v>15</v>
      </c>
      <c r="B21">
        <f>_DestuffedBits!C16</f>
        <v/>
      </c>
      <c r="C21">
        <f>G20</f>
        <v/>
      </c>
      <c r="D21">
        <f>_xlfn.BITAND(C21,1)</f>
        <v/>
      </c>
      <c r="E21">
        <f>_xlfn.BITRSHIFT(C21,1)</f>
        <v/>
      </c>
      <c r="F21">
        <f>_xlfn.BITXOR(D21,B21)</f>
        <v/>
      </c>
      <c r="G21">
        <f>IF(F21=1,_xlfn.BITXOR(E21,33800),E21)</f>
        <v/>
      </c>
    </row>
    <row r="22">
      <c r="A22" t="n">
        <v>16</v>
      </c>
      <c r="B22">
        <f>_DestuffedBits!C17</f>
        <v/>
      </c>
      <c r="C22">
        <f>G21</f>
        <v/>
      </c>
      <c r="D22">
        <f>_xlfn.BITAND(C22,1)</f>
        <v/>
      </c>
      <c r="E22">
        <f>_xlfn.BITRSHIFT(C22,1)</f>
        <v/>
      </c>
      <c r="F22">
        <f>_xlfn.BITXOR(D22,B22)</f>
        <v/>
      </c>
      <c r="G22">
        <f>IF(F22=1,_xlfn.BITXOR(E22,33800),E22)</f>
        <v/>
      </c>
    </row>
    <row r="23">
      <c r="A23" t="n">
        <v>17</v>
      </c>
      <c r="B23">
        <f>_DestuffedBits!C18</f>
        <v/>
      </c>
      <c r="C23">
        <f>G22</f>
        <v/>
      </c>
      <c r="D23">
        <f>_xlfn.BITAND(C23,1)</f>
        <v/>
      </c>
      <c r="E23">
        <f>_xlfn.BITRSHIFT(C23,1)</f>
        <v/>
      </c>
      <c r="F23">
        <f>_xlfn.BITXOR(D23,B23)</f>
        <v/>
      </c>
      <c r="G23">
        <f>IF(F23=1,_xlfn.BITXOR(E23,33800),E23)</f>
        <v/>
      </c>
    </row>
    <row r="24">
      <c r="A24" t="n">
        <v>18</v>
      </c>
      <c r="B24">
        <f>_DestuffedBits!C19</f>
        <v/>
      </c>
      <c r="C24">
        <f>G23</f>
        <v/>
      </c>
      <c r="D24">
        <f>_xlfn.BITAND(C24,1)</f>
        <v/>
      </c>
      <c r="E24">
        <f>_xlfn.BITRSHIFT(C24,1)</f>
        <v/>
      </c>
      <c r="F24">
        <f>_xlfn.BITXOR(D24,B24)</f>
        <v/>
      </c>
      <c r="G24">
        <f>IF(F24=1,_xlfn.BITXOR(E24,33800),E24)</f>
        <v/>
      </c>
    </row>
    <row r="25">
      <c r="A25" t="n">
        <v>19</v>
      </c>
      <c r="B25">
        <f>_DestuffedBits!C20</f>
        <v/>
      </c>
      <c r="C25">
        <f>G24</f>
        <v/>
      </c>
      <c r="D25">
        <f>_xlfn.BITAND(C25,1)</f>
        <v/>
      </c>
      <c r="E25">
        <f>_xlfn.BITRSHIFT(C25,1)</f>
        <v/>
      </c>
      <c r="F25">
        <f>_xlfn.BITXOR(D25,B25)</f>
        <v/>
      </c>
      <c r="G25">
        <f>IF(F25=1,_xlfn.BITXOR(E25,33800),E25)</f>
        <v/>
      </c>
    </row>
    <row r="26">
      <c r="A26" t="n">
        <v>20</v>
      </c>
      <c r="B26">
        <f>_DestuffedBits!C21</f>
        <v/>
      </c>
      <c r="C26">
        <f>G25</f>
        <v/>
      </c>
      <c r="D26">
        <f>_xlfn.BITAND(C26,1)</f>
        <v/>
      </c>
      <c r="E26">
        <f>_xlfn.BITRSHIFT(C26,1)</f>
        <v/>
      </c>
      <c r="F26">
        <f>_xlfn.BITXOR(D26,B26)</f>
        <v/>
      </c>
      <c r="G26">
        <f>IF(F26=1,_xlfn.BITXOR(E26,33800),E26)</f>
        <v/>
      </c>
    </row>
    <row r="27">
      <c r="A27" t="n">
        <v>21</v>
      </c>
      <c r="B27">
        <f>_DestuffedBits!C22</f>
        <v/>
      </c>
      <c r="C27">
        <f>G26</f>
        <v/>
      </c>
      <c r="D27">
        <f>_xlfn.BITAND(C27,1)</f>
        <v/>
      </c>
      <c r="E27">
        <f>_xlfn.BITRSHIFT(C27,1)</f>
        <v/>
      </c>
      <c r="F27">
        <f>_xlfn.BITXOR(D27,B27)</f>
        <v/>
      </c>
      <c r="G27">
        <f>IF(F27=1,_xlfn.BITXOR(E27,33800),E27)</f>
        <v/>
      </c>
    </row>
    <row r="28">
      <c r="A28" t="n">
        <v>22</v>
      </c>
      <c r="B28">
        <f>_DestuffedBits!C23</f>
        <v/>
      </c>
      <c r="C28">
        <f>G27</f>
        <v/>
      </c>
      <c r="D28">
        <f>_xlfn.BITAND(C28,1)</f>
        <v/>
      </c>
      <c r="E28">
        <f>_xlfn.BITRSHIFT(C28,1)</f>
        <v/>
      </c>
      <c r="F28">
        <f>_xlfn.BITXOR(D28,B28)</f>
        <v/>
      </c>
      <c r="G28">
        <f>IF(F28=1,_xlfn.BITXOR(E28,33800),E28)</f>
        <v/>
      </c>
    </row>
    <row r="29">
      <c r="A29" t="n">
        <v>23</v>
      </c>
      <c r="B29">
        <f>_DestuffedBits!C24</f>
        <v/>
      </c>
      <c r="C29">
        <f>G28</f>
        <v/>
      </c>
      <c r="D29">
        <f>_xlfn.BITAND(C29,1)</f>
        <v/>
      </c>
      <c r="E29">
        <f>_xlfn.BITRSHIFT(C29,1)</f>
        <v/>
      </c>
      <c r="F29">
        <f>_xlfn.BITXOR(D29,B29)</f>
        <v/>
      </c>
      <c r="G29">
        <f>IF(F29=1,_xlfn.BITXOR(E29,33800),E29)</f>
        <v/>
      </c>
    </row>
    <row r="30">
      <c r="A30" t="n">
        <v>24</v>
      </c>
      <c r="B30">
        <f>_DestuffedBits!C25</f>
        <v/>
      </c>
      <c r="C30">
        <f>G29</f>
        <v/>
      </c>
      <c r="D30">
        <f>_xlfn.BITAND(C30,1)</f>
        <v/>
      </c>
      <c r="E30">
        <f>_xlfn.BITRSHIFT(C30,1)</f>
        <v/>
      </c>
      <c r="F30">
        <f>_xlfn.BITXOR(D30,B30)</f>
        <v/>
      </c>
      <c r="G30">
        <f>IF(F30=1,_xlfn.BITXOR(E30,33800),E30)</f>
        <v/>
      </c>
    </row>
    <row r="31">
      <c r="A31" t="n">
        <v>25</v>
      </c>
      <c r="B31">
        <f>_DestuffedBits!C26</f>
        <v/>
      </c>
      <c r="C31">
        <f>G30</f>
        <v/>
      </c>
      <c r="D31">
        <f>_xlfn.BITAND(C31,1)</f>
        <v/>
      </c>
      <c r="E31">
        <f>_xlfn.BITRSHIFT(C31,1)</f>
        <v/>
      </c>
      <c r="F31">
        <f>_xlfn.BITXOR(D31,B31)</f>
        <v/>
      </c>
      <c r="G31">
        <f>IF(F31=1,_xlfn.BITXOR(E31,33800),E31)</f>
        <v/>
      </c>
    </row>
    <row r="32">
      <c r="A32" t="n">
        <v>26</v>
      </c>
      <c r="B32">
        <f>_DestuffedBits!C27</f>
        <v/>
      </c>
      <c r="C32">
        <f>G31</f>
        <v/>
      </c>
      <c r="D32">
        <f>_xlfn.BITAND(C32,1)</f>
        <v/>
      </c>
      <c r="E32">
        <f>_xlfn.BITRSHIFT(C32,1)</f>
        <v/>
      </c>
      <c r="F32">
        <f>_xlfn.BITXOR(D32,B32)</f>
        <v/>
      </c>
      <c r="G32">
        <f>IF(F32=1,_xlfn.BITXOR(E32,33800),E32)</f>
        <v/>
      </c>
    </row>
    <row r="33">
      <c r="A33" t="n">
        <v>27</v>
      </c>
      <c r="B33">
        <f>_DestuffedBits!C28</f>
        <v/>
      </c>
      <c r="C33">
        <f>G32</f>
        <v/>
      </c>
      <c r="D33">
        <f>_xlfn.BITAND(C33,1)</f>
        <v/>
      </c>
      <c r="E33">
        <f>_xlfn.BITRSHIFT(C33,1)</f>
        <v/>
      </c>
      <c r="F33">
        <f>_xlfn.BITXOR(D33,B33)</f>
        <v/>
      </c>
      <c r="G33">
        <f>IF(F33=1,_xlfn.BITXOR(E33,33800),E33)</f>
        <v/>
      </c>
    </row>
    <row r="34">
      <c r="A34" t="n">
        <v>28</v>
      </c>
      <c r="B34">
        <f>_DestuffedBits!C29</f>
        <v/>
      </c>
      <c r="C34">
        <f>G33</f>
        <v/>
      </c>
      <c r="D34">
        <f>_xlfn.BITAND(C34,1)</f>
        <v/>
      </c>
      <c r="E34">
        <f>_xlfn.BITRSHIFT(C34,1)</f>
        <v/>
      </c>
      <c r="F34">
        <f>_xlfn.BITXOR(D34,B34)</f>
        <v/>
      </c>
      <c r="G34">
        <f>IF(F34=1,_xlfn.BITXOR(E34,33800),E34)</f>
        <v/>
      </c>
    </row>
    <row r="35">
      <c r="A35" t="n">
        <v>29</v>
      </c>
      <c r="B35">
        <f>_DestuffedBits!C30</f>
        <v/>
      </c>
      <c r="C35">
        <f>G34</f>
        <v/>
      </c>
      <c r="D35">
        <f>_xlfn.BITAND(C35,1)</f>
        <v/>
      </c>
      <c r="E35">
        <f>_xlfn.BITRSHIFT(C35,1)</f>
        <v/>
      </c>
      <c r="F35">
        <f>_xlfn.BITXOR(D35,B35)</f>
        <v/>
      </c>
      <c r="G35">
        <f>IF(F35=1,_xlfn.BITXOR(E35,33800),E35)</f>
        <v/>
      </c>
    </row>
    <row r="36">
      <c r="A36" t="n">
        <v>30</v>
      </c>
      <c r="B36">
        <f>_DestuffedBits!C31</f>
        <v/>
      </c>
      <c r="C36">
        <f>G35</f>
        <v/>
      </c>
      <c r="D36">
        <f>_xlfn.BITAND(C36,1)</f>
        <v/>
      </c>
      <c r="E36">
        <f>_xlfn.BITRSHIFT(C36,1)</f>
        <v/>
      </c>
      <c r="F36">
        <f>_xlfn.BITXOR(D36,B36)</f>
        <v/>
      </c>
      <c r="G36">
        <f>IF(F36=1,_xlfn.BITXOR(E36,33800),E36)</f>
        <v/>
      </c>
    </row>
    <row r="37">
      <c r="A37" t="n">
        <v>31</v>
      </c>
      <c r="B37">
        <f>_DestuffedBits!C32</f>
        <v/>
      </c>
      <c r="C37">
        <f>G36</f>
        <v/>
      </c>
      <c r="D37">
        <f>_xlfn.BITAND(C37,1)</f>
        <v/>
      </c>
      <c r="E37">
        <f>_xlfn.BITRSHIFT(C37,1)</f>
        <v/>
      </c>
      <c r="F37">
        <f>_xlfn.BITXOR(D37,B37)</f>
        <v/>
      </c>
      <c r="G37">
        <f>IF(F37=1,_xlfn.BITXOR(E37,33800),E37)</f>
        <v/>
      </c>
    </row>
    <row r="38">
      <c r="A38" t="n">
        <v>32</v>
      </c>
      <c r="B38">
        <f>_DestuffedBits!C33</f>
        <v/>
      </c>
      <c r="C38">
        <f>G37</f>
        <v/>
      </c>
      <c r="D38">
        <f>_xlfn.BITAND(C38,1)</f>
        <v/>
      </c>
      <c r="E38">
        <f>_xlfn.BITRSHIFT(C38,1)</f>
        <v/>
      </c>
      <c r="F38">
        <f>_xlfn.BITXOR(D38,B38)</f>
        <v/>
      </c>
      <c r="G38">
        <f>IF(F38=1,_xlfn.BITXOR(E38,33800),E38)</f>
        <v/>
      </c>
    </row>
    <row r="39">
      <c r="A39" t="n">
        <v>33</v>
      </c>
      <c r="B39">
        <f>_DestuffedBits!C34</f>
        <v/>
      </c>
      <c r="C39">
        <f>G38</f>
        <v/>
      </c>
      <c r="D39">
        <f>_xlfn.BITAND(C39,1)</f>
        <v/>
      </c>
      <c r="E39">
        <f>_xlfn.BITRSHIFT(C39,1)</f>
        <v/>
      </c>
      <c r="F39">
        <f>_xlfn.BITXOR(D39,B39)</f>
        <v/>
      </c>
      <c r="G39">
        <f>IF(F39=1,_xlfn.BITXOR(E39,33800),E39)</f>
        <v/>
      </c>
    </row>
    <row r="40">
      <c r="A40" t="n">
        <v>34</v>
      </c>
      <c r="B40">
        <f>_DestuffedBits!C35</f>
        <v/>
      </c>
      <c r="C40">
        <f>G39</f>
        <v/>
      </c>
      <c r="D40">
        <f>_xlfn.BITAND(C40,1)</f>
        <v/>
      </c>
      <c r="E40">
        <f>_xlfn.BITRSHIFT(C40,1)</f>
        <v/>
      </c>
      <c r="F40">
        <f>_xlfn.BITXOR(D40,B40)</f>
        <v/>
      </c>
      <c r="G40">
        <f>IF(F40=1,_xlfn.BITXOR(E40,33800),E40)</f>
        <v/>
      </c>
    </row>
    <row r="41">
      <c r="A41" t="n">
        <v>35</v>
      </c>
      <c r="B41">
        <f>_DestuffedBits!C36</f>
        <v/>
      </c>
      <c r="C41">
        <f>G40</f>
        <v/>
      </c>
      <c r="D41">
        <f>_xlfn.BITAND(C41,1)</f>
        <v/>
      </c>
      <c r="E41">
        <f>_xlfn.BITRSHIFT(C41,1)</f>
        <v/>
      </c>
      <c r="F41">
        <f>_xlfn.BITXOR(D41,B41)</f>
        <v/>
      </c>
      <c r="G41">
        <f>IF(F41=1,_xlfn.BITXOR(E41,33800),E41)</f>
        <v/>
      </c>
    </row>
    <row r="42">
      <c r="A42" t="n">
        <v>36</v>
      </c>
      <c r="B42">
        <f>_DestuffedBits!C37</f>
        <v/>
      </c>
      <c r="C42">
        <f>G41</f>
        <v/>
      </c>
      <c r="D42">
        <f>_xlfn.BITAND(C42,1)</f>
        <v/>
      </c>
      <c r="E42">
        <f>_xlfn.BITRSHIFT(C42,1)</f>
        <v/>
      </c>
      <c r="F42">
        <f>_xlfn.BITXOR(D42,B42)</f>
        <v/>
      </c>
      <c r="G42">
        <f>IF(F42=1,_xlfn.BITXOR(E42,33800),E42)</f>
        <v/>
      </c>
    </row>
    <row r="43">
      <c r="A43" t="n">
        <v>37</v>
      </c>
      <c r="B43">
        <f>_DestuffedBits!C38</f>
        <v/>
      </c>
      <c r="C43">
        <f>G42</f>
        <v/>
      </c>
      <c r="D43">
        <f>_xlfn.BITAND(C43,1)</f>
        <v/>
      </c>
      <c r="E43">
        <f>_xlfn.BITRSHIFT(C43,1)</f>
        <v/>
      </c>
      <c r="F43">
        <f>_xlfn.BITXOR(D43,B43)</f>
        <v/>
      </c>
      <c r="G43">
        <f>IF(F43=1,_xlfn.BITXOR(E43,33800),E43)</f>
        <v/>
      </c>
    </row>
    <row r="44">
      <c r="A44" t="n">
        <v>38</v>
      </c>
      <c r="B44">
        <f>_DestuffedBits!C39</f>
        <v/>
      </c>
      <c r="C44">
        <f>G43</f>
        <v/>
      </c>
      <c r="D44">
        <f>_xlfn.BITAND(C44,1)</f>
        <v/>
      </c>
      <c r="E44">
        <f>_xlfn.BITRSHIFT(C44,1)</f>
        <v/>
      </c>
      <c r="F44">
        <f>_xlfn.BITXOR(D44,B44)</f>
        <v/>
      </c>
      <c r="G44">
        <f>IF(F44=1,_xlfn.BITXOR(E44,33800),E44)</f>
        <v/>
      </c>
    </row>
    <row r="45">
      <c r="A45" t="n">
        <v>39</v>
      </c>
      <c r="B45">
        <f>_DestuffedBits!C40</f>
        <v/>
      </c>
      <c r="C45">
        <f>G44</f>
        <v/>
      </c>
      <c r="D45">
        <f>_xlfn.BITAND(C45,1)</f>
        <v/>
      </c>
      <c r="E45">
        <f>_xlfn.BITRSHIFT(C45,1)</f>
        <v/>
      </c>
      <c r="F45">
        <f>_xlfn.BITXOR(D45,B45)</f>
        <v/>
      </c>
      <c r="G45">
        <f>IF(F45=1,_xlfn.BITXOR(E45,33800),E45)</f>
        <v/>
      </c>
    </row>
    <row r="46">
      <c r="A46" t="n">
        <v>40</v>
      </c>
      <c r="B46">
        <f>_DestuffedBits!C41</f>
        <v/>
      </c>
      <c r="C46">
        <f>G45</f>
        <v/>
      </c>
      <c r="D46">
        <f>_xlfn.BITAND(C46,1)</f>
        <v/>
      </c>
      <c r="E46">
        <f>_xlfn.BITRSHIFT(C46,1)</f>
        <v/>
      </c>
      <c r="F46">
        <f>_xlfn.BITXOR(D46,B46)</f>
        <v/>
      </c>
      <c r="G46">
        <f>IF(F46=1,_xlfn.BITXOR(E46,33800),E46)</f>
        <v/>
      </c>
    </row>
    <row r="47">
      <c r="A47" t="n">
        <v>41</v>
      </c>
      <c r="B47">
        <f>_DestuffedBits!C42</f>
        <v/>
      </c>
      <c r="C47">
        <f>G46</f>
        <v/>
      </c>
      <c r="D47">
        <f>_xlfn.BITAND(C47,1)</f>
        <v/>
      </c>
      <c r="E47">
        <f>_xlfn.BITRSHIFT(C47,1)</f>
        <v/>
      </c>
      <c r="F47">
        <f>_xlfn.BITXOR(D47,B47)</f>
        <v/>
      </c>
      <c r="G47">
        <f>IF(F47=1,_xlfn.BITXOR(E47,33800),E47)</f>
        <v/>
      </c>
    </row>
    <row r="48">
      <c r="A48" t="n">
        <v>42</v>
      </c>
      <c r="B48">
        <f>_DestuffedBits!C43</f>
        <v/>
      </c>
      <c r="C48">
        <f>G47</f>
        <v/>
      </c>
      <c r="D48">
        <f>_xlfn.BITAND(C48,1)</f>
        <v/>
      </c>
      <c r="E48">
        <f>_xlfn.BITRSHIFT(C48,1)</f>
        <v/>
      </c>
      <c r="F48">
        <f>_xlfn.BITXOR(D48,B48)</f>
        <v/>
      </c>
      <c r="G48">
        <f>IF(F48=1,_xlfn.BITXOR(E48,33800),E48)</f>
        <v/>
      </c>
    </row>
    <row r="49">
      <c r="A49" t="n">
        <v>43</v>
      </c>
      <c r="B49">
        <f>_DestuffedBits!C44</f>
        <v/>
      </c>
      <c r="C49">
        <f>G48</f>
        <v/>
      </c>
      <c r="D49">
        <f>_xlfn.BITAND(C49,1)</f>
        <v/>
      </c>
      <c r="E49">
        <f>_xlfn.BITRSHIFT(C49,1)</f>
        <v/>
      </c>
      <c r="F49">
        <f>_xlfn.BITXOR(D49,B49)</f>
        <v/>
      </c>
      <c r="G49">
        <f>IF(F49=1,_xlfn.BITXOR(E49,33800),E49)</f>
        <v/>
      </c>
    </row>
    <row r="50">
      <c r="A50" t="n">
        <v>44</v>
      </c>
      <c r="B50">
        <f>_DestuffedBits!C45</f>
        <v/>
      </c>
      <c r="C50">
        <f>G49</f>
        <v/>
      </c>
      <c r="D50">
        <f>_xlfn.BITAND(C50,1)</f>
        <v/>
      </c>
      <c r="E50">
        <f>_xlfn.BITRSHIFT(C50,1)</f>
        <v/>
      </c>
      <c r="F50">
        <f>_xlfn.BITXOR(D50,B50)</f>
        <v/>
      </c>
      <c r="G50">
        <f>IF(F50=1,_xlfn.BITXOR(E50,33800),E50)</f>
        <v/>
      </c>
    </row>
    <row r="51">
      <c r="A51" t="n">
        <v>45</v>
      </c>
      <c r="B51">
        <f>_DestuffedBits!C46</f>
        <v/>
      </c>
      <c r="C51">
        <f>G50</f>
        <v/>
      </c>
      <c r="D51">
        <f>_xlfn.BITAND(C51,1)</f>
        <v/>
      </c>
      <c r="E51">
        <f>_xlfn.BITRSHIFT(C51,1)</f>
        <v/>
      </c>
      <c r="F51">
        <f>_xlfn.BITXOR(D51,B51)</f>
        <v/>
      </c>
      <c r="G51">
        <f>IF(F51=1,_xlfn.BITXOR(E51,33800),E51)</f>
        <v/>
      </c>
    </row>
    <row r="52">
      <c r="A52" t="n">
        <v>46</v>
      </c>
      <c r="B52">
        <f>_DestuffedBits!C47</f>
        <v/>
      </c>
      <c r="C52">
        <f>G51</f>
        <v/>
      </c>
      <c r="D52">
        <f>_xlfn.BITAND(C52,1)</f>
        <v/>
      </c>
      <c r="E52">
        <f>_xlfn.BITRSHIFT(C52,1)</f>
        <v/>
      </c>
      <c r="F52">
        <f>_xlfn.BITXOR(D52,B52)</f>
        <v/>
      </c>
      <c r="G52">
        <f>IF(F52=1,_xlfn.BITXOR(E52,33800),E52)</f>
        <v/>
      </c>
    </row>
    <row r="53">
      <c r="A53" t="n">
        <v>47</v>
      </c>
      <c r="B53">
        <f>_DestuffedBits!C48</f>
        <v/>
      </c>
      <c r="C53">
        <f>G52</f>
        <v/>
      </c>
      <c r="D53">
        <f>_xlfn.BITAND(C53,1)</f>
        <v/>
      </c>
      <c r="E53">
        <f>_xlfn.BITRSHIFT(C53,1)</f>
        <v/>
      </c>
      <c r="F53">
        <f>_xlfn.BITXOR(D53,B53)</f>
        <v/>
      </c>
      <c r="G53">
        <f>IF(F53=1,_xlfn.BITXOR(E53,33800),E53)</f>
        <v/>
      </c>
    </row>
    <row r="54">
      <c r="A54" t="n">
        <v>48</v>
      </c>
      <c r="B54">
        <f>_DestuffedBits!C49</f>
        <v/>
      </c>
      <c r="C54">
        <f>G53</f>
        <v/>
      </c>
      <c r="D54">
        <f>_xlfn.BITAND(C54,1)</f>
        <v/>
      </c>
      <c r="E54">
        <f>_xlfn.BITRSHIFT(C54,1)</f>
        <v/>
      </c>
      <c r="F54">
        <f>_xlfn.BITXOR(D54,B54)</f>
        <v/>
      </c>
      <c r="G54">
        <f>IF(F54=1,_xlfn.BITXOR(E54,33800),E54)</f>
        <v/>
      </c>
    </row>
    <row r="55">
      <c r="A55" t="n">
        <v>49</v>
      </c>
      <c r="B55">
        <f>_DestuffedBits!C50</f>
        <v/>
      </c>
      <c r="C55">
        <f>G54</f>
        <v/>
      </c>
      <c r="D55">
        <f>_xlfn.BITAND(C55,1)</f>
        <v/>
      </c>
      <c r="E55">
        <f>_xlfn.BITRSHIFT(C55,1)</f>
        <v/>
      </c>
      <c r="F55">
        <f>_xlfn.BITXOR(D55,B55)</f>
        <v/>
      </c>
      <c r="G55">
        <f>IF(F55=1,_xlfn.BITXOR(E55,33800),E55)</f>
        <v/>
      </c>
    </row>
    <row r="56">
      <c r="A56" t="n">
        <v>50</v>
      </c>
      <c r="B56">
        <f>_DestuffedBits!C51</f>
        <v/>
      </c>
      <c r="C56">
        <f>G55</f>
        <v/>
      </c>
      <c r="D56">
        <f>_xlfn.BITAND(C56,1)</f>
        <v/>
      </c>
      <c r="E56">
        <f>_xlfn.BITRSHIFT(C56,1)</f>
        <v/>
      </c>
      <c r="F56">
        <f>_xlfn.BITXOR(D56,B56)</f>
        <v/>
      </c>
      <c r="G56">
        <f>IF(F56=1,_xlfn.BITXOR(E56,33800),E56)</f>
        <v/>
      </c>
    </row>
    <row r="57">
      <c r="A57" t="n">
        <v>51</v>
      </c>
      <c r="B57">
        <f>_DestuffedBits!C52</f>
        <v/>
      </c>
      <c r="C57">
        <f>G56</f>
        <v/>
      </c>
      <c r="D57">
        <f>_xlfn.BITAND(C57,1)</f>
        <v/>
      </c>
      <c r="E57">
        <f>_xlfn.BITRSHIFT(C57,1)</f>
        <v/>
      </c>
      <c r="F57">
        <f>_xlfn.BITXOR(D57,B57)</f>
        <v/>
      </c>
      <c r="G57">
        <f>IF(F57=1,_xlfn.BITXOR(E57,33800),E57)</f>
        <v/>
      </c>
    </row>
    <row r="58">
      <c r="A58" t="n">
        <v>52</v>
      </c>
      <c r="B58">
        <f>_DestuffedBits!C53</f>
        <v/>
      </c>
      <c r="C58">
        <f>G57</f>
        <v/>
      </c>
      <c r="D58">
        <f>_xlfn.BITAND(C58,1)</f>
        <v/>
      </c>
      <c r="E58">
        <f>_xlfn.BITRSHIFT(C58,1)</f>
        <v/>
      </c>
      <c r="F58">
        <f>_xlfn.BITXOR(D58,B58)</f>
        <v/>
      </c>
      <c r="G58">
        <f>IF(F58=1,_xlfn.BITXOR(E58,33800),E58)</f>
        <v/>
      </c>
    </row>
    <row r="59">
      <c r="A59" t="n">
        <v>53</v>
      </c>
      <c r="B59">
        <f>_DestuffedBits!C54</f>
        <v/>
      </c>
      <c r="C59">
        <f>G58</f>
        <v/>
      </c>
      <c r="D59">
        <f>_xlfn.BITAND(C59,1)</f>
        <v/>
      </c>
      <c r="E59">
        <f>_xlfn.BITRSHIFT(C59,1)</f>
        <v/>
      </c>
      <c r="F59">
        <f>_xlfn.BITXOR(D59,B59)</f>
        <v/>
      </c>
      <c r="G59">
        <f>IF(F59=1,_xlfn.BITXOR(E59,33800),E59)</f>
        <v/>
      </c>
    </row>
    <row r="60">
      <c r="A60" t="n">
        <v>54</v>
      </c>
      <c r="B60">
        <f>_DestuffedBits!C55</f>
        <v/>
      </c>
      <c r="C60">
        <f>G59</f>
        <v/>
      </c>
      <c r="D60">
        <f>_xlfn.BITAND(C60,1)</f>
        <v/>
      </c>
      <c r="E60">
        <f>_xlfn.BITRSHIFT(C60,1)</f>
        <v/>
      </c>
      <c r="F60">
        <f>_xlfn.BITXOR(D60,B60)</f>
        <v/>
      </c>
      <c r="G60">
        <f>IF(F60=1,_xlfn.BITXOR(E60,33800),E60)</f>
        <v/>
      </c>
    </row>
    <row r="61">
      <c r="A61" t="n">
        <v>55</v>
      </c>
      <c r="B61">
        <f>_DestuffedBits!C56</f>
        <v/>
      </c>
      <c r="C61">
        <f>G60</f>
        <v/>
      </c>
      <c r="D61">
        <f>_xlfn.BITAND(C61,1)</f>
        <v/>
      </c>
      <c r="E61">
        <f>_xlfn.BITRSHIFT(C61,1)</f>
        <v/>
      </c>
      <c r="F61">
        <f>_xlfn.BITXOR(D61,B61)</f>
        <v/>
      </c>
      <c r="G61">
        <f>IF(F61=1,_xlfn.BITXOR(E61,33800),E61)</f>
        <v/>
      </c>
    </row>
    <row r="62">
      <c r="A62" t="n">
        <v>56</v>
      </c>
      <c r="B62">
        <f>_DestuffedBits!C57</f>
        <v/>
      </c>
      <c r="C62">
        <f>G61</f>
        <v/>
      </c>
      <c r="D62">
        <f>_xlfn.BITAND(C62,1)</f>
        <v/>
      </c>
      <c r="E62">
        <f>_xlfn.BITRSHIFT(C62,1)</f>
        <v/>
      </c>
      <c r="F62">
        <f>_xlfn.BITXOR(D62,B62)</f>
        <v/>
      </c>
      <c r="G62">
        <f>IF(F62=1,_xlfn.BITXOR(E62,33800),E62)</f>
        <v/>
      </c>
    </row>
    <row r="63">
      <c r="A63" t="n">
        <v>57</v>
      </c>
      <c r="B63">
        <f>_DestuffedBits!C58</f>
        <v/>
      </c>
      <c r="C63">
        <f>G62</f>
        <v/>
      </c>
      <c r="D63">
        <f>_xlfn.BITAND(C63,1)</f>
        <v/>
      </c>
      <c r="E63">
        <f>_xlfn.BITRSHIFT(C63,1)</f>
        <v/>
      </c>
      <c r="F63">
        <f>_xlfn.BITXOR(D63,B63)</f>
        <v/>
      </c>
      <c r="G63">
        <f>IF(F63=1,_xlfn.BITXOR(E63,33800),E63)</f>
        <v/>
      </c>
    </row>
    <row r="64">
      <c r="A64" t="n">
        <v>58</v>
      </c>
      <c r="B64">
        <f>_DestuffedBits!C59</f>
        <v/>
      </c>
      <c r="C64">
        <f>G63</f>
        <v/>
      </c>
      <c r="D64">
        <f>_xlfn.BITAND(C64,1)</f>
        <v/>
      </c>
      <c r="E64">
        <f>_xlfn.BITRSHIFT(C64,1)</f>
        <v/>
      </c>
      <c r="F64">
        <f>_xlfn.BITXOR(D64,B64)</f>
        <v/>
      </c>
      <c r="G64">
        <f>IF(F64=1,_xlfn.BITXOR(E64,33800),E64)</f>
        <v/>
      </c>
    </row>
    <row r="65">
      <c r="A65" t="n">
        <v>59</v>
      </c>
      <c r="B65">
        <f>_DestuffedBits!C60</f>
        <v/>
      </c>
      <c r="C65">
        <f>G64</f>
        <v/>
      </c>
      <c r="D65">
        <f>_xlfn.BITAND(C65,1)</f>
        <v/>
      </c>
      <c r="E65">
        <f>_xlfn.BITRSHIFT(C65,1)</f>
        <v/>
      </c>
      <c r="F65">
        <f>_xlfn.BITXOR(D65,B65)</f>
        <v/>
      </c>
      <c r="G65">
        <f>IF(F65=1,_xlfn.BITXOR(E65,33800),E65)</f>
        <v/>
      </c>
    </row>
    <row r="66">
      <c r="A66" t="n">
        <v>60</v>
      </c>
      <c r="B66">
        <f>_DestuffedBits!C61</f>
        <v/>
      </c>
      <c r="C66">
        <f>G65</f>
        <v/>
      </c>
      <c r="D66">
        <f>_xlfn.BITAND(C66,1)</f>
        <v/>
      </c>
      <c r="E66">
        <f>_xlfn.BITRSHIFT(C66,1)</f>
        <v/>
      </c>
      <c r="F66">
        <f>_xlfn.BITXOR(D66,B66)</f>
        <v/>
      </c>
      <c r="G66">
        <f>IF(F66=1,_xlfn.BITXOR(E66,33800),E66)</f>
        <v/>
      </c>
    </row>
    <row r="67">
      <c r="A67" t="n">
        <v>61</v>
      </c>
      <c r="B67">
        <f>_DestuffedBits!C62</f>
        <v/>
      </c>
      <c r="C67">
        <f>G66</f>
        <v/>
      </c>
      <c r="D67">
        <f>_xlfn.BITAND(C67,1)</f>
        <v/>
      </c>
      <c r="E67">
        <f>_xlfn.BITRSHIFT(C67,1)</f>
        <v/>
      </c>
      <c r="F67">
        <f>_xlfn.BITXOR(D67,B67)</f>
        <v/>
      </c>
      <c r="G67">
        <f>IF(F67=1,_xlfn.BITXOR(E67,33800),E67)</f>
        <v/>
      </c>
    </row>
    <row r="68">
      <c r="A68" t="n">
        <v>62</v>
      </c>
      <c r="B68">
        <f>_DestuffedBits!C63</f>
        <v/>
      </c>
      <c r="C68">
        <f>G67</f>
        <v/>
      </c>
      <c r="D68">
        <f>_xlfn.BITAND(C68,1)</f>
        <v/>
      </c>
      <c r="E68">
        <f>_xlfn.BITRSHIFT(C68,1)</f>
        <v/>
      </c>
      <c r="F68">
        <f>_xlfn.BITXOR(D68,B68)</f>
        <v/>
      </c>
      <c r="G68">
        <f>IF(F68=1,_xlfn.BITXOR(E68,33800),E68)</f>
        <v/>
      </c>
    </row>
    <row r="69">
      <c r="A69" t="n">
        <v>63</v>
      </c>
      <c r="B69">
        <f>_DestuffedBits!C64</f>
        <v/>
      </c>
      <c r="C69">
        <f>G68</f>
        <v/>
      </c>
      <c r="D69">
        <f>_xlfn.BITAND(C69,1)</f>
        <v/>
      </c>
      <c r="E69">
        <f>_xlfn.BITRSHIFT(C69,1)</f>
        <v/>
      </c>
      <c r="F69">
        <f>_xlfn.BITXOR(D69,B69)</f>
        <v/>
      </c>
      <c r="G69">
        <f>IF(F69=1,_xlfn.BITXOR(E69,33800),E69)</f>
        <v/>
      </c>
    </row>
    <row r="70">
      <c r="A70" t="n">
        <v>64</v>
      </c>
      <c r="B70">
        <f>_DestuffedBits!C65</f>
        <v/>
      </c>
      <c r="C70">
        <f>G69</f>
        <v/>
      </c>
      <c r="D70">
        <f>_xlfn.BITAND(C70,1)</f>
        <v/>
      </c>
      <c r="E70">
        <f>_xlfn.BITRSHIFT(C70,1)</f>
        <v/>
      </c>
      <c r="F70">
        <f>_xlfn.BITXOR(D70,B70)</f>
        <v/>
      </c>
      <c r="G70">
        <f>IF(F70=1,_xlfn.BITXOR(E70,33800),E70)</f>
        <v/>
      </c>
    </row>
    <row r="71">
      <c r="A71" t="n">
        <v>65</v>
      </c>
      <c r="B71">
        <f>_DestuffedBits!C66</f>
        <v/>
      </c>
      <c r="C71">
        <f>G70</f>
        <v/>
      </c>
      <c r="D71">
        <f>_xlfn.BITAND(C71,1)</f>
        <v/>
      </c>
      <c r="E71">
        <f>_xlfn.BITRSHIFT(C71,1)</f>
        <v/>
      </c>
      <c r="F71">
        <f>_xlfn.BITXOR(D71,B71)</f>
        <v/>
      </c>
      <c r="G71">
        <f>IF(F71=1,_xlfn.BITXOR(E71,33800),E71)</f>
        <v/>
      </c>
    </row>
    <row r="72">
      <c r="A72" t="n">
        <v>66</v>
      </c>
      <c r="B72">
        <f>_DestuffedBits!C67</f>
        <v/>
      </c>
      <c r="C72">
        <f>G71</f>
        <v/>
      </c>
      <c r="D72">
        <f>_xlfn.BITAND(C72,1)</f>
        <v/>
      </c>
      <c r="E72">
        <f>_xlfn.BITRSHIFT(C72,1)</f>
        <v/>
      </c>
      <c r="F72">
        <f>_xlfn.BITXOR(D72,B72)</f>
        <v/>
      </c>
      <c r="G72">
        <f>IF(F72=1,_xlfn.BITXOR(E72,33800),E72)</f>
        <v/>
      </c>
    </row>
    <row r="73">
      <c r="A73" t="n">
        <v>67</v>
      </c>
      <c r="B73">
        <f>_DestuffedBits!C68</f>
        <v/>
      </c>
      <c r="C73">
        <f>G72</f>
        <v/>
      </c>
      <c r="D73">
        <f>_xlfn.BITAND(C73,1)</f>
        <v/>
      </c>
      <c r="E73">
        <f>_xlfn.BITRSHIFT(C73,1)</f>
        <v/>
      </c>
      <c r="F73">
        <f>_xlfn.BITXOR(D73,B73)</f>
        <v/>
      </c>
      <c r="G73">
        <f>IF(F73=1,_xlfn.BITXOR(E73,33800),E73)</f>
        <v/>
      </c>
    </row>
    <row r="74">
      <c r="A74" t="n">
        <v>68</v>
      </c>
      <c r="B74">
        <f>_DestuffedBits!C69</f>
        <v/>
      </c>
      <c r="C74">
        <f>G73</f>
        <v/>
      </c>
      <c r="D74">
        <f>_xlfn.BITAND(C74,1)</f>
        <v/>
      </c>
      <c r="E74">
        <f>_xlfn.BITRSHIFT(C74,1)</f>
        <v/>
      </c>
      <c r="F74">
        <f>_xlfn.BITXOR(D74,B74)</f>
        <v/>
      </c>
      <c r="G74">
        <f>IF(F74=1,_xlfn.BITXOR(E74,33800),E74)</f>
        <v/>
      </c>
    </row>
    <row r="75">
      <c r="A75" t="n">
        <v>69</v>
      </c>
      <c r="B75">
        <f>_DestuffedBits!C70</f>
        <v/>
      </c>
      <c r="C75">
        <f>G74</f>
        <v/>
      </c>
      <c r="D75">
        <f>_xlfn.BITAND(C75,1)</f>
        <v/>
      </c>
      <c r="E75">
        <f>_xlfn.BITRSHIFT(C75,1)</f>
        <v/>
      </c>
      <c r="F75">
        <f>_xlfn.BITXOR(D75,B75)</f>
        <v/>
      </c>
      <c r="G75">
        <f>IF(F75=1,_xlfn.BITXOR(E75,33800),E75)</f>
        <v/>
      </c>
    </row>
    <row r="76">
      <c r="A76" t="n">
        <v>70</v>
      </c>
      <c r="B76">
        <f>_DestuffedBits!C71</f>
        <v/>
      </c>
      <c r="C76">
        <f>G75</f>
        <v/>
      </c>
      <c r="D76">
        <f>_xlfn.BITAND(C76,1)</f>
        <v/>
      </c>
      <c r="E76">
        <f>_xlfn.BITRSHIFT(C76,1)</f>
        <v/>
      </c>
      <c r="F76">
        <f>_xlfn.BITXOR(D76,B76)</f>
        <v/>
      </c>
      <c r="G76">
        <f>IF(F76=1,_xlfn.BITXOR(E76,33800),E76)</f>
        <v/>
      </c>
    </row>
    <row r="77">
      <c r="A77" t="n">
        <v>71</v>
      </c>
      <c r="B77">
        <f>_DestuffedBits!C72</f>
        <v/>
      </c>
      <c r="C77">
        <f>G76</f>
        <v/>
      </c>
      <c r="D77">
        <f>_xlfn.BITAND(C77,1)</f>
        <v/>
      </c>
      <c r="E77">
        <f>_xlfn.BITRSHIFT(C77,1)</f>
        <v/>
      </c>
      <c r="F77">
        <f>_xlfn.BITXOR(D77,B77)</f>
        <v/>
      </c>
      <c r="G77">
        <f>IF(F77=1,_xlfn.BITXOR(E77,33800),E77)</f>
        <v/>
      </c>
    </row>
    <row r="78">
      <c r="A78" t="n">
        <v>72</v>
      </c>
      <c r="B78">
        <f>_DestuffedBits!C73</f>
        <v/>
      </c>
      <c r="C78">
        <f>G77</f>
        <v/>
      </c>
      <c r="D78">
        <f>_xlfn.BITAND(C78,1)</f>
        <v/>
      </c>
      <c r="E78">
        <f>_xlfn.BITRSHIFT(C78,1)</f>
        <v/>
      </c>
      <c r="F78">
        <f>_xlfn.BITXOR(D78,B78)</f>
        <v/>
      </c>
      <c r="G78">
        <f>IF(F78=1,_xlfn.BITXOR(E78,33800),E78)</f>
        <v/>
      </c>
    </row>
    <row r="79">
      <c r="A79" t="n">
        <v>73</v>
      </c>
      <c r="B79">
        <f>_DestuffedBits!C74</f>
        <v/>
      </c>
      <c r="C79">
        <f>G78</f>
        <v/>
      </c>
      <c r="D79">
        <f>_xlfn.BITAND(C79,1)</f>
        <v/>
      </c>
      <c r="E79">
        <f>_xlfn.BITRSHIFT(C79,1)</f>
        <v/>
      </c>
      <c r="F79">
        <f>_xlfn.BITXOR(D79,B79)</f>
        <v/>
      </c>
      <c r="G79">
        <f>IF(F79=1,_xlfn.BITXOR(E79,33800),E79)</f>
        <v/>
      </c>
    </row>
    <row r="80">
      <c r="A80" t="n">
        <v>74</v>
      </c>
      <c r="B80">
        <f>_DestuffedBits!C75</f>
        <v/>
      </c>
      <c r="C80">
        <f>G79</f>
        <v/>
      </c>
      <c r="D80">
        <f>_xlfn.BITAND(C80,1)</f>
        <v/>
      </c>
      <c r="E80">
        <f>_xlfn.BITRSHIFT(C80,1)</f>
        <v/>
      </c>
      <c r="F80">
        <f>_xlfn.BITXOR(D80,B80)</f>
        <v/>
      </c>
      <c r="G80">
        <f>IF(F80=1,_xlfn.BITXOR(E80,33800),E80)</f>
        <v/>
      </c>
    </row>
    <row r="81">
      <c r="A81" t="n">
        <v>75</v>
      </c>
      <c r="B81">
        <f>_DestuffedBits!C76</f>
        <v/>
      </c>
      <c r="C81">
        <f>G80</f>
        <v/>
      </c>
      <c r="D81">
        <f>_xlfn.BITAND(C81,1)</f>
        <v/>
      </c>
      <c r="E81">
        <f>_xlfn.BITRSHIFT(C81,1)</f>
        <v/>
      </c>
      <c r="F81">
        <f>_xlfn.BITXOR(D81,B81)</f>
        <v/>
      </c>
      <c r="G81">
        <f>IF(F81=1,_xlfn.BITXOR(E81,33800),E81)</f>
        <v/>
      </c>
    </row>
    <row r="82">
      <c r="A82" t="n">
        <v>76</v>
      </c>
      <c r="B82">
        <f>_DestuffedBits!C77</f>
        <v/>
      </c>
      <c r="C82">
        <f>G81</f>
        <v/>
      </c>
      <c r="D82">
        <f>_xlfn.BITAND(C82,1)</f>
        <v/>
      </c>
      <c r="E82">
        <f>_xlfn.BITRSHIFT(C82,1)</f>
        <v/>
      </c>
      <c r="F82">
        <f>_xlfn.BITXOR(D82,B82)</f>
        <v/>
      </c>
      <c r="G82">
        <f>IF(F82=1,_xlfn.BITXOR(E82,33800),E82)</f>
        <v/>
      </c>
    </row>
    <row r="83">
      <c r="A83" t="n">
        <v>77</v>
      </c>
      <c r="B83">
        <f>_DestuffedBits!C78</f>
        <v/>
      </c>
      <c r="C83">
        <f>G82</f>
        <v/>
      </c>
      <c r="D83">
        <f>_xlfn.BITAND(C83,1)</f>
        <v/>
      </c>
      <c r="E83">
        <f>_xlfn.BITRSHIFT(C83,1)</f>
        <v/>
      </c>
      <c r="F83">
        <f>_xlfn.BITXOR(D83,B83)</f>
        <v/>
      </c>
      <c r="G83">
        <f>IF(F83=1,_xlfn.BITXOR(E83,33800),E83)</f>
        <v/>
      </c>
    </row>
    <row r="84">
      <c r="A84" t="n">
        <v>78</v>
      </c>
      <c r="B84">
        <f>_DestuffedBits!C79</f>
        <v/>
      </c>
      <c r="C84">
        <f>G83</f>
        <v/>
      </c>
      <c r="D84">
        <f>_xlfn.BITAND(C84,1)</f>
        <v/>
      </c>
      <c r="E84">
        <f>_xlfn.BITRSHIFT(C84,1)</f>
        <v/>
      </c>
      <c r="F84">
        <f>_xlfn.BITXOR(D84,B84)</f>
        <v/>
      </c>
      <c r="G84">
        <f>IF(F84=1,_xlfn.BITXOR(E84,33800),E84)</f>
        <v/>
      </c>
    </row>
    <row r="85">
      <c r="A85" t="n">
        <v>79</v>
      </c>
      <c r="B85">
        <f>_DestuffedBits!C80</f>
        <v/>
      </c>
      <c r="C85">
        <f>G84</f>
        <v/>
      </c>
      <c r="D85">
        <f>_xlfn.BITAND(C85,1)</f>
        <v/>
      </c>
      <c r="E85">
        <f>_xlfn.BITRSHIFT(C85,1)</f>
        <v/>
      </c>
      <c r="F85">
        <f>_xlfn.BITXOR(D85,B85)</f>
        <v/>
      </c>
      <c r="G85">
        <f>IF(F85=1,_xlfn.BITXOR(E85,33800),E85)</f>
        <v/>
      </c>
    </row>
    <row r="86">
      <c r="A86" t="n">
        <v>80</v>
      </c>
      <c r="B86">
        <f>_DestuffedBits!C81</f>
        <v/>
      </c>
      <c r="C86">
        <f>G85</f>
        <v/>
      </c>
      <c r="D86">
        <f>_xlfn.BITAND(C86,1)</f>
        <v/>
      </c>
      <c r="E86">
        <f>_xlfn.BITRSHIFT(C86,1)</f>
        <v/>
      </c>
      <c r="F86">
        <f>_xlfn.BITXOR(D86,B86)</f>
        <v/>
      </c>
      <c r="G86">
        <f>IF(F86=1,_xlfn.BITXOR(E86,33800),E86)</f>
        <v/>
      </c>
    </row>
    <row r="87">
      <c r="A87" t="n">
        <v>81</v>
      </c>
      <c r="B87">
        <f>_DestuffedBits!C82</f>
        <v/>
      </c>
      <c r="C87">
        <f>G86</f>
        <v/>
      </c>
      <c r="D87">
        <f>_xlfn.BITAND(C87,1)</f>
        <v/>
      </c>
      <c r="E87">
        <f>_xlfn.BITRSHIFT(C87,1)</f>
        <v/>
      </c>
      <c r="F87">
        <f>_xlfn.BITXOR(D87,B87)</f>
        <v/>
      </c>
      <c r="G87">
        <f>IF(F87=1,_xlfn.BITXOR(E87,33800),E87)</f>
        <v/>
      </c>
    </row>
    <row r="88">
      <c r="A88" t="n">
        <v>82</v>
      </c>
      <c r="B88">
        <f>_DestuffedBits!C83</f>
        <v/>
      </c>
      <c r="C88">
        <f>G87</f>
        <v/>
      </c>
      <c r="D88">
        <f>_xlfn.BITAND(C88,1)</f>
        <v/>
      </c>
      <c r="E88">
        <f>_xlfn.BITRSHIFT(C88,1)</f>
        <v/>
      </c>
      <c r="F88">
        <f>_xlfn.BITXOR(D88,B88)</f>
        <v/>
      </c>
      <c r="G88">
        <f>IF(F88=1,_xlfn.BITXOR(E88,33800),E88)</f>
        <v/>
      </c>
    </row>
    <row r="89">
      <c r="A89" t="n">
        <v>83</v>
      </c>
      <c r="B89">
        <f>_DestuffedBits!C84</f>
        <v/>
      </c>
      <c r="C89">
        <f>G88</f>
        <v/>
      </c>
      <c r="D89">
        <f>_xlfn.BITAND(C89,1)</f>
        <v/>
      </c>
      <c r="E89">
        <f>_xlfn.BITRSHIFT(C89,1)</f>
        <v/>
      </c>
      <c r="F89">
        <f>_xlfn.BITXOR(D89,B89)</f>
        <v/>
      </c>
      <c r="G89">
        <f>IF(F89=1,_xlfn.BITXOR(E89,33800),E89)</f>
        <v/>
      </c>
    </row>
    <row r="90">
      <c r="A90" t="n">
        <v>84</v>
      </c>
      <c r="B90">
        <f>_DestuffedBits!C85</f>
        <v/>
      </c>
      <c r="C90">
        <f>G89</f>
        <v/>
      </c>
      <c r="D90">
        <f>_xlfn.BITAND(C90,1)</f>
        <v/>
      </c>
      <c r="E90">
        <f>_xlfn.BITRSHIFT(C90,1)</f>
        <v/>
      </c>
      <c r="F90">
        <f>_xlfn.BITXOR(D90,B90)</f>
        <v/>
      </c>
      <c r="G90">
        <f>IF(F90=1,_xlfn.BITXOR(E90,33800),E90)</f>
        <v/>
      </c>
    </row>
    <row r="91">
      <c r="A91" t="n">
        <v>85</v>
      </c>
      <c r="B91">
        <f>_DestuffedBits!C86</f>
        <v/>
      </c>
      <c r="C91">
        <f>G90</f>
        <v/>
      </c>
      <c r="D91">
        <f>_xlfn.BITAND(C91,1)</f>
        <v/>
      </c>
      <c r="E91">
        <f>_xlfn.BITRSHIFT(C91,1)</f>
        <v/>
      </c>
      <c r="F91">
        <f>_xlfn.BITXOR(D91,B91)</f>
        <v/>
      </c>
      <c r="G91">
        <f>IF(F91=1,_xlfn.BITXOR(E91,33800),E91)</f>
        <v/>
      </c>
    </row>
    <row r="92">
      <c r="A92" t="n">
        <v>86</v>
      </c>
      <c r="B92">
        <f>_DestuffedBits!C87</f>
        <v/>
      </c>
      <c r="C92">
        <f>G91</f>
        <v/>
      </c>
      <c r="D92">
        <f>_xlfn.BITAND(C92,1)</f>
        <v/>
      </c>
      <c r="E92">
        <f>_xlfn.BITRSHIFT(C92,1)</f>
        <v/>
      </c>
      <c r="F92">
        <f>_xlfn.BITXOR(D92,B92)</f>
        <v/>
      </c>
      <c r="G92">
        <f>IF(F92=1,_xlfn.BITXOR(E92,33800),E92)</f>
        <v/>
      </c>
    </row>
    <row r="93">
      <c r="A93" t="n">
        <v>87</v>
      </c>
      <c r="B93">
        <f>_DestuffedBits!C88</f>
        <v/>
      </c>
      <c r="C93">
        <f>G92</f>
        <v/>
      </c>
      <c r="D93">
        <f>_xlfn.BITAND(C93,1)</f>
        <v/>
      </c>
      <c r="E93">
        <f>_xlfn.BITRSHIFT(C93,1)</f>
        <v/>
      </c>
      <c r="F93">
        <f>_xlfn.BITXOR(D93,B93)</f>
        <v/>
      </c>
      <c r="G93">
        <f>IF(F93=1,_xlfn.BITXOR(E93,33800),E93)</f>
        <v/>
      </c>
    </row>
    <row r="94">
      <c r="A94" t="n">
        <v>88</v>
      </c>
      <c r="B94">
        <f>_DestuffedBits!C89</f>
        <v/>
      </c>
      <c r="C94">
        <f>G93</f>
        <v/>
      </c>
      <c r="D94">
        <f>_xlfn.BITAND(C94,1)</f>
        <v/>
      </c>
      <c r="E94">
        <f>_xlfn.BITRSHIFT(C94,1)</f>
        <v/>
      </c>
      <c r="F94">
        <f>_xlfn.BITXOR(D94,B94)</f>
        <v/>
      </c>
      <c r="G94">
        <f>IF(F94=1,_xlfn.BITXOR(E94,33800),E94)</f>
        <v/>
      </c>
    </row>
    <row r="95">
      <c r="A95" t="n">
        <v>89</v>
      </c>
      <c r="B95">
        <f>_DestuffedBits!C90</f>
        <v/>
      </c>
      <c r="C95">
        <f>G94</f>
        <v/>
      </c>
      <c r="D95">
        <f>_xlfn.BITAND(C95,1)</f>
        <v/>
      </c>
      <c r="E95">
        <f>_xlfn.BITRSHIFT(C95,1)</f>
        <v/>
      </c>
      <c r="F95">
        <f>_xlfn.BITXOR(D95,B95)</f>
        <v/>
      </c>
      <c r="G95">
        <f>IF(F95=1,_xlfn.BITXOR(E95,33800),E95)</f>
        <v/>
      </c>
    </row>
    <row r="96">
      <c r="A96" t="n">
        <v>90</v>
      </c>
      <c r="B96">
        <f>_DestuffedBits!C91</f>
        <v/>
      </c>
      <c r="C96">
        <f>G95</f>
        <v/>
      </c>
      <c r="D96">
        <f>_xlfn.BITAND(C96,1)</f>
        <v/>
      </c>
      <c r="E96">
        <f>_xlfn.BITRSHIFT(C96,1)</f>
        <v/>
      </c>
      <c r="F96">
        <f>_xlfn.BITXOR(D96,B96)</f>
        <v/>
      </c>
      <c r="G96">
        <f>IF(F96=1,_xlfn.BITXOR(E96,33800),E96)</f>
        <v/>
      </c>
    </row>
    <row r="97">
      <c r="A97" t="n">
        <v>91</v>
      </c>
      <c r="B97">
        <f>_DestuffedBits!C92</f>
        <v/>
      </c>
      <c r="C97">
        <f>G96</f>
        <v/>
      </c>
      <c r="D97">
        <f>_xlfn.BITAND(C97,1)</f>
        <v/>
      </c>
      <c r="E97">
        <f>_xlfn.BITRSHIFT(C97,1)</f>
        <v/>
      </c>
      <c r="F97">
        <f>_xlfn.BITXOR(D97,B97)</f>
        <v/>
      </c>
      <c r="G97">
        <f>IF(F97=1,_xlfn.BITXOR(E97,33800),E97)</f>
        <v/>
      </c>
    </row>
    <row r="98">
      <c r="A98" t="n">
        <v>92</v>
      </c>
      <c r="B98">
        <f>_DestuffedBits!C93</f>
        <v/>
      </c>
      <c r="C98">
        <f>G97</f>
        <v/>
      </c>
      <c r="D98">
        <f>_xlfn.BITAND(C98,1)</f>
        <v/>
      </c>
      <c r="E98">
        <f>_xlfn.BITRSHIFT(C98,1)</f>
        <v/>
      </c>
      <c r="F98">
        <f>_xlfn.BITXOR(D98,B98)</f>
        <v/>
      </c>
      <c r="G98">
        <f>IF(F98=1,_xlfn.BITXOR(E98,33800),E98)</f>
        <v/>
      </c>
    </row>
    <row r="99">
      <c r="A99" t="n">
        <v>93</v>
      </c>
      <c r="B99">
        <f>_DestuffedBits!C94</f>
        <v/>
      </c>
      <c r="C99">
        <f>G98</f>
        <v/>
      </c>
      <c r="D99">
        <f>_xlfn.BITAND(C99,1)</f>
        <v/>
      </c>
      <c r="E99">
        <f>_xlfn.BITRSHIFT(C99,1)</f>
        <v/>
      </c>
      <c r="F99">
        <f>_xlfn.BITXOR(D99,B99)</f>
        <v/>
      </c>
      <c r="G99">
        <f>IF(F99=1,_xlfn.BITXOR(E99,33800),E99)</f>
        <v/>
      </c>
    </row>
    <row r="100">
      <c r="A100" t="n">
        <v>94</v>
      </c>
      <c r="B100">
        <f>_DestuffedBits!C95</f>
        <v/>
      </c>
      <c r="C100">
        <f>G99</f>
        <v/>
      </c>
      <c r="D100">
        <f>_xlfn.BITAND(C100,1)</f>
        <v/>
      </c>
      <c r="E100">
        <f>_xlfn.BITRSHIFT(C100,1)</f>
        <v/>
      </c>
      <c r="F100">
        <f>_xlfn.BITXOR(D100,B100)</f>
        <v/>
      </c>
      <c r="G100">
        <f>IF(F100=1,_xlfn.BITXOR(E100,33800),E100)</f>
        <v/>
      </c>
    </row>
    <row r="101">
      <c r="A101" t="n">
        <v>95</v>
      </c>
      <c r="B101">
        <f>_DestuffedBits!C96</f>
        <v/>
      </c>
      <c r="C101">
        <f>G100</f>
        <v/>
      </c>
      <c r="D101">
        <f>_xlfn.BITAND(C101,1)</f>
        <v/>
      </c>
      <c r="E101">
        <f>_xlfn.BITRSHIFT(C101,1)</f>
        <v/>
      </c>
      <c r="F101">
        <f>_xlfn.BITXOR(D101,B101)</f>
        <v/>
      </c>
      <c r="G101">
        <f>IF(F101=1,_xlfn.BITXOR(E101,33800),E101)</f>
        <v/>
      </c>
    </row>
    <row r="102">
      <c r="A102" t="n">
        <v>96</v>
      </c>
      <c r="B102">
        <f>_DestuffedBits!C97</f>
        <v/>
      </c>
      <c r="C102">
        <f>G101</f>
        <v/>
      </c>
      <c r="D102">
        <f>_xlfn.BITAND(C102,1)</f>
        <v/>
      </c>
      <c r="E102">
        <f>_xlfn.BITRSHIFT(C102,1)</f>
        <v/>
      </c>
      <c r="F102">
        <f>_xlfn.BITXOR(D102,B102)</f>
        <v/>
      </c>
      <c r="G102">
        <f>IF(F102=1,_xlfn.BITXOR(E102,33800),E102)</f>
        <v/>
      </c>
    </row>
    <row r="103">
      <c r="A103" t="n">
        <v>97</v>
      </c>
      <c r="B103">
        <f>_DestuffedBits!C98</f>
        <v/>
      </c>
      <c r="C103">
        <f>G102</f>
        <v/>
      </c>
      <c r="D103">
        <f>_xlfn.BITAND(C103,1)</f>
        <v/>
      </c>
      <c r="E103">
        <f>_xlfn.BITRSHIFT(C103,1)</f>
        <v/>
      </c>
      <c r="F103">
        <f>_xlfn.BITXOR(D103,B103)</f>
        <v/>
      </c>
      <c r="G103">
        <f>IF(F103=1,_xlfn.BITXOR(E103,33800),E103)</f>
        <v/>
      </c>
    </row>
    <row r="104">
      <c r="A104" t="n">
        <v>98</v>
      </c>
      <c r="B104">
        <f>_DestuffedBits!C99</f>
        <v/>
      </c>
      <c r="C104">
        <f>G103</f>
        <v/>
      </c>
      <c r="D104">
        <f>_xlfn.BITAND(C104,1)</f>
        <v/>
      </c>
      <c r="E104">
        <f>_xlfn.BITRSHIFT(C104,1)</f>
        <v/>
      </c>
      <c r="F104">
        <f>_xlfn.BITXOR(D104,B104)</f>
        <v/>
      </c>
      <c r="G104">
        <f>IF(F104=1,_xlfn.BITXOR(E104,33800),E104)</f>
        <v/>
      </c>
    </row>
    <row r="105">
      <c r="A105" t="n">
        <v>99</v>
      </c>
      <c r="B105">
        <f>_DestuffedBits!C100</f>
        <v/>
      </c>
      <c r="C105">
        <f>G104</f>
        <v/>
      </c>
      <c r="D105">
        <f>_xlfn.BITAND(C105,1)</f>
        <v/>
      </c>
      <c r="E105">
        <f>_xlfn.BITRSHIFT(C105,1)</f>
        <v/>
      </c>
      <c r="F105">
        <f>_xlfn.BITXOR(D105,B105)</f>
        <v/>
      </c>
      <c r="G105">
        <f>IF(F105=1,_xlfn.BITXOR(E105,33800),E105)</f>
        <v/>
      </c>
    </row>
    <row r="106">
      <c r="A106" t="n">
        <v>100</v>
      </c>
      <c r="B106">
        <f>_DestuffedBits!C101</f>
        <v/>
      </c>
      <c r="C106">
        <f>G105</f>
        <v/>
      </c>
      <c r="D106">
        <f>_xlfn.BITAND(C106,1)</f>
        <v/>
      </c>
      <c r="E106">
        <f>_xlfn.BITRSHIFT(C106,1)</f>
        <v/>
      </c>
      <c r="F106">
        <f>_xlfn.BITXOR(D106,B106)</f>
        <v/>
      </c>
      <c r="G106">
        <f>IF(F106=1,_xlfn.BITXOR(E106,33800),E106)</f>
        <v/>
      </c>
    </row>
    <row r="107">
      <c r="A107" t="n">
        <v>101</v>
      </c>
      <c r="B107">
        <f>_DestuffedBits!C102</f>
        <v/>
      </c>
      <c r="C107">
        <f>G106</f>
        <v/>
      </c>
      <c r="D107">
        <f>_xlfn.BITAND(C107,1)</f>
        <v/>
      </c>
      <c r="E107">
        <f>_xlfn.BITRSHIFT(C107,1)</f>
        <v/>
      </c>
      <c r="F107">
        <f>_xlfn.BITXOR(D107,B107)</f>
        <v/>
      </c>
      <c r="G107">
        <f>IF(F107=1,_xlfn.BITXOR(E107,33800),E107)</f>
        <v/>
      </c>
    </row>
    <row r="108">
      <c r="A108" t="n">
        <v>102</v>
      </c>
      <c r="B108">
        <f>_DestuffedBits!C103</f>
        <v/>
      </c>
      <c r="C108">
        <f>G107</f>
        <v/>
      </c>
      <c r="D108">
        <f>_xlfn.BITAND(C108,1)</f>
        <v/>
      </c>
      <c r="E108">
        <f>_xlfn.BITRSHIFT(C108,1)</f>
        <v/>
      </c>
      <c r="F108">
        <f>_xlfn.BITXOR(D108,B108)</f>
        <v/>
      </c>
      <c r="G108">
        <f>IF(F108=1,_xlfn.BITXOR(E108,33800),E108)</f>
        <v/>
      </c>
    </row>
    <row r="109">
      <c r="A109" t="n">
        <v>103</v>
      </c>
      <c r="B109">
        <f>_DestuffedBits!C104</f>
        <v/>
      </c>
      <c r="C109">
        <f>G108</f>
        <v/>
      </c>
      <c r="D109">
        <f>_xlfn.BITAND(C109,1)</f>
        <v/>
      </c>
      <c r="E109">
        <f>_xlfn.BITRSHIFT(C109,1)</f>
        <v/>
      </c>
      <c r="F109">
        <f>_xlfn.BITXOR(D109,B109)</f>
        <v/>
      </c>
      <c r="G109">
        <f>IF(F109=1,_xlfn.BITXOR(E109,33800),E109)</f>
        <v/>
      </c>
    </row>
    <row r="110">
      <c r="A110" t="n">
        <v>104</v>
      </c>
      <c r="B110">
        <f>_DestuffedBits!C105</f>
        <v/>
      </c>
      <c r="C110">
        <f>G109</f>
        <v/>
      </c>
      <c r="D110">
        <f>_xlfn.BITAND(C110,1)</f>
        <v/>
      </c>
      <c r="E110">
        <f>_xlfn.BITRSHIFT(C110,1)</f>
        <v/>
      </c>
      <c r="F110">
        <f>_xlfn.BITXOR(D110,B110)</f>
        <v/>
      </c>
      <c r="G110">
        <f>IF(F110=1,_xlfn.BITXOR(E110,33800),E110)</f>
        <v/>
      </c>
    </row>
    <row r="111">
      <c r="A111" t="n">
        <v>105</v>
      </c>
      <c r="B111">
        <f>_DestuffedBits!C106</f>
        <v/>
      </c>
      <c r="C111">
        <f>G110</f>
        <v/>
      </c>
      <c r="D111">
        <f>_xlfn.BITAND(C111,1)</f>
        <v/>
      </c>
      <c r="E111">
        <f>_xlfn.BITRSHIFT(C111,1)</f>
        <v/>
      </c>
      <c r="F111">
        <f>_xlfn.BITXOR(D111,B111)</f>
        <v/>
      </c>
      <c r="G111">
        <f>IF(F111=1,_xlfn.BITXOR(E111,33800),E111)</f>
        <v/>
      </c>
    </row>
    <row r="112">
      <c r="A112" t="n">
        <v>106</v>
      </c>
      <c r="B112">
        <f>_DestuffedBits!C107</f>
        <v/>
      </c>
      <c r="C112">
        <f>G111</f>
        <v/>
      </c>
      <c r="D112">
        <f>_xlfn.BITAND(C112,1)</f>
        <v/>
      </c>
      <c r="E112">
        <f>_xlfn.BITRSHIFT(C112,1)</f>
        <v/>
      </c>
      <c r="F112">
        <f>_xlfn.BITXOR(D112,B112)</f>
        <v/>
      </c>
      <c r="G112">
        <f>IF(F112=1,_xlfn.BITXOR(E112,33800),E112)</f>
        <v/>
      </c>
    </row>
    <row r="113">
      <c r="A113" t="n">
        <v>107</v>
      </c>
      <c r="B113">
        <f>_DestuffedBits!C108</f>
        <v/>
      </c>
      <c r="C113">
        <f>G112</f>
        <v/>
      </c>
      <c r="D113">
        <f>_xlfn.BITAND(C113,1)</f>
        <v/>
      </c>
      <c r="E113">
        <f>_xlfn.BITRSHIFT(C113,1)</f>
        <v/>
      </c>
      <c r="F113">
        <f>_xlfn.BITXOR(D113,B113)</f>
        <v/>
      </c>
      <c r="G113">
        <f>IF(F113=1,_xlfn.BITXOR(E113,33800),E113)</f>
        <v/>
      </c>
    </row>
    <row r="114">
      <c r="A114" t="n">
        <v>108</v>
      </c>
      <c r="B114">
        <f>_DestuffedBits!C109</f>
        <v/>
      </c>
      <c r="C114">
        <f>G113</f>
        <v/>
      </c>
      <c r="D114">
        <f>_xlfn.BITAND(C114,1)</f>
        <v/>
      </c>
      <c r="E114">
        <f>_xlfn.BITRSHIFT(C114,1)</f>
        <v/>
      </c>
      <c r="F114">
        <f>_xlfn.BITXOR(D114,B114)</f>
        <v/>
      </c>
      <c r="G114">
        <f>IF(F114=1,_xlfn.BITXOR(E114,33800),E114)</f>
        <v/>
      </c>
    </row>
    <row r="115">
      <c r="A115" t="n">
        <v>109</v>
      </c>
      <c r="B115">
        <f>_DestuffedBits!C110</f>
        <v/>
      </c>
      <c r="C115">
        <f>G114</f>
        <v/>
      </c>
      <c r="D115">
        <f>_xlfn.BITAND(C115,1)</f>
        <v/>
      </c>
      <c r="E115">
        <f>_xlfn.BITRSHIFT(C115,1)</f>
        <v/>
      </c>
      <c r="F115">
        <f>_xlfn.BITXOR(D115,B115)</f>
        <v/>
      </c>
      <c r="G115">
        <f>IF(F115=1,_xlfn.BITXOR(E115,33800),E115)</f>
        <v/>
      </c>
    </row>
    <row r="116">
      <c r="A116" t="n">
        <v>110</v>
      </c>
      <c r="B116">
        <f>_DestuffedBits!C111</f>
        <v/>
      </c>
      <c r="C116">
        <f>G115</f>
        <v/>
      </c>
      <c r="D116">
        <f>_xlfn.BITAND(C116,1)</f>
        <v/>
      </c>
      <c r="E116">
        <f>_xlfn.BITRSHIFT(C116,1)</f>
        <v/>
      </c>
      <c r="F116">
        <f>_xlfn.BITXOR(D116,B116)</f>
        <v/>
      </c>
      <c r="G116">
        <f>IF(F116=1,_xlfn.BITXOR(E116,33800),E116)</f>
        <v/>
      </c>
    </row>
    <row r="117">
      <c r="A117" t="n">
        <v>111</v>
      </c>
      <c r="B117">
        <f>_DestuffedBits!C112</f>
        <v/>
      </c>
      <c r="C117">
        <f>G116</f>
        <v/>
      </c>
      <c r="D117">
        <f>_xlfn.BITAND(C117,1)</f>
        <v/>
      </c>
      <c r="E117">
        <f>_xlfn.BITRSHIFT(C117,1)</f>
        <v/>
      </c>
      <c r="F117">
        <f>_xlfn.BITXOR(D117,B117)</f>
        <v/>
      </c>
      <c r="G117">
        <f>IF(F117=1,_xlfn.BITXOR(E117,33800),E117)</f>
        <v/>
      </c>
    </row>
    <row r="118">
      <c r="A118" t="n">
        <v>112</v>
      </c>
      <c r="B118">
        <f>_DestuffedBits!C113</f>
        <v/>
      </c>
      <c r="C118">
        <f>G117</f>
        <v/>
      </c>
      <c r="D118">
        <f>_xlfn.BITAND(C118,1)</f>
        <v/>
      </c>
      <c r="E118">
        <f>_xlfn.BITRSHIFT(C118,1)</f>
        <v/>
      </c>
      <c r="F118">
        <f>_xlfn.BITXOR(D118,B118)</f>
        <v/>
      </c>
      <c r="G118">
        <f>IF(F118=1,_xlfn.BITXOR(E118,33800),E118)</f>
        <v/>
      </c>
    </row>
    <row r="119">
      <c r="A119" t="n">
        <v>113</v>
      </c>
      <c r="B119">
        <f>_DestuffedBits!C114</f>
        <v/>
      </c>
      <c r="C119">
        <f>G118</f>
        <v/>
      </c>
      <c r="D119">
        <f>_xlfn.BITAND(C119,1)</f>
        <v/>
      </c>
      <c r="E119">
        <f>_xlfn.BITRSHIFT(C119,1)</f>
        <v/>
      </c>
      <c r="F119">
        <f>_xlfn.BITXOR(D119,B119)</f>
        <v/>
      </c>
      <c r="G119">
        <f>IF(F119=1,_xlfn.BITXOR(E119,33800),E119)</f>
        <v/>
      </c>
    </row>
    <row r="120">
      <c r="A120" t="n">
        <v>114</v>
      </c>
      <c r="B120">
        <f>_DestuffedBits!C115</f>
        <v/>
      </c>
      <c r="C120">
        <f>G119</f>
        <v/>
      </c>
      <c r="D120">
        <f>_xlfn.BITAND(C120,1)</f>
        <v/>
      </c>
      <c r="E120">
        <f>_xlfn.BITRSHIFT(C120,1)</f>
        <v/>
      </c>
      <c r="F120">
        <f>_xlfn.BITXOR(D120,B120)</f>
        <v/>
      </c>
      <c r="G120">
        <f>IF(F120=1,_xlfn.BITXOR(E120,33800),E120)</f>
        <v/>
      </c>
    </row>
    <row r="121">
      <c r="A121" t="n">
        <v>115</v>
      </c>
      <c r="B121">
        <f>_DestuffedBits!C116</f>
        <v/>
      </c>
      <c r="C121">
        <f>G120</f>
        <v/>
      </c>
      <c r="D121">
        <f>_xlfn.BITAND(C121,1)</f>
        <v/>
      </c>
      <c r="E121">
        <f>_xlfn.BITRSHIFT(C121,1)</f>
        <v/>
      </c>
      <c r="F121">
        <f>_xlfn.BITXOR(D121,B121)</f>
        <v/>
      </c>
      <c r="G121">
        <f>IF(F121=1,_xlfn.BITXOR(E121,33800),E121)</f>
        <v/>
      </c>
    </row>
    <row r="122">
      <c r="A122" t="n">
        <v>116</v>
      </c>
      <c r="B122">
        <f>_DestuffedBits!C117</f>
        <v/>
      </c>
      <c r="C122">
        <f>G121</f>
        <v/>
      </c>
      <c r="D122">
        <f>_xlfn.BITAND(C122,1)</f>
        <v/>
      </c>
      <c r="E122">
        <f>_xlfn.BITRSHIFT(C122,1)</f>
        <v/>
      </c>
      <c r="F122">
        <f>_xlfn.BITXOR(D122,B122)</f>
        <v/>
      </c>
      <c r="G122">
        <f>IF(F122=1,_xlfn.BITXOR(E122,33800),E122)</f>
        <v/>
      </c>
    </row>
    <row r="123">
      <c r="A123" t="n">
        <v>117</v>
      </c>
      <c r="B123">
        <f>_DestuffedBits!C118</f>
        <v/>
      </c>
      <c r="C123">
        <f>G122</f>
        <v/>
      </c>
      <c r="D123">
        <f>_xlfn.BITAND(C123,1)</f>
        <v/>
      </c>
      <c r="E123">
        <f>_xlfn.BITRSHIFT(C123,1)</f>
        <v/>
      </c>
      <c r="F123">
        <f>_xlfn.BITXOR(D123,B123)</f>
        <v/>
      </c>
      <c r="G123">
        <f>IF(F123=1,_xlfn.BITXOR(E123,33800),E123)</f>
        <v/>
      </c>
    </row>
    <row r="124">
      <c r="A124" t="n">
        <v>118</v>
      </c>
      <c r="B124">
        <f>_DestuffedBits!C119</f>
        <v/>
      </c>
      <c r="C124">
        <f>G123</f>
        <v/>
      </c>
      <c r="D124">
        <f>_xlfn.BITAND(C124,1)</f>
        <v/>
      </c>
      <c r="E124">
        <f>_xlfn.BITRSHIFT(C124,1)</f>
        <v/>
      </c>
      <c r="F124">
        <f>_xlfn.BITXOR(D124,B124)</f>
        <v/>
      </c>
      <c r="G124">
        <f>IF(F124=1,_xlfn.BITXOR(E124,33800),E124)</f>
        <v/>
      </c>
    </row>
    <row r="125">
      <c r="A125" t="n">
        <v>119</v>
      </c>
      <c r="B125">
        <f>_DestuffedBits!C120</f>
        <v/>
      </c>
      <c r="C125">
        <f>G124</f>
        <v/>
      </c>
      <c r="D125">
        <f>_xlfn.BITAND(C125,1)</f>
        <v/>
      </c>
      <c r="E125">
        <f>_xlfn.BITRSHIFT(C125,1)</f>
        <v/>
      </c>
      <c r="F125">
        <f>_xlfn.BITXOR(D125,B125)</f>
        <v/>
      </c>
      <c r="G125">
        <f>IF(F125=1,_xlfn.BITXOR(E125,33800),E125)</f>
        <v/>
      </c>
    </row>
    <row r="126">
      <c r="A126" t="n">
        <v>120</v>
      </c>
      <c r="B126">
        <f>_DestuffedBits!C121</f>
        <v/>
      </c>
      <c r="C126">
        <f>G125</f>
        <v/>
      </c>
      <c r="D126">
        <f>_xlfn.BITAND(C126,1)</f>
        <v/>
      </c>
      <c r="E126">
        <f>_xlfn.BITRSHIFT(C126,1)</f>
        <v/>
      </c>
      <c r="F126">
        <f>_xlfn.BITXOR(D126,B126)</f>
        <v/>
      </c>
      <c r="G126">
        <f>IF(F126=1,_xlfn.BITXOR(E126,33800),E126)</f>
        <v/>
      </c>
    </row>
    <row r="127">
      <c r="A127" t="n">
        <v>121</v>
      </c>
      <c r="B127">
        <f>_DestuffedBits!C122</f>
        <v/>
      </c>
      <c r="C127">
        <f>G126</f>
        <v/>
      </c>
      <c r="D127">
        <f>_xlfn.BITAND(C127,1)</f>
        <v/>
      </c>
      <c r="E127">
        <f>_xlfn.BITRSHIFT(C127,1)</f>
        <v/>
      </c>
      <c r="F127">
        <f>_xlfn.BITXOR(D127,B127)</f>
        <v/>
      </c>
      <c r="G127">
        <f>IF(F127=1,_xlfn.BITXOR(E127,33800),E127)</f>
        <v/>
      </c>
    </row>
    <row r="128">
      <c r="A128" t="n">
        <v>122</v>
      </c>
      <c r="B128">
        <f>_DestuffedBits!C123</f>
        <v/>
      </c>
      <c r="C128">
        <f>G127</f>
        <v/>
      </c>
      <c r="D128">
        <f>_xlfn.BITAND(C128,1)</f>
        <v/>
      </c>
      <c r="E128">
        <f>_xlfn.BITRSHIFT(C128,1)</f>
        <v/>
      </c>
      <c r="F128">
        <f>_xlfn.BITXOR(D128,B128)</f>
        <v/>
      </c>
      <c r="G128">
        <f>IF(F128=1,_xlfn.BITXOR(E128,33800),E128)</f>
        <v/>
      </c>
    </row>
    <row r="129">
      <c r="A129" t="n">
        <v>123</v>
      </c>
      <c r="B129">
        <f>_DestuffedBits!C124</f>
        <v/>
      </c>
      <c r="C129">
        <f>G128</f>
        <v/>
      </c>
      <c r="D129">
        <f>_xlfn.BITAND(C129,1)</f>
        <v/>
      </c>
      <c r="E129">
        <f>_xlfn.BITRSHIFT(C129,1)</f>
        <v/>
      </c>
      <c r="F129">
        <f>_xlfn.BITXOR(D129,B129)</f>
        <v/>
      </c>
      <c r="G129">
        <f>IF(F129=1,_xlfn.BITXOR(E129,33800),E129)</f>
        <v/>
      </c>
    </row>
    <row r="130">
      <c r="A130" t="n">
        <v>124</v>
      </c>
      <c r="B130">
        <f>_DestuffedBits!C125</f>
        <v/>
      </c>
      <c r="C130">
        <f>G129</f>
        <v/>
      </c>
      <c r="D130">
        <f>_xlfn.BITAND(C130,1)</f>
        <v/>
      </c>
      <c r="E130">
        <f>_xlfn.BITRSHIFT(C130,1)</f>
        <v/>
      </c>
      <c r="F130">
        <f>_xlfn.BITXOR(D130,B130)</f>
        <v/>
      </c>
      <c r="G130">
        <f>IF(F130=1,_xlfn.BITXOR(E130,33800),E130)</f>
        <v/>
      </c>
    </row>
    <row r="131">
      <c r="A131" t="n">
        <v>125</v>
      </c>
      <c r="B131">
        <f>_DestuffedBits!C126</f>
        <v/>
      </c>
      <c r="C131">
        <f>G130</f>
        <v/>
      </c>
      <c r="D131">
        <f>_xlfn.BITAND(C131,1)</f>
        <v/>
      </c>
      <c r="E131">
        <f>_xlfn.BITRSHIFT(C131,1)</f>
        <v/>
      </c>
      <c r="F131">
        <f>_xlfn.BITXOR(D131,B131)</f>
        <v/>
      </c>
      <c r="G131">
        <f>IF(F131=1,_xlfn.BITXOR(E131,33800),E131)</f>
        <v/>
      </c>
    </row>
    <row r="132">
      <c r="A132" t="n">
        <v>126</v>
      </c>
      <c r="B132">
        <f>_DestuffedBits!C127</f>
        <v/>
      </c>
      <c r="C132">
        <f>G131</f>
        <v/>
      </c>
      <c r="D132">
        <f>_xlfn.BITAND(C132,1)</f>
        <v/>
      </c>
      <c r="E132">
        <f>_xlfn.BITRSHIFT(C132,1)</f>
        <v/>
      </c>
      <c r="F132">
        <f>_xlfn.BITXOR(D132,B132)</f>
        <v/>
      </c>
      <c r="G132">
        <f>IF(F132=1,_xlfn.BITXOR(E132,33800),E132)</f>
        <v/>
      </c>
    </row>
    <row r="133">
      <c r="A133" t="n">
        <v>127</v>
      </c>
      <c r="B133">
        <f>_DestuffedBits!C128</f>
        <v/>
      </c>
      <c r="C133">
        <f>G132</f>
        <v/>
      </c>
      <c r="D133">
        <f>_xlfn.BITAND(C133,1)</f>
        <v/>
      </c>
      <c r="E133">
        <f>_xlfn.BITRSHIFT(C133,1)</f>
        <v/>
      </c>
      <c r="F133">
        <f>_xlfn.BITXOR(D133,B133)</f>
        <v/>
      </c>
      <c r="G133">
        <f>IF(F133=1,_xlfn.BITXOR(E133,33800),E133)</f>
        <v/>
      </c>
    </row>
    <row r="134">
      <c r="A134" t="n">
        <v>128</v>
      </c>
      <c r="B134">
        <f>_DestuffedBits!C129</f>
        <v/>
      </c>
      <c r="C134">
        <f>G133</f>
        <v/>
      </c>
      <c r="D134">
        <f>_xlfn.BITAND(C134,1)</f>
        <v/>
      </c>
      <c r="E134">
        <f>_xlfn.BITRSHIFT(C134,1)</f>
        <v/>
      </c>
      <c r="F134">
        <f>_xlfn.BITXOR(D134,B134)</f>
        <v/>
      </c>
      <c r="G134">
        <f>IF(F134=1,_xlfn.BITXOR(E134,33800),E134)</f>
        <v/>
      </c>
    </row>
    <row r="135">
      <c r="A135" t="n">
        <v>129</v>
      </c>
      <c r="B135">
        <f>_DestuffedBits!C130</f>
        <v/>
      </c>
      <c r="C135">
        <f>G134</f>
        <v/>
      </c>
      <c r="D135">
        <f>_xlfn.BITAND(C135,1)</f>
        <v/>
      </c>
      <c r="E135">
        <f>_xlfn.BITRSHIFT(C135,1)</f>
        <v/>
      </c>
      <c r="F135">
        <f>_xlfn.BITXOR(D135,B135)</f>
        <v/>
      </c>
      <c r="G135">
        <f>IF(F135=1,_xlfn.BITXOR(E135,33800),E135)</f>
        <v/>
      </c>
    </row>
    <row r="136">
      <c r="A136" t="n">
        <v>130</v>
      </c>
      <c r="B136">
        <f>_DestuffedBits!C131</f>
        <v/>
      </c>
      <c r="C136">
        <f>G135</f>
        <v/>
      </c>
      <c r="D136">
        <f>_xlfn.BITAND(C136,1)</f>
        <v/>
      </c>
      <c r="E136">
        <f>_xlfn.BITRSHIFT(C136,1)</f>
        <v/>
      </c>
      <c r="F136">
        <f>_xlfn.BITXOR(D136,B136)</f>
        <v/>
      </c>
      <c r="G136">
        <f>IF(F136=1,_xlfn.BITXOR(E136,33800),E136)</f>
        <v/>
      </c>
    </row>
    <row r="137">
      <c r="A137" t="n">
        <v>131</v>
      </c>
      <c r="B137">
        <f>_DestuffedBits!C132</f>
        <v/>
      </c>
      <c r="C137">
        <f>G136</f>
        <v/>
      </c>
      <c r="D137">
        <f>_xlfn.BITAND(C137,1)</f>
        <v/>
      </c>
      <c r="E137">
        <f>_xlfn.BITRSHIFT(C137,1)</f>
        <v/>
      </c>
      <c r="F137">
        <f>_xlfn.BITXOR(D137,B137)</f>
        <v/>
      </c>
      <c r="G137">
        <f>IF(F137=1,_xlfn.BITXOR(E137,33800),E137)</f>
        <v/>
      </c>
    </row>
    <row r="138">
      <c r="A138" t="n">
        <v>132</v>
      </c>
      <c r="B138">
        <f>_DestuffedBits!C133</f>
        <v/>
      </c>
      <c r="C138">
        <f>G137</f>
        <v/>
      </c>
      <c r="D138">
        <f>_xlfn.BITAND(C138,1)</f>
        <v/>
      </c>
      <c r="E138">
        <f>_xlfn.BITRSHIFT(C138,1)</f>
        <v/>
      </c>
      <c r="F138">
        <f>_xlfn.BITXOR(D138,B138)</f>
        <v/>
      </c>
      <c r="G138">
        <f>IF(F138=1,_xlfn.BITXOR(E138,33800),E138)</f>
        <v/>
      </c>
    </row>
    <row r="139">
      <c r="A139" t="n">
        <v>133</v>
      </c>
      <c r="B139">
        <f>_DestuffedBits!C134</f>
        <v/>
      </c>
      <c r="C139">
        <f>G138</f>
        <v/>
      </c>
      <c r="D139">
        <f>_xlfn.BITAND(C139,1)</f>
        <v/>
      </c>
      <c r="E139">
        <f>_xlfn.BITRSHIFT(C139,1)</f>
        <v/>
      </c>
      <c r="F139">
        <f>_xlfn.BITXOR(D139,B139)</f>
        <v/>
      </c>
      <c r="G139">
        <f>IF(F139=1,_xlfn.BITXOR(E139,33800),E139)</f>
        <v/>
      </c>
    </row>
    <row r="140">
      <c r="A140" t="n">
        <v>134</v>
      </c>
      <c r="B140">
        <f>_DestuffedBits!C135</f>
        <v/>
      </c>
      <c r="C140">
        <f>G139</f>
        <v/>
      </c>
      <c r="D140">
        <f>_xlfn.BITAND(C140,1)</f>
        <v/>
      </c>
      <c r="E140">
        <f>_xlfn.BITRSHIFT(C140,1)</f>
        <v/>
      </c>
      <c r="F140">
        <f>_xlfn.BITXOR(D140,B140)</f>
        <v/>
      </c>
      <c r="G140">
        <f>IF(F140=1,_xlfn.BITXOR(E140,33800),E140)</f>
        <v/>
      </c>
    </row>
    <row r="141">
      <c r="A141" t="n">
        <v>135</v>
      </c>
      <c r="B141">
        <f>_DestuffedBits!C136</f>
        <v/>
      </c>
      <c r="C141">
        <f>G140</f>
        <v/>
      </c>
      <c r="D141">
        <f>_xlfn.BITAND(C141,1)</f>
        <v/>
      </c>
      <c r="E141">
        <f>_xlfn.BITRSHIFT(C141,1)</f>
        <v/>
      </c>
      <c r="F141">
        <f>_xlfn.BITXOR(D141,B141)</f>
        <v/>
      </c>
      <c r="G141">
        <f>IF(F141=1,_xlfn.BITXOR(E141,33800),E141)</f>
        <v/>
      </c>
    </row>
    <row r="142">
      <c r="A142" t="n">
        <v>136</v>
      </c>
      <c r="B142">
        <f>_DestuffedBits!C137</f>
        <v/>
      </c>
      <c r="C142">
        <f>G141</f>
        <v/>
      </c>
      <c r="D142">
        <f>_xlfn.BITAND(C142,1)</f>
        <v/>
      </c>
      <c r="E142">
        <f>_xlfn.BITRSHIFT(C142,1)</f>
        <v/>
      </c>
      <c r="F142">
        <f>_xlfn.BITXOR(D142,B142)</f>
        <v/>
      </c>
      <c r="G142">
        <f>IF(F142=1,_xlfn.BITXOR(E142,33800),E142)</f>
        <v/>
      </c>
    </row>
    <row r="143">
      <c r="A143" t="n">
        <v>137</v>
      </c>
      <c r="B143">
        <f>_DestuffedBits!C138</f>
        <v/>
      </c>
      <c r="C143">
        <f>G142</f>
        <v/>
      </c>
      <c r="D143">
        <f>_xlfn.BITAND(C143,1)</f>
        <v/>
      </c>
      <c r="E143">
        <f>_xlfn.BITRSHIFT(C143,1)</f>
        <v/>
      </c>
      <c r="F143">
        <f>_xlfn.BITXOR(D143,B143)</f>
        <v/>
      </c>
      <c r="G143">
        <f>IF(F143=1,_xlfn.BITXOR(E143,33800),E143)</f>
        <v/>
      </c>
    </row>
    <row r="144">
      <c r="A144" t="n">
        <v>138</v>
      </c>
      <c r="B144">
        <f>_DestuffedBits!C139</f>
        <v/>
      </c>
      <c r="C144">
        <f>G143</f>
        <v/>
      </c>
      <c r="D144">
        <f>_xlfn.BITAND(C144,1)</f>
        <v/>
      </c>
      <c r="E144">
        <f>_xlfn.BITRSHIFT(C144,1)</f>
        <v/>
      </c>
      <c r="F144">
        <f>_xlfn.BITXOR(D144,B144)</f>
        <v/>
      </c>
      <c r="G144">
        <f>IF(F144=1,_xlfn.BITXOR(E144,33800),E144)</f>
        <v/>
      </c>
    </row>
    <row r="145">
      <c r="A145" t="n">
        <v>139</v>
      </c>
      <c r="B145">
        <f>_DestuffedBits!C140</f>
        <v/>
      </c>
      <c r="C145">
        <f>G144</f>
        <v/>
      </c>
      <c r="D145">
        <f>_xlfn.BITAND(C145,1)</f>
        <v/>
      </c>
      <c r="E145">
        <f>_xlfn.BITRSHIFT(C145,1)</f>
        <v/>
      </c>
      <c r="F145">
        <f>_xlfn.BITXOR(D145,B145)</f>
        <v/>
      </c>
      <c r="G145">
        <f>IF(F145=1,_xlfn.BITXOR(E145,33800),E145)</f>
        <v/>
      </c>
    </row>
    <row r="146">
      <c r="A146" t="n">
        <v>140</v>
      </c>
      <c r="B146">
        <f>_DestuffedBits!C141</f>
        <v/>
      </c>
      <c r="C146">
        <f>G145</f>
        <v/>
      </c>
      <c r="D146">
        <f>_xlfn.BITAND(C146,1)</f>
        <v/>
      </c>
      <c r="E146">
        <f>_xlfn.BITRSHIFT(C146,1)</f>
        <v/>
      </c>
      <c r="F146">
        <f>_xlfn.BITXOR(D146,B146)</f>
        <v/>
      </c>
      <c r="G146">
        <f>IF(F146=1,_xlfn.BITXOR(E146,33800),E146)</f>
        <v/>
      </c>
    </row>
    <row r="147">
      <c r="A147" t="n">
        <v>141</v>
      </c>
      <c r="B147">
        <f>_DestuffedBits!C142</f>
        <v/>
      </c>
      <c r="C147">
        <f>G146</f>
        <v/>
      </c>
      <c r="D147">
        <f>_xlfn.BITAND(C147,1)</f>
        <v/>
      </c>
      <c r="E147">
        <f>_xlfn.BITRSHIFT(C147,1)</f>
        <v/>
      </c>
      <c r="F147">
        <f>_xlfn.BITXOR(D147,B147)</f>
        <v/>
      </c>
      <c r="G147">
        <f>IF(F147=1,_xlfn.BITXOR(E147,33800),E147)</f>
        <v/>
      </c>
    </row>
    <row r="148">
      <c r="A148" t="n">
        <v>142</v>
      </c>
      <c r="B148">
        <f>_DestuffedBits!C143</f>
        <v/>
      </c>
      <c r="C148">
        <f>G147</f>
        <v/>
      </c>
      <c r="D148">
        <f>_xlfn.BITAND(C148,1)</f>
        <v/>
      </c>
      <c r="E148">
        <f>_xlfn.BITRSHIFT(C148,1)</f>
        <v/>
      </c>
      <c r="F148">
        <f>_xlfn.BITXOR(D148,B148)</f>
        <v/>
      </c>
      <c r="G148">
        <f>IF(F148=1,_xlfn.BITXOR(E148,33800),E148)</f>
        <v/>
      </c>
    </row>
    <row r="149">
      <c r="A149" t="n">
        <v>143</v>
      </c>
      <c r="B149">
        <f>_DestuffedBits!C144</f>
        <v/>
      </c>
      <c r="C149">
        <f>G148</f>
        <v/>
      </c>
      <c r="D149">
        <f>_xlfn.BITAND(C149,1)</f>
        <v/>
      </c>
      <c r="E149">
        <f>_xlfn.BITRSHIFT(C149,1)</f>
        <v/>
      </c>
      <c r="F149">
        <f>_xlfn.BITXOR(D149,B149)</f>
        <v/>
      </c>
      <c r="G149">
        <f>IF(F149=1,_xlfn.BITXOR(E149,33800),E149)</f>
        <v/>
      </c>
    </row>
    <row r="150">
      <c r="A150" t="n">
        <v>144</v>
      </c>
      <c r="B150">
        <f>_DestuffedBits!C145</f>
        <v/>
      </c>
      <c r="C150">
        <f>G149</f>
        <v/>
      </c>
      <c r="D150">
        <f>_xlfn.BITAND(C150,1)</f>
        <v/>
      </c>
      <c r="E150">
        <f>_xlfn.BITRSHIFT(C150,1)</f>
        <v/>
      </c>
      <c r="F150">
        <f>_xlfn.BITXOR(D150,B150)</f>
        <v/>
      </c>
      <c r="G150">
        <f>IF(F150=1,_xlfn.BITXOR(E150,33800),E150)</f>
        <v/>
      </c>
    </row>
    <row r="151">
      <c r="A151" t="n">
        <v>145</v>
      </c>
      <c r="B151">
        <f>_DestuffedBits!C146</f>
        <v/>
      </c>
      <c r="C151">
        <f>G150</f>
        <v/>
      </c>
      <c r="D151">
        <f>_xlfn.BITAND(C151,1)</f>
        <v/>
      </c>
      <c r="E151">
        <f>_xlfn.BITRSHIFT(C151,1)</f>
        <v/>
      </c>
      <c r="F151">
        <f>_xlfn.BITXOR(D151,B151)</f>
        <v/>
      </c>
      <c r="G151">
        <f>IF(F151=1,_xlfn.BITXOR(E151,33800),E151)</f>
        <v/>
      </c>
    </row>
    <row r="152">
      <c r="A152" t="n">
        <v>146</v>
      </c>
      <c r="B152">
        <f>_DestuffedBits!C147</f>
        <v/>
      </c>
      <c r="C152">
        <f>G151</f>
        <v/>
      </c>
      <c r="D152">
        <f>_xlfn.BITAND(C152,1)</f>
        <v/>
      </c>
      <c r="E152">
        <f>_xlfn.BITRSHIFT(C152,1)</f>
        <v/>
      </c>
      <c r="F152">
        <f>_xlfn.BITXOR(D152,B152)</f>
        <v/>
      </c>
      <c r="G152">
        <f>IF(F152=1,_xlfn.BITXOR(E152,33800),E152)</f>
        <v/>
      </c>
    </row>
    <row r="153">
      <c r="A153" t="n">
        <v>147</v>
      </c>
      <c r="B153">
        <f>_DestuffedBits!C148</f>
        <v/>
      </c>
      <c r="C153">
        <f>G152</f>
        <v/>
      </c>
      <c r="D153">
        <f>_xlfn.BITAND(C153,1)</f>
        <v/>
      </c>
      <c r="E153">
        <f>_xlfn.BITRSHIFT(C153,1)</f>
        <v/>
      </c>
      <c r="F153">
        <f>_xlfn.BITXOR(D153,B153)</f>
        <v/>
      </c>
      <c r="G153">
        <f>IF(F153=1,_xlfn.BITXOR(E153,33800),E153)</f>
        <v/>
      </c>
    </row>
    <row r="154">
      <c r="A154" t="n">
        <v>148</v>
      </c>
      <c r="B154">
        <f>_DestuffedBits!C149</f>
        <v/>
      </c>
      <c r="C154">
        <f>G153</f>
        <v/>
      </c>
      <c r="D154">
        <f>_xlfn.BITAND(C154,1)</f>
        <v/>
      </c>
      <c r="E154">
        <f>_xlfn.BITRSHIFT(C154,1)</f>
        <v/>
      </c>
      <c r="F154">
        <f>_xlfn.BITXOR(D154,B154)</f>
        <v/>
      </c>
      <c r="G154">
        <f>IF(F154=1,_xlfn.BITXOR(E154,33800),E154)</f>
        <v/>
      </c>
    </row>
    <row r="155">
      <c r="A155" t="n">
        <v>149</v>
      </c>
      <c r="B155">
        <f>_DestuffedBits!C150</f>
        <v/>
      </c>
      <c r="C155">
        <f>G154</f>
        <v/>
      </c>
      <c r="D155">
        <f>_xlfn.BITAND(C155,1)</f>
        <v/>
      </c>
      <c r="E155">
        <f>_xlfn.BITRSHIFT(C155,1)</f>
        <v/>
      </c>
      <c r="F155">
        <f>_xlfn.BITXOR(D155,B155)</f>
        <v/>
      </c>
      <c r="G155">
        <f>IF(F155=1,_xlfn.BITXOR(E155,33800),E155)</f>
        <v/>
      </c>
    </row>
    <row r="156">
      <c r="A156" t="n">
        <v>150</v>
      </c>
      <c r="B156">
        <f>_DestuffedBits!C151</f>
        <v/>
      </c>
      <c r="C156">
        <f>G155</f>
        <v/>
      </c>
      <c r="D156">
        <f>_xlfn.BITAND(C156,1)</f>
        <v/>
      </c>
      <c r="E156">
        <f>_xlfn.BITRSHIFT(C156,1)</f>
        <v/>
      </c>
      <c r="F156">
        <f>_xlfn.BITXOR(D156,B156)</f>
        <v/>
      </c>
      <c r="G156">
        <f>IF(F156=1,_xlfn.BITXOR(E156,33800),E156)</f>
        <v/>
      </c>
    </row>
    <row r="157">
      <c r="A157" t="n">
        <v>151</v>
      </c>
      <c r="B157">
        <f>_DestuffedBits!C152</f>
        <v/>
      </c>
      <c r="C157">
        <f>G156</f>
        <v/>
      </c>
      <c r="D157">
        <f>_xlfn.BITAND(C157,1)</f>
        <v/>
      </c>
      <c r="E157">
        <f>_xlfn.BITRSHIFT(C157,1)</f>
        <v/>
      </c>
      <c r="F157">
        <f>_xlfn.BITXOR(D157,B157)</f>
        <v/>
      </c>
      <c r="G157">
        <f>IF(F157=1,_xlfn.BITXOR(E157,33800),E157)</f>
        <v/>
      </c>
    </row>
    <row r="158">
      <c r="A158" t="n">
        <v>152</v>
      </c>
      <c r="B158">
        <f>_DestuffedBits!C153</f>
        <v/>
      </c>
      <c r="C158">
        <f>G157</f>
        <v/>
      </c>
      <c r="D158">
        <f>_xlfn.BITAND(C158,1)</f>
        <v/>
      </c>
      <c r="E158">
        <f>_xlfn.BITRSHIFT(C158,1)</f>
        <v/>
      </c>
      <c r="F158">
        <f>_xlfn.BITXOR(D158,B158)</f>
        <v/>
      </c>
      <c r="G158">
        <f>IF(F158=1,_xlfn.BITXOR(E158,33800),E158)</f>
        <v/>
      </c>
    </row>
    <row r="159">
      <c r="A159" t="n">
        <v>153</v>
      </c>
      <c r="B159">
        <f>_DestuffedBits!C154</f>
        <v/>
      </c>
      <c r="C159">
        <f>G158</f>
        <v/>
      </c>
      <c r="D159">
        <f>_xlfn.BITAND(C159,1)</f>
        <v/>
      </c>
      <c r="E159">
        <f>_xlfn.BITRSHIFT(C159,1)</f>
        <v/>
      </c>
      <c r="F159">
        <f>_xlfn.BITXOR(D159,B159)</f>
        <v/>
      </c>
      <c r="G159">
        <f>IF(F159=1,_xlfn.BITXOR(E159,33800),E159)</f>
        <v/>
      </c>
    </row>
    <row r="160">
      <c r="A160" t="n">
        <v>154</v>
      </c>
      <c r="B160">
        <f>_DestuffedBits!C155</f>
        <v/>
      </c>
      <c r="C160">
        <f>G159</f>
        <v/>
      </c>
      <c r="D160">
        <f>_xlfn.BITAND(C160,1)</f>
        <v/>
      </c>
      <c r="E160">
        <f>_xlfn.BITRSHIFT(C160,1)</f>
        <v/>
      </c>
      <c r="F160">
        <f>_xlfn.BITXOR(D160,B160)</f>
        <v/>
      </c>
      <c r="G160">
        <f>IF(F160=1,_xlfn.BITXOR(E160,33800),E160)</f>
        <v/>
      </c>
    </row>
    <row r="161">
      <c r="A161" t="n">
        <v>155</v>
      </c>
      <c r="B161">
        <f>_DestuffedBits!C156</f>
        <v/>
      </c>
      <c r="C161">
        <f>G160</f>
        <v/>
      </c>
      <c r="D161">
        <f>_xlfn.BITAND(C161,1)</f>
        <v/>
      </c>
      <c r="E161">
        <f>_xlfn.BITRSHIFT(C161,1)</f>
        <v/>
      </c>
      <c r="F161">
        <f>_xlfn.BITXOR(D161,B161)</f>
        <v/>
      </c>
      <c r="G161">
        <f>IF(F161=1,_xlfn.BITXOR(E161,33800),E161)</f>
        <v/>
      </c>
    </row>
    <row r="162">
      <c r="A162" t="n">
        <v>156</v>
      </c>
      <c r="B162">
        <f>_DestuffedBits!C157</f>
        <v/>
      </c>
      <c r="C162">
        <f>G161</f>
        <v/>
      </c>
      <c r="D162">
        <f>_xlfn.BITAND(C162,1)</f>
        <v/>
      </c>
      <c r="E162">
        <f>_xlfn.BITRSHIFT(C162,1)</f>
        <v/>
      </c>
      <c r="F162">
        <f>_xlfn.BITXOR(D162,B162)</f>
        <v/>
      </c>
      <c r="G162">
        <f>IF(F162=1,_xlfn.BITXOR(E162,33800),E162)</f>
        <v/>
      </c>
    </row>
    <row r="163">
      <c r="A163" t="n">
        <v>157</v>
      </c>
      <c r="B163">
        <f>_DestuffedBits!C158</f>
        <v/>
      </c>
      <c r="C163">
        <f>G162</f>
        <v/>
      </c>
      <c r="D163">
        <f>_xlfn.BITAND(C163,1)</f>
        <v/>
      </c>
      <c r="E163">
        <f>_xlfn.BITRSHIFT(C163,1)</f>
        <v/>
      </c>
      <c r="F163">
        <f>_xlfn.BITXOR(D163,B163)</f>
        <v/>
      </c>
      <c r="G163">
        <f>IF(F163=1,_xlfn.BITXOR(E163,33800),E163)</f>
        <v/>
      </c>
    </row>
    <row r="164">
      <c r="A164" t="n">
        <v>158</v>
      </c>
      <c r="B164">
        <f>_DestuffedBits!C159</f>
        <v/>
      </c>
      <c r="C164">
        <f>G163</f>
        <v/>
      </c>
      <c r="D164">
        <f>_xlfn.BITAND(C164,1)</f>
        <v/>
      </c>
      <c r="E164">
        <f>_xlfn.BITRSHIFT(C164,1)</f>
        <v/>
      </c>
      <c r="F164">
        <f>_xlfn.BITXOR(D164,B164)</f>
        <v/>
      </c>
      <c r="G164">
        <f>IF(F164=1,_xlfn.BITXOR(E164,33800),E164)</f>
        <v/>
      </c>
    </row>
    <row r="165">
      <c r="A165" t="n">
        <v>159</v>
      </c>
      <c r="B165">
        <f>_DestuffedBits!C160</f>
        <v/>
      </c>
      <c r="C165">
        <f>G164</f>
        <v/>
      </c>
      <c r="D165">
        <f>_xlfn.BITAND(C165,1)</f>
        <v/>
      </c>
      <c r="E165">
        <f>_xlfn.BITRSHIFT(C165,1)</f>
        <v/>
      </c>
      <c r="F165">
        <f>_xlfn.BITXOR(D165,B165)</f>
        <v/>
      </c>
      <c r="G165">
        <f>IF(F165=1,_xlfn.BITXOR(E165,33800),E165)</f>
        <v/>
      </c>
    </row>
    <row r="166">
      <c r="A166" t="n">
        <v>160</v>
      </c>
      <c r="B166">
        <f>_DestuffedBits!C161</f>
        <v/>
      </c>
      <c r="C166">
        <f>G165</f>
        <v/>
      </c>
      <c r="D166">
        <f>_xlfn.BITAND(C166,1)</f>
        <v/>
      </c>
      <c r="E166">
        <f>_xlfn.BITRSHIFT(C166,1)</f>
        <v/>
      </c>
      <c r="F166">
        <f>_xlfn.BITXOR(D166,B166)</f>
        <v/>
      </c>
      <c r="G166">
        <f>IF(F166=1,_xlfn.BITXOR(E166,33800),E166)</f>
        <v/>
      </c>
    </row>
    <row r="167">
      <c r="A167" t="n">
        <v>161</v>
      </c>
      <c r="B167">
        <f>_DestuffedBits!C162</f>
        <v/>
      </c>
      <c r="C167">
        <f>G166</f>
        <v/>
      </c>
      <c r="D167">
        <f>_xlfn.BITAND(C167,1)</f>
        <v/>
      </c>
      <c r="E167">
        <f>_xlfn.BITRSHIFT(C167,1)</f>
        <v/>
      </c>
      <c r="F167">
        <f>_xlfn.BITXOR(D167,B167)</f>
        <v/>
      </c>
      <c r="G167">
        <f>IF(F167=1,_xlfn.BITXOR(E167,33800),E167)</f>
        <v/>
      </c>
    </row>
    <row r="168">
      <c r="A168" t="n">
        <v>162</v>
      </c>
      <c r="B168">
        <f>_DestuffedBits!C163</f>
        <v/>
      </c>
      <c r="C168">
        <f>G167</f>
        <v/>
      </c>
      <c r="D168">
        <f>_xlfn.BITAND(C168,1)</f>
        <v/>
      </c>
      <c r="E168">
        <f>_xlfn.BITRSHIFT(C168,1)</f>
        <v/>
      </c>
      <c r="F168">
        <f>_xlfn.BITXOR(D168,B168)</f>
        <v/>
      </c>
      <c r="G168">
        <f>IF(F168=1,_xlfn.BITXOR(E168,33800),E168)</f>
        <v/>
      </c>
    </row>
    <row r="169">
      <c r="A169" t="n">
        <v>163</v>
      </c>
      <c r="B169">
        <f>_DestuffedBits!C164</f>
        <v/>
      </c>
      <c r="C169">
        <f>G168</f>
        <v/>
      </c>
      <c r="D169">
        <f>_xlfn.BITAND(C169,1)</f>
        <v/>
      </c>
      <c r="E169">
        <f>_xlfn.BITRSHIFT(C169,1)</f>
        <v/>
      </c>
      <c r="F169">
        <f>_xlfn.BITXOR(D169,B169)</f>
        <v/>
      </c>
      <c r="G169">
        <f>IF(F169=1,_xlfn.BITXOR(E169,33800),E169)</f>
        <v/>
      </c>
    </row>
    <row r="170">
      <c r="A170" t="n">
        <v>164</v>
      </c>
      <c r="B170">
        <f>_DestuffedBits!C165</f>
        <v/>
      </c>
      <c r="C170">
        <f>G169</f>
        <v/>
      </c>
      <c r="D170">
        <f>_xlfn.BITAND(C170,1)</f>
        <v/>
      </c>
      <c r="E170">
        <f>_xlfn.BITRSHIFT(C170,1)</f>
        <v/>
      </c>
      <c r="F170">
        <f>_xlfn.BITXOR(D170,B170)</f>
        <v/>
      </c>
      <c r="G170">
        <f>IF(F170=1,_xlfn.BITXOR(E170,33800),E170)</f>
        <v/>
      </c>
    </row>
    <row r="171">
      <c r="A171" t="n">
        <v>165</v>
      </c>
      <c r="B171">
        <f>_DestuffedBits!C166</f>
        <v/>
      </c>
      <c r="C171">
        <f>G170</f>
        <v/>
      </c>
      <c r="D171">
        <f>_xlfn.BITAND(C171,1)</f>
        <v/>
      </c>
      <c r="E171">
        <f>_xlfn.BITRSHIFT(C171,1)</f>
        <v/>
      </c>
      <c r="F171">
        <f>_xlfn.BITXOR(D171,B171)</f>
        <v/>
      </c>
      <c r="G171">
        <f>IF(F171=1,_xlfn.BITXOR(E171,33800),E171)</f>
        <v/>
      </c>
    </row>
    <row r="172">
      <c r="A172" t="n">
        <v>166</v>
      </c>
      <c r="B172">
        <f>_DestuffedBits!C167</f>
        <v/>
      </c>
      <c r="C172">
        <f>G171</f>
        <v/>
      </c>
      <c r="D172">
        <f>_xlfn.BITAND(C172,1)</f>
        <v/>
      </c>
      <c r="E172">
        <f>_xlfn.BITRSHIFT(C172,1)</f>
        <v/>
      </c>
      <c r="F172">
        <f>_xlfn.BITXOR(D172,B172)</f>
        <v/>
      </c>
      <c r="G172">
        <f>IF(F172=1,_xlfn.BITXOR(E172,33800),E172)</f>
        <v/>
      </c>
    </row>
    <row r="173">
      <c r="A173" t="n">
        <v>167</v>
      </c>
      <c r="B173">
        <f>_DestuffedBits!C168</f>
        <v/>
      </c>
      <c r="C173">
        <f>G172</f>
        <v/>
      </c>
      <c r="D173">
        <f>_xlfn.BITAND(C173,1)</f>
        <v/>
      </c>
      <c r="E173">
        <f>_xlfn.BITRSHIFT(C173,1)</f>
        <v/>
      </c>
      <c r="F173">
        <f>_xlfn.BITXOR(D173,B173)</f>
        <v/>
      </c>
      <c r="G173">
        <f>IF(F173=1,_xlfn.BITXOR(E173,33800),E173)</f>
        <v/>
      </c>
    </row>
    <row r="174">
      <c r="A174" t="n">
        <v>168</v>
      </c>
      <c r="B174">
        <f>_DestuffedBits!C169</f>
        <v/>
      </c>
      <c r="C174">
        <f>G173</f>
        <v/>
      </c>
      <c r="D174">
        <f>_xlfn.BITAND(C174,1)</f>
        <v/>
      </c>
      <c r="E174">
        <f>_xlfn.BITRSHIFT(C174,1)</f>
        <v/>
      </c>
      <c r="F174">
        <f>_xlfn.BITXOR(D174,B174)</f>
        <v/>
      </c>
      <c r="G174">
        <f>IF(F174=1,_xlfn.BITXOR(E174,33800),E174)</f>
        <v/>
      </c>
    </row>
    <row r="175">
      <c r="A175" t="n">
        <v>169</v>
      </c>
      <c r="B175">
        <f>_DestuffedBits!C170</f>
        <v/>
      </c>
      <c r="C175">
        <f>G174</f>
        <v/>
      </c>
      <c r="D175">
        <f>_xlfn.BITAND(C175,1)</f>
        <v/>
      </c>
      <c r="E175">
        <f>_xlfn.BITRSHIFT(C175,1)</f>
        <v/>
      </c>
      <c r="F175">
        <f>_xlfn.BITXOR(D175,B175)</f>
        <v/>
      </c>
      <c r="G175">
        <f>IF(F175=1,_xlfn.BITXOR(E175,33800),E175)</f>
        <v/>
      </c>
    </row>
    <row r="176">
      <c r="A176" t="n">
        <v>170</v>
      </c>
      <c r="B176">
        <f>_DestuffedBits!C171</f>
        <v/>
      </c>
      <c r="C176">
        <f>G175</f>
        <v/>
      </c>
      <c r="D176">
        <f>_xlfn.BITAND(C176,1)</f>
        <v/>
      </c>
      <c r="E176">
        <f>_xlfn.BITRSHIFT(C176,1)</f>
        <v/>
      </c>
      <c r="F176">
        <f>_xlfn.BITXOR(D176,B176)</f>
        <v/>
      </c>
      <c r="G176">
        <f>IF(F176=1,_xlfn.BITXOR(E176,33800),E176)</f>
        <v/>
      </c>
    </row>
    <row r="177">
      <c r="A177" t="n">
        <v>171</v>
      </c>
      <c r="B177">
        <f>_DestuffedBits!C172</f>
        <v/>
      </c>
      <c r="C177">
        <f>G176</f>
        <v/>
      </c>
      <c r="D177">
        <f>_xlfn.BITAND(C177,1)</f>
        <v/>
      </c>
      <c r="E177">
        <f>_xlfn.BITRSHIFT(C177,1)</f>
        <v/>
      </c>
      <c r="F177">
        <f>_xlfn.BITXOR(D177,B177)</f>
        <v/>
      </c>
      <c r="G177">
        <f>IF(F177=1,_xlfn.BITXOR(E177,33800),E177)</f>
        <v/>
      </c>
    </row>
    <row r="178">
      <c r="A178" t="n">
        <v>172</v>
      </c>
      <c r="B178">
        <f>_DestuffedBits!C173</f>
        <v/>
      </c>
      <c r="C178">
        <f>G177</f>
        <v/>
      </c>
      <c r="D178">
        <f>_xlfn.BITAND(C178,1)</f>
        <v/>
      </c>
      <c r="E178">
        <f>_xlfn.BITRSHIFT(C178,1)</f>
        <v/>
      </c>
      <c r="F178">
        <f>_xlfn.BITXOR(D178,B178)</f>
        <v/>
      </c>
      <c r="G178">
        <f>IF(F178=1,_xlfn.BITXOR(E178,33800),E178)</f>
        <v/>
      </c>
    </row>
    <row r="179">
      <c r="A179" t="n">
        <v>173</v>
      </c>
      <c r="B179">
        <f>_DestuffedBits!C174</f>
        <v/>
      </c>
      <c r="C179">
        <f>G178</f>
        <v/>
      </c>
      <c r="D179">
        <f>_xlfn.BITAND(C179,1)</f>
        <v/>
      </c>
      <c r="E179">
        <f>_xlfn.BITRSHIFT(C179,1)</f>
        <v/>
      </c>
      <c r="F179">
        <f>_xlfn.BITXOR(D179,B179)</f>
        <v/>
      </c>
      <c r="G179">
        <f>IF(F179=1,_xlfn.BITXOR(E179,33800),E179)</f>
        <v/>
      </c>
    </row>
    <row r="180">
      <c r="A180" t="n">
        <v>174</v>
      </c>
      <c r="B180">
        <f>_DestuffedBits!C175</f>
        <v/>
      </c>
      <c r="C180">
        <f>G179</f>
        <v/>
      </c>
      <c r="D180">
        <f>_xlfn.BITAND(C180,1)</f>
        <v/>
      </c>
      <c r="E180">
        <f>_xlfn.BITRSHIFT(C180,1)</f>
        <v/>
      </c>
      <c r="F180">
        <f>_xlfn.BITXOR(D180,B180)</f>
        <v/>
      </c>
      <c r="G180">
        <f>IF(F180=1,_xlfn.BITXOR(E180,33800),E180)</f>
        <v/>
      </c>
    </row>
    <row r="181">
      <c r="A181" t="n">
        <v>175</v>
      </c>
      <c r="B181">
        <f>_DestuffedBits!C176</f>
        <v/>
      </c>
      <c r="C181">
        <f>G180</f>
        <v/>
      </c>
      <c r="D181">
        <f>_xlfn.BITAND(C181,1)</f>
        <v/>
      </c>
      <c r="E181">
        <f>_xlfn.BITRSHIFT(C181,1)</f>
        <v/>
      </c>
      <c r="F181">
        <f>_xlfn.BITXOR(D181,B181)</f>
        <v/>
      </c>
      <c r="G181">
        <f>IF(F181=1,_xlfn.BITXOR(E181,33800),E181)</f>
        <v/>
      </c>
    </row>
    <row r="182">
      <c r="A182" t="n">
        <v>176</v>
      </c>
      <c r="B182">
        <f>_DestuffedBits!C177</f>
        <v/>
      </c>
      <c r="C182">
        <f>G181</f>
        <v/>
      </c>
      <c r="D182">
        <f>_xlfn.BITAND(C182,1)</f>
        <v/>
      </c>
      <c r="E182">
        <f>_xlfn.BITRSHIFT(C182,1)</f>
        <v/>
      </c>
      <c r="F182">
        <f>_xlfn.BITXOR(D182,B182)</f>
        <v/>
      </c>
      <c r="G182">
        <f>IF(F182=1,_xlfn.BITXOR(E182,33800),E182)</f>
        <v/>
      </c>
    </row>
    <row r="183">
      <c r="A183" t="n">
        <v>177</v>
      </c>
      <c r="B183">
        <f>_DestuffedBits!C178</f>
        <v/>
      </c>
      <c r="C183">
        <f>G182</f>
        <v/>
      </c>
      <c r="D183">
        <f>_xlfn.BITAND(C183,1)</f>
        <v/>
      </c>
      <c r="E183">
        <f>_xlfn.BITRSHIFT(C183,1)</f>
        <v/>
      </c>
      <c r="F183">
        <f>_xlfn.BITXOR(D183,B183)</f>
        <v/>
      </c>
      <c r="G183">
        <f>IF(F183=1,_xlfn.BITXOR(E183,33800),E183)</f>
        <v/>
      </c>
    </row>
    <row r="184">
      <c r="A184" t="n">
        <v>178</v>
      </c>
      <c r="B184">
        <f>_DestuffedBits!C179</f>
        <v/>
      </c>
      <c r="C184">
        <f>G183</f>
        <v/>
      </c>
      <c r="D184">
        <f>_xlfn.BITAND(C184,1)</f>
        <v/>
      </c>
      <c r="E184">
        <f>_xlfn.BITRSHIFT(C184,1)</f>
        <v/>
      </c>
      <c r="F184">
        <f>_xlfn.BITXOR(D184,B184)</f>
        <v/>
      </c>
      <c r="G184">
        <f>IF(F184=1,_xlfn.BITXOR(E184,33800),E184)</f>
        <v/>
      </c>
    </row>
    <row r="185">
      <c r="A185" t="n">
        <v>179</v>
      </c>
      <c r="B185">
        <f>_DestuffedBits!C180</f>
        <v/>
      </c>
      <c r="C185">
        <f>G184</f>
        <v/>
      </c>
      <c r="D185">
        <f>_xlfn.BITAND(C185,1)</f>
        <v/>
      </c>
      <c r="E185">
        <f>_xlfn.BITRSHIFT(C185,1)</f>
        <v/>
      </c>
      <c r="F185">
        <f>_xlfn.BITXOR(D185,B185)</f>
        <v/>
      </c>
      <c r="G185">
        <f>IF(F185=1,_xlfn.BITXOR(E185,33800),E185)</f>
        <v/>
      </c>
    </row>
    <row r="186">
      <c r="A186" t="n">
        <v>180</v>
      </c>
      <c r="B186">
        <f>_DestuffedBits!C181</f>
        <v/>
      </c>
      <c r="C186">
        <f>G185</f>
        <v/>
      </c>
      <c r="D186">
        <f>_xlfn.BITAND(C186,1)</f>
        <v/>
      </c>
      <c r="E186">
        <f>_xlfn.BITRSHIFT(C186,1)</f>
        <v/>
      </c>
      <c r="F186">
        <f>_xlfn.BITXOR(D186,B186)</f>
        <v/>
      </c>
      <c r="G186">
        <f>IF(F186=1,_xlfn.BITXOR(E186,33800),E186)</f>
        <v/>
      </c>
    </row>
    <row r="187">
      <c r="A187" t="n">
        <v>181</v>
      </c>
      <c r="B187">
        <f>_DestuffedBits!C182</f>
        <v/>
      </c>
      <c r="C187">
        <f>G186</f>
        <v/>
      </c>
      <c r="D187">
        <f>_xlfn.BITAND(C187,1)</f>
        <v/>
      </c>
      <c r="E187">
        <f>_xlfn.BITRSHIFT(C187,1)</f>
        <v/>
      </c>
      <c r="F187">
        <f>_xlfn.BITXOR(D187,B187)</f>
        <v/>
      </c>
      <c r="G187">
        <f>IF(F187=1,_xlfn.BITXOR(E187,33800),E187)</f>
        <v/>
      </c>
    </row>
    <row r="188">
      <c r="A188" t="n">
        <v>182</v>
      </c>
      <c r="B188">
        <f>_DestuffedBits!C183</f>
        <v/>
      </c>
      <c r="C188">
        <f>G187</f>
        <v/>
      </c>
      <c r="D188">
        <f>_xlfn.BITAND(C188,1)</f>
        <v/>
      </c>
      <c r="E188">
        <f>_xlfn.BITRSHIFT(C188,1)</f>
        <v/>
      </c>
      <c r="F188">
        <f>_xlfn.BITXOR(D188,B188)</f>
        <v/>
      </c>
      <c r="G188">
        <f>IF(F188=1,_xlfn.BITXOR(E188,33800),E188)</f>
        <v/>
      </c>
    </row>
    <row r="189">
      <c r="A189" t="n">
        <v>183</v>
      </c>
      <c r="B189">
        <f>_DestuffedBits!C184</f>
        <v/>
      </c>
      <c r="C189">
        <f>G188</f>
        <v/>
      </c>
      <c r="D189">
        <f>_xlfn.BITAND(C189,1)</f>
        <v/>
      </c>
      <c r="E189">
        <f>_xlfn.BITRSHIFT(C189,1)</f>
        <v/>
      </c>
      <c r="F189">
        <f>_xlfn.BITXOR(D189,B189)</f>
        <v/>
      </c>
      <c r="G189">
        <f>IF(F189=1,_xlfn.BITXOR(E189,33800),E189)</f>
        <v/>
      </c>
    </row>
    <row r="190">
      <c r="A190" t="n">
        <v>184</v>
      </c>
      <c r="B190">
        <f>_DestuffedBits!C185</f>
        <v/>
      </c>
      <c r="C190">
        <f>G189</f>
        <v/>
      </c>
      <c r="D190">
        <f>_xlfn.BITAND(C190,1)</f>
        <v/>
      </c>
      <c r="E190">
        <f>_xlfn.BITRSHIFT(C190,1)</f>
        <v/>
      </c>
      <c r="F190">
        <f>_xlfn.BITXOR(D190,B190)</f>
        <v/>
      </c>
      <c r="G190">
        <f>IF(F190=1,_xlfn.BITXOR(E190,33800),E190)</f>
        <v/>
      </c>
    </row>
    <row r="191">
      <c r="A191" t="n">
        <v>185</v>
      </c>
      <c r="B191">
        <f>_DestuffedBits!C186</f>
        <v/>
      </c>
      <c r="C191">
        <f>G190</f>
        <v/>
      </c>
      <c r="D191">
        <f>_xlfn.BITAND(C191,1)</f>
        <v/>
      </c>
      <c r="E191">
        <f>_xlfn.BITRSHIFT(C191,1)</f>
        <v/>
      </c>
      <c r="F191">
        <f>_xlfn.BITXOR(D191,B191)</f>
        <v/>
      </c>
      <c r="G191">
        <f>IF(F191=1,_xlfn.BITXOR(E191,33800),E191)</f>
        <v/>
      </c>
    </row>
    <row r="192">
      <c r="A192" t="n">
        <v>186</v>
      </c>
      <c r="B192">
        <f>_DestuffedBits!C187</f>
        <v/>
      </c>
      <c r="C192">
        <f>G191</f>
        <v/>
      </c>
      <c r="D192">
        <f>_xlfn.BITAND(C192,1)</f>
        <v/>
      </c>
      <c r="E192">
        <f>_xlfn.BITRSHIFT(C192,1)</f>
        <v/>
      </c>
      <c r="F192">
        <f>_xlfn.BITXOR(D192,B192)</f>
        <v/>
      </c>
      <c r="G192">
        <f>IF(F192=1,_xlfn.BITXOR(E192,33800),E192)</f>
        <v/>
      </c>
    </row>
    <row r="193">
      <c r="A193" t="n">
        <v>187</v>
      </c>
      <c r="B193">
        <f>_DestuffedBits!C188</f>
        <v/>
      </c>
      <c r="C193">
        <f>G192</f>
        <v/>
      </c>
      <c r="D193">
        <f>_xlfn.BITAND(C193,1)</f>
        <v/>
      </c>
      <c r="E193">
        <f>_xlfn.BITRSHIFT(C193,1)</f>
        <v/>
      </c>
      <c r="F193">
        <f>_xlfn.BITXOR(D193,B193)</f>
        <v/>
      </c>
      <c r="G193">
        <f>IF(F193=1,_xlfn.BITXOR(E193,33800),E193)</f>
        <v/>
      </c>
    </row>
    <row r="194">
      <c r="A194" t="n">
        <v>188</v>
      </c>
      <c r="B194">
        <f>_DestuffedBits!C189</f>
        <v/>
      </c>
      <c r="C194">
        <f>G193</f>
        <v/>
      </c>
      <c r="D194">
        <f>_xlfn.BITAND(C194,1)</f>
        <v/>
      </c>
      <c r="E194">
        <f>_xlfn.BITRSHIFT(C194,1)</f>
        <v/>
      </c>
      <c r="F194">
        <f>_xlfn.BITXOR(D194,B194)</f>
        <v/>
      </c>
      <c r="G194">
        <f>IF(F194=1,_xlfn.BITXOR(E194,33800),E194)</f>
        <v/>
      </c>
    </row>
    <row r="195">
      <c r="A195" t="n">
        <v>189</v>
      </c>
      <c r="B195">
        <f>_DestuffedBits!C190</f>
        <v/>
      </c>
      <c r="C195">
        <f>G194</f>
        <v/>
      </c>
      <c r="D195">
        <f>_xlfn.BITAND(C195,1)</f>
        <v/>
      </c>
      <c r="E195">
        <f>_xlfn.BITRSHIFT(C195,1)</f>
        <v/>
      </c>
      <c r="F195">
        <f>_xlfn.BITXOR(D195,B195)</f>
        <v/>
      </c>
      <c r="G195">
        <f>IF(F195=1,_xlfn.BITXOR(E195,33800),E195)</f>
        <v/>
      </c>
    </row>
    <row r="196">
      <c r="A196" t="n">
        <v>190</v>
      </c>
      <c r="B196">
        <f>_DestuffedBits!C191</f>
        <v/>
      </c>
      <c r="C196">
        <f>G195</f>
        <v/>
      </c>
      <c r="D196">
        <f>_xlfn.BITAND(C196,1)</f>
        <v/>
      </c>
      <c r="E196">
        <f>_xlfn.BITRSHIFT(C196,1)</f>
        <v/>
      </c>
      <c r="F196">
        <f>_xlfn.BITXOR(D196,B196)</f>
        <v/>
      </c>
      <c r="G196">
        <f>IF(F196=1,_xlfn.BITXOR(E196,33800),E196)</f>
        <v/>
      </c>
    </row>
    <row r="197">
      <c r="A197" t="n">
        <v>191</v>
      </c>
      <c r="B197">
        <f>_DestuffedBits!C192</f>
        <v/>
      </c>
      <c r="C197">
        <f>G196</f>
        <v/>
      </c>
      <c r="D197">
        <f>_xlfn.BITAND(C197,1)</f>
        <v/>
      </c>
      <c r="E197">
        <f>_xlfn.BITRSHIFT(C197,1)</f>
        <v/>
      </c>
      <c r="F197">
        <f>_xlfn.BITXOR(D197,B197)</f>
        <v/>
      </c>
      <c r="G197">
        <f>IF(F197=1,_xlfn.BITXOR(E197,33800),E197)</f>
        <v/>
      </c>
    </row>
    <row r="198">
      <c r="A198" t="n">
        <v>192</v>
      </c>
      <c r="B198">
        <f>_DestuffedBits!C193</f>
        <v/>
      </c>
      <c r="C198">
        <f>G197</f>
        <v/>
      </c>
      <c r="D198">
        <f>_xlfn.BITAND(C198,1)</f>
        <v/>
      </c>
      <c r="E198">
        <f>_xlfn.BITRSHIFT(C198,1)</f>
        <v/>
      </c>
      <c r="F198">
        <f>_xlfn.BITXOR(D198,B198)</f>
        <v/>
      </c>
      <c r="G198">
        <f>IF(F198=1,_xlfn.BITXOR(E198,33800),E198)</f>
        <v/>
      </c>
    </row>
    <row r="199">
      <c r="A199" t="n">
        <v>193</v>
      </c>
      <c r="B199">
        <f>_DestuffedBits!C194</f>
        <v/>
      </c>
      <c r="C199">
        <f>G198</f>
        <v/>
      </c>
      <c r="D199">
        <f>_xlfn.BITAND(C199,1)</f>
        <v/>
      </c>
      <c r="E199">
        <f>_xlfn.BITRSHIFT(C199,1)</f>
        <v/>
      </c>
      <c r="F199">
        <f>_xlfn.BITXOR(D199,B199)</f>
        <v/>
      </c>
      <c r="G199">
        <f>IF(F199=1,_xlfn.BITXOR(E199,33800),E199)</f>
        <v/>
      </c>
    </row>
    <row r="200">
      <c r="A200" t="n">
        <v>194</v>
      </c>
      <c r="B200">
        <f>_DestuffedBits!C195</f>
        <v/>
      </c>
      <c r="C200">
        <f>G199</f>
        <v/>
      </c>
      <c r="D200">
        <f>_xlfn.BITAND(C200,1)</f>
        <v/>
      </c>
      <c r="E200">
        <f>_xlfn.BITRSHIFT(C200,1)</f>
        <v/>
      </c>
      <c r="F200">
        <f>_xlfn.BITXOR(D200,B200)</f>
        <v/>
      </c>
      <c r="G200">
        <f>IF(F200=1,_xlfn.BITXOR(E200,33800),E200)</f>
        <v/>
      </c>
    </row>
    <row r="201">
      <c r="A201" t="n">
        <v>195</v>
      </c>
      <c r="B201">
        <f>_DestuffedBits!C196</f>
        <v/>
      </c>
      <c r="C201">
        <f>G200</f>
        <v/>
      </c>
      <c r="D201">
        <f>_xlfn.BITAND(C201,1)</f>
        <v/>
      </c>
      <c r="E201">
        <f>_xlfn.BITRSHIFT(C201,1)</f>
        <v/>
      </c>
      <c r="F201">
        <f>_xlfn.BITXOR(D201,B201)</f>
        <v/>
      </c>
      <c r="G201">
        <f>IF(F201=1,_xlfn.BITXOR(E201,33800),E201)</f>
        <v/>
      </c>
    </row>
    <row r="202">
      <c r="A202" t="n">
        <v>196</v>
      </c>
      <c r="B202">
        <f>_DestuffedBits!C197</f>
        <v/>
      </c>
      <c r="C202">
        <f>G201</f>
        <v/>
      </c>
      <c r="D202">
        <f>_xlfn.BITAND(C202,1)</f>
        <v/>
      </c>
      <c r="E202">
        <f>_xlfn.BITRSHIFT(C202,1)</f>
        <v/>
      </c>
      <c r="F202">
        <f>_xlfn.BITXOR(D202,B202)</f>
        <v/>
      </c>
      <c r="G202">
        <f>IF(F202=1,_xlfn.BITXOR(E202,33800),E202)</f>
        <v/>
      </c>
    </row>
    <row r="203">
      <c r="A203" t="n">
        <v>197</v>
      </c>
      <c r="B203">
        <f>_DestuffedBits!C198</f>
        <v/>
      </c>
      <c r="C203">
        <f>G202</f>
        <v/>
      </c>
      <c r="D203">
        <f>_xlfn.BITAND(C203,1)</f>
        <v/>
      </c>
      <c r="E203">
        <f>_xlfn.BITRSHIFT(C203,1)</f>
        <v/>
      </c>
      <c r="F203">
        <f>_xlfn.BITXOR(D203,B203)</f>
        <v/>
      </c>
      <c r="G203">
        <f>IF(F203=1,_xlfn.BITXOR(E203,33800),E203)</f>
        <v/>
      </c>
    </row>
    <row r="204">
      <c r="A204" t="n">
        <v>198</v>
      </c>
      <c r="B204">
        <f>_DestuffedBits!C199</f>
        <v/>
      </c>
      <c r="C204">
        <f>G203</f>
        <v/>
      </c>
      <c r="D204">
        <f>_xlfn.BITAND(C204,1)</f>
        <v/>
      </c>
      <c r="E204">
        <f>_xlfn.BITRSHIFT(C204,1)</f>
        <v/>
      </c>
      <c r="F204">
        <f>_xlfn.BITXOR(D204,B204)</f>
        <v/>
      </c>
      <c r="G204">
        <f>IF(F204=1,_xlfn.BITXOR(E204,33800),E204)</f>
        <v/>
      </c>
    </row>
    <row r="205">
      <c r="A205" t="n">
        <v>199</v>
      </c>
      <c r="B205">
        <f>_DestuffedBits!C200</f>
        <v/>
      </c>
      <c r="C205">
        <f>G204</f>
        <v/>
      </c>
      <c r="D205">
        <f>_xlfn.BITAND(C205,1)</f>
        <v/>
      </c>
      <c r="E205">
        <f>_xlfn.BITRSHIFT(C205,1)</f>
        <v/>
      </c>
      <c r="F205">
        <f>_xlfn.BITXOR(D205,B205)</f>
        <v/>
      </c>
      <c r="G205">
        <f>IF(F205=1,_xlfn.BITXOR(E205,33800),E205)</f>
        <v/>
      </c>
    </row>
    <row r="206">
      <c r="A206" t="n">
        <v>200</v>
      </c>
      <c r="B206">
        <f>_DestuffedBits!C201</f>
        <v/>
      </c>
      <c r="C206">
        <f>G205</f>
        <v/>
      </c>
      <c r="D206">
        <f>_xlfn.BITAND(C206,1)</f>
        <v/>
      </c>
      <c r="E206">
        <f>_xlfn.BITRSHIFT(C206,1)</f>
        <v/>
      </c>
      <c r="F206">
        <f>_xlfn.BITXOR(D206,B206)</f>
        <v/>
      </c>
      <c r="G206">
        <f>IF(F206=1,_xlfn.BITXOR(E206,33800),E206)</f>
        <v/>
      </c>
    </row>
    <row r="207">
      <c r="A207" t="n">
        <v>201</v>
      </c>
      <c r="B207">
        <f>_DestuffedBits!C202</f>
        <v/>
      </c>
      <c r="C207">
        <f>G206</f>
        <v/>
      </c>
      <c r="D207">
        <f>_xlfn.BITAND(C207,1)</f>
        <v/>
      </c>
      <c r="E207">
        <f>_xlfn.BITRSHIFT(C207,1)</f>
        <v/>
      </c>
      <c r="F207">
        <f>_xlfn.BITXOR(D207,B207)</f>
        <v/>
      </c>
      <c r="G207">
        <f>IF(F207=1,_xlfn.BITXOR(E207,33800),E207)</f>
        <v/>
      </c>
    </row>
    <row r="208">
      <c r="A208" t="n">
        <v>202</v>
      </c>
      <c r="B208">
        <f>_DestuffedBits!C203</f>
        <v/>
      </c>
      <c r="C208">
        <f>G207</f>
        <v/>
      </c>
      <c r="D208">
        <f>_xlfn.BITAND(C208,1)</f>
        <v/>
      </c>
      <c r="E208">
        <f>_xlfn.BITRSHIFT(C208,1)</f>
        <v/>
      </c>
      <c r="F208">
        <f>_xlfn.BITXOR(D208,B208)</f>
        <v/>
      </c>
      <c r="G208">
        <f>IF(F208=1,_xlfn.BITXOR(E208,33800),E208)</f>
        <v/>
      </c>
    </row>
    <row r="209">
      <c r="A209" t="n">
        <v>203</v>
      </c>
      <c r="B209">
        <f>_DestuffedBits!C204</f>
        <v/>
      </c>
      <c r="C209">
        <f>G208</f>
        <v/>
      </c>
      <c r="D209">
        <f>_xlfn.BITAND(C209,1)</f>
        <v/>
      </c>
      <c r="E209">
        <f>_xlfn.BITRSHIFT(C209,1)</f>
        <v/>
      </c>
      <c r="F209">
        <f>_xlfn.BITXOR(D209,B209)</f>
        <v/>
      </c>
      <c r="G209">
        <f>IF(F209=1,_xlfn.BITXOR(E209,33800),E209)</f>
        <v/>
      </c>
    </row>
    <row r="210">
      <c r="A210" t="n">
        <v>204</v>
      </c>
      <c r="B210">
        <f>_DestuffedBits!C205</f>
        <v/>
      </c>
      <c r="C210">
        <f>G209</f>
        <v/>
      </c>
      <c r="D210">
        <f>_xlfn.BITAND(C210,1)</f>
        <v/>
      </c>
      <c r="E210">
        <f>_xlfn.BITRSHIFT(C210,1)</f>
        <v/>
      </c>
      <c r="F210">
        <f>_xlfn.BITXOR(D210,B210)</f>
        <v/>
      </c>
      <c r="G210">
        <f>IF(F210=1,_xlfn.BITXOR(E210,33800),E210)</f>
        <v/>
      </c>
    </row>
    <row r="211">
      <c r="A211" t="n">
        <v>205</v>
      </c>
      <c r="B211">
        <f>_DestuffedBits!C206</f>
        <v/>
      </c>
      <c r="C211">
        <f>G210</f>
        <v/>
      </c>
      <c r="D211">
        <f>_xlfn.BITAND(C211,1)</f>
        <v/>
      </c>
      <c r="E211">
        <f>_xlfn.BITRSHIFT(C211,1)</f>
        <v/>
      </c>
      <c r="F211">
        <f>_xlfn.BITXOR(D211,B211)</f>
        <v/>
      </c>
      <c r="G211">
        <f>IF(F211=1,_xlfn.BITXOR(E211,33800),E211)</f>
        <v/>
      </c>
    </row>
    <row r="212">
      <c r="A212" t="n">
        <v>206</v>
      </c>
      <c r="B212">
        <f>_DestuffedBits!C207</f>
        <v/>
      </c>
      <c r="C212">
        <f>G211</f>
        <v/>
      </c>
      <c r="D212">
        <f>_xlfn.BITAND(C212,1)</f>
        <v/>
      </c>
      <c r="E212">
        <f>_xlfn.BITRSHIFT(C212,1)</f>
        <v/>
      </c>
      <c r="F212">
        <f>_xlfn.BITXOR(D212,B212)</f>
        <v/>
      </c>
      <c r="G212">
        <f>IF(F212=1,_xlfn.BITXOR(E212,33800),E212)</f>
        <v/>
      </c>
    </row>
    <row r="213">
      <c r="A213" t="n">
        <v>207</v>
      </c>
      <c r="B213">
        <f>_DestuffedBits!C208</f>
        <v/>
      </c>
      <c r="C213">
        <f>G212</f>
        <v/>
      </c>
      <c r="D213">
        <f>_xlfn.BITAND(C213,1)</f>
        <v/>
      </c>
      <c r="E213">
        <f>_xlfn.BITRSHIFT(C213,1)</f>
        <v/>
      </c>
      <c r="F213">
        <f>_xlfn.BITXOR(D213,B213)</f>
        <v/>
      </c>
      <c r="G213">
        <f>IF(F213=1,_xlfn.BITXOR(E213,33800),E213)</f>
        <v/>
      </c>
    </row>
    <row r="214">
      <c r="A214" t="n">
        <v>208</v>
      </c>
      <c r="B214">
        <f>_DestuffedBits!C209</f>
        <v/>
      </c>
      <c r="C214">
        <f>G213</f>
        <v/>
      </c>
      <c r="D214">
        <f>_xlfn.BITAND(C214,1)</f>
        <v/>
      </c>
      <c r="E214">
        <f>_xlfn.BITRSHIFT(C214,1)</f>
        <v/>
      </c>
      <c r="F214">
        <f>_xlfn.BITXOR(D214,B214)</f>
        <v/>
      </c>
      <c r="G214">
        <f>IF(F214=1,_xlfn.BITXOR(E214,33800),E214)</f>
        <v/>
      </c>
    </row>
    <row r="215">
      <c r="A215" t="n">
        <v>209</v>
      </c>
      <c r="B215">
        <f>_DestuffedBits!C210</f>
        <v/>
      </c>
      <c r="C215">
        <f>G214</f>
        <v/>
      </c>
      <c r="D215">
        <f>_xlfn.BITAND(C215,1)</f>
        <v/>
      </c>
      <c r="E215">
        <f>_xlfn.BITRSHIFT(C215,1)</f>
        <v/>
      </c>
      <c r="F215">
        <f>_xlfn.BITXOR(D215,B215)</f>
        <v/>
      </c>
      <c r="G215">
        <f>IF(F215=1,_xlfn.BITXOR(E215,33800),E215)</f>
        <v/>
      </c>
    </row>
    <row r="216">
      <c r="A216" t="n">
        <v>210</v>
      </c>
      <c r="B216">
        <f>_DestuffedBits!C211</f>
        <v/>
      </c>
      <c r="C216">
        <f>G215</f>
        <v/>
      </c>
      <c r="D216">
        <f>_xlfn.BITAND(C216,1)</f>
        <v/>
      </c>
      <c r="E216">
        <f>_xlfn.BITRSHIFT(C216,1)</f>
        <v/>
      </c>
      <c r="F216">
        <f>_xlfn.BITXOR(D216,B216)</f>
        <v/>
      </c>
      <c r="G216">
        <f>IF(F216=1,_xlfn.BITXOR(E216,33800),E216)</f>
        <v/>
      </c>
    </row>
    <row r="217">
      <c r="A217" t="n">
        <v>211</v>
      </c>
      <c r="B217">
        <f>_DestuffedBits!C212</f>
        <v/>
      </c>
      <c r="C217">
        <f>G216</f>
        <v/>
      </c>
      <c r="D217">
        <f>_xlfn.BITAND(C217,1)</f>
        <v/>
      </c>
      <c r="E217">
        <f>_xlfn.BITRSHIFT(C217,1)</f>
        <v/>
      </c>
      <c r="F217">
        <f>_xlfn.BITXOR(D217,B217)</f>
        <v/>
      </c>
      <c r="G217">
        <f>IF(F217=1,_xlfn.BITXOR(E217,33800),E217)</f>
        <v/>
      </c>
    </row>
    <row r="218">
      <c r="A218" t="n">
        <v>212</v>
      </c>
      <c r="B218">
        <f>_DestuffedBits!C213</f>
        <v/>
      </c>
      <c r="C218">
        <f>G217</f>
        <v/>
      </c>
      <c r="D218">
        <f>_xlfn.BITAND(C218,1)</f>
        <v/>
      </c>
      <c r="E218">
        <f>_xlfn.BITRSHIFT(C218,1)</f>
        <v/>
      </c>
      <c r="F218">
        <f>_xlfn.BITXOR(D218,B218)</f>
        <v/>
      </c>
      <c r="G218">
        <f>IF(F218=1,_xlfn.BITXOR(E218,33800),E218)</f>
        <v/>
      </c>
    </row>
    <row r="219">
      <c r="A219" t="n">
        <v>213</v>
      </c>
      <c r="B219">
        <f>_DestuffedBits!C214</f>
        <v/>
      </c>
      <c r="C219">
        <f>G218</f>
        <v/>
      </c>
      <c r="D219">
        <f>_xlfn.BITAND(C219,1)</f>
        <v/>
      </c>
      <c r="E219">
        <f>_xlfn.BITRSHIFT(C219,1)</f>
        <v/>
      </c>
      <c r="F219">
        <f>_xlfn.BITXOR(D219,B219)</f>
        <v/>
      </c>
      <c r="G219">
        <f>IF(F219=1,_xlfn.BITXOR(E219,33800),E219)</f>
        <v/>
      </c>
    </row>
    <row r="220">
      <c r="A220" t="n">
        <v>214</v>
      </c>
      <c r="B220">
        <f>_DestuffedBits!C215</f>
        <v/>
      </c>
      <c r="C220">
        <f>G219</f>
        <v/>
      </c>
      <c r="D220">
        <f>_xlfn.BITAND(C220,1)</f>
        <v/>
      </c>
      <c r="E220">
        <f>_xlfn.BITRSHIFT(C220,1)</f>
        <v/>
      </c>
      <c r="F220">
        <f>_xlfn.BITXOR(D220,B220)</f>
        <v/>
      </c>
      <c r="G220">
        <f>IF(F220=1,_xlfn.BITXOR(E220,33800),E220)</f>
        <v/>
      </c>
    </row>
    <row r="221">
      <c r="A221" t="n">
        <v>215</v>
      </c>
      <c r="B221">
        <f>_DestuffedBits!C216</f>
        <v/>
      </c>
      <c r="C221">
        <f>G220</f>
        <v/>
      </c>
      <c r="D221">
        <f>_xlfn.BITAND(C221,1)</f>
        <v/>
      </c>
      <c r="E221">
        <f>_xlfn.BITRSHIFT(C221,1)</f>
        <v/>
      </c>
      <c r="F221">
        <f>_xlfn.BITXOR(D221,B221)</f>
        <v/>
      </c>
      <c r="G221">
        <f>IF(F221=1,_xlfn.BITXOR(E221,33800),E221)</f>
        <v/>
      </c>
    </row>
    <row r="222">
      <c r="A222" t="n">
        <v>216</v>
      </c>
      <c r="B222">
        <f>_DestuffedBits!C217</f>
        <v/>
      </c>
      <c r="C222">
        <f>G221</f>
        <v/>
      </c>
      <c r="D222">
        <f>_xlfn.BITAND(C222,1)</f>
        <v/>
      </c>
      <c r="E222">
        <f>_xlfn.BITRSHIFT(C222,1)</f>
        <v/>
      </c>
      <c r="F222">
        <f>_xlfn.BITXOR(D222,B222)</f>
        <v/>
      </c>
      <c r="G222">
        <f>IF(F222=1,_xlfn.BITXOR(E222,33800),E222)</f>
        <v/>
      </c>
    </row>
    <row r="223">
      <c r="A223" t="n">
        <v>217</v>
      </c>
      <c r="B223">
        <f>_DestuffedBits!C218</f>
        <v/>
      </c>
      <c r="C223">
        <f>G222</f>
        <v/>
      </c>
      <c r="D223">
        <f>_xlfn.BITAND(C223,1)</f>
        <v/>
      </c>
      <c r="E223">
        <f>_xlfn.BITRSHIFT(C223,1)</f>
        <v/>
      </c>
      <c r="F223">
        <f>_xlfn.BITXOR(D223,B223)</f>
        <v/>
      </c>
      <c r="G223">
        <f>IF(F223=1,_xlfn.BITXOR(E223,33800),E223)</f>
        <v/>
      </c>
    </row>
    <row r="224">
      <c r="A224" t="n">
        <v>218</v>
      </c>
      <c r="B224">
        <f>_DestuffedBits!C219</f>
        <v/>
      </c>
      <c r="C224">
        <f>G223</f>
        <v/>
      </c>
      <c r="D224">
        <f>_xlfn.BITAND(C224,1)</f>
        <v/>
      </c>
      <c r="E224">
        <f>_xlfn.BITRSHIFT(C224,1)</f>
        <v/>
      </c>
      <c r="F224">
        <f>_xlfn.BITXOR(D224,B224)</f>
        <v/>
      </c>
      <c r="G224">
        <f>IF(F224=1,_xlfn.BITXOR(E224,33800),E224)</f>
        <v/>
      </c>
    </row>
    <row r="225">
      <c r="A225" t="n">
        <v>219</v>
      </c>
      <c r="B225">
        <f>_DestuffedBits!C220</f>
        <v/>
      </c>
      <c r="C225">
        <f>G224</f>
        <v/>
      </c>
      <c r="D225">
        <f>_xlfn.BITAND(C225,1)</f>
        <v/>
      </c>
      <c r="E225">
        <f>_xlfn.BITRSHIFT(C225,1)</f>
        <v/>
      </c>
      <c r="F225">
        <f>_xlfn.BITXOR(D225,B225)</f>
        <v/>
      </c>
      <c r="G225">
        <f>IF(F225=1,_xlfn.BITXOR(E225,33800),E225)</f>
        <v/>
      </c>
    </row>
    <row r="226">
      <c r="A226" t="n">
        <v>220</v>
      </c>
      <c r="B226">
        <f>_DestuffedBits!C221</f>
        <v/>
      </c>
      <c r="C226">
        <f>G225</f>
        <v/>
      </c>
      <c r="D226">
        <f>_xlfn.BITAND(C226,1)</f>
        <v/>
      </c>
      <c r="E226">
        <f>_xlfn.BITRSHIFT(C226,1)</f>
        <v/>
      </c>
      <c r="F226">
        <f>_xlfn.BITXOR(D226,B226)</f>
        <v/>
      </c>
      <c r="G226">
        <f>IF(F226=1,_xlfn.BITXOR(E226,33800),E226)</f>
        <v/>
      </c>
    </row>
    <row r="227">
      <c r="A227" t="n">
        <v>221</v>
      </c>
      <c r="B227">
        <f>_DestuffedBits!C222</f>
        <v/>
      </c>
      <c r="C227">
        <f>G226</f>
        <v/>
      </c>
      <c r="D227">
        <f>_xlfn.BITAND(C227,1)</f>
        <v/>
      </c>
      <c r="E227">
        <f>_xlfn.BITRSHIFT(C227,1)</f>
        <v/>
      </c>
      <c r="F227">
        <f>_xlfn.BITXOR(D227,B227)</f>
        <v/>
      </c>
      <c r="G227">
        <f>IF(F227=1,_xlfn.BITXOR(E227,33800),E227)</f>
        <v/>
      </c>
    </row>
    <row r="228">
      <c r="A228" t="n">
        <v>222</v>
      </c>
      <c r="B228">
        <f>_DestuffedBits!C223</f>
        <v/>
      </c>
      <c r="C228">
        <f>G227</f>
        <v/>
      </c>
      <c r="D228">
        <f>_xlfn.BITAND(C228,1)</f>
        <v/>
      </c>
      <c r="E228">
        <f>_xlfn.BITRSHIFT(C228,1)</f>
        <v/>
      </c>
      <c r="F228">
        <f>_xlfn.BITXOR(D228,B228)</f>
        <v/>
      </c>
      <c r="G228">
        <f>IF(F228=1,_xlfn.BITXOR(E228,33800),E228)</f>
        <v/>
      </c>
    </row>
    <row r="229">
      <c r="A229" t="n">
        <v>223</v>
      </c>
      <c r="B229">
        <f>_DestuffedBits!C224</f>
        <v/>
      </c>
      <c r="C229">
        <f>G228</f>
        <v/>
      </c>
      <c r="D229">
        <f>_xlfn.BITAND(C229,1)</f>
        <v/>
      </c>
      <c r="E229">
        <f>_xlfn.BITRSHIFT(C229,1)</f>
        <v/>
      </c>
      <c r="F229">
        <f>_xlfn.BITXOR(D229,B229)</f>
        <v/>
      </c>
      <c r="G229">
        <f>IF(F229=1,_xlfn.BITXOR(E229,33800),E229)</f>
        <v/>
      </c>
    </row>
    <row r="230">
      <c r="A230" t="n">
        <v>224</v>
      </c>
      <c r="B230">
        <f>_DestuffedBits!C225</f>
        <v/>
      </c>
      <c r="C230">
        <f>G229</f>
        <v/>
      </c>
      <c r="D230">
        <f>_xlfn.BITAND(C230,1)</f>
        <v/>
      </c>
      <c r="E230">
        <f>_xlfn.BITRSHIFT(C230,1)</f>
        <v/>
      </c>
      <c r="F230">
        <f>_xlfn.BITXOR(D230,B230)</f>
        <v/>
      </c>
      <c r="G230">
        <f>IF(F230=1,_xlfn.BITXOR(E230,33800),E230)</f>
        <v/>
      </c>
    </row>
    <row r="231">
      <c r="A231" t="n">
        <v>225</v>
      </c>
      <c r="B231">
        <f>_DestuffedBits!C226</f>
        <v/>
      </c>
      <c r="C231">
        <f>G230</f>
        <v/>
      </c>
      <c r="D231">
        <f>_xlfn.BITAND(C231,1)</f>
        <v/>
      </c>
      <c r="E231">
        <f>_xlfn.BITRSHIFT(C231,1)</f>
        <v/>
      </c>
      <c r="F231">
        <f>_xlfn.BITXOR(D231,B231)</f>
        <v/>
      </c>
      <c r="G231">
        <f>IF(F231=1,_xlfn.BITXOR(E231,33800),E231)</f>
        <v/>
      </c>
    </row>
    <row r="232">
      <c r="A232" t="n">
        <v>226</v>
      </c>
      <c r="B232">
        <f>_DestuffedBits!C227</f>
        <v/>
      </c>
      <c r="C232">
        <f>G231</f>
        <v/>
      </c>
      <c r="D232">
        <f>_xlfn.BITAND(C232,1)</f>
        <v/>
      </c>
      <c r="E232">
        <f>_xlfn.BITRSHIFT(C232,1)</f>
        <v/>
      </c>
      <c r="F232">
        <f>_xlfn.BITXOR(D232,B232)</f>
        <v/>
      </c>
      <c r="G232">
        <f>IF(F232=1,_xlfn.BITXOR(E232,33800),E232)</f>
        <v/>
      </c>
    </row>
    <row r="233">
      <c r="A233" t="n">
        <v>227</v>
      </c>
      <c r="B233">
        <f>_DestuffedBits!C228</f>
        <v/>
      </c>
      <c r="C233">
        <f>G232</f>
        <v/>
      </c>
      <c r="D233">
        <f>_xlfn.BITAND(C233,1)</f>
        <v/>
      </c>
      <c r="E233">
        <f>_xlfn.BITRSHIFT(C233,1)</f>
        <v/>
      </c>
      <c r="F233">
        <f>_xlfn.BITXOR(D233,B233)</f>
        <v/>
      </c>
      <c r="G233">
        <f>IF(F233=1,_xlfn.BITXOR(E233,33800),E233)</f>
        <v/>
      </c>
    </row>
    <row r="234">
      <c r="A234" t="n">
        <v>228</v>
      </c>
      <c r="B234">
        <f>_DestuffedBits!C229</f>
        <v/>
      </c>
      <c r="C234">
        <f>G233</f>
        <v/>
      </c>
      <c r="D234">
        <f>_xlfn.BITAND(C234,1)</f>
        <v/>
      </c>
      <c r="E234">
        <f>_xlfn.BITRSHIFT(C234,1)</f>
        <v/>
      </c>
      <c r="F234">
        <f>_xlfn.BITXOR(D234,B234)</f>
        <v/>
      </c>
      <c r="G234">
        <f>IF(F234=1,_xlfn.BITXOR(E234,33800),E234)</f>
        <v/>
      </c>
    </row>
    <row r="235">
      <c r="A235" t="n">
        <v>229</v>
      </c>
      <c r="B235">
        <f>_DestuffedBits!C230</f>
        <v/>
      </c>
      <c r="C235">
        <f>G234</f>
        <v/>
      </c>
      <c r="D235">
        <f>_xlfn.BITAND(C235,1)</f>
        <v/>
      </c>
      <c r="E235">
        <f>_xlfn.BITRSHIFT(C235,1)</f>
        <v/>
      </c>
      <c r="F235">
        <f>_xlfn.BITXOR(D235,B235)</f>
        <v/>
      </c>
      <c r="G235">
        <f>IF(F235=1,_xlfn.BITXOR(E235,33800),E235)</f>
        <v/>
      </c>
    </row>
    <row r="236">
      <c r="A236" t="n">
        <v>230</v>
      </c>
      <c r="B236">
        <f>_DestuffedBits!C231</f>
        <v/>
      </c>
      <c r="C236">
        <f>G235</f>
        <v/>
      </c>
      <c r="D236">
        <f>_xlfn.BITAND(C236,1)</f>
        <v/>
      </c>
      <c r="E236">
        <f>_xlfn.BITRSHIFT(C236,1)</f>
        <v/>
      </c>
      <c r="F236">
        <f>_xlfn.BITXOR(D236,B236)</f>
        <v/>
      </c>
      <c r="G236">
        <f>IF(F236=1,_xlfn.BITXOR(E236,33800),E236)</f>
        <v/>
      </c>
    </row>
    <row r="237">
      <c r="A237" t="n">
        <v>231</v>
      </c>
      <c r="B237">
        <f>_DestuffedBits!C232</f>
        <v/>
      </c>
      <c r="C237">
        <f>G236</f>
        <v/>
      </c>
      <c r="D237">
        <f>_xlfn.BITAND(C237,1)</f>
        <v/>
      </c>
      <c r="E237">
        <f>_xlfn.BITRSHIFT(C237,1)</f>
        <v/>
      </c>
      <c r="F237">
        <f>_xlfn.BITXOR(D237,B237)</f>
        <v/>
      </c>
      <c r="G237">
        <f>IF(F237=1,_xlfn.BITXOR(E237,33800),E237)</f>
        <v/>
      </c>
    </row>
    <row r="238">
      <c r="A238" t="n">
        <v>232</v>
      </c>
      <c r="B238">
        <f>_DestuffedBits!C233</f>
        <v/>
      </c>
      <c r="C238">
        <f>G237</f>
        <v/>
      </c>
      <c r="D238">
        <f>_xlfn.BITAND(C238,1)</f>
        <v/>
      </c>
      <c r="E238">
        <f>_xlfn.BITRSHIFT(C238,1)</f>
        <v/>
      </c>
      <c r="F238">
        <f>_xlfn.BITXOR(D238,B238)</f>
        <v/>
      </c>
      <c r="G238">
        <f>IF(F238=1,_xlfn.BITXOR(E238,33800),E238)</f>
        <v/>
      </c>
    </row>
    <row r="239">
      <c r="A239" t="n">
        <v>233</v>
      </c>
      <c r="B239">
        <f>_DestuffedBits!C234</f>
        <v/>
      </c>
      <c r="C239">
        <f>G238</f>
        <v/>
      </c>
      <c r="D239">
        <f>_xlfn.BITAND(C239,1)</f>
        <v/>
      </c>
      <c r="E239">
        <f>_xlfn.BITRSHIFT(C239,1)</f>
        <v/>
      </c>
      <c r="F239">
        <f>_xlfn.BITXOR(D239,B239)</f>
        <v/>
      </c>
      <c r="G239">
        <f>IF(F239=1,_xlfn.BITXOR(E239,33800),E239)</f>
        <v/>
      </c>
    </row>
    <row r="240">
      <c r="A240" t="n">
        <v>234</v>
      </c>
      <c r="B240">
        <f>_DestuffedBits!C235</f>
        <v/>
      </c>
      <c r="C240">
        <f>G239</f>
        <v/>
      </c>
      <c r="D240">
        <f>_xlfn.BITAND(C240,1)</f>
        <v/>
      </c>
      <c r="E240">
        <f>_xlfn.BITRSHIFT(C240,1)</f>
        <v/>
      </c>
      <c r="F240">
        <f>_xlfn.BITXOR(D240,B240)</f>
        <v/>
      </c>
      <c r="G240">
        <f>IF(F240=1,_xlfn.BITXOR(E240,33800),E240)</f>
        <v/>
      </c>
    </row>
    <row r="241">
      <c r="A241" t="n">
        <v>235</v>
      </c>
      <c r="B241">
        <f>_DestuffedBits!C236</f>
        <v/>
      </c>
      <c r="C241">
        <f>G240</f>
        <v/>
      </c>
      <c r="D241">
        <f>_xlfn.BITAND(C241,1)</f>
        <v/>
      </c>
      <c r="E241">
        <f>_xlfn.BITRSHIFT(C241,1)</f>
        <v/>
      </c>
      <c r="F241">
        <f>_xlfn.BITXOR(D241,B241)</f>
        <v/>
      </c>
      <c r="G241">
        <f>IF(F241=1,_xlfn.BITXOR(E241,33800),E241)</f>
        <v/>
      </c>
    </row>
    <row r="242">
      <c r="A242" t="n">
        <v>236</v>
      </c>
      <c r="B242">
        <f>_DestuffedBits!C237</f>
        <v/>
      </c>
      <c r="C242">
        <f>G241</f>
        <v/>
      </c>
      <c r="D242">
        <f>_xlfn.BITAND(C242,1)</f>
        <v/>
      </c>
      <c r="E242">
        <f>_xlfn.BITRSHIFT(C242,1)</f>
        <v/>
      </c>
      <c r="F242">
        <f>_xlfn.BITXOR(D242,B242)</f>
        <v/>
      </c>
      <c r="G242">
        <f>IF(F242=1,_xlfn.BITXOR(E242,33800),E242)</f>
        <v/>
      </c>
    </row>
    <row r="243">
      <c r="A243" t="n">
        <v>237</v>
      </c>
      <c r="B243">
        <f>_DestuffedBits!C238</f>
        <v/>
      </c>
      <c r="C243">
        <f>G242</f>
        <v/>
      </c>
      <c r="D243">
        <f>_xlfn.BITAND(C243,1)</f>
        <v/>
      </c>
      <c r="E243">
        <f>_xlfn.BITRSHIFT(C243,1)</f>
        <v/>
      </c>
      <c r="F243">
        <f>_xlfn.BITXOR(D243,B243)</f>
        <v/>
      </c>
      <c r="G243">
        <f>IF(F243=1,_xlfn.BITXOR(E243,33800),E243)</f>
        <v/>
      </c>
    </row>
    <row r="244">
      <c r="A244" t="n">
        <v>238</v>
      </c>
      <c r="B244">
        <f>_DestuffedBits!C239</f>
        <v/>
      </c>
      <c r="C244">
        <f>G243</f>
        <v/>
      </c>
      <c r="D244">
        <f>_xlfn.BITAND(C244,1)</f>
        <v/>
      </c>
      <c r="E244">
        <f>_xlfn.BITRSHIFT(C244,1)</f>
        <v/>
      </c>
      <c r="F244">
        <f>_xlfn.BITXOR(D244,B244)</f>
        <v/>
      </c>
      <c r="G244">
        <f>IF(F244=1,_xlfn.BITXOR(E244,33800),E244)</f>
        <v/>
      </c>
    </row>
    <row r="245">
      <c r="A245" t="n">
        <v>239</v>
      </c>
      <c r="B245">
        <f>_DestuffedBits!C240</f>
        <v/>
      </c>
      <c r="C245">
        <f>G244</f>
        <v/>
      </c>
      <c r="D245">
        <f>_xlfn.BITAND(C245,1)</f>
        <v/>
      </c>
      <c r="E245">
        <f>_xlfn.BITRSHIFT(C245,1)</f>
        <v/>
      </c>
      <c r="F245">
        <f>_xlfn.BITXOR(D245,B245)</f>
        <v/>
      </c>
      <c r="G245">
        <f>IF(F245=1,_xlfn.BITXOR(E245,33800),E245)</f>
        <v/>
      </c>
    </row>
    <row r="246">
      <c r="A246" t="n">
        <v>240</v>
      </c>
      <c r="B246">
        <f>_DestuffedBits!C241</f>
        <v/>
      </c>
      <c r="C246">
        <f>G245</f>
        <v/>
      </c>
      <c r="D246">
        <f>_xlfn.BITAND(C246,1)</f>
        <v/>
      </c>
      <c r="E246">
        <f>_xlfn.BITRSHIFT(C246,1)</f>
        <v/>
      </c>
      <c r="F246">
        <f>_xlfn.BITXOR(D246,B246)</f>
        <v/>
      </c>
      <c r="G246">
        <f>IF(F246=1,_xlfn.BITXOR(E246,33800),E246)</f>
        <v/>
      </c>
    </row>
    <row r="247">
      <c r="A247" t="n">
        <v>241</v>
      </c>
      <c r="B247">
        <f>_DestuffedBits!C242</f>
        <v/>
      </c>
      <c r="C247">
        <f>G246</f>
        <v/>
      </c>
      <c r="D247">
        <f>_xlfn.BITAND(C247,1)</f>
        <v/>
      </c>
      <c r="E247">
        <f>_xlfn.BITRSHIFT(C247,1)</f>
        <v/>
      </c>
      <c r="F247">
        <f>_xlfn.BITXOR(D247,B247)</f>
        <v/>
      </c>
      <c r="G247">
        <f>IF(F247=1,_xlfn.BITXOR(E247,33800),E247)</f>
        <v/>
      </c>
    </row>
    <row r="248">
      <c r="A248" t="n">
        <v>242</v>
      </c>
      <c r="B248">
        <f>_DestuffedBits!C243</f>
        <v/>
      </c>
      <c r="C248">
        <f>G247</f>
        <v/>
      </c>
      <c r="D248">
        <f>_xlfn.BITAND(C248,1)</f>
        <v/>
      </c>
      <c r="E248">
        <f>_xlfn.BITRSHIFT(C248,1)</f>
        <v/>
      </c>
      <c r="F248">
        <f>_xlfn.BITXOR(D248,B248)</f>
        <v/>
      </c>
      <c r="G248">
        <f>IF(F248=1,_xlfn.BITXOR(E248,33800),E248)</f>
        <v/>
      </c>
    </row>
    <row r="249">
      <c r="A249" t="n">
        <v>243</v>
      </c>
      <c r="B249">
        <f>_DestuffedBits!C244</f>
        <v/>
      </c>
      <c r="C249">
        <f>G248</f>
        <v/>
      </c>
      <c r="D249">
        <f>_xlfn.BITAND(C249,1)</f>
        <v/>
      </c>
      <c r="E249">
        <f>_xlfn.BITRSHIFT(C249,1)</f>
        <v/>
      </c>
      <c r="F249">
        <f>_xlfn.BITXOR(D249,B249)</f>
        <v/>
      </c>
      <c r="G249">
        <f>IF(F249=1,_xlfn.BITXOR(E249,33800),E249)</f>
        <v/>
      </c>
    </row>
    <row r="250">
      <c r="A250" t="n">
        <v>244</v>
      </c>
      <c r="B250">
        <f>_DestuffedBits!C245</f>
        <v/>
      </c>
      <c r="C250">
        <f>G249</f>
        <v/>
      </c>
      <c r="D250">
        <f>_xlfn.BITAND(C250,1)</f>
        <v/>
      </c>
      <c r="E250">
        <f>_xlfn.BITRSHIFT(C250,1)</f>
        <v/>
      </c>
      <c r="F250">
        <f>_xlfn.BITXOR(D250,B250)</f>
        <v/>
      </c>
      <c r="G250">
        <f>IF(F250=1,_xlfn.BITXOR(E250,33800),E250)</f>
        <v/>
      </c>
    </row>
    <row r="251">
      <c r="A251" t="n">
        <v>245</v>
      </c>
      <c r="B251">
        <f>_DestuffedBits!C246</f>
        <v/>
      </c>
      <c r="C251">
        <f>G250</f>
        <v/>
      </c>
      <c r="D251">
        <f>_xlfn.BITAND(C251,1)</f>
        <v/>
      </c>
      <c r="E251">
        <f>_xlfn.BITRSHIFT(C251,1)</f>
        <v/>
      </c>
      <c r="F251">
        <f>_xlfn.BITXOR(D251,B251)</f>
        <v/>
      </c>
      <c r="G251">
        <f>IF(F251=1,_xlfn.BITXOR(E251,33800),E251)</f>
        <v/>
      </c>
    </row>
    <row r="252">
      <c r="A252" t="n">
        <v>246</v>
      </c>
      <c r="B252">
        <f>_DestuffedBits!C247</f>
        <v/>
      </c>
      <c r="C252">
        <f>G251</f>
        <v/>
      </c>
      <c r="D252">
        <f>_xlfn.BITAND(C252,1)</f>
        <v/>
      </c>
      <c r="E252">
        <f>_xlfn.BITRSHIFT(C252,1)</f>
        <v/>
      </c>
      <c r="F252">
        <f>_xlfn.BITXOR(D252,B252)</f>
        <v/>
      </c>
      <c r="G252">
        <f>IF(F252=1,_xlfn.BITXOR(E252,33800),E252)</f>
        <v/>
      </c>
    </row>
    <row r="253">
      <c r="A253" t="n">
        <v>247</v>
      </c>
      <c r="B253">
        <f>_DestuffedBits!C248</f>
        <v/>
      </c>
      <c r="C253">
        <f>G252</f>
        <v/>
      </c>
      <c r="D253">
        <f>_xlfn.BITAND(C253,1)</f>
        <v/>
      </c>
      <c r="E253">
        <f>_xlfn.BITRSHIFT(C253,1)</f>
        <v/>
      </c>
      <c r="F253">
        <f>_xlfn.BITXOR(D253,B253)</f>
        <v/>
      </c>
      <c r="G253">
        <f>IF(F253=1,_xlfn.BITXOR(E253,33800),E253)</f>
        <v/>
      </c>
    </row>
    <row r="254">
      <c r="A254" t="n">
        <v>248</v>
      </c>
      <c r="B254">
        <f>_DestuffedBits!C249</f>
        <v/>
      </c>
      <c r="C254">
        <f>G253</f>
        <v/>
      </c>
      <c r="D254">
        <f>_xlfn.BITAND(C254,1)</f>
        <v/>
      </c>
      <c r="E254">
        <f>_xlfn.BITRSHIFT(C254,1)</f>
        <v/>
      </c>
      <c r="F254">
        <f>_xlfn.BITXOR(D254,B254)</f>
        <v/>
      </c>
      <c r="G254">
        <f>IF(F254=1,_xlfn.BITXOR(E254,33800),E254)</f>
        <v/>
      </c>
    </row>
    <row r="255">
      <c r="A255" t="n">
        <v>249</v>
      </c>
      <c r="B255">
        <f>_DestuffedBits!C250</f>
        <v/>
      </c>
      <c r="C255">
        <f>G254</f>
        <v/>
      </c>
      <c r="D255">
        <f>_xlfn.BITAND(C255,1)</f>
        <v/>
      </c>
      <c r="E255">
        <f>_xlfn.BITRSHIFT(C255,1)</f>
        <v/>
      </c>
      <c r="F255">
        <f>_xlfn.BITXOR(D255,B255)</f>
        <v/>
      </c>
      <c r="G255">
        <f>IF(F255=1,_xlfn.BITXOR(E255,33800),E255)</f>
        <v/>
      </c>
    </row>
    <row r="256">
      <c r="A256" t="n">
        <v>250</v>
      </c>
      <c r="B256">
        <f>_DestuffedBits!C251</f>
        <v/>
      </c>
      <c r="C256">
        <f>G255</f>
        <v/>
      </c>
      <c r="D256">
        <f>_xlfn.BITAND(C256,1)</f>
        <v/>
      </c>
      <c r="E256">
        <f>_xlfn.BITRSHIFT(C256,1)</f>
        <v/>
      </c>
      <c r="F256">
        <f>_xlfn.BITXOR(D256,B256)</f>
        <v/>
      </c>
      <c r="G256">
        <f>IF(F256=1,_xlfn.BITXOR(E256,33800),E256)</f>
        <v/>
      </c>
    </row>
    <row r="257">
      <c r="A257" t="n">
        <v>251</v>
      </c>
      <c r="B257">
        <f>_DestuffedBits!C252</f>
        <v/>
      </c>
      <c r="C257">
        <f>G256</f>
        <v/>
      </c>
      <c r="D257">
        <f>_xlfn.BITAND(C257,1)</f>
        <v/>
      </c>
      <c r="E257">
        <f>_xlfn.BITRSHIFT(C257,1)</f>
        <v/>
      </c>
      <c r="F257">
        <f>_xlfn.BITXOR(D257,B257)</f>
        <v/>
      </c>
      <c r="G257">
        <f>IF(F257=1,_xlfn.BITXOR(E257,33800),E257)</f>
        <v/>
      </c>
    </row>
    <row r="258">
      <c r="A258" t="n">
        <v>252</v>
      </c>
      <c r="B258">
        <f>_DestuffedBits!C253</f>
        <v/>
      </c>
      <c r="C258">
        <f>G257</f>
        <v/>
      </c>
      <c r="D258">
        <f>_xlfn.BITAND(C258,1)</f>
        <v/>
      </c>
      <c r="E258">
        <f>_xlfn.BITRSHIFT(C258,1)</f>
        <v/>
      </c>
      <c r="F258">
        <f>_xlfn.BITXOR(D258,B258)</f>
        <v/>
      </c>
      <c r="G258">
        <f>IF(F258=1,_xlfn.BITXOR(E258,33800),E258)</f>
        <v/>
      </c>
    </row>
    <row r="259">
      <c r="A259" t="n">
        <v>253</v>
      </c>
      <c r="B259">
        <f>_DestuffedBits!C254</f>
        <v/>
      </c>
      <c r="C259">
        <f>G258</f>
        <v/>
      </c>
      <c r="D259">
        <f>_xlfn.BITAND(C259,1)</f>
        <v/>
      </c>
      <c r="E259">
        <f>_xlfn.BITRSHIFT(C259,1)</f>
        <v/>
      </c>
      <c r="F259">
        <f>_xlfn.BITXOR(D259,B259)</f>
        <v/>
      </c>
      <c r="G259">
        <f>IF(F259=1,_xlfn.BITXOR(E259,33800),E259)</f>
        <v/>
      </c>
    </row>
    <row r="260">
      <c r="A260" t="n">
        <v>254</v>
      </c>
      <c r="B260">
        <f>_DestuffedBits!C255</f>
        <v/>
      </c>
      <c r="C260">
        <f>G259</f>
        <v/>
      </c>
      <c r="D260">
        <f>_xlfn.BITAND(C260,1)</f>
        <v/>
      </c>
      <c r="E260">
        <f>_xlfn.BITRSHIFT(C260,1)</f>
        <v/>
      </c>
      <c r="F260">
        <f>_xlfn.BITXOR(D260,B260)</f>
        <v/>
      </c>
      <c r="G260">
        <f>IF(F260=1,_xlfn.BITXOR(E260,33800),E260)</f>
        <v/>
      </c>
    </row>
    <row r="261">
      <c r="A261" t="n">
        <v>255</v>
      </c>
      <c r="B261">
        <f>_DestuffedBits!C256</f>
        <v/>
      </c>
      <c r="C261">
        <f>G260</f>
        <v/>
      </c>
      <c r="D261">
        <f>_xlfn.BITAND(C261,1)</f>
        <v/>
      </c>
      <c r="E261">
        <f>_xlfn.BITRSHIFT(C261,1)</f>
        <v/>
      </c>
      <c r="F261">
        <f>_xlfn.BITXOR(D261,B261)</f>
        <v/>
      </c>
      <c r="G261">
        <f>IF(F261=1,_xlfn.BITXOR(E261,33800),E261)</f>
        <v/>
      </c>
    </row>
    <row r="262">
      <c r="A262" t="n">
        <v>256</v>
      </c>
      <c r="B262">
        <f>_DestuffedBits!C257</f>
        <v/>
      </c>
      <c r="C262">
        <f>G261</f>
        <v/>
      </c>
      <c r="D262">
        <f>_xlfn.BITAND(C262,1)</f>
        <v/>
      </c>
      <c r="E262">
        <f>_xlfn.BITRSHIFT(C262,1)</f>
        <v/>
      </c>
      <c r="F262">
        <f>_xlfn.BITXOR(D262,B262)</f>
        <v/>
      </c>
      <c r="G262">
        <f>IF(F262=1,_xlfn.BITXOR(E262,33800),E262)</f>
        <v/>
      </c>
    </row>
    <row r="263">
      <c r="A263" t="n">
        <v>257</v>
      </c>
      <c r="B263">
        <f>_DestuffedBits!C258</f>
        <v/>
      </c>
      <c r="C263">
        <f>G262</f>
        <v/>
      </c>
      <c r="D263">
        <f>_xlfn.BITAND(C263,1)</f>
        <v/>
      </c>
      <c r="E263">
        <f>_xlfn.BITRSHIFT(C263,1)</f>
        <v/>
      </c>
      <c r="F263">
        <f>_xlfn.BITXOR(D263,B263)</f>
        <v/>
      </c>
      <c r="G263">
        <f>IF(F263=1,_xlfn.BITXOR(E263,33800),E263)</f>
        <v/>
      </c>
    </row>
    <row r="264">
      <c r="A264" t="n">
        <v>258</v>
      </c>
      <c r="B264">
        <f>_DestuffedBits!C259</f>
        <v/>
      </c>
      <c r="C264">
        <f>G263</f>
        <v/>
      </c>
      <c r="D264">
        <f>_xlfn.BITAND(C264,1)</f>
        <v/>
      </c>
      <c r="E264">
        <f>_xlfn.BITRSHIFT(C264,1)</f>
        <v/>
      </c>
      <c r="F264">
        <f>_xlfn.BITXOR(D264,B264)</f>
        <v/>
      </c>
      <c r="G264">
        <f>IF(F264=1,_xlfn.BITXOR(E264,33800),E264)</f>
        <v/>
      </c>
    </row>
    <row r="265">
      <c r="A265" t="n">
        <v>259</v>
      </c>
      <c r="B265">
        <f>_DestuffedBits!C260</f>
        <v/>
      </c>
      <c r="C265">
        <f>G264</f>
        <v/>
      </c>
      <c r="D265">
        <f>_xlfn.BITAND(C265,1)</f>
        <v/>
      </c>
      <c r="E265">
        <f>_xlfn.BITRSHIFT(C265,1)</f>
        <v/>
      </c>
      <c r="F265">
        <f>_xlfn.BITXOR(D265,B265)</f>
        <v/>
      </c>
      <c r="G265">
        <f>IF(F265=1,_xlfn.BITXOR(E265,33800),E265)</f>
        <v/>
      </c>
    </row>
    <row r="266">
      <c r="A266" t="n">
        <v>260</v>
      </c>
      <c r="B266">
        <f>_DestuffedBits!C261</f>
        <v/>
      </c>
      <c r="C266">
        <f>G265</f>
        <v/>
      </c>
      <c r="D266">
        <f>_xlfn.BITAND(C266,1)</f>
        <v/>
      </c>
      <c r="E266">
        <f>_xlfn.BITRSHIFT(C266,1)</f>
        <v/>
      </c>
      <c r="F266">
        <f>_xlfn.BITXOR(D266,B266)</f>
        <v/>
      </c>
      <c r="G266">
        <f>IF(F266=1,_xlfn.BITXOR(E266,33800),E266)</f>
        <v/>
      </c>
    </row>
    <row r="267">
      <c r="A267" t="n">
        <v>261</v>
      </c>
      <c r="B267">
        <f>_DestuffedBits!C262</f>
        <v/>
      </c>
      <c r="C267">
        <f>G266</f>
        <v/>
      </c>
      <c r="D267">
        <f>_xlfn.BITAND(C267,1)</f>
        <v/>
      </c>
      <c r="E267">
        <f>_xlfn.BITRSHIFT(C267,1)</f>
        <v/>
      </c>
      <c r="F267">
        <f>_xlfn.BITXOR(D267,B267)</f>
        <v/>
      </c>
      <c r="G267">
        <f>IF(F267=1,_xlfn.BITXOR(E267,33800),E267)</f>
        <v/>
      </c>
    </row>
    <row r="268">
      <c r="A268" t="n">
        <v>262</v>
      </c>
      <c r="B268">
        <f>_DestuffedBits!C263</f>
        <v/>
      </c>
      <c r="C268">
        <f>G267</f>
        <v/>
      </c>
      <c r="D268">
        <f>_xlfn.BITAND(C268,1)</f>
        <v/>
      </c>
      <c r="E268">
        <f>_xlfn.BITRSHIFT(C268,1)</f>
        <v/>
      </c>
      <c r="F268">
        <f>_xlfn.BITXOR(D268,B268)</f>
        <v/>
      </c>
      <c r="G268">
        <f>IF(F268=1,_xlfn.BITXOR(E268,33800),E268)</f>
        <v/>
      </c>
    </row>
    <row r="269">
      <c r="A269" t="n">
        <v>263</v>
      </c>
      <c r="B269">
        <f>_DestuffedBits!C264</f>
        <v/>
      </c>
      <c r="C269">
        <f>G268</f>
        <v/>
      </c>
      <c r="D269">
        <f>_xlfn.BITAND(C269,1)</f>
        <v/>
      </c>
      <c r="E269">
        <f>_xlfn.BITRSHIFT(C269,1)</f>
        <v/>
      </c>
      <c r="F269">
        <f>_xlfn.BITXOR(D269,B269)</f>
        <v/>
      </c>
      <c r="G269">
        <f>IF(F269=1,_xlfn.BITXOR(E269,33800),E269)</f>
        <v/>
      </c>
    </row>
    <row r="270">
      <c r="A270" t="n">
        <v>264</v>
      </c>
      <c r="B270">
        <f>_DestuffedBits!C265</f>
        <v/>
      </c>
      <c r="C270">
        <f>G269</f>
        <v/>
      </c>
      <c r="D270">
        <f>_xlfn.BITAND(C270,1)</f>
        <v/>
      </c>
      <c r="E270">
        <f>_xlfn.BITRSHIFT(C270,1)</f>
        <v/>
      </c>
      <c r="F270">
        <f>_xlfn.BITXOR(D270,B270)</f>
        <v/>
      </c>
      <c r="G270">
        <f>IF(F270=1,_xlfn.BITXOR(E270,33800),E270)</f>
        <v/>
      </c>
    </row>
    <row r="271">
      <c r="A271" t="n">
        <v>265</v>
      </c>
      <c r="B271">
        <f>_DestuffedBits!C266</f>
        <v/>
      </c>
      <c r="C271">
        <f>G270</f>
        <v/>
      </c>
      <c r="D271">
        <f>_xlfn.BITAND(C271,1)</f>
        <v/>
      </c>
      <c r="E271">
        <f>_xlfn.BITRSHIFT(C271,1)</f>
        <v/>
      </c>
      <c r="F271">
        <f>_xlfn.BITXOR(D271,B271)</f>
        <v/>
      </c>
      <c r="G271">
        <f>IF(F271=1,_xlfn.BITXOR(E271,33800),E271)</f>
        <v/>
      </c>
    </row>
    <row r="272">
      <c r="A272" t="n">
        <v>266</v>
      </c>
      <c r="B272">
        <f>_DestuffedBits!C267</f>
        <v/>
      </c>
      <c r="C272">
        <f>G271</f>
        <v/>
      </c>
      <c r="D272">
        <f>_xlfn.BITAND(C272,1)</f>
        <v/>
      </c>
      <c r="E272">
        <f>_xlfn.BITRSHIFT(C272,1)</f>
        <v/>
      </c>
      <c r="F272">
        <f>_xlfn.BITXOR(D272,B272)</f>
        <v/>
      </c>
      <c r="G272">
        <f>IF(F272=1,_xlfn.BITXOR(E272,33800),E272)</f>
        <v/>
      </c>
    </row>
    <row r="273">
      <c r="A273" t="n">
        <v>267</v>
      </c>
      <c r="B273">
        <f>_DestuffedBits!C268</f>
        <v/>
      </c>
      <c r="C273">
        <f>G272</f>
        <v/>
      </c>
      <c r="D273">
        <f>_xlfn.BITAND(C273,1)</f>
        <v/>
      </c>
      <c r="E273">
        <f>_xlfn.BITRSHIFT(C273,1)</f>
        <v/>
      </c>
      <c r="F273">
        <f>_xlfn.BITXOR(D273,B273)</f>
        <v/>
      </c>
      <c r="G273">
        <f>IF(F273=1,_xlfn.BITXOR(E273,33800),E273)</f>
        <v/>
      </c>
    </row>
    <row r="274">
      <c r="A274" t="n">
        <v>268</v>
      </c>
      <c r="B274">
        <f>_DestuffedBits!C269</f>
        <v/>
      </c>
      <c r="C274">
        <f>G273</f>
        <v/>
      </c>
      <c r="D274">
        <f>_xlfn.BITAND(C274,1)</f>
        <v/>
      </c>
      <c r="E274">
        <f>_xlfn.BITRSHIFT(C274,1)</f>
        <v/>
      </c>
      <c r="F274">
        <f>_xlfn.BITXOR(D274,B274)</f>
        <v/>
      </c>
      <c r="G274">
        <f>IF(F274=1,_xlfn.BITXOR(E274,33800),E274)</f>
        <v/>
      </c>
    </row>
    <row r="275">
      <c r="A275" t="n">
        <v>269</v>
      </c>
      <c r="B275">
        <f>_DestuffedBits!C270</f>
        <v/>
      </c>
      <c r="C275">
        <f>G274</f>
        <v/>
      </c>
      <c r="D275">
        <f>_xlfn.BITAND(C275,1)</f>
        <v/>
      </c>
      <c r="E275">
        <f>_xlfn.BITRSHIFT(C275,1)</f>
        <v/>
      </c>
      <c r="F275">
        <f>_xlfn.BITXOR(D275,B275)</f>
        <v/>
      </c>
      <c r="G275">
        <f>IF(F275=1,_xlfn.BITXOR(E275,33800),E275)</f>
        <v/>
      </c>
    </row>
    <row r="276">
      <c r="A276" t="n">
        <v>270</v>
      </c>
      <c r="B276">
        <f>_DestuffedBits!C271</f>
        <v/>
      </c>
      <c r="C276">
        <f>G275</f>
        <v/>
      </c>
      <c r="D276">
        <f>_xlfn.BITAND(C276,1)</f>
        <v/>
      </c>
      <c r="E276">
        <f>_xlfn.BITRSHIFT(C276,1)</f>
        <v/>
      </c>
      <c r="F276">
        <f>_xlfn.BITXOR(D276,B276)</f>
        <v/>
      </c>
      <c r="G276">
        <f>IF(F276=1,_xlfn.BITXOR(E276,33800),E276)</f>
        <v/>
      </c>
    </row>
    <row r="277">
      <c r="A277" t="n">
        <v>271</v>
      </c>
      <c r="B277">
        <f>_DestuffedBits!C272</f>
        <v/>
      </c>
      <c r="C277">
        <f>G276</f>
        <v/>
      </c>
      <c r="D277">
        <f>_xlfn.BITAND(C277,1)</f>
        <v/>
      </c>
      <c r="E277">
        <f>_xlfn.BITRSHIFT(C277,1)</f>
        <v/>
      </c>
      <c r="F277">
        <f>_xlfn.BITXOR(D277,B277)</f>
        <v/>
      </c>
      <c r="G277">
        <f>IF(F277=1,_xlfn.BITXOR(E277,33800),E277)</f>
        <v/>
      </c>
    </row>
    <row r="278">
      <c r="A278" t="n">
        <v>272</v>
      </c>
      <c r="B278">
        <f>_DestuffedBits!C273</f>
        <v/>
      </c>
      <c r="C278">
        <f>G277</f>
        <v/>
      </c>
      <c r="D278">
        <f>_xlfn.BITAND(C278,1)</f>
        <v/>
      </c>
      <c r="E278">
        <f>_xlfn.BITRSHIFT(C278,1)</f>
        <v/>
      </c>
      <c r="F278">
        <f>_xlfn.BITXOR(D278,B278)</f>
        <v/>
      </c>
      <c r="G278">
        <f>IF(F278=1,_xlfn.BITXOR(E278,33800),E278)</f>
        <v/>
      </c>
    </row>
    <row r="279">
      <c r="A279" t="n">
        <v>273</v>
      </c>
      <c r="B279">
        <f>_DestuffedBits!C274</f>
        <v/>
      </c>
      <c r="C279">
        <f>G278</f>
        <v/>
      </c>
      <c r="D279">
        <f>_xlfn.BITAND(C279,1)</f>
        <v/>
      </c>
      <c r="E279">
        <f>_xlfn.BITRSHIFT(C279,1)</f>
        <v/>
      </c>
      <c r="F279">
        <f>_xlfn.BITXOR(D279,B279)</f>
        <v/>
      </c>
      <c r="G279">
        <f>IF(F279=1,_xlfn.BITXOR(E279,33800),E279)</f>
        <v/>
      </c>
    </row>
    <row r="280">
      <c r="A280" t="n">
        <v>274</v>
      </c>
      <c r="B280">
        <f>_DestuffedBits!C275</f>
        <v/>
      </c>
      <c r="C280">
        <f>G279</f>
        <v/>
      </c>
      <c r="D280">
        <f>_xlfn.BITAND(C280,1)</f>
        <v/>
      </c>
      <c r="E280">
        <f>_xlfn.BITRSHIFT(C280,1)</f>
        <v/>
      </c>
      <c r="F280">
        <f>_xlfn.BITXOR(D280,B280)</f>
        <v/>
      </c>
      <c r="G280">
        <f>IF(F280=1,_xlfn.BITXOR(E280,33800),E280)</f>
        <v/>
      </c>
    </row>
    <row r="281">
      <c r="A281" t="n">
        <v>275</v>
      </c>
      <c r="B281">
        <f>_DestuffedBits!C276</f>
        <v/>
      </c>
      <c r="C281">
        <f>G280</f>
        <v/>
      </c>
      <c r="D281">
        <f>_xlfn.BITAND(C281,1)</f>
        <v/>
      </c>
      <c r="E281">
        <f>_xlfn.BITRSHIFT(C281,1)</f>
        <v/>
      </c>
      <c r="F281">
        <f>_xlfn.BITXOR(D281,B281)</f>
        <v/>
      </c>
      <c r="G281">
        <f>IF(F281=1,_xlfn.BITXOR(E281,33800),E281)</f>
        <v/>
      </c>
    </row>
    <row r="282">
      <c r="A282" t="n">
        <v>276</v>
      </c>
      <c r="B282">
        <f>_DestuffedBits!C277</f>
        <v/>
      </c>
      <c r="C282">
        <f>G281</f>
        <v/>
      </c>
      <c r="D282">
        <f>_xlfn.BITAND(C282,1)</f>
        <v/>
      </c>
      <c r="E282">
        <f>_xlfn.BITRSHIFT(C282,1)</f>
        <v/>
      </c>
      <c r="F282">
        <f>_xlfn.BITXOR(D282,B282)</f>
        <v/>
      </c>
      <c r="G282">
        <f>IF(F282=1,_xlfn.BITXOR(E282,33800),E282)</f>
        <v/>
      </c>
    </row>
    <row r="283">
      <c r="A283" t="n">
        <v>277</v>
      </c>
      <c r="B283">
        <f>_DestuffedBits!C278</f>
        <v/>
      </c>
      <c r="C283">
        <f>G282</f>
        <v/>
      </c>
      <c r="D283">
        <f>_xlfn.BITAND(C283,1)</f>
        <v/>
      </c>
      <c r="E283">
        <f>_xlfn.BITRSHIFT(C283,1)</f>
        <v/>
      </c>
      <c r="F283">
        <f>_xlfn.BITXOR(D283,B283)</f>
        <v/>
      </c>
      <c r="G283">
        <f>IF(F283=1,_xlfn.BITXOR(E283,33800),E283)</f>
        <v/>
      </c>
    </row>
    <row r="284">
      <c r="A284" t="n">
        <v>278</v>
      </c>
      <c r="B284">
        <f>_DestuffedBits!C279</f>
        <v/>
      </c>
      <c r="C284">
        <f>G283</f>
        <v/>
      </c>
      <c r="D284">
        <f>_xlfn.BITAND(C284,1)</f>
        <v/>
      </c>
      <c r="E284">
        <f>_xlfn.BITRSHIFT(C284,1)</f>
        <v/>
      </c>
      <c r="F284">
        <f>_xlfn.BITXOR(D284,B284)</f>
        <v/>
      </c>
      <c r="G284">
        <f>IF(F284=1,_xlfn.BITXOR(E284,33800),E284)</f>
        <v/>
      </c>
    </row>
    <row r="285">
      <c r="A285" t="n">
        <v>279</v>
      </c>
      <c r="B285">
        <f>_DestuffedBits!C280</f>
        <v/>
      </c>
      <c r="C285">
        <f>G284</f>
        <v/>
      </c>
      <c r="D285">
        <f>_xlfn.BITAND(C285,1)</f>
        <v/>
      </c>
      <c r="E285">
        <f>_xlfn.BITRSHIFT(C285,1)</f>
        <v/>
      </c>
      <c r="F285">
        <f>_xlfn.BITXOR(D285,B285)</f>
        <v/>
      </c>
      <c r="G285">
        <f>IF(F285=1,_xlfn.BITXOR(E285,33800),E285)</f>
        <v/>
      </c>
    </row>
    <row r="286">
      <c r="A286" t="n">
        <v>280</v>
      </c>
      <c r="B286">
        <f>_DestuffedBits!C281</f>
        <v/>
      </c>
      <c r="C286">
        <f>G285</f>
        <v/>
      </c>
      <c r="D286">
        <f>_xlfn.BITAND(C286,1)</f>
        <v/>
      </c>
      <c r="E286">
        <f>_xlfn.BITRSHIFT(C286,1)</f>
        <v/>
      </c>
      <c r="F286">
        <f>_xlfn.BITXOR(D286,B286)</f>
        <v/>
      </c>
      <c r="G286">
        <f>IF(F286=1,_xlfn.BITXOR(E286,33800),E286)</f>
        <v/>
      </c>
    </row>
    <row r="287">
      <c r="A287" t="n">
        <v>281</v>
      </c>
      <c r="B287">
        <f>_DestuffedBits!C282</f>
        <v/>
      </c>
      <c r="C287">
        <f>G286</f>
        <v/>
      </c>
      <c r="D287">
        <f>_xlfn.BITAND(C287,1)</f>
        <v/>
      </c>
      <c r="E287">
        <f>_xlfn.BITRSHIFT(C287,1)</f>
        <v/>
      </c>
      <c r="F287">
        <f>_xlfn.BITXOR(D287,B287)</f>
        <v/>
      </c>
      <c r="G287">
        <f>IF(F287=1,_xlfn.BITXOR(E287,33800),E287)</f>
        <v/>
      </c>
    </row>
    <row r="288">
      <c r="A288" t="n">
        <v>282</v>
      </c>
      <c r="B288">
        <f>_DestuffedBits!C283</f>
        <v/>
      </c>
      <c r="C288">
        <f>G287</f>
        <v/>
      </c>
      <c r="D288">
        <f>_xlfn.BITAND(C288,1)</f>
        <v/>
      </c>
      <c r="E288">
        <f>_xlfn.BITRSHIFT(C288,1)</f>
        <v/>
      </c>
      <c r="F288">
        <f>_xlfn.BITXOR(D288,B288)</f>
        <v/>
      </c>
      <c r="G288">
        <f>IF(F288=1,_xlfn.BITXOR(E288,33800),E288)</f>
        <v/>
      </c>
    </row>
    <row r="289">
      <c r="A289" t="n">
        <v>283</v>
      </c>
      <c r="B289">
        <f>_DestuffedBits!C284</f>
        <v/>
      </c>
      <c r="C289">
        <f>G288</f>
        <v/>
      </c>
      <c r="D289">
        <f>_xlfn.BITAND(C289,1)</f>
        <v/>
      </c>
      <c r="E289">
        <f>_xlfn.BITRSHIFT(C289,1)</f>
        <v/>
      </c>
      <c r="F289">
        <f>_xlfn.BITXOR(D289,B289)</f>
        <v/>
      </c>
      <c r="G289">
        <f>IF(F289=1,_xlfn.BITXOR(E289,33800),E289)</f>
        <v/>
      </c>
    </row>
    <row r="290">
      <c r="A290" t="n">
        <v>284</v>
      </c>
      <c r="B290">
        <f>_DestuffedBits!C285</f>
        <v/>
      </c>
      <c r="C290">
        <f>G289</f>
        <v/>
      </c>
      <c r="D290">
        <f>_xlfn.BITAND(C290,1)</f>
        <v/>
      </c>
      <c r="E290">
        <f>_xlfn.BITRSHIFT(C290,1)</f>
        <v/>
      </c>
      <c r="F290">
        <f>_xlfn.BITXOR(D290,B290)</f>
        <v/>
      </c>
      <c r="G290">
        <f>IF(F290=1,_xlfn.BITXOR(E290,33800),E290)</f>
        <v/>
      </c>
    </row>
    <row r="291">
      <c r="A291" t="n">
        <v>285</v>
      </c>
      <c r="B291">
        <f>_DestuffedBits!C286</f>
        <v/>
      </c>
      <c r="C291">
        <f>G290</f>
        <v/>
      </c>
      <c r="D291">
        <f>_xlfn.BITAND(C291,1)</f>
        <v/>
      </c>
      <c r="E291">
        <f>_xlfn.BITRSHIFT(C291,1)</f>
        <v/>
      </c>
      <c r="F291">
        <f>_xlfn.BITXOR(D291,B291)</f>
        <v/>
      </c>
      <c r="G291">
        <f>IF(F291=1,_xlfn.BITXOR(E291,33800),E291)</f>
        <v/>
      </c>
    </row>
    <row r="292">
      <c r="A292" t="n">
        <v>286</v>
      </c>
      <c r="B292">
        <f>_DestuffedBits!C287</f>
        <v/>
      </c>
      <c r="C292">
        <f>G291</f>
        <v/>
      </c>
      <c r="D292">
        <f>_xlfn.BITAND(C292,1)</f>
        <v/>
      </c>
      <c r="E292">
        <f>_xlfn.BITRSHIFT(C292,1)</f>
        <v/>
      </c>
      <c r="F292">
        <f>_xlfn.BITXOR(D292,B292)</f>
        <v/>
      </c>
      <c r="G292">
        <f>IF(F292=1,_xlfn.BITXOR(E292,33800),E292)</f>
        <v/>
      </c>
    </row>
    <row r="293">
      <c r="A293" t="n">
        <v>287</v>
      </c>
      <c r="B293">
        <f>_DestuffedBits!C288</f>
        <v/>
      </c>
      <c r="C293">
        <f>G292</f>
        <v/>
      </c>
      <c r="D293">
        <f>_xlfn.BITAND(C293,1)</f>
        <v/>
      </c>
      <c r="E293">
        <f>_xlfn.BITRSHIFT(C293,1)</f>
        <v/>
      </c>
      <c r="F293">
        <f>_xlfn.BITXOR(D293,B293)</f>
        <v/>
      </c>
      <c r="G293">
        <f>IF(F293=1,_xlfn.BITXOR(E293,33800),E293)</f>
        <v/>
      </c>
    </row>
    <row r="294">
      <c r="A294" t="n">
        <v>288</v>
      </c>
      <c r="B294">
        <f>_DestuffedBits!C289</f>
        <v/>
      </c>
      <c r="C294">
        <f>G293</f>
        <v/>
      </c>
      <c r="D294">
        <f>_xlfn.BITAND(C294,1)</f>
        <v/>
      </c>
      <c r="E294">
        <f>_xlfn.BITRSHIFT(C294,1)</f>
        <v/>
      </c>
      <c r="F294">
        <f>_xlfn.BITXOR(D294,B294)</f>
        <v/>
      </c>
      <c r="G294">
        <f>IF(F294=1,_xlfn.BITXOR(E294,33800),E294)</f>
        <v/>
      </c>
    </row>
    <row r="295">
      <c r="A295" t="n">
        <v>289</v>
      </c>
      <c r="B295">
        <f>_DestuffedBits!C290</f>
        <v/>
      </c>
      <c r="C295">
        <f>G294</f>
        <v/>
      </c>
      <c r="D295">
        <f>_xlfn.BITAND(C295,1)</f>
        <v/>
      </c>
      <c r="E295">
        <f>_xlfn.BITRSHIFT(C295,1)</f>
        <v/>
      </c>
      <c r="F295">
        <f>_xlfn.BITXOR(D295,B295)</f>
        <v/>
      </c>
      <c r="G295">
        <f>IF(F295=1,_xlfn.BITXOR(E295,33800),E295)</f>
        <v/>
      </c>
    </row>
    <row r="296">
      <c r="A296" t="n">
        <v>290</v>
      </c>
      <c r="B296">
        <f>_DestuffedBits!C291</f>
        <v/>
      </c>
      <c r="C296">
        <f>G295</f>
        <v/>
      </c>
      <c r="D296">
        <f>_xlfn.BITAND(C296,1)</f>
        <v/>
      </c>
      <c r="E296">
        <f>_xlfn.BITRSHIFT(C296,1)</f>
        <v/>
      </c>
      <c r="F296">
        <f>_xlfn.BITXOR(D296,B296)</f>
        <v/>
      </c>
      <c r="G296">
        <f>IF(F296=1,_xlfn.BITXOR(E296,33800),E296)</f>
        <v/>
      </c>
    </row>
    <row r="297">
      <c r="A297" t="n">
        <v>291</v>
      </c>
      <c r="B297">
        <f>_DestuffedBits!C292</f>
        <v/>
      </c>
      <c r="C297">
        <f>G296</f>
        <v/>
      </c>
      <c r="D297">
        <f>_xlfn.BITAND(C297,1)</f>
        <v/>
      </c>
      <c r="E297">
        <f>_xlfn.BITRSHIFT(C297,1)</f>
        <v/>
      </c>
      <c r="F297">
        <f>_xlfn.BITXOR(D297,B297)</f>
        <v/>
      </c>
      <c r="G297">
        <f>IF(F297=1,_xlfn.BITXOR(E297,33800),E297)</f>
        <v/>
      </c>
    </row>
    <row r="298">
      <c r="A298" t="n">
        <v>292</v>
      </c>
      <c r="B298">
        <f>_DestuffedBits!C293</f>
        <v/>
      </c>
      <c r="C298">
        <f>G297</f>
        <v/>
      </c>
      <c r="D298">
        <f>_xlfn.BITAND(C298,1)</f>
        <v/>
      </c>
      <c r="E298">
        <f>_xlfn.BITRSHIFT(C298,1)</f>
        <v/>
      </c>
      <c r="F298">
        <f>_xlfn.BITXOR(D298,B298)</f>
        <v/>
      </c>
      <c r="G298">
        <f>IF(F298=1,_xlfn.BITXOR(E298,33800),E298)</f>
        <v/>
      </c>
    </row>
    <row r="299">
      <c r="A299" t="n">
        <v>293</v>
      </c>
      <c r="B299">
        <f>_DestuffedBits!C294</f>
        <v/>
      </c>
      <c r="C299">
        <f>G298</f>
        <v/>
      </c>
      <c r="D299">
        <f>_xlfn.BITAND(C299,1)</f>
        <v/>
      </c>
      <c r="E299">
        <f>_xlfn.BITRSHIFT(C299,1)</f>
        <v/>
      </c>
      <c r="F299">
        <f>_xlfn.BITXOR(D299,B299)</f>
        <v/>
      </c>
      <c r="G299">
        <f>IF(F299=1,_xlfn.BITXOR(E299,33800),E299)</f>
        <v/>
      </c>
    </row>
    <row r="300">
      <c r="A300" t="n">
        <v>294</v>
      </c>
      <c r="B300">
        <f>_DestuffedBits!C295</f>
        <v/>
      </c>
      <c r="C300">
        <f>G299</f>
        <v/>
      </c>
      <c r="D300">
        <f>_xlfn.BITAND(C300,1)</f>
        <v/>
      </c>
      <c r="E300">
        <f>_xlfn.BITRSHIFT(C300,1)</f>
        <v/>
      </c>
      <c r="F300">
        <f>_xlfn.BITXOR(D300,B300)</f>
        <v/>
      </c>
      <c r="G300">
        <f>IF(F300=1,_xlfn.BITXOR(E300,33800),E300)</f>
        <v/>
      </c>
    </row>
    <row r="301">
      <c r="A301" t="n">
        <v>295</v>
      </c>
      <c r="B301">
        <f>_DestuffedBits!C296</f>
        <v/>
      </c>
      <c r="C301">
        <f>G300</f>
        <v/>
      </c>
      <c r="D301">
        <f>_xlfn.BITAND(C301,1)</f>
        <v/>
      </c>
      <c r="E301">
        <f>_xlfn.BITRSHIFT(C301,1)</f>
        <v/>
      </c>
      <c r="F301">
        <f>_xlfn.BITXOR(D301,B301)</f>
        <v/>
      </c>
      <c r="G301">
        <f>IF(F301=1,_xlfn.BITXOR(E301,33800),E301)</f>
        <v/>
      </c>
    </row>
    <row r="302">
      <c r="A302" t="n">
        <v>296</v>
      </c>
      <c r="B302">
        <f>_DestuffedBits!C297</f>
        <v/>
      </c>
      <c r="C302">
        <f>G301</f>
        <v/>
      </c>
      <c r="D302">
        <f>_xlfn.BITAND(C302,1)</f>
        <v/>
      </c>
      <c r="E302">
        <f>_xlfn.BITRSHIFT(C302,1)</f>
        <v/>
      </c>
      <c r="F302">
        <f>_xlfn.BITXOR(D302,B302)</f>
        <v/>
      </c>
      <c r="G302">
        <f>IF(F302=1,_xlfn.BITXOR(E302,33800),E302)</f>
        <v/>
      </c>
    </row>
    <row r="303">
      <c r="A303" t="n">
        <v>297</v>
      </c>
      <c r="B303">
        <f>_DestuffedBits!C298</f>
        <v/>
      </c>
      <c r="C303">
        <f>G302</f>
        <v/>
      </c>
      <c r="D303">
        <f>_xlfn.BITAND(C303,1)</f>
        <v/>
      </c>
      <c r="E303">
        <f>_xlfn.BITRSHIFT(C303,1)</f>
        <v/>
      </c>
      <c r="F303">
        <f>_xlfn.BITXOR(D303,B303)</f>
        <v/>
      </c>
      <c r="G303">
        <f>IF(F303=1,_xlfn.BITXOR(E303,33800),E303)</f>
        <v/>
      </c>
    </row>
    <row r="304">
      <c r="A304" t="n">
        <v>298</v>
      </c>
      <c r="B304">
        <f>_DestuffedBits!C299</f>
        <v/>
      </c>
      <c r="C304">
        <f>G303</f>
        <v/>
      </c>
      <c r="D304">
        <f>_xlfn.BITAND(C304,1)</f>
        <v/>
      </c>
      <c r="E304">
        <f>_xlfn.BITRSHIFT(C304,1)</f>
        <v/>
      </c>
      <c r="F304">
        <f>_xlfn.BITXOR(D304,B304)</f>
        <v/>
      </c>
      <c r="G304">
        <f>IF(F304=1,_xlfn.BITXOR(E304,33800),E304)</f>
        <v/>
      </c>
    </row>
    <row r="305">
      <c r="A305" t="n">
        <v>299</v>
      </c>
      <c r="B305">
        <f>_DestuffedBits!C300</f>
        <v/>
      </c>
      <c r="C305">
        <f>G304</f>
        <v/>
      </c>
      <c r="D305">
        <f>_xlfn.BITAND(C305,1)</f>
        <v/>
      </c>
      <c r="E305">
        <f>_xlfn.BITRSHIFT(C305,1)</f>
        <v/>
      </c>
      <c r="F305">
        <f>_xlfn.BITXOR(D305,B305)</f>
        <v/>
      </c>
      <c r="G305">
        <f>IF(F305=1,_xlfn.BITXOR(E305,33800),E305)</f>
        <v/>
      </c>
    </row>
    <row r="306">
      <c r="A306" t="n">
        <v>300</v>
      </c>
      <c r="B306">
        <f>_DestuffedBits!C301</f>
        <v/>
      </c>
      <c r="C306">
        <f>G305</f>
        <v/>
      </c>
      <c r="D306">
        <f>_xlfn.BITAND(C306,1)</f>
        <v/>
      </c>
      <c r="E306">
        <f>_xlfn.BITRSHIFT(C306,1)</f>
        <v/>
      </c>
      <c r="F306">
        <f>_xlfn.BITXOR(D306,B306)</f>
        <v/>
      </c>
      <c r="G306">
        <f>IF(F306=1,_xlfn.BITXOR(E306,33800),E306)</f>
        <v/>
      </c>
    </row>
    <row r="307">
      <c r="A307" t="n">
        <v>301</v>
      </c>
      <c r="B307">
        <f>_DestuffedBits!C302</f>
        <v/>
      </c>
      <c r="C307">
        <f>G306</f>
        <v/>
      </c>
      <c r="D307">
        <f>_xlfn.BITAND(C307,1)</f>
        <v/>
      </c>
      <c r="E307">
        <f>_xlfn.BITRSHIFT(C307,1)</f>
        <v/>
      </c>
      <c r="F307">
        <f>_xlfn.BITXOR(D307,B307)</f>
        <v/>
      </c>
      <c r="G307">
        <f>IF(F307=1,_xlfn.BITXOR(E307,33800),E307)</f>
        <v/>
      </c>
    </row>
    <row r="308">
      <c r="A308" t="n">
        <v>302</v>
      </c>
      <c r="B308">
        <f>_DestuffedBits!C303</f>
        <v/>
      </c>
      <c r="C308">
        <f>G307</f>
        <v/>
      </c>
      <c r="D308">
        <f>_xlfn.BITAND(C308,1)</f>
        <v/>
      </c>
      <c r="E308">
        <f>_xlfn.BITRSHIFT(C308,1)</f>
        <v/>
      </c>
      <c r="F308">
        <f>_xlfn.BITXOR(D308,B308)</f>
        <v/>
      </c>
      <c r="G308">
        <f>IF(F308=1,_xlfn.BITXOR(E308,33800),E308)</f>
        <v/>
      </c>
    </row>
    <row r="309">
      <c r="A309" t="n">
        <v>303</v>
      </c>
      <c r="B309">
        <f>_DestuffedBits!C304</f>
        <v/>
      </c>
      <c r="C309">
        <f>G308</f>
        <v/>
      </c>
      <c r="D309">
        <f>_xlfn.BITAND(C309,1)</f>
        <v/>
      </c>
      <c r="E309">
        <f>_xlfn.BITRSHIFT(C309,1)</f>
        <v/>
      </c>
      <c r="F309">
        <f>_xlfn.BITXOR(D309,B309)</f>
        <v/>
      </c>
      <c r="G309">
        <f>IF(F309=1,_xlfn.BITXOR(E309,33800),E309)</f>
        <v/>
      </c>
    </row>
    <row r="310">
      <c r="A310" t="n">
        <v>304</v>
      </c>
      <c r="B310">
        <f>_DestuffedBits!C305</f>
        <v/>
      </c>
      <c r="C310">
        <f>G309</f>
        <v/>
      </c>
      <c r="D310">
        <f>_xlfn.BITAND(C310,1)</f>
        <v/>
      </c>
      <c r="E310">
        <f>_xlfn.BITRSHIFT(C310,1)</f>
        <v/>
      </c>
      <c r="F310">
        <f>_xlfn.BITXOR(D310,B310)</f>
        <v/>
      </c>
      <c r="G310">
        <f>IF(F310=1,_xlfn.BITXOR(E310,33800),E310)</f>
        <v/>
      </c>
    </row>
    <row r="311">
      <c r="A311" t="n">
        <v>305</v>
      </c>
      <c r="B311">
        <f>_DestuffedBits!C306</f>
        <v/>
      </c>
      <c r="C311">
        <f>G310</f>
        <v/>
      </c>
      <c r="D311">
        <f>_xlfn.BITAND(C311,1)</f>
        <v/>
      </c>
      <c r="E311">
        <f>_xlfn.BITRSHIFT(C311,1)</f>
        <v/>
      </c>
      <c r="F311">
        <f>_xlfn.BITXOR(D311,B311)</f>
        <v/>
      </c>
      <c r="G311">
        <f>IF(F311=1,_xlfn.BITXOR(E311,33800),E311)</f>
        <v/>
      </c>
    </row>
    <row r="312">
      <c r="A312" t="n">
        <v>306</v>
      </c>
      <c r="B312">
        <f>_DestuffedBits!C307</f>
        <v/>
      </c>
      <c r="C312">
        <f>G311</f>
        <v/>
      </c>
      <c r="D312">
        <f>_xlfn.BITAND(C312,1)</f>
        <v/>
      </c>
      <c r="E312">
        <f>_xlfn.BITRSHIFT(C312,1)</f>
        <v/>
      </c>
      <c r="F312">
        <f>_xlfn.BITXOR(D312,B312)</f>
        <v/>
      </c>
      <c r="G312">
        <f>IF(F312=1,_xlfn.BITXOR(E312,33800),E312)</f>
        <v/>
      </c>
    </row>
    <row r="313">
      <c r="A313" t="n">
        <v>307</v>
      </c>
      <c r="B313">
        <f>_DestuffedBits!C308</f>
        <v/>
      </c>
      <c r="C313">
        <f>G312</f>
        <v/>
      </c>
      <c r="D313">
        <f>_xlfn.BITAND(C313,1)</f>
        <v/>
      </c>
      <c r="E313">
        <f>_xlfn.BITRSHIFT(C313,1)</f>
        <v/>
      </c>
      <c r="F313">
        <f>_xlfn.BITXOR(D313,B313)</f>
        <v/>
      </c>
      <c r="G313">
        <f>IF(F313=1,_xlfn.BITXOR(E313,33800),E313)</f>
        <v/>
      </c>
    </row>
    <row r="314">
      <c r="A314" t="n">
        <v>308</v>
      </c>
      <c r="B314">
        <f>_DestuffedBits!C309</f>
        <v/>
      </c>
      <c r="C314">
        <f>G313</f>
        <v/>
      </c>
      <c r="D314">
        <f>_xlfn.BITAND(C314,1)</f>
        <v/>
      </c>
      <c r="E314">
        <f>_xlfn.BITRSHIFT(C314,1)</f>
        <v/>
      </c>
      <c r="F314">
        <f>_xlfn.BITXOR(D314,B314)</f>
        <v/>
      </c>
      <c r="G314">
        <f>IF(F314=1,_xlfn.BITXOR(E314,33800),E314)</f>
        <v/>
      </c>
    </row>
    <row r="315">
      <c r="A315" t="n">
        <v>309</v>
      </c>
      <c r="B315">
        <f>_DestuffedBits!C310</f>
        <v/>
      </c>
      <c r="C315">
        <f>G314</f>
        <v/>
      </c>
      <c r="D315">
        <f>_xlfn.BITAND(C315,1)</f>
        <v/>
      </c>
      <c r="E315">
        <f>_xlfn.BITRSHIFT(C315,1)</f>
        <v/>
      </c>
      <c r="F315">
        <f>_xlfn.BITXOR(D315,B315)</f>
        <v/>
      </c>
      <c r="G315">
        <f>IF(F315=1,_xlfn.BITXOR(E315,33800),E315)</f>
        <v/>
      </c>
    </row>
    <row r="316">
      <c r="A316" t="n">
        <v>310</v>
      </c>
      <c r="B316">
        <f>_DestuffedBits!C311</f>
        <v/>
      </c>
      <c r="C316">
        <f>G315</f>
        <v/>
      </c>
      <c r="D316">
        <f>_xlfn.BITAND(C316,1)</f>
        <v/>
      </c>
      <c r="E316">
        <f>_xlfn.BITRSHIFT(C316,1)</f>
        <v/>
      </c>
      <c r="F316">
        <f>_xlfn.BITXOR(D316,B316)</f>
        <v/>
      </c>
      <c r="G316">
        <f>IF(F316=1,_xlfn.BITXOR(E316,33800),E316)</f>
        <v/>
      </c>
    </row>
    <row r="317">
      <c r="A317" t="n">
        <v>311</v>
      </c>
      <c r="B317">
        <f>_DestuffedBits!C312</f>
        <v/>
      </c>
      <c r="C317">
        <f>G316</f>
        <v/>
      </c>
      <c r="D317">
        <f>_xlfn.BITAND(C317,1)</f>
        <v/>
      </c>
      <c r="E317">
        <f>_xlfn.BITRSHIFT(C317,1)</f>
        <v/>
      </c>
      <c r="F317">
        <f>_xlfn.BITXOR(D317,B317)</f>
        <v/>
      </c>
      <c r="G317">
        <f>IF(F317=1,_xlfn.BITXOR(E317,33800),E317)</f>
        <v/>
      </c>
    </row>
    <row r="318">
      <c r="A318" t="n">
        <v>312</v>
      </c>
      <c r="B318">
        <f>_DestuffedBits!C313</f>
        <v/>
      </c>
      <c r="C318">
        <f>G317</f>
        <v/>
      </c>
      <c r="D318">
        <f>_xlfn.BITAND(C318,1)</f>
        <v/>
      </c>
      <c r="E318">
        <f>_xlfn.BITRSHIFT(C318,1)</f>
        <v/>
      </c>
      <c r="F318">
        <f>_xlfn.BITXOR(D318,B318)</f>
        <v/>
      </c>
      <c r="G318">
        <f>IF(F318=1,_xlfn.BITXOR(E318,33800),E318)</f>
        <v/>
      </c>
    </row>
    <row r="319">
      <c r="A319" t="n">
        <v>313</v>
      </c>
      <c r="B319">
        <f>_DestuffedBits!C314</f>
        <v/>
      </c>
      <c r="C319">
        <f>G318</f>
        <v/>
      </c>
      <c r="D319">
        <f>_xlfn.BITAND(C319,1)</f>
        <v/>
      </c>
      <c r="E319">
        <f>_xlfn.BITRSHIFT(C319,1)</f>
        <v/>
      </c>
      <c r="F319">
        <f>_xlfn.BITXOR(D319,B319)</f>
        <v/>
      </c>
      <c r="G319">
        <f>IF(F319=1,_xlfn.BITXOR(E319,33800),E319)</f>
        <v/>
      </c>
    </row>
    <row r="320">
      <c r="A320" t="n">
        <v>314</v>
      </c>
      <c r="B320">
        <f>_DestuffedBits!C315</f>
        <v/>
      </c>
      <c r="C320">
        <f>G319</f>
        <v/>
      </c>
      <c r="D320">
        <f>_xlfn.BITAND(C320,1)</f>
        <v/>
      </c>
      <c r="E320">
        <f>_xlfn.BITRSHIFT(C320,1)</f>
        <v/>
      </c>
      <c r="F320">
        <f>_xlfn.BITXOR(D320,B320)</f>
        <v/>
      </c>
      <c r="G320">
        <f>IF(F320=1,_xlfn.BITXOR(E320,33800),E320)</f>
        <v/>
      </c>
    </row>
    <row r="321">
      <c r="A321" t="n">
        <v>315</v>
      </c>
      <c r="B321">
        <f>_DestuffedBits!C316</f>
        <v/>
      </c>
      <c r="C321">
        <f>G320</f>
        <v/>
      </c>
      <c r="D321">
        <f>_xlfn.BITAND(C321,1)</f>
        <v/>
      </c>
      <c r="E321">
        <f>_xlfn.BITRSHIFT(C321,1)</f>
        <v/>
      </c>
      <c r="F321">
        <f>_xlfn.BITXOR(D321,B321)</f>
        <v/>
      </c>
      <c r="G321">
        <f>IF(F321=1,_xlfn.BITXOR(E321,33800),E321)</f>
        <v/>
      </c>
    </row>
    <row r="322">
      <c r="A322" t="n">
        <v>316</v>
      </c>
      <c r="B322">
        <f>_DestuffedBits!C317</f>
        <v/>
      </c>
      <c r="C322">
        <f>G321</f>
        <v/>
      </c>
      <c r="D322">
        <f>_xlfn.BITAND(C322,1)</f>
        <v/>
      </c>
      <c r="E322">
        <f>_xlfn.BITRSHIFT(C322,1)</f>
        <v/>
      </c>
      <c r="F322">
        <f>_xlfn.BITXOR(D322,B322)</f>
        <v/>
      </c>
      <c r="G322">
        <f>IF(F322=1,_xlfn.BITXOR(E322,33800),E322)</f>
        <v/>
      </c>
    </row>
    <row r="323">
      <c r="A323" t="n">
        <v>317</v>
      </c>
      <c r="B323">
        <f>_DestuffedBits!C318</f>
        <v/>
      </c>
      <c r="C323">
        <f>G322</f>
        <v/>
      </c>
      <c r="D323">
        <f>_xlfn.BITAND(C323,1)</f>
        <v/>
      </c>
      <c r="E323">
        <f>_xlfn.BITRSHIFT(C323,1)</f>
        <v/>
      </c>
      <c r="F323">
        <f>_xlfn.BITXOR(D323,B323)</f>
        <v/>
      </c>
      <c r="G323">
        <f>IF(F323=1,_xlfn.BITXOR(E323,33800),E323)</f>
        <v/>
      </c>
    </row>
    <row r="324">
      <c r="A324" t="n">
        <v>318</v>
      </c>
      <c r="B324">
        <f>_DestuffedBits!C319</f>
        <v/>
      </c>
      <c r="C324">
        <f>G323</f>
        <v/>
      </c>
      <c r="D324">
        <f>_xlfn.BITAND(C324,1)</f>
        <v/>
      </c>
      <c r="E324">
        <f>_xlfn.BITRSHIFT(C324,1)</f>
        <v/>
      </c>
      <c r="F324">
        <f>_xlfn.BITXOR(D324,B324)</f>
        <v/>
      </c>
      <c r="G324">
        <f>IF(F324=1,_xlfn.BITXOR(E324,33800),E324)</f>
        <v/>
      </c>
    </row>
    <row r="325">
      <c r="A325" t="n">
        <v>319</v>
      </c>
      <c r="B325">
        <f>_DestuffedBits!C320</f>
        <v/>
      </c>
      <c r="C325">
        <f>G324</f>
        <v/>
      </c>
      <c r="D325">
        <f>_xlfn.BITAND(C325,1)</f>
        <v/>
      </c>
      <c r="E325">
        <f>_xlfn.BITRSHIFT(C325,1)</f>
        <v/>
      </c>
      <c r="F325">
        <f>_xlfn.BITXOR(D325,B325)</f>
        <v/>
      </c>
      <c r="G325">
        <f>IF(F325=1,_xlfn.BITXOR(E325,33800),E325)</f>
        <v/>
      </c>
    </row>
    <row r="326">
      <c r="A326" t="n">
        <v>320</v>
      </c>
      <c r="B326">
        <f>_DestuffedBits!C321</f>
        <v/>
      </c>
      <c r="C326">
        <f>G325</f>
        <v/>
      </c>
      <c r="D326">
        <f>_xlfn.BITAND(C326,1)</f>
        <v/>
      </c>
      <c r="E326">
        <f>_xlfn.BITRSHIFT(C326,1)</f>
        <v/>
      </c>
      <c r="F326">
        <f>_xlfn.BITXOR(D326,B326)</f>
        <v/>
      </c>
      <c r="G326">
        <f>IF(F326=1,_xlfn.BITXOR(E326,33800),E326)</f>
        <v/>
      </c>
    </row>
    <row r="327">
      <c r="A327" t="n">
        <v>321</v>
      </c>
      <c r="B327">
        <f>_DestuffedBits!C322</f>
        <v/>
      </c>
      <c r="C327">
        <f>G326</f>
        <v/>
      </c>
      <c r="D327">
        <f>_xlfn.BITAND(C327,1)</f>
        <v/>
      </c>
      <c r="E327">
        <f>_xlfn.BITRSHIFT(C327,1)</f>
        <v/>
      </c>
      <c r="F327">
        <f>_xlfn.BITXOR(D327,B327)</f>
        <v/>
      </c>
      <c r="G327">
        <f>IF(F327=1,_xlfn.BITXOR(E327,33800),E327)</f>
        <v/>
      </c>
    </row>
    <row r="328">
      <c r="A328" t="n">
        <v>322</v>
      </c>
      <c r="B328">
        <f>_DestuffedBits!C323</f>
        <v/>
      </c>
      <c r="C328">
        <f>G327</f>
        <v/>
      </c>
      <c r="D328">
        <f>_xlfn.BITAND(C328,1)</f>
        <v/>
      </c>
      <c r="E328">
        <f>_xlfn.BITRSHIFT(C328,1)</f>
        <v/>
      </c>
      <c r="F328">
        <f>_xlfn.BITXOR(D328,B328)</f>
        <v/>
      </c>
      <c r="G328">
        <f>IF(F328=1,_xlfn.BITXOR(E328,33800),E328)</f>
        <v/>
      </c>
    </row>
    <row r="329">
      <c r="A329" t="n">
        <v>323</v>
      </c>
      <c r="B329">
        <f>_DestuffedBits!C324</f>
        <v/>
      </c>
      <c r="C329">
        <f>G328</f>
        <v/>
      </c>
      <c r="D329">
        <f>_xlfn.BITAND(C329,1)</f>
        <v/>
      </c>
      <c r="E329">
        <f>_xlfn.BITRSHIFT(C329,1)</f>
        <v/>
      </c>
      <c r="F329">
        <f>_xlfn.BITXOR(D329,B329)</f>
        <v/>
      </c>
      <c r="G329">
        <f>IF(F329=1,_xlfn.BITXOR(E329,33800),E329)</f>
        <v/>
      </c>
    </row>
    <row r="330">
      <c r="A330" t="n">
        <v>324</v>
      </c>
      <c r="B330">
        <f>_DestuffedBits!C325</f>
        <v/>
      </c>
      <c r="C330">
        <f>G329</f>
        <v/>
      </c>
      <c r="D330">
        <f>_xlfn.BITAND(C330,1)</f>
        <v/>
      </c>
      <c r="E330">
        <f>_xlfn.BITRSHIFT(C330,1)</f>
        <v/>
      </c>
      <c r="F330">
        <f>_xlfn.BITXOR(D330,B330)</f>
        <v/>
      </c>
      <c r="G330">
        <f>IF(F330=1,_xlfn.BITXOR(E330,33800),E330)</f>
        <v/>
      </c>
    </row>
    <row r="331">
      <c r="A331" t="n">
        <v>325</v>
      </c>
      <c r="B331">
        <f>_DestuffedBits!C326</f>
        <v/>
      </c>
      <c r="C331">
        <f>G330</f>
        <v/>
      </c>
      <c r="D331">
        <f>_xlfn.BITAND(C331,1)</f>
        <v/>
      </c>
      <c r="E331">
        <f>_xlfn.BITRSHIFT(C331,1)</f>
        <v/>
      </c>
      <c r="F331">
        <f>_xlfn.BITXOR(D331,B331)</f>
        <v/>
      </c>
      <c r="G331">
        <f>IF(F331=1,_xlfn.BITXOR(E331,33800),E331)</f>
        <v/>
      </c>
    </row>
    <row r="332">
      <c r="A332" t="n">
        <v>326</v>
      </c>
      <c r="B332">
        <f>_DestuffedBits!C327</f>
        <v/>
      </c>
      <c r="C332">
        <f>G331</f>
        <v/>
      </c>
      <c r="D332">
        <f>_xlfn.BITAND(C332,1)</f>
        <v/>
      </c>
      <c r="E332">
        <f>_xlfn.BITRSHIFT(C332,1)</f>
        <v/>
      </c>
      <c r="F332">
        <f>_xlfn.BITXOR(D332,B332)</f>
        <v/>
      </c>
      <c r="G332">
        <f>IF(F332=1,_xlfn.BITXOR(E332,33800),E332)</f>
        <v/>
      </c>
    </row>
    <row r="333">
      <c r="A333" t="n">
        <v>327</v>
      </c>
      <c r="B333">
        <f>_DestuffedBits!C328</f>
        <v/>
      </c>
      <c r="C333">
        <f>G332</f>
        <v/>
      </c>
      <c r="D333">
        <f>_xlfn.BITAND(C333,1)</f>
        <v/>
      </c>
      <c r="E333">
        <f>_xlfn.BITRSHIFT(C333,1)</f>
        <v/>
      </c>
      <c r="F333">
        <f>_xlfn.BITXOR(D333,B333)</f>
        <v/>
      </c>
      <c r="G333">
        <f>IF(F333=1,_xlfn.BITXOR(E333,33800),E333)</f>
        <v/>
      </c>
    </row>
    <row r="334">
      <c r="A334" t="n">
        <v>328</v>
      </c>
      <c r="B334">
        <f>_DestuffedBits!C329</f>
        <v/>
      </c>
      <c r="C334">
        <f>G333</f>
        <v/>
      </c>
      <c r="D334">
        <f>_xlfn.BITAND(C334,1)</f>
        <v/>
      </c>
      <c r="E334">
        <f>_xlfn.BITRSHIFT(C334,1)</f>
        <v/>
      </c>
      <c r="F334">
        <f>_xlfn.BITXOR(D334,B334)</f>
        <v/>
      </c>
      <c r="G334">
        <f>IF(F334=1,_xlfn.BITXOR(E334,33800),E334)</f>
        <v/>
      </c>
    </row>
    <row r="335">
      <c r="A335" t="n">
        <v>329</v>
      </c>
      <c r="B335">
        <f>_DestuffedBits!C330</f>
        <v/>
      </c>
      <c r="C335">
        <f>G334</f>
        <v/>
      </c>
      <c r="D335">
        <f>_xlfn.BITAND(C335,1)</f>
        <v/>
      </c>
      <c r="E335">
        <f>_xlfn.BITRSHIFT(C335,1)</f>
        <v/>
      </c>
      <c r="F335">
        <f>_xlfn.BITXOR(D335,B335)</f>
        <v/>
      </c>
      <c r="G335">
        <f>IF(F335=1,_xlfn.BITXOR(E335,33800),E335)</f>
        <v/>
      </c>
    </row>
    <row r="336">
      <c r="A336" t="n">
        <v>330</v>
      </c>
      <c r="B336">
        <f>_DestuffedBits!C331</f>
        <v/>
      </c>
      <c r="C336">
        <f>G335</f>
        <v/>
      </c>
      <c r="D336">
        <f>_xlfn.BITAND(C336,1)</f>
        <v/>
      </c>
      <c r="E336">
        <f>_xlfn.BITRSHIFT(C336,1)</f>
        <v/>
      </c>
      <c r="F336">
        <f>_xlfn.BITXOR(D336,B336)</f>
        <v/>
      </c>
      <c r="G336">
        <f>IF(F336=1,_xlfn.BITXOR(E336,33800),E336)</f>
        <v/>
      </c>
    </row>
    <row r="337">
      <c r="A337" t="n">
        <v>331</v>
      </c>
      <c r="B337">
        <f>_DestuffedBits!C332</f>
        <v/>
      </c>
      <c r="C337">
        <f>G336</f>
        <v/>
      </c>
      <c r="D337">
        <f>_xlfn.BITAND(C337,1)</f>
        <v/>
      </c>
      <c r="E337">
        <f>_xlfn.BITRSHIFT(C337,1)</f>
        <v/>
      </c>
      <c r="F337">
        <f>_xlfn.BITXOR(D337,B337)</f>
        <v/>
      </c>
      <c r="G337">
        <f>IF(F337=1,_xlfn.BITXOR(E337,33800),E337)</f>
        <v/>
      </c>
    </row>
    <row r="338">
      <c r="A338" t="n">
        <v>332</v>
      </c>
      <c r="B338">
        <f>_DestuffedBits!C333</f>
        <v/>
      </c>
      <c r="C338">
        <f>G337</f>
        <v/>
      </c>
      <c r="D338">
        <f>_xlfn.BITAND(C338,1)</f>
        <v/>
      </c>
      <c r="E338">
        <f>_xlfn.BITRSHIFT(C338,1)</f>
        <v/>
      </c>
      <c r="F338">
        <f>_xlfn.BITXOR(D338,B338)</f>
        <v/>
      </c>
      <c r="G338">
        <f>IF(F338=1,_xlfn.BITXOR(E338,33800),E338)</f>
        <v/>
      </c>
    </row>
    <row r="339">
      <c r="A339" t="n">
        <v>333</v>
      </c>
      <c r="B339">
        <f>_DestuffedBits!C334</f>
        <v/>
      </c>
      <c r="C339">
        <f>G338</f>
        <v/>
      </c>
      <c r="D339">
        <f>_xlfn.BITAND(C339,1)</f>
        <v/>
      </c>
      <c r="E339">
        <f>_xlfn.BITRSHIFT(C339,1)</f>
        <v/>
      </c>
      <c r="F339">
        <f>_xlfn.BITXOR(D339,B339)</f>
        <v/>
      </c>
      <c r="G339">
        <f>IF(F339=1,_xlfn.BITXOR(E339,33800),E339)</f>
        <v/>
      </c>
    </row>
    <row r="340">
      <c r="A340" t="n">
        <v>334</v>
      </c>
      <c r="B340">
        <f>_DestuffedBits!C335</f>
        <v/>
      </c>
      <c r="C340">
        <f>G339</f>
        <v/>
      </c>
      <c r="D340">
        <f>_xlfn.BITAND(C340,1)</f>
        <v/>
      </c>
      <c r="E340">
        <f>_xlfn.BITRSHIFT(C340,1)</f>
        <v/>
      </c>
      <c r="F340">
        <f>_xlfn.BITXOR(D340,B340)</f>
        <v/>
      </c>
      <c r="G340">
        <f>IF(F340=1,_xlfn.BITXOR(E340,33800),E340)</f>
        <v/>
      </c>
    </row>
    <row r="341">
      <c r="A341" t="n">
        <v>335</v>
      </c>
      <c r="B341">
        <f>_DestuffedBits!C336</f>
        <v/>
      </c>
      <c r="C341">
        <f>G340</f>
        <v/>
      </c>
      <c r="D341">
        <f>_xlfn.BITAND(C341,1)</f>
        <v/>
      </c>
      <c r="E341">
        <f>_xlfn.BITRSHIFT(C341,1)</f>
        <v/>
      </c>
      <c r="F341">
        <f>_xlfn.BITXOR(D341,B341)</f>
        <v/>
      </c>
      <c r="G341">
        <f>IF(F341=1,_xlfn.BITXOR(E341,33800),E341)</f>
        <v/>
      </c>
    </row>
    <row r="342">
      <c r="A342" t="n">
        <v>336</v>
      </c>
      <c r="B342">
        <f>_DestuffedBits!C337</f>
        <v/>
      </c>
      <c r="C342">
        <f>G341</f>
        <v/>
      </c>
      <c r="D342">
        <f>_xlfn.BITAND(C342,1)</f>
        <v/>
      </c>
      <c r="E342">
        <f>_xlfn.BITRSHIFT(C342,1)</f>
        <v/>
      </c>
      <c r="F342">
        <f>_xlfn.BITXOR(D342,B342)</f>
        <v/>
      </c>
      <c r="G342">
        <f>IF(F342=1,_xlfn.BITXOR(E342,33800),E342)</f>
        <v/>
      </c>
    </row>
    <row r="343">
      <c r="A343" t="n">
        <v>337</v>
      </c>
      <c r="B343">
        <f>_DestuffedBits!C338</f>
        <v/>
      </c>
      <c r="C343">
        <f>G342</f>
        <v/>
      </c>
      <c r="D343">
        <f>_xlfn.BITAND(C343,1)</f>
        <v/>
      </c>
      <c r="E343">
        <f>_xlfn.BITRSHIFT(C343,1)</f>
        <v/>
      </c>
      <c r="F343">
        <f>_xlfn.BITXOR(D343,B343)</f>
        <v/>
      </c>
      <c r="G343">
        <f>IF(F343=1,_xlfn.BITXOR(E343,33800),E343)</f>
        <v/>
      </c>
    </row>
    <row r="344">
      <c r="A344" t="n">
        <v>338</v>
      </c>
      <c r="B344">
        <f>_DestuffedBits!C339</f>
        <v/>
      </c>
      <c r="C344">
        <f>G343</f>
        <v/>
      </c>
      <c r="D344">
        <f>_xlfn.BITAND(C344,1)</f>
        <v/>
      </c>
      <c r="E344">
        <f>_xlfn.BITRSHIFT(C344,1)</f>
        <v/>
      </c>
      <c r="F344">
        <f>_xlfn.BITXOR(D344,B344)</f>
        <v/>
      </c>
      <c r="G344">
        <f>IF(F344=1,_xlfn.BITXOR(E344,33800),E344)</f>
        <v/>
      </c>
    </row>
    <row r="345">
      <c r="A345" t="n">
        <v>339</v>
      </c>
      <c r="B345">
        <f>_DestuffedBits!C340</f>
        <v/>
      </c>
      <c r="C345">
        <f>G344</f>
        <v/>
      </c>
      <c r="D345">
        <f>_xlfn.BITAND(C345,1)</f>
        <v/>
      </c>
      <c r="E345">
        <f>_xlfn.BITRSHIFT(C345,1)</f>
        <v/>
      </c>
      <c r="F345">
        <f>_xlfn.BITXOR(D345,B345)</f>
        <v/>
      </c>
      <c r="G345">
        <f>IF(F345=1,_xlfn.BITXOR(E345,33800),E345)</f>
        <v/>
      </c>
    </row>
    <row r="346">
      <c r="A346" t="n">
        <v>340</v>
      </c>
      <c r="B346">
        <f>_DestuffedBits!C341</f>
        <v/>
      </c>
      <c r="C346">
        <f>G345</f>
        <v/>
      </c>
      <c r="D346">
        <f>_xlfn.BITAND(C346,1)</f>
        <v/>
      </c>
      <c r="E346">
        <f>_xlfn.BITRSHIFT(C346,1)</f>
        <v/>
      </c>
      <c r="F346">
        <f>_xlfn.BITXOR(D346,B346)</f>
        <v/>
      </c>
      <c r="G346">
        <f>IF(F346=1,_xlfn.BITXOR(E346,33800),E346)</f>
        <v/>
      </c>
    </row>
    <row r="347">
      <c r="A347" t="n">
        <v>341</v>
      </c>
      <c r="B347">
        <f>_DestuffedBits!C342</f>
        <v/>
      </c>
      <c r="C347">
        <f>G346</f>
        <v/>
      </c>
      <c r="D347">
        <f>_xlfn.BITAND(C347,1)</f>
        <v/>
      </c>
      <c r="E347">
        <f>_xlfn.BITRSHIFT(C347,1)</f>
        <v/>
      </c>
      <c r="F347">
        <f>_xlfn.BITXOR(D347,B347)</f>
        <v/>
      </c>
      <c r="G347">
        <f>IF(F347=1,_xlfn.BITXOR(E347,33800),E347)</f>
        <v/>
      </c>
    </row>
    <row r="348">
      <c r="A348" t="n">
        <v>342</v>
      </c>
      <c r="B348">
        <f>_DestuffedBits!C343</f>
        <v/>
      </c>
      <c r="C348">
        <f>G347</f>
        <v/>
      </c>
      <c r="D348">
        <f>_xlfn.BITAND(C348,1)</f>
        <v/>
      </c>
      <c r="E348">
        <f>_xlfn.BITRSHIFT(C348,1)</f>
        <v/>
      </c>
      <c r="F348">
        <f>_xlfn.BITXOR(D348,B348)</f>
        <v/>
      </c>
      <c r="G348">
        <f>IF(F348=1,_xlfn.BITXOR(E348,33800),E348)</f>
        <v/>
      </c>
    </row>
    <row r="349">
      <c r="A349" t="n">
        <v>343</v>
      </c>
      <c r="B349">
        <f>_DestuffedBits!C344</f>
        <v/>
      </c>
      <c r="C349">
        <f>G348</f>
        <v/>
      </c>
      <c r="D349">
        <f>_xlfn.BITAND(C349,1)</f>
        <v/>
      </c>
      <c r="E349">
        <f>_xlfn.BITRSHIFT(C349,1)</f>
        <v/>
      </c>
      <c r="F349">
        <f>_xlfn.BITXOR(D349,B349)</f>
        <v/>
      </c>
      <c r="G349">
        <f>IF(F349=1,_xlfn.BITXOR(E349,33800),E349)</f>
        <v/>
      </c>
    </row>
    <row r="350">
      <c r="A350" t="n">
        <v>344</v>
      </c>
      <c r="B350">
        <f>_DestuffedBits!C345</f>
        <v/>
      </c>
      <c r="C350">
        <f>G349</f>
        <v/>
      </c>
      <c r="D350">
        <f>_xlfn.BITAND(C350,1)</f>
        <v/>
      </c>
      <c r="E350">
        <f>_xlfn.BITRSHIFT(C350,1)</f>
        <v/>
      </c>
      <c r="F350">
        <f>_xlfn.BITXOR(D350,B350)</f>
        <v/>
      </c>
      <c r="G350">
        <f>IF(F350=1,_xlfn.BITXOR(E350,33800),E350)</f>
        <v/>
      </c>
    </row>
    <row r="351">
      <c r="A351" t="n">
        <v>345</v>
      </c>
      <c r="B351">
        <f>_DestuffedBits!C346</f>
        <v/>
      </c>
      <c r="C351">
        <f>G350</f>
        <v/>
      </c>
      <c r="D351">
        <f>_xlfn.BITAND(C351,1)</f>
        <v/>
      </c>
      <c r="E351">
        <f>_xlfn.BITRSHIFT(C351,1)</f>
        <v/>
      </c>
      <c r="F351">
        <f>_xlfn.BITXOR(D351,B351)</f>
        <v/>
      </c>
      <c r="G351">
        <f>IF(F351=1,_xlfn.BITXOR(E351,33800),E351)</f>
        <v/>
      </c>
    </row>
    <row r="352">
      <c r="A352" t="n">
        <v>346</v>
      </c>
      <c r="B352">
        <f>_DestuffedBits!C347</f>
        <v/>
      </c>
      <c r="C352">
        <f>G351</f>
        <v/>
      </c>
      <c r="D352">
        <f>_xlfn.BITAND(C352,1)</f>
        <v/>
      </c>
      <c r="E352">
        <f>_xlfn.BITRSHIFT(C352,1)</f>
        <v/>
      </c>
      <c r="F352">
        <f>_xlfn.BITXOR(D352,B352)</f>
        <v/>
      </c>
      <c r="G352">
        <f>IF(F352=1,_xlfn.BITXOR(E352,33800),E352)</f>
        <v/>
      </c>
    </row>
    <row r="353">
      <c r="A353" t="n">
        <v>347</v>
      </c>
      <c r="B353">
        <f>_DestuffedBits!C348</f>
        <v/>
      </c>
      <c r="C353">
        <f>G352</f>
        <v/>
      </c>
      <c r="D353">
        <f>_xlfn.BITAND(C353,1)</f>
        <v/>
      </c>
      <c r="E353">
        <f>_xlfn.BITRSHIFT(C353,1)</f>
        <v/>
      </c>
      <c r="F353">
        <f>_xlfn.BITXOR(D353,B353)</f>
        <v/>
      </c>
      <c r="G353">
        <f>IF(F353=1,_xlfn.BITXOR(E353,33800),E353)</f>
        <v/>
      </c>
    </row>
    <row r="354">
      <c r="A354" t="n">
        <v>348</v>
      </c>
      <c r="B354">
        <f>_DestuffedBits!C349</f>
        <v/>
      </c>
      <c r="C354">
        <f>G353</f>
        <v/>
      </c>
      <c r="D354">
        <f>_xlfn.BITAND(C354,1)</f>
        <v/>
      </c>
      <c r="E354">
        <f>_xlfn.BITRSHIFT(C354,1)</f>
        <v/>
      </c>
      <c r="F354">
        <f>_xlfn.BITXOR(D354,B354)</f>
        <v/>
      </c>
      <c r="G354">
        <f>IF(F354=1,_xlfn.BITXOR(E354,33800),E354)</f>
        <v/>
      </c>
    </row>
    <row r="355">
      <c r="A355" t="n">
        <v>349</v>
      </c>
      <c r="B355">
        <f>_DestuffedBits!C350</f>
        <v/>
      </c>
      <c r="C355">
        <f>G354</f>
        <v/>
      </c>
      <c r="D355">
        <f>_xlfn.BITAND(C355,1)</f>
        <v/>
      </c>
      <c r="E355">
        <f>_xlfn.BITRSHIFT(C355,1)</f>
        <v/>
      </c>
      <c r="F355">
        <f>_xlfn.BITXOR(D355,B355)</f>
        <v/>
      </c>
      <c r="G355">
        <f>IF(F355=1,_xlfn.BITXOR(E355,33800),E355)</f>
        <v/>
      </c>
    </row>
    <row r="356">
      <c r="A356" t="n">
        <v>350</v>
      </c>
      <c r="B356">
        <f>_DestuffedBits!C351</f>
        <v/>
      </c>
      <c r="C356">
        <f>G355</f>
        <v/>
      </c>
      <c r="D356">
        <f>_xlfn.BITAND(C356,1)</f>
        <v/>
      </c>
      <c r="E356">
        <f>_xlfn.BITRSHIFT(C356,1)</f>
        <v/>
      </c>
      <c r="F356">
        <f>_xlfn.BITXOR(D356,B356)</f>
        <v/>
      </c>
      <c r="G356">
        <f>IF(F356=1,_xlfn.BITXOR(E356,33800),E356)</f>
        <v/>
      </c>
    </row>
    <row r="357">
      <c r="A357" t="n">
        <v>351</v>
      </c>
      <c r="B357">
        <f>_DestuffedBits!C352</f>
        <v/>
      </c>
      <c r="C357">
        <f>G356</f>
        <v/>
      </c>
      <c r="D357">
        <f>_xlfn.BITAND(C357,1)</f>
        <v/>
      </c>
      <c r="E357">
        <f>_xlfn.BITRSHIFT(C357,1)</f>
        <v/>
      </c>
      <c r="F357">
        <f>_xlfn.BITXOR(D357,B357)</f>
        <v/>
      </c>
      <c r="G357">
        <f>IF(F357=1,_xlfn.BITXOR(E357,33800),E357)</f>
        <v/>
      </c>
    </row>
    <row r="358">
      <c r="A358" t="n">
        <v>352</v>
      </c>
      <c r="B358">
        <f>_DestuffedBits!C353</f>
        <v/>
      </c>
      <c r="C358">
        <f>G357</f>
        <v/>
      </c>
      <c r="D358">
        <f>_xlfn.BITAND(C358,1)</f>
        <v/>
      </c>
      <c r="E358">
        <f>_xlfn.BITRSHIFT(C358,1)</f>
        <v/>
      </c>
      <c r="F358">
        <f>_xlfn.BITXOR(D358,B358)</f>
        <v/>
      </c>
      <c r="G358">
        <f>IF(F358=1,_xlfn.BITXOR(E358,33800),E358)</f>
        <v/>
      </c>
    </row>
    <row r="359">
      <c r="A359" t="n">
        <v>353</v>
      </c>
      <c r="B359">
        <f>_DestuffedBits!C354</f>
        <v/>
      </c>
      <c r="C359">
        <f>G358</f>
        <v/>
      </c>
      <c r="D359">
        <f>_xlfn.BITAND(C359,1)</f>
        <v/>
      </c>
      <c r="E359">
        <f>_xlfn.BITRSHIFT(C359,1)</f>
        <v/>
      </c>
      <c r="F359">
        <f>_xlfn.BITXOR(D359,B359)</f>
        <v/>
      </c>
      <c r="G359">
        <f>IF(F359=1,_xlfn.BITXOR(E359,33800),E359)</f>
        <v/>
      </c>
    </row>
    <row r="360">
      <c r="A360" t="n">
        <v>354</v>
      </c>
      <c r="B360">
        <f>_DestuffedBits!C355</f>
        <v/>
      </c>
      <c r="C360">
        <f>G359</f>
        <v/>
      </c>
      <c r="D360">
        <f>_xlfn.BITAND(C360,1)</f>
        <v/>
      </c>
      <c r="E360">
        <f>_xlfn.BITRSHIFT(C360,1)</f>
        <v/>
      </c>
      <c r="F360">
        <f>_xlfn.BITXOR(D360,B360)</f>
        <v/>
      </c>
      <c r="G360">
        <f>IF(F360=1,_xlfn.BITXOR(E360,33800),E360)</f>
        <v/>
      </c>
    </row>
    <row r="361">
      <c r="A361" t="n">
        <v>355</v>
      </c>
      <c r="B361">
        <f>_DestuffedBits!C356</f>
        <v/>
      </c>
      <c r="C361">
        <f>G360</f>
        <v/>
      </c>
      <c r="D361">
        <f>_xlfn.BITAND(C361,1)</f>
        <v/>
      </c>
      <c r="E361">
        <f>_xlfn.BITRSHIFT(C361,1)</f>
        <v/>
      </c>
      <c r="F361">
        <f>_xlfn.BITXOR(D361,B361)</f>
        <v/>
      </c>
      <c r="G361">
        <f>IF(F361=1,_xlfn.BITXOR(E361,33800),E361)</f>
        <v/>
      </c>
    </row>
    <row r="362">
      <c r="A362" t="n">
        <v>356</v>
      </c>
      <c r="B362">
        <f>_DestuffedBits!C357</f>
        <v/>
      </c>
      <c r="C362">
        <f>G361</f>
        <v/>
      </c>
      <c r="D362">
        <f>_xlfn.BITAND(C362,1)</f>
        <v/>
      </c>
      <c r="E362">
        <f>_xlfn.BITRSHIFT(C362,1)</f>
        <v/>
      </c>
      <c r="F362">
        <f>_xlfn.BITXOR(D362,B362)</f>
        <v/>
      </c>
      <c r="G362">
        <f>IF(F362=1,_xlfn.BITXOR(E362,33800),E362)</f>
        <v/>
      </c>
    </row>
    <row r="363">
      <c r="A363" t="n">
        <v>357</v>
      </c>
      <c r="B363">
        <f>_DestuffedBits!C358</f>
        <v/>
      </c>
      <c r="C363">
        <f>G362</f>
        <v/>
      </c>
      <c r="D363">
        <f>_xlfn.BITAND(C363,1)</f>
        <v/>
      </c>
      <c r="E363">
        <f>_xlfn.BITRSHIFT(C363,1)</f>
        <v/>
      </c>
      <c r="F363">
        <f>_xlfn.BITXOR(D363,B363)</f>
        <v/>
      </c>
      <c r="G363">
        <f>IF(F363=1,_xlfn.BITXOR(E363,33800),E363)</f>
        <v/>
      </c>
    </row>
    <row r="364">
      <c r="A364" t="n">
        <v>358</v>
      </c>
      <c r="B364">
        <f>_DestuffedBits!C359</f>
        <v/>
      </c>
      <c r="C364">
        <f>G363</f>
        <v/>
      </c>
      <c r="D364">
        <f>_xlfn.BITAND(C364,1)</f>
        <v/>
      </c>
      <c r="E364">
        <f>_xlfn.BITRSHIFT(C364,1)</f>
        <v/>
      </c>
      <c r="F364">
        <f>_xlfn.BITXOR(D364,B364)</f>
        <v/>
      </c>
      <c r="G364">
        <f>IF(F364=1,_xlfn.BITXOR(E364,33800),E364)</f>
        <v/>
      </c>
    </row>
    <row r="365">
      <c r="A365" t="n">
        <v>359</v>
      </c>
      <c r="B365">
        <f>_DestuffedBits!C360</f>
        <v/>
      </c>
      <c r="C365">
        <f>G364</f>
        <v/>
      </c>
      <c r="D365">
        <f>_xlfn.BITAND(C365,1)</f>
        <v/>
      </c>
      <c r="E365">
        <f>_xlfn.BITRSHIFT(C365,1)</f>
        <v/>
      </c>
      <c r="F365">
        <f>_xlfn.BITXOR(D365,B365)</f>
        <v/>
      </c>
      <c r="G365">
        <f>IF(F365=1,_xlfn.BITXOR(E365,33800),E365)</f>
        <v/>
      </c>
    </row>
    <row r="366">
      <c r="A366" t="n">
        <v>360</v>
      </c>
      <c r="B366">
        <f>_DestuffedBits!C361</f>
        <v/>
      </c>
      <c r="C366">
        <f>G365</f>
        <v/>
      </c>
      <c r="D366">
        <f>_xlfn.BITAND(C366,1)</f>
        <v/>
      </c>
      <c r="E366">
        <f>_xlfn.BITRSHIFT(C366,1)</f>
        <v/>
      </c>
      <c r="F366">
        <f>_xlfn.BITXOR(D366,B366)</f>
        <v/>
      </c>
      <c r="G366">
        <f>IF(F366=1,_xlfn.BITXOR(E366,33800),E366)</f>
        <v/>
      </c>
    </row>
    <row r="367">
      <c r="A367" t="n">
        <v>361</v>
      </c>
      <c r="B367">
        <f>_DestuffedBits!C362</f>
        <v/>
      </c>
      <c r="C367">
        <f>G366</f>
        <v/>
      </c>
      <c r="D367">
        <f>_xlfn.BITAND(C367,1)</f>
        <v/>
      </c>
      <c r="E367">
        <f>_xlfn.BITRSHIFT(C367,1)</f>
        <v/>
      </c>
      <c r="F367">
        <f>_xlfn.BITXOR(D367,B367)</f>
        <v/>
      </c>
      <c r="G367">
        <f>IF(F367=1,_xlfn.BITXOR(E367,33800),E367)</f>
        <v/>
      </c>
    </row>
    <row r="368">
      <c r="A368" t="n">
        <v>362</v>
      </c>
      <c r="B368">
        <f>_DestuffedBits!C363</f>
        <v/>
      </c>
      <c r="C368">
        <f>G367</f>
        <v/>
      </c>
      <c r="D368">
        <f>_xlfn.BITAND(C368,1)</f>
        <v/>
      </c>
      <c r="E368">
        <f>_xlfn.BITRSHIFT(C368,1)</f>
        <v/>
      </c>
      <c r="F368">
        <f>_xlfn.BITXOR(D368,B368)</f>
        <v/>
      </c>
      <c r="G368">
        <f>IF(F368=1,_xlfn.BITXOR(E368,33800),E368)</f>
        <v/>
      </c>
    </row>
    <row r="369">
      <c r="A369" t="n">
        <v>363</v>
      </c>
      <c r="B369">
        <f>_DestuffedBits!C364</f>
        <v/>
      </c>
      <c r="C369">
        <f>G368</f>
        <v/>
      </c>
      <c r="D369">
        <f>_xlfn.BITAND(C369,1)</f>
        <v/>
      </c>
      <c r="E369">
        <f>_xlfn.BITRSHIFT(C369,1)</f>
        <v/>
      </c>
      <c r="F369">
        <f>_xlfn.BITXOR(D369,B369)</f>
        <v/>
      </c>
      <c r="G369">
        <f>IF(F369=1,_xlfn.BITXOR(E369,33800),E369)</f>
        <v/>
      </c>
    </row>
    <row r="370">
      <c r="A370" t="n">
        <v>364</v>
      </c>
      <c r="B370">
        <f>_DestuffedBits!C365</f>
        <v/>
      </c>
      <c r="C370">
        <f>G369</f>
        <v/>
      </c>
      <c r="D370">
        <f>_xlfn.BITAND(C370,1)</f>
        <v/>
      </c>
      <c r="E370">
        <f>_xlfn.BITRSHIFT(C370,1)</f>
        <v/>
      </c>
      <c r="F370">
        <f>_xlfn.BITXOR(D370,B370)</f>
        <v/>
      </c>
      <c r="G370">
        <f>IF(F370=1,_xlfn.BITXOR(E370,33800),E370)</f>
        <v/>
      </c>
    </row>
    <row r="371">
      <c r="A371" t="n">
        <v>365</v>
      </c>
      <c r="B371">
        <f>_DestuffedBits!C366</f>
        <v/>
      </c>
      <c r="C371">
        <f>G370</f>
        <v/>
      </c>
      <c r="D371">
        <f>_xlfn.BITAND(C371,1)</f>
        <v/>
      </c>
      <c r="E371">
        <f>_xlfn.BITRSHIFT(C371,1)</f>
        <v/>
      </c>
      <c r="F371">
        <f>_xlfn.BITXOR(D371,B371)</f>
        <v/>
      </c>
      <c r="G371">
        <f>IF(F371=1,_xlfn.BITXOR(E371,33800),E371)</f>
        <v/>
      </c>
    </row>
    <row r="372">
      <c r="A372" t="n">
        <v>366</v>
      </c>
      <c r="B372">
        <f>_DestuffedBits!C367</f>
        <v/>
      </c>
      <c r="C372">
        <f>G371</f>
        <v/>
      </c>
      <c r="D372">
        <f>_xlfn.BITAND(C372,1)</f>
        <v/>
      </c>
      <c r="E372">
        <f>_xlfn.BITRSHIFT(C372,1)</f>
        <v/>
      </c>
      <c r="F372">
        <f>_xlfn.BITXOR(D372,B372)</f>
        <v/>
      </c>
      <c r="G372">
        <f>IF(F372=1,_xlfn.BITXOR(E372,33800),E372)</f>
        <v/>
      </c>
    </row>
    <row r="373">
      <c r="A373" t="n">
        <v>367</v>
      </c>
      <c r="B373">
        <f>_DestuffedBits!C368</f>
        <v/>
      </c>
      <c r="C373">
        <f>G372</f>
        <v/>
      </c>
      <c r="D373">
        <f>_xlfn.BITAND(C373,1)</f>
        <v/>
      </c>
      <c r="E373">
        <f>_xlfn.BITRSHIFT(C373,1)</f>
        <v/>
      </c>
      <c r="F373">
        <f>_xlfn.BITXOR(D373,B373)</f>
        <v/>
      </c>
      <c r="G373">
        <f>IF(F373=1,_xlfn.BITXOR(E373,33800),E373)</f>
        <v/>
      </c>
    </row>
    <row r="374">
      <c r="A374" t="n">
        <v>368</v>
      </c>
      <c r="B374">
        <f>_DestuffedBits!C369</f>
        <v/>
      </c>
      <c r="C374">
        <f>G373</f>
        <v/>
      </c>
      <c r="D374">
        <f>_xlfn.BITAND(C374,1)</f>
        <v/>
      </c>
      <c r="E374">
        <f>_xlfn.BITRSHIFT(C374,1)</f>
        <v/>
      </c>
      <c r="F374">
        <f>_xlfn.BITXOR(D374,B374)</f>
        <v/>
      </c>
      <c r="G374">
        <f>IF(F374=1,_xlfn.BITXOR(E374,33800),E374)</f>
        <v/>
      </c>
    </row>
    <row r="375">
      <c r="A375" t="n">
        <v>369</v>
      </c>
      <c r="B375">
        <f>_DestuffedBits!C370</f>
        <v/>
      </c>
      <c r="C375">
        <f>G374</f>
        <v/>
      </c>
      <c r="D375">
        <f>_xlfn.BITAND(C375,1)</f>
        <v/>
      </c>
      <c r="E375">
        <f>_xlfn.BITRSHIFT(C375,1)</f>
        <v/>
      </c>
      <c r="F375">
        <f>_xlfn.BITXOR(D375,B375)</f>
        <v/>
      </c>
      <c r="G375">
        <f>IF(F375=1,_xlfn.BITXOR(E375,33800),E375)</f>
        <v/>
      </c>
    </row>
    <row r="376">
      <c r="A376" t="n">
        <v>370</v>
      </c>
      <c r="B376">
        <f>_DestuffedBits!C371</f>
        <v/>
      </c>
      <c r="C376">
        <f>G375</f>
        <v/>
      </c>
      <c r="D376">
        <f>_xlfn.BITAND(C376,1)</f>
        <v/>
      </c>
      <c r="E376">
        <f>_xlfn.BITRSHIFT(C376,1)</f>
        <v/>
      </c>
      <c r="F376">
        <f>_xlfn.BITXOR(D376,B376)</f>
        <v/>
      </c>
      <c r="G376">
        <f>IF(F376=1,_xlfn.BITXOR(E376,33800),E376)</f>
        <v/>
      </c>
    </row>
    <row r="377">
      <c r="A377" t="n">
        <v>371</v>
      </c>
      <c r="B377">
        <f>_DestuffedBits!C372</f>
        <v/>
      </c>
      <c r="C377">
        <f>G376</f>
        <v/>
      </c>
      <c r="D377">
        <f>_xlfn.BITAND(C377,1)</f>
        <v/>
      </c>
      <c r="E377">
        <f>_xlfn.BITRSHIFT(C377,1)</f>
        <v/>
      </c>
      <c r="F377">
        <f>_xlfn.BITXOR(D377,B377)</f>
        <v/>
      </c>
      <c r="G377">
        <f>IF(F377=1,_xlfn.BITXOR(E377,33800),E377)</f>
        <v/>
      </c>
    </row>
    <row r="378">
      <c r="A378" t="n">
        <v>372</v>
      </c>
      <c r="B378">
        <f>_DestuffedBits!C373</f>
        <v/>
      </c>
      <c r="C378">
        <f>G377</f>
        <v/>
      </c>
      <c r="D378">
        <f>_xlfn.BITAND(C378,1)</f>
        <v/>
      </c>
      <c r="E378">
        <f>_xlfn.BITRSHIFT(C378,1)</f>
        <v/>
      </c>
      <c r="F378">
        <f>_xlfn.BITXOR(D378,B378)</f>
        <v/>
      </c>
      <c r="G378">
        <f>IF(F378=1,_xlfn.BITXOR(E378,33800),E378)</f>
        <v/>
      </c>
    </row>
    <row r="379">
      <c r="A379" t="n">
        <v>373</v>
      </c>
      <c r="B379">
        <f>_DestuffedBits!C374</f>
        <v/>
      </c>
      <c r="C379">
        <f>G378</f>
        <v/>
      </c>
      <c r="D379">
        <f>_xlfn.BITAND(C379,1)</f>
        <v/>
      </c>
      <c r="E379">
        <f>_xlfn.BITRSHIFT(C379,1)</f>
        <v/>
      </c>
      <c r="F379">
        <f>_xlfn.BITXOR(D379,B379)</f>
        <v/>
      </c>
      <c r="G379">
        <f>IF(F379=1,_xlfn.BITXOR(E379,33800),E379)</f>
        <v/>
      </c>
    </row>
    <row r="380">
      <c r="A380" t="n">
        <v>374</v>
      </c>
      <c r="B380">
        <f>_DestuffedBits!C375</f>
        <v/>
      </c>
      <c r="C380">
        <f>G379</f>
        <v/>
      </c>
      <c r="D380">
        <f>_xlfn.BITAND(C380,1)</f>
        <v/>
      </c>
      <c r="E380">
        <f>_xlfn.BITRSHIFT(C380,1)</f>
        <v/>
      </c>
      <c r="F380">
        <f>_xlfn.BITXOR(D380,B380)</f>
        <v/>
      </c>
      <c r="G380">
        <f>IF(F380=1,_xlfn.BITXOR(E380,33800),E380)</f>
        <v/>
      </c>
    </row>
    <row r="381">
      <c r="A381" t="n">
        <v>375</v>
      </c>
      <c r="B381">
        <f>_DestuffedBits!C376</f>
        <v/>
      </c>
      <c r="C381">
        <f>G380</f>
        <v/>
      </c>
      <c r="D381">
        <f>_xlfn.BITAND(C381,1)</f>
        <v/>
      </c>
      <c r="E381">
        <f>_xlfn.BITRSHIFT(C381,1)</f>
        <v/>
      </c>
      <c r="F381">
        <f>_xlfn.BITXOR(D381,B381)</f>
        <v/>
      </c>
      <c r="G381">
        <f>IF(F381=1,_xlfn.BITXOR(E381,33800),E381)</f>
        <v/>
      </c>
    </row>
    <row r="382">
      <c r="A382" t="n">
        <v>376</v>
      </c>
      <c r="B382">
        <f>_DestuffedBits!C377</f>
        <v/>
      </c>
      <c r="C382">
        <f>G381</f>
        <v/>
      </c>
      <c r="D382">
        <f>_xlfn.BITAND(C382,1)</f>
        <v/>
      </c>
      <c r="E382">
        <f>_xlfn.BITRSHIFT(C382,1)</f>
        <v/>
      </c>
      <c r="F382">
        <f>_xlfn.BITXOR(D382,B382)</f>
        <v/>
      </c>
      <c r="G382">
        <f>IF(F382=1,_xlfn.BITXOR(E382,33800),E382)</f>
        <v/>
      </c>
    </row>
    <row r="383">
      <c r="A383" t="n">
        <v>377</v>
      </c>
      <c r="B383">
        <f>_DestuffedBits!C378</f>
        <v/>
      </c>
      <c r="C383">
        <f>G382</f>
        <v/>
      </c>
      <c r="D383">
        <f>_xlfn.BITAND(C383,1)</f>
        <v/>
      </c>
      <c r="E383">
        <f>_xlfn.BITRSHIFT(C383,1)</f>
        <v/>
      </c>
      <c r="F383">
        <f>_xlfn.BITXOR(D383,B383)</f>
        <v/>
      </c>
      <c r="G383">
        <f>IF(F383=1,_xlfn.BITXOR(E383,33800),E383)</f>
        <v/>
      </c>
    </row>
    <row r="384">
      <c r="A384" t="n">
        <v>378</v>
      </c>
      <c r="B384">
        <f>_DestuffedBits!C379</f>
        <v/>
      </c>
      <c r="C384">
        <f>G383</f>
        <v/>
      </c>
      <c r="D384">
        <f>_xlfn.BITAND(C384,1)</f>
        <v/>
      </c>
      <c r="E384">
        <f>_xlfn.BITRSHIFT(C384,1)</f>
        <v/>
      </c>
      <c r="F384">
        <f>_xlfn.BITXOR(D384,B384)</f>
        <v/>
      </c>
      <c r="G384">
        <f>IF(F384=1,_xlfn.BITXOR(E384,33800),E384)</f>
        <v/>
      </c>
    </row>
    <row r="385">
      <c r="A385" t="n">
        <v>379</v>
      </c>
      <c r="B385">
        <f>_DestuffedBits!C380</f>
        <v/>
      </c>
      <c r="C385">
        <f>G384</f>
        <v/>
      </c>
      <c r="D385">
        <f>_xlfn.BITAND(C385,1)</f>
        <v/>
      </c>
      <c r="E385">
        <f>_xlfn.BITRSHIFT(C385,1)</f>
        <v/>
      </c>
      <c r="F385">
        <f>_xlfn.BITXOR(D385,B385)</f>
        <v/>
      </c>
      <c r="G385">
        <f>IF(F385=1,_xlfn.BITXOR(E385,33800),E385)</f>
        <v/>
      </c>
    </row>
    <row r="386">
      <c r="A386" t="n">
        <v>380</v>
      </c>
      <c r="B386">
        <f>_DestuffedBits!C381</f>
        <v/>
      </c>
      <c r="C386">
        <f>G385</f>
        <v/>
      </c>
      <c r="D386">
        <f>_xlfn.BITAND(C386,1)</f>
        <v/>
      </c>
      <c r="E386">
        <f>_xlfn.BITRSHIFT(C386,1)</f>
        <v/>
      </c>
      <c r="F386">
        <f>_xlfn.BITXOR(D386,B386)</f>
        <v/>
      </c>
      <c r="G386">
        <f>IF(F386=1,_xlfn.BITXOR(E386,33800),E386)</f>
        <v/>
      </c>
    </row>
    <row r="387">
      <c r="A387" t="n">
        <v>381</v>
      </c>
      <c r="B387">
        <f>_DestuffedBits!C382</f>
        <v/>
      </c>
      <c r="C387">
        <f>G386</f>
        <v/>
      </c>
      <c r="D387">
        <f>_xlfn.BITAND(C387,1)</f>
        <v/>
      </c>
      <c r="E387">
        <f>_xlfn.BITRSHIFT(C387,1)</f>
        <v/>
      </c>
      <c r="F387">
        <f>_xlfn.BITXOR(D387,B387)</f>
        <v/>
      </c>
      <c r="G387">
        <f>IF(F387=1,_xlfn.BITXOR(E387,33800),E387)</f>
        <v/>
      </c>
    </row>
    <row r="388">
      <c r="A388" t="n">
        <v>382</v>
      </c>
      <c r="B388">
        <f>_DestuffedBits!C383</f>
        <v/>
      </c>
      <c r="C388">
        <f>G387</f>
        <v/>
      </c>
      <c r="D388">
        <f>_xlfn.BITAND(C388,1)</f>
        <v/>
      </c>
      <c r="E388">
        <f>_xlfn.BITRSHIFT(C388,1)</f>
        <v/>
      </c>
      <c r="F388">
        <f>_xlfn.BITXOR(D388,B388)</f>
        <v/>
      </c>
      <c r="G388">
        <f>IF(F388=1,_xlfn.BITXOR(E388,33800),E388)</f>
        <v/>
      </c>
    </row>
    <row r="389">
      <c r="A389" t="n">
        <v>383</v>
      </c>
      <c r="B389">
        <f>_DestuffedBits!C384</f>
        <v/>
      </c>
      <c r="C389">
        <f>G388</f>
        <v/>
      </c>
      <c r="D389">
        <f>_xlfn.BITAND(C389,1)</f>
        <v/>
      </c>
      <c r="E389">
        <f>_xlfn.BITRSHIFT(C389,1)</f>
        <v/>
      </c>
      <c r="F389">
        <f>_xlfn.BITXOR(D389,B389)</f>
        <v/>
      </c>
      <c r="G389">
        <f>IF(F389=1,_xlfn.BITXOR(E389,33800),E389)</f>
        <v/>
      </c>
    </row>
    <row r="390">
      <c r="A390" t="n">
        <v>384</v>
      </c>
      <c r="B390">
        <f>_DestuffedBits!C385</f>
        <v/>
      </c>
      <c r="C390">
        <f>G389</f>
        <v/>
      </c>
      <c r="D390">
        <f>_xlfn.BITAND(C390,1)</f>
        <v/>
      </c>
      <c r="E390">
        <f>_xlfn.BITRSHIFT(C390,1)</f>
        <v/>
      </c>
      <c r="F390">
        <f>_xlfn.BITXOR(D390,B390)</f>
        <v/>
      </c>
      <c r="G390">
        <f>IF(F390=1,_xlfn.BITXOR(E390,33800),E390)</f>
        <v/>
      </c>
    </row>
    <row r="391">
      <c r="A391" t="n">
        <v>385</v>
      </c>
      <c r="B391">
        <f>_DestuffedBits!C386</f>
        <v/>
      </c>
      <c r="C391">
        <f>G390</f>
        <v/>
      </c>
      <c r="D391">
        <f>_xlfn.BITAND(C391,1)</f>
        <v/>
      </c>
      <c r="E391">
        <f>_xlfn.BITRSHIFT(C391,1)</f>
        <v/>
      </c>
      <c r="F391">
        <f>_xlfn.BITXOR(D391,B391)</f>
        <v/>
      </c>
      <c r="G391">
        <f>IF(F391=1,_xlfn.BITXOR(E391,33800),E391)</f>
        <v/>
      </c>
    </row>
    <row r="392">
      <c r="A392" t="n">
        <v>386</v>
      </c>
      <c r="B392">
        <f>_DestuffedBits!C387</f>
        <v/>
      </c>
      <c r="C392">
        <f>G391</f>
        <v/>
      </c>
      <c r="D392">
        <f>_xlfn.BITAND(C392,1)</f>
        <v/>
      </c>
      <c r="E392">
        <f>_xlfn.BITRSHIFT(C392,1)</f>
        <v/>
      </c>
      <c r="F392">
        <f>_xlfn.BITXOR(D392,B392)</f>
        <v/>
      </c>
      <c r="G392">
        <f>IF(F392=1,_xlfn.BITXOR(E392,33800),E392)</f>
        <v/>
      </c>
    </row>
    <row r="393">
      <c r="A393" t="n">
        <v>387</v>
      </c>
      <c r="B393">
        <f>_DestuffedBits!C388</f>
        <v/>
      </c>
      <c r="C393">
        <f>G392</f>
        <v/>
      </c>
      <c r="D393">
        <f>_xlfn.BITAND(C393,1)</f>
        <v/>
      </c>
      <c r="E393">
        <f>_xlfn.BITRSHIFT(C393,1)</f>
        <v/>
      </c>
      <c r="F393">
        <f>_xlfn.BITXOR(D393,B393)</f>
        <v/>
      </c>
      <c r="G393">
        <f>IF(F393=1,_xlfn.BITXOR(E393,33800),E393)</f>
        <v/>
      </c>
    </row>
    <row r="394">
      <c r="A394" t="n">
        <v>388</v>
      </c>
      <c r="B394">
        <f>_DestuffedBits!C389</f>
        <v/>
      </c>
      <c r="C394">
        <f>G393</f>
        <v/>
      </c>
      <c r="D394">
        <f>_xlfn.BITAND(C394,1)</f>
        <v/>
      </c>
      <c r="E394">
        <f>_xlfn.BITRSHIFT(C394,1)</f>
        <v/>
      </c>
      <c r="F394">
        <f>_xlfn.BITXOR(D394,B394)</f>
        <v/>
      </c>
      <c r="G394">
        <f>IF(F394=1,_xlfn.BITXOR(E394,33800),E394)</f>
        <v/>
      </c>
    </row>
    <row r="395">
      <c r="A395" t="n">
        <v>389</v>
      </c>
      <c r="B395">
        <f>_DestuffedBits!C390</f>
        <v/>
      </c>
      <c r="C395">
        <f>G394</f>
        <v/>
      </c>
      <c r="D395">
        <f>_xlfn.BITAND(C395,1)</f>
        <v/>
      </c>
      <c r="E395">
        <f>_xlfn.BITRSHIFT(C395,1)</f>
        <v/>
      </c>
      <c r="F395">
        <f>_xlfn.BITXOR(D395,B395)</f>
        <v/>
      </c>
      <c r="G395">
        <f>IF(F395=1,_xlfn.BITXOR(E395,33800),E395)</f>
        <v/>
      </c>
    </row>
    <row r="396">
      <c r="A396" t="n">
        <v>390</v>
      </c>
      <c r="B396">
        <f>_DestuffedBits!C391</f>
        <v/>
      </c>
      <c r="C396">
        <f>G395</f>
        <v/>
      </c>
      <c r="D396">
        <f>_xlfn.BITAND(C396,1)</f>
        <v/>
      </c>
      <c r="E396">
        <f>_xlfn.BITRSHIFT(C396,1)</f>
        <v/>
      </c>
      <c r="F396">
        <f>_xlfn.BITXOR(D396,B396)</f>
        <v/>
      </c>
      <c r="G396">
        <f>IF(F396=1,_xlfn.BITXOR(E396,33800),E396)</f>
        <v/>
      </c>
    </row>
    <row r="397">
      <c r="A397" t="n">
        <v>391</v>
      </c>
      <c r="B397">
        <f>_DestuffedBits!C392</f>
        <v/>
      </c>
      <c r="C397">
        <f>G396</f>
        <v/>
      </c>
      <c r="D397">
        <f>_xlfn.BITAND(C397,1)</f>
        <v/>
      </c>
      <c r="E397">
        <f>_xlfn.BITRSHIFT(C397,1)</f>
        <v/>
      </c>
      <c r="F397">
        <f>_xlfn.BITXOR(D397,B397)</f>
        <v/>
      </c>
      <c r="G397">
        <f>IF(F397=1,_xlfn.BITXOR(E397,33800),E397)</f>
        <v/>
      </c>
    </row>
    <row r="398">
      <c r="A398" t="n">
        <v>392</v>
      </c>
      <c r="B398">
        <f>_DestuffedBits!C393</f>
        <v/>
      </c>
      <c r="C398">
        <f>G397</f>
        <v/>
      </c>
      <c r="D398">
        <f>_xlfn.BITAND(C398,1)</f>
        <v/>
      </c>
      <c r="E398">
        <f>_xlfn.BITRSHIFT(C398,1)</f>
        <v/>
      </c>
      <c r="F398">
        <f>_xlfn.BITXOR(D398,B398)</f>
        <v/>
      </c>
      <c r="G398">
        <f>IF(F398=1,_xlfn.BITXOR(E398,33800),E398)</f>
        <v/>
      </c>
    </row>
    <row r="399">
      <c r="A399" t="n">
        <v>393</v>
      </c>
      <c r="B399">
        <f>_DestuffedBits!C394</f>
        <v/>
      </c>
      <c r="C399">
        <f>G398</f>
        <v/>
      </c>
      <c r="D399">
        <f>_xlfn.BITAND(C399,1)</f>
        <v/>
      </c>
      <c r="E399">
        <f>_xlfn.BITRSHIFT(C399,1)</f>
        <v/>
      </c>
      <c r="F399">
        <f>_xlfn.BITXOR(D399,B399)</f>
        <v/>
      </c>
      <c r="G399">
        <f>IF(F399=1,_xlfn.BITXOR(E399,33800),E399)</f>
        <v/>
      </c>
    </row>
    <row r="400">
      <c r="A400" t="n">
        <v>394</v>
      </c>
      <c r="B400">
        <f>_DestuffedBits!C395</f>
        <v/>
      </c>
      <c r="C400">
        <f>G399</f>
        <v/>
      </c>
      <c r="D400">
        <f>_xlfn.BITAND(C400,1)</f>
        <v/>
      </c>
      <c r="E400">
        <f>_xlfn.BITRSHIFT(C400,1)</f>
        <v/>
      </c>
      <c r="F400">
        <f>_xlfn.BITXOR(D400,B400)</f>
        <v/>
      </c>
      <c r="G400">
        <f>IF(F400=1,_xlfn.BITXOR(E400,33800),E400)</f>
        <v/>
      </c>
    </row>
    <row r="401">
      <c r="A401" t="n">
        <v>395</v>
      </c>
      <c r="B401">
        <f>_DestuffedBits!C396</f>
        <v/>
      </c>
      <c r="C401">
        <f>G400</f>
        <v/>
      </c>
      <c r="D401">
        <f>_xlfn.BITAND(C401,1)</f>
        <v/>
      </c>
      <c r="E401">
        <f>_xlfn.BITRSHIFT(C401,1)</f>
        <v/>
      </c>
      <c r="F401">
        <f>_xlfn.BITXOR(D401,B401)</f>
        <v/>
      </c>
      <c r="G401">
        <f>IF(F401=1,_xlfn.BITXOR(E401,33800),E401)</f>
        <v/>
      </c>
    </row>
    <row r="402">
      <c r="A402" t="n">
        <v>396</v>
      </c>
      <c r="B402">
        <f>_DestuffedBits!C397</f>
        <v/>
      </c>
      <c r="C402">
        <f>G401</f>
        <v/>
      </c>
      <c r="D402">
        <f>_xlfn.BITAND(C402,1)</f>
        <v/>
      </c>
      <c r="E402">
        <f>_xlfn.BITRSHIFT(C402,1)</f>
        <v/>
      </c>
      <c r="F402">
        <f>_xlfn.BITXOR(D402,B402)</f>
        <v/>
      </c>
      <c r="G402">
        <f>IF(F402=1,_xlfn.BITXOR(E402,33800),E402)</f>
        <v/>
      </c>
    </row>
    <row r="403">
      <c r="A403" t="n">
        <v>397</v>
      </c>
      <c r="B403">
        <f>_DestuffedBits!C398</f>
        <v/>
      </c>
      <c r="C403">
        <f>G402</f>
        <v/>
      </c>
      <c r="D403">
        <f>_xlfn.BITAND(C403,1)</f>
        <v/>
      </c>
      <c r="E403">
        <f>_xlfn.BITRSHIFT(C403,1)</f>
        <v/>
      </c>
      <c r="F403">
        <f>_xlfn.BITXOR(D403,B403)</f>
        <v/>
      </c>
      <c r="G403">
        <f>IF(F403=1,_xlfn.BITXOR(E403,33800),E403)</f>
        <v/>
      </c>
    </row>
    <row r="404">
      <c r="A404" t="n">
        <v>398</v>
      </c>
      <c r="B404">
        <f>_DestuffedBits!C399</f>
        <v/>
      </c>
      <c r="C404">
        <f>G403</f>
        <v/>
      </c>
      <c r="D404">
        <f>_xlfn.BITAND(C404,1)</f>
        <v/>
      </c>
      <c r="E404">
        <f>_xlfn.BITRSHIFT(C404,1)</f>
        <v/>
      </c>
      <c r="F404">
        <f>_xlfn.BITXOR(D404,B404)</f>
        <v/>
      </c>
      <c r="G404">
        <f>IF(F404=1,_xlfn.BITXOR(E404,33800),E404)</f>
        <v/>
      </c>
    </row>
    <row r="405">
      <c r="A405" t="n">
        <v>399</v>
      </c>
      <c r="B405">
        <f>_DestuffedBits!C400</f>
        <v/>
      </c>
      <c r="C405">
        <f>G404</f>
        <v/>
      </c>
      <c r="D405">
        <f>_xlfn.BITAND(C405,1)</f>
        <v/>
      </c>
      <c r="E405">
        <f>_xlfn.BITRSHIFT(C405,1)</f>
        <v/>
      </c>
      <c r="F405">
        <f>_xlfn.BITXOR(D405,B405)</f>
        <v/>
      </c>
      <c r="G405">
        <f>IF(F405=1,_xlfn.BITXOR(E405,33800),E405)</f>
        <v/>
      </c>
    </row>
    <row r="406">
      <c r="A406" t="n">
        <v>400</v>
      </c>
      <c r="B406">
        <f>_DestuffedBits!C401</f>
        <v/>
      </c>
      <c r="C406">
        <f>G405</f>
        <v/>
      </c>
      <c r="D406">
        <f>_xlfn.BITAND(C406,1)</f>
        <v/>
      </c>
      <c r="E406">
        <f>_xlfn.BITRSHIFT(C406,1)</f>
        <v/>
      </c>
      <c r="F406">
        <f>_xlfn.BITXOR(D406,B406)</f>
        <v/>
      </c>
      <c r="G406">
        <f>IF(F406=1,_xlfn.BITXOR(E406,33800),E406)</f>
        <v/>
      </c>
    </row>
    <row r="407">
      <c r="A407" t="n">
        <v>401</v>
      </c>
      <c r="B407">
        <f>_DestuffedBits!C402</f>
        <v/>
      </c>
      <c r="C407">
        <f>G406</f>
        <v/>
      </c>
      <c r="D407">
        <f>_xlfn.BITAND(C407,1)</f>
        <v/>
      </c>
      <c r="E407">
        <f>_xlfn.BITRSHIFT(C407,1)</f>
        <v/>
      </c>
      <c r="F407">
        <f>_xlfn.BITXOR(D407,B407)</f>
        <v/>
      </c>
      <c r="G407">
        <f>IF(F407=1,_xlfn.BITXOR(E407,33800),E407)</f>
        <v/>
      </c>
    </row>
    <row r="408">
      <c r="A408" t="n">
        <v>402</v>
      </c>
      <c r="B408">
        <f>_DestuffedBits!C403</f>
        <v/>
      </c>
      <c r="C408">
        <f>G407</f>
        <v/>
      </c>
      <c r="D408">
        <f>_xlfn.BITAND(C408,1)</f>
        <v/>
      </c>
      <c r="E408">
        <f>_xlfn.BITRSHIFT(C408,1)</f>
        <v/>
      </c>
      <c r="F408">
        <f>_xlfn.BITXOR(D408,B408)</f>
        <v/>
      </c>
      <c r="G408">
        <f>IF(F408=1,_xlfn.BITXOR(E408,33800),E408)</f>
        <v/>
      </c>
    </row>
    <row r="409">
      <c r="A409" t="n">
        <v>403</v>
      </c>
      <c r="B409">
        <f>_DestuffedBits!C404</f>
        <v/>
      </c>
      <c r="C409">
        <f>G408</f>
        <v/>
      </c>
      <c r="D409">
        <f>_xlfn.BITAND(C409,1)</f>
        <v/>
      </c>
      <c r="E409">
        <f>_xlfn.BITRSHIFT(C409,1)</f>
        <v/>
      </c>
      <c r="F409">
        <f>_xlfn.BITXOR(D409,B409)</f>
        <v/>
      </c>
      <c r="G409">
        <f>IF(F409=1,_xlfn.BITXOR(E409,33800),E409)</f>
        <v/>
      </c>
    </row>
    <row r="410">
      <c r="A410" t="n">
        <v>404</v>
      </c>
      <c r="B410">
        <f>_DestuffedBits!C405</f>
        <v/>
      </c>
      <c r="C410">
        <f>G409</f>
        <v/>
      </c>
      <c r="D410">
        <f>_xlfn.BITAND(C410,1)</f>
        <v/>
      </c>
      <c r="E410">
        <f>_xlfn.BITRSHIFT(C410,1)</f>
        <v/>
      </c>
      <c r="F410">
        <f>_xlfn.BITXOR(D410,B410)</f>
        <v/>
      </c>
      <c r="G410">
        <f>IF(F410=1,_xlfn.BITXOR(E410,33800),E410)</f>
        <v/>
      </c>
    </row>
    <row r="411">
      <c r="A411" t="n">
        <v>405</v>
      </c>
      <c r="B411">
        <f>_DestuffedBits!C406</f>
        <v/>
      </c>
      <c r="C411">
        <f>G410</f>
        <v/>
      </c>
      <c r="D411">
        <f>_xlfn.BITAND(C411,1)</f>
        <v/>
      </c>
      <c r="E411">
        <f>_xlfn.BITRSHIFT(C411,1)</f>
        <v/>
      </c>
      <c r="F411">
        <f>_xlfn.BITXOR(D411,B411)</f>
        <v/>
      </c>
      <c r="G411">
        <f>IF(F411=1,_xlfn.BITXOR(E411,33800),E411)</f>
        <v/>
      </c>
    </row>
    <row r="412">
      <c r="A412" t="n">
        <v>406</v>
      </c>
      <c r="B412">
        <f>_DestuffedBits!C407</f>
        <v/>
      </c>
      <c r="C412">
        <f>G411</f>
        <v/>
      </c>
      <c r="D412">
        <f>_xlfn.BITAND(C412,1)</f>
        <v/>
      </c>
      <c r="E412">
        <f>_xlfn.BITRSHIFT(C412,1)</f>
        <v/>
      </c>
      <c r="F412">
        <f>_xlfn.BITXOR(D412,B412)</f>
        <v/>
      </c>
      <c r="G412">
        <f>IF(F412=1,_xlfn.BITXOR(E412,33800),E412)</f>
        <v/>
      </c>
    </row>
    <row r="413">
      <c r="A413" t="n">
        <v>407</v>
      </c>
      <c r="B413">
        <f>_DestuffedBits!C408</f>
        <v/>
      </c>
      <c r="C413">
        <f>G412</f>
        <v/>
      </c>
      <c r="D413">
        <f>_xlfn.BITAND(C413,1)</f>
        <v/>
      </c>
      <c r="E413">
        <f>_xlfn.BITRSHIFT(C413,1)</f>
        <v/>
      </c>
      <c r="F413">
        <f>_xlfn.BITXOR(D413,B413)</f>
        <v/>
      </c>
      <c r="G413">
        <f>IF(F413=1,_xlfn.BITXOR(E413,33800),E413)</f>
        <v/>
      </c>
    </row>
    <row r="414">
      <c r="A414" t="n">
        <v>408</v>
      </c>
      <c r="B414">
        <f>_DestuffedBits!C409</f>
        <v/>
      </c>
      <c r="C414">
        <f>G413</f>
        <v/>
      </c>
      <c r="D414">
        <f>_xlfn.BITAND(C414,1)</f>
        <v/>
      </c>
      <c r="E414">
        <f>_xlfn.BITRSHIFT(C414,1)</f>
        <v/>
      </c>
      <c r="F414">
        <f>_xlfn.BITXOR(D414,B414)</f>
        <v/>
      </c>
      <c r="G414">
        <f>IF(F414=1,_xlfn.BITXOR(E414,33800),E414)</f>
        <v/>
      </c>
    </row>
    <row r="415">
      <c r="A415" t="n">
        <v>409</v>
      </c>
      <c r="B415">
        <f>_DestuffedBits!C410</f>
        <v/>
      </c>
      <c r="C415">
        <f>G414</f>
        <v/>
      </c>
      <c r="D415">
        <f>_xlfn.BITAND(C415,1)</f>
        <v/>
      </c>
      <c r="E415">
        <f>_xlfn.BITRSHIFT(C415,1)</f>
        <v/>
      </c>
      <c r="F415">
        <f>_xlfn.BITXOR(D415,B415)</f>
        <v/>
      </c>
      <c r="G415">
        <f>IF(F415=1,_xlfn.BITXOR(E415,33800),E415)</f>
        <v/>
      </c>
    </row>
    <row r="416">
      <c r="A416" t="n">
        <v>410</v>
      </c>
      <c r="B416">
        <f>_DestuffedBits!C411</f>
        <v/>
      </c>
      <c r="C416">
        <f>G415</f>
        <v/>
      </c>
      <c r="D416">
        <f>_xlfn.BITAND(C416,1)</f>
        <v/>
      </c>
      <c r="E416">
        <f>_xlfn.BITRSHIFT(C416,1)</f>
        <v/>
      </c>
      <c r="F416">
        <f>_xlfn.BITXOR(D416,B416)</f>
        <v/>
      </c>
      <c r="G416">
        <f>IF(F416=1,_xlfn.BITXOR(E416,33800),E416)</f>
        <v/>
      </c>
    </row>
    <row r="417">
      <c r="A417" t="n">
        <v>411</v>
      </c>
      <c r="B417">
        <f>_DestuffedBits!C412</f>
        <v/>
      </c>
      <c r="C417">
        <f>G416</f>
        <v/>
      </c>
      <c r="D417">
        <f>_xlfn.BITAND(C417,1)</f>
        <v/>
      </c>
      <c r="E417">
        <f>_xlfn.BITRSHIFT(C417,1)</f>
        <v/>
      </c>
      <c r="F417">
        <f>_xlfn.BITXOR(D417,B417)</f>
        <v/>
      </c>
      <c r="G417">
        <f>IF(F417=1,_xlfn.BITXOR(E417,33800),E417)</f>
        <v/>
      </c>
    </row>
    <row r="418">
      <c r="A418" t="n">
        <v>412</v>
      </c>
      <c r="B418">
        <f>_DestuffedBits!C413</f>
        <v/>
      </c>
      <c r="C418">
        <f>G417</f>
        <v/>
      </c>
      <c r="D418">
        <f>_xlfn.BITAND(C418,1)</f>
        <v/>
      </c>
      <c r="E418">
        <f>_xlfn.BITRSHIFT(C418,1)</f>
        <v/>
      </c>
      <c r="F418">
        <f>_xlfn.BITXOR(D418,B418)</f>
        <v/>
      </c>
      <c r="G418">
        <f>IF(F418=1,_xlfn.BITXOR(E418,33800),E418)</f>
        <v/>
      </c>
    </row>
    <row r="419">
      <c r="A419" t="n">
        <v>413</v>
      </c>
      <c r="B419">
        <f>_DestuffedBits!C414</f>
        <v/>
      </c>
      <c r="C419">
        <f>G418</f>
        <v/>
      </c>
      <c r="D419">
        <f>_xlfn.BITAND(C419,1)</f>
        <v/>
      </c>
      <c r="E419">
        <f>_xlfn.BITRSHIFT(C419,1)</f>
        <v/>
      </c>
      <c r="F419">
        <f>_xlfn.BITXOR(D419,B419)</f>
        <v/>
      </c>
      <c r="G419">
        <f>IF(F419=1,_xlfn.BITXOR(E419,33800),E419)</f>
        <v/>
      </c>
    </row>
    <row r="420">
      <c r="A420" t="n">
        <v>414</v>
      </c>
      <c r="B420">
        <f>_DestuffedBits!C415</f>
        <v/>
      </c>
      <c r="C420">
        <f>G419</f>
        <v/>
      </c>
      <c r="D420">
        <f>_xlfn.BITAND(C420,1)</f>
        <v/>
      </c>
      <c r="E420">
        <f>_xlfn.BITRSHIFT(C420,1)</f>
        <v/>
      </c>
      <c r="F420">
        <f>_xlfn.BITXOR(D420,B420)</f>
        <v/>
      </c>
      <c r="G420">
        <f>IF(F420=1,_xlfn.BITXOR(E420,33800),E420)</f>
        <v/>
      </c>
    </row>
    <row r="421">
      <c r="A421" t="n">
        <v>415</v>
      </c>
      <c r="B421">
        <f>_DestuffedBits!C416</f>
        <v/>
      </c>
      <c r="C421">
        <f>G420</f>
        <v/>
      </c>
      <c r="D421">
        <f>_xlfn.BITAND(C421,1)</f>
        <v/>
      </c>
      <c r="E421">
        <f>_xlfn.BITRSHIFT(C421,1)</f>
        <v/>
      </c>
      <c r="F421">
        <f>_xlfn.BITXOR(D421,B421)</f>
        <v/>
      </c>
      <c r="G421">
        <f>IF(F421=1,_xlfn.BITXOR(E421,33800),E421)</f>
        <v/>
      </c>
    </row>
    <row r="422">
      <c r="A422" t="n">
        <v>416</v>
      </c>
      <c r="B422">
        <f>_DestuffedBits!C417</f>
        <v/>
      </c>
      <c r="C422">
        <f>G421</f>
        <v/>
      </c>
      <c r="D422">
        <f>_xlfn.BITAND(C422,1)</f>
        <v/>
      </c>
      <c r="E422">
        <f>_xlfn.BITRSHIFT(C422,1)</f>
        <v/>
      </c>
      <c r="F422">
        <f>_xlfn.BITXOR(D422,B422)</f>
        <v/>
      </c>
      <c r="G422">
        <f>IF(F422=1,_xlfn.BITXOR(E422,33800),E422)</f>
        <v/>
      </c>
    </row>
    <row r="423">
      <c r="A423" t="n">
        <v>417</v>
      </c>
      <c r="B423">
        <f>_DestuffedBits!C418</f>
        <v/>
      </c>
      <c r="C423">
        <f>G422</f>
        <v/>
      </c>
      <c r="D423">
        <f>_xlfn.BITAND(C423,1)</f>
        <v/>
      </c>
      <c r="E423">
        <f>_xlfn.BITRSHIFT(C423,1)</f>
        <v/>
      </c>
      <c r="F423">
        <f>_xlfn.BITXOR(D423,B423)</f>
        <v/>
      </c>
      <c r="G423">
        <f>IF(F423=1,_xlfn.BITXOR(E423,33800),E423)</f>
        <v/>
      </c>
    </row>
    <row r="424">
      <c r="A424" t="n">
        <v>418</v>
      </c>
      <c r="B424">
        <f>_DestuffedBits!C419</f>
        <v/>
      </c>
      <c r="C424">
        <f>G423</f>
        <v/>
      </c>
      <c r="D424">
        <f>_xlfn.BITAND(C424,1)</f>
        <v/>
      </c>
      <c r="E424">
        <f>_xlfn.BITRSHIFT(C424,1)</f>
        <v/>
      </c>
      <c r="F424">
        <f>_xlfn.BITXOR(D424,B424)</f>
        <v/>
      </c>
      <c r="G424">
        <f>IF(F424=1,_xlfn.BITXOR(E424,33800),E424)</f>
        <v/>
      </c>
    </row>
    <row r="425">
      <c r="A425" t="n">
        <v>419</v>
      </c>
      <c r="B425">
        <f>_DestuffedBits!C420</f>
        <v/>
      </c>
      <c r="C425">
        <f>G424</f>
        <v/>
      </c>
      <c r="D425">
        <f>_xlfn.BITAND(C425,1)</f>
        <v/>
      </c>
      <c r="E425">
        <f>_xlfn.BITRSHIFT(C425,1)</f>
        <v/>
      </c>
      <c r="F425">
        <f>_xlfn.BITXOR(D425,B425)</f>
        <v/>
      </c>
      <c r="G425">
        <f>IF(F425=1,_xlfn.BITXOR(E425,33800),E425)</f>
        <v/>
      </c>
    </row>
    <row r="426">
      <c r="A426" t="n">
        <v>420</v>
      </c>
      <c r="B426">
        <f>_DestuffedBits!C421</f>
        <v/>
      </c>
      <c r="C426">
        <f>G425</f>
        <v/>
      </c>
      <c r="D426">
        <f>_xlfn.BITAND(C426,1)</f>
        <v/>
      </c>
      <c r="E426">
        <f>_xlfn.BITRSHIFT(C426,1)</f>
        <v/>
      </c>
      <c r="F426">
        <f>_xlfn.BITXOR(D426,B426)</f>
        <v/>
      </c>
      <c r="G426">
        <f>IF(F426=1,_xlfn.BITXOR(E426,33800),E426)</f>
        <v/>
      </c>
    </row>
    <row r="427">
      <c r="A427" t="n">
        <v>421</v>
      </c>
      <c r="B427">
        <f>_DestuffedBits!C422</f>
        <v/>
      </c>
      <c r="C427">
        <f>G426</f>
        <v/>
      </c>
      <c r="D427">
        <f>_xlfn.BITAND(C427,1)</f>
        <v/>
      </c>
      <c r="E427">
        <f>_xlfn.BITRSHIFT(C427,1)</f>
        <v/>
      </c>
      <c r="F427">
        <f>_xlfn.BITXOR(D427,B427)</f>
        <v/>
      </c>
      <c r="G427">
        <f>IF(F427=1,_xlfn.BITXOR(E427,33800),E427)</f>
        <v/>
      </c>
    </row>
    <row r="428">
      <c r="A428" t="n">
        <v>422</v>
      </c>
      <c r="B428">
        <f>_DestuffedBits!C423</f>
        <v/>
      </c>
      <c r="C428">
        <f>G427</f>
        <v/>
      </c>
      <c r="D428">
        <f>_xlfn.BITAND(C428,1)</f>
        <v/>
      </c>
      <c r="E428">
        <f>_xlfn.BITRSHIFT(C428,1)</f>
        <v/>
      </c>
      <c r="F428">
        <f>_xlfn.BITXOR(D428,B428)</f>
        <v/>
      </c>
      <c r="G428">
        <f>IF(F428=1,_xlfn.BITXOR(E428,33800),E428)</f>
        <v/>
      </c>
    </row>
    <row r="429">
      <c r="A429" t="n">
        <v>423</v>
      </c>
      <c r="B429">
        <f>_DestuffedBits!C424</f>
        <v/>
      </c>
      <c r="C429">
        <f>G428</f>
        <v/>
      </c>
      <c r="D429">
        <f>_xlfn.BITAND(C429,1)</f>
        <v/>
      </c>
      <c r="E429">
        <f>_xlfn.BITRSHIFT(C429,1)</f>
        <v/>
      </c>
      <c r="F429">
        <f>_xlfn.BITXOR(D429,B429)</f>
        <v/>
      </c>
      <c r="G429">
        <f>IF(F429=1,_xlfn.BITXOR(E429,33800),E429)</f>
        <v/>
      </c>
    </row>
    <row r="430">
      <c r="A430" t="n">
        <v>424</v>
      </c>
      <c r="B430">
        <f>_DestuffedBits!C425</f>
        <v/>
      </c>
      <c r="C430">
        <f>G429</f>
        <v/>
      </c>
      <c r="D430">
        <f>_xlfn.BITAND(C430,1)</f>
        <v/>
      </c>
      <c r="E430">
        <f>_xlfn.BITRSHIFT(C430,1)</f>
        <v/>
      </c>
      <c r="F430">
        <f>_xlfn.BITXOR(D430,B430)</f>
        <v/>
      </c>
      <c r="G430">
        <f>IF(F430=1,_xlfn.BITXOR(E430,33800),E430)</f>
        <v/>
      </c>
    </row>
    <row r="431">
      <c r="A431" t="n">
        <v>425</v>
      </c>
      <c r="B431">
        <f>_DestuffedBits!C426</f>
        <v/>
      </c>
      <c r="C431">
        <f>G430</f>
        <v/>
      </c>
      <c r="D431">
        <f>_xlfn.BITAND(C431,1)</f>
        <v/>
      </c>
      <c r="E431">
        <f>_xlfn.BITRSHIFT(C431,1)</f>
        <v/>
      </c>
      <c r="F431">
        <f>_xlfn.BITXOR(D431,B431)</f>
        <v/>
      </c>
      <c r="G431">
        <f>IF(F431=1,_xlfn.BITXOR(E431,33800),E431)</f>
        <v/>
      </c>
    </row>
    <row r="432">
      <c r="A432" t="n">
        <v>426</v>
      </c>
      <c r="B432">
        <f>_DestuffedBits!C427</f>
        <v/>
      </c>
      <c r="C432">
        <f>G431</f>
        <v/>
      </c>
      <c r="D432">
        <f>_xlfn.BITAND(C432,1)</f>
        <v/>
      </c>
      <c r="E432">
        <f>_xlfn.BITRSHIFT(C432,1)</f>
        <v/>
      </c>
      <c r="F432">
        <f>_xlfn.BITXOR(D432,B432)</f>
        <v/>
      </c>
      <c r="G432">
        <f>IF(F432=1,_xlfn.BITXOR(E432,33800),E432)</f>
        <v/>
      </c>
    </row>
    <row r="433">
      <c r="A433" t="n">
        <v>427</v>
      </c>
      <c r="B433">
        <f>_DestuffedBits!C428</f>
        <v/>
      </c>
      <c r="C433">
        <f>G432</f>
        <v/>
      </c>
      <c r="D433">
        <f>_xlfn.BITAND(C433,1)</f>
        <v/>
      </c>
      <c r="E433">
        <f>_xlfn.BITRSHIFT(C433,1)</f>
        <v/>
      </c>
      <c r="F433">
        <f>_xlfn.BITXOR(D433,B433)</f>
        <v/>
      </c>
      <c r="G433">
        <f>IF(F433=1,_xlfn.BITXOR(E433,33800),E433)</f>
        <v/>
      </c>
    </row>
    <row r="434">
      <c r="A434" t="n">
        <v>428</v>
      </c>
      <c r="B434">
        <f>_DestuffedBits!C429</f>
        <v/>
      </c>
      <c r="C434">
        <f>G433</f>
        <v/>
      </c>
      <c r="D434">
        <f>_xlfn.BITAND(C434,1)</f>
        <v/>
      </c>
      <c r="E434">
        <f>_xlfn.BITRSHIFT(C434,1)</f>
        <v/>
      </c>
      <c r="F434">
        <f>_xlfn.BITXOR(D434,B434)</f>
        <v/>
      </c>
      <c r="G434">
        <f>IF(F434=1,_xlfn.BITXOR(E434,33800),E434)</f>
        <v/>
      </c>
    </row>
    <row r="435">
      <c r="A435" t="n">
        <v>429</v>
      </c>
      <c r="B435">
        <f>_DestuffedBits!C430</f>
        <v/>
      </c>
      <c r="C435">
        <f>G434</f>
        <v/>
      </c>
      <c r="D435">
        <f>_xlfn.BITAND(C435,1)</f>
        <v/>
      </c>
      <c r="E435">
        <f>_xlfn.BITRSHIFT(C435,1)</f>
        <v/>
      </c>
      <c r="F435">
        <f>_xlfn.BITXOR(D435,B435)</f>
        <v/>
      </c>
      <c r="G435">
        <f>IF(F435=1,_xlfn.BITXOR(E435,33800),E435)</f>
        <v/>
      </c>
    </row>
    <row r="436">
      <c r="A436" t="n">
        <v>430</v>
      </c>
      <c r="B436">
        <f>_DestuffedBits!C431</f>
        <v/>
      </c>
      <c r="C436">
        <f>G435</f>
        <v/>
      </c>
      <c r="D436">
        <f>_xlfn.BITAND(C436,1)</f>
        <v/>
      </c>
      <c r="E436">
        <f>_xlfn.BITRSHIFT(C436,1)</f>
        <v/>
      </c>
      <c r="F436">
        <f>_xlfn.BITXOR(D436,B436)</f>
        <v/>
      </c>
      <c r="G436">
        <f>IF(F436=1,_xlfn.BITXOR(E436,33800),E436)</f>
        <v/>
      </c>
    </row>
    <row r="437">
      <c r="A437" t="n">
        <v>431</v>
      </c>
      <c r="B437">
        <f>_DestuffedBits!C432</f>
        <v/>
      </c>
      <c r="C437">
        <f>G436</f>
        <v/>
      </c>
      <c r="D437">
        <f>_xlfn.BITAND(C437,1)</f>
        <v/>
      </c>
      <c r="E437">
        <f>_xlfn.BITRSHIFT(C437,1)</f>
        <v/>
      </c>
      <c r="F437">
        <f>_xlfn.BITXOR(D437,B437)</f>
        <v/>
      </c>
      <c r="G437">
        <f>IF(F437=1,_xlfn.BITXOR(E437,33800),E437)</f>
        <v/>
      </c>
    </row>
    <row r="438">
      <c r="A438" t="n">
        <v>432</v>
      </c>
      <c r="B438">
        <f>_DestuffedBits!C433</f>
        <v/>
      </c>
      <c r="C438">
        <f>G437</f>
        <v/>
      </c>
      <c r="D438">
        <f>_xlfn.BITAND(C438,1)</f>
        <v/>
      </c>
      <c r="E438">
        <f>_xlfn.BITRSHIFT(C438,1)</f>
        <v/>
      </c>
      <c r="F438">
        <f>_xlfn.BITXOR(D438,B438)</f>
        <v/>
      </c>
      <c r="G438">
        <f>IF(F438=1,_xlfn.BITXOR(E438,33800),E438)</f>
        <v/>
      </c>
    </row>
    <row r="439">
      <c r="A439" t="n">
        <v>433</v>
      </c>
      <c r="B439">
        <f>_DestuffedBits!C434</f>
        <v/>
      </c>
      <c r="C439">
        <f>G438</f>
        <v/>
      </c>
      <c r="D439">
        <f>_xlfn.BITAND(C439,1)</f>
        <v/>
      </c>
      <c r="E439">
        <f>_xlfn.BITRSHIFT(C439,1)</f>
        <v/>
      </c>
      <c r="F439">
        <f>_xlfn.BITXOR(D439,B439)</f>
        <v/>
      </c>
      <c r="G439">
        <f>IF(F439=1,_xlfn.BITXOR(E439,33800),E439)</f>
        <v/>
      </c>
    </row>
    <row r="440">
      <c r="A440" t="n">
        <v>434</v>
      </c>
      <c r="B440">
        <f>_DestuffedBits!C435</f>
        <v/>
      </c>
      <c r="C440">
        <f>G439</f>
        <v/>
      </c>
      <c r="D440">
        <f>_xlfn.BITAND(C440,1)</f>
        <v/>
      </c>
      <c r="E440">
        <f>_xlfn.BITRSHIFT(C440,1)</f>
        <v/>
      </c>
      <c r="F440">
        <f>_xlfn.BITXOR(D440,B440)</f>
        <v/>
      </c>
      <c r="G440">
        <f>IF(F440=1,_xlfn.BITXOR(E440,33800),E440)</f>
        <v/>
      </c>
    </row>
    <row r="441">
      <c r="A441" t="n">
        <v>435</v>
      </c>
      <c r="B441">
        <f>_DestuffedBits!C436</f>
        <v/>
      </c>
      <c r="C441">
        <f>G440</f>
        <v/>
      </c>
      <c r="D441">
        <f>_xlfn.BITAND(C441,1)</f>
        <v/>
      </c>
      <c r="E441">
        <f>_xlfn.BITRSHIFT(C441,1)</f>
        <v/>
      </c>
      <c r="F441">
        <f>_xlfn.BITXOR(D441,B441)</f>
        <v/>
      </c>
      <c r="G441">
        <f>IF(F441=1,_xlfn.BITXOR(E441,33800),E441)</f>
        <v/>
      </c>
    </row>
    <row r="442">
      <c r="A442" t="n">
        <v>436</v>
      </c>
      <c r="B442">
        <f>_DestuffedBits!C437</f>
        <v/>
      </c>
      <c r="C442">
        <f>G441</f>
        <v/>
      </c>
      <c r="D442">
        <f>_xlfn.BITAND(C442,1)</f>
        <v/>
      </c>
      <c r="E442">
        <f>_xlfn.BITRSHIFT(C442,1)</f>
        <v/>
      </c>
      <c r="F442">
        <f>_xlfn.BITXOR(D442,B442)</f>
        <v/>
      </c>
      <c r="G442">
        <f>IF(F442=1,_xlfn.BITXOR(E442,33800),E442)</f>
        <v/>
      </c>
    </row>
    <row r="443">
      <c r="A443" t="n">
        <v>437</v>
      </c>
      <c r="B443">
        <f>_DestuffedBits!C438</f>
        <v/>
      </c>
      <c r="C443">
        <f>G442</f>
        <v/>
      </c>
      <c r="D443">
        <f>_xlfn.BITAND(C443,1)</f>
        <v/>
      </c>
      <c r="E443">
        <f>_xlfn.BITRSHIFT(C443,1)</f>
        <v/>
      </c>
      <c r="F443">
        <f>_xlfn.BITXOR(D443,B443)</f>
        <v/>
      </c>
      <c r="G443">
        <f>IF(F443=1,_xlfn.BITXOR(E443,33800),E443)</f>
        <v/>
      </c>
    </row>
    <row r="444">
      <c r="A444" t="n">
        <v>438</v>
      </c>
      <c r="B444">
        <f>_DestuffedBits!C439</f>
        <v/>
      </c>
      <c r="C444">
        <f>G443</f>
        <v/>
      </c>
      <c r="D444">
        <f>_xlfn.BITAND(C444,1)</f>
        <v/>
      </c>
      <c r="E444">
        <f>_xlfn.BITRSHIFT(C444,1)</f>
        <v/>
      </c>
      <c r="F444">
        <f>_xlfn.BITXOR(D444,B444)</f>
        <v/>
      </c>
      <c r="G444">
        <f>IF(F444=1,_xlfn.BITXOR(E444,33800),E444)</f>
        <v/>
      </c>
    </row>
    <row r="445">
      <c r="A445" t="n">
        <v>439</v>
      </c>
      <c r="B445">
        <f>_DestuffedBits!C440</f>
        <v/>
      </c>
      <c r="C445">
        <f>G444</f>
        <v/>
      </c>
      <c r="D445">
        <f>_xlfn.BITAND(C445,1)</f>
        <v/>
      </c>
      <c r="E445">
        <f>_xlfn.BITRSHIFT(C445,1)</f>
        <v/>
      </c>
      <c r="F445">
        <f>_xlfn.BITXOR(D445,B445)</f>
        <v/>
      </c>
      <c r="G445">
        <f>IF(F445=1,_xlfn.BITXOR(E445,33800),E445)</f>
        <v/>
      </c>
    </row>
    <row r="446">
      <c r="A446" t="n">
        <v>440</v>
      </c>
      <c r="B446">
        <f>_DestuffedBits!C441</f>
        <v/>
      </c>
      <c r="C446">
        <f>G445</f>
        <v/>
      </c>
      <c r="D446">
        <f>_xlfn.BITAND(C446,1)</f>
        <v/>
      </c>
      <c r="E446">
        <f>_xlfn.BITRSHIFT(C446,1)</f>
        <v/>
      </c>
      <c r="F446">
        <f>_xlfn.BITXOR(D446,B446)</f>
        <v/>
      </c>
      <c r="G446">
        <f>IF(F446=1,_xlfn.BITXOR(E446,33800),E446)</f>
        <v/>
      </c>
    </row>
    <row r="447">
      <c r="A447" t="n">
        <v>441</v>
      </c>
      <c r="B447">
        <f>_DestuffedBits!C442</f>
        <v/>
      </c>
      <c r="C447">
        <f>G446</f>
        <v/>
      </c>
      <c r="D447">
        <f>_xlfn.BITAND(C447,1)</f>
        <v/>
      </c>
      <c r="E447">
        <f>_xlfn.BITRSHIFT(C447,1)</f>
        <v/>
      </c>
      <c r="F447">
        <f>_xlfn.BITXOR(D447,B447)</f>
        <v/>
      </c>
      <c r="G447">
        <f>IF(F447=1,_xlfn.BITXOR(E447,33800),E447)</f>
        <v/>
      </c>
    </row>
    <row r="448">
      <c r="A448" t="n">
        <v>442</v>
      </c>
      <c r="B448">
        <f>_DestuffedBits!C443</f>
        <v/>
      </c>
      <c r="C448">
        <f>G447</f>
        <v/>
      </c>
      <c r="D448">
        <f>_xlfn.BITAND(C448,1)</f>
        <v/>
      </c>
      <c r="E448">
        <f>_xlfn.BITRSHIFT(C448,1)</f>
        <v/>
      </c>
      <c r="F448">
        <f>_xlfn.BITXOR(D448,B448)</f>
        <v/>
      </c>
      <c r="G448">
        <f>IF(F448=1,_xlfn.BITXOR(E448,33800),E448)</f>
        <v/>
      </c>
    </row>
    <row r="449">
      <c r="A449" t="n">
        <v>443</v>
      </c>
      <c r="B449">
        <f>_DestuffedBits!C444</f>
        <v/>
      </c>
      <c r="C449">
        <f>G448</f>
        <v/>
      </c>
      <c r="D449">
        <f>_xlfn.BITAND(C449,1)</f>
        <v/>
      </c>
      <c r="E449">
        <f>_xlfn.BITRSHIFT(C449,1)</f>
        <v/>
      </c>
      <c r="F449">
        <f>_xlfn.BITXOR(D449,B449)</f>
        <v/>
      </c>
      <c r="G449">
        <f>IF(F449=1,_xlfn.BITXOR(E449,33800),E449)</f>
        <v/>
      </c>
    </row>
    <row r="450">
      <c r="A450" t="n">
        <v>444</v>
      </c>
      <c r="B450">
        <f>_DestuffedBits!C445</f>
        <v/>
      </c>
      <c r="C450">
        <f>G449</f>
        <v/>
      </c>
      <c r="D450">
        <f>_xlfn.BITAND(C450,1)</f>
        <v/>
      </c>
      <c r="E450">
        <f>_xlfn.BITRSHIFT(C450,1)</f>
        <v/>
      </c>
      <c r="F450">
        <f>_xlfn.BITXOR(D450,B450)</f>
        <v/>
      </c>
      <c r="G450">
        <f>IF(F450=1,_xlfn.BITXOR(E450,33800),E450)</f>
        <v/>
      </c>
    </row>
    <row r="451">
      <c r="A451" t="n">
        <v>445</v>
      </c>
      <c r="B451">
        <f>_DestuffedBits!C446</f>
        <v/>
      </c>
      <c r="C451">
        <f>G450</f>
        <v/>
      </c>
      <c r="D451">
        <f>_xlfn.BITAND(C451,1)</f>
        <v/>
      </c>
      <c r="E451">
        <f>_xlfn.BITRSHIFT(C451,1)</f>
        <v/>
      </c>
      <c r="F451">
        <f>_xlfn.BITXOR(D451,B451)</f>
        <v/>
      </c>
      <c r="G451">
        <f>IF(F451=1,_xlfn.BITXOR(E451,33800),E451)</f>
        <v/>
      </c>
    </row>
    <row r="452">
      <c r="A452" t="n">
        <v>446</v>
      </c>
      <c r="B452">
        <f>_DestuffedBits!C447</f>
        <v/>
      </c>
      <c r="C452">
        <f>G451</f>
        <v/>
      </c>
      <c r="D452">
        <f>_xlfn.BITAND(C452,1)</f>
        <v/>
      </c>
      <c r="E452">
        <f>_xlfn.BITRSHIFT(C452,1)</f>
        <v/>
      </c>
      <c r="F452">
        <f>_xlfn.BITXOR(D452,B452)</f>
        <v/>
      </c>
      <c r="G452">
        <f>IF(F452=1,_xlfn.BITXOR(E452,33800),E452)</f>
        <v/>
      </c>
    </row>
    <row r="453">
      <c r="A453" t="n">
        <v>447</v>
      </c>
      <c r="B453">
        <f>_DestuffedBits!C448</f>
        <v/>
      </c>
      <c r="C453">
        <f>G452</f>
        <v/>
      </c>
      <c r="D453">
        <f>_xlfn.BITAND(C453,1)</f>
        <v/>
      </c>
      <c r="E453">
        <f>_xlfn.BITRSHIFT(C453,1)</f>
        <v/>
      </c>
      <c r="F453">
        <f>_xlfn.BITXOR(D453,B453)</f>
        <v/>
      </c>
      <c r="G453">
        <f>IF(F453=1,_xlfn.BITXOR(E453,33800),E453)</f>
        <v/>
      </c>
    </row>
    <row r="454">
      <c r="A454" t="n">
        <v>448</v>
      </c>
      <c r="B454">
        <f>_DestuffedBits!C449</f>
        <v/>
      </c>
      <c r="C454">
        <f>G453</f>
        <v/>
      </c>
      <c r="D454">
        <f>_xlfn.BITAND(C454,1)</f>
        <v/>
      </c>
      <c r="E454">
        <f>_xlfn.BITRSHIFT(C454,1)</f>
        <v/>
      </c>
      <c r="F454">
        <f>_xlfn.BITXOR(D454,B454)</f>
        <v/>
      </c>
      <c r="G454">
        <f>IF(F454=1,_xlfn.BITXOR(E454,33800),E454)</f>
        <v/>
      </c>
    </row>
    <row r="455">
      <c r="A455" t="n">
        <v>449</v>
      </c>
      <c r="B455">
        <f>_DestuffedBits!C450</f>
        <v/>
      </c>
      <c r="C455">
        <f>G454</f>
        <v/>
      </c>
      <c r="D455">
        <f>_xlfn.BITAND(C455,1)</f>
        <v/>
      </c>
      <c r="E455">
        <f>_xlfn.BITRSHIFT(C455,1)</f>
        <v/>
      </c>
      <c r="F455">
        <f>_xlfn.BITXOR(D455,B455)</f>
        <v/>
      </c>
      <c r="G455">
        <f>IF(F455=1,_xlfn.BITXOR(E455,33800),E455)</f>
        <v/>
      </c>
    </row>
    <row r="456">
      <c r="A456" t="n">
        <v>450</v>
      </c>
      <c r="B456">
        <f>_DestuffedBits!C451</f>
        <v/>
      </c>
      <c r="C456">
        <f>G455</f>
        <v/>
      </c>
      <c r="D456">
        <f>_xlfn.BITAND(C456,1)</f>
        <v/>
      </c>
      <c r="E456">
        <f>_xlfn.BITRSHIFT(C456,1)</f>
        <v/>
      </c>
      <c r="F456">
        <f>_xlfn.BITXOR(D456,B456)</f>
        <v/>
      </c>
      <c r="G456">
        <f>IF(F456=1,_xlfn.BITXOR(E456,33800),E456)</f>
        <v/>
      </c>
    </row>
    <row r="457">
      <c r="A457" t="n">
        <v>451</v>
      </c>
      <c r="B457">
        <f>_DestuffedBits!C452</f>
        <v/>
      </c>
      <c r="C457">
        <f>G456</f>
        <v/>
      </c>
      <c r="D457">
        <f>_xlfn.BITAND(C457,1)</f>
        <v/>
      </c>
      <c r="E457">
        <f>_xlfn.BITRSHIFT(C457,1)</f>
        <v/>
      </c>
      <c r="F457">
        <f>_xlfn.BITXOR(D457,B457)</f>
        <v/>
      </c>
      <c r="G457">
        <f>IF(F457=1,_xlfn.BITXOR(E457,33800),E457)</f>
        <v/>
      </c>
    </row>
    <row r="458">
      <c r="A458" t="n">
        <v>452</v>
      </c>
      <c r="B458">
        <f>_DestuffedBits!C453</f>
        <v/>
      </c>
      <c r="C458">
        <f>G457</f>
        <v/>
      </c>
      <c r="D458">
        <f>_xlfn.BITAND(C458,1)</f>
        <v/>
      </c>
      <c r="E458">
        <f>_xlfn.BITRSHIFT(C458,1)</f>
        <v/>
      </c>
      <c r="F458">
        <f>_xlfn.BITXOR(D458,B458)</f>
        <v/>
      </c>
      <c r="G458">
        <f>IF(F458=1,_xlfn.BITXOR(E458,33800),E458)</f>
        <v/>
      </c>
    </row>
    <row r="459">
      <c r="A459" t="n">
        <v>453</v>
      </c>
      <c r="B459">
        <f>_DestuffedBits!C454</f>
        <v/>
      </c>
      <c r="C459">
        <f>G458</f>
        <v/>
      </c>
      <c r="D459">
        <f>_xlfn.BITAND(C459,1)</f>
        <v/>
      </c>
      <c r="E459">
        <f>_xlfn.BITRSHIFT(C459,1)</f>
        <v/>
      </c>
      <c r="F459">
        <f>_xlfn.BITXOR(D459,B459)</f>
        <v/>
      </c>
      <c r="G459">
        <f>IF(F459=1,_xlfn.BITXOR(E459,33800),E459)</f>
        <v/>
      </c>
    </row>
    <row r="460">
      <c r="A460" t="n">
        <v>454</v>
      </c>
      <c r="B460">
        <f>_DestuffedBits!C455</f>
        <v/>
      </c>
      <c r="C460">
        <f>G459</f>
        <v/>
      </c>
      <c r="D460">
        <f>_xlfn.BITAND(C460,1)</f>
        <v/>
      </c>
      <c r="E460">
        <f>_xlfn.BITRSHIFT(C460,1)</f>
        <v/>
      </c>
      <c r="F460">
        <f>_xlfn.BITXOR(D460,B460)</f>
        <v/>
      </c>
      <c r="G460">
        <f>IF(F460=1,_xlfn.BITXOR(E460,33800),E460)</f>
        <v/>
      </c>
    </row>
    <row r="461">
      <c r="A461" t="n">
        <v>455</v>
      </c>
      <c r="B461">
        <f>_DestuffedBits!C456</f>
        <v/>
      </c>
      <c r="C461">
        <f>G460</f>
        <v/>
      </c>
      <c r="D461">
        <f>_xlfn.BITAND(C461,1)</f>
        <v/>
      </c>
      <c r="E461">
        <f>_xlfn.BITRSHIFT(C461,1)</f>
        <v/>
      </c>
      <c r="F461">
        <f>_xlfn.BITXOR(D461,B461)</f>
        <v/>
      </c>
      <c r="G461">
        <f>IF(F461=1,_xlfn.BITXOR(E461,33800),E461)</f>
        <v/>
      </c>
    </row>
    <row r="462">
      <c r="A462" t="n">
        <v>456</v>
      </c>
      <c r="B462">
        <f>_DestuffedBits!C457</f>
        <v/>
      </c>
      <c r="C462">
        <f>G461</f>
        <v/>
      </c>
      <c r="D462">
        <f>_xlfn.BITAND(C462,1)</f>
        <v/>
      </c>
      <c r="E462">
        <f>_xlfn.BITRSHIFT(C462,1)</f>
        <v/>
      </c>
      <c r="F462">
        <f>_xlfn.BITXOR(D462,B462)</f>
        <v/>
      </c>
      <c r="G462">
        <f>IF(F462=1,_xlfn.BITXOR(E462,33800),E462)</f>
        <v/>
      </c>
    </row>
    <row r="463">
      <c r="A463" t="n">
        <v>457</v>
      </c>
      <c r="B463">
        <f>_DestuffedBits!C458</f>
        <v/>
      </c>
      <c r="C463">
        <f>G462</f>
        <v/>
      </c>
      <c r="D463">
        <f>_xlfn.BITAND(C463,1)</f>
        <v/>
      </c>
      <c r="E463">
        <f>_xlfn.BITRSHIFT(C463,1)</f>
        <v/>
      </c>
      <c r="F463">
        <f>_xlfn.BITXOR(D463,B463)</f>
        <v/>
      </c>
      <c r="G463">
        <f>IF(F463=1,_xlfn.BITXOR(E463,33800),E463)</f>
        <v/>
      </c>
    </row>
    <row r="464">
      <c r="A464" t="n">
        <v>458</v>
      </c>
      <c r="B464">
        <f>_DestuffedBits!C459</f>
        <v/>
      </c>
      <c r="C464">
        <f>G463</f>
        <v/>
      </c>
      <c r="D464">
        <f>_xlfn.BITAND(C464,1)</f>
        <v/>
      </c>
      <c r="E464">
        <f>_xlfn.BITRSHIFT(C464,1)</f>
        <v/>
      </c>
      <c r="F464">
        <f>_xlfn.BITXOR(D464,B464)</f>
        <v/>
      </c>
      <c r="G464">
        <f>IF(F464=1,_xlfn.BITXOR(E464,33800),E464)</f>
        <v/>
      </c>
    </row>
    <row r="465">
      <c r="A465" t="n">
        <v>459</v>
      </c>
      <c r="B465">
        <f>_DestuffedBits!C460</f>
        <v/>
      </c>
      <c r="C465">
        <f>G464</f>
        <v/>
      </c>
      <c r="D465">
        <f>_xlfn.BITAND(C465,1)</f>
        <v/>
      </c>
      <c r="E465">
        <f>_xlfn.BITRSHIFT(C465,1)</f>
        <v/>
      </c>
      <c r="F465">
        <f>_xlfn.BITXOR(D465,B465)</f>
        <v/>
      </c>
      <c r="G465">
        <f>IF(F465=1,_xlfn.BITXOR(E465,33800),E465)</f>
        <v/>
      </c>
    </row>
    <row r="466">
      <c r="A466" t="n">
        <v>460</v>
      </c>
      <c r="B466">
        <f>_DestuffedBits!C461</f>
        <v/>
      </c>
      <c r="C466">
        <f>G465</f>
        <v/>
      </c>
      <c r="D466">
        <f>_xlfn.BITAND(C466,1)</f>
        <v/>
      </c>
      <c r="E466">
        <f>_xlfn.BITRSHIFT(C466,1)</f>
        <v/>
      </c>
      <c r="F466">
        <f>_xlfn.BITXOR(D466,B466)</f>
        <v/>
      </c>
      <c r="G466">
        <f>IF(F466=1,_xlfn.BITXOR(E466,33800),E466)</f>
        <v/>
      </c>
    </row>
    <row r="467">
      <c r="A467" t="n">
        <v>461</v>
      </c>
      <c r="B467">
        <f>_DestuffedBits!C462</f>
        <v/>
      </c>
      <c r="C467">
        <f>G466</f>
        <v/>
      </c>
      <c r="D467">
        <f>_xlfn.BITAND(C467,1)</f>
        <v/>
      </c>
      <c r="E467">
        <f>_xlfn.BITRSHIFT(C467,1)</f>
        <v/>
      </c>
      <c r="F467">
        <f>_xlfn.BITXOR(D467,B467)</f>
        <v/>
      </c>
      <c r="G467">
        <f>IF(F467=1,_xlfn.BITXOR(E467,33800),E467)</f>
        <v/>
      </c>
    </row>
    <row r="468">
      <c r="A468" t="n">
        <v>462</v>
      </c>
      <c r="B468">
        <f>_DestuffedBits!C463</f>
        <v/>
      </c>
      <c r="C468">
        <f>G467</f>
        <v/>
      </c>
      <c r="D468">
        <f>_xlfn.BITAND(C468,1)</f>
        <v/>
      </c>
      <c r="E468">
        <f>_xlfn.BITRSHIFT(C468,1)</f>
        <v/>
      </c>
      <c r="F468">
        <f>_xlfn.BITXOR(D468,B468)</f>
        <v/>
      </c>
      <c r="G468">
        <f>IF(F468=1,_xlfn.BITXOR(E468,33800),E468)</f>
        <v/>
      </c>
    </row>
    <row r="469">
      <c r="A469" t="n">
        <v>463</v>
      </c>
      <c r="B469">
        <f>_DestuffedBits!C464</f>
        <v/>
      </c>
      <c r="C469">
        <f>G468</f>
        <v/>
      </c>
      <c r="D469">
        <f>_xlfn.BITAND(C469,1)</f>
        <v/>
      </c>
      <c r="E469">
        <f>_xlfn.BITRSHIFT(C469,1)</f>
        <v/>
      </c>
      <c r="F469">
        <f>_xlfn.BITXOR(D469,B469)</f>
        <v/>
      </c>
      <c r="G469">
        <f>IF(F469=1,_xlfn.BITXOR(E469,33800),E469)</f>
        <v/>
      </c>
    </row>
    <row r="470">
      <c r="A470" t="n">
        <v>464</v>
      </c>
      <c r="B470">
        <f>_DestuffedBits!C465</f>
        <v/>
      </c>
      <c r="C470">
        <f>G469</f>
        <v/>
      </c>
      <c r="D470">
        <f>_xlfn.BITAND(C470,1)</f>
        <v/>
      </c>
      <c r="E470">
        <f>_xlfn.BITRSHIFT(C470,1)</f>
        <v/>
      </c>
      <c r="F470">
        <f>_xlfn.BITXOR(D470,B470)</f>
        <v/>
      </c>
      <c r="G470">
        <f>IF(F470=1,_xlfn.BITXOR(E470,33800),E470)</f>
        <v/>
      </c>
    </row>
    <row r="471">
      <c r="A471" t="n">
        <v>465</v>
      </c>
      <c r="B471">
        <f>_DestuffedBits!C466</f>
        <v/>
      </c>
      <c r="C471">
        <f>G470</f>
        <v/>
      </c>
      <c r="D471">
        <f>_xlfn.BITAND(C471,1)</f>
        <v/>
      </c>
      <c r="E471">
        <f>_xlfn.BITRSHIFT(C471,1)</f>
        <v/>
      </c>
      <c r="F471">
        <f>_xlfn.BITXOR(D471,B471)</f>
        <v/>
      </c>
      <c r="G471">
        <f>IF(F471=1,_xlfn.BITXOR(E471,33800),E471)</f>
        <v/>
      </c>
    </row>
    <row r="472">
      <c r="A472" t="n">
        <v>466</v>
      </c>
      <c r="B472">
        <f>_DestuffedBits!C467</f>
        <v/>
      </c>
      <c r="C472">
        <f>G471</f>
        <v/>
      </c>
      <c r="D472">
        <f>_xlfn.BITAND(C472,1)</f>
        <v/>
      </c>
      <c r="E472">
        <f>_xlfn.BITRSHIFT(C472,1)</f>
        <v/>
      </c>
      <c r="F472">
        <f>_xlfn.BITXOR(D472,B472)</f>
        <v/>
      </c>
      <c r="G472">
        <f>IF(F472=1,_xlfn.BITXOR(E472,33800),E472)</f>
        <v/>
      </c>
    </row>
    <row r="473">
      <c r="A473" t="n">
        <v>467</v>
      </c>
      <c r="B473">
        <f>_DestuffedBits!C468</f>
        <v/>
      </c>
      <c r="C473">
        <f>G472</f>
        <v/>
      </c>
      <c r="D473">
        <f>_xlfn.BITAND(C473,1)</f>
        <v/>
      </c>
      <c r="E473">
        <f>_xlfn.BITRSHIFT(C473,1)</f>
        <v/>
      </c>
      <c r="F473">
        <f>_xlfn.BITXOR(D473,B473)</f>
        <v/>
      </c>
      <c r="G473">
        <f>IF(F473=1,_xlfn.BITXOR(E473,33800),E473)</f>
        <v/>
      </c>
    </row>
    <row r="474">
      <c r="A474" t="n">
        <v>468</v>
      </c>
      <c r="B474">
        <f>_DestuffedBits!C469</f>
        <v/>
      </c>
      <c r="C474">
        <f>G473</f>
        <v/>
      </c>
      <c r="D474">
        <f>_xlfn.BITAND(C474,1)</f>
        <v/>
      </c>
      <c r="E474">
        <f>_xlfn.BITRSHIFT(C474,1)</f>
        <v/>
      </c>
      <c r="F474">
        <f>_xlfn.BITXOR(D474,B474)</f>
        <v/>
      </c>
      <c r="G474">
        <f>IF(F474=1,_xlfn.BITXOR(E474,33800),E474)</f>
        <v/>
      </c>
    </row>
    <row r="475">
      <c r="A475" t="n">
        <v>469</v>
      </c>
      <c r="B475">
        <f>_DestuffedBits!C470</f>
        <v/>
      </c>
      <c r="C475">
        <f>G474</f>
        <v/>
      </c>
      <c r="D475">
        <f>_xlfn.BITAND(C475,1)</f>
        <v/>
      </c>
      <c r="E475">
        <f>_xlfn.BITRSHIFT(C475,1)</f>
        <v/>
      </c>
      <c r="F475">
        <f>_xlfn.BITXOR(D475,B475)</f>
        <v/>
      </c>
      <c r="G475">
        <f>IF(F475=1,_xlfn.BITXOR(E475,33800),E475)</f>
        <v/>
      </c>
    </row>
    <row r="476">
      <c r="A476" t="n">
        <v>470</v>
      </c>
      <c r="B476">
        <f>_DestuffedBits!C471</f>
        <v/>
      </c>
      <c r="C476">
        <f>G475</f>
        <v/>
      </c>
      <c r="D476">
        <f>_xlfn.BITAND(C476,1)</f>
        <v/>
      </c>
      <c r="E476">
        <f>_xlfn.BITRSHIFT(C476,1)</f>
        <v/>
      </c>
      <c r="F476">
        <f>_xlfn.BITXOR(D476,B476)</f>
        <v/>
      </c>
      <c r="G476">
        <f>IF(F476=1,_xlfn.BITXOR(E476,33800),E476)</f>
        <v/>
      </c>
    </row>
    <row r="477">
      <c r="A477" t="n">
        <v>471</v>
      </c>
      <c r="B477">
        <f>_DestuffedBits!C472</f>
        <v/>
      </c>
      <c r="C477">
        <f>G476</f>
        <v/>
      </c>
      <c r="D477">
        <f>_xlfn.BITAND(C477,1)</f>
        <v/>
      </c>
      <c r="E477">
        <f>_xlfn.BITRSHIFT(C477,1)</f>
        <v/>
      </c>
      <c r="F477">
        <f>_xlfn.BITXOR(D477,B477)</f>
        <v/>
      </c>
      <c r="G477">
        <f>IF(F477=1,_xlfn.BITXOR(E477,33800),E477)</f>
        <v/>
      </c>
    </row>
    <row r="478">
      <c r="A478" t="n">
        <v>472</v>
      </c>
      <c r="B478">
        <f>_DestuffedBits!C473</f>
        <v/>
      </c>
      <c r="C478">
        <f>G477</f>
        <v/>
      </c>
      <c r="D478">
        <f>_xlfn.BITAND(C478,1)</f>
        <v/>
      </c>
      <c r="E478">
        <f>_xlfn.BITRSHIFT(C478,1)</f>
        <v/>
      </c>
      <c r="F478">
        <f>_xlfn.BITXOR(D478,B478)</f>
        <v/>
      </c>
      <c r="G478">
        <f>IF(F478=1,_xlfn.BITXOR(E478,33800),E478)</f>
        <v/>
      </c>
    </row>
    <row r="479">
      <c r="A479" t="n">
        <v>473</v>
      </c>
      <c r="B479">
        <f>_DestuffedBits!C474</f>
        <v/>
      </c>
      <c r="C479">
        <f>G478</f>
        <v/>
      </c>
      <c r="D479">
        <f>_xlfn.BITAND(C479,1)</f>
        <v/>
      </c>
      <c r="E479">
        <f>_xlfn.BITRSHIFT(C479,1)</f>
        <v/>
      </c>
      <c r="F479">
        <f>_xlfn.BITXOR(D479,B479)</f>
        <v/>
      </c>
      <c r="G479">
        <f>IF(F479=1,_xlfn.BITXOR(E479,33800),E479)</f>
        <v/>
      </c>
    </row>
    <row r="480">
      <c r="A480" t="n">
        <v>474</v>
      </c>
      <c r="B480">
        <f>_DestuffedBits!C475</f>
        <v/>
      </c>
      <c r="C480">
        <f>G479</f>
        <v/>
      </c>
      <c r="D480">
        <f>_xlfn.BITAND(C480,1)</f>
        <v/>
      </c>
      <c r="E480">
        <f>_xlfn.BITRSHIFT(C480,1)</f>
        <v/>
      </c>
      <c r="F480">
        <f>_xlfn.BITXOR(D480,B480)</f>
        <v/>
      </c>
      <c r="G480">
        <f>IF(F480=1,_xlfn.BITXOR(E480,33800),E480)</f>
        <v/>
      </c>
    </row>
    <row r="481">
      <c r="A481" t="n">
        <v>475</v>
      </c>
      <c r="B481">
        <f>_DestuffedBits!C476</f>
        <v/>
      </c>
      <c r="C481">
        <f>G480</f>
        <v/>
      </c>
      <c r="D481">
        <f>_xlfn.BITAND(C481,1)</f>
        <v/>
      </c>
      <c r="E481">
        <f>_xlfn.BITRSHIFT(C481,1)</f>
        <v/>
      </c>
      <c r="F481">
        <f>_xlfn.BITXOR(D481,B481)</f>
        <v/>
      </c>
      <c r="G481">
        <f>IF(F481=1,_xlfn.BITXOR(E481,33800),E481)</f>
        <v/>
      </c>
    </row>
    <row r="482">
      <c r="A482" t="n">
        <v>476</v>
      </c>
      <c r="B482">
        <f>_DestuffedBits!C477</f>
        <v/>
      </c>
      <c r="C482">
        <f>G481</f>
        <v/>
      </c>
      <c r="D482">
        <f>_xlfn.BITAND(C482,1)</f>
        <v/>
      </c>
      <c r="E482">
        <f>_xlfn.BITRSHIFT(C482,1)</f>
        <v/>
      </c>
      <c r="F482">
        <f>_xlfn.BITXOR(D482,B482)</f>
        <v/>
      </c>
      <c r="G482">
        <f>IF(F482=1,_xlfn.BITXOR(E482,33800),E482)</f>
        <v/>
      </c>
    </row>
    <row r="483">
      <c r="A483" t="n">
        <v>477</v>
      </c>
      <c r="B483">
        <f>_DestuffedBits!C478</f>
        <v/>
      </c>
      <c r="C483">
        <f>G482</f>
        <v/>
      </c>
      <c r="D483">
        <f>_xlfn.BITAND(C483,1)</f>
        <v/>
      </c>
      <c r="E483">
        <f>_xlfn.BITRSHIFT(C483,1)</f>
        <v/>
      </c>
      <c r="F483">
        <f>_xlfn.BITXOR(D483,B483)</f>
        <v/>
      </c>
      <c r="G483">
        <f>IF(F483=1,_xlfn.BITXOR(E483,33800),E483)</f>
        <v/>
      </c>
    </row>
    <row r="484">
      <c r="A484" t="n">
        <v>478</v>
      </c>
      <c r="B484">
        <f>_DestuffedBits!C479</f>
        <v/>
      </c>
      <c r="C484">
        <f>G483</f>
        <v/>
      </c>
      <c r="D484">
        <f>_xlfn.BITAND(C484,1)</f>
        <v/>
      </c>
      <c r="E484">
        <f>_xlfn.BITRSHIFT(C484,1)</f>
        <v/>
      </c>
      <c r="F484">
        <f>_xlfn.BITXOR(D484,B484)</f>
        <v/>
      </c>
      <c r="G484">
        <f>IF(F484=1,_xlfn.BITXOR(E484,33800),E484)</f>
        <v/>
      </c>
    </row>
    <row r="485">
      <c r="A485" t="n">
        <v>479</v>
      </c>
      <c r="B485">
        <f>_DestuffedBits!C480</f>
        <v/>
      </c>
      <c r="C485">
        <f>G484</f>
        <v/>
      </c>
      <c r="D485">
        <f>_xlfn.BITAND(C485,1)</f>
        <v/>
      </c>
      <c r="E485">
        <f>_xlfn.BITRSHIFT(C485,1)</f>
        <v/>
      </c>
      <c r="F485">
        <f>_xlfn.BITXOR(D485,B485)</f>
        <v/>
      </c>
      <c r="G485">
        <f>IF(F485=1,_xlfn.BITXOR(E485,33800),E485)</f>
        <v/>
      </c>
    </row>
    <row r="486">
      <c r="A486" t="n">
        <v>480</v>
      </c>
      <c r="B486">
        <f>_DestuffedBits!C481</f>
        <v/>
      </c>
      <c r="C486">
        <f>G485</f>
        <v/>
      </c>
      <c r="D486">
        <f>_xlfn.BITAND(C486,1)</f>
        <v/>
      </c>
      <c r="E486">
        <f>_xlfn.BITRSHIFT(C486,1)</f>
        <v/>
      </c>
      <c r="F486">
        <f>_xlfn.BITXOR(D486,B486)</f>
        <v/>
      </c>
      <c r="G486">
        <f>IF(F486=1,_xlfn.BITXOR(E486,33800),E486)</f>
        <v/>
      </c>
    </row>
    <row r="487">
      <c r="A487" t="n">
        <v>481</v>
      </c>
      <c r="B487">
        <f>_DestuffedBits!C482</f>
        <v/>
      </c>
      <c r="C487">
        <f>G486</f>
        <v/>
      </c>
      <c r="D487">
        <f>_xlfn.BITAND(C487,1)</f>
        <v/>
      </c>
      <c r="E487">
        <f>_xlfn.BITRSHIFT(C487,1)</f>
        <v/>
      </c>
      <c r="F487">
        <f>_xlfn.BITXOR(D487,B487)</f>
        <v/>
      </c>
      <c r="G487">
        <f>IF(F487=1,_xlfn.BITXOR(E487,33800),E487)</f>
        <v/>
      </c>
    </row>
    <row r="488">
      <c r="A488" t="n">
        <v>482</v>
      </c>
      <c r="B488">
        <f>_DestuffedBits!C483</f>
        <v/>
      </c>
      <c r="C488">
        <f>G487</f>
        <v/>
      </c>
      <c r="D488">
        <f>_xlfn.BITAND(C488,1)</f>
        <v/>
      </c>
      <c r="E488">
        <f>_xlfn.BITRSHIFT(C488,1)</f>
        <v/>
      </c>
      <c r="F488">
        <f>_xlfn.BITXOR(D488,B488)</f>
        <v/>
      </c>
      <c r="G488">
        <f>IF(F488=1,_xlfn.BITXOR(E488,33800),E488)</f>
        <v/>
      </c>
    </row>
    <row r="489">
      <c r="A489" t="n">
        <v>483</v>
      </c>
      <c r="B489">
        <f>_DestuffedBits!C484</f>
        <v/>
      </c>
      <c r="C489">
        <f>G488</f>
        <v/>
      </c>
      <c r="D489">
        <f>_xlfn.BITAND(C489,1)</f>
        <v/>
      </c>
      <c r="E489">
        <f>_xlfn.BITRSHIFT(C489,1)</f>
        <v/>
      </c>
      <c r="F489">
        <f>_xlfn.BITXOR(D489,B489)</f>
        <v/>
      </c>
      <c r="G489">
        <f>IF(F489=1,_xlfn.BITXOR(E489,33800),E489)</f>
        <v/>
      </c>
    </row>
    <row r="490">
      <c r="A490" t="n">
        <v>484</v>
      </c>
      <c r="B490">
        <f>_DestuffedBits!C485</f>
        <v/>
      </c>
      <c r="C490">
        <f>G489</f>
        <v/>
      </c>
      <c r="D490">
        <f>_xlfn.BITAND(C490,1)</f>
        <v/>
      </c>
      <c r="E490">
        <f>_xlfn.BITRSHIFT(C490,1)</f>
        <v/>
      </c>
      <c r="F490">
        <f>_xlfn.BITXOR(D490,B490)</f>
        <v/>
      </c>
      <c r="G490">
        <f>IF(F490=1,_xlfn.BITXOR(E490,33800),E490)</f>
        <v/>
      </c>
    </row>
    <row r="491">
      <c r="A491" t="n">
        <v>485</v>
      </c>
      <c r="B491">
        <f>_DestuffedBits!C486</f>
        <v/>
      </c>
      <c r="C491">
        <f>G490</f>
        <v/>
      </c>
      <c r="D491">
        <f>_xlfn.BITAND(C491,1)</f>
        <v/>
      </c>
      <c r="E491">
        <f>_xlfn.BITRSHIFT(C491,1)</f>
        <v/>
      </c>
      <c r="F491">
        <f>_xlfn.BITXOR(D491,B491)</f>
        <v/>
      </c>
      <c r="G491">
        <f>IF(F491=1,_xlfn.BITXOR(E491,33800),E491)</f>
        <v/>
      </c>
    </row>
    <row r="492">
      <c r="A492" t="n">
        <v>486</v>
      </c>
      <c r="B492">
        <f>_DestuffedBits!C487</f>
        <v/>
      </c>
      <c r="C492">
        <f>G491</f>
        <v/>
      </c>
      <c r="D492">
        <f>_xlfn.BITAND(C492,1)</f>
        <v/>
      </c>
      <c r="E492">
        <f>_xlfn.BITRSHIFT(C492,1)</f>
        <v/>
      </c>
      <c r="F492">
        <f>_xlfn.BITXOR(D492,B492)</f>
        <v/>
      </c>
      <c r="G492">
        <f>IF(F492=1,_xlfn.BITXOR(E492,33800),E492)</f>
        <v/>
      </c>
    </row>
    <row r="493">
      <c r="A493" t="n">
        <v>487</v>
      </c>
      <c r="B493">
        <f>_DestuffedBits!C488</f>
        <v/>
      </c>
      <c r="C493">
        <f>G492</f>
        <v/>
      </c>
      <c r="D493">
        <f>_xlfn.BITAND(C493,1)</f>
        <v/>
      </c>
      <c r="E493">
        <f>_xlfn.BITRSHIFT(C493,1)</f>
        <v/>
      </c>
      <c r="F493">
        <f>_xlfn.BITXOR(D493,B493)</f>
        <v/>
      </c>
      <c r="G493">
        <f>IF(F493=1,_xlfn.BITXOR(E493,33800),E493)</f>
        <v/>
      </c>
    </row>
    <row r="494">
      <c r="A494" t="n">
        <v>488</v>
      </c>
      <c r="B494">
        <f>_DestuffedBits!C489</f>
        <v/>
      </c>
      <c r="C494">
        <f>G493</f>
        <v/>
      </c>
      <c r="D494">
        <f>_xlfn.BITAND(C494,1)</f>
        <v/>
      </c>
      <c r="E494">
        <f>_xlfn.BITRSHIFT(C494,1)</f>
        <v/>
      </c>
      <c r="F494">
        <f>_xlfn.BITXOR(D494,B494)</f>
        <v/>
      </c>
      <c r="G494">
        <f>IF(F494=1,_xlfn.BITXOR(E494,33800),E494)</f>
        <v/>
      </c>
    </row>
    <row r="495">
      <c r="A495" t="n">
        <v>489</v>
      </c>
      <c r="B495">
        <f>_DestuffedBits!C490</f>
        <v/>
      </c>
      <c r="C495">
        <f>G494</f>
        <v/>
      </c>
      <c r="D495">
        <f>_xlfn.BITAND(C495,1)</f>
        <v/>
      </c>
      <c r="E495">
        <f>_xlfn.BITRSHIFT(C495,1)</f>
        <v/>
      </c>
      <c r="F495">
        <f>_xlfn.BITXOR(D495,B495)</f>
        <v/>
      </c>
      <c r="G495">
        <f>IF(F495=1,_xlfn.BITXOR(E495,33800),E495)</f>
        <v/>
      </c>
    </row>
    <row r="496">
      <c r="A496" t="n">
        <v>490</v>
      </c>
      <c r="B496">
        <f>_DestuffedBits!C491</f>
        <v/>
      </c>
      <c r="C496">
        <f>G495</f>
        <v/>
      </c>
      <c r="D496">
        <f>_xlfn.BITAND(C496,1)</f>
        <v/>
      </c>
      <c r="E496">
        <f>_xlfn.BITRSHIFT(C496,1)</f>
        <v/>
      </c>
      <c r="F496">
        <f>_xlfn.BITXOR(D496,B496)</f>
        <v/>
      </c>
      <c r="G496">
        <f>IF(F496=1,_xlfn.BITXOR(E496,33800),E496)</f>
        <v/>
      </c>
    </row>
    <row r="497">
      <c r="A497" t="n">
        <v>491</v>
      </c>
      <c r="B497">
        <f>_DestuffedBits!C492</f>
        <v/>
      </c>
      <c r="C497">
        <f>G496</f>
        <v/>
      </c>
      <c r="D497">
        <f>_xlfn.BITAND(C497,1)</f>
        <v/>
      </c>
      <c r="E497">
        <f>_xlfn.BITRSHIFT(C497,1)</f>
        <v/>
      </c>
      <c r="F497">
        <f>_xlfn.BITXOR(D497,B497)</f>
        <v/>
      </c>
      <c r="G497">
        <f>IF(F497=1,_xlfn.BITXOR(E497,33800),E497)</f>
        <v/>
      </c>
    </row>
    <row r="498">
      <c r="A498" t="n">
        <v>492</v>
      </c>
      <c r="B498">
        <f>_DestuffedBits!C493</f>
        <v/>
      </c>
      <c r="C498">
        <f>G497</f>
        <v/>
      </c>
      <c r="D498">
        <f>_xlfn.BITAND(C498,1)</f>
        <v/>
      </c>
      <c r="E498">
        <f>_xlfn.BITRSHIFT(C498,1)</f>
        <v/>
      </c>
      <c r="F498">
        <f>_xlfn.BITXOR(D498,B498)</f>
        <v/>
      </c>
      <c r="G498">
        <f>IF(F498=1,_xlfn.BITXOR(E498,33800),E498)</f>
        <v/>
      </c>
    </row>
    <row r="499">
      <c r="A499" t="n">
        <v>493</v>
      </c>
      <c r="B499">
        <f>_DestuffedBits!C494</f>
        <v/>
      </c>
      <c r="C499">
        <f>G498</f>
        <v/>
      </c>
      <c r="D499">
        <f>_xlfn.BITAND(C499,1)</f>
        <v/>
      </c>
      <c r="E499">
        <f>_xlfn.BITRSHIFT(C499,1)</f>
        <v/>
      </c>
      <c r="F499">
        <f>_xlfn.BITXOR(D499,B499)</f>
        <v/>
      </c>
      <c r="G499">
        <f>IF(F499=1,_xlfn.BITXOR(E499,33800),E499)</f>
        <v/>
      </c>
    </row>
    <row r="500">
      <c r="A500" t="n">
        <v>494</v>
      </c>
      <c r="B500">
        <f>_DestuffedBits!C495</f>
        <v/>
      </c>
      <c r="C500">
        <f>G499</f>
        <v/>
      </c>
      <c r="D500">
        <f>_xlfn.BITAND(C500,1)</f>
        <v/>
      </c>
      <c r="E500">
        <f>_xlfn.BITRSHIFT(C500,1)</f>
        <v/>
      </c>
      <c r="F500">
        <f>_xlfn.BITXOR(D500,B500)</f>
        <v/>
      </c>
      <c r="G500">
        <f>IF(F500=1,_xlfn.BITXOR(E500,33800),E500)</f>
        <v/>
      </c>
    </row>
    <row r="501">
      <c r="A501" t="n">
        <v>495</v>
      </c>
      <c r="B501">
        <f>_DestuffedBits!C496</f>
        <v/>
      </c>
      <c r="C501">
        <f>G500</f>
        <v/>
      </c>
      <c r="D501">
        <f>_xlfn.BITAND(C501,1)</f>
        <v/>
      </c>
      <c r="E501">
        <f>_xlfn.BITRSHIFT(C501,1)</f>
        <v/>
      </c>
      <c r="F501">
        <f>_xlfn.BITXOR(D501,B501)</f>
        <v/>
      </c>
      <c r="G501">
        <f>IF(F501=1,_xlfn.BITXOR(E501,33800),E501)</f>
        <v/>
      </c>
    </row>
    <row r="502">
      <c r="A502" t="n">
        <v>496</v>
      </c>
      <c r="B502">
        <f>_DestuffedBits!C497</f>
        <v/>
      </c>
      <c r="C502">
        <f>G501</f>
        <v/>
      </c>
      <c r="D502">
        <f>_xlfn.BITAND(C502,1)</f>
        <v/>
      </c>
      <c r="E502">
        <f>_xlfn.BITRSHIFT(C502,1)</f>
        <v/>
      </c>
      <c r="F502">
        <f>_xlfn.BITXOR(D502,B502)</f>
        <v/>
      </c>
      <c r="G502">
        <f>IF(F502=1,_xlfn.BITXOR(E502,33800),E502)</f>
        <v/>
      </c>
    </row>
    <row r="503">
      <c r="A503" t="n">
        <v>497</v>
      </c>
      <c r="B503">
        <f>_DestuffedBits!C498</f>
        <v/>
      </c>
      <c r="C503">
        <f>G502</f>
        <v/>
      </c>
      <c r="D503">
        <f>_xlfn.BITAND(C503,1)</f>
        <v/>
      </c>
      <c r="E503">
        <f>_xlfn.BITRSHIFT(C503,1)</f>
        <v/>
      </c>
      <c r="F503">
        <f>_xlfn.BITXOR(D503,B503)</f>
        <v/>
      </c>
      <c r="G503">
        <f>IF(F503=1,_xlfn.BITXOR(E503,33800),E503)</f>
        <v/>
      </c>
    </row>
    <row r="504">
      <c r="A504" t="n">
        <v>498</v>
      </c>
      <c r="B504">
        <f>_DestuffedBits!C499</f>
        <v/>
      </c>
      <c r="C504">
        <f>G503</f>
        <v/>
      </c>
      <c r="D504">
        <f>_xlfn.BITAND(C504,1)</f>
        <v/>
      </c>
      <c r="E504">
        <f>_xlfn.BITRSHIFT(C504,1)</f>
        <v/>
      </c>
      <c r="F504">
        <f>_xlfn.BITXOR(D504,B504)</f>
        <v/>
      </c>
      <c r="G504">
        <f>IF(F504=1,_xlfn.BITXOR(E504,33800),E504)</f>
        <v/>
      </c>
    </row>
    <row r="505">
      <c r="A505" t="n">
        <v>499</v>
      </c>
      <c r="B505">
        <f>_DestuffedBits!C500</f>
        <v/>
      </c>
      <c r="C505">
        <f>G504</f>
        <v/>
      </c>
      <c r="D505">
        <f>_xlfn.BITAND(C505,1)</f>
        <v/>
      </c>
      <c r="E505">
        <f>_xlfn.BITRSHIFT(C505,1)</f>
        <v/>
      </c>
      <c r="F505">
        <f>_xlfn.BITXOR(D505,B505)</f>
        <v/>
      </c>
      <c r="G505">
        <f>IF(F505=1,_xlfn.BITXOR(E505,33800),E505)</f>
        <v/>
      </c>
    </row>
    <row r="506">
      <c r="A506" t="n">
        <v>500</v>
      </c>
      <c r="B506">
        <f>_DestuffedBits!C501</f>
        <v/>
      </c>
      <c r="C506">
        <f>G505</f>
        <v/>
      </c>
      <c r="D506">
        <f>_xlfn.BITAND(C506,1)</f>
        <v/>
      </c>
      <c r="E506">
        <f>_xlfn.BITRSHIFT(C506,1)</f>
        <v/>
      </c>
      <c r="F506">
        <f>_xlfn.BITXOR(D506,B506)</f>
        <v/>
      </c>
      <c r="G506">
        <f>IF(F506=1,_xlfn.BITXOR(E506,33800),E506)</f>
        <v/>
      </c>
    </row>
    <row r="507">
      <c r="A507" t="n">
        <v>501</v>
      </c>
      <c r="B507">
        <f>_DestuffedBits!C502</f>
        <v/>
      </c>
      <c r="C507">
        <f>G506</f>
        <v/>
      </c>
      <c r="D507">
        <f>_xlfn.BITAND(C507,1)</f>
        <v/>
      </c>
      <c r="E507">
        <f>_xlfn.BITRSHIFT(C507,1)</f>
        <v/>
      </c>
      <c r="F507">
        <f>_xlfn.BITXOR(D507,B507)</f>
        <v/>
      </c>
      <c r="G507">
        <f>IF(F507=1,_xlfn.BITXOR(E507,33800),E507)</f>
        <v/>
      </c>
    </row>
    <row r="508">
      <c r="A508" t="n">
        <v>502</v>
      </c>
      <c r="B508">
        <f>_DestuffedBits!C503</f>
        <v/>
      </c>
      <c r="C508">
        <f>G507</f>
        <v/>
      </c>
      <c r="D508">
        <f>_xlfn.BITAND(C508,1)</f>
        <v/>
      </c>
      <c r="E508">
        <f>_xlfn.BITRSHIFT(C508,1)</f>
        <v/>
      </c>
      <c r="F508">
        <f>_xlfn.BITXOR(D508,B508)</f>
        <v/>
      </c>
      <c r="G508">
        <f>IF(F508=1,_xlfn.BITXOR(E508,33800),E508)</f>
        <v/>
      </c>
    </row>
    <row r="509">
      <c r="A509" t="n">
        <v>503</v>
      </c>
      <c r="B509">
        <f>_DestuffedBits!C504</f>
        <v/>
      </c>
      <c r="C509">
        <f>G508</f>
        <v/>
      </c>
      <c r="D509">
        <f>_xlfn.BITAND(C509,1)</f>
        <v/>
      </c>
      <c r="E509">
        <f>_xlfn.BITRSHIFT(C509,1)</f>
        <v/>
      </c>
      <c r="F509">
        <f>_xlfn.BITXOR(D509,B509)</f>
        <v/>
      </c>
      <c r="G509">
        <f>IF(F509=1,_xlfn.BITXOR(E509,33800),E509)</f>
        <v/>
      </c>
    </row>
    <row r="510">
      <c r="A510" t="n">
        <v>504</v>
      </c>
      <c r="B510">
        <f>_DestuffedBits!C505</f>
        <v/>
      </c>
      <c r="C510">
        <f>G509</f>
        <v/>
      </c>
      <c r="D510">
        <f>_xlfn.BITAND(C510,1)</f>
        <v/>
      </c>
      <c r="E510">
        <f>_xlfn.BITRSHIFT(C510,1)</f>
        <v/>
      </c>
      <c r="F510">
        <f>_xlfn.BITXOR(D510,B510)</f>
        <v/>
      </c>
      <c r="G510">
        <f>IF(F510=1,_xlfn.BITXOR(E510,33800),E510)</f>
        <v/>
      </c>
    </row>
    <row r="511">
      <c r="A511" t="n">
        <v>505</v>
      </c>
      <c r="B511">
        <f>_DestuffedBits!C506</f>
        <v/>
      </c>
      <c r="C511">
        <f>G510</f>
        <v/>
      </c>
      <c r="D511">
        <f>_xlfn.BITAND(C511,1)</f>
        <v/>
      </c>
      <c r="E511">
        <f>_xlfn.BITRSHIFT(C511,1)</f>
        <v/>
      </c>
      <c r="F511">
        <f>_xlfn.BITXOR(D511,B511)</f>
        <v/>
      </c>
      <c r="G511">
        <f>IF(F511=1,_xlfn.BITXOR(E511,33800),E511)</f>
        <v/>
      </c>
    </row>
    <row r="512">
      <c r="A512" t="n">
        <v>506</v>
      </c>
      <c r="B512">
        <f>_DestuffedBits!C507</f>
        <v/>
      </c>
      <c r="C512">
        <f>G511</f>
        <v/>
      </c>
      <c r="D512">
        <f>_xlfn.BITAND(C512,1)</f>
        <v/>
      </c>
      <c r="E512">
        <f>_xlfn.BITRSHIFT(C512,1)</f>
        <v/>
      </c>
      <c r="F512">
        <f>_xlfn.BITXOR(D512,B512)</f>
        <v/>
      </c>
      <c r="G512">
        <f>IF(F512=1,_xlfn.BITXOR(E512,33800),E512)</f>
        <v/>
      </c>
    </row>
    <row r="513">
      <c r="A513" t="n">
        <v>507</v>
      </c>
      <c r="B513">
        <f>_DestuffedBits!C508</f>
        <v/>
      </c>
      <c r="C513">
        <f>G512</f>
        <v/>
      </c>
      <c r="D513">
        <f>_xlfn.BITAND(C513,1)</f>
        <v/>
      </c>
      <c r="E513">
        <f>_xlfn.BITRSHIFT(C513,1)</f>
        <v/>
      </c>
      <c r="F513">
        <f>_xlfn.BITXOR(D513,B513)</f>
        <v/>
      </c>
      <c r="G513">
        <f>IF(F513=1,_xlfn.BITXOR(E513,33800),E513)</f>
        <v/>
      </c>
    </row>
    <row r="514">
      <c r="A514" t="n">
        <v>508</v>
      </c>
      <c r="B514">
        <f>_DestuffedBits!C509</f>
        <v/>
      </c>
      <c r="C514">
        <f>G513</f>
        <v/>
      </c>
      <c r="D514">
        <f>_xlfn.BITAND(C514,1)</f>
        <v/>
      </c>
      <c r="E514">
        <f>_xlfn.BITRSHIFT(C514,1)</f>
        <v/>
      </c>
      <c r="F514">
        <f>_xlfn.BITXOR(D514,B514)</f>
        <v/>
      </c>
      <c r="G514">
        <f>IF(F514=1,_xlfn.BITXOR(E514,33800),E514)</f>
        <v/>
      </c>
    </row>
    <row r="515">
      <c r="A515" t="n">
        <v>509</v>
      </c>
      <c r="B515">
        <f>_DestuffedBits!C510</f>
        <v/>
      </c>
      <c r="C515">
        <f>G514</f>
        <v/>
      </c>
      <c r="D515">
        <f>_xlfn.BITAND(C515,1)</f>
        <v/>
      </c>
      <c r="E515">
        <f>_xlfn.BITRSHIFT(C515,1)</f>
        <v/>
      </c>
      <c r="F515">
        <f>_xlfn.BITXOR(D515,B515)</f>
        <v/>
      </c>
      <c r="G515">
        <f>IF(F515=1,_xlfn.BITXOR(E515,33800),E515)</f>
        <v/>
      </c>
    </row>
    <row r="516">
      <c r="A516" t="n">
        <v>510</v>
      </c>
      <c r="B516">
        <f>_DestuffedBits!C511</f>
        <v/>
      </c>
      <c r="C516">
        <f>G515</f>
        <v/>
      </c>
      <c r="D516">
        <f>_xlfn.BITAND(C516,1)</f>
        <v/>
      </c>
      <c r="E516">
        <f>_xlfn.BITRSHIFT(C516,1)</f>
        <v/>
      </c>
      <c r="F516">
        <f>_xlfn.BITXOR(D516,B516)</f>
        <v/>
      </c>
      <c r="G516">
        <f>IF(F516=1,_xlfn.BITXOR(E516,33800),E516)</f>
        <v/>
      </c>
    </row>
    <row r="517">
      <c r="A517" t="n">
        <v>511</v>
      </c>
      <c r="B517">
        <f>_DestuffedBits!C512</f>
        <v/>
      </c>
      <c r="C517">
        <f>G516</f>
        <v/>
      </c>
      <c r="D517">
        <f>_xlfn.BITAND(C517,1)</f>
        <v/>
      </c>
      <c r="E517">
        <f>_xlfn.BITRSHIFT(C517,1)</f>
        <v/>
      </c>
      <c r="F517">
        <f>_xlfn.BITXOR(D517,B517)</f>
        <v/>
      </c>
      <c r="G517">
        <f>IF(F517=1,_xlfn.BITXOR(E517,33800),E517)</f>
        <v/>
      </c>
    </row>
    <row r="518">
      <c r="A518" t="n">
        <v>512</v>
      </c>
      <c r="B518">
        <f>_DestuffedBits!C513</f>
        <v/>
      </c>
      <c r="C518">
        <f>G517</f>
        <v/>
      </c>
      <c r="D518">
        <f>_xlfn.BITAND(C518,1)</f>
        <v/>
      </c>
      <c r="E518">
        <f>_xlfn.BITRSHIFT(C518,1)</f>
        <v/>
      </c>
      <c r="F518">
        <f>_xlfn.BITXOR(D518,B518)</f>
        <v/>
      </c>
      <c r="G518">
        <f>IF(F518=1,_xlfn.BITXOR(E518,33800),E518)</f>
        <v/>
      </c>
    </row>
    <row r="519">
      <c r="A519" t="n">
        <v>513</v>
      </c>
      <c r="B519">
        <f>_DestuffedBits!C514</f>
        <v/>
      </c>
      <c r="C519">
        <f>G518</f>
        <v/>
      </c>
      <c r="D519">
        <f>_xlfn.BITAND(C519,1)</f>
        <v/>
      </c>
      <c r="E519">
        <f>_xlfn.BITRSHIFT(C519,1)</f>
        <v/>
      </c>
      <c r="F519">
        <f>_xlfn.BITXOR(D519,B519)</f>
        <v/>
      </c>
      <c r="G519">
        <f>IF(F519=1,_xlfn.BITXOR(E519,33800),E519)</f>
        <v/>
      </c>
    </row>
    <row r="520">
      <c r="A520" t="n">
        <v>514</v>
      </c>
      <c r="B520">
        <f>_DestuffedBits!C515</f>
        <v/>
      </c>
      <c r="C520">
        <f>G519</f>
        <v/>
      </c>
      <c r="D520">
        <f>_xlfn.BITAND(C520,1)</f>
        <v/>
      </c>
      <c r="E520">
        <f>_xlfn.BITRSHIFT(C520,1)</f>
        <v/>
      </c>
      <c r="F520">
        <f>_xlfn.BITXOR(D520,B520)</f>
        <v/>
      </c>
      <c r="G520">
        <f>IF(F520=1,_xlfn.BITXOR(E520,33800),E520)</f>
        <v/>
      </c>
    </row>
    <row r="521">
      <c r="A521" t="n">
        <v>515</v>
      </c>
      <c r="B521">
        <f>_DestuffedBits!C516</f>
        <v/>
      </c>
      <c r="C521">
        <f>G520</f>
        <v/>
      </c>
      <c r="D521">
        <f>_xlfn.BITAND(C521,1)</f>
        <v/>
      </c>
      <c r="E521">
        <f>_xlfn.BITRSHIFT(C521,1)</f>
        <v/>
      </c>
      <c r="F521">
        <f>_xlfn.BITXOR(D521,B521)</f>
        <v/>
      </c>
      <c r="G521">
        <f>IF(F521=1,_xlfn.BITXOR(E521,33800),E521)</f>
        <v/>
      </c>
    </row>
    <row r="522">
      <c r="A522" t="n">
        <v>516</v>
      </c>
      <c r="B522">
        <f>_DestuffedBits!C517</f>
        <v/>
      </c>
      <c r="C522">
        <f>G521</f>
        <v/>
      </c>
      <c r="D522">
        <f>_xlfn.BITAND(C522,1)</f>
        <v/>
      </c>
      <c r="E522">
        <f>_xlfn.BITRSHIFT(C522,1)</f>
        <v/>
      </c>
      <c r="F522">
        <f>_xlfn.BITXOR(D522,B522)</f>
        <v/>
      </c>
      <c r="G522">
        <f>IF(F522=1,_xlfn.BITXOR(E522,33800),E522)</f>
        <v/>
      </c>
    </row>
    <row r="523">
      <c r="A523" t="n">
        <v>517</v>
      </c>
      <c r="B523">
        <f>_DestuffedBits!C518</f>
        <v/>
      </c>
      <c r="C523">
        <f>G522</f>
        <v/>
      </c>
      <c r="D523">
        <f>_xlfn.BITAND(C523,1)</f>
        <v/>
      </c>
      <c r="E523">
        <f>_xlfn.BITRSHIFT(C523,1)</f>
        <v/>
      </c>
      <c r="F523">
        <f>_xlfn.BITXOR(D523,B523)</f>
        <v/>
      </c>
      <c r="G523">
        <f>IF(F523=1,_xlfn.BITXOR(E523,33800),E523)</f>
        <v/>
      </c>
    </row>
    <row r="524">
      <c r="A524" t="n">
        <v>518</v>
      </c>
      <c r="B524">
        <f>_DestuffedBits!C519</f>
        <v/>
      </c>
      <c r="C524">
        <f>G523</f>
        <v/>
      </c>
      <c r="D524">
        <f>_xlfn.BITAND(C524,1)</f>
        <v/>
      </c>
      <c r="E524">
        <f>_xlfn.BITRSHIFT(C524,1)</f>
        <v/>
      </c>
      <c r="F524">
        <f>_xlfn.BITXOR(D524,B524)</f>
        <v/>
      </c>
      <c r="G524">
        <f>IF(F524=1,_xlfn.BITXOR(E524,33800),E524)</f>
        <v/>
      </c>
    </row>
    <row r="525">
      <c r="A525" t="n">
        <v>519</v>
      </c>
      <c r="B525">
        <f>_DestuffedBits!C520</f>
        <v/>
      </c>
      <c r="C525">
        <f>G524</f>
        <v/>
      </c>
      <c r="D525">
        <f>_xlfn.BITAND(C525,1)</f>
        <v/>
      </c>
      <c r="E525">
        <f>_xlfn.BITRSHIFT(C525,1)</f>
        <v/>
      </c>
      <c r="F525">
        <f>_xlfn.BITXOR(D525,B525)</f>
        <v/>
      </c>
      <c r="G525">
        <f>IF(F525=1,_xlfn.BITXOR(E525,33800),E525)</f>
        <v/>
      </c>
    </row>
    <row r="526">
      <c r="A526" t="n">
        <v>520</v>
      </c>
      <c r="B526">
        <f>_DestuffedBits!C521</f>
        <v/>
      </c>
      <c r="C526">
        <f>G525</f>
        <v/>
      </c>
      <c r="D526">
        <f>_xlfn.BITAND(C526,1)</f>
        <v/>
      </c>
      <c r="E526">
        <f>_xlfn.BITRSHIFT(C526,1)</f>
        <v/>
      </c>
      <c r="F526">
        <f>_xlfn.BITXOR(D526,B526)</f>
        <v/>
      </c>
      <c r="G526">
        <f>IF(F526=1,_xlfn.BITXOR(E526,33800),E526)</f>
        <v/>
      </c>
    </row>
    <row r="527">
      <c r="A527" t="n">
        <v>521</v>
      </c>
      <c r="B527">
        <f>_DestuffedBits!C522</f>
        <v/>
      </c>
      <c r="C527">
        <f>G526</f>
        <v/>
      </c>
      <c r="D527">
        <f>_xlfn.BITAND(C527,1)</f>
        <v/>
      </c>
      <c r="E527">
        <f>_xlfn.BITRSHIFT(C527,1)</f>
        <v/>
      </c>
      <c r="F527">
        <f>_xlfn.BITXOR(D527,B527)</f>
        <v/>
      </c>
      <c r="G527">
        <f>IF(F527=1,_xlfn.BITXOR(E527,33800),E527)</f>
        <v/>
      </c>
    </row>
    <row r="528">
      <c r="A528" t="n">
        <v>522</v>
      </c>
      <c r="B528">
        <f>_DestuffedBits!C523</f>
        <v/>
      </c>
      <c r="C528">
        <f>G527</f>
        <v/>
      </c>
      <c r="D528">
        <f>_xlfn.BITAND(C528,1)</f>
        <v/>
      </c>
      <c r="E528">
        <f>_xlfn.BITRSHIFT(C528,1)</f>
        <v/>
      </c>
      <c r="F528">
        <f>_xlfn.BITXOR(D528,B528)</f>
        <v/>
      </c>
      <c r="G528">
        <f>IF(F528=1,_xlfn.BITXOR(E528,33800),E528)</f>
        <v/>
      </c>
    </row>
    <row r="529">
      <c r="A529" t="n">
        <v>523</v>
      </c>
      <c r="B529">
        <f>_DestuffedBits!C524</f>
        <v/>
      </c>
      <c r="C529">
        <f>G528</f>
        <v/>
      </c>
      <c r="D529">
        <f>_xlfn.BITAND(C529,1)</f>
        <v/>
      </c>
      <c r="E529">
        <f>_xlfn.BITRSHIFT(C529,1)</f>
        <v/>
      </c>
      <c r="F529">
        <f>_xlfn.BITXOR(D529,B529)</f>
        <v/>
      </c>
      <c r="G529">
        <f>IF(F529=1,_xlfn.BITXOR(E529,33800),E529)</f>
        <v/>
      </c>
    </row>
    <row r="530">
      <c r="A530" t="n">
        <v>524</v>
      </c>
      <c r="B530">
        <f>_DestuffedBits!C525</f>
        <v/>
      </c>
      <c r="C530">
        <f>G529</f>
        <v/>
      </c>
      <c r="D530">
        <f>_xlfn.BITAND(C530,1)</f>
        <v/>
      </c>
      <c r="E530">
        <f>_xlfn.BITRSHIFT(C530,1)</f>
        <v/>
      </c>
      <c r="F530">
        <f>_xlfn.BITXOR(D530,B530)</f>
        <v/>
      </c>
      <c r="G530">
        <f>IF(F530=1,_xlfn.BITXOR(E530,33800),E530)</f>
        <v/>
      </c>
    </row>
    <row r="531">
      <c r="A531" t="n">
        <v>525</v>
      </c>
      <c r="B531">
        <f>_DestuffedBits!C526</f>
        <v/>
      </c>
      <c r="C531">
        <f>G530</f>
        <v/>
      </c>
      <c r="D531">
        <f>_xlfn.BITAND(C531,1)</f>
        <v/>
      </c>
      <c r="E531">
        <f>_xlfn.BITRSHIFT(C531,1)</f>
        <v/>
      </c>
      <c r="F531">
        <f>_xlfn.BITXOR(D531,B531)</f>
        <v/>
      </c>
      <c r="G531">
        <f>IF(F531=1,_xlfn.BITXOR(E531,33800),E531)</f>
        <v/>
      </c>
    </row>
    <row r="532">
      <c r="A532" t="n">
        <v>526</v>
      </c>
      <c r="B532">
        <f>_DestuffedBits!C527</f>
        <v/>
      </c>
      <c r="C532">
        <f>G531</f>
        <v/>
      </c>
      <c r="D532">
        <f>_xlfn.BITAND(C532,1)</f>
        <v/>
      </c>
      <c r="E532">
        <f>_xlfn.BITRSHIFT(C532,1)</f>
        <v/>
      </c>
      <c r="F532">
        <f>_xlfn.BITXOR(D532,B532)</f>
        <v/>
      </c>
      <c r="G532">
        <f>IF(F532=1,_xlfn.BITXOR(E532,33800),E532)</f>
        <v/>
      </c>
    </row>
    <row r="533">
      <c r="A533" t="n">
        <v>527</v>
      </c>
      <c r="B533">
        <f>_DestuffedBits!C528</f>
        <v/>
      </c>
      <c r="C533">
        <f>G532</f>
        <v/>
      </c>
      <c r="D533">
        <f>_xlfn.BITAND(C533,1)</f>
        <v/>
      </c>
      <c r="E533">
        <f>_xlfn.BITRSHIFT(C533,1)</f>
        <v/>
      </c>
      <c r="F533">
        <f>_xlfn.BITXOR(D533,B533)</f>
        <v/>
      </c>
      <c r="G533">
        <f>IF(F533=1,_xlfn.BITXOR(E533,33800),E533)</f>
        <v/>
      </c>
    </row>
    <row r="534">
      <c r="A534" t="n">
        <v>528</v>
      </c>
      <c r="B534">
        <f>_DestuffedBits!C529</f>
        <v/>
      </c>
      <c r="C534">
        <f>G533</f>
        <v/>
      </c>
      <c r="D534">
        <f>_xlfn.BITAND(C534,1)</f>
        <v/>
      </c>
      <c r="E534">
        <f>_xlfn.BITRSHIFT(C534,1)</f>
        <v/>
      </c>
      <c r="F534">
        <f>_xlfn.BITXOR(D534,B534)</f>
        <v/>
      </c>
      <c r="G534">
        <f>IF(F534=1,_xlfn.BITXOR(E534,33800),E534)</f>
        <v/>
      </c>
    </row>
    <row r="535">
      <c r="A535" t="n">
        <v>529</v>
      </c>
      <c r="B535">
        <f>_DestuffedBits!C530</f>
        <v/>
      </c>
      <c r="C535">
        <f>G534</f>
        <v/>
      </c>
      <c r="D535">
        <f>_xlfn.BITAND(C535,1)</f>
        <v/>
      </c>
      <c r="E535">
        <f>_xlfn.BITRSHIFT(C535,1)</f>
        <v/>
      </c>
      <c r="F535">
        <f>_xlfn.BITXOR(D535,B535)</f>
        <v/>
      </c>
      <c r="G535">
        <f>IF(F535=1,_xlfn.BITXOR(E535,33800),E535)</f>
        <v/>
      </c>
    </row>
    <row r="536">
      <c r="A536" t="n">
        <v>530</v>
      </c>
      <c r="B536">
        <f>_DestuffedBits!C531</f>
        <v/>
      </c>
      <c r="C536">
        <f>G535</f>
        <v/>
      </c>
      <c r="D536">
        <f>_xlfn.BITAND(C536,1)</f>
        <v/>
      </c>
      <c r="E536">
        <f>_xlfn.BITRSHIFT(C536,1)</f>
        <v/>
      </c>
      <c r="F536">
        <f>_xlfn.BITXOR(D536,B536)</f>
        <v/>
      </c>
      <c r="G536">
        <f>IF(F536=1,_xlfn.BITXOR(E536,33800),E536)</f>
        <v/>
      </c>
    </row>
    <row r="537">
      <c r="A537" t="n">
        <v>531</v>
      </c>
      <c r="B537">
        <f>_DestuffedBits!C532</f>
        <v/>
      </c>
      <c r="C537">
        <f>G536</f>
        <v/>
      </c>
      <c r="D537">
        <f>_xlfn.BITAND(C537,1)</f>
        <v/>
      </c>
      <c r="E537">
        <f>_xlfn.BITRSHIFT(C537,1)</f>
        <v/>
      </c>
      <c r="F537">
        <f>_xlfn.BITXOR(D537,B537)</f>
        <v/>
      </c>
      <c r="G537">
        <f>IF(F537=1,_xlfn.BITXOR(E537,33800),E537)</f>
        <v/>
      </c>
    </row>
    <row r="538">
      <c r="A538" t="n">
        <v>532</v>
      </c>
      <c r="B538">
        <f>_DestuffedBits!C533</f>
        <v/>
      </c>
      <c r="C538">
        <f>G537</f>
        <v/>
      </c>
      <c r="D538">
        <f>_xlfn.BITAND(C538,1)</f>
        <v/>
      </c>
      <c r="E538">
        <f>_xlfn.BITRSHIFT(C538,1)</f>
        <v/>
      </c>
      <c r="F538">
        <f>_xlfn.BITXOR(D538,B538)</f>
        <v/>
      </c>
      <c r="G538">
        <f>IF(F538=1,_xlfn.BITXOR(E538,33800),E538)</f>
        <v/>
      </c>
    </row>
    <row r="539">
      <c r="A539" t="n">
        <v>533</v>
      </c>
      <c r="B539">
        <f>_DestuffedBits!C534</f>
        <v/>
      </c>
      <c r="C539">
        <f>G538</f>
        <v/>
      </c>
      <c r="D539">
        <f>_xlfn.BITAND(C539,1)</f>
        <v/>
      </c>
      <c r="E539">
        <f>_xlfn.BITRSHIFT(C539,1)</f>
        <v/>
      </c>
      <c r="F539">
        <f>_xlfn.BITXOR(D539,B539)</f>
        <v/>
      </c>
      <c r="G539">
        <f>IF(F539=1,_xlfn.BITXOR(E539,33800),E539)</f>
        <v/>
      </c>
    </row>
    <row r="540">
      <c r="A540" t="n">
        <v>534</v>
      </c>
      <c r="B540">
        <f>_DestuffedBits!C535</f>
        <v/>
      </c>
      <c r="C540">
        <f>G539</f>
        <v/>
      </c>
      <c r="D540">
        <f>_xlfn.BITAND(C540,1)</f>
        <v/>
      </c>
      <c r="E540">
        <f>_xlfn.BITRSHIFT(C540,1)</f>
        <v/>
      </c>
      <c r="F540">
        <f>_xlfn.BITXOR(D540,B540)</f>
        <v/>
      </c>
      <c r="G540">
        <f>IF(F540=1,_xlfn.BITXOR(E540,33800),E540)</f>
        <v/>
      </c>
    </row>
    <row r="541">
      <c r="A541" t="n">
        <v>535</v>
      </c>
      <c r="B541">
        <f>_DestuffedBits!C536</f>
        <v/>
      </c>
      <c r="C541">
        <f>G540</f>
        <v/>
      </c>
      <c r="D541">
        <f>_xlfn.BITAND(C541,1)</f>
        <v/>
      </c>
      <c r="E541">
        <f>_xlfn.BITRSHIFT(C541,1)</f>
        <v/>
      </c>
      <c r="F541">
        <f>_xlfn.BITXOR(D541,B541)</f>
        <v/>
      </c>
      <c r="G541">
        <f>IF(F541=1,_xlfn.BITXOR(E541,33800),E541)</f>
        <v/>
      </c>
    </row>
    <row r="542">
      <c r="A542" t="n">
        <v>536</v>
      </c>
      <c r="B542">
        <f>_DestuffedBits!C537</f>
        <v/>
      </c>
      <c r="C542">
        <f>G541</f>
        <v/>
      </c>
      <c r="D542">
        <f>_xlfn.BITAND(C542,1)</f>
        <v/>
      </c>
      <c r="E542">
        <f>_xlfn.BITRSHIFT(C542,1)</f>
        <v/>
      </c>
      <c r="F542">
        <f>_xlfn.BITXOR(D542,B542)</f>
        <v/>
      </c>
      <c r="G542">
        <f>IF(F542=1,_xlfn.BITXOR(E542,33800),E542)</f>
        <v/>
      </c>
    </row>
    <row r="543">
      <c r="A543" t="n">
        <v>537</v>
      </c>
      <c r="B543">
        <f>_DestuffedBits!C538</f>
        <v/>
      </c>
      <c r="C543">
        <f>G542</f>
        <v/>
      </c>
      <c r="D543">
        <f>_xlfn.BITAND(C543,1)</f>
        <v/>
      </c>
      <c r="E543">
        <f>_xlfn.BITRSHIFT(C543,1)</f>
        <v/>
      </c>
      <c r="F543">
        <f>_xlfn.BITXOR(D543,B543)</f>
        <v/>
      </c>
      <c r="G543">
        <f>IF(F543=1,_xlfn.BITXOR(E543,33800),E543)</f>
        <v/>
      </c>
    </row>
    <row r="544">
      <c r="A544" t="n">
        <v>538</v>
      </c>
      <c r="B544">
        <f>_DestuffedBits!C539</f>
        <v/>
      </c>
      <c r="C544">
        <f>G543</f>
        <v/>
      </c>
      <c r="D544">
        <f>_xlfn.BITAND(C544,1)</f>
        <v/>
      </c>
      <c r="E544">
        <f>_xlfn.BITRSHIFT(C544,1)</f>
        <v/>
      </c>
      <c r="F544">
        <f>_xlfn.BITXOR(D544,B544)</f>
        <v/>
      </c>
      <c r="G544">
        <f>IF(F544=1,_xlfn.BITXOR(E544,33800),E544)</f>
        <v/>
      </c>
    </row>
    <row r="545">
      <c r="A545" t="n">
        <v>539</v>
      </c>
      <c r="B545">
        <f>_DestuffedBits!C540</f>
        <v/>
      </c>
      <c r="C545">
        <f>G544</f>
        <v/>
      </c>
      <c r="D545">
        <f>_xlfn.BITAND(C545,1)</f>
        <v/>
      </c>
      <c r="E545">
        <f>_xlfn.BITRSHIFT(C545,1)</f>
        <v/>
      </c>
      <c r="F545">
        <f>_xlfn.BITXOR(D545,B545)</f>
        <v/>
      </c>
      <c r="G545">
        <f>IF(F545=1,_xlfn.BITXOR(E545,33800),E545)</f>
        <v/>
      </c>
    </row>
    <row r="546">
      <c r="A546" t="n">
        <v>540</v>
      </c>
      <c r="B546">
        <f>_DestuffedBits!C541</f>
        <v/>
      </c>
      <c r="C546">
        <f>G545</f>
        <v/>
      </c>
      <c r="D546">
        <f>_xlfn.BITAND(C546,1)</f>
        <v/>
      </c>
      <c r="E546">
        <f>_xlfn.BITRSHIFT(C546,1)</f>
        <v/>
      </c>
      <c r="F546">
        <f>_xlfn.BITXOR(D546,B546)</f>
        <v/>
      </c>
      <c r="G546">
        <f>IF(F546=1,_xlfn.BITXOR(E546,33800),E546)</f>
        <v/>
      </c>
    </row>
    <row r="547">
      <c r="A547" t="n">
        <v>541</v>
      </c>
      <c r="B547">
        <f>_DestuffedBits!C542</f>
        <v/>
      </c>
      <c r="C547">
        <f>G546</f>
        <v/>
      </c>
      <c r="D547">
        <f>_xlfn.BITAND(C547,1)</f>
        <v/>
      </c>
      <c r="E547">
        <f>_xlfn.BITRSHIFT(C547,1)</f>
        <v/>
      </c>
      <c r="F547">
        <f>_xlfn.BITXOR(D547,B547)</f>
        <v/>
      </c>
      <c r="G547">
        <f>IF(F547=1,_xlfn.BITXOR(E547,33800),E547)</f>
        <v/>
      </c>
    </row>
    <row r="548">
      <c r="A548" t="n">
        <v>542</v>
      </c>
      <c r="B548">
        <f>_DestuffedBits!C543</f>
        <v/>
      </c>
      <c r="C548">
        <f>G547</f>
        <v/>
      </c>
      <c r="D548">
        <f>_xlfn.BITAND(C548,1)</f>
        <v/>
      </c>
      <c r="E548">
        <f>_xlfn.BITRSHIFT(C548,1)</f>
        <v/>
      </c>
      <c r="F548">
        <f>_xlfn.BITXOR(D548,B548)</f>
        <v/>
      </c>
      <c r="G548">
        <f>IF(F548=1,_xlfn.BITXOR(E548,33800),E548)</f>
        <v/>
      </c>
    </row>
    <row r="549">
      <c r="A549" t="n">
        <v>543</v>
      </c>
      <c r="B549">
        <f>_DestuffedBits!C544</f>
        <v/>
      </c>
      <c r="C549">
        <f>G548</f>
        <v/>
      </c>
      <c r="D549">
        <f>_xlfn.BITAND(C549,1)</f>
        <v/>
      </c>
      <c r="E549">
        <f>_xlfn.BITRSHIFT(C549,1)</f>
        <v/>
      </c>
      <c r="F549">
        <f>_xlfn.BITXOR(D549,B549)</f>
        <v/>
      </c>
      <c r="G549">
        <f>IF(F549=1,_xlfn.BITXOR(E549,33800),E549)</f>
        <v/>
      </c>
    </row>
    <row r="550">
      <c r="A550" t="n">
        <v>544</v>
      </c>
      <c r="B550">
        <f>_DestuffedBits!C545</f>
        <v/>
      </c>
      <c r="C550">
        <f>G549</f>
        <v/>
      </c>
      <c r="D550">
        <f>_xlfn.BITAND(C550,1)</f>
        <v/>
      </c>
      <c r="E550">
        <f>_xlfn.BITRSHIFT(C550,1)</f>
        <v/>
      </c>
      <c r="F550">
        <f>_xlfn.BITXOR(D550,B550)</f>
        <v/>
      </c>
      <c r="G550">
        <f>IF(F550=1,_xlfn.BITXOR(E550,33800),E550)</f>
        <v/>
      </c>
    </row>
    <row r="551">
      <c r="A551" t="n">
        <v>545</v>
      </c>
      <c r="B551">
        <f>_DestuffedBits!C546</f>
        <v/>
      </c>
      <c r="C551">
        <f>G550</f>
        <v/>
      </c>
      <c r="D551">
        <f>_xlfn.BITAND(C551,1)</f>
        <v/>
      </c>
      <c r="E551">
        <f>_xlfn.BITRSHIFT(C551,1)</f>
        <v/>
      </c>
      <c r="F551">
        <f>_xlfn.BITXOR(D551,B551)</f>
        <v/>
      </c>
      <c r="G551">
        <f>IF(F551=1,_xlfn.BITXOR(E551,33800),E551)</f>
        <v/>
      </c>
    </row>
    <row r="552">
      <c r="A552" t="n">
        <v>546</v>
      </c>
      <c r="B552">
        <f>_DestuffedBits!C547</f>
        <v/>
      </c>
      <c r="C552">
        <f>G551</f>
        <v/>
      </c>
      <c r="D552">
        <f>_xlfn.BITAND(C552,1)</f>
        <v/>
      </c>
      <c r="E552">
        <f>_xlfn.BITRSHIFT(C552,1)</f>
        <v/>
      </c>
      <c r="F552">
        <f>_xlfn.BITXOR(D552,B552)</f>
        <v/>
      </c>
      <c r="G552">
        <f>IF(F552=1,_xlfn.BITXOR(E552,33800),E552)</f>
        <v/>
      </c>
    </row>
    <row r="553">
      <c r="A553" t="n">
        <v>547</v>
      </c>
      <c r="B553">
        <f>_DestuffedBits!C548</f>
        <v/>
      </c>
      <c r="C553">
        <f>G552</f>
        <v/>
      </c>
      <c r="D553">
        <f>_xlfn.BITAND(C553,1)</f>
        <v/>
      </c>
      <c r="E553">
        <f>_xlfn.BITRSHIFT(C553,1)</f>
        <v/>
      </c>
      <c r="F553">
        <f>_xlfn.BITXOR(D553,B553)</f>
        <v/>
      </c>
      <c r="G553">
        <f>IF(F553=1,_xlfn.BITXOR(E553,33800),E553)</f>
        <v/>
      </c>
    </row>
    <row r="554">
      <c r="A554" t="n">
        <v>548</v>
      </c>
      <c r="B554">
        <f>_DestuffedBits!C549</f>
        <v/>
      </c>
      <c r="C554">
        <f>G553</f>
        <v/>
      </c>
      <c r="D554">
        <f>_xlfn.BITAND(C554,1)</f>
        <v/>
      </c>
      <c r="E554">
        <f>_xlfn.BITRSHIFT(C554,1)</f>
        <v/>
      </c>
      <c r="F554">
        <f>_xlfn.BITXOR(D554,B554)</f>
        <v/>
      </c>
      <c r="G554">
        <f>IF(F554=1,_xlfn.BITXOR(E554,33800),E554)</f>
        <v/>
      </c>
    </row>
    <row r="555">
      <c r="A555" t="n">
        <v>549</v>
      </c>
      <c r="B555">
        <f>_DestuffedBits!C550</f>
        <v/>
      </c>
      <c r="C555">
        <f>G554</f>
        <v/>
      </c>
      <c r="D555">
        <f>_xlfn.BITAND(C555,1)</f>
        <v/>
      </c>
      <c r="E555">
        <f>_xlfn.BITRSHIFT(C555,1)</f>
        <v/>
      </c>
      <c r="F555">
        <f>_xlfn.BITXOR(D555,B555)</f>
        <v/>
      </c>
      <c r="G555">
        <f>IF(F555=1,_xlfn.BITXOR(E555,33800),E555)</f>
        <v/>
      </c>
    </row>
    <row r="556">
      <c r="A556" t="n">
        <v>550</v>
      </c>
      <c r="B556">
        <f>_DestuffedBits!C551</f>
        <v/>
      </c>
      <c r="C556">
        <f>G555</f>
        <v/>
      </c>
      <c r="D556">
        <f>_xlfn.BITAND(C556,1)</f>
        <v/>
      </c>
      <c r="E556">
        <f>_xlfn.BITRSHIFT(C556,1)</f>
        <v/>
      </c>
      <c r="F556">
        <f>_xlfn.BITXOR(D556,B556)</f>
        <v/>
      </c>
      <c r="G556">
        <f>IF(F556=1,_xlfn.BITXOR(E556,33800),E556)</f>
        <v/>
      </c>
    </row>
    <row r="557">
      <c r="A557" t="n">
        <v>551</v>
      </c>
      <c r="B557">
        <f>_DestuffedBits!C552</f>
        <v/>
      </c>
      <c r="C557">
        <f>G556</f>
        <v/>
      </c>
      <c r="D557">
        <f>_xlfn.BITAND(C557,1)</f>
        <v/>
      </c>
      <c r="E557">
        <f>_xlfn.BITRSHIFT(C557,1)</f>
        <v/>
      </c>
      <c r="F557">
        <f>_xlfn.BITXOR(D557,B557)</f>
        <v/>
      </c>
      <c r="G557">
        <f>IF(F557=1,_xlfn.BITXOR(E557,33800),E557)</f>
        <v/>
      </c>
    </row>
    <row r="558">
      <c r="A558" t="n">
        <v>552</v>
      </c>
      <c r="B558">
        <f>_DestuffedBits!C553</f>
        <v/>
      </c>
      <c r="C558">
        <f>G557</f>
        <v/>
      </c>
      <c r="D558">
        <f>_xlfn.BITAND(C558,1)</f>
        <v/>
      </c>
      <c r="E558">
        <f>_xlfn.BITRSHIFT(C558,1)</f>
        <v/>
      </c>
      <c r="F558">
        <f>_xlfn.BITXOR(D558,B558)</f>
        <v/>
      </c>
      <c r="G558">
        <f>IF(F558=1,_xlfn.BITXOR(E558,33800),E558)</f>
        <v/>
      </c>
    </row>
    <row r="559">
      <c r="A559" t="n">
        <v>553</v>
      </c>
      <c r="B559">
        <f>_DestuffedBits!C554</f>
        <v/>
      </c>
      <c r="C559">
        <f>G558</f>
        <v/>
      </c>
      <c r="D559">
        <f>_xlfn.BITAND(C559,1)</f>
        <v/>
      </c>
      <c r="E559">
        <f>_xlfn.BITRSHIFT(C559,1)</f>
        <v/>
      </c>
      <c r="F559">
        <f>_xlfn.BITXOR(D559,B559)</f>
        <v/>
      </c>
      <c r="G559">
        <f>IF(F559=1,_xlfn.BITXOR(E559,33800),E559)</f>
        <v/>
      </c>
    </row>
    <row r="560">
      <c r="A560" t="n">
        <v>554</v>
      </c>
      <c r="B560">
        <f>_DestuffedBits!C555</f>
        <v/>
      </c>
      <c r="C560">
        <f>G559</f>
        <v/>
      </c>
      <c r="D560">
        <f>_xlfn.BITAND(C560,1)</f>
        <v/>
      </c>
      <c r="E560">
        <f>_xlfn.BITRSHIFT(C560,1)</f>
        <v/>
      </c>
      <c r="F560">
        <f>_xlfn.BITXOR(D560,B560)</f>
        <v/>
      </c>
      <c r="G560">
        <f>IF(F560=1,_xlfn.BITXOR(E560,33800),E560)</f>
        <v/>
      </c>
    </row>
    <row r="561">
      <c r="A561" t="n">
        <v>555</v>
      </c>
      <c r="B561">
        <f>_DestuffedBits!C556</f>
        <v/>
      </c>
      <c r="C561">
        <f>G560</f>
        <v/>
      </c>
      <c r="D561">
        <f>_xlfn.BITAND(C561,1)</f>
        <v/>
      </c>
      <c r="E561">
        <f>_xlfn.BITRSHIFT(C561,1)</f>
        <v/>
      </c>
      <c r="F561">
        <f>_xlfn.BITXOR(D561,B561)</f>
        <v/>
      </c>
      <c r="G561">
        <f>IF(F561=1,_xlfn.BITXOR(E561,33800),E561)</f>
        <v/>
      </c>
    </row>
    <row r="562">
      <c r="A562" t="n">
        <v>556</v>
      </c>
      <c r="B562">
        <f>_DestuffedBits!C557</f>
        <v/>
      </c>
      <c r="C562">
        <f>G561</f>
        <v/>
      </c>
      <c r="D562">
        <f>_xlfn.BITAND(C562,1)</f>
        <v/>
      </c>
      <c r="E562">
        <f>_xlfn.BITRSHIFT(C562,1)</f>
        <v/>
      </c>
      <c r="F562">
        <f>_xlfn.BITXOR(D562,B562)</f>
        <v/>
      </c>
      <c r="G562">
        <f>IF(F562=1,_xlfn.BITXOR(E562,33800),E562)</f>
        <v/>
      </c>
    </row>
    <row r="563">
      <c r="A563" t="n">
        <v>557</v>
      </c>
      <c r="B563">
        <f>_DestuffedBits!C558</f>
        <v/>
      </c>
      <c r="C563">
        <f>G562</f>
        <v/>
      </c>
      <c r="D563">
        <f>_xlfn.BITAND(C563,1)</f>
        <v/>
      </c>
      <c r="E563">
        <f>_xlfn.BITRSHIFT(C563,1)</f>
        <v/>
      </c>
      <c r="F563">
        <f>_xlfn.BITXOR(D563,B563)</f>
        <v/>
      </c>
      <c r="G563">
        <f>IF(F563=1,_xlfn.BITXOR(E563,33800),E563)</f>
        <v/>
      </c>
    </row>
    <row r="564">
      <c r="A564" t="n">
        <v>558</v>
      </c>
      <c r="B564">
        <f>_DestuffedBits!C559</f>
        <v/>
      </c>
      <c r="C564">
        <f>G563</f>
        <v/>
      </c>
      <c r="D564">
        <f>_xlfn.BITAND(C564,1)</f>
        <v/>
      </c>
      <c r="E564">
        <f>_xlfn.BITRSHIFT(C564,1)</f>
        <v/>
      </c>
      <c r="F564">
        <f>_xlfn.BITXOR(D564,B564)</f>
        <v/>
      </c>
      <c r="G564">
        <f>IF(F564=1,_xlfn.BITXOR(E564,33800),E564)</f>
        <v/>
      </c>
    </row>
    <row r="565">
      <c r="A565" t="n">
        <v>559</v>
      </c>
      <c r="B565">
        <f>_DestuffedBits!C560</f>
        <v/>
      </c>
      <c r="C565">
        <f>G564</f>
        <v/>
      </c>
      <c r="D565">
        <f>_xlfn.BITAND(C565,1)</f>
        <v/>
      </c>
      <c r="E565">
        <f>_xlfn.BITRSHIFT(C565,1)</f>
        <v/>
      </c>
      <c r="F565">
        <f>_xlfn.BITXOR(D565,B565)</f>
        <v/>
      </c>
      <c r="G565">
        <f>IF(F565=1,_xlfn.BITXOR(E565,33800),E565)</f>
        <v/>
      </c>
    </row>
    <row r="566">
      <c r="A566" t="n">
        <v>560</v>
      </c>
      <c r="B566">
        <f>_DestuffedBits!C561</f>
        <v/>
      </c>
      <c r="C566">
        <f>G565</f>
        <v/>
      </c>
      <c r="D566">
        <f>_xlfn.BITAND(C566,1)</f>
        <v/>
      </c>
      <c r="E566">
        <f>_xlfn.BITRSHIFT(C566,1)</f>
        <v/>
      </c>
      <c r="F566">
        <f>_xlfn.BITXOR(D566,B566)</f>
        <v/>
      </c>
      <c r="G566">
        <f>IF(F566=1,_xlfn.BITXOR(E566,33800),E566)</f>
        <v/>
      </c>
    </row>
    <row r="567">
      <c r="A567" t="n">
        <v>561</v>
      </c>
      <c r="B567">
        <f>_DestuffedBits!C562</f>
        <v/>
      </c>
      <c r="C567">
        <f>G566</f>
        <v/>
      </c>
      <c r="D567">
        <f>_xlfn.BITAND(C567,1)</f>
        <v/>
      </c>
      <c r="E567">
        <f>_xlfn.BITRSHIFT(C567,1)</f>
        <v/>
      </c>
      <c r="F567">
        <f>_xlfn.BITXOR(D567,B567)</f>
        <v/>
      </c>
      <c r="G567">
        <f>IF(F567=1,_xlfn.BITXOR(E567,33800),E567)</f>
        <v/>
      </c>
    </row>
    <row r="568">
      <c r="A568" t="n">
        <v>562</v>
      </c>
      <c r="B568">
        <f>_DestuffedBits!C563</f>
        <v/>
      </c>
      <c r="C568">
        <f>G567</f>
        <v/>
      </c>
      <c r="D568">
        <f>_xlfn.BITAND(C568,1)</f>
        <v/>
      </c>
      <c r="E568">
        <f>_xlfn.BITRSHIFT(C568,1)</f>
        <v/>
      </c>
      <c r="F568">
        <f>_xlfn.BITXOR(D568,B568)</f>
        <v/>
      </c>
      <c r="G568">
        <f>IF(F568=1,_xlfn.BITXOR(E568,33800),E568)</f>
        <v/>
      </c>
    </row>
    <row r="569">
      <c r="A569" t="n">
        <v>563</v>
      </c>
      <c r="B569">
        <f>_DestuffedBits!C564</f>
        <v/>
      </c>
      <c r="C569">
        <f>G568</f>
        <v/>
      </c>
      <c r="D569">
        <f>_xlfn.BITAND(C569,1)</f>
        <v/>
      </c>
      <c r="E569">
        <f>_xlfn.BITRSHIFT(C569,1)</f>
        <v/>
      </c>
      <c r="F569">
        <f>_xlfn.BITXOR(D569,B569)</f>
        <v/>
      </c>
      <c r="G569">
        <f>IF(F569=1,_xlfn.BITXOR(E569,33800),E569)</f>
        <v/>
      </c>
    </row>
    <row r="570">
      <c r="A570" t="n">
        <v>564</v>
      </c>
      <c r="B570">
        <f>_DestuffedBits!C565</f>
        <v/>
      </c>
      <c r="C570">
        <f>G569</f>
        <v/>
      </c>
      <c r="D570">
        <f>_xlfn.BITAND(C570,1)</f>
        <v/>
      </c>
      <c r="E570">
        <f>_xlfn.BITRSHIFT(C570,1)</f>
        <v/>
      </c>
      <c r="F570">
        <f>_xlfn.BITXOR(D570,B570)</f>
        <v/>
      </c>
      <c r="G570">
        <f>IF(F570=1,_xlfn.BITXOR(E570,33800),E570)</f>
        <v/>
      </c>
    </row>
    <row r="571">
      <c r="A571" t="n">
        <v>565</v>
      </c>
      <c r="B571">
        <f>_DestuffedBits!C566</f>
        <v/>
      </c>
      <c r="C571">
        <f>G570</f>
        <v/>
      </c>
      <c r="D571">
        <f>_xlfn.BITAND(C571,1)</f>
        <v/>
      </c>
      <c r="E571">
        <f>_xlfn.BITRSHIFT(C571,1)</f>
        <v/>
      </c>
      <c r="F571">
        <f>_xlfn.BITXOR(D571,B571)</f>
        <v/>
      </c>
      <c r="G571">
        <f>IF(F571=1,_xlfn.BITXOR(E571,33800),E571)</f>
        <v/>
      </c>
    </row>
    <row r="572">
      <c r="A572" t="n">
        <v>566</v>
      </c>
      <c r="B572">
        <f>_DestuffedBits!C567</f>
        <v/>
      </c>
      <c r="C572">
        <f>G571</f>
        <v/>
      </c>
      <c r="D572">
        <f>_xlfn.BITAND(C572,1)</f>
        <v/>
      </c>
      <c r="E572">
        <f>_xlfn.BITRSHIFT(C572,1)</f>
        <v/>
      </c>
      <c r="F572">
        <f>_xlfn.BITXOR(D572,B572)</f>
        <v/>
      </c>
      <c r="G572">
        <f>IF(F572=1,_xlfn.BITXOR(E572,33800),E572)</f>
        <v/>
      </c>
    </row>
    <row r="573">
      <c r="A573" t="n">
        <v>567</v>
      </c>
      <c r="B573">
        <f>_DestuffedBits!C568</f>
        <v/>
      </c>
      <c r="C573">
        <f>G572</f>
        <v/>
      </c>
      <c r="D573">
        <f>_xlfn.BITAND(C573,1)</f>
        <v/>
      </c>
      <c r="E573">
        <f>_xlfn.BITRSHIFT(C573,1)</f>
        <v/>
      </c>
      <c r="F573">
        <f>_xlfn.BITXOR(D573,B573)</f>
        <v/>
      </c>
      <c r="G573">
        <f>IF(F573=1,_xlfn.BITXOR(E573,33800),E573)</f>
        <v/>
      </c>
    </row>
    <row r="574">
      <c r="A574" t="n">
        <v>568</v>
      </c>
      <c r="B574">
        <f>_DestuffedBits!C569</f>
        <v/>
      </c>
      <c r="C574">
        <f>G573</f>
        <v/>
      </c>
      <c r="D574">
        <f>_xlfn.BITAND(C574,1)</f>
        <v/>
      </c>
      <c r="E574">
        <f>_xlfn.BITRSHIFT(C574,1)</f>
        <v/>
      </c>
      <c r="F574">
        <f>_xlfn.BITXOR(D574,B574)</f>
        <v/>
      </c>
      <c r="G574">
        <f>IF(F574=1,_xlfn.BITXOR(E574,33800),E574)</f>
        <v/>
      </c>
    </row>
    <row r="575">
      <c r="A575" t="n">
        <v>569</v>
      </c>
      <c r="B575">
        <f>_DestuffedBits!C570</f>
        <v/>
      </c>
      <c r="C575">
        <f>G574</f>
        <v/>
      </c>
      <c r="D575">
        <f>_xlfn.BITAND(C575,1)</f>
        <v/>
      </c>
      <c r="E575">
        <f>_xlfn.BITRSHIFT(C575,1)</f>
        <v/>
      </c>
      <c r="F575">
        <f>_xlfn.BITXOR(D575,B575)</f>
        <v/>
      </c>
      <c r="G575">
        <f>IF(F575=1,_xlfn.BITXOR(E575,33800),E575)</f>
        <v/>
      </c>
    </row>
    <row r="576">
      <c r="A576" t="n">
        <v>570</v>
      </c>
      <c r="B576">
        <f>_DestuffedBits!C571</f>
        <v/>
      </c>
      <c r="C576">
        <f>G575</f>
        <v/>
      </c>
      <c r="D576">
        <f>_xlfn.BITAND(C576,1)</f>
        <v/>
      </c>
      <c r="E576">
        <f>_xlfn.BITRSHIFT(C576,1)</f>
        <v/>
      </c>
      <c r="F576">
        <f>_xlfn.BITXOR(D576,B576)</f>
        <v/>
      </c>
      <c r="G576">
        <f>IF(F576=1,_xlfn.BITXOR(E576,33800),E576)</f>
        <v/>
      </c>
    </row>
    <row r="577">
      <c r="A577" t="n">
        <v>571</v>
      </c>
      <c r="B577">
        <f>_DestuffedBits!C572</f>
        <v/>
      </c>
      <c r="C577">
        <f>G576</f>
        <v/>
      </c>
      <c r="D577">
        <f>_xlfn.BITAND(C577,1)</f>
        <v/>
      </c>
      <c r="E577">
        <f>_xlfn.BITRSHIFT(C577,1)</f>
        <v/>
      </c>
      <c r="F577">
        <f>_xlfn.BITXOR(D577,B577)</f>
        <v/>
      </c>
      <c r="G577">
        <f>IF(F577=1,_xlfn.BITXOR(E577,33800),E577)</f>
        <v/>
      </c>
    </row>
    <row r="578">
      <c r="A578" t="n">
        <v>572</v>
      </c>
      <c r="B578">
        <f>_DestuffedBits!C573</f>
        <v/>
      </c>
      <c r="C578">
        <f>G577</f>
        <v/>
      </c>
      <c r="D578">
        <f>_xlfn.BITAND(C578,1)</f>
        <v/>
      </c>
      <c r="E578">
        <f>_xlfn.BITRSHIFT(C578,1)</f>
        <v/>
      </c>
      <c r="F578">
        <f>_xlfn.BITXOR(D578,B578)</f>
        <v/>
      </c>
      <c r="G578">
        <f>IF(F578=1,_xlfn.BITXOR(E578,33800),E578)</f>
        <v/>
      </c>
    </row>
    <row r="579">
      <c r="A579" t="n">
        <v>573</v>
      </c>
      <c r="B579">
        <f>_DestuffedBits!C574</f>
        <v/>
      </c>
      <c r="C579">
        <f>G578</f>
        <v/>
      </c>
      <c r="D579">
        <f>_xlfn.BITAND(C579,1)</f>
        <v/>
      </c>
      <c r="E579">
        <f>_xlfn.BITRSHIFT(C579,1)</f>
        <v/>
      </c>
      <c r="F579">
        <f>_xlfn.BITXOR(D579,B579)</f>
        <v/>
      </c>
      <c r="G579">
        <f>IF(F579=1,_xlfn.BITXOR(E579,33800),E579)</f>
        <v/>
      </c>
    </row>
    <row r="580">
      <c r="A580" t="n">
        <v>574</v>
      </c>
      <c r="B580">
        <f>_DestuffedBits!C575</f>
        <v/>
      </c>
      <c r="C580">
        <f>G579</f>
        <v/>
      </c>
      <c r="D580">
        <f>_xlfn.BITAND(C580,1)</f>
        <v/>
      </c>
      <c r="E580">
        <f>_xlfn.BITRSHIFT(C580,1)</f>
        <v/>
      </c>
      <c r="F580">
        <f>_xlfn.BITXOR(D580,B580)</f>
        <v/>
      </c>
      <c r="G580">
        <f>IF(F580=1,_xlfn.BITXOR(E580,33800),E580)</f>
        <v/>
      </c>
    </row>
    <row r="581">
      <c r="A581" t="n">
        <v>575</v>
      </c>
      <c r="B581">
        <f>_DestuffedBits!C576</f>
        <v/>
      </c>
      <c r="C581">
        <f>G580</f>
        <v/>
      </c>
      <c r="D581">
        <f>_xlfn.BITAND(C581,1)</f>
        <v/>
      </c>
      <c r="E581">
        <f>_xlfn.BITRSHIFT(C581,1)</f>
        <v/>
      </c>
      <c r="F581">
        <f>_xlfn.BITXOR(D581,B581)</f>
        <v/>
      </c>
      <c r="G581">
        <f>IF(F581=1,_xlfn.BITXOR(E581,33800),E581)</f>
        <v/>
      </c>
    </row>
    <row r="582">
      <c r="A582" t="n">
        <v>576</v>
      </c>
      <c r="B582">
        <f>_DestuffedBits!C577</f>
        <v/>
      </c>
      <c r="C582">
        <f>G581</f>
        <v/>
      </c>
      <c r="D582">
        <f>_xlfn.BITAND(C582,1)</f>
        <v/>
      </c>
      <c r="E582">
        <f>_xlfn.BITRSHIFT(C582,1)</f>
        <v/>
      </c>
      <c r="F582">
        <f>_xlfn.BITXOR(D582,B582)</f>
        <v/>
      </c>
      <c r="G582">
        <f>IF(F582=1,_xlfn.BITXOR(E582,33800),E582)</f>
        <v/>
      </c>
    </row>
    <row r="583">
      <c r="A583" t="n">
        <v>577</v>
      </c>
      <c r="B583">
        <f>_DestuffedBits!C578</f>
        <v/>
      </c>
      <c r="C583">
        <f>G582</f>
        <v/>
      </c>
      <c r="D583">
        <f>_xlfn.BITAND(C583,1)</f>
        <v/>
      </c>
      <c r="E583">
        <f>_xlfn.BITRSHIFT(C583,1)</f>
        <v/>
      </c>
      <c r="F583">
        <f>_xlfn.BITXOR(D583,B583)</f>
        <v/>
      </c>
      <c r="G583">
        <f>IF(F583=1,_xlfn.BITXOR(E583,33800),E583)</f>
        <v/>
      </c>
    </row>
    <row r="584">
      <c r="A584" t="n">
        <v>578</v>
      </c>
      <c r="B584">
        <f>_DestuffedBits!C579</f>
        <v/>
      </c>
      <c r="C584">
        <f>G583</f>
        <v/>
      </c>
      <c r="D584">
        <f>_xlfn.BITAND(C584,1)</f>
        <v/>
      </c>
      <c r="E584">
        <f>_xlfn.BITRSHIFT(C584,1)</f>
        <v/>
      </c>
      <c r="F584">
        <f>_xlfn.BITXOR(D584,B584)</f>
        <v/>
      </c>
      <c r="G584">
        <f>IF(F584=1,_xlfn.BITXOR(E584,33800),E584)</f>
        <v/>
      </c>
    </row>
    <row r="585">
      <c r="A585" t="n">
        <v>579</v>
      </c>
      <c r="B585">
        <f>_DestuffedBits!C580</f>
        <v/>
      </c>
      <c r="C585">
        <f>G584</f>
        <v/>
      </c>
      <c r="D585">
        <f>_xlfn.BITAND(C585,1)</f>
        <v/>
      </c>
      <c r="E585">
        <f>_xlfn.BITRSHIFT(C585,1)</f>
        <v/>
      </c>
      <c r="F585">
        <f>_xlfn.BITXOR(D585,B585)</f>
        <v/>
      </c>
      <c r="G585">
        <f>IF(F585=1,_xlfn.BITXOR(E585,33800),E585)</f>
        <v/>
      </c>
    </row>
    <row r="586">
      <c r="A586" t="n">
        <v>580</v>
      </c>
      <c r="B586">
        <f>_DestuffedBits!C581</f>
        <v/>
      </c>
      <c r="C586">
        <f>G585</f>
        <v/>
      </c>
      <c r="D586">
        <f>_xlfn.BITAND(C586,1)</f>
        <v/>
      </c>
      <c r="E586">
        <f>_xlfn.BITRSHIFT(C586,1)</f>
        <v/>
      </c>
      <c r="F586">
        <f>_xlfn.BITXOR(D586,B586)</f>
        <v/>
      </c>
      <c r="G586">
        <f>IF(F586=1,_xlfn.BITXOR(E586,33800),E586)</f>
        <v/>
      </c>
    </row>
    <row r="587">
      <c r="A587" t="n">
        <v>581</v>
      </c>
      <c r="B587">
        <f>_DestuffedBits!C582</f>
        <v/>
      </c>
      <c r="C587">
        <f>G586</f>
        <v/>
      </c>
      <c r="D587">
        <f>_xlfn.BITAND(C587,1)</f>
        <v/>
      </c>
      <c r="E587">
        <f>_xlfn.BITRSHIFT(C587,1)</f>
        <v/>
      </c>
      <c r="F587">
        <f>_xlfn.BITXOR(D587,B587)</f>
        <v/>
      </c>
      <c r="G587">
        <f>IF(F587=1,_xlfn.BITXOR(E587,33800),E587)</f>
        <v/>
      </c>
    </row>
    <row r="588">
      <c r="A588" t="n">
        <v>582</v>
      </c>
      <c r="B588">
        <f>_DestuffedBits!C583</f>
        <v/>
      </c>
      <c r="C588">
        <f>G587</f>
        <v/>
      </c>
      <c r="D588">
        <f>_xlfn.BITAND(C588,1)</f>
        <v/>
      </c>
      <c r="E588">
        <f>_xlfn.BITRSHIFT(C588,1)</f>
        <v/>
      </c>
      <c r="F588">
        <f>_xlfn.BITXOR(D588,B588)</f>
        <v/>
      </c>
      <c r="G588">
        <f>IF(F588=1,_xlfn.BITXOR(E588,33800),E588)</f>
        <v/>
      </c>
    </row>
    <row r="589">
      <c r="A589" t="n">
        <v>583</v>
      </c>
      <c r="B589">
        <f>_DestuffedBits!C584</f>
        <v/>
      </c>
      <c r="C589">
        <f>G588</f>
        <v/>
      </c>
      <c r="D589">
        <f>_xlfn.BITAND(C589,1)</f>
        <v/>
      </c>
      <c r="E589">
        <f>_xlfn.BITRSHIFT(C589,1)</f>
        <v/>
      </c>
      <c r="F589">
        <f>_xlfn.BITXOR(D589,B589)</f>
        <v/>
      </c>
      <c r="G589">
        <f>IF(F589=1,_xlfn.BITXOR(E589,33800),E589)</f>
        <v/>
      </c>
    </row>
    <row r="590">
      <c r="A590" t="n">
        <v>584</v>
      </c>
      <c r="B590">
        <f>_DestuffedBits!C585</f>
        <v/>
      </c>
      <c r="C590">
        <f>G589</f>
        <v/>
      </c>
      <c r="D590">
        <f>_xlfn.BITAND(C590,1)</f>
        <v/>
      </c>
      <c r="E590">
        <f>_xlfn.BITRSHIFT(C590,1)</f>
        <v/>
      </c>
      <c r="F590">
        <f>_xlfn.BITXOR(D590,B590)</f>
        <v/>
      </c>
      <c r="G590">
        <f>IF(F590=1,_xlfn.BITXOR(E590,33800),E590)</f>
        <v/>
      </c>
    </row>
    <row r="591">
      <c r="A591" t="n">
        <v>585</v>
      </c>
      <c r="B591">
        <f>_DestuffedBits!C586</f>
        <v/>
      </c>
      <c r="C591">
        <f>G590</f>
        <v/>
      </c>
      <c r="D591">
        <f>_xlfn.BITAND(C591,1)</f>
        <v/>
      </c>
      <c r="E591">
        <f>_xlfn.BITRSHIFT(C591,1)</f>
        <v/>
      </c>
      <c r="F591">
        <f>_xlfn.BITXOR(D591,B591)</f>
        <v/>
      </c>
      <c r="G591">
        <f>IF(F591=1,_xlfn.BITXOR(E591,33800),E591)</f>
        <v/>
      </c>
    </row>
    <row r="592">
      <c r="A592" t="n">
        <v>586</v>
      </c>
      <c r="B592">
        <f>_DestuffedBits!C587</f>
        <v/>
      </c>
      <c r="C592">
        <f>G591</f>
        <v/>
      </c>
      <c r="D592">
        <f>_xlfn.BITAND(C592,1)</f>
        <v/>
      </c>
      <c r="E592">
        <f>_xlfn.BITRSHIFT(C592,1)</f>
        <v/>
      </c>
      <c r="F592">
        <f>_xlfn.BITXOR(D592,B592)</f>
        <v/>
      </c>
      <c r="G592">
        <f>IF(F592=1,_xlfn.BITXOR(E592,33800),E592)</f>
        <v/>
      </c>
    </row>
    <row r="593">
      <c r="A593" t="n">
        <v>587</v>
      </c>
      <c r="B593">
        <f>_DestuffedBits!C588</f>
        <v/>
      </c>
      <c r="C593">
        <f>G592</f>
        <v/>
      </c>
      <c r="D593">
        <f>_xlfn.BITAND(C593,1)</f>
        <v/>
      </c>
      <c r="E593">
        <f>_xlfn.BITRSHIFT(C593,1)</f>
        <v/>
      </c>
      <c r="F593">
        <f>_xlfn.BITXOR(D593,B593)</f>
        <v/>
      </c>
      <c r="G593">
        <f>IF(F593=1,_xlfn.BITXOR(E593,33800),E593)</f>
        <v/>
      </c>
    </row>
    <row r="594">
      <c r="A594" t="n">
        <v>588</v>
      </c>
      <c r="B594">
        <f>_DestuffedBits!C589</f>
        <v/>
      </c>
      <c r="C594">
        <f>G593</f>
        <v/>
      </c>
      <c r="D594">
        <f>_xlfn.BITAND(C594,1)</f>
        <v/>
      </c>
      <c r="E594">
        <f>_xlfn.BITRSHIFT(C594,1)</f>
        <v/>
      </c>
      <c r="F594">
        <f>_xlfn.BITXOR(D594,B594)</f>
        <v/>
      </c>
      <c r="G594">
        <f>IF(F594=1,_xlfn.BITXOR(E594,33800),E594)</f>
        <v/>
      </c>
    </row>
    <row r="595">
      <c r="A595" t="n">
        <v>589</v>
      </c>
      <c r="B595">
        <f>_DestuffedBits!C590</f>
        <v/>
      </c>
      <c r="C595">
        <f>G594</f>
        <v/>
      </c>
      <c r="D595">
        <f>_xlfn.BITAND(C595,1)</f>
        <v/>
      </c>
      <c r="E595">
        <f>_xlfn.BITRSHIFT(C595,1)</f>
        <v/>
      </c>
      <c r="F595">
        <f>_xlfn.BITXOR(D595,B595)</f>
        <v/>
      </c>
      <c r="G595">
        <f>IF(F595=1,_xlfn.BITXOR(E595,33800),E595)</f>
        <v/>
      </c>
    </row>
    <row r="596">
      <c r="A596" t="n">
        <v>590</v>
      </c>
      <c r="B596">
        <f>_DestuffedBits!C591</f>
        <v/>
      </c>
      <c r="C596">
        <f>G595</f>
        <v/>
      </c>
      <c r="D596">
        <f>_xlfn.BITAND(C596,1)</f>
        <v/>
      </c>
      <c r="E596">
        <f>_xlfn.BITRSHIFT(C596,1)</f>
        <v/>
      </c>
      <c r="F596">
        <f>_xlfn.BITXOR(D596,B596)</f>
        <v/>
      </c>
      <c r="G596">
        <f>IF(F596=1,_xlfn.BITXOR(E596,33800),E596)</f>
        <v/>
      </c>
    </row>
    <row r="597">
      <c r="A597" t="n">
        <v>591</v>
      </c>
      <c r="B597">
        <f>_DestuffedBits!C592</f>
        <v/>
      </c>
      <c r="C597">
        <f>G596</f>
        <v/>
      </c>
      <c r="D597">
        <f>_xlfn.BITAND(C597,1)</f>
        <v/>
      </c>
      <c r="E597">
        <f>_xlfn.BITRSHIFT(C597,1)</f>
        <v/>
      </c>
      <c r="F597">
        <f>_xlfn.BITXOR(D597,B597)</f>
        <v/>
      </c>
      <c r="G597">
        <f>IF(F597=1,_xlfn.BITXOR(E597,33800),E597)</f>
        <v/>
      </c>
    </row>
    <row r="598">
      <c r="A598" t="n">
        <v>592</v>
      </c>
      <c r="B598">
        <f>_DestuffedBits!C593</f>
        <v/>
      </c>
      <c r="C598">
        <f>G597</f>
        <v/>
      </c>
      <c r="D598">
        <f>_xlfn.BITAND(C598,1)</f>
        <v/>
      </c>
      <c r="E598">
        <f>_xlfn.BITRSHIFT(C598,1)</f>
        <v/>
      </c>
      <c r="F598">
        <f>_xlfn.BITXOR(D598,B598)</f>
        <v/>
      </c>
      <c r="G598">
        <f>IF(F598=1,_xlfn.BITXOR(E598,33800),E598)</f>
        <v/>
      </c>
    </row>
    <row r="599">
      <c r="A599" t="n">
        <v>593</v>
      </c>
      <c r="B599">
        <f>_DestuffedBits!C594</f>
        <v/>
      </c>
      <c r="C599">
        <f>G598</f>
        <v/>
      </c>
      <c r="D599">
        <f>_xlfn.BITAND(C599,1)</f>
        <v/>
      </c>
      <c r="E599">
        <f>_xlfn.BITRSHIFT(C599,1)</f>
        <v/>
      </c>
      <c r="F599">
        <f>_xlfn.BITXOR(D599,B599)</f>
        <v/>
      </c>
      <c r="G599">
        <f>IF(F599=1,_xlfn.BITXOR(E599,33800),E599)</f>
        <v/>
      </c>
    </row>
    <row r="600">
      <c r="A600" t="n">
        <v>594</v>
      </c>
      <c r="B600">
        <f>_DestuffedBits!C595</f>
        <v/>
      </c>
      <c r="C600">
        <f>G599</f>
        <v/>
      </c>
      <c r="D600">
        <f>_xlfn.BITAND(C600,1)</f>
        <v/>
      </c>
      <c r="E600">
        <f>_xlfn.BITRSHIFT(C600,1)</f>
        <v/>
      </c>
      <c r="F600">
        <f>_xlfn.BITXOR(D600,B600)</f>
        <v/>
      </c>
      <c r="G600">
        <f>IF(F600=1,_xlfn.BITXOR(E600,33800),E600)</f>
        <v/>
      </c>
    </row>
    <row r="601">
      <c r="A601" t="n">
        <v>595</v>
      </c>
      <c r="B601">
        <f>_DestuffedBits!C596</f>
        <v/>
      </c>
      <c r="C601">
        <f>G600</f>
        <v/>
      </c>
      <c r="D601">
        <f>_xlfn.BITAND(C601,1)</f>
        <v/>
      </c>
      <c r="E601">
        <f>_xlfn.BITRSHIFT(C601,1)</f>
        <v/>
      </c>
      <c r="F601">
        <f>_xlfn.BITXOR(D601,B601)</f>
        <v/>
      </c>
      <c r="G601">
        <f>IF(F601=1,_xlfn.BITXOR(E601,33800),E601)</f>
        <v/>
      </c>
    </row>
    <row r="602">
      <c r="A602" t="n">
        <v>596</v>
      </c>
      <c r="B602">
        <f>_DestuffedBits!C597</f>
        <v/>
      </c>
      <c r="C602">
        <f>G601</f>
        <v/>
      </c>
      <c r="D602">
        <f>_xlfn.BITAND(C602,1)</f>
        <v/>
      </c>
      <c r="E602">
        <f>_xlfn.BITRSHIFT(C602,1)</f>
        <v/>
      </c>
      <c r="F602">
        <f>_xlfn.BITXOR(D602,B602)</f>
        <v/>
      </c>
      <c r="G602">
        <f>IF(F602=1,_xlfn.BITXOR(E602,33800),E602)</f>
        <v/>
      </c>
    </row>
    <row r="603">
      <c r="A603" t="n">
        <v>597</v>
      </c>
      <c r="B603">
        <f>_DestuffedBits!C598</f>
        <v/>
      </c>
      <c r="C603">
        <f>G602</f>
        <v/>
      </c>
      <c r="D603">
        <f>_xlfn.BITAND(C603,1)</f>
        <v/>
      </c>
      <c r="E603">
        <f>_xlfn.BITRSHIFT(C603,1)</f>
        <v/>
      </c>
      <c r="F603">
        <f>_xlfn.BITXOR(D603,B603)</f>
        <v/>
      </c>
      <c r="G603">
        <f>IF(F603=1,_xlfn.BITXOR(E603,33800),E603)</f>
        <v/>
      </c>
    </row>
    <row r="604">
      <c r="A604" t="n">
        <v>598</v>
      </c>
      <c r="B604">
        <f>_DestuffedBits!C599</f>
        <v/>
      </c>
      <c r="C604">
        <f>G603</f>
        <v/>
      </c>
      <c r="D604">
        <f>_xlfn.BITAND(C604,1)</f>
        <v/>
      </c>
      <c r="E604">
        <f>_xlfn.BITRSHIFT(C604,1)</f>
        <v/>
      </c>
      <c r="F604">
        <f>_xlfn.BITXOR(D604,B604)</f>
        <v/>
      </c>
      <c r="G604">
        <f>IF(F604=1,_xlfn.BITXOR(E604,33800),E604)</f>
        <v/>
      </c>
    </row>
    <row r="605">
      <c r="A605" t="n">
        <v>599</v>
      </c>
      <c r="B605">
        <f>_DestuffedBits!C600</f>
        <v/>
      </c>
      <c r="C605">
        <f>G604</f>
        <v/>
      </c>
      <c r="D605">
        <f>_xlfn.BITAND(C605,1)</f>
        <v/>
      </c>
      <c r="E605">
        <f>_xlfn.BITRSHIFT(C605,1)</f>
        <v/>
      </c>
      <c r="F605">
        <f>_xlfn.BITXOR(D605,B605)</f>
        <v/>
      </c>
      <c r="G605">
        <f>IF(F605=1,_xlfn.BITXOR(E605,33800),E605)</f>
        <v/>
      </c>
    </row>
    <row r="606">
      <c r="A606" t="n">
        <v>600</v>
      </c>
      <c r="B606">
        <f>_DestuffedBits!C601</f>
        <v/>
      </c>
      <c r="C606">
        <f>G605</f>
        <v/>
      </c>
      <c r="D606">
        <f>_xlfn.BITAND(C606,1)</f>
        <v/>
      </c>
      <c r="E606">
        <f>_xlfn.BITRSHIFT(C606,1)</f>
        <v/>
      </c>
      <c r="F606">
        <f>_xlfn.BITXOR(D606,B606)</f>
        <v/>
      </c>
      <c r="G606">
        <f>IF(F606=1,_xlfn.BITXOR(E606,33800),E606)</f>
        <v/>
      </c>
    </row>
    <row r="607">
      <c r="A607" t="n">
        <v>601</v>
      </c>
      <c r="B607">
        <f>_DestuffedBits!C602</f>
        <v/>
      </c>
      <c r="C607">
        <f>G606</f>
        <v/>
      </c>
      <c r="D607">
        <f>_xlfn.BITAND(C607,1)</f>
        <v/>
      </c>
      <c r="E607">
        <f>_xlfn.BITRSHIFT(C607,1)</f>
        <v/>
      </c>
      <c r="F607">
        <f>_xlfn.BITXOR(D607,B607)</f>
        <v/>
      </c>
      <c r="G607">
        <f>IF(F607=1,_xlfn.BITXOR(E607,33800),E607)</f>
        <v/>
      </c>
    </row>
    <row r="608">
      <c r="A608" t="n">
        <v>602</v>
      </c>
      <c r="B608">
        <f>_DestuffedBits!C603</f>
        <v/>
      </c>
      <c r="C608">
        <f>G607</f>
        <v/>
      </c>
      <c r="D608">
        <f>_xlfn.BITAND(C608,1)</f>
        <v/>
      </c>
      <c r="E608">
        <f>_xlfn.BITRSHIFT(C608,1)</f>
        <v/>
      </c>
      <c r="F608">
        <f>_xlfn.BITXOR(D608,B608)</f>
        <v/>
      </c>
      <c r="G608">
        <f>IF(F608=1,_xlfn.BITXOR(E608,33800),E608)</f>
        <v/>
      </c>
    </row>
    <row r="609">
      <c r="A609" t="n">
        <v>603</v>
      </c>
      <c r="B609">
        <f>_DestuffedBits!C604</f>
        <v/>
      </c>
      <c r="C609">
        <f>G608</f>
        <v/>
      </c>
      <c r="D609">
        <f>_xlfn.BITAND(C609,1)</f>
        <v/>
      </c>
      <c r="E609">
        <f>_xlfn.BITRSHIFT(C609,1)</f>
        <v/>
      </c>
      <c r="F609">
        <f>_xlfn.BITXOR(D609,B609)</f>
        <v/>
      </c>
      <c r="G609">
        <f>IF(F609=1,_xlfn.BITXOR(E609,33800),E609)</f>
        <v/>
      </c>
    </row>
    <row r="610">
      <c r="A610" t="n">
        <v>604</v>
      </c>
      <c r="B610">
        <f>_DestuffedBits!C605</f>
        <v/>
      </c>
      <c r="C610">
        <f>G609</f>
        <v/>
      </c>
      <c r="D610">
        <f>_xlfn.BITAND(C610,1)</f>
        <v/>
      </c>
      <c r="E610">
        <f>_xlfn.BITRSHIFT(C610,1)</f>
        <v/>
      </c>
      <c r="F610">
        <f>_xlfn.BITXOR(D610,B610)</f>
        <v/>
      </c>
      <c r="G610">
        <f>IF(F610=1,_xlfn.BITXOR(E610,33800),E610)</f>
        <v/>
      </c>
    </row>
    <row r="611">
      <c r="A611" t="n">
        <v>605</v>
      </c>
      <c r="B611">
        <f>_DestuffedBits!C606</f>
        <v/>
      </c>
      <c r="C611">
        <f>G610</f>
        <v/>
      </c>
      <c r="D611">
        <f>_xlfn.BITAND(C611,1)</f>
        <v/>
      </c>
      <c r="E611">
        <f>_xlfn.BITRSHIFT(C611,1)</f>
        <v/>
      </c>
      <c r="F611">
        <f>_xlfn.BITXOR(D611,B611)</f>
        <v/>
      </c>
      <c r="G611">
        <f>IF(F611=1,_xlfn.BITXOR(E611,33800),E611)</f>
        <v/>
      </c>
    </row>
    <row r="612">
      <c r="A612" t="n">
        <v>606</v>
      </c>
      <c r="B612">
        <f>_DestuffedBits!C607</f>
        <v/>
      </c>
      <c r="C612">
        <f>G611</f>
        <v/>
      </c>
      <c r="D612">
        <f>_xlfn.BITAND(C612,1)</f>
        <v/>
      </c>
      <c r="E612">
        <f>_xlfn.BITRSHIFT(C612,1)</f>
        <v/>
      </c>
      <c r="F612">
        <f>_xlfn.BITXOR(D612,B612)</f>
        <v/>
      </c>
      <c r="G612">
        <f>IF(F612=1,_xlfn.BITXOR(E612,33800),E612)</f>
        <v/>
      </c>
    </row>
    <row r="613">
      <c r="A613" t="n">
        <v>607</v>
      </c>
      <c r="B613">
        <f>_DestuffedBits!C608</f>
        <v/>
      </c>
      <c r="C613">
        <f>G612</f>
        <v/>
      </c>
      <c r="D613">
        <f>_xlfn.BITAND(C613,1)</f>
        <v/>
      </c>
      <c r="E613">
        <f>_xlfn.BITRSHIFT(C613,1)</f>
        <v/>
      </c>
      <c r="F613">
        <f>_xlfn.BITXOR(D613,B613)</f>
        <v/>
      </c>
      <c r="G613">
        <f>IF(F613=1,_xlfn.BITXOR(E613,33800),E613)</f>
        <v/>
      </c>
    </row>
    <row r="614">
      <c r="A614" t="n">
        <v>608</v>
      </c>
      <c r="B614">
        <f>_DestuffedBits!C609</f>
        <v/>
      </c>
      <c r="C614">
        <f>G613</f>
        <v/>
      </c>
      <c r="D614">
        <f>_xlfn.BITAND(C614,1)</f>
        <v/>
      </c>
      <c r="E614">
        <f>_xlfn.BITRSHIFT(C614,1)</f>
        <v/>
      </c>
      <c r="F614">
        <f>_xlfn.BITXOR(D614,B614)</f>
        <v/>
      </c>
      <c r="G614">
        <f>IF(F614=1,_xlfn.BITXOR(E614,33800),E614)</f>
        <v/>
      </c>
    </row>
    <row r="615">
      <c r="A615" t="n">
        <v>609</v>
      </c>
      <c r="B615">
        <f>_DestuffedBits!C610</f>
        <v/>
      </c>
      <c r="C615">
        <f>G614</f>
        <v/>
      </c>
      <c r="D615">
        <f>_xlfn.BITAND(C615,1)</f>
        <v/>
      </c>
      <c r="E615">
        <f>_xlfn.BITRSHIFT(C615,1)</f>
        <v/>
      </c>
      <c r="F615">
        <f>_xlfn.BITXOR(D615,B615)</f>
        <v/>
      </c>
      <c r="G615">
        <f>IF(F615=1,_xlfn.BITXOR(E615,33800),E615)</f>
        <v/>
      </c>
    </row>
    <row r="616">
      <c r="A616" t="n">
        <v>610</v>
      </c>
      <c r="B616">
        <f>_DestuffedBits!C611</f>
        <v/>
      </c>
      <c r="C616">
        <f>G615</f>
        <v/>
      </c>
      <c r="D616">
        <f>_xlfn.BITAND(C616,1)</f>
        <v/>
      </c>
      <c r="E616">
        <f>_xlfn.BITRSHIFT(C616,1)</f>
        <v/>
      </c>
      <c r="F616">
        <f>_xlfn.BITXOR(D616,B616)</f>
        <v/>
      </c>
      <c r="G616">
        <f>IF(F616=1,_xlfn.BITXOR(E616,33800),E616)</f>
        <v/>
      </c>
    </row>
    <row r="617">
      <c r="A617" t="n">
        <v>611</v>
      </c>
      <c r="B617">
        <f>_DestuffedBits!C612</f>
        <v/>
      </c>
      <c r="C617">
        <f>G616</f>
        <v/>
      </c>
      <c r="D617">
        <f>_xlfn.BITAND(C617,1)</f>
        <v/>
      </c>
      <c r="E617">
        <f>_xlfn.BITRSHIFT(C617,1)</f>
        <v/>
      </c>
      <c r="F617">
        <f>_xlfn.BITXOR(D617,B617)</f>
        <v/>
      </c>
      <c r="G617">
        <f>IF(F617=1,_xlfn.BITXOR(E617,33800),E617)</f>
        <v/>
      </c>
    </row>
    <row r="618">
      <c r="A618" t="n">
        <v>612</v>
      </c>
      <c r="B618">
        <f>_DestuffedBits!C613</f>
        <v/>
      </c>
      <c r="C618">
        <f>G617</f>
        <v/>
      </c>
      <c r="D618">
        <f>_xlfn.BITAND(C618,1)</f>
        <v/>
      </c>
      <c r="E618">
        <f>_xlfn.BITRSHIFT(C618,1)</f>
        <v/>
      </c>
      <c r="F618">
        <f>_xlfn.BITXOR(D618,B618)</f>
        <v/>
      </c>
      <c r="G618">
        <f>IF(F618=1,_xlfn.BITXOR(E618,33800),E618)</f>
        <v/>
      </c>
    </row>
    <row r="619">
      <c r="A619" t="n">
        <v>613</v>
      </c>
      <c r="B619">
        <f>_DestuffedBits!C614</f>
        <v/>
      </c>
      <c r="C619">
        <f>G618</f>
        <v/>
      </c>
      <c r="D619">
        <f>_xlfn.BITAND(C619,1)</f>
        <v/>
      </c>
      <c r="E619">
        <f>_xlfn.BITRSHIFT(C619,1)</f>
        <v/>
      </c>
      <c r="F619">
        <f>_xlfn.BITXOR(D619,B619)</f>
        <v/>
      </c>
      <c r="G619">
        <f>IF(F619=1,_xlfn.BITXOR(E619,33800),E619)</f>
        <v/>
      </c>
    </row>
    <row r="620">
      <c r="A620" t="n">
        <v>614</v>
      </c>
      <c r="B620">
        <f>_DestuffedBits!C615</f>
        <v/>
      </c>
      <c r="C620">
        <f>G619</f>
        <v/>
      </c>
      <c r="D620">
        <f>_xlfn.BITAND(C620,1)</f>
        <v/>
      </c>
      <c r="E620">
        <f>_xlfn.BITRSHIFT(C620,1)</f>
        <v/>
      </c>
      <c r="F620">
        <f>_xlfn.BITXOR(D620,B620)</f>
        <v/>
      </c>
      <c r="G620">
        <f>IF(F620=1,_xlfn.BITXOR(E620,33800),E620)</f>
        <v/>
      </c>
    </row>
    <row r="621">
      <c r="A621" t="n">
        <v>615</v>
      </c>
      <c r="B621">
        <f>_DestuffedBits!C616</f>
        <v/>
      </c>
      <c r="C621">
        <f>G620</f>
        <v/>
      </c>
      <c r="D621">
        <f>_xlfn.BITAND(C621,1)</f>
        <v/>
      </c>
      <c r="E621">
        <f>_xlfn.BITRSHIFT(C621,1)</f>
        <v/>
      </c>
      <c r="F621">
        <f>_xlfn.BITXOR(D621,B621)</f>
        <v/>
      </c>
      <c r="G621">
        <f>IF(F621=1,_xlfn.BITXOR(E621,33800),E621)</f>
        <v/>
      </c>
    </row>
    <row r="622">
      <c r="A622" t="n">
        <v>616</v>
      </c>
      <c r="B622">
        <f>_DestuffedBits!C617</f>
        <v/>
      </c>
      <c r="C622">
        <f>G621</f>
        <v/>
      </c>
      <c r="D622">
        <f>_xlfn.BITAND(C622,1)</f>
        <v/>
      </c>
      <c r="E622">
        <f>_xlfn.BITRSHIFT(C622,1)</f>
        <v/>
      </c>
      <c r="F622">
        <f>_xlfn.BITXOR(D622,B622)</f>
        <v/>
      </c>
      <c r="G622">
        <f>IF(F622=1,_xlfn.BITXOR(E622,33800),E622)</f>
        <v/>
      </c>
    </row>
    <row r="623">
      <c r="A623" t="n">
        <v>617</v>
      </c>
      <c r="B623">
        <f>_DestuffedBits!C618</f>
        <v/>
      </c>
      <c r="C623">
        <f>G622</f>
        <v/>
      </c>
      <c r="D623">
        <f>_xlfn.BITAND(C623,1)</f>
        <v/>
      </c>
      <c r="E623">
        <f>_xlfn.BITRSHIFT(C623,1)</f>
        <v/>
      </c>
      <c r="F623">
        <f>_xlfn.BITXOR(D623,B623)</f>
        <v/>
      </c>
      <c r="G623">
        <f>IF(F623=1,_xlfn.BITXOR(E623,33800),E623)</f>
        <v/>
      </c>
    </row>
    <row r="624">
      <c r="A624" t="n">
        <v>618</v>
      </c>
      <c r="B624">
        <f>_DestuffedBits!C619</f>
        <v/>
      </c>
      <c r="C624">
        <f>G623</f>
        <v/>
      </c>
      <c r="D624">
        <f>_xlfn.BITAND(C624,1)</f>
        <v/>
      </c>
      <c r="E624">
        <f>_xlfn.BITRSHIFT(C624,1)</f>
        <v/>
      </c>
      <c r="F624">
        <f>_xlfn.BITXOR(D624,B624)</f>
        <v/>
      </c>
      <c r="G624">
        <f>IF(F624=1,_xlfn.BITXOR(E624,33800),E624)</f>
        <v/>
      </c>
    </row>
    <row r="625">
      <c r="A625" t="n">
        <v>619</v>
      </c>
      <c r="B625">
        <f>_DestuffedBits!C620</f>
        <v/>
      </c>
      <c r="C625">
        <f>G624</f>
        <v/>
      </c>
      <c r="D625">
        <f>_xlfn.BITAND(C625,1)</f>
        <v/>
      </c>
      <c r="E625">
        <f>_xlfn.BITRSHIFT(C625,1)</f>
        <v/>
      </c>
      <c r="F625">
        <f>_xlfn.BITXOR(D625,B625)</f>
        <v/>
      </c>
      <c r="G625">
        <f>IF(F625=1,_xlfn.BITXOR(E625,33800),E625)</f>
        <v/>
      </c>
    </row>
    <row r="626">
      <c r="A626" t="n">
        <v>620</v>
      </c>
      <c r="B626">
        <f>_DestuffedBits!C621</f>
        <v/>
      </c>
      <c r="C626">
        <f>G625</f>
        <v/>
      </c>
      <c r="D626">
        <f>_xlfn.BITAND(C626,1)</f>
        <v/>
      </c>
      <c r="E626">
        <f>_xlfn.BITRSHIFT(C626,1)</f>
        <v/>
      </c>
      <c r="F626">
        <f>_xlfn.BITXOR(D626,B626)</f>
        <v/>
      </c>
      <c r="G626">
        <f>IF(F626=1,_xlfn.BITXOR(E626,33800),E626)</f>
        <v/>
      </c>
    </row>
    <row r="627">
      <c r="A627" t="n">
        <v>621</v>
      </c>
      <c r="B627">
        <f>_DestuffedBits!C622</f>
        <v/>
      </c>
      <c r="C627">
        <f>G626</f>
        <v/>
      </c>
      <c r="D627">
        <f>_xlfn.BITAND(C627,1)</f>
        <v/>
      </c>
      <c r="E627">
        <f>_xlfn.BITRSHIFT(C627,1)</f>
        <v/>
      </c>
      <c r="F627">
        <f>_xlfn.BITXOR(D627,B627)</f>
        <v/>
      </c>
      <c r="G627">
        <f>IF(F627=1,_xlfn.BITXOR(E627,33800),E627)</f>
        <v/>
      </c>
    </row>
    <row r="628">
      <c r="A628" t="n">
        <v>622</v>
      </c>
      <c r="B628">
        <f>_DestuffedBits!C623</f>
        <v/>
      </c>
      <c r="C628">
        <f>G627</f>
        <v/>
      </c>
      <c r="D628">
        <f>_xlfn.BITAND(C628,1)</f>
        <v/>
      </c>
      <c r="E628">
        <f>_xlfn.BITRSHIFT(C628,1)</f>
        <v/>
      </c>
      <c r="F628">
        <f>_xlfn.BITXOR(D628,B628)</f>
        <v/>
      </c>
      <c r="G628">
        <f>IF(F628=1,_xlfn.BITXOR(E628,33800),E628)</f>
        <v/>
      </c>
    </row>
    <row r="629">
      <c r="A629" t="n">
        <v>623</v>
      </c>
      <c r="B629">
        <f>_DestuffedBits!C624</f>
        <v/>
      </c>
      <c r="C629">
        <f>G628</f>
        <v/>
      </c>
      <c r="D629">
        <f>_xlfn.BITAND(C629,1)</f>
        <v/>
      </c>
      <c r="E629">
        <f>_xlfn.BITRSHIFT(C629,1)</f>
        <v/>
      </c>
      <c r="F629">
        <f>_xlfn.BITXOR(D629,B629)</f>
        <v/>
      </c>
      <c r="G629">
        <f>IF(F629=1,_xlfn.BITXOR(E629,33800),E629)</f>
        <v/>
      </c>
    </row>
    <row r="630">
      <c r="A630" t="n">
        <v>624</v>
      </c>
      <c r="B630">
        <f>_DestuffedBits!C625</f>
        <v/>
      </c>
      <c r="C630">
        <f>G629</f>
        <v/>
      </c>
      <c r="D630">
        <f>_xlfn.BITAND(C630,1)</f>
        <v/>
      </c>
      <c r="E630">
        <f>_xlfn.BITRSHIFT(C630,1)</f>
        <v/>
      </c>
      <c r="F630">
        <f>_xlfn.BITXOR(D630,B630)</f>
        <v/>
      </c>
      <c r="G630">
        <f>IF(F630=1,_xlfn.BITXOR(E630,33800),E630)</f>
        <v/>
      </c>
    </row>
    <row r="631">
      <c r="A631" t="n">
        <v>625</v>
      </c>
      <c r="B631">
        <f>_DestuffedBits!C626</f>
        <v/>
      </c>
      <c r="C631">
        <f>G630</f>
        <v/>
      </c>
      <c r="D631">
        <f>_xlfn.BITAND(C631,1)</f>
        <v/>
      </c>
      <c r="E631">
        <f>_xlfn.BITRSHIFT(C631,1)</f>
        <v/>
      </c>
      <c r="F631">
        <f>_xlfn.BITXOR(D631,B631)</f>
        <v/>
      </c>
      <c r="G631">
        <f>IF(F631=1,_xlfn.BITXOR(E631,33800),E631)</f>
        <v/>
      </c>
    </row>
    <row r="632">
      <c r="A632" t="n">
        <v>626</v>
      </c>
      <c r="B632">
        <f>_DestuffedBits!C627</f>
        <v/>
      </c>
      <c r="C632">
        <f>G631</f>
        <v/>
      </c>
      <c r="D632">
        <f>_xlfn.BITAND(C632,1)</f>
        <v/>
      </c>
      <c r="E632">
        <f>_xlfn.BITRSHIFT(C632,1)</f>
        <v/>
      </c>
      <c r="F632">
        <f>_xlfn.BITXOR(D632,B632)</f>
        <v/>
      </c>
      <c r="G632">
        <f>IF(F632=1,_xlfn.BITXOR(E632,33800),E632)</f>
        <v/>
      </c>
    </row>
    <row r="633">
      <c r="A633" t="n">
        <v>627</v>
      </c>
      <c r="B633">
        <f>_DestuffedBits!C628</f>
        <v/>
      </c>
      <c r="C633">
        <f>G632</f>
        <v/>
      </c>
      <c r="D633">
        <f>_xlfn.BITAND(C633,1)</f>
        <v/>
      </c>
      <c r="E633">
        <f>_xlfn.BITRSHIFT(C633,1)</f>
        <v/>
      </c>
      <c r="F633">
        <f>_xlfn.BITXOR(D633,B633)</f>
        <v/>
      </c>
      <c r="G633">
        <f>IF(F633=1,_xlfn.BITXOR(E633,33800),E633)</f>
        <v/>
      </c>
    </row>
    <row r="634">
      <c r="A634" t="n">
        <v>628</v>
      </c>
      <c r="B634">
        <f>_DestuffedBits!C629</f>
        <v/>
      </c>
      <c r="C634">
        <f>G633</f>
        <v/>
      </c>
      <c r="D634">
        <f>_xlfn.BITAND(C634,1)</f>
        <v/>
      </c>
      <c r="E634">
        <f>_xlfn.BITRSHIFT(C634,1)</f>
        <v/>
      </c>
      <c r="F634">
        <f>_xlfn.BITXOR(D634,B634)</f>
        <v/>
      </c>
      <c r="G634">
        <f>IF(F634=1,_xlfn.BITXOR(E634,33800),E634)</f>
        <v/>
      </c>
    </row>
    <row r="635">
      <c r="A635" t="n">
        <v>629</v>
      </c>
      <c r="B635">
        <f>_DestuffedBits!C630</f>
        <v/>
      </c>
      <c r="C635">
        <f>G634</f>
        <v/>
      </c>
      <c r="D635">
        <f>_xlfn.BITAND(C635,1)</f>
        <v/>
      </c>
      <c r="E635">
        <f>_xlfn.BITRSHIFT(C635,1)</f>
        <v/>
      </c>
      <c r="F635">
        <f>_xlfn.BITXOR(D635,B635)</f>
        <v/>
      </c>
      <c r="G635">
        <f>IF(F635=1,_xlfn.BITXOR(E635,33800),E635)</f>
        <v/>
      </c>
    </row>
    <row r="636">
      <c r="A636" t="n">
        <v>630</v>
      </c>
      <c r="B636">
        <f>_DestuffedBits!C631</f>
        <v/>
      </c>
      <c r="C636">
        <f>G635</f>
        <v/>
      </c>
      <c r="D636">
        <f>_xlfn.BITAND(C636,1)</f>
        <v/>
      </c>
      <c r="E636">
        <f>_xlfn.BITRSHIFT(C636,1)</f>
        <v/>
      </c>
      <c r="F636">
        <f>_xlfn.BITXOR(D636,B636)</f>
        <v/>
      </c>
      <c r="G636">
        <f>IF(F636=1,_xlfn.BITXOR(E636,33800),E636)</f>
        <v/>
      </c>
    </row>
    <row r="637">
      <c r="A637" t="n">
        <v>631</v>
      </c>
      <c r="B637">
        <f>_DestuffedBits!C632</f>
        <v/>
      </c>
      <c r="C637">
        <f>G636</f>
        <v/>
      </c>
      <c r="D637">
        <f>_xlfn.BITAND(C637,1)</f>
        <v/>
      </c>
      <c r="E637">
        <f>_xlfn.BITRSHIFT(C637,1)</f>
        <v/>
      </c>
      <c r="F637">
        <f>_xlfn.BITXOR(D637,B637)</f>
        <v/>
      </c>
      <c r="G637">
        <f>IF(F637=1,_xlfn.BITXOR(E637,33800),E637)</f>
        <v/>
      </c>
    </row>
    <row r="638">
      <c r="A638" t="n">
        <v>632</v>
      </c>
      <c r="B638">
        <f>_DestuffedBits!C633</f>
        <v/>
      </c>
      <c r="C638">
        <f>G637</f>
        <v/>
      </c>
      <c r="D638">
        <f>_xlfn.BITAND(C638,1)</f>
        <v/>
      </c>
      <c r="E638">
        <f>_xlfn.BITRSHIFT(C638,1)</f>
        <v/>
      </c>
      <c r="F638">
        <f>_xlfn.BITXOR(D638,B638)</f>
        <v/>
      </c>
      <c r="G638">
        <f>IF(F638=1,_xlfn.BITXOR(E638,33800),E638)</f>
        <v/>
      </c>
    </row>
    <row r="639">
      <c r="A639" t="n">
        <v>633</v>
      </c>
      <c r="B639">
        <f>_DestuffedBits!C634</f>
        <v/>
      </c>
      <c r="C639">
        <f>G638</f>
        <v/>
      </c>
      <c r="D639">
        <f>_xlfn.BITAND(C639,1)</f>
        <v/>
      </c>
      <c r="E639">
        <f>_xlfn.BITRSHIFT(C639,1)</f>
        <v/>
      </c>
      <c r="F639">
        <f>_xlfn.BITXOR(D639,B639)</f>
        <v/>
      </c>
      <c r="G639">
        <f>IF(F639=1,_xlfn.BITXOR(E639,33800),E639)</f>
        <v/>
      </c>
    </row>
    <row r="640">
      <c r="A640" t="n">
        <v>634</v>
      </c>
      <c r="B640">
        <f>_DestuffedBits!C635</f>
        <v/>
      </c>
      <c r="C640">
        <f>G639</f>
        <v/>
      </c>
      <c r="D640">
        <f>_xlfn.BITAND(C640,1)</f>
        <v/>
      </c>
      <c r="E640">
        <f>_xlfn.BITRSHIFT(C640,1)</f>
        <v/>
      </c>
      <c r="F640">
        <f>_xlfn.BITXOR(D640,B640)</f>
        <v/>
      </c>
      <c r="G640">
        <f>IF(F640=1,_xlfn.BITXOR(E640,33800),E640)</f>
        <v/>
      </c>
    </row>
    <row r="641">
      <c r="A641" t="n">
        <v>635</v>
      </c>
      <c r="B641">
        <f>_DestuffedBits!C636</f>
        <v/>
      </c>
      <c r="C641">
        <f>G640</f>
        <v/>
      </c>
      <c r="D641">
        <f>_xlfn.BITAND(C641,1)</f>
        <v/>
      </c>
      <c r="E641">
        <f>_xlfn.BITRSHIFT(C641,1)</f>
        <v/>
      </c>
      <c r="F641">
        <f>_xlfn.BITXOR(D641,B641)</f>
        <v/>
      </c>
      <c r="G641">
        <f>IF(F641=1,_xlfn.BITXOR(E641,33800),E641)</f>
        <v/>
      </c>
    </row>
    <row r="642">
      <c r="A642" t="n">
        <v>636</v>
      </c>
      <c r="B642">
        <f>_DestuffedBits!C637</f>
        <v/>
      </c>
      <c r="C642">
        <f>G641</f>
        <v/>
      </c>
      <c r="D642">
        <f>_xlfn.BITAND(C642,1)</f>
        <v/>
      </c>
      <c r="E642">
        <f>_xlfn.BITRSHIFT(C642,1)</f>
        <v/>
      </c>
      <c r="F642">
        <f>_xlfn.BITXOR(D642,B642)</f>
        <v/>
      </c>
      <c r="G642">
        <f>IF(F642=1,_xlfn.BITXOR(E642,33800),E642)</f>
        <v/>
      </c>
    </row>
    <row r="643">
      <c r="A643" t="n">
        <v>637</v>
      </c>
      <c r="B643">
        <f>_DestuffedBits!C638</f>
        <v/>
      </c>
      <c r="C643">
        <f>G642</f>
        <v/>
      </c>
      <c r="D643">
        <f>_xlfn.BITAND(C643,1)</f>
        <v/>
      </c>
      <c r="E643">
        <f>_xlfn.BITRSHIFT(C643,1)</f>
        <v/>
      </c>
      <c r="F643">
        <f>_xlfn.BITXOR(D643,B643)</f>
        <v/>
      </c>
      <c r="G643">
        <f>IF(F643=1,_xlfn.BITXOR(E643,33800),E643)</f>
        <v/>
      </c>
    </row>
    <row r="644">
      <c r="A644" t="n">
        <v>638</v>
      </c>
      <c r="B644">
        <f>_DestuffedBits!C639</f>
        <v/>
      </c>
      <c r="C644">
        <f>G643</f>
        <v/>
      </c>
      <c r="D644">
        <f>_xlfn.BITAND(C644,1)</f>
        <v/>
      </c>
      <c r="E644">
        <f>_xlfn.BITRSHIFT(C644,1)</f>
        <v/>
      </c>
      <c r="F644">
        <f>_xlfn.BITXOR(D644,B644)</f>
        <v/>
      </c>
      <c r="G644">
        <f>IF(F644=1,_xlfn.BITXOR(E644,33800),E644)</f>
        <v/>
      </c>
    </row>
    <row r="645">
      <c r="A645" t="n">
        <v>639</v>
      </c>
      <c r="B645">
        <f>_DestuffedBits!C640</f>
        <v/>
      </c>
      <c r="C645">
        <f>G644</f>
        <v/>
      </c>
      <c r="D645">
        <f>_xlfn.BITAND(C645,1)</f>
        <v/>
      </c>
      <c r="E645">
        <f>_xlfn.BITRSHIFT(C645,1)</f>
        <v/>
      </c>
      <c r="F645">
        <f>_xlfn.BITXOR(D645,B645)</f>
        <v/>
      </c>
      <c r="G645">
        <f>IF(F645=1,_xlfn.BITXOR(E645,33800),E645)</f>
        <v/>
      </c>
    </row>
    <row r="646">
      <c r="A646" t="n">
        <v>640</v>
      </c>
      <c r="B646">
        <f>_DestuffedBits!C641</f>
        <v/>
      </c>
      <c r="C646">
        <f>G645</f>
        <v/>
      </c>
      <c r="D646">
        <f>_xlfn.BITAND(C646,1)</f>
        <v/>
      </c>
      <c r="E646">
        <f>_xlfn.BITRSHIFT(C646,1)</f>
        <v/>
      </c>
      <c r="F646">
        <f>_xlfn.BITXOR(D646,B646)</f>
        <v/>
      </c>
      <c r="G646">
        <f>IF(F646=1,_xlfn.BITXOR(E646,33800),E646)</f>
        <v/>
      </c>
    </row>
    <row r="647">
      <c r="A647" t="n">
        <v>641</v>
      </c>
      <c r="B647">
        <f>_DestuffedBits!C642</f>
        <v/>
      </c>
      <c r="C647">
        <f>G646</f>
        <v/>
      </c>
      <c r="D647">
        <f>_xlfn.BITAND(C647,1)</f>
        <v/>
      </c>
      <c r="E647">
        <f>_xlfn.BITRSHIFT(C647,1)</f>
        <v/>
      </c>
      <c r="F647">
        <f>_xlfn.BITXOR(D647,B647)</f>
        <v/>
      </c>
      <c r="G647">
        <f>IF(F647=1,_xlfn.BITXOR(E647,33800),E647)</f>
        <v/>
      </c>
    </row>
    <row r="648">
      <c r="A648" t="n">
        <v>642</v>
      </c>
      <c r="B648">
        <f>_DestuffedBits!C643</f>
        <v/>
      </c>
      <c r="C648">
        <f>G647</f>
        <v/>
      </c>
      <c r="D648">
        <f>_xlfn.BITAND(C648,1)</f>
        <v/>
      </c>
      <c r="E648">
        <f>_xlfn.BITRSHIFT(C648,1)</f>
        <v/>
      </c>
      <c r="F648">
        <f>_xlfn.BITXOR(D648,B648)</f>
        <v/>
      </c>
      <c r="G648">
        <f>IF(F648=1,_xlfn.BITXOR(E648,33800),E648)</f>
        <v/>
      </c>
    </row>
    <row r="649">
      <c r="A649" t="n">
        <v>643</v>
      </c>
      <c r="B649">
        <f>_DestuffedBits!C644</f>
        <v/>
      </c>
      <c r="C649">
        <f>G648</f>
        <v/>
      </c>
      <c r="D649">
        <f>_xlfn.BITAND(C649,1)</f>
        <v/>
      </c>
      <c r="E649">
        <f>_xlfn.BITRSHIFT(C649,1)</f>
        <v/>
      </c>
      <c r="F649">
        <f>_xlfn.BITXOR(D649,B649)</f>
        <v/>
      </c>
      <c r="G649">
        <f>IF(F649=1,_xlfn.BITXOR(E649,33800),E649)</f>
        <v/>
      </c>
    </row>
    <row r="650">
      <c r="A650" t="n">
        <v>644</v>
      </c>
      <c r="B650">
        <f>_DestuffedBits!C645</f>
        <v/>
      </c>
      <c r="C650">
        <f>G649</f>
        <v/>
      </c>
      <c r="D650">
        <f>_xlfn.BITAND(C650,1)</f>
        <v/>
      </c>
      <c r="E650">
        <f>_xlfn.BITRSHIFT(C650,1)</f>
        <v/>
      </c>
      <c r="F650">
        <f>_xlfn.BITXOR(D650,B650)</f>
        <v/>
      </c>
      <c r="G650">
        <f>IF(F650=1,_xlfn.BITXOR(E650,33800),E650)</f>
        <v/>
      </c>
    </row>
    <row r="651">
      <c r="A651" t="n">
        <v>645</v>
      </c>
      <c r="B651">
        <f>_DestuffedBits!C646</f>
        <v/>
      </c>
      <c r="C651">
        <f>G650</f>
        <v/>
      </c>
      <c r="D651">
        <f>_xlfn.BITAND(C651,1)</f>
        <v/>
      </c>
      <c r="E651">
        <f>_xlfn.BITRSHIFT(C651,1)</f>
        <v/>
      </c>
      <c r="F651">
        <f>_xlfn.BITXOR(D651,B651)</f>
        <v/>
      </c>
      <c r="G651">
        <f>IF(F651=1,_xlfn.BITXOR(E651,33800),E651)</f>
        <v/>
      </c>
    </row>
    <row r="652">
      <c r="A652" t="n">
        <v>646</v>
      </c>
      <c r="B652">
        <f>_DestuffedBits!C647</f>
        <v/>
      </c>
      <c r="C652">
        <f>G651</f>
        <v/>
      </c>
      <c r="D652">
        <f>_xlfn.BITAND(C652,1)</f>
        <v/>
      </c>
      <c r="E652">
        <f>_xlfn.BITRSHIFT(C652,1)</f>
        <v/>
      </c>
      <c r="F652">
        <f>_xlfn.BITXOR(D652,B652)</f>
        <v/>
      </c>
      <c r="G652">
        <f>IF(F652=1,_xlfn.BITXOR(E652,33800),E652)</f>
        <v/>
      </c>
    </row>
    <row r="653">
      <c r="A653" t="n">
        <v>647</v>
      </c>
      <c r="B653">
        <f>_DestuffedBits!C648</f>
        <v/>
      </c>
      <c r="C653">
        <f>G652</f>
        <v/>
      </c>
      <c r="D653">
        <f>_xlfn.BITAND(C653,1)</f>
        <v/>
      </c>
      <c r="E653">
        <f>_xlfn.BITRSHIFT(C653,1)</f>
        <v/>
      </c>
      <c r="F653">
        <f>_xlfn.BITXOR(D653,B653)</f>
        <v/>
      </c>
      <c r="G653">
        <f>IF(F653=1,_xlfn.BITXOR(E653,33800),E653)</f>
        <v/>
      </c>
    </row>
    <row r="654">
      <c r="A654" t="n">
        <v>648</v>
      </c>
      <c r="B654">
        <f>_DestuffedBits!C649</f>
        <v/>
      </c>
      <c r="C654">
        <f>G653</f>
        <v/>
      </c>
      <c r="D654">
        <f>_xlfn.BITAND(C654,1)</f>
        <v/>
      </c>
      <c r="E654">
        <f>_xlfn.BITRSHIFT(C654,1)</f>
        <v/>
      </c>
      <c r="F654">
        <f>_xlfn.BITXOR(D654,B654)</f>
        <v/>
      </c>
      <c r="G654">
        <f>IF(F654=1,_xlfn.BITXOR(E654,33800),E654)</f>
        <v/>
      </c>
    </row>
    <row r="655">
      <c r="A655" t="n">
        <v>649</v>
      </c>
      <c r="B655">
        <f>_DestuffedBits!C650</f>
        <v/>
      </c>
      <c r="C655">
        <f>G654</f>
        <v/>
      </c>
      <c r="D655">
        <f>_xlfn.BITAND(C655,1)</f>
        <v/>
      </c>
      <c r="E655">
        <f>_xlfn.BITRSHIFT(C655,1)</f>
        <v/>
      </c>
      <c r="F655">
        <f>_xlfn.BITXOR(D655,B655)</f>
        <v/>
      </c>
      <c r="G655">
        <f>IF(F655=1,_xlfn.BITXOR(E655,33800),E655)</f>
        <v/>
      </c>
    </row>
    <row r="656">
      <c r="A656" t="n">
        <v>650</v>
      </c>
      <c r="B656">
        <f>_DestuffedBits!C651</f>
        <v/>
      </c>
      <c r="C656">
        <f>G655</f>
        <v/>
      </c>
      <c r="D656">
        <f>_xlfn.BITAND(C656,1)</f>
        <v/>
      </c>
      <c r="E656">
        <f>_xlfn.BITRSHIFT(C656,1)</f>
        <v/>
      </c>
      <c r="F656">
        <f>_xlfn.BITXOR(D656,B656)</f>
        <v/>
      </c>
      <c r="G656">
        <f>IF(F656=1,_xlfn.BITXOR(E656,33800),E656)</f>
        <v/>
      </c>
    </row>
    <row r="657">
      <c r="A657" t="n">
        <v>651</v>
      </c>
      <c r="B657">
        <f>_DestuffedBits!C652</f>
        <v/>
      </c>
      <c r="C657">
        <f>G656</f>
        <v/>
      </c>
      <c r="D657">
        <f>_xlfn.BITAND(C657,1)</f>
        <v/>
      </c>
      <c r="E657">
        <f>_xlfn.BITRSHIFT(C657,1)</f>
        <v/>
      </c>
      <c r="F657">
        <f>_xlfn.BITXOR(D657,B657)</f>
        <v/>
      </c>
      <c r="G657">
        <f>IF(F657=1,_xlfn.BITXOR(E657,33800),E657)</f>
        <v/>
      </c>
    </row>
    <row r="658">
      <c r="A658" t="n">
        <v>652</v>
      </c>
      <c r="B658">
        <f>_DestuffedBits!C653</f>
        <v/>
      </c>
      <c r="C658">
        <f>G657</f>
        <v/>
      </c>
      <c r="D658">
        <f>_xlfn.BITAND(C658,1)</f>
        <v/>
      </c>
      <c r="E658">
        <f>_xlfn.BITRSHIFT(C658,1)</f>
        <v/>
      </c>
      <c r="F658">
        <f>_xlfn.BITXOR(D658,B658)</f>
        <v/>
      </c>
      <c r="G658">
        <f>IF(F658=1,_xlfn.BITXOR(E658,33800),E658)</f>
        <v/>
      </c>
    </row>
    <row r="659">
      <c r="A659" t="n">
        <v>653</v>
      </c>
      <c r="B659">
        <f>_DestuffedBits!C654</f>
        <v/>
      </c>
      <c r="C659">
        <f>G658</f>
        <v/>
      </c>
      <c r="D659">
        <f>_xlfn.BITAND(C659,1)</f>
        <v/>
      </c>
      <c r="E659">
        <f>_xlfn.BITRSHIFT(C659,1)</f>
        <v/>
      </c>
      <c r="F659">
        <f>_xlfn.BITXOR(D659,B659)</f>
        <v/>
      </c>
      <c r="G659">
        <f>IF(F659=1,_xlfn.BITXOR(E659,33800),E659)</f>
        <v/>
      </c>
    </row>
    <row r="660">
      <c r="A660" t="n">
        <v>654</v>
      </c>
      <c r="B660">
        <f>_DestuffedBits!C655</f>
        <v/>
      </c>
      <c r="C660">
        <f>G659</f>
        <v/>
      </c>
      <c r="D660">
        <f>_xlfn.BITAND(C660,1)</f>
        <v/>
      </c>
      <c r="E660">
        <f>_xlfn.BITRSHIFT(C660,1)</f>
        <v/>
      </c>
      <c r="F660">
        <f>_xlfn.BITXOR(D660,B660)</f>
        <v/>
      </c>
      <c r="G660">
        <f>IF(F660=1,_xlfn.BITXOR(E660,33800),E660)</f>
        <v/>
      </c>
    </row>
    <row r="661">
      <c r="A661" t="n">
        <v>655</v>
      </c>
      <c r="B661">
        <f>_DestuffedBits!C656</f>
        <v/>
      </c>
      <c r="C661">
        <f>G660</f>
        <v/>
      </c>
      <c r="D661">
        <f>_xlfn.BITAND(C661,1)</f>
        <v/>
      </c>
      <c r="E661">
        <f>_xlfn.BITRSHIFT(C661,1)</f>
        <v/>
      </c>
      <c r="F661">
        <f>_xlfn.BITXOR(D661,B661)</f>
        <v/>
      </c>
      <c r="G661">
        <f>IF(F661=1,_xlfn.BITXOR(E661,33800),E661)</f>
        <v/>
      </c>
    </row>
    <row r="662">
      <c r="A662" t="n">
        <v>656</v>
      </c>
      <c r="B662">
        <f>_DestuffedBits!C657</f>
        <v/>
      </c>
      <c r="C662">
        <f>G661</f>
        <v/>
      </c>
      <c r="D662">
        <f>_xlfn.BITAND(C662,1)</f>
        <v/>
      </c>
      <c r="E662">
        <f>_xlfn.BITRSHIFT(C662,1)</f>
        <v/>
      </c>
      <c r="F662">
        <f>_xlfn.BITXOR(D662,B662)</f>
        <v/>
      </c>
      <c r="G662">
        <f>IF(F662=1,_xlfn.BITXOR(E662,33800),E662)</f>
        <v/>
      </c>
    </row>
    <row r="663">
      <c r="A663" t="n">
        <v>657</v>
      </c>
      <c r="B663">
        <f>_DestuffedBits!C658</f>
        <v/>
      </c>
      <c r="C663">
        <f>G662</f>
        <v/>
      </c>
      <c r="D663">
        <f>_xlfn.BITAND(C663,1)</f>
        <v/>
      </c>
      <c r="E663">
        <f>_xlfn.BITRSHIFT(C663,1)</f>
        <v/>
      </c>
      <c r="F663">
        <f>_xlfn.BITXOR(D663,B663)</f>
        <v/>
      </c>
      <c r="G663">
        <f>IF(F663=1,_xlfn.BITXOR(E663,33800),E663)</f>
        <v/>
      </c>
    </row>
    <row r="664">
      <c r="A664" t="n">
        <v>658</v>
      </c>
      <c r="B664">
        <f>_DestuffedBits!C659</f>
        <v/>
      </c>
      <c r="C664">
        <f>G663</f>
        <v/>
      </c>
      <c r="D664">
        <f>_xlfn.BITAND(C664,1)</f>
        <v/>
      </c>
      <c r="E664">
        <f>_xlfn.BITRSHIFT(C664,1)</f>
        <v/>
      </c>
      <c r="F664">
        <f>_xlfn.BITXOR(D664,B664)</f>
        <v/>
      </c>
      <c r="G664">
        <f>IF(F664=1,_xlfn.BITXOR(E664,33800),E664)</f>
        <v/>
      </c>
    </row>
    <row r="665">
      <c r="A665" t="n">
        <v>659</v>
      </c>
      <c r="B665">
        <f>_DestuffedBits!C660</f>
        <v/>
      </c>
      <c r="C665">
        <f>G664</f>
        <v/>
      </c>
      <c r="D665">
        <f>_xlfn.BITAND(C665,1)</f>
        <v/>
      </c>
      <c r="E665">
        <f>_xlfn.BITRSHIFT(C665,1)</f>
        <v/>
      </c>
      <c r="F665">
        <f>_xlfn.BITXOR(D665,B665)</f>
        <v/>
      </c>
      <c r="G665">
        <f>IF(F665=1,_xlfn.BITXOR(E665,33800),E665)</f>
        <v/>
      </c>
    </row>
    <row r="666">
      <c r="A666" t="n">
        <v>660</v>
      </c>
      <c r="B666">
        <f>_DestuffedBits!C661</f>
        <v/>
      </c>
      <c r="C666">
        <f>G665</f>
        <v/>
      </c>
      <c r="D666">
        <f>_xlfn.BITAND(C666,1)</f>
        <v/>
      </c>
      <c r="E666">
        <f>_xlfn.BITRSHIFT(C666,1)</f>
        <v/>
      </c>
      <c r="F666">
        <f>_xlfn.BITXOR(D666,B666)</f>
        <v/>
      </c>
      <c r="G666">
        <f>IF(F666=1,_xlfn.BITXOR(E666,33800),E666)</f>
        <v/>
      </c>
    </row>
    <row r="667">
      <c r="A667" t="n">
        <v>661</v>
      </c>
      <c r="B667">
        <f>_DestuffedBits!C662</f>
        <v/>
      </c>
      <c r="C667">
        <f>G666</f>
        <v/>
      </c>
      <c r="D667">
        <f>_xlfn.BITAND(C667,1)</f>
        <v/>
      </c>
      <c r="E667">
        <f>_xlfn.BITRSHIFT(C667,1)</f>
        <v/>
      </c>
      <c r="F667">
        <f>_xlfn.BITXOR(D667,B667)</f>
        <v/>
      </c>
      <c r="G667">
        <f>IF(F667=1,_xlfn.BITXOR(E667,33800),E667)</f>
        <v/>
      </c>
    </row>
    <row r="668">
      <c r="A668" t="n">
        <v>662</v>
      </c>
      <c r="B668">
        <f>_DestuffedBits!C663</f>
        <v/>
      </c>
      <c r="C668">
        <f>G667</f>
        <v/>
      </c>
      <c r="D668">
        <f>_xlfn.BITAND(C668,1)</f>
        <v/>
      </c>
      <c r="E668">
        <f>_xlfn.BITRSHIFT(C668,1)</f>
        <v/>
      </c>
      <c r="F668">
        <f>_xlfn.BITXOR(D668,B668)</f>
        <v/>
      </c>
      <c r="G668">
        <f>IF(F668=1,_xlfn.BITXOR(E668,33800),E668)</f>
        <v/>
      </c>
    </row>
    <row r="669">
      <c r="A669" t="n">
        <v>663</v>
      </c>
      <c r="B669">
        <f>_DestuffedBits!C664</f>
        <v/>
      </c>
      <c r="C669">
        <f>G668</f>
        <v/>
      </c>
      <c r="D669">
        <f>_xlfn.BITAND(C669,1)</f>
        <v/>
      </c>
      <c r="E669">
        <f>_xlfn.BITRSHIFT(C669,1)</f>
        <v/>
      </c>
      <c r="F669">
        <f>_xlfn.BITXOR(D669,B669)</f>
        <v/>
      </c>
      <c r="G669">
        <f>IF(F669=1,_xlfn.BITXOR(E669,33800),E669)</f>
        <v/>
      </c>
    </row>
    <row r="670">
      <c r="A670" t="n">
        <v>664</v>
      </c>
      <c r="B670">
        <f>_DestuffedBits!C665</f>
        <v/>
      </c>
      <c r="C670">
        <f>G669</f>
        <v/>
      </c>
      <c r="D670">
        <f>_xlfn.BITAND(C670,1)</f>
        <v/>
      </c>
      <c r="E670">
        <f>_xlfn.BITRSHIFT(C670,1)</f>
        <v/>
      </c>
      <c r="F670">
        <f>_xlfn.BITXOR(D670,B670)</f>
        <v/>
      </c>
      <c r="G670">
        <f>IF(F670=1,_xlfn.BITXOR(E670,33800),E670)</f>
        <v/>
      </c>
    </row>
    <row r="671">
      <c r="A671" t="n">
        <v>665</v>
      </c>
      <c r="B671">
        <f>_DestuffedBits!C666</f>
        <v/>
      </c>
      <c r="C671">
        <f>G670</f>
        <v/>
      </c>
      <c r="D671">
        <f>_xlfn.BITAND(C671,1)</f>
        <v/>
      </c>
      <c r="E671">
        <f>_xlfn.BITRSHIFT(C671,1)</f>
        <v/>
      </c>
      <c r="F671">
        <f>_xlfn.BITXOR(D671,B671)</f>
        <v/>
      </c>
      <c r="G671">
        <f>IF(F671=1,_xlfn.BITXOR(E671,33800),E671)</f>
        <v/>
      </c>
    </row>
    <row r="672">
      <c r="A672" t="n">
        <v>666</v>
      </c>
      <c r="B672">
        <f>_DestuffedBits!C667</f>
        <v/>
      </c>
      <c r="C672">
        <f>G671</f>
        <v/>
      </c>
      <c r="D672">
        <f>_xlfn.BITAND(C672,1)</f>
        <v/>
      </c>
      <c r="E672">
        <f>_xlfn.BITRSHIFT(C672,1)</f>
        <v/>
      </c>
      <c r="F672">
        <f>_xlfn.BITXOR(D672,B672)</f>
        <v/>
      </c>
      <c r="G672">
        <f>IF(F672=1,_xlfn.BITXOR(E672,33800),E672)</f>
        <v/>
      </c>
    </row>
    <row r="673">
      <c r="A673" t="n">
        <v>667</v>
      </c>
      <c r="B673">
        <f>_DestuffedBits!C668</f>
        <v/>
      </c>
      <c r="C673">
        <f>G672</f>
        <v/>
      </c>
      <c r="D673">
        <f>_xlfn.BITAND(C673,1)</f>
        <v/>
      </c>
      <c r="E673">
        <f>_xlfn.BITRSHIFT(C673,1)</f>
        <v/>
      </c>
      <c r="F673">
        <f>_xlfn.BITXOR(D673,B673)</f>
        <v/>
      </c>
      <c r="G673">
        <f>IF(F673=1,_xlfn.BITXOR(E673,33800),E673)</f>
        <v/>
      </c>
    </row>
    <row r="674">
      <c r="A674" t="n">
        <v>668</v>
      </c>
      <c r="B674">
        <f>_DestuffedBits!C669</f>
        <v/>
      </c>
      <c r="C674">
        <f>G673</f>
        <v/>
      </c>
      <c r="D674">
        <f>_xlfn.BITAND(C674,1)</f>
        <v/>
      </c>
      <c r="E674">
        <f>_xlfn.BITRSHIFT(C674,1)</f>
        <v/>
      </c>
      <c r="F674">
        <f>_xlfn.BITXOR(D674,B674)</f>
        <v/>
      </c>
      <c r="G674">
        <f>IF(F674=1,_xlfn.BITXOR(E674,33800),E674)</f>
        <v/>
      </c>
    </row>
    <row r="675">
      <c r="A675" t="n">
        <v>669</v>
      </c>
      <c r="B675">
        <f>_DestuffedBits!C670</f>
        <v/>
      </c>
      <c r="C675">
        <f>G674</f>
        <v/>
      </c>
      <c r="D675">
        <f>_xlfn.BITAND(C675,1)</f>
        <v/>
      </c>
      <c r="E675">
        <f>_xlfn.BITRSHIFT(C675,1)</f>
        <v/>
      </c>
      <c r="F675">
        <f>_xlfn.BITXOR(D675,B675)</f>
        <v/>
      </c>
      <c r="G675">
        <f>IF(F675=1,_xlfn.BITXOR(E675,33800),E675)</f>
        <v/>
      </c>
    </row>
    <row r="676">
      <c r="A676" t="n">
        <v>670</v>
      </c>
      <c r="B676">
        <f>_DestuffedBits!C671</f>
        <v/>
      </c>
      <c r="C676">
        <f>G675</f>
        <v/>
      </c>
      <c r="D676">
        <f>_xlfn.BITAND(C676,1)</f>
        <v/>
      </c>
      <c r="E676">
        <f>_xlfn.BITRSHIFT(C676,1)</f>
        <v/>
      </c>
      <c r="F676">
        <f>_xlfn.BITXOR(D676,B676)</f>
        <v/>
      </c>
      <c r="G676">
        <f>IF(F676=1,_xlfn.BITXOR(E676,33800),E676)</f>
        <v/>
      </c>
    </row>
    <row r="677">
      <c r="A677" t="n">
        <v>671</v>
      </c>
      <c r="B677">
        <f>_DestuffedBits!C672</f>
        <v/>
      </c>
      <c r="C677">
        <f>G676</f>
        <v/>
      </c>
      <c r="D677">
        <f>_xlfn.BITAND(C677,1)</f>
        <v/>
      </c>
      <c r="E677">
        <f>_xlfn.BITRSHIFT(C677,1)</f>
        <v/>
      </c>
      <c r="F677">
        <f>_xlfn.BITXOR(D677,B677)</f>
        <v/>
      </c>
      <c r="G677">
        <f>IF(F677=1,_xlfn.BITXOR(E677,33800),E677)</f>
        <v/>
      </c>
    </row>
    <row r="678">
      <c r="A678" t="n">
        <v>672</v>
      </c>
      <c r="B678">
        <f>_DestuffedBits!C673</f>
        <v/>
      </c>
      <c r="C678">
        <f>G677</f>
        <v/>
      </c>
      <c r="D678">
        <f>_xlfn.BITAND(C678,1)</f>
        <v/>
      </c>
      <c r="E678">
        <f>_xlfn.BITRSHIFT(C678,1)</f>
        <v/>
      </c>
      <c r="F678">
        <f>_xlfn.BITXOR(D678,B678)</f>
        <v/>
      </c>
      <c r="G678">
        <f>IF(F678=1,_xlfn.BITXOR(E678,33800),E678)</f>
        <v/>
      </c>
    </row>
    <row r="679">
      <c r="A679" t="n">
        <v>673</v>
      </c>
      <c r="B679">
        <f>_DestuffedBits!C674</f>
        <v/>
      </c>
      <c r="C679">
        <f>G678</f>
        <v/>
      </c>
      <c r="D679">
        <f>_xlfn.BITAND(C679,1)</f>
        <v/>
      </c>
      <c r="E679">
        <f>_xlfn.BITRSHIFT(C679,1)</f>
        <v/>
      </c>
      <c r="F679">
        <f>_xlfn.BITXOR(D679,B679)</f>
        <v/>
      </c>
      <c r="G679">
        <f>IF(F679=1,_xlfn.BITXOR(E679,33800),E679)</f>
        <v/>
      </c>
    </row>
    <row r="680">
      <c r="A680" t="n">
        <v>674</v>
      </c>
      <c r="B680">
        <f>_DestuffedBits!C675</f>
        <v/>
      </c>
      <c r="C680">
        <f>G679</f>
        <v/>
      </c>
      <c r="D680">
        <f>_xlfn.BITAND(C680,1)</f>
        <v/>
      </c>
      <c r="E680">
        <f>_xlfn.BITRSHIFT(C680,1)</f>
        <v/>
      </c>
      <c r="F680">
        <f>_xlfn.BITXOR(D680,B680)</f>
        <v/>
      </c>
      <c r="G680">
        <f>IF(F680=1,_xlfn.BITXOR(E680,33800),E680)</f>
        <v/>
      </c>
    </row>
    <row r="681">
      <c r="A681" t="n">
        <v>675</v>
      </c>
      <c r="B681">
        <f>_DestuffedBits!C676</f>
        <v/>
      </c>
      <c r="C681">
        <f>G680</f>
        <v/>
      </c>
      <c r="D681">
        <f>_xlfn.BITAND(C681,1)</f>
        <v/>
      </c>
      <c r="E681">
        <f>_xlfn.BITRSHIFT(C681,1)</f>
        <v/>
      </c>
      <c r="F681">
        <f>_xlfn.BITXOR(D681,B681)</f>
        <v/>
      </c>
      <c r="G681">
        <f>IF(F681=1,_xlfn.BITXOR(E681,33800),E681)</f>
        <v/>
      </c>
    </row>
    <row r="682">
      <c r="A682" t="n">
        <v>676</v>
      </c>
      <c r="B682">
        <f>_DestuffedBits!C677</f>
        <v/>
      </c>
      <c r="C682">
        <f>G681</f>
        <v/>
      </c>
      <c r="D682">
        <f>_xlfn.BITAND(C682,1)</f>
        <v/>
      </c>
      <c r="E682">
        <f>_xlfn.BITRSHIFT(C682,1)</f>
        <v/>
      </c>
      <c r="F682">
        <f>_xlfn.BITXOR(D682,B682)</f>
        <v/>
      </c>
      <c r="G682">
        <f>IF(F682=1,_xlfn.BITXOR(E682,33800),E682)</f>
        <v/>
      </c>
    </row>
    <row r="683">
      <c r="A683" t="n">
        <v>677</v>
      </c>
      <c r="B683">
        <f>_DestuffedBits!C678</f>
        <v/>
      </c>
      <c r="C683">
        <f>G682</f>
        <v/>
      </c>
      <c r="D683">
        <f>_xlfn.BITAND(C683,1)</f>
        <v/>
      </c>
      <c r="E683">
        <f>_xlfn.BITRSHIFT(C683,1)</f>
        <v/>
      </c>
      <c r="F683">
        <f>_xlfn.BITXOR(D683,B683)</f>
        <v/>
      </c>
      <c r="G683">
        <f>IF(F683=1,_xlfn.BITXOR(E683,33800),E683)</f>
        <v/>
      </c>
    </row>
    <row r="684">
      <c r="A684" t="n">
        <v>678</v>
      </c>
      <c r="B684">
        <f>_DestuffedBits!C679</f>
        <v/>
      </c>
      <c r="C684">
        <f>G683</f>
        <v/>
      </c>
      <c r="D684">
        <f>_xlfn.BITAND(C684,1)</f>
        <v/>
      </c>
      <c r="E684">
        <f>_xlfn.BITRSHIFT(C684,1)</f>
        <v/>
      </c>
      <c r="F684">
        <f>_xlfn.BITXOR(D684,B684)</f>
        <v/>
      </c>
      <c r="G684">
        <f>IF(F684=1,_xlfn.BITXOR(E684,33800),E684)</f>
        <v/>
      </c>
    </row>
    <row r="685">
      <c r="A685" t="n">
        <v>679</v>
      </c>
      <c r="B685">
        <f>_DestuffedBits!C680</f>
        <v/>
      </c>
      <c r="C685">
        <f>G684</f>
        <v/>
      </c>
      <c r="D685">
        <f>_xlfn.BITAND(C685,1)</f>
        <v/>
      </c>
      <c r="E685">
        <f>_xlfn.BITRSHIFT(C685,1)</f>
        <v/>
      </c>
      <c r="F685">
        <f>_xlfn.BITXOR(D685,B685)</f>
        <v/>
      </c>
      <c r="G685">
        <f>IF(F685=1,_xlfn.BITXOR(E685,33800),E685)</f>
        <v/>
      </c>
    </row>
    <row r="686">
      <c r="A686" t="n">
        <v>680</v>
      </c>
      <c r="B686">
        <f>_DestuffedBits!C681</f>
        <v/>
      </c>
      <c r="C686">
        <f>G685</f>
        <v/>
      </c>
      <c r="D686">
        <f>_xlfn.BITAND(C686,1)</f>
        <v/>
      </c>
      <c r="E686">
        <f>_xlfn.BITRSHIFT(C686,1)</f>
        <v/>
      </c>
      <c r="F686">
        <f>_xlfn.BITXOR(D686,B686)</f>
        <v/>
      </c>
      <c r="G686">
        <f>IF(F686=1,_xlfn.BITXOR(E686,33800),E686)</f>
        <v/>
      </c>
    </row>
    <row r="687">
      <c r="A687" t="n">
        <v>681</v>
      </c>
      <c r="B687">
        <f>_DestuffedBits!C682</f>
        <v/>
      </c>
      <c r="C687">
        <f>G686</f>
        <v/>
      </c>
      <c r="D687">
        <f>_xlfn.BITAND(C687,1)</f>
        <v/>
      </c>
      <c r="E687">
        <f>_xlfn.BITRSHIFT(C687,1)</f>
        <v/>
      </c>
      <c r="F687">
        <f>_xlfn.BITXOR(D687,B687)</f>
        <v/>
      </c>
      <c r="G687">
        <f>IF(F687=1,_xlfn.BITXOR(E687,33800),E687)</f>
        <v/>
      </c>
    </row>
    <row r="688">
      <c r="A688" t="n">
        <v>682</v>
      </c>
      <c r="B688">
        <f>_DestuffedBits!C683</f>
        <v/>
      </c>
      <c r="C688">
        <f>G687</f>
        <v/>
      </c>
      <c r="D688">
        <f>_xlfn.BITAND(C688,1)</f>
        <v/>
      </c>
      <c r="E688">
        <f>_xlfn.BITRSHIFT(C688,1)</f>
        <v/>
      </c>
      <c r="F688">
        <f>_xlfn.BITXOR(D688,B688)</f>
        <v/>
      </c>
      <c r="G688">
        <f>IF(F688=1,_xlfn.BITXOR(E688,33800),E688)</f>
        <v/>
      </c>
    </row>
    <row r="689">
      <c r="A689" t="n">
        <v>683</v>
      </c>
      <c r="B689">
        <f>_DestuffedBits!C684</f>
        <v/>
      </c>
      <c r="C689">
        <f>G688</f>
        <v/>
      </c>
      <c r="D689">
        <f>_xlfn.BITAND(C689,1)</f>
        <v/>
      </c>
      <c r="E689">
        <f>_xlfn.BITRSHIFT(C689,1)</f>
        <v/>
      </c>
      <c r="F689">
        <f>_xlfn.BITXOR(D689,B689)</f>
        <v/>
      </c>
      <c r="G689">
        <f>IF(F689=1,_xlfn.BITXOR(E689,33800),E689)</f>
        <v/>
      </c>
    </row>
    <row r="690">
      <c r="A690" t="n">
        <v>684</v>
      </c>
      <c r="B690">
        <f>_DestuffedBits!C685</f>
        <v/>
      </c>
      <c r="C690">
        <f>G689</f>
        <v/>
      </c>
      <c r="D690">
        <f>_xlfn.BITAND(C690,1)</f>
        <v/>
      </c>
      <c r="E690">
        <f>_xlfn.BITRSHIFT(C690,1)</f>
        <v/>
      </c>
      <c r="F690">
        <f>_xlfn.BITXOR(D690,B690)</f>
        <v/>
      </c>
      <c r="G690">
        <f>IF(F690=1,_xlfn.BITXOR(E690,33800),E690)</f>
        <v/>
      </c>
    </row>
    <row r="691">
      <c r="A691" t="n">
        <v>685</v>
      </c>
      <c r="B691">
        <f>_DestuffedBits!C686</f>
        <v/>
      </c>
      <c r="C691">
        <f>G690</f>
        <v/>
      </c>
      <c r="D691">
        <f>_xlfn.BITAND(C691,1)</f>
        <v/>
      </c>
      <c r="E691">
        <f>_xlfn.BITRSHIFT(C691,1)</f>
        <v/>
      </c>
      <c r="F691">
        <f>_xlfn.BITXOR(D691,B691)</f>
        <v/>
      </c>
      <c r="G691">
        <f>IF(F691=1,_xlfn.BITXOR(E691,33800),E691)</f>
        <v/>
      </c>
    </row>
    <row r="692">
      <c r="A692" t="n">
        <v>686</v>
      </c>
      <c r="B692">
        <f>_DestuffedBits!C687</f>
        <v/>
      </c>
      <c r="C692">
        <f>G691</f>
        <v/>
      </c>
      <c r="D692">
        <f>_xlfn.BITAND(C692,1)</f>
        <v/>
      </c>
      <c r="E692">
        <f>_xlfn.BITRSHIFT(C692,1)</f>
        <v/>
      </c>
      <c r="F692">
        <f>_xlfn.BITXOR(D692,B692)</f>
        <v/>
      </c>
      <c r="G692">
        <f>IF(F692=1,_xlfn.BITXOR(E692,33800),E692)</f>
        <v/>
      </c>
    </row>
    <row r="693">
      <c r="A693" t="n">
        <v>687</v>
      </c>
      <c r="B693">
        <f>_DestuffedBits!C688</f>
        <v/>
      </c>
      <c r="C693">
        <f>G692</f>
        <v/>
      </c>
      <c r="D693">
        <f>_xlfn.BITAND(C693,1)</f>
        <v/>
      </c>
      <c r="E693">
        <f>_xlfn.BITRSHIFT(C693,1)</f>
        <v/>
      </c>
      <c r="F693">
        <f>_xlfn.BITXOR(D693,B693)</f>
        <v/>
      </c>
      <c r="G693">
        <f>IF(F693=1,_xlfn.BITXOR(E693,33800),E693)</f>
        <v/>
      </c>
    </row>
    <row r="694">
      <c r="A694" t="n">
        <v>688</v>
      </c>
      <c r="B694">
        <f>_DestuffedBits!C689</f>
        <v/>
      </c>
      <c r="C694">
        <f>G693</f>
        <v/>
      </c>
      <c r="D694">
        <f>_xlfn.BITAND(C694,1)</f>
        <v/>
      </c>
      <c r="E694">
        <f>_xlfn.BITRSHIFT(C694,1)</f>
        <v/>
      </c>
      <c r="F694">
        <f>_xlfn.BITXOR(D694,B694)</f>
        <v/>
      </c>
      <c r="G694">
        <f>IF(F694=1,_xlfn.BITXOR(E694,33800),E694)</f>
        <v/>
      </c>
    </row>
    <row r="695">
      <c r="A695" t="n">
        <v>689</v>
      </c>
      <c r="B695">
        <f>_DestuffedBits!C690</f>
        <v/>
      </c>
      <c r="C695">
        <f>G694</f>
        <v/>
      </c>
      <c r="D695">
        <f>_xlfn.BITAND(C695,1)</f>
        <v/>
      </c>
      <c r="E695">
        <f>_xlfn.BITRSHIFT(C695,1)</f>
        <v/>
      </c>
      <c r="F695">
        <f>_xlfn.BITXOR(D695,B695)</f>
        <v/>
      </c>
      <c r="G695">
        <f>IF(F695=1,_xlfn.BITXOR(E695,33800),E695)</f>
        <v/>
      </c>
    </row>
    <row r="696">
      <c r="A696" t="n">
        <v>690</v>
      </c>
      <c r="B696">
        <f>_DestuffedBits!C691</f>
        <v/>
      </c>
      <c r="C696">
        <f>G695</f>
        <v/>
      </c>
      <c r="D696">
        <f>_xlfn.BITAND(C696,1)</f>
        <v/>
      </c>
      <c r="E696">
        <f>_xlfn.BITRSHIFT(C696,1)</f>
        <v/>
      </c>
      <c r="F696">
        <f>_xlfn.BITXOR(D696,B696)</f>
        <v/>
      </c>
      <c r="G696">
        <f>IF(F696=1,_xlfn.BITXOR(E696,33800),E696)</f>
        <v/>
      </c>
    </row>
    <row r="697">
      <c r="A697" t="n">
        <v>691</v>
      </c>
      <c r="B697">
        <f>_DestuffedBits!C692</f>
        <v/>
      </c>
      <c r="C697">
        <f>G696</f>
        <v/>
      </c>
      <c r="D697">
        <f>_xlfn.BITAND(C697,1)</f>
        <v/>
      </c>
      <c r="E697">
        <f>_xlfn.BITRSHIFT(C697,1)</f>
        <v/>
      </c>
      <c r="F697">
        <f>_xlfn.BITXOR(D697,B697)</f>
        <v/>
      </c>
      <c r="G697">
        <f>IF(F697=1,_xlfn.BITXOR(E697,33800),E697)</f>
        <v/>
      </c>
    </row>
    <row r="698">
      <c r="A698" t="n">
        <v>692</v>
      </c>
      <c r="B698">
        <f>_DestuffedBits!C693</f>
        <v/>
      </c>
      <c r="C698">
        <f>G697</f>
        <v/>
      </c>
      <c r="D698">
        <f>_xlfn.BITAND(C698,1)</f>
        <v/>
      </c>
      <c r="E698">
        <f>_xlfn.BITRSHIFT(C698,1)</f>
        <v/>
      </c>
      <c r="F698">
        <f>_xlfn.BITXOR(D698,B698)</f>
        <v/>
      </c>
      <c r="G698">
        <f>IF(F698=1,_xlfn.BITXOR(E698,33800),E698)</f>
        <v/>
      </c>
    </row>
    <row r="699">
      <c r="A699" t="n">
        <v>693</v>
      </c>
      <c r="B699">
        <f>_DestuffedBits!C694</f>
        <v/>
      </c>
      <c r="C699">
        <f>G698</f>
        <v/>
      </c>
      <c r="D699">
        <f>_xlfn.BITAND(C699,1)</f>
        <v/>
      </c>
      <c r="E699">
        <f>_xlfn.BITRSHIFT(C699,1)</f>
        <v/>
      </c>
      <c r="F699">
        <f>_xlfn.BITXOR(D699,B699)</f>
        <v/>
      </c>
      <c r="G699">
        <f>IF(F699=1,_xlfn.BITXOR(E699,33800),E699)</f>
        <v/>
      </c>
    </row>
    <row r="700">
      <c r="A700" t="n">
        <v>694</v>
      </c>
      <c r="B700">
        <f>_DestuffedBits!C695</f>
        <v/>
      </c>
      <c r="C700">
        <f>G699</f>
        <v/>
      </c>
      <c r="D700">
        <f>_xlfn.BITAND(C700,1)</f>
        <v/>
      </c>
      <c r="E700">
        <f>_xlfn.BITRSHIFT(C700,1)</f>
        <v/>
      </c>
      <c r="F700">
        <f>_xlfn.BITXOR(D700,B700)</f>
        <v/>
      </c>
      <c r="G700">
        <f>IF(F700=1,_xlfn.BITXOR(E700,33800),E700)</f>
        <v/>
      </c>
    </row>
    <row r="701">
      <c r="A701" t="n">
        <v>695</v>
      </c>
      <c r="B701">
        <f>_DestuffedBits!C696</f>
        <v/>
      </c>
      <c r="C701">
        <f>G700</f>
        <v/>
      </c>
      <c r="D701">
        <f>_xlfn.BITAND(C701,1)</f>
        <v/>
      </c>
      <c r="E701">
        <f>_xlfn.BITRSHIFT(C701,1)</f>
        <v/>
      </c>
      <c r="F701">
        <f>_xlfn.BITXOR(D701,B701)</f>
        <v/>
      </c>
      <c r="G701">
        <f>IF(F701=1,_xlfn.BITXOR(E701,33800),E701)</f>
        <v/>
      </c>
    </row>
    <row r="702">
      <c r="A702" t="n">
        <v>696</v>
      </c>
      <c r="B702">
        <f>_DestuffedBits!C697</f>
        <v/>
      </c>
      <c r="C702">
        <f>G701</f>
        <v/>
      </c>
      <c r="D702">
        <f>_xlfn.BITAND(C702,1)</f>
        <v/>
      </c>
      <c r="E702">
        <f>_xlfn.BITRSHIFT(C702,1)</f>
        <v/>
      </c>
      <c r="F702">
        <f>_xlfn.BITXOR(D702,B702)</f>
        <v/>
      </c>
      <c r="G702">
        <f>IF(F702=1,_xlfn.BITXOR(E702,33800),E702)</f>
        <v/>
      </c>
    </row>
    <row r="703">
      <c r="A703" t="n">
        <v>697</v>
      </c>
      <c r="B703">
        <f>_DestuffedBits!C698</f>
        <v/>
      </c>
      <c r="C703">
        <f>G702</f>
        <v/>
      </c>
      <c r="D703">
        <f>_xlfn.BITAND(C703,1)</f>
        <v/>
      </c>
      <c r="E703">
        <f>_xlfn.BITRSHIFT(C703,1)</f>
        <v/>
      </c>
      <c r="F703">
        <f>_xlfn.BITXOR(D703,B703)</f>
        <v/>
      </c>
      <c r="G703">
        <f>IF(F703=1,_xlfn.BITXOR(E703,33800),E703)</f>
        <v/>
      </c>
    </row>
    <row r="704">
      <c r="A704" t="n">
        <v>698</v>
      </c>
      <c r="B704">
        <f>_DestuffedBits!C699</f>
        <v/>
      </c>
      <c r="C704">
        <f>G703</f>
        <v/>
      </c>
      <c r="D704">
        <f>_xlfn.BITAND(C704,1)</f>
        <v/>
      </c>
      <c r="E704">
        <f>_xlfn.BITRSHIFT(C704,1)</f>
        <v/>
      </c>
      <c r="F704">
        <f>_xlfn.BITXOR(D704,B704)</f>
        <v/>
      </c>
      <c r="G704">
        <f>IF(F704=1,_xlfn.BITXOR(E704,33800),E704)</f>
        <v/>
      </c>
    </row>
    <row r="705">
      <c r="A705" t="n">
        <v>699</v>
      </c>
      <c r="B705">
        <f>_DestuffedBits!C700</f>
        <v/>
      </c>
      <c r="C705">
        <f>G704</f>
        <v/>
      </c>
      <c r="D705">
        <f>_xlfn.BITAND(C705,1)</f>
        <v/>
      </c>
      <c r="E705">
        <f>_xlfn.BITRSHIFT(C705,1)</f>
        <v/>
      </c>
      <c r="F705">
        <f>_xlfn.BITXOR(D705,B705)</f>
        <v/>
      </c>
      <c r="G705">
        <f>IF(F705=1,_xlfn.BITXOR(E705,33800),E705)</f>
        <v/>
      </c>
    </row>
    <row r="706">
      <c r="A706" t="n">
        <v>700</v>
      </c>
      <c r="B706">
        <f>_DestuffedBits!C701</f>
        <v/>
      </c>
      <c r="C706">
        <f>G705</f>
        <v/>
      </c>
      <c r="D706">
        <f>_xlfn.BITAND(C706,1)</f>
        <v/>
      </c>
      <c r="E706">
        <f>_xlfn.BITRSHIFT(C706,1)</f>
        <v/>
      </c>
      <c r="F706">
        <f>_xlfn.BITXOR(D706,B706)</f>
        <v/>
      </c>
      <c r="G706">
        <f>IF(F706=1,_xlfn.BITXOR(E706,33800),E706)</f>
        <v/>
      </c>
    </row>
    <row r="707">
      <c r="A707" t="n">
        <v>701</v>
      </c>
      <c r="B707">
        <f>_DestuffedBits!C702</f>
        <v/>
      </c>
      <c r="C707">
        <f>G706</f>
        <v/>
      </c>
      <c r="D707">
        <f>_xlfn.BITAND(C707,1)</f>
        <v/>
      </c>
      <c r="E707">
        <f>_xlfn.BITRSHIFT(C707,1)</f>
        <v/>
      </c>
      <c r="F707">
        <f>_xlfn.BITXOR(D707,B707)</f>
        <v/>
      </c>
      <c r="G707">
        <f>IF(F707=1,_xlfn.BITXOR(E707,33800),E707)</f>
        <v/>
      </c>
    </row>
    <row r="708">
      <c r="A708" t="n">
        <v>702</v>
      </c>
      <c r="B708">
        <f>_DestuffedBits!C703</f>
        <v/>
      </c>
      <c r="C708">
        <f>G707</f>
        <v/>
      </c>
      <c r="D708">
        <f>_xlfn.BITAND(C708,1)</f>
        <v/>
      </c>
      <c r="E708">
        <f>_xlfn.BITRSHIFT(C708,1)</f>
        <v/>
      </c>
      <c r="F708">
        <f>_xlfn.BITXOR(D708,B708)</f>
        <v/>
      </c>
      <c r="G708">
        <f>IF(F708=1,_xlfn.BITXOR(E708,33800),E708)</f>
        <v/>
      </c>
    </row>
    <row r="709">
      <c r="A709" t="n">
        <v>703</v>
      </c>
      <c r="B709">
        <f>_DestuffedBits!C704</f>
        <v/>
      </c>
      <c r="C709">
        <f>G708</f>
        <v/>
      </c>
      <c r="D709">
        <f>_xlfn.BITAND(C709,1)</f>
        <v/>
      </c>
      <c r="E709">
        <f>_xlfn.BITRSHIFT(C709,1)</f>
        <v/>
      </c>
      <c r="F709">
        <f>_xlfn.BITXOR(D709,B709)</f>
        <v/>
      </c>
      <c r="G709">
        <f>IF(F709=1,_xlfn.BITXOR(E709,33800),E709)</f>
        <v/>
      </c>
    </row>
    <row r="710">
      <c r="A710" t="n">
        <v>704</v>
      </c>
      <c r="B710">
        <f>_DestuffedBits!C705</f>
        <v/>
      </c>
      <c r="C710">
        <f>G709</f>
        <v/>
      </c>
      <c r="D710">
        <f>_xlfn.BITAND(C710,1)</f>
        <v/>
      </c>
      <c r="E710">
        <f>_xlfn.BITRSHIFT(C710,1)</f>
        <v/>
      </c>
      <c r="F710">
        <f>_xlfn.BITXOR(D710,B710)</f>
        <v/>
      </c>
      <c r="G710">
        <f>IF(F710=1,_xlfn.BITXOR(E710,33800),E710)</f>
        <v/>
      </c>
    </row>
    <row r="711">
      <c r="A711" t="n">
        <v>705</v>
      </c>
      <c r="B711">
        <f>_DestuffedBits!C706</f>
        <v/>
      </c>
      <c r="C711">
        <f>G710</f>
        <v/>
      </c>
      <c r="D711">
        <f>_xlfn.BITAND(C711,1)</f>
        <v/>
      </c>
      <c r="E711">
        <f>_xlfn.BITRSHIFT(C711,1)</f>
        <v/>
      </c>
      <c r="F711">
        <f>_xlfn.BITXOR(D711,B711)</f>
        <v/>
      </c>
      <c r="G711">
        <f>IF(F711=1,_xlfn.BITXOR(E711,33800),E711)</f>
        <v/>
      </c>
    </row>
    <row r="712">
      <c r="A712" t="n">
        <v>706</v>
      </c>
      <c r="B712">
        <f>_DestuffedBits!C707</f>
        <v/>
      </c>
      <c r="C712">
        <f>G711</f>
        <v/>
      </c>
      <c r="D712">
        <f>_xlfn.BITAND(C712,1)</f>
        <v/>
      </c>
      <c r="E712">
        <f>_xlfn.BITRSHIFT(C712,1)</f>
        <v/>
      </c>
      <c r="F712">
        <f>_xlfn.BITXOR(D712,B712)</f>
        <v/>
      </c>
      <c r="G712">
        <f>IF(F712=1,_xlfn.BITXOR(E712,33800),E712)</f>
        <v/>
      </c>
    </row>
    <row r="713">
      <c r="A713" t="n">
        <v>707</v>
      </c>
      <c r="B713">
        <f>_DestuffedBits!C708</f>
        <v/>
      </c>
      <c r="C713">
        <f>G712</f>
        <v/>
      </c>
      <c r="D713">
        <f>_xlfn.BITAND(C713,1)</f>
        <v/>
      </c>
      <c r="E713">
        <f>_xlfn.BITRSHIFT(C713,1)</f>
        <v/>
      </c>
      <c r="F713">
        <f>_xlfn.BITXOR(D713,B713)</f>
        <v/>
      </c>
      <c r="G713">
        <f>IF(F713=1,_xlfn.BITXOR(E713,33800),E713)</f>
        <v/>
      </c>
    </row>
    <row r="714">
      <c r="A714" t="n">
        <v>708</v>
      </c>
      <c r="B714">
        <f>_DestuffedBits!C709</f>
        <v/>
      </c>
      <c r="C714">
        <f>G713</f>
        <v/>
      </c>
      <c r="D714">
        <f>_xlfn.BITAND(C714,1)</f>
        <v/>
      </c>
      <c r="E714">
        <f>_xlfn.BITRSHIFT(C714,1)</f>
        <v/>
      </c>
      <c r="F714">
        <f>_xlfn.BITXOR(D714,B714)</f>
        <v/>
      </c>
      <c r="G714">
        <f>IF(F714=1,_xlfn.BITXOR(E714,33800),E714)</f>
        <v/>
      </c>
    </row>
    <row r="715">
      <c r="A715" t="n">
        <v>709</v>
      </c>
      <c r="B715">
        <f>_DestuffedBits!C710</f>
        <v/>
      </c>
      <c r="C715">
        <f>G714</f>
        <v/>
      </c>
      <c r="D715">
        <f>_xlfn.BITAND(C715,1)</f>
        <v/>
      </c>
      <c r="E715">
        <f>_xlfn.BITRSHIFT(C715,1)</f>
        <v/>
      </c>
      <c r="F715">
        <f>_xlfn.BITXOR(D715,B715)</f>
        <v/>
      </c>
      <c r="G715">
        <f>IF(F715=1,_xlfn.BITXOR(E715,33800),E715)</f>
        <v/>
      </c>
    </row>
    <row r="716">
      <c r="A716" t="n">
        <v>710</v>
      </c>
      <c r="B716">
        <f>_DestuffedBits!C711</f>
        <v/>
      </c>
      <c r="C716">
        <f>G715</f>
        <v/>
      </c>
      <c r="D716">
        <f>_xlfn.BITAND(C716,1)</f>
        <v/>
      </c>
      <c r="E716">
        <f>_xlfn.BITRSHIFT(C716,1)</f>
        <v/>
      </c>
      <c r="F716">
        <f>_xlfn.BITXOR(D716,B716)</f>
        <v/>
      </c>
      <c r="G716">
        <f>IF(F716=1,_xlfn.BITXOR(E716,33800),E716)</f>
        <v/>
      </c>
    </row>
    <row r="717">
      <c r="A717" t="n">
        <v>711</v>
      </c>
      <c r="B717">
        <f>_DestuffedBits!C712</f>
        <v/>
      </c>
      <c r="C717">
        <f>G716</f>
        <v/>
      </c>
      <c r="D717">
        <f>_xlfn.BITAND(C717,1)</f>
        <v/>
      </c>
      <c r="E717">
        <f>_xlfn.BITRSHIFT(C717,1)</f>
        <v/>
      </c>
      <c r="F717">
        <f>_xlfn.BITXOR(D717,B717)</f>
        <v/>
      </c>
      <c r="G717">
        <f>IF(F717=1,_xlfn.BITXOR(E717,33800),E717)</f>
        <v/>
      </c>
    </row>
    <row r="718">
      <c r="A718" t="n">
        <v>712</v>
      </c>
      <c r="B718">
        <f>_DestuffedBits!C713</f>
        <v/>
      </c>
      <c r="C718">
        <f>G717</f>
        <v/>
      </c>
      <c r="D718">
        <f>_xlfn.BITAND(C718,1)</f>
        <v/>
      </c>
      <c r="E718">
        <f>_xlfn.BITRSHIFT(C718,1)</f>
        <v/>
      </c>
      <c r="F718">
        <f>_xlfn.BITXOR(D718,B718)</f>
        <v/>
      </c>
      <c r="G718">
        <f>IF(F718=1,_xlfn.BITXOR(E718,33800),E718)</f>
        <v/>
      </c>
    </row>
    <row r="719">
      <c r="A719" t="n">
        <v>713</v>
      </c>
      <c r="B719">
        <f>_DestuffedBits!C714</f>
        <v/>
      </c>
      <c r="C719">
        <f>G718</f>
        <v/>
      </c>
      <c r="D719">
        <f>_xlfn.BITAND(C719,1)</f>
        <v/>
      </c>
      <c r="E719">
        <f>_xlfn.BITRSHIFT(C719,1)</f>
        <v/>
      </c>
      <c r="F719">
        <f>_xlfn.BITXOR(D719,B719)</f>
        <v/>
      </c>
      <c r="G719">
        <f>IF(F719=1,_xlfn.BITXOR(E719,33800),E719)</f>
        <v/>
      </c>
    </row>
    <row r="720">
      <c r="A720" t="n">
        <v>714</v>
      </c>
      <c r="B720">
        <f>_DestuffedBits!C715</f>
        <v/>
      </c>
      <c r="C720">
        <f>G719</f>
        <v/>
      </c>
      <c r="D720">
        <f>_xlfn.BITAND(C720,1)</f>
        <v/>
      </c>
      <c r="E720">
        <f>_xlfn.BITRSHIFT(C720,1)</f>
        <v/>
      </c>
      <c r="F720">
        <f>_xlfn.BITXOR(D720,B720)</f>
        <v/>
      </c>
      <c r="G720">
        <f>IF(F720=1,_xlfn.BITXOR(E720,33800),E720)</f>
        <v/>
      </c>
    </row>
    <row r="721">
      <c r="A721" t="n">
        <v>715</v>
      </c>
      <c r="B721">
        <f>_DestuffedBits!C716</f>
        <v/>
      </c>
      <c r="C721">
        <f>G720</f>
        <v/>
      </c>
      <c r="D721">
        <f>_xlfn.BITAND(C721,1)</f>
        <v/>
      </c>
      <c r="E721">
        <f>_xlfn.BITRSHIFT(C721,1)</f>
        <v/>
      </c>
      <c r="F721">
        <f>_xlfn.BITXOR(D721,B721)</f>
        <v/>
      </c>
      <c r="G721">
        <f>IF(F721=1,_xlfn.BITXOR(E721,33800),E721)</f>
        <v/>
      </c>
    </row>
    <row r="722">
      <c r="A722" t="n">
        <v>716</v>
      </c>
      <c r="B722">
        <f>_DestuffedBits!C717</f>
        <v/>
      </c>
      <c r="C722">
        <f>G721</f>
        <v/>
      </c>
      <c r="D722">
        <f>_xlfn.BITAND(C722,1)</f>
        <v/>
      </c>
      <c r="E722">
        <f>_xlfn.BITRSHIFT(C722,1)</f>
        <v/>
      </c>
      <c r="F722">
        <f>_xlfn.BITXOR(D722,B722)</f>
        <v/>
      </c>
      <c r="G722">
        <f>IF(F722=1,_xlfn.BITXOR(E722,33800),E722)</f>
        <v/>
      </c>
    </row>
    <row r="723">
      <c r="A723" t="n">
        <v>717</v>
      </c>
      <c r="B723">
        <f>_DestuffedBits!C718</f>
        <v/>
      </c>
      <c r="C723">
        <f>G722</f>
        <v/>
      </c>
      <c r="D723">
        <f>_xlfn.BITAND(C723,1)</f>
        <v/>
      </c>
      <c r="E723">
        <f>_xlfn.BITRSHIFT(C723,1)</f>
        <v/>
      </c>
      <c r="F723">
        <f>_xlfn.BITXOR(D723,B723)</f>
        <v/>
      </c>
      <c r="G723">
        <f>IF(F723=1,_xlfn.BITXOR(E723,33800),E723)</f>
        <v/>
      </c>
    </row>
    <row r="724">
      <c r="A724" t="n">
        <v>718</v>
      </c>
      <c r="B724">
        <f>_DestuffedBits!C719</f>
        <v/>
      </c>
      <c r="C724">
        <f>G723</f>
        <v/>
      </c>
      <c r="D724">
        <f>_xlfn.BITAND(C724,1)</f>
        <v/>
      </c>
      <c r="E724">
        <f>_xlfn.BITRSHIFT(C724,1)</f>
        <v/>
      </c>
      <c r="F724">
        <f>_xlfn.BITXOR(D724,B724)</f>
        <v/>
      </c>
      <c r="G724">
        <f>IF(F724=1,_xlfn.BITXOR(E724,33800),E724)</f>
        <v/>
      </c>
    </row>
    <row r="725">
      <c r="A725" t="n">
        <v>719</v>
      </c>
      <c r="B725">
        <f>_DestuffedBits!C720</f>
        <v/>
      </c>
      <c r="C725">
        <f>G724</f>
        <v/>
      </c>
      <c r="D725">
        <f>_xlfn.BITAND(C725,1)</f>
        <v/>
      </c>
      <c r="E725">
        <f>_xlfn.BITRSHIFT(C725,1)</f>
        <v/>
      </c>
      <c r="F725">
        <f>_xlfn.BITXOR(D725,B725)</f>
        <v/>
      </c>
      <c r="G725">
        <f>IF(F725=1,_xlfn.BITXOR(E725,33800),E725)</f>
        <v/>
      </c>
    </row>
    <row r="726">
      <c r="A726" t="n">
        <v>720</v>
      </c>
      <c r="B726">
        <f>_DestuffedBits!C721</f>
        <v/>
      </c>
      <c r="C726">
        <f>G725</f>
        <v/>
      </c>
      <c r="D726">
        <f>_xlfn.BITAND(C726,1)</f>
        <v/>
      </c>
      <c r="E726">
        <f>_xlfn.BITRSHIFT(C726,1)</f>
        <v/>
      </c>
      <c r="F726">
        <f>_xlfn.BITXOR(D726,B726)</f>
        <v/>
      </c>
      <c r="G726">
        <f>IF(F726=1,_xlfn.BITXOR(E726,33800),E726)</f>
        <v/>
      </c>
    </row>
    <row r="727">
      <c r="A727" t="n">
        <v>721</v>
      </c>
      <c r="B727">
        <f>_DestuffedBits!C722</f>
        <v/>
      </c>
      <c r="C727">
        <f>G726</f>
        <v/>
      </c>
      <c r="D727">
        <f>_xlfn.BITAND(C727,1)</f>
        <v/>
      </c>
      <c r="E727">
        <f>_xlfn.BITRSHIFT(C727,1)</f>
        <v/>
      </c>
      <c r="F727">
        <f>_xlfn.BITXOR(D727,B727)</f>
        <v/>
      </c>
      <c r="G727">
        <f>IF(F727=1,_xlfn.BITXOR(E727,33800),E727)</f>
        <v/>
      </c>
    </row>
    <row r="728">
      <c r="A728" t="n">
        <v>722</v>
      </c>
      <c r="B728">
        <f>_DestuffedBits!C723</f>
        <v/>
      </c>
      <c r="C728">
        <f>G727</f>
        <v/>
      </c>
      <c r="D728">
        <f>_xlfn.BITAND(C728,1)</f>
        <v/>
      </c>
      <c r="E728">
        <f>_xlfn.BITRSHIFT(C728,1)</f>
        <v/>
      </c>
      <c r="F728">
        <f>_xlfn.BITXOR(D728,B728)</f>
        <v/>
      </c>
      <c r="G728">
        <f>IF(F728=1,_xlfn.BITXOR(E728,33800),E728)</f>
        <v/>
      </c>
    </row>
    <row r="729">
      <c r="A729" t="n">
        <v>723</v>
      </c>
      <c r="B729">
        <f>_DestuffedBits!C724</f>
        <v/>
      </c>
      <c r="C729">
        <f>G728</f>
        <v/>
      </c>
      <c r="D729">
        <f>_xlfn.BITAND(C729,1)</f>
        <v/>
      </c>
      <c r="E729">
        <f>_xlfn.BITRSHIFT(C729,1)</f>
        <v/>
      </c>
      <c r="F729">
        <f>_xlfn.BITXOR(D729,B729)</f>
        <v/>
      </c>
      <c r="G729">
        <f>IF(F729=1,_xlfn.BITXOR(E729,33800),E729)</f>
        <v/>
      </c>
    </row>
    <row r="730">
      <c r="A730" t="n">
        <v>724</v>
      </c>
      <c r="B730">
        <f>_DestuffedBits!C725</f>
        <v/>
      </c>
      <c r="C730">
        <f>G729</f>
        <v/>
      </c>
      <c r="D730">
        <f>_xlfn.BITAND(C730,1)</f>
        <v/>
      </c>
      <c r="E730">
        <f>_xlfn.BITRSHIFT(C730,1)</f>
        <v/>
      </c>
      <c r="F730">
        <f>_xlfn.BITXOR(D730,B730)</f>
        <v/>
      </c>
      <c r="G730">
        <f>IF(F730=1,_xlfn.BITXOR(E730,33800),E730)</f>
        <v/>
      </c>
    </row>
    <row r="731">
      <c r="A731" t="n">
        <v>725</v>
      </c>
      <c r="B731">
        <f>_DestuffedBits!C726</f>
        <v/>
      </c>
      <c r="C731">
        <f>G730</f>
        <v/>
      </c>
      <c r="D731">
        <f>_xlfn.BITAND(C731,1)</f>
        <v/>
      </c>
      <c r="E731">
        <f>_xlfn.BITRSHIFT(C731,1)</f>
        <v/>
      </c>
      <c r="F731">
        <f>_xlfn.BITXOR(D731,B731)</f>
        <v/>
      </c>
      <c r="G731">
        <f>IF(F731=1,_xlfn.BITXOR(E731,33800),E731)</f>
        <v/>
      </c>
    </row>
    <row r="732">
      <c r="A732" t="n">
        <v>726</v>
      </c>
      <c r="B732">
        <f>_DestuffedBits!C727</f>
        <v/>
      </c>
      <c r="C732">
        <f>G731</f>
        <v/>
      </c>
      <c r="D732">
        <f>_xlfn.BITAND(C732,1)</f>
        <v/>
      </c>
      <c r="E732">
        <f>_xlfn.BITRSHIFT(C732,1)</f>
        <v/>
      </c>
      <c r="F732">
        <f>_xlfn.BITXOR(D732,B732)</f>
        <v/>
      </c>
      <c r="G732">
        <f>IF(F732=1,_xlfn.BITXOR(E732,33800),E732)</f>
        <v/>
      </c>
    </row>
    <row r="733">
      <c r="A733" t="n">
        <v>727</v>
      </c>
      <c r="B733">
        <f>_DestuffedBits!C728</f>
        <v/>
      </c>
      <c r="C733">
        <f>G732</f>
        <v/>
      </c>
      <c r="D733">
        <f>_xlfn.BITAND(C733,1)</f>
        <v/>
      </c>
      <c r="E733">
        <f>_xlfn.BITRSHIFT(C733,1)</f>
        <v/>
      </c>
      <c r="F733">
        <f>_xlfn.BITXOR(D733,B733)</f>
        <v/>
      </c>
      <c r="G733">
        <f>IF(F733=1,_xlfn.BITXOR(E733,33800),E733)</f>
        <v/>
      </c>
    </row>
    <row r="734">
      <c r="A734" t="n">
        <v>728</v>
      </c>
      <c r="B734">
        <f>_DestuffedBits!C729</f>
        <v/>
      </c>
      <c r="C734">
        <f>G733</f>
        <v/>
      </c>
      <c r="D734">
        <f>_xlfn.BITAND(C734,1)</f>
        <v/>
      </c>
      <c r="E734">
        <f>_xlfn.BITRSHIFT(C734,1)</f>
        <v/>
      </c>
      <c r="F734">
        <f>_xlfn.BITXOR(D734,B734)</f>
        <v/>
      </c>
      <c r="G734">
        <f>IF(F734=1,_xlfn.BITXOR(E734,33800),E734)</f>
        <v/>
      </c>
    </row>
    <row r="735">
      <c r="A735" t="n">
        <v>729</v>
      </c>
      <c r="B735">
        <f>_DestuffedBits!C730</f>
        <v/>
      </c>
      <c r="C735">
        <f>G734</f>
        <v/>
      </c>
      <c r="D735">
        <f>_xlfn.BITAND(C735,1)</f>
        <v/>
      </c>
      <c r="E735">
        <f>_xlfn.BITRSHIFT(C735,1)</f>
        <v/>
      </c>
      <c r="F735">
        <f>_xlfn.BITXOR(D735,B735)</f>
        <v/>
      </c>
      <c r="G735">
        <f>IF(F735=1,_xlfn.BITXOR(E735,33800),E735)</f>
        <v/>
      </c>
    </row>
    <row r="736">
      <c r="A736" t="n">
        <v>730</v>
      </c>
      <c r="B736">
        <f>_DestuffedBits!C731</f>
        <v/>
      </c>
      <c r="C736">
        <f>G735</f>
        <v/>
      </c>
      <c r="D736">
        <f>_xlfn.BITAND(C736,1)</f>
        <v/>
      </c>
      <c r="E736">
        <f>_xlfn.BITRSHIFT(C736,1)</f>
        <v/>
      </c>
      <c r="F736">
        <f>_xlfn.BITXOR(D736,B736)</f>
        <v/>
      </c>
      <c r="G736">
        <f>IF(F736=1,_xlfn.BITXOR(E736,33800),E736)</f>
        <v/>
      </c>
    </row>
    <row r="737">
      <c r="A737" t="n">
        <v>731</v>
      </c>
      <c r="B737">
        <f>_DestuffedBits!C732</f>
        <v/>
      </c>
      <c r="C737">
        <f>G736</f>
        <v/>
      </c>
      <c r="D737">
        <f>_xlfn.BITAND(C737,1)</f>
        <v/>
      </c>
      <c r="E737">
        <f>_xlfn.BITRSHIFT(C737,1)</f>
        <v/>
      </c>
      <c r="F737">
        <f>_xlfn.BITXOR(D737,B737)</f>
        <v/>
      </c>
      <c r="G737">
        <f>IF(F737=1,_xlfn.BITXOR(E737,33800),E737)</f>
        <v/>
      </c>
    </row>
    <row r="738">
      <c r="A738" t="n">
        <v>732</v>
      </c>
      <c r="B738">
        <f>_DestuffedBits!C733</f>
        <v/>
      </c>
      <c r="C738">
        <f>G737</f>
        <v/>
      </c>
      <c r="D738">
        <f>_xlfn.BITAND(C738,1)</f>
        <v/>
      </c>
      <c r="E738">
        <f>_xlfn.BITRSHIFT(C738,1)</f>
        <v/>
      </c>
      <c r="F738">
        <f>_xlfn.BITXOR(D738,B738)</f>
        <v/>
      </c>
      <c r="G738">
        <f>IF(F738=1,_xlfn.BITXOR(E738,33800),E738)</f>
        <v/>
      </c>
    </row>
    <row r="739">
      <c r="A739" t="n">
        <v>733</v>
      </c>
      <c r="B739">
        <f>_DestuffedBits!C734</f>
        <v/>
      </c>
      <c r="C739">
        <f>G738</f>
        <v/>
      </c>
      <c r="D739">
        <f>_xlfn.BITAND(C739,1)</f>
        <v/>
      </c>
      <c r="E739">
        <f>_xlfn.BITRSHIFT(C739,1)</f>
        <v/>
      </c>
      <c r="F739">
        <f>_xlfn.BITXOR(D739,B739)</f>
        <v/>
      </c>
      <c r="G739">
        <f>IF(F739=1,_xlfn.BITXOR(E739,33800),E739)</f>
        <v/>
      </c>
    </row>
    <row r="740">
      <c r="A740" t="n">
        <v>734</v>
      </c>
      <c r="B740">
        <f>_DestuffedBits!C735</f>
        <v/>
      </c>
      <c r="C740">
        <f>G739</f>
        <v/>
      </c>
      <c r="D740">
        <f>_xlfn.BITAND(C740,1)</f>
        <v/>
      </c>
      <c r="E740">
        <f>_xlfn.BITRSHIFT(C740,1)</f>
        <v/>
      </c>
      <c r="F740">
        <f>_xlfn.BITXOR(D740,B740)</f>
        <v/>
      </c>
      <c r="G740">
        <f>IF(F740=1,_xlfn.BITXOR(E740,33800),E740)</f>
        <v/>
      </c>
    </row>
    <row r="741">
      <c r="A741" t="n">
        <v>735</v>
      </c>
      <c r="B741">
        <f>_DestuffedBits!C736</f>
        <v/>
      </c>
      <c r="C741">
        <f>G740</f>
        <v/>
      </c>
      <c r="D741">
        <f>_xlfn.BITAND(C741,1)</f>
        <v/>
      </c>
      <c r="E741">
        <f>_xlfn.BITRSHIFT(C741,1)</f>
        <v/>
      </c>
      <c r="F741">
        <f>_xlfn.BITXOR(D741,B741)</f>
        <v/>
      </c>
      <c r="G741">
        <f>IF(F741=1,_xlfn.BITXOR(E741,33800),E741)</f>
        <v/>
      </c>
    </row>
    <row r="742">
      <c r="A742" t="n">
        <v>736</v>
      </c>
      <c r="B742">
        <f>_DestuffedBits!C737</f>
        <v/>
      </c>
      <c r="C742">
        <f>G741</f>
        <v/>
      </c>
      <c r="D742">
        <f>_xlfn.BITAND(C742,1)</f>
        <v/>
      </c>
      <c r="E742">
        <f>_xlfn.BITRSHIFT(C742,1)</f>
        <v/>
      </c>
      <c r="F742">
        <f>_xlfn.BITXOR(D742,B742)</f>
        <v/>
      </c>
      <c r="G742">
        <f>IF(F742=1,_xlfn.BITXOR(E742,33800),E742)</f>
        <v/>
      </c>
    </row>
    <row r="743">
      <c r="A743" t="n">
        <v>737</v>
      </c>
      <c r="B743">
        <f>_DestuffedBits!C738</f>
        <v/>
      </c>
      <c r="C743">
        <f>G742</f>
        <v/>
      </c>
      <c r="D743">
        <f>_xlfn.BITAND(C743,1)</f>
        <v/>
      </c>
      <c r="E743">
        <f>_xlfn.BITRSHIFT(C743,1)</f>
        <v/>
      </c>
      <c r="F743">
        <f>_xlfn.BITXOR(D743,B743)</f>
        <v/>
      </c>
      <c r="G743">
        <f>IF(F743=1,_xlfn.BITXOR(E743,33800),E743)</f>
        <v/>
      </c>
    </row>
    <row r="744">
      <c r="A744" t="n">
        <v>738</v>
      </c>
      <c r="B744">
        <f>_DestuffedBits!C739</f>
        <v/>
      </c>
      <c r="C744">
        <f>G743</f>
        <v/>
      </c>
      <c r="D744">
        <f>_xlfn.BITAND(C744,1)</f>
        <v/>
      </c>
      <c r="E744">
        <f>_xlfn.BITRSHIFT(C744,1)</f>
        <v/>
      </c>
      <c r="F744">
        <f>_xlfn.BITXOR(D744,B744)</f>
        <v/>
      </c>
      <c r="G744">
        <f>IF(F744=1,_xlfn.BITXOR(E744,33800),E744)</f>
        <v/>
      </c>
    </row>
    <row r="745">
      <c r="A745" t="n">
        <v>739</v>
      </c>
      <c r="B745">
        <f>_DestuffedBits!C740</f>
        <v/>
      </c>
      <c r="C745">
        <f>G744</f>
        <v/>
      </c>
      <c r="D745">
        <f>_xlfn.BITAND(C745,1)</f>
        <v/>
      </c>
      <c r="E745">
        <f>_xlfn.BITRSHIFT(C745,1)</f>
        <v/>
      </c>
      <c r="F745">
        <f>_xlfn.BITXOR(D745,B745)</f>
        <v/>
      </c>
      <c r="G745">
        <f>IF(F745=1,_xlfn.BITXOR(E745,33800),E745)</f>
        <v/>
      </c>
    </row>
    <row r="746">
      <c r="A746" t="n">
        <v>740</v>
      </c>
      <c r="B746">
        <f>_DestuffedBits!C741</f>
        <v/>
      </c>
      <c r="C746">
        <f>G745</f>
        <v/>
      </c>
      <c r="D746">
        <f>_xlfn.BITAND(C746,1)</f>
        <v/>
      </c>
      <c r="E746">
        <f>_xlfn.BITRSHIFT(C746,1)</f>
        <v/>
      </c>
      <c r="F746">
        <f>_xlfn.BITXOR(D746,B746)</f>
        <v/>
      </c>
      <c r="G746">
        <f>IF(F746=1,_xlfn.BITXOR(E746,33800),E746)</f>
        <v/>
      </c>
    </row>
    <row r="747">
      <c r="A747" t="n">
        <v>741</v>
      </c>
      <c r="B747">
        <f>_DestuffedBits!C742</f>
        <v/>
      </c>
      <c r="C747">
        <f>G746</f>
        <v/>
      </c>
      <c r="D747">
        <f>_xlfn.BITAND(C747,1)</f>
        <v/>
      </c>
      <c r="E747">
        <f>_xlfn.BITRSHIFT(C747,1)</f>
        <v/>
      </c>
      <c r="F747">
        <f>_xlfn.BITXOR(D747,B747)</f>
        <v/>
      </c>
      <c r="G747">
        <f>IF(F747=1,_xlfn.BITXOR(E747,33800),E747)</f>
        <v/>
      </c>
    </row>
    <row r="748">
      <c r="A748" t="n">
        <v>742</v>
      </c>
      <c r="B748">
        <f>_DestuffedBits!C743</f>
        <v/>
      </c>
      <c r="C748">
        <f>G747</f>
        <v/>
      </c>
      <c r="D748">
        <f>_xlfn.BITAND(C748,1)</f>
        <v/>
      </c>
      <c r="E748">
        <f>_xlfn.BITRSHIFT(C748,1)</f>
        <v/>
      </c>
      <c r="F748">
        <f>_xlfn.BITXOR(D748,B748)</f>
        <v/>
      </c>
      <c r="G748">
        <f>IF(F748=1,_xlfn.BITXOR(E748,33800),E748)</f>
        <v/>
      </c>
    </row>
    <row r="749">
      <c r="A749" t="n">
        <v>743</v>
      </c>
      <c r="B749">
        <f>_DestuffedBits!C744</f>
        <v/>
      </c>
      <c r="C749">
        <f>G748</f>
        <v/>
      </c>
      <c r="D749">
        <f>_xlfn.BITAND(C749,1)</f>
        <v/>
      </c>
      <c r="E749">
        <f>_xlfn.BITRSHIFT(C749,1)</f>
        <v/>
      </c>
      <c r="F749">
        <f>_xlfn.BITXOR(D749,B749)</f>
        <v/>
      </c>
      <c r="G749">
        <f>IF(F749=1,_xlfn.BITXOR(E749,33800),E749)</f>
        <v/>
      </c>
    </row>
    <row r="750">
      <c r="A750" t="n">
        <v>744</v>
      </c>
      <c r="B750">
        <f>_DestuffedBits!C745</f>
        <v/>
      </c>
      <c r="C750">
        <f>G749</f>
        <v/>
      </c>
      <c r="D750">
        <f>_xlfn.BITAND(C750,1)</f>
        <v/>
      </c>
      <c r="E750">
        <f>_xlfn.BITRSHIFT(C750,1)</f>
        <v/>
      </c>
      <c r="F750">
        <f>_xlfn.BITXOR(D750,B750)</f>
        <v/>
      </c>
      <c r="G750">
        <f>IF(F750=1,_xlfn.BITXOR(E750,33800),E750)</f>
        <v/>
      </c>
    </row>
    <row r="751">
      <c r="A751" t="n">
        <v>745</v>
      </c>
      <c r="B751">
        <f>_DestuffedBits!C746</f>
        <v/>
      </c>
      <c r="C751">
        <f>G750</f>
        <v/>
      </c>
      <c r="D751">
        <f>_xlfn.BITAND(C751,1)</f>
        <v/>
      </c>
      <c r="E751">
        <f>_xlfn.BITRSHIFT(C751,1)</f>
        <v/>
      </c>
      <c r="F751">
        <f>_xlfn.BITXOR(D751,B751)</f>
        <v/>
      </c>
      <c r="G751">
        <f>IF(F751=1,_xlfn.BITXOR(E751,33800),E751)</f>
        <v/>
      </c>
    </row>
    <row r="752">
      <c r="A752" t="n">
        <v>746</v>
      </c>
      <c r="B752">
        <f>_DestuffedBits!C747</f>
        <v/>
      </c>
      <c r="C752">
        <f>G751</f>
        <v/>
      </c>
      <c r="D752">
        <f>_xlfn.BITAND(C752,1)</f>
        <v/>
      </c>
      <c r="E752">
        <f>_xlfn.BITRSHIFT(C752,1)</f>
        <v/>
      </c>
      <c r="F752">
        <f>_xlfn.BITXOR(D752,B752)</f>
        <v/>
      </c>
      <c r="G752">
        <f>IF(F752=1,_xlfn.BITXOR(E752,33800),E752)</f>
        <v/>
      </c>
    </row>
    <row r="753">
      <c r="A753" t="n">
        <v>747</v>
      </c>
      <c r="B753">
        <f>_DestuffedBits!C748</f>
        <v/>
      </c>
      <c r="C753">
        <f>G752</f>
        <v/>
      </c>
      <c r="D753">
        <f>_xlfn.BITAND(C753,1)</f>
        <v/>
      </c>
      <c r="E753">
        <f>_xlfn.BITRSHIFT(C753,1)</f>
        <v/>
      </c>
      <c r="F753">
        <f>_xlfn.BITXOR(D753,B753)</f>
        <v/>
      </c>
      <c r="G753">
        <f>IF(F753=1,_xlfn.BITXOR(E753,33800),E753)</f>
        <v/>
      </c>
    </row>
    <row r="754">
      <c r="A754" t="n">
        <v>748</v>
      </c>
      <c r="B754">
        <f>_DestuffedBits!C749</f>
        <v/>
      </c>
      <c r="C754">
        <f>G753</f>
        <v/>
      </c>
      <c r="D754">
        <f>_xlfn.BITAND(C754,1)</f>
        <v/>
      </c>
      <c r="E754">
        <f>_xlfn.BITRSHIFT(C754,1)</f>
        <v/>
      </c>
      <c r="F754">
        <f>_xlfn.BITXOR(D754,B754)</f>
        <v/>
      </c>
      <c r="G754">
        <f>IF(F754=1,_xlfn.BITXOR(E754,33800),E754)</f>
        <v/>
      </c>
    </row>
    <row r="755">
      <c r="A755" t="n">
        <v>749</v>
      </c>
      <c r="B755">
        <f>_DestuffedBits!C750</f>
        <v/>
      </c>
      <c r="C755">
        <f>G754</f>
        <v/>
      </c>
      <c r="D755">
        <f>_xlfn.BITAND(C755,1)</f>
        <v/>
      </c>
      <c r="E755">
        <f>_xlfn.BITRSHIFT(C755,1)</f>
        <v/>
      </c>
      <c r="F755">
        <f>_xlfn.BITXOR(D755,B755)</f>
        <v/>
      </c>
      <c r="G755">
        <f>IF(F755=1,_xlfn.BITXOR(E755,33800),E755)</f>
        <v/>
      </c>
    </row>
    <row r="756">
      <c r="A756" t="n">
        <v>750</v>
      </c>
      <c r="B756">
        <f>_DestuffedBits!C751</f>
        <v/>
      </c>
      <c r="C756">
        <f>G755</f>
        <v/>
      </c>
      <c r="D756">
        <f>_xlfn.BITAND(C756,1)</f>
        <v/>
      </c>
      <c r="E756">
        <f>_xlfn.BITRSHIFT(C756,1)</f>
        <v/>
      </c>
      <c r="F756">
        <f>_xlfn.BITXOR(D756,B756)</f>
        <v/>
      </c>
      <c r="G756">
        <f>IF(F756=1,_xlfn.BITXOR(E756,33800),E756)</f>
        <v/>
      </c>
    </row>
    <row r="757">
      <c r="A757" t="n">
        <v>751</v>
      </c>
      <c r="B757">
        <f>_DestuffedBits!C752</f>
        <v/>
      </c>
      <c r="C757">
        <f>G756</f>
        <v/>
      </c>
      <c r="D757">
        <f>_xlfn.BITAND(C757,1)</f>
        <v/>
      </c>
      <c r="E757">
        <f>_xlfn.BITRSHIFT(C757,1)</f>
        <v/>
      </c>
      <c r="F757">
        <f>_xlfn.BITXOR(D757,B757)</f>
        <v/>
      </c>
      <c r="G757">
        <f>IF(F757=1,_xlfn.BITXOR(E757,33800),E757)</f>
        <v/>
      </c>
    </row>
    <row r="758">
      <c r="A758" t="n">
        <v>752</v>
      </c>
      <c r="B758">
        <f>_DestuffedBits!C753</f>
        <v/>
      </c>
      <c r="C758">
        <f>G757</f>
        <v/>
      </c>
      <c r="D758">
        <f>_xlfn.BITAND(C758,1)</f>
        <v/>
      </c>
      <c r="E758">
        <f>_xlfn.BITRSHIFT(C758,1)</f>
        <v/>
      </c>
      <c r="F758">
        <f>_xlfn.BITXOR(D758,B758)</f>
        <v/>
      </c>
      <c r="G758">
        <f>IF(F758=1,_xlfn.BITXOR(E758,33800),E758)</f>
        <v/>
      </c>
    </row>
    <row r="759">
      <c r="A759" t="n">
        <v>753</v>
      </c>
      <c r="B759">
        <f>_DestuffedBits!C754</f>
        <v/>
      </c>
      <c r="C759">
        <f>G758</f>
        <v/>
      </c>
      <c r="D759">
        <f>_xlfn.BITAND(C759,1)</f>
        <v/>
      </c>
      <c r="E759">
        <f>_xlfn.BITRSHIFT(C759,1)</f>
        <v/>
      </c>
      <c r="F759">
        <f>_xlfn.BITXOR(D759,B759)</f>
        <v/>
      </c>
      <c r="G759">
        <f>IF(F759=1,_xlfn.BITXOR(E759,33800),E759)</f>
        <v/>
      </c>
    </row>
    <row r="760">
      <c r="A760" t="n">
        <v>754</v>
      </c>
      <c r="B760">
        <f>_DestuffedBits!C755</f>
        <v/>
      </c>
      <c r="C760">
        <f>G759</f>
        <v/>
      </c>
      <c r="D760">
        <f>_xlfn.BITAND(C760,1)</f>
        <v/>
      </c>
      <c r="E760">
        <f>_xlfn.BITRSHIFT(C760,1)</f>
        <v/>
      </c>
      <c r="F760">
        <f>_xlfn.BITXOR(D760,B760)</f>
        <v/>
      </c>
      <c r="G760">
        <f>IF(F760=1,_xlfn.BITXOR(E760,33800),E760)</f>
        <v/>
      </c>
    </row>
    <row r="761">
      <c r="A761" t="n">
        <v>755</v>
      </c>
      <c r="B761">
        <f>_DestuffedBits!C756</f>
        <v/>
      </c>
      <c r="C761">
        <f>G760</f>
        <v/>
      </c>
      <c r="D761">
        <f>_xlfn.BITAND(C761,1)</f>
        <v/>
      </c>
      <c r="E761">
        <f>_xlfn.BITRSHIFT(C761,1)</f>
        <v/>
      </c>
      <c r="F761">
        <f>_xlfn.BITXOR(D761,B761)</f>
        <v/>
      </c>
      <c r="G761">
        <f>IF(F761=1,_xlfn.BITXOR(E761,33800),E761)</f>
        <v/>
      </c>
    </row>
    <row r="762">
      <c r="A762" t="n">
        <v>756</v>
      </c>
      <c r="B762">
        <f>_DestuffedBits!C757</f>
        <v/>
      </c>
      <c r="C762">
        <f>G761</f>
        <v/>
      </c>
      <c r="D762">
        <f>_xlfn.BITAND(C762,1)</f>
        <v/>
      </c>
      <c r="E762">
        <f>_xlfn.BITRSHIFT(C762,1)</f>
        <v/>
      </c>
      <c r="F762">
        <f>_xlfn.BITXOR(D762,B762)</f>
        <v/>
      </c>
      <c r="G762">
        <f>IF(F762=1,_xlfn.BITXOR(E762,33800),E762)</f>
        <v/>
      </c>
    </row>
    <row r="763">
      <c r="A763" t="n">
        <v>757</v>
      </c>
      <c r="B763">
        <f>_DestuffedBits!C758</f>
        <v/>
      </c>
      <c r="C763">
        <f>G762</f>
        <v/>
      </c>
      <c r="D763">
        <f>_xlfn.BITAND(C763,1)</f>
        <v/>
      </c>
      <c r="E763">
        <f>_xlfn.BITRSHIFT(C763,1)</f>
        <v/>
      </c>
      <c r="F763">
        <f>_xlfn.BITXOR(D763,B763)</f>
        <v/>
      </c>
      <c r="G763">
        <f>IF(F763=1,_xlfn.BITXOR(E763,33800),E763)</f>
        <v/>
      </c>
    </row>
    <row r="764">
      <c r="A764" t="n">
        <v>758</v>
      </c>
      <c r="B764">
        <f>_DestuffedBits!C759</f>
        <v/>
      </c>
      <c r="C764">
        <f>G763</f>
        <v/>
      </c>
      <c r="D764">
        <f>_xlfn.BITAND(C764,1)</f>
        <v/>
      </c>
      <c r="E764">
        <f>_xlfn.BITRSHIFT(C764,1)</f>
        <v/>
      </c>
      <c r="F764">
        <f>_xlfn.BITXOR(D764,B764)</f>
        <v/>
      </c>
      <c r="G764">
        <f>IF(F764=1,_xlfn.BITXOR(E764,33800),E764)</f>
        <v/>
      </c>
    </row>
    <row r="765">
      <c r="A765" t="n">
        <v>759</v>
      </c>
      <c r="B765">
        <f>_DestuffedBits!C760</f>
        <v/>
      </c>
      <c r="C765">
        <f>G764</f>
        <v/>
      </c>
      <c r="D765">
        <f>_xlfn.BITAND(C765,1)</f>
        <v/>
      </c>
      <c r="E765">
        <f>_xlfn.BITRSHIFT(C765,1)</f>
        <v/>
      </c>
      <c r="F765">
        <f>_xlfn.BITXOR(D765,B765)</f>
        <v/>
      </c>
      <c r="G765">
        <f>IF(F765=1,_xlfn.BITXOR(E765,33800),E765)</f>
        <v/>
      </c>
    </row>
    <row r="766">
      <c r="A766" t="n">
        <v>760</v>
      </c>
      <c r="B766">
        <f>_DestuffedBits!C761</f>
        <v/>
      </c>
      <c r="C766">
        <f>G765</f>
        <v/>
      </c>
      <c r="D766">
        <f>_xlfn.BITAND(C766,1)</f>
        <v/>
      </c>
      <c r="E766">
        <f>_xlfn.BITRSHIFT(C766,1)</f>
        <v/>
      </c>
      <c r="F766">
        <f>_xlfn.BITXOR(D766,B766)</f>
        <v/>
      </c>
      <c r="G766">
        <f>IF(F766=1,_xlfn.BITXOR(E766,33800),E766)</f>
        <v/>
      </c>
    </row>
    <row r="767">
      <c r="A767" t="n">
        <v>761</v>
      </c>
      <c r="B767">
        <f>_DestuffedBits!C762</f>
        <v/>
      </c>
      <c r="C767">
        <f>G766</f>
        <v/>
      </c>
      <c r="D767">
        <f>_xlfn.BITAND(C767,1)</f>
        <v/>
      </c>
      <c r="E767">
        <f>_xlfn.BITRSHIFT(C767,1)</f>
        <v/>
      </c>
      <c r="F767">
        <f>_xlfn.BITXOR(D767,B767)</f>
        <v/>
      </c>
      <c r="G767">
        <f>IF(F767=1,_xlfn.BITXOR(E767,33800),E767)</f>
        <v/>
      </c>
    </row>
    <row r="768">
      <c r="A768" t="n">
        <v>762</v>
      </c>
      <c r="B768">
        <f>_DestuffedBits!C763</f>
        <v/>
      </c>
      <c r="C768">
        <f>G767</f>
        <v/>
      </c>
      <c r="D768">
        <f>_xlfn.BITAND(C768,1)</f>
        <v/>
      </c>
      <c r="E768">
        <f>_xlfn.BITRSHIFT(C768,1)</f>
        <v/>
      </c>
      <c r="F768">
        <f>_xlfn.BITXOR(D768,B768)</f>
        <v/>
      </c>
      <c r="G768">
        <f>IF(F768=1,_xlfn.BITXOR(E768,33800),E768)</f>
        <v/>
      </c>
    </row>
    <row r="769">
      <c r="A769" t="n">
        <v>763</v>
      </c>
      <c r="B769">
        <f>_DestuffedBits!C764</f>
        <v/>
      </c>
      <c r="C769">
        <f>G768</f>
        <v/>
      </c>
      <c r="D769">
        <f>_xlfn.BITAND(C769,1)</f>
        <v/>
      </c>
      <c r="E769">
        <f>_xlfn.BITRSHIFT(C769,1)</f>
        <v/>
      </c>
      <c r="F769">
        <f>_xlfn.BITXOR(D769,B769)</f>
        <v/>
      </c>
      <c r="G769">
        <f>IF(F769=1,_xlfn.BITXOR(E769,33800),E769)</f>
        <v/>
      </c>
    </row>
    <row r="770">
      <c r="A770" t="n">
        <v>764</v>
      </c>
      <c r="B770">
        <f>_DestuffedBits!C765</f>
        <v/>
      </c>
      <c r="C770">
        <f>G769</f>
        <v/>
      </c>
      <c r="D770">
        <f>_xlfn.BITAND(C770,1)</f>
        <v/>
      </c>
      <c r="E770">
        <f>_xlfn.BITRSHIFT(C770,1)</f>
        <v/>
      </c>
      <c r="F770">
        <f>_xlfn.BITXOR(D770,B770)</f>
        <v/>
      </c>
      <c r="G770">
        <f>IF(F770=1,_xlfn.BITXOR(E770,33800),E770)</f>
        <v/>
      </c>
    </row>
    <row r="771">
      <c r="A771" t="n">
        <v>765</v>
      </c>
      <c r="B771">
        <f>_DestuffedBits!C766</f>
        <v/>
      </c>
      <c r="C771">
        <f>G770</f>
        <v/>
      </c>
      <c r="D771">
        <f>_xlfn.BITAND(C771,1)</f>
        <v/>
      </c>
      <c r="E771">
        <f>_xlfn.BITRSHIFT(C771,1)</f>
        <v/>
      </c>
      <c r="F771">
        <f>_xlfn.BITXOR(D771,B771)</f>
        <v/>
      </c>
      <c r="G771">
        <f>IF(F771=1,_xlfn.BITXOR(E771,33800),E771)</f>
        <v/>
      </c>
    </row>
    <row r="772">
      <c r="A772" t="n">
        <v>766</v>
      </c>
      <c r="B772">
        <f>_DestuffedBits!C767</f>
        <v/>
      </c>
      <c r="C772">
        <f>G771</f>
        <v/>
      </c>
      <c r="D772">
        <f>_xlfn.BITAND(C772,1)</f>
        <v/>
      </c>
      <c r="E772">
        <f>_xlfn.BITRSHIFT(C772,1)</f>
        <v/>
      </c>
      <c r="F772">
        <f>_xlfn.BITXOR(D772,B772)</f>
        <v/>
      </c>
      <c r="G772">
        <f>IF(F772=1,_xlfn.BITXOR(E772,33800),E772)</f>
        <v/>
      </c>
    </row>
    <row r="773">
      <c r="A773" t="n">
        <v>767</v>
      </c>
      <c r="B773">
        <f>_DestuffedBits!C768</f>
        <v/>
      </c>
      <c r="C773">
        <f>G772</f>
        <v/>
      </c>
      <c r="D773">
        <f>_xlfn.BITAND(C773,1)</f>
        <v/>
      </c>
      <c r="E773">
        <f>_xlfn.BITRSHIFT(C773,1)</f>
        <v/>
      </c>
      <c r="F773">
        <f>_xlfn.BITXOR(D773,B773)</f>
        <v/>
      </c>
      <c r="G773">
        <f>IF(F773=1,_xlfn.BITXOR(E773,33800),E773)</f>
        <v/>
      </c>
    </row>
    <row r="774">
      <c r="A774" t="n">
        <v>768</v>
      </c>
      <c r="B774">
        <f>_DestuffedBits!C769</f>
        <v/>
      </c>
      <c r="C774">
        <f>G773</f>
        <v/>
      </c>
      <c r="D774">
        <f>_xlfn.BITAND(C774,1)</f>
        <v/>
      </c>
      <c r="E774">
        <f>_xlfn.BITRSHIFT(C774,1)</f>
        <v/>
      </c>
      <c r="F774">
        <f>_xlfn.BITXOR(D774,B774)</f>
        <v/>
      </c>
      <c r="G774">
        <f>IF(F774=1,_xlfn.BITXOR(E774,33800),E774)</f>
        <v/>
      </c>
    </row>
    <row r="775">
      <c r="A775" t="n">
        <v>769</v>
      </c>
      <c r="B775">
        <f>_DestuffedBits!C770</f>
        <v/>
      </c>
      <c r="C775">
        <f>G774</f>
        <v/>
      </c>
      <c r="D775">
        <f>_xlfn.BITAND(C775,1)</f>
        <v/>
      </c>
      <c r="E775">
        <f>_xlfn.BITRSHIFT(C775,1)</f>
        <v/>
      </c>
      <c r="F775">
        <f>_xlfn.BITXOR(D775,B775)</f>
        <v/>
      </c>
      <c r="G775">
        <f>IF(F775=1,_xlfn.BITXOR(E775,33800),E775)</f>
        <v/>
      </c>
    </row>
    <row r="776">
      <c r="A776" t="n">
        <v>770</v>
      </c>
      <c r="B776">
        <f>_DestuffedBits!C771</f>
        <v/>
      </c>
      <c r="C776">
        <f>G775</f>
        <v/>
      </c>
      <c r="D776">
        <f>_xlfn.BITAND(C776,1)</f>
        <v/>
      </c>
      <c r="E776">
        <f>_xlfn.BITRSHIFT(C776,1)</f>
        <v/>
      </c>
      <c r="F776">
        <f>_xlfn.BITXOR(D776,B776)</f>
        <v/>
      </c>
      <c r="G776">
        <f>IF(F776=1,_xlfn.BITXOR(E776,33800),E776)</f>
        <v/>
      </c>
    </row>
    <row r="777">
      <c r="A777" t="n">
        <v>771</v>
      </c>
      <c r="B777">
        <f>_DestuffedBits!C772</f>
        <v/>
      </c>
      <c r="C777">
        <f>G776</f>
        <v/>
      </c>
      <c r="D777">
        <f>_xlfn.BITAND(C777,1)</f>
        <v/>
      </c>
      <c r="E777">
        <f>_xlfn.BITRSHIFT(C777,1)</f>
        <v/>
      </c>
      <c r="F777">
        <f>_xlfn.BITXOR(D777,B777)</f>
        <v/>
      </c>
      <c r="G777">
        <f>IF(F777=1,_xlfn.BITXOR(E777,33800),E777)</f>
        <v/>
      </c>
    </row>
    <row r="778">
      <c r="A778" t="n">
        <v>772</v>
      </c>
      <c r="B778">
        <f>_DestuffedBits!C773</f>
        <v/>
      </c>
      <c r="C778">
        <f>G777</f>
        <v/>
      </c>
      <c r="D778">
        <f>_xlfn.BITAND(C778,1)</f>
        <v/>
      </c>
      <c r="E778">
        <f>_xlfn.BITRSHIFT(C778,1)</f>
        <v/>
      </c>
      <c r="F778">
        <f>_xlfn.BITXOR(D778,B778)</f>
        <v/>
      </c>
      <c r="G778">
        <f>IF(F778=1,_xlfn.BITXOR(E778,33800),E778)</f>
        <v/>
      </c>
    </row>
    <row r="779">
      <c r="A779" t="n">
        <v>773</v>
      </c>
      <c r="B779">
        <f>_DestuffedBits!C774</f>
        <v/>
      </c>
      <c r="C779">
        <f>G778</f>
        <v/>
      </c>
      <c r="D779">
        <f>_xlfn.BITAND(C779,1)</f>
        <v/>
      </c>
      <c r="E779">
        <f>_xlfn.BITRSHIFT(C779,1)</f>
        <v/>
      </c>
      <c r="F779">
        <f>_xlfn.BITXOR(D779,B779)</f>
        <v/>
      </c>
      <c r="G779">
        <f>IF(F779=1,_xlfn.BITXOR(E779,33800),E779)</f>
        <v/>
      </c>
    </row>
    <row r="780">
      <c r="A780" t="n">
        <v>774</v>
      </c>
      <c r="B780">
        <f>_DestuffedBits!C775</f>
        <v/>
      </c>
      <c r="C780">
        <f>G779</f>
        <v/>
      </c>
      <c r="D780">
        <f>_xlfn.BITAND(C780,1)</f>
        <v/>
      </c>
      <c r="E780">
        <f>_xlfn.BITRSHIFT(C780,1)</f>
        <v/>
      </c>
      <c r="F780">
        <f>_xlfn.BITXOR(D780,B780)</f>
        <v/>
      </c>
      <c r="G780">
        <f>IF(F780=1,_xlfn.BITXOR(E780,33800),E780)</f>
        <v/>
      </c>
    </row>
    <row r="781">
      <c r="A781" t="n">
        <v>775</v>
      </c>
      <c r="B781">
        <f>_DestuffedBits!C776</f>
        <v/>
      </c>
      <c r="C781">
        <f>G780</f>
        <v/>
      </c>
      <c r="D781">
        <f>_xlfn.BITAND(C781,1)</f>
        <v/>
      </c>
      <c r="E781">
        <f>_xlfn.BITRSHIFT(C781,1)</f>
        <v/>
      </c>
      <c r="F781">
        <f>_xlfn.BITXOR(D781,B781)</f>
        <v/>
      </c>
      <c r="G781">
        <f>IF(F781=1,_xlfn.BITXOR(E781,33800),E781)</f>
        <v/>
      </c>
    </row>
    <row r="782">
      <c r="A782" t="n">
        <v>776</v>
      </c>
      <c r="B782">
        <f>_DestuffedBits!C777</f>
        <v/>
      </c>
      <c r="C782">
        <f>G781</f>
        <v/>
      </c>
      <c r="D782">
        <f>_xlfn.BITAND(C782,1)</f>
        <v/>
      </c>
      <c r="E782">
        <f>_xlfn.BITRSHIFT(C782,1)</f>
        <v/>
      </c>
      <c r="F782">
        <f>_xlfn.BITXOR(D782,B782)</f>
        <v/>
      </c>
      <c r="G782">
        <f>IF(F782=1,_xlfn.BITXOR(E782,33800),E782)</f>
        <v/>
      </c>
    </row>
    <row r="783">
      <c r="A783" t="n">
        <v>777</v>
      </c>
      <c r="B783">
        <f>_DestuffedBits!C778</f>
        <v/>
      </c>
      <c r="C783">
        <f>G782</f>
        <v/>
      </c>
      <c r="D783">
        <f>_xlfn.BITAND(C783,1)</f>
        <v/>
      </c>
      <c r="E783">
        <f>_xlfn.BITRSHIFT(C783,1)</f>
        <v/>
      </c>
      <c r="F783">
        <f>_xlfn.BITXOR(D783,B783)</f>
        <v/>
      </c>
      <c r="G783">
        <f>IF(F783=1,_xlfn.BITXOR(E783,33800),E783)</f>
        <v/>
      </c>
    </row>
    <row r="784">
      <c r="A784" t="n">
        <v>778</v>
      </c>
      <c r="B784">
        <f>_DestuffedBits!C779</f>
        <v/>
      </c>
      <c r="C784">
        <f>G783</f>
        <v/>
      </c>
      <c r="D784">
        <f>_xlfn.BITAND(C784,1)</f>
        <v/>
      </c>
      <c r="E784">
        <f>_xlfn.BITRSHIFT(C784,1)</f>
        <v/>
      </c>
      <c r="F784">
        <f>_xlfn.BITXOR(D784,B784)</f>
        <v/>
      </c>
      <c r="G784">
        <f>IF(F784=1,_xlfn.BITXOR(E784,33800),E784)</f>
        <v/>
      </c>
    </row>
    <row r="785">
      <c r="A785" t="n">
        <v>779</v>
      </c>
      <c r="B785">
        <f>_DestuffedBits!C780</f>
        <v/>
      </c>
      <c r="C785">
        <f>G784</f>
        <v/>
      </c>
      <c r="D785">
        <f>_xlfn.BITAND(C785,1)</f>
        <v/>
      </c>
      <c r="E785">
        <f>_xlfn.BITRSHIFT(C785,1)</f>
        <v/>
      </c>
      <c r="F785">
        <f>_xlfn.BITXOR(D785,B785)</f>
        <v/>
      </c>
      <c r="G785">
        <f>IF(F785=1,_xlfn.BITXOR(E785,33800),E785)</f>
        <v/>
      </c>
    </row>
    <row r="786">
      <c r="A786" t="n">
        <v>780</v>
      </c>
      <c r="B786">
        <f>_DestuffedBits!C781</f>
        <v/>
      </c>
      <c r="C786">
        <f>G785</f>
        <v/>
      </c>
      <c r="D786">
        <f>_xlfn.BITAND(C786,1)</f>
        <v/>
      </c>
      <c r="E786">
        <f>_xlfn.BITRSHIFT(C786,1)</f>
        <v/>
      </c>
      <c r="F786">
        <f>_xlfn.BITXOR(D786,B786)</f>
        <v/>
      </c>
      <c r="G786">
        <f>IF(F786=1,_xlfn.BITXOR(E786,33800),E786)</f>
        <v/>
      </c>
    </row>
    <row r="787">
      <c r="A787" t="n">
        <v>781</v>
      </c>
      <c r="B787">
        <f>_DestuffedBits!C782</f>
        <v/>
      </c>
      <c r="C787">
        <f>G786</f>
        <v/>
      </c>
      <c r="D787">
        <f>_xlfn.BITAND(C787,1)</f>
        <v/>
      </c>
      <c r="E787">
        <f>_xlfn.BITRSHIFT(C787,1)</f>
        <v/>
      </c>
      <c r="F787">
        <f>_xlfn.BITXOR(D787,B787)</f>
        <v/>
      </c>
      <c r="G787">
        <f>IF(F787=1,_xlfn.BITXOR(E787,33800),E787)</f>
        <v/>
      </c>
    </row>
    <row r="788">
      <c r="A788" t="n">
        <v>782</v>
      </c>
      <c r="B788">
        <f>_DestuffedBits!C783</f>
        <v/>
      </c>
      <c r="C788">
        <f>G787</f>
        <v/>
      </c>
      <c r="D788">
        <f>_xlfn.BITAND(C788,1)</f>
        <v/>
      </c>
      <c r="E788">
        <f>_xlfn.BITRSHIFT(C788,1)</f>
        <v/>
      </c>
      <c r="F788">
        <f>_xlfn.BITXOR(D788,B788)</f>
        <v/>
      </c>
      <c r="G788">
        <f>IF(F788=1,_xlfn.BITXOR(E788,33800),E788)</f>
        <v/>
      </c>
    </row>
    <row r="789">
      <c r="A789" t="n">
        <v>783</v>
      </c>
      <c r="B789">
        <f>_DestuffedBits!C784</f>
        <v/>
      </c>
      <c r="C789">
        <f>G788</f>
        <v/>
      </c>
      <c r="D789">
        <f>_xlfn.BITAND(C789,1)</f>
        <v/>
      </c>
      <c r="E789">
        <f>_xlfn.BITRSHIFT(C789,1)</f>
        <v/>
      </c>
      <c r="F789">
        <f>_xlfn.BITXOR(D789,B789)</f>
        <v/>
      </c>
      <c r="G789">
        <f>IF(F789=1,_xlfn.BITXOR(E789,33800),E789)</f>
        <v/>
      </c>
    </row>
    <row r="790">
      <c r="A790" t="n">
        <v>784</v>
      </c>
      <c r="B790">
        <f>_DestuffedBits!C785</f>
        <v/>
      </c>
      <c r="C790">
        <f>G789</f>
        <v/>
      </c>
      <c r="D790">
        <f>_xlfn.BITAND(C790,1)</f>
        <v/>
      </c>
      <c r="E790">
        <f>_xlfn.BITRSHIFT(C790,1)</f>
        <v/>
      </c>
      <c r="F790">
        <f>_xlfn.BITXOR(D790,B790)</f>
        <v/>
      </c>
      <c r="G790">
        <f>IF(F790=1,_xlfn.BITXOR(E790,33800),E790)</f>
        <v/>
      </c>
    </row>
    <row r="791">
      <c r="A791" t="n">
        <v>785</v>
      </c>
      <c r="B791">
        <f>_DestuffedBits!C786</f>
        <v/>
      </c>
      <c r="C791">
        <f>G790</f>
        <v/>
      </c>
      <c r="D791">
        <f>_xlfn.BITAND(C791,1)</f>
        <v/>
      </c>
      <c r="E791">
        <f>_xlfn.BITRSHIFT(C791,1)</f>
        <v/>
      </c>
      <c r="F791">
        <f>_xlfn.BITXOR(D791,B791)</f>
        <v/>
      </c>
      <c r="G791">
        <f>IF(F791=1,_xlfn.BITXOR(E791,33800),E791)</f>
        <v/>
      </c>
    </row>
    <row r="792">
      <c r="A792" t="n">
        <v>786</v>
      </c>
      <c r="B792">
        <f>_DestuffedBits!C787</f>
        <v/>
      </c>
      <c r="C792">
        <f>G791</f>
        <v/>
      </c>
      <c r="D792">
        <f>_xlfn.BITAND(C792,1)</f>
        <v/>
      </c>
      <c r="E792">
        <f>_xlfn.BITRSHIFT(C792,1)</f>
        <v/>
      </c>
      <c r="F792">
        <f>_xlfn.BITXOR(D792,B792)</f>
        <v/>
      </c>
      <c r="G792">
        <f>IF(F792=1,_xlfn.BITXOR(E792,33800),E792)</f>
        <v/>
      </c>
    </row>
    <row r="793">
      <c r="A793" t="n">
        <v>787</v>
      </c>
      <c r="B793">
        <f>_DestuffedBits!C788</f>
        <v/>
      </c>
      <c r="C793">
        <f>G792</f>
        <v/>
      </c>
      <c r="D793">
        <f>_xlfn.BITAND(C793,1)</f>
        <v/>
      </c>
      <c r="E793">
        <f>_xlfn.BITRSHIFT(C793,1)</f>
        <v/>
      </c>
      <c r="F793">
        <f>_xlfn.BITXOR(D793,B793)</f>
        <v/>
      </c>
      <c r="G793">
        <f>IF(F793=1,_xlfn.BITXOR(E793,33800),E793)</f>
        <v/>
      </c>
    </row>
    <row r="794">
      <c r="A794" t="n">
        <v>788</v>
      </c>
      <c r="B794">
        <f>_DestuffedBits!C789</f>
        <v/>
      </c>
      <c r="C794">
        <f>G793</f>
        <v/>
      </c>
      <c r="D794">
        <f>_xlfn.BITAND(C794,1)</f>
        <v/>
      </c>
      <c r="E794">
        <f>_xlfn.BITRSHIFT(C794,1)</f>
        <v/>
      </c>
      <c r="F794">
        <f>_xlfn.BITXOR(D794,B794)</f>
        <v/>
      </c>
      <c r="G794">
        <f>IF(F794=1,_xlfn.BITXOR(E794,33800),E794)</f>
        <v/>
      </c>
    </row>
    <row r="795">
      <c r="A795" t="n">
        <v>789</v>
      </c>
      <c r="B795">
        <f>_DestuffedBits!C790</f>
        <v/>
      </c>
      <c r="C795">
        <f>G794</f>
        <v/>
      </c>
      <c r="D795">
        <f>_xlfn.BITAND(C795,1)</f>
        <v/>
      </c>
      <c r="E795">
        <f>_xlfn.BITRSHIFT(C795,1)</f>
        <v/>
      </c>
      <c r="F795">
        <f>_xlfn.BITXOR(D795,B795)</f>
        <v/>
      </c>
      <c r="G795">
        <f>IF(F795=1,_xlfn.BITXOR(E795,33800),E795)</f>
        <v/>
      </c>
    </row>
    <row r="796">
      <c r="A796" t="n">
        <v>790</v>
      </c>
      <c r="B796">
        <f>_DestuffedBits!C791</f>
        <v/>
      </c>
      <c r="C796">
        <f>G795</f>
        <v/>
      </c>
      <c r="D796">
        <f>_xlfn.BITAND(C796,1)</f>
        <v/>
      </c>
      <c r="E796">
        <f>_xlfn.BITRSHIFT(C796,1)</f>
        <v/>
      </c>
      <c r="F796">
        <f>_xlfn.BITXOR(D796,B796)</f>
        <v/>
      </c>
      <c r="G796">
        <f>IF(F796=1,_xlfn.BITXOR(E796,33800),E796)</f>
        <v/>
      </c>
    </row>
    <row r="797">
      <c r="A797" t="n">
        <v>791</v>
      </c>
      <c r="B797">
        <f>_DestuffedBits!C792</f>
        <v/>
      </c>
      <c r="C797">
        <f>G796</f>
        <v/>
      </c>
      <c r="D797">
        <f>_xlfn.BITAND(C797,1)</f>
        <v/>
      </c>
      <c r="E797">
        <f>_xlfn.BITRSHIFT(C797,1)</f>
        <v/>
      </c>
      <c r="F797">
        <f>_xlfn.BITXOR(D797,B797)</f>
        <v/>
      </c>
      <c r="G797">
        <f>IF(F797=1,_xlfn.BITXOR(E797,33800),E797)</f>
        <v/>
      </c>
    </row>
    <row r="798">
      <c r="A798" t="n">
        <v>792</v>
      </c>
      <c r="B798">
        <f>_DestuffedBits!C793</f>
        <v/>
      </c>
      <c r="C798">
        <f>G797</f>
        <v/>
      </c>
      <c r="D798">
        <f>_xlfn.BITAND(C798,1)</f>
        <v/>
      </c>
      <c r="E798">
        <f>_xlfn.BITRSHIFT(C798,1)</f>
        <v/>
      </c>
      <c r="F798">
        <f>_xlfn.BITXOR(D798,B798)</f>
        <v/>
      </c>
      <c r="G798">
        <f>IF(F798=1,_xlfn.BITXOR(E798,33800),E798)</f>
        <v/>
      </c>
    </row>
    <row r="799">
      <c r="A799" t="n">
        <v>793</v>
      </c>
      <c r="B799">
        <f>_DestuffedBits!C794</f>
        <v/>
      </c>
      <c r="C799">
        <f>G798</f>
        <v/>
      </c>
      <c r="D799">
        <f>_xlfn.BITAND(C799,1)</f>
        <v/>
      </c>
      <c r="E799">
        <f>_xlfn.BITRSHIFT(C799,1)</f>
        <v/>
      </c>
      <c r="F799">
        <f>_xlfn.BITXOR(D799,B799)</f>
        <v/>
      </c>
      <c r="G799">
        <f>IF(F799=1,_xlfn.BITXOR(E799,33800),E799)</f>
        <v/>
      </c>
    </row>
    <row r="800">
      <c r="A800" t="n">
        <v>794</v>
      </c>
      <c r="B800">
        <f>_DestuffedBits!C795</f>
        <v/>
      </c>
      <c r="C800">
        <f>G799</f>
        <v/>
      </c>
      <c r="D800">
        <f>_xlfn.BITAND(C800,1)</f>
        <v/>
      </c>
      <c r="E800">
        <f>_xlfn.BITRSHIFT(C800,1)</f>
        <v/>
      </c>
      <c r="F800">
        <f>_xlfn.BITXOR(D800,B800)</f>
        <v/>
      </c>
      <c r="G800">
        <f>IF(F800=1,_xlfn.BITXOR(E800,33800),E800)</f>
        <v/>
      </c>
    </row>
    <row r="801">
      <c r="A801" t="n">
        <v>795</v>
      </c>
      <c r="B801">
        <f>_DestuffedBits!C796</f>
        <v/>
      </c>
      <c r="C801">
        <f>G800</f>
        <v/>
      </c>
      <c r="D801">
        <f>_xlfn.BITAND(C801,1)</f>
        <v/>
      </c>
      <c r="E801">
        <f>_xlfn.BITRSHIFT(C801,1)</f>
        <v/>
      </c>
      <c r="F801">
        <f>_xlfn.BITXOR(D801,B801)</f>
        <v/>
      </c>
      <c r="G801">
        <f>IF(F801=1,_xlfn.BITXOR(E801,33800),E801)</f>
        <v/>
      </c>
    </row>
    <row r="802">
      <c r="A802" t="n">
        <v>796</v>
      </c>
      <c r="B802">
        <f>_DestuffedBits!C797</f>
        <v/>
      </c>
      <c r="C802">
        <f>G801</f>
        <v/>
      </c>
      <c r="D802">
        <f>_xlfn.BITAND(C802,1)</f>
        <v/>
      </c>
      <c r="E802">
        <f>_xlfn.BITRSHIFT(C802,1)</f>
        <v/>
      </c>
      <c r="F802">
        <f>_xlfn.BITXOR(D802,B802)</f>
        <v/>
      </c>
      <c r="G802">
        <f>IF(F802=1,_xlfn.BITXOR(E802,33800),E802)</f>
        <v/>
      </c>
    </row>
    <row r="803">
      <c r="A803" t="n">
        <v>797</v>
      </c>
      <c r="B803">
        <f>_DestuffedBits!C798</f>
        <v/>
      </c>
      <c r="C803">
        <f>G802</f>
        <v/>
      </c>
      <c r="D803">
        <f>_xlfn.BITAND(C803,1)</f>
        <v/>
      </c>
      <c r="E803">
        <f>_xlfn.BITRSHIFT(C803,1)</f>
        <v/>
      </c>
      <c r="F803">
        <f>_xlfn.BITXOR(D803,B803)</f>
        <v/>
      </c>
      <c r="G803">
        <f>IF(F803=1,_xlfn.BITXOR(E803,33800),E803)</f>
        <v/>
      </c>
    </row>
    <row r="804">
      <c r="A804" t="n">
        <v>798</v>
      </c>
      <c r="B804">
        <f>_DestuffedBits!C799</f>
        <v/>
      </c>
      <c r="C804">
        <f>G803</f>
        <v/>
      </c>
      <c r="D804">
        <f>_xlfn.BITAND(C804,1)</f>
        <v/>
      </c>
      <c r="E804">
        <f>_xlfn.BITRSHIFT(C804,1)</f>
        <v/>
      </c>
      <c r="F804">
        <f>_xlfn.BITXOR(D804,B804)</f>
        <v/>
      </c>
      <c r="G804">
        <f>IF(F804=1,_xlfn.BITXOR(E804,33800),E804)</f>
        <v/>
      </c>
    </row>
    <row r="805">
      <c r="A805" t="n">
        <v>799</v>
      </c>
      <c r="B805">
        <f>_DestuffedBits!C800</f>
        <v/>
      </c>
      <c r="C805">
        <f>G804</f>
        <v/>
      </c>
      <c r="D805">
        <f>_xlfn.BITAND(C805,1)</f>
        <v/>
      </c>
      <c r="E805">
        <f>_xlfn.BITRSHIFT(C805,1)</f>
        <v/>
      </c>
      <c r="F805">
        <f>_xlfn.BITXOR(D805,B805)</f>
        <v/>
      </c>
      <c r="G805">
        <f>IF(F805=1,_xlfn.BITXOR(E805,33800),E805)</f>
        <v/>
      </c>
    </row>
    <row r="806">
      <c r="A806" t="n">
        <v>800</v>
      </c>
      <c r="B806">
        <f>_DestuffedBits!C801</f>
        <v/>
      </c>
      <c r="C806">
        <f>G805</f>
        <v/>
      </c>
      <c r="D806">
        <f>_xlfn.BITAND(C806,1)</f>
        <v/>
      </c>
      <c r="E806">
        <f>_xlfn.BITRSHIFT(C806,1)</f>
        <v/>
      </c>
      <c r="F806">
        <f>_xlfn.BITXOR(D806,B806)</f>
        <v/>
      </c>
      <c r="G806">
        <f>IF(F806=1,_xlfn.BITXOR(E806,33800),E806)</f>
        <v/>
      </c>
    </row>
    <row r="807">
      <c r="A807" t="n">
        <v>801</v>
      </c>
      <c r="B807">
        <f>_DestuffedBits!C802</f>
        <v/>
      </c>
      <c r="C807">
        <f>G806</f>
        <v/>
      </c>
      <c r="D807">
        <f>_xlfn.BITAND(C807,1)</f>
        <v/>
      </c>
      <c r="E807">
        <f>_xlfn.BITRSHIFT(C807,1)</f>
        <v/>
      </c>
      <c r="F807">
        <f>_xlfn.BITXOR(D807,B807)</f>
        <v/>
      </c>
      <c r="G807">
        <f>IF(F807=1,_xlfn.BITXOR(E807,33800),E807)</f>
        <v/>
      </c>
    </row>
    <row r="808">
      <c r="A808" t="n">
        <v>802</v>
      </c>
      <c r="B808">
        <f>_DestuffedBits!C803</f>
        <v/>
      </c>
      <c r="C808">
        <f>G807</f>
        <v/>
      </c>
      <c r="D808">
        <f>_xlfn.BITAND(C808,1)</f>
        <v/>
      </c>
      <c r="E808">
        <f>_xlfn.BITRSHIFT(C808,1)</f>
        <v/>
      </c>
      <c r="F808">
        <f>_xlfn.BITXOR(D808,B808)</f>
        <v/>
      </c>
      <c r="G808">
        <f>IF(F808=1,_xlfn.BITXOR(E808,33800),E808)</f>
        <v/>
      </c>
    </row>
    <row r="809">
      <c r="A809" t="n">
        <v>803</v>
      </c>
      <c r="B809">
        <f>_DestuffedBits!C804</f>
        <v/>
      </c>
      <c r="C809">
        <f>G808</f>
        <v/>
      </c>
      <c r="D809">
        <f>_xlfn.BITAND(C809,1)</f>
        <v/>
      </c>
      <c r="E809">
        <f>_xlfn.BITRSHIFT(C809,1)</f>
        <v/>
      </c>
      <c r="F809">
        <f>_xlfn.BITXOR(D809,B809)</f>
        <v/>
      </c>
      <c r="G809">
        <f>IF(F809=1,_xlfn.BITXOR(E809,33800),E809)</f>
        <v/>
      </c>
    </row>
    <row r="810">
      <c r="A810" t="n">
        <v>804</v>
      </c>
      <c r="B810">
        <f>_DestuffedBits!C805</f>
        <v/>
      </c>
      <c r="C810">
        <f>G809</f>
        <v/>
      </c>
      <c r="D810">
        <f>_xlfn.BITAND(C810,1)</f>
        <v/>
      </c>
      <c r="E810">
        <f>_xlfn.BITRSHIFT(C810,1)</f>
        <v/>
      </c>
      <c r="F810">
        <f>_xlfn.BITXOR(D810,B810)</f>
        <v/>
      </c>
      <c r="G810">
        <f>IF(F810=1,_xlfn.BITXOR(E810,33800),E810)</f>
        <v/>
      </c>
    </row>
    <row r="811">
      <c r="A811" t="n">
        <v>805</v>
      </c>
      <c r="B811">
        <f>_DestuffedBits!C806</f>
        <v/>
      </c>
      <c r="C811">
        <f>G810</f>
        <v/>
      </c>
      <c r="D811">
        <f>_xlfn.BITAND(C811,1)</f>
        <v/>
      </c>
      <c r="E811">
        <f>_xlfn.BITRSHIFT(C811,1)</f>
        <v/>
      </c>
      <c r="F811">
        <f>_xlfn.BITXOR(D811,B811)</f>
        <v/>
      </c>
      <c r="G811">
        <f>IF(F811=1,_xlfn.BITXOR(E811,33800),E811)</f>
        <v/>
      </c>
    </row>
    <row r="812">
      <c r="A812" t="n">
        <v>806</v>
      </c>
      <c r="B812">
        <f>_DestuffedBits!C807</f>
        <v/>
      </c>
      <c r="C812">
        <f>G811</f>
        <v/>
      </c>
      <c r="D812">
        <f>_xlfn.BITAND(C812,1)</f>
        <v/>
      </c>
      <c r="E812">
        <f>_xlfn.BITRSHIFT(C812,1)</f>
        <v/>
      </c>
      <c r="F812">
        <f>_xlfn.BITXOR(D812,B812)</f>
        <v/>
      </c>
      <c r="G812">
        <f>IF(F812=1,_xlfn.BITXOR(E812,33800),E812)</f>
        <v/>
      </c>
    </row>
    <row r="813">
      <c r="A813" t="n">
        <v>807</v>
      </c>
      <c r="B813">
        <f>_DestuffedBits!C808</f>
        <v/>
      </c>
      <c r="C813">
        <f>G812</f>
        <v/>
      </c>
      <c r="D813">
        <f>_xlfn.BITAND(C813,1)</f>
        <v/>
      </c>
      <c r="E813">
        <f>_xlfn.BITRSHIFT(C813,1)</f>
        <v/>
      </c>
      <c r="F813">
        <f>_xlfn.BITXOR(D813,B813)</f>
        <v/>
      </c>
      <c r="G813">
        <f>IF(F813=1,_xlfn.BITXOR(E813,33800),E813)</f>
        <v/>
      </c>
    </row>
    <row r="814">
      <c r="A814" t="n">
        <v>808</v>
      </c>
      <c r="B814">
        <f>_DestuffedBits!C809</f>
        <v/>
      </c>
      <c r="C814">
        <f>G813</f>
        <v/>
      </c>
      <c r="D814">
        <f>_xlfn.BITAND(C814,1)</f>
        <v/>
      </c>
      <c r="E814">
        <f>_xlfn.BITRSHIFT(C814,1)</f>
        <v/>
      </c>
      <c r="F814">
        <f>_xlfn.BITXOR(D814,B814)</f>
        <v/>
      </c>
      <c r="G814">
        <f>IF(F814=1,_xlfn.BITXOR(E814,33800),E814)</f>
        <v/>
      </c>
    </row>
    <row r="815">
      <c r="A815" t="n">
        <v>809</v>
      </c>
      <c r="B815">
        <f>_DestuffedBits!C810</f>
        <v/>
      </c>
      <c r="C815">
        <f>G814</f>
        <v/>
      </c>
      <c r="D815">
        <f>_xlfn.BITAND(C815,1)</f>
        <v/>
      </c>
      <c r="E815">
        <f>_xlfn.BITRSHIFT(C815,1)</f>
        <v/>
      </c>
      <c r="F815">
        <f>_xlfn.BITXOR(D815,B815)</f>
        <v/>
      </c>
      <c r="G815">
        <f>IF(F815=1,_xlfn.BITXOR(E815,33800),E815)</f>
        <v/>
      </c>
    </row>
    <row r="816">
      <c r="A816" t="n">
        <v>810</v>
      </c>
      <c r="B816">
        <f>_DestuffedBits!C811</f>
        <v/>
      </c>
      <c r="C816">
        <f>G815</f>
        <v/>
      </c>
      <c r="D816">
        <f>_xlfn.BITAND(C816,1)</f>
        <v/>
      </c>
      <c r="E816">
        <f>_xlfn.BITRSHIFT(C816,1)</f>
        <v/>
      </c>
      <c r="F816">
        <f>_xlfn.BITXOR(D816,B816)</f>
        <v/>
      </c>
      <c r="G816">
        <f>IF(F816=1,_xlfn.BITXOR(E816,33800),E816)</f>
        <v/>
      </c>
    </row>
    <row r="817">
      <c r="A817" t="n">
        <v>811</v>
      </c>
      <c r="B817">
        <f>_DestuffedBits!C812</f>
        <v/>
      </c>
      <c r="C817">
        <f>G816</f>
        <v/>
      </c>
      <c r="D817">
        <f>_xlfn.BITAND(C817,1)</f>
        <v/>
      </c>
      <c r="E817">
        <f>_xlfn.BITRSHIFT(C817,1)</f>
        <v/>
      </c>
      <c r="F817">
        <f>_xlfn.BITXOR(D817,B817)</f>
        <v/>
      </c>
      <c r="G817">
        <f>IF(F817=1,_xlfn.BITXOR(E817,33800),E817)</f>
        <v/>
      </c>
    </row>
    <row r="818">
      <c r="A818" t="n">
        <v>812</v>
      </c>
      <c r="B818">
        <f>_DestuffedBits!C813</f>
        <v/>
      </c>
      <c r="C818">
        <f>G817</f>
        <v/>
      </c>
      <c r="D818">
        <f>_xlfn.BITAND(C818,1)</f>
        <v/>
      </c>
      <c r="E818">
        <f>_xlfn.BITRSHIFT(C818,1)</f>
        <v/>
      </c>
      <c r="F818">
        <f>_xlfn.BITXOR(D818,B818)</f>
        <v/>
      </c>
      <c r="G818">
        <f>IF(F818=1,_xlfn.BITXOR(E818,33800),E818)</f>
        <v/>
      </c>
    </row>
    <row r="819">
      <c r="A819" t="n">
        <v>813</v>
      </c>
      <c r="B819">
        <f>_DestuffedBits!C814</f>
        <v/>
      </c>
      <c r="C819">
        <f>G818</f>
        <v/>
      </c>
      <c r="D819">
        <f>_xlfn.BITAND(C819,1)</f>
        <v/>
      </c>
      <c r="E819">
        <f>_xlfn.BITRSHIFT(C819,1)</f>
        <v/>
      </c>
      <c r="F819">
        <f>_xlfn.BITXOR(D819,B819)</f>
        <v/>
      </c>
      <c r="G819">
        <f>IF(F819=1,_xlfn.BITXOR(E819,33800),E819)</f>
        <v/>
      </c>
    </row>
    <row r="820">
      <c r="A820" t="n">
        <v>814</v>
      </c>
      <c r="B820">
        <f>_DestuffedBits!C815</f>
        <v/>
      </c>
      <c r="C820">
        <f>G819</f>
        <v/>
      </c>
      <c r="D820">
        <f>_xlfn.BITAND(C820,1)</f>
        <v/>
      </c>
      <c r="E820">
        <f>_xlfn.BITRSHIFT(C820,1)</f>
        <v/>
      </c>
      <c r="F820">
        <f>_xlfn.BITXOR(D820,B820)</f>
        <v/>
      </c>
      <c r="G820">
        <f>IF(F820=1,_xlfn.BITXOR(E820,33800),E820)</f>
        <v/>
      </c>
    </row>
    <row r="821">
      <c r="A821" t="n">
        <v>815</v>
      </c>
      <c r="B821">
        <f>_DestuffedBits!C816</f>
        <v/>
      </c>
      <c r="C821">
        <f>G820</f>
        <v/>
      </c>
      <c r="D821">
        <f>_xlfn.BITAND(C821,1)</f>
        <v/>
      </c>
      <c r="E821">
        <f>_xlfn.BITRSHIFT(C821,1)</f>
        <v/>
      </c>
      <c r="F821">
        <f>_xlfn.BITXOR(D821,B821)</f>
        <v/>
      </c>
      <c r="G821">
        <f>IF(F821=1,_xlfn.BITXOR(E821,33800),E821)</f>
        <v/>
      </c>
    </row>
    <row r="822">
      <c r="A822" t="n">
        <v>816</v>
      </c>
      <c r="B822">
        <f>_DestuffedBits!C817</f>
        <v/>
      </c>
      <c r="C822">
        <f>G821</f>
        <v/>
      </c>
      <c r="D822">
        <f>_xlfn.BITAND(C822,1)</f>
        <v/>
      </c>
      <c r="E822">
        <f>_xlfn.BITRSHIFT(C822,1)</f>
        <v/>
      </c>
      <c r="F822">
        <f>_xlfn.BITXOR(D822,B822)</f>
        <v/>
      </c>
      <c r="G822">
        <f>IF(F822=1,_xlfn.BITXOR(E822,33800),E822)</f>
        <v/>
      </c>
    </row>
    <row r="823">
      <c r="A823" t="n">
        <v>817</v>
      </c>
      <c r="B823">
        <f>_DestuffedBits!C818</f>
        <v/>
      </c>
      <c r="C823">
        <f>G822</f>
        <v/>
      </c>
      <c r="D823">
        <f>_xlfn.BITAND(C823,1)</f>
        <v/>
      </c>
      <c r="E823">
        <f>_xlfn.BITRSHIFT(C823,1)</f>
        <v/>
      </c>
      <c r="F823">
        <f>_xlfn.BITXOR(D823,B823)</f>
        <v/>
      </c>
      <c r="G823">
        <f>IF(F823=1,_xlfn.BITXOR(E823,33800),E823)</f>
        <v/>
      </c>
    </row>
    <row r="824">
      <c r="A824" t="n">
        <v>818</v>
      </c>
      <c r="B824">
        <f>_DestuffedBits!C819</f>
        <v/>
      </c>
      <c r="C824">
        <f>G823</f>
        <v/>
      </c>
      <c r="D824">
        <f>_xlfn.BITAND(C824,1)</f>
        <v/>
      </c>
      <c r="E824">
        <f>_xlfn.BITRSHIFT(C824,1)</f>
        <v/>
      </c>
      <c r="F824">
        <f>_xlfn.BITXOR(D824,B824)</f>
        <v/>
      </c>
      <c r="G824">
        <f>IF(F824=1,_xlfn.BITXOR(E824,33800),E824)</f>
        <v/>
      </c>
    </row>
    <row r="825">
      <c r="A825" t="n">
        <v>819</v>
      </c>
      <c r="B825">
        <f>_DestuffedBits!C820</f>
        <v/>
      </c>
      <c r="C825">
        <f>G824</f>
        <v/>
      </c>
      <c r="D825">
        <f>_xlfn.BITAND(C825,1)</f>
        <v/>
      </c>
      <c r="E825">
        <f>_xlfn.BITRSHIFT(C825,1)</f>
        <v/>
      </c>
      <c r="F825">
        <f>_xlfn.BITXOR(D825,B825)</f>
        <v/>
      </c>
      <c r="G825">
        <f>IF(F825=1,_xlfn.BITXOR(E825,33800),E825)</f>
        <v/>
      </c>
    </row>
    <row r="826">
      <c r="A826" t="n">
        <v>820</v>
      </c>
      <c r="B826">
        <f>_DestuffedBits!C821</f>
        <v/>
      </c>
      <c r="C826">
        <f>G825</f>
        <v/>
      </c>
      <c r="D826">
        <f>_xlfn.BITAND(C826,1)</f>
        <v/>
      </c>
      <c r="E826">
        <f>_xlfn.BITRSHIFT(C826,1)</f>
        <v/>
      </c>
      <c r="F826">
        <f>_xlfn.BITXOR(D826,B826)</f>
        <v/>
      </c>
      <c r="G826">
        <f>IF(F826=1,_xlfn.BITXOR(E826,33800),E826)</f>
        <v/>
      </c>
    </row>
    <row r="827">
      <c r="A827" t="n">
        <v>821</v>
      </c>
      <c r="B827">
        <f>_DestuffedBits!C822</f>
        <v/>
      </c>
      <c r="C827">
        <f>G826</f>
        <v/>
      </c>
      <c r="D827">
        <f>_xlfn.BITAND(C827,1)</f>
        <v/>
      </c>
      <c r="E827">
        <f>_xlfn.BITRSHIFT(C827,1)</f>
        <v/>
      </c>
      <c r="F827">
        <f>_xlfn.BITXOR(D827,B827)</f>
        <v/>
      </c>
      <c r="G827">
        <f>IF(F827=1,_xlfn.BITXOR(E827,33800),E827)</f>
        <v/>
      </c>
    </row>
    <row r="828">
      <c r="A828" t="n">
        <v>822</v>
      </c>
      <c r="B828">
        <f>_DestuffedBits!C823</f>
        <v/>
      </c>
      <c r="C828">
        <f>G827</f>
        <v/>
      </c>
      <c r="D828">
        <f>_xlfn.BITAND(C828,1)</f>
        <v/>
      </c>
      <c r="E828">
        <f>_xlfn.BITRSHIFT(C828,1)</f>
        <v/>
      </c>
      <c r="F828">
        <f>_xlfn.BITXOR(D828,B828)</f>
        <v/>
      </c>
      <c r="G828">
        <f>IF(F828=1,_xlfn.BITXOR(E828,33800),E828)</f>
        <v/>
      </c>
    </row>
    <row r="829">
      <c r="A829" t="n">
        <v>823</v>
      </c>
      <c r="B829">
        <f>_DestuffedBits!C824</f>
        <v/>
      </c>
      <c r="C829">
        <f>G828</f>
        <v/>
      </c>
      <c r="D829">
        <f>_xlfn.BITAND(C829,1)</f>
        <v/>
      </c>
      <c r="E829">
        <f>_xlfn.BITRSHIFT(C829,1)</f>
        <v/>
      </c>
      <c r="F829">
        <f>_xlfn.BITXOR(D829,B829)</f>
        <v/>
      </c>
      <c r="G829">
        <f>IF(F829=1,_xlfn.BITXOR(E829,33800),E829)</f>
        <v/>
      </c>
    </row>
    <row r="830">
      <c r="A830" t="n">
        <v>824</v>
      </c>
      <c r="B830">
        <f>_DestuffedBits!C825</f>
        <v/>
      </c>
      <c r="C830">
        <f>G829</f>
        <v/>
      </c>
      <c r="D830">
        <f>_xlfn.BITAND(C830,1)</f>
        <v/>
      </c>
      <c r="E830">
        <f>_xlfn.BITRSHIFT(C830,1)</f>
        <v/>
      </c>
      <c r="F830">
        <f>_xlfn.BITXOR(D830,B830)</f>
        <v/>
      </c>
      <c r="G830">
        <f>IF(F830=1,_xlfn.BITXOR(E830,33800),E830)</f>
        <v/>
      </c>
    </row>
    <row r="831">
      <c r="A831" t="n">
        <v>825</v>
      </c>
      <c r="B831">
        <f>_DestuffedBits!C826</f>
        <v/>
      </c>
      <c r="C831">
        <f>G830</f>
        <v/>
      </c>
      <c r="D831">
        <f>_xlfn.BITAND(C831,1)</f>
        <v/>
      </c>
      <c r="E831">
        <f>_xlfn.BITRSHIFT(C831,1)</f>
        <v/>
      </c>
      <c r="F831">
        <f>_xlfn.BITXOR(D831,B831)</f>
        <v/>
      </c>
      <c r="G831">
        <f>IF(F831=1,_xlfn.BITXOR(E831,33800),E831)</f>
        <v/>
      </c>
    </row>
    <row r="832">
      <c r="A832" t="n">
        <v>826</v>
      </c>
      <c r="B832">
        <f>_DestuffedBits!C827</f>
        <v/>
      </c>
      <c r="C832">
        <f>G831</f>
        <v/>
      </c>
      <c r="D832">
        <f>_xlfn.BITAND(C832,1)</f>
        <v/>
      </c>
      <c r="E832">
        <f>_xlfn.BITRSHIFT(C832,1)</f>
        <v/>
      </c>
      <c r="F832">
        <f>_xlfn.BITXOR(D832,B832)</f>
        <v/>
      </c>
      <c r="G832">
        <f>IF(F832=1,_xlfn.BITXOR(E832,33800),E832)</f>
        <v/>
      </c>
    </row>
    <row r="833">
      <c r="A833" t="n">
        <v>827</v>
      </c>
      <c r="B833">
        <f>_DestuffedBits!C828</f>
        <v/>
      </c>
      <c r="C833">
        <f>G832</f>
        <v/>
      </c>
      <c r="D833">
        <f>_xlfn.BITAND(C833,1)</f>
        <v/>
      </c>
      <c r="E833">
        <f>_xlfn.BITRSHIFT(C833,1)</f>
        <v/>
      </c>
      <c r="F833">
        <f>_xlfn.BITXOR(D833,B833)</f>
        <v/>
      </c>
      <c r="G833">
        <f>IF(F833=1,_xlfn.BITXOR(E833,33800),E833)</f>
        <v/>
      </c>
    </row>
    <row r="834">
      <c r="A834" t="n">
        <v>828</v>
      </c>
      <c r="B834">
        <f>_DestuffedBits!C829</f>
        <v/>
      </c>
      <c r="C834">
        <f>G833</f>
        <v/>
      </c>
      <c r="D834">
        <f>_xlfn.BITAND(C834,1)</f>
        <v/>
      </c>
      <c r="E834">
        <f>_xlfn.BITRSHIFT(C834,1)</f>
        <v/>
      </c>
      <c r="F834">
        <f>_xlfn.BITXOR(D834,B834)</f>
        <v/>
      </c>
      <c r="G834">
        <f>IF(F834=1,_xlfn.BITXOR(E834,33800),E834)</f>
        <v/>
      </c>
    </row>
    <row r="835">
      <c r="A835" t="n">
        <v>829</v>
      </c>
      <c r="B835">
        <f>_DestuffedBits!C830</f>
        <v/>
      </c>
      <c r="C835">
        <f>G834</f>
        <v/>
      </c>
      <c r="D835">
        <f>_xlfn.BITAND(C835,1)</f>
        <v/>
      </c>
      <c r="E835">
        <f>_xlfn.BITRSHIFT(C835,1)</f>
        <v/>
      </c>
      <c r="F835">
        <f>_xlfn.BITXOR(D835,B835)</f>
        <v/>
      </c>
      <c r="G835">
        <f>IF(F835=1,_xlfn.BITXOR(E835,33800),E835)</f>
        <v/>
      </c>
    </row>
    <row r="836">
      <c r="A836" t="n">
        <v>830</v>
      </c>
      <c r="B836">
        <f>_DestuffedBits!C831</f>
        <v/>
      </c>
      <c r="C836">
        <f>G835</f>
        <v/>
      </c>
      <c r="D836">
        <f>_xlfn.BITAND(C836,1)</f>
        <v/>
      </c>
      <c r="E836">
        <f>_xlfn.BITRSHIFT(C836,1)</f>
        <v/>
      </c>
      <c r="F836">
        <f>_xlfn.BITXOR(D836,B836)</f>
        <v/>
      </c>
      <c r="G836">
        <f>IF(F836=1,_xlfn.BITXOR(E836,33800),E836)</f>
        <v/>
      </c>
    </row>
    <row r="837">
      <c r="A837" t="n">
        <v>831</v>
      </c>
      <c r="B837">
        <f>_DestuffedBits!C832</f>
        <v/>
      </c>
      <c r="C837">
        <f>G836</f>
        <v/>
      </c>
      <c r="D837">
        <f>_xlfn.BITAND(C837,1)</f>
        <v/>
      </c>
      <c r="E837">
        <f>_xlfn.BITRSHIFT(C837,1)</f>
        <v/>
      </c>
      <c r="F837">
        <f>_xlfn.BITXOR(D837,B837)</f>
        <v/>
      </c>
      <c r="G837">
        <f>IF(F837=1,_xlfn.BITXOR(E837,33800),E837)</f>
        <v/>
      </c>
    </row>
    <row r="838">
      <c r="A838" t="n">
        <v>832</v>
      </c>
      <c r="B838">
        <f>_DestuffedBits!C833</f>
        <v/>
      </c>
      <c r="C838">
        <f>G837</f>
        <v/>
      </c>
      <c r="D838">
        <f>_xlfn.BITAND(C838,1)</f>
        <v/>
      </c>
      <c r="E838">
        <f>_xlfn.BITRSHIFT(C838,1)</f>
        <v/>
      </c>
      <c r="F838">
        <f>_xlfn.BITXOR(D838,B838)</f>
        <v/>
      </c>
      <c r="G838">
        <f>IF(F838=1,_xlfn.BITXOR(E838,33800),E838)</f>
        <v/>
      </c>
    </row>
    <row r="839">
      <c r="A839" t="n">
        <v>833</v>
      </c>
      <c r="B839">
        <f>_DestuffedBits!C834</f>
        <v/>
      </c>
      <c r="C839">
        <f>G838</f>
        <v/>
      </c>
      <c r="D839">
        <f>_xlfn.BITAND(C839,1)</f>
        <v/>
      </c>
      <c r="E839">
        <f>_xlfn.BITRSHIFT(C839,1)</f>
        <v/>
      </c>
      <c r="F839">
        <f>_xlfn.BITXOR(D839,B839)</f>
        <v/>
      </c>
      <c r="G839">
        <f>IF(F839=1,_xlfn.BITXOR(E839,33800),E839)</f>
        <v/>
      </c>
    </row>
    <row r="840">
      <c r="A840" t="n">
        <v>834</v>
      </c>
      <c r="B840">
        <f>_DestuffedBits!C835</f>
        <v/>
      </c>
      <c r="C840">
        <f>G839</f>
        <v/>
      </c>
      <c r="D840">
        <f>_xlfn.BITAND(C840,1)</f>
        <v/>
      </c>
      <c r="E840">
        <f>_xlfn.BITRSHIFT(C840,1)</f>
        <v/>
      </c>
      <c r="F840">
        <f>_xlfn.BITXOR(D840,B840)</f>
        <v/>
      </c>
      <c r="G840">
        <f>IF(F840=1,_xlfn.BITXOR(E840,33800),E840)</f>
        <v/>
      </c>
    </row>
    <row r="841">
      <c r="A841" t="n">
        <v>835</v>
      </c>
      <c r="B841">
        <f>_DestuffedBits!C836</f>
        <v/>
      </c>
      <c r="C841">
        <f>G840</f>
        <v/>
      </c>
      <c r="D841">
        <f>_xlfn.BITAND(C841,1)</f>
        <v/>
      </c>
      <c r="E841">
        <f>_xlfn.BITRSHIFT(C841,1)</f>
        <v/>
      </c>
      <c r="F841">
        <f>_xlfn.BITXOR(D841,B841)</f>
        <v/>
      </c>
      <c r="G841">
        <f>IF(F841=1,_xlfn.BITXOR(E841,33800),E841)</f>
        <v/>
      </c>
    </row>
    <row r="842">
      <c r="A842" t="n">
        <v>836</v>
      </c>
      <c r="B842">
        <f>_DestuffedBits!C837</f>
        <v/>
      </c>
      <c r="C842">
        <f>G841</f>
        <v/>
      </c>
      <c r="D842">
        <f>_xlfn.BITAND(C842,1)</f>
        <v/>
      </c>
      <c r="E842">
        <f>_xlfn.BITRSHIFT(C842,1)</f>
        <v/>
      </c>
      <c r="F842">
        <f>_xlfn.BITXOR(D842,B842)</f>
        <v/>
      </c>
      <c r="G842">
        <f>IF(F842=1,_xlfn.BITXOR(E842,33800),E842)</f>
        <v/>
      </c>
    </row>
    <row r="843">
      <c r="A843" t="n">
        <v>837</v>
      </c>
      <c r="B843">
        <f>_DestuffedBits!C838</f>
        <v/>
      </c>
      <c r="C843">
        <f>G842</f>
        <v/>
      </c>
      <c r="D843">
        <f>_xlfn.BITAND(C843,1)</f>
        <v/>
      </c>
      <c r="E843">
        <f>_xlfn.BITRSHIFT(C843,1)</f>
        <v/>
      </c>
      <c r="F843">
        <f>_xlfn.BITXOR(D843,B843)</f>
        <v/>
      </c>
      <c r="G843">
        <f>IF(F843=1,_xlfn.BITXOR(E843,33800),E843)</f>
        <v/>
      </c>
    </row>
    <row r="844">
      <c r="A844" t="n">
        <v>838</v>
      </c>
      <c r="B844">
        <f>_DestuffedBits!C839</f>
        <v/>
      </c>
      <c r="C844">
        <f>G843</f>
        <v/>
      </c>
      <c r="D844">
        <f>_xlfn.BITAND(C844,1)</f>
        <v/>
      </c>
      <c r="E844">
        <f>_xlfn.BITRSHIFT(C844,1)</f>
        <v/>
      </c>
      <c r="F844">
        <f>_xlfn.BITXOR(D844,B844)</f>
        <v/>
      </c>
      <c r="G844">
        <f>IF(F844=1,_xlfn.BITXOR(E844,33800),E844)</f>
        <v/>
      </c>
    </row>
    <row r="845">
      <c r="A845" t="n">
        <v>839</v>
      </c>
      <c r="B845">
        <f>_DestuffedBits!C840</f>
        <v/>
      </c>
      <c r="C845">
        <f>G844</f>
        <v/>
      </c>
      <c r="D845">
        <f>_xlfn.BITAND(C845,1)</f>
        <v/>
      </c>
      <c r="E845">
        <f>_xlfn.BITRSHIFT(C845,1)</f>
        <v/>
      </c>
      <c r="F845">
        <f>_xlfn.BITXOR(D845,B845)</f>
        <v/>
      </c>
      <c r="G845">
        <f>IF(F845=1,_xlfn.BITXOR(E845,33800),E845)</f>
        <v/>
      </c>
    </row>
    <row r="846">
      <c r="A846" t="n">
        <v>840</v>
      </c>
      <c r="B846">
        <f>_DestuffedBits!C841</f>
        <v/>
      </c>
      <c r="C846">
        <f>G845</f>
        <v/>
      </c>
      <c r="D846">
        <f>_xlfn.BITAND(C846,1)</f>
        <v/>
      </c>
      <c r="E846">
        <f>_xlfn.BITRSHIFT(C846,1)</f>
        <v/>
      </c>
      <c r="F846">
        <f>_xlfn.BITXOR(D846,B846)</f>
        <v/>
      </c>
      <c r="G846">
        <f>IF(F846=1,_xlfn.BITXOR(E846,33800),E846)</f>
        <v/>
      </c>
    </row>
    <row r="847">
      <c r="A847" t="n">
        <v>841</v>
      </c>
      <c r="B847">
        <f>_DestuffedBits!C842</f>
        <v/>
      </c>
      <c r="C847">
        <f>G846</f>
        <v/>
      </c>
      <c r="D847">
        <f>_xlfn.BITAND(C847,1)</f>
        <v/>
      </c>
      <c r="E847">
        <f>_xlfn.BITRSHIFT(C847,1)</f>
        <v/>
      </c>
      <c r="F847">
        <f>_xlfn.BITXOR(D847,B847)</f>
        <v/>
      </c>
      <c r="G847">
        <f>IF(F847=1,_xlfn.BITXOR(E847,33800),E847)</f>
        <v/>
      </c>
    </row>
    <row r="848">
      <c r="A848" t="n">
        <v>842</v>
      </c>
      <c r="B848">
        <f>_DestuffedBits!C843</f>
        <v/>
      </c>
      <c r="C848">
        <f>G847</f>
        <v/>
      </c>
      <c r="D848">
        <f>_xlfn.BITAND(C848,1)</f>
        <v/>
      </c>
      <c r="E848">
        <f>_xlfn.BITRSHIFT(C848,1)</f>
        <v/>
      </c>
      <c r="F848">
        <f>_xlfn.BITXOR(D848,B848)</f>
        <v/>
      </c>
      <c r="G848">
        <f>IF(F848=1,_xlfn.BITXOR(E848,33800),E848)</f>
        <v/>
      </c>
    </row>
    <row r="849">
      <c r="A849" t="n">
        <v>843</v>
      </c>
      <c r="B849">
        <f>_DestuffedBits!C844</f>
        <v/>
      </c>
      <c r="C849">
        <f>G848</f>
        <v/>
      </c>
      <c r="D849">
        <f>_xlfn.BITAND(C849,1)</f>
        <v/>
      </c>
      <c r="E849">
        <f>_xlfn.BITRSHIFT(C849,1)</f>
        <v/>
      </c>
      <c r="F849">
        <f>_xlfn.BITXOR(D849,B849)</f>
        <v/>
      </c>
      <c r="G849">
        <f>IF(F849=1,_xlfn.BITXOR(E849,33800),E849)</f>
        <v/>
      </c>
    </row>
    <row r="850">
      <c r="A850" t="n">
        <v>844</v>
      </c>
      <c r="B850">
        <f>_DestuffedBits!C845</f>
        <v/>
      </c>
      <c r="C850">
        <f>G849</f>
        <v/>
      </c>
      <c r="D850">
        <f>_xlfn.BITAND(C850,1)</f>
        <v/>
      </c>
      <c r="E850">
        <f>_xlfn.BITRSHIFT(C850,1)</f>
        <v/>
      </c>
      <c r="F850">
        <f>_xlfn.BITXOR(D850,B850)</f>
        <v/>
      </c>
      <c r="G850">
        <f>IF(F850=1,_xlfn.BITXOR(E850,33800),E850)</f>
        <v/>
      </c>
    </row>
    <row r="851">
      <c r="A851" t="n">
        <v>845</v>
      </c>
      <c r="B851">
        <f>_DestuffedBits!C846</f>
        <v/>
      </c>
      <c r="C851">
        <f>G850</f>
        <v/>
      </c>
      <c r="D851">
        <f>_xlfn.BITAND(C851,1)</f>
        <v/>
      </c>
      <c r="E851">
        <f>_xlfn.BITRSHIFT(C851,1)</f>
        <v/>
      </c>
      <c r="F851">
        <f>_xlfn.BITXOR(D851,B851)</f>
        <v/>
      </c>
      <c r="G851">
        <f>IF(F851=1,_xlfn.BITXOR(E851,33800),E851)</f>
        <v/>
      </c>
    </row>
    <row r="852">
      <c r="A852" t="n">
        <v>846</v>
      </c>
      <c r="B852">
        <f>_DestuffedBits!C847</f>
        <v/>
      </c>
      <c r="C852">
        <f>G851</f>
        <v/>
      </c>
      <c r="D852">
        <f>_xlfn.BITAND(C852,1)</f>
        <v/>
      </c>
      <c r="E852">
        <f>_xlfn.BITRSHIFT(C852,1)</f>
        <v/>
      </c>
      <c r="F852">
        <f>_xlfn.BITXOR(D852,B852)</f>
        <v/>
      </c>
      <c r="G852">
        <f>IF(F852=1,_xlfn.BITXOR(E852,33800),E852)</f>
        <v/>
      </c>
    </row>
    <row r="853">
      <c r="A853" t="n">
        <v>847</v>
      </c>
      <c r="B853">
        <f>_DestuffedBits!C848</f>
        <v/>
      </c>
      <c r="C853">
        <f>G852</f>
        <v/>
      </c>
      <c r="D853">
        <f>_xlfn.BITAND(C853,1)</f>
        <v/>
      </c>
      <c r="E853">
        <f>_xlfn.BITRSHIFT(C853,1)</f>
        <v/>
      </c>
      <c r="F853">
        <f>_xlfn.BITXOR(D853,B853)</f>
        <v/>
      </c>
      <c r="G853">
        <f>IF(F853=1,_xlfn.BITXOR(E853,33800),E853)</f>
        <v/>
      </c>
    </row>
    <row r="854">
      <c r="A854" t="n">
        <v>848</v>
      </c>
      <c r="B854">
        <f>_DestuffedBits!C849</f>
        <v/>
      </c>
      <c r="C854">
        <f>G853</f>
        <v/>
      </c>
      <c r="D854">
        <f>_xlfn.BITAND(C854,1)</f>
        <v/>
      </c>
      <c r="E854">
        <f>_xlfn.BITRSHIFT(C854,1)</f>
        <v/>
      </c>
      <c r="F854">
        <f>_xlfn.BITXOR(D854,B854)</f>
        <v/>
      </c>
      <c r="G854">
        <f>IF(F854=1,_xlfn.BITXOR(E854,33800),E854)</f>
        <v/>
      </c>
    </row>
    <row r="855">
      <c r="A855" t="n">
        <v>849</v>
      </c>
      <c r="B855">
        <f>_DestuffedBits!C850</f>
        <v/>
      </c>
      <c r="C855">
        <f>G854</f>
        <v/>
      </c>
      <c r="D855">
        <f>_xlfn.BITAND(C855,1)</f>
        <v/>
      </c>
      <c r="E855">
        <f>_xlfn.BITRSHIFT(C855,1)</f>
        <v/>
      </c>
      <c r="F855">
        <f>_xlfn.BITXOR(D855,B855)</f>
        <v/>
      </c>
      <c r="G855">
        <f>IF(F855=1,_xlfn.BITXOR(E855,33800),E855)</f>
        <v/>
      </c>
    </row>
    <row r="856">
      <c r="A856" t="n">
        <v>850</v>
      </c>
      <c r="B856">
        <f>_DestuffedBits!C851</f>
        <v/>
      </c>
      <c r="C856">
        <f>G855</f>
        <v/>
      </c>
      <c r="D856">
        <f>_xlfn.BITAND(C856,1)</f>
        <v/>
      </c>
      <c r="E856">
        <f>_xlfn.BITRSHIFT(C856,1)</f>
        <v/>
      </c>
      <c r="F856">
        <f>_xlfn.BITXOR(D856,B856)</f>
        <v/>
      </c>
      <c r="G856">
        <f>IF(F856=1,_xlfn.BITXOR(E856,33800),E856)</f>
        <v/>
      </c>
    </row>
    <row r="857">
      <c r="A857" t="n">
        <v>851</v>
      </c>
      <c r="B857">
        <f>_DestuffedBits!C852</f>
        <v/>
      </c>
      <c r="C857">
        <f>G856</f>
        <v/>
      </c>
      <c r="D857">
        <f>_xlfn.BITAND(C857,1)</f>
        <v/>
      </c>
      <c r="E857">
        <f>_xlfn.BITRSHIFT(C857,1)</f>
        <v/>
      </c>
      <c r="F857">
        <f>_xlfn.BITXOR(D857,B857)</f>
        <v/>
      </c>
      <c r="G857">
        <f>IF(F857=1,_xlfn.BITXOR(E857,33800),E857)</f>
        <v/>
      </c>
    </row>
    <row r="858">
      <c r="A858" t="n">
        <v>852</v>
      </c>
      <c r="B858">
        <f>_DestuffedBits!C853</f>
        <v/>
      </c>
      <c r="C858">
        <f>G857</f>
        <v/>
      </c>
      <c r="D858">
        <f>_xlfn.BITAND(C858,1)</f>
        <v/>
      </c>
      <c r="E858">
        <f>_xlfn.BITRSHIFT(C858,1)</f>
        <v/>
      </c>
      <c r="F858">
        <f>_xlfn.BITXOR(D858,B858)</f>
        <v/>
      </c>
      <c r="G858">
        <f>IF(F858=1,_xlfn.BITXOR(E858,33800),E858)</f>
        <v/>
      </c>
    </row>
    <row r="859">
      <c r="A859" t="n">
        <v>853</v>
      </c>
      <c r="B859">
        <f>_DestuffedBits!C854</f>
        <v/>
      </c>
      <c r="C859">
        <f>G858</f>
        <v/>
      </c>
      <c r="D859">
        <f>_xlfn.BITAND(C859,1)</f>
        <v/>
      </c>
      <c r="E859">
        <f>_xlfn.BITRSHIFT(C859,1)</f>
        <v/>
      </c>
      <c r="F859">
        <f>_xlfn.BITXOR(D859,B859)</f>
        <v/>
      </c>
      <c r="G859">
        <f>IF(F859=1,_xlfn.BITXOR(E859,33800),E859)</f>
        <v/>
      </c>
    </row>
    <row r="860">
      <c r="A860" t="n">
        <v>854</v>
      </c>
      <c r="B860">
        <f>_DestuffedBits!C855</f>
        <v/>
      </c>
      <c r="C860">
        <f>G859</f>
        <v/>
      </c>
      <c r="D860">
        <f>_xlfn.BITAND(C860,1)</f>
        <v/>
      </c>
      <c r="E860">
        <f>_xlfn.BITRSHIFT(C860,1)</f>
        <v/>
      </c>
      <c r="F860">
        <f>_xlfn.BITXOR(D860,B860)</f>
        <v/>
      </c>
      <c r="G860">
        <f>IF(F860=1,_xlfn.BITXOR(E860,33800),E860)</f>
        <v/>
      </c>
    </row>
    <row r="861">
      <c r="A861" t="n">
        <v>855</v>
      </c>
      <c r="B861">
        <f>_DestuffedBits!C856</f>
        <v/>
      </c>
      <c r="C861">
        <f>G860</f>
        <v/>
      </c>
      <c r="D861">
        <f>_xlfn.BITAND(C861,1)</f>
        <v/>
      </c>
      <c r="E861">
        <f>_xlfn.BITRSHIFT(C861,1)</f>
        <v/>
      </c>
      <c r="F861">
        <f>_xlfn.BITXOR(D861,B861)</f>
        <v/>
      </c>
      <c r="G861">
        <f>IF(F861=1,_xlfn.BITXOR(E861,33800),E861)</f>
        <v/>
      </c>
    </row>
    <row r="862">
      <c r="A862" t="n">
        <v>856</v>
      </c>
      <c r="B862">
        <f>_DestuffedBits!C857</f>
        <v/>
      </c>
      <c r="C862">
        <f>G861</f>
        <v/>
      </c>
      <c r="D862">
        <f>_xlfn.BITAND(C862,1)</f>
        <v/>
      </c>
      <c r="E862">
        <f>_xlfn.BITRSHIFT(C862,1)</f>
        <v/>
      </c>
      <c r="F862">
        <f>_xlfn.BITXOR(D862,B862)</f>
        <v/>
      </c>
      <c r="G862">
        <f>IF(F862=1,_xlfn.BITXOR(E862,33800),E862)</f>
        <v/>
      </c>
    </row>
    <row r="863">
      <c r="A863" t="n">
        <v>857</v>
      </c>
      <c r="B863">
        <f>_DestuffedBits!C858</f>
        <v/>
      </c>
      <c r="C863">
        <f>G862</f>
        <v/>
      </c>
      <c r="D863">
        <f>_xlfn.BITAND(C863,1)</f>
        <v/>
      </c>
      <c r="E863">
        <f>_xlfn.BITRSHIFT(C863,1)</f>
        <v/>
      </c>
      <c r="F863">
        <f>_xlfn.BITXOR(D863,B863)</f>
        <v/>
      </c>
      <c r="G863">
        <f>IF(F863=1,_xlfn.BITXOR(E863,33800),E863)</f>
        <v/>
      </c>
    </row>
    <row r="864">
      <c r="A864" t="n">
        <v>858</v>
      </c>
      <c r="B864">
        <f>_DestuffedBits!C859</f>
        <v/>
      </c>
      <c r="C864">
        <f>G863</f>
        <v/>
      </c>
      <c r="D864">
        <f>_xlfn.BITAND(C864,1)</f>
        <v/>
      </c>
      <c r="E864">
        <f>_xlfn.BITRSHIFT(C864,1)</f>
        <v/>
      </c>
      <c r="F864">
        <f>_xlfn.BITXOR(D864,B864)</f>
        <v/>
      </c>
      <c r="G864">
        <f>IF(F864=1,_xlfn.BITXOR(E864,33800),E864)</f>
        <v/>
      </c>
    </row>
    <row r="865">
      <c r="A865" t="n">
        <v>859</v>
      </c>
      <c r="B865">
        <f>_DestuffedBits!C860</f>
        <v/>
      </c>
      <c r="C865">
        <f>G864</f>
        <v/>
      </c>
      <c r="D865">
        <f>_xlfn.BITAND(C865,1)</f>
        <v/>
      </c>
      <c r="E865">
        <f>_xlfn.BITRSHIFT(C865,1)</f>
        <v/>
      </c>
      <c r="F865">
        <f>_xlfn.BITXOR(D865,B865)</f>
        <v/>
      </c>
      <c r="G865">
        <f>IF(F865=1,_xlfn.BITXOR(E865,33800),E865)</f>
        <v/>
      </c>
    </row>
    <row r="866">
      <c r="A866" t="n">
        <v>860</v>
      </c>
      <c r="B866">
        <f>_DestuffedBits!C861</f>
        <v/>
      </c>
      <c r="C866">
        <f>G865</f>
        <v/>
      </c>
      <c r="D866">
        <f>_xlfn.BITAND(C866,1)</f>
        <v/>
      </c>
      <c r="E866">
        <f>_xlfn.BITRSHIFT(C866,1)</f>
        <v/>
      </c>
      <c r="F866">
        <f>_xlfn.BITXOR(D866,B866)</f>
        <v/>
      </c>
      <c r="G866">
        <f>IF(F866=1,_xlfn.BITXOR(E866,33800),E866)</f>
        <v/>
      </c>
    </row>
    <row r="867">
      <c r="A867" t="n">
        <v>861</v>
      </c>
      <c r="B867">
        <f>_DestuffedBits!C862</f>
        <v/>
      </c>
      <c r="C867">
        <f>G866</f>
        <v/>
      </c>
      <c r="D867">
        <f>_xlfn.BITAND(C867,1)</f>
        <v/>
      </c>
      <c r="E867">
        <f>_xlfn.BITRSHIFT(C867,1)</f>
        <v/>
      </c>
      <c r="F867">
        <f>_xlfn.BITXOR(D867,B867)</f>
        <v/>
      </c>
      <c r="G867">
        <f>IF(F867=1,_xlfn.BITXOR(E867,33800),E867)</f>
        <v/>
      </c>
    </row>
    <row r="868">
      <c r="A868" t="n">
        <v>862</v>
      </c>
      <c r="B868">
        <f>_DestuffedBits!C863</f>
        <v/>
      </c>
      <c r="C868">
        <f>G867</f>
        <v/>
      </c>
      <c r="D868">
        <f>_xlfn.BITAND(C868,1)</f>
        <v/>
      </c>
      <c r="E868">
        <f>_xlfn.BITRSHIFT(C868,1)</f>
        <v/>
      </c>
      <c r="F868">
        <f>_xlfn.BITXOR(D868,B868)</f>
        <v/>
      </c>
      <c r="G868">
        <f>IF(F868=1,_xlfn.BITXOR(E868,33800),E868)</f>
        <v/>
      </c>
    </row>
    <row r="869">
      <c r="A869" t="n">
        <v>863</v>
      </c>
      <c r="B869">
        <f>_DestuffedBits!C864</f>
        <v/>
      </c>
      <c r="C869">
        <f>G868</f>
        <v/>
      </c>
      <c r="D869">
        <f>_xlfn.BITAND(C869,1)</f>
        <v/>
      </c>
      <c r="E869">
        <f>_xlfn.BITRSHIFT(C869,1)</f>
        <v/>
      </c>
      <c r="F869">
        <f>_xlfn.BITXOR(D869,B869)</f>
        <v/>
      </c>
      <c r="G869">
        <f>IF(F869=1,_xlfn.BITXOR(E869,33800),E869)</f>
        <v/>
      </c>
    </row>
    <row r="870">
      <c r="A870" t="n">
        <v>864</v>
      </c>
      <c r="B870">
        <f>_DestuffedBits!C865</f>
        <v/>
      </c>
      <c r="C870">
        <f>G869</f>
        <v/>
      </c>
      <c r="D870">
        <f>_xlfn.BITAND(C870,1)</f>
        <v/>
      </c>
      <c r="E870">
        <f>_xlfn.BITRSHIFT(C870,1)</f>
        <v/>
      </c>
      <c r="F870">
        <f>_xlfn.BITXOR(D870,B870)</f>
        <v/>
      </c>
      <c r="G870">
        <f>IF(F870=1,_xlfn.BITXOR(E870,33800),E870)</f>
        <v/>
      </c>
    </row>
    <row r="871">
      <c r="A871" t="n">
        <v>865</v>
      </c>
      <c r="B871">
        <f>_DestuffedBits!C866</f>
        <v/>
      </c>
      <c r="C871">
        <f>G870</f>
        <v/>
      </c>
      <c r="D871">
        <f>_xlfn.BITAND(C871,1)</f>
        <v/>
      </c>
      <c r="E871">
        <f>_xlfn.BITRSHIFT(C871,1)</f>
        <v/>
      </c>
      <c r="F871">
        <f>_xlfn.BITXOR(D871,B871)</f>
        <v/>
      </c>
      <c r="G871">
        <f>IF(F871=1,_xlfn.BITXOR(E871,33800),E871)</f>
        <v/>
      </c>
    </row>
    <row r="872">
      <c r="A872" t="n">
        <v>866</v>
      </c>
      <c r="B872">
        <f>_DestuffedBits!C867</f>
        <v/>
      </c>
      <c r="C872">
        <f>G871</f>
        <v/>
      </c>
      <c r="D872">
        <f>_xlfn.BITAND(C872,1)</f>
        <v/>
      </c>
      <c r="E872">
        <f>_xlfn.BITRSHIFT(C872,1)</f>
        <v/>
      </c>
      <c r="F872">
        <f>_xlfn.BITXOR(D872,B872)</f>
        <v/>
      </c>
      <c r="G872">
        <f>IF(F872=1,_xlfn.BITXOR(E872,33800),E872)</f>
        <v/>
      </c>
    </row>
    <row r="873">
      <c r="A873" t="n">
        <v>867</v>
      </c>
      <c r="B873">
        <f>_DestuffedBits!C868</f>
        <v/>
      </c>
      <c r="C873">
        <f>G872</f>
        <v/>
      </c>
      <c r="D873">
        <f>_xlfn.BITAND(C873,1)</f>
        <v/>
      </c>
      <c r="E873">
        <f>_xlfn.BITRSHIFT(C873,1)</f>
        <v/>
      </c>
      <c r="F873">
        <f>_xlfn.BITXOR(D873,B873)</f>
        <v/>
      </c>
      <c r="G873">
        <f>IF(F873=1,_xlfn.BITXOR(E873,33800),E873)</f>
        <v/>
      </c>
    </row>
    <row r="874">
      <c r="A874" t="n">
        <v>868</v>
      </c>
      <c r="B874">
        <f>_DestuffedBits!C869</f>
        <v/>
      </c>
      <c r="C874">
        <f>G873</f>
        <v/>
      </c>
      <c r="D874">
        <f>_xlfn.BITAND(C874,1)</f>
        <v/>
      </c>
      <c r="E874">
        <f>_xlfn.BITRSHIFT(C874,1)</f>
        <v/>
      </c>
      <c r="F874">
        <f>_xlfn.BITXOR(D874,B874)</f>
        <v/>
      </c>
      <c r="G874">
        <f>IF(F874=1,_xlfn.BITXOR(E874,33800),E874)</f>
        <v/>
      </c>
    </row>
    <row r="875">
      <c r="A875" t="n">
        <v>869</v>
      </c>
      <c r="B875">
        <f>_DestuffedBits!C870</f>
        <v/>
      </c>
      <c r="C875">
        <f>G874</f>
        <v/>
      </c>
      <c r="D875">
        <f>_xlfn.BITAND(C875,1)</f>
        <v/>
      </c>
      <c r="E875">
        <f>_xlfn.BITRSHIFT(C875,1)</f>
        <v/>
      </c>
      <c r="F875">
        <f>_xlfn.BITXOR(D875,B875)</f>
        <v/>
      </c>
      <c r="G875">
        <f>IF(F875=1,_xlfn.BITXOR(E875,33800),E875)</f>
        <v/>
      </c>
    </row>
    <row r="876">
      <c r="A876" t="n">
        <v>870</v>
      </c>
      <c r="B876">
        <f>_DestuffedBits!C871</f>
        <v/>
      </c>
      <c r="C876">
        <f>G875</f>
        <v/>
      </c>
      <c r="D876">
        <f>_xlfn.BITAND(C876,1)</f>
        <v/>
      </c>
      <c r="E876">
        <f>_xlfn.BITRSHIFT(C876,1)</f>
        <v/>
      </c>
      <c r="F876">
        <f>_xlfn.BITXOR(D876,B876)</f>
        <v/>
      </c>
      <c r="G876">
        <f>IF(F876=1,_xlfn.BITXOR(E876,33800),E876)</f>
        <v/>
      </c>
    </row>
    <row r="877">
      <c r="A877" t="n">
        <v>871</v>
      </c>
      <c r="B877">
        <f>_DestuffedBits!C872</f>
        <v/>
      </c>
      <c r="C877">
        <f>G876</f>
        <v/>
      </c>
      <c r="D877">
        <f>_xlfn.BITAND(C877,1)</f>
        <v/>
      </c>
      <c r="E877">
        <f>_xlfn.BITRSHIFT(C877,1)</f>
        <v/>
      </c>
      <c r="F877">
        <f>_xlfn.BITXOR(D877,B877)</f>
        <v/>
      </c>
      <c r="G877">
        <f>IF(F877=1,_xlfn.BITXOR(E877,33800),E877)</f>
        <v/>
      </c>
    </row>
    <row r="878">
      <c r="A878" t="n">
        <v>872</v>
      </c>
      <c r="B878">
        <f>_DestuffedBits!C873</f>
        <v/>
      </c>
      <c r="C878">
        <f>G877</f>
        <v/>
      </c>
      <c r="D878">
        <f>_xlfn.BITAND(C878,1)</f>
        <v/>
      </c>
      <c r="E878">
        <f>_xlfn.BITRSHIFT(C878,1)</f>
        <v/>
      </c>
      <c r="F878">
        <f>_xlfn.BITXOR(D878,B878)</f>
        <v/>
      </c>
      <c r="G878">
        <f>IF(F878=1,_xlfn.BITXOR(E878,33800),E878)</f>
        <v/>
      </c>
    </row>
    <row r="879">
      <c r="A879" t="n">
        <v>873</v>
      </c>
      <c r="B879">
        <f>_DestuffedBits!C874</f>
        <v/>
      </c>
      <c r="C879">
        <f>G878</f>
        <v/>
      </c>
      <c r="D879">
        <f>_xlfn.BITAND(C879,1)</f>
        <v/>
      </c>
      <c r="E879">
        <f>_xlfn.BITRSHIFT(C879,1)</f>
        <v/>
      </c>
      <c r="F879">
        <f>_xlfn.BITXOR(D879,B879)</f>
        <v/>
      </c>
      <c r="G879">
        <f>IF(F879=1,_xlfn.BITXOR(E879,33800),E879)</f>
        <v/>
      </c>
    </row>
    <row r="880">
      <c r="A880" t="n">
        <v>874</v>
      </c>
      <c r="B880">
        <f>_DestuffedBits!C875</f>
        <v/>
      </c>
      <c r="C880">
        <f>G879</f>
        <v/>
      </c>
      <c r="D880">
        <f>_xlfn.BITAND(C880,1)</f>
        <v/>
      </c>
      <c r="E880">
        <f>_xlfn.BITRSHIFT(C880,1)</f>
        <v/>
      </c>
      <c r="F880">
        <f>_xlfn.BITXOR(D880,B880)</f>
        <v/>
      </c>
      <c r="G880">
        <f>IF(F880=1,_xlfn.BITXOR(E880,33800),E880)</f>
        <v/>
      </c>
    </row>
    <row r="881">
      <c r="A881" t="n">
        <v>875</v>
      </c>
      <c r="B881">
        <f>_DestuffedBits!C876</f>
        <v/>
      </c>
      <c r="C881">
        <f>G880</f>
        <v/>
      </c>
      <c r="D881">
        <f>_xlfn.BITAND(C881,1)</f>
        <v/>
      </c>
      <c r="E881">
        <f>_xlfn.BITRSHIFT(C881,1)</f>
        <v/>
      </c>
      <c r="F881">
        <f>_xlfn.BITXOR(D881,B881)</f>
        <v/>
      </c>
      <c r="G881">
        <f>IF(F881=1,_xlfn.BITXOR(E881,33800),E881)</f>
        <v/>
      </c>
    </row>
    <row r="882">
      <c r="A882" t="n">
        <v>876</v>
      </c>
      <c r="B882">
        <f>_DestuffedBits!C877</f>
        <v/>
      </c>
      <c r="C882">
        <f>G881</f>
        <v/>
      </c>
      <c r="D882">
        <f>_xlfn.BITAND(C882,1)</f>
        <v/>
      </c>
      <c r="E882">
        <f>_xlfn.BITRSHIFT(C882,1)</f>
        <v/>
      </c>
      <c r="F882">
        <f>_xlfn.BITXOR(D882,B882)</f>
        <v/>
      </c>
      <c r="G882">
        <f>IF(F882=1,_xlfn.BITXOR(E882,33800),E882)</f>
        <v/>
      </c>
    </row>
    <row r="883">
      <c r="A883" t="n">
        <v>877</v>
      </c>
      <c r="B883">
        <f>_DestuffedBits!C878</f>
        <v/>
      </c>
      <c r="C883">
        <f>G882</f>
        <v/>
      </c>
      <c r="D883">
        <f>_xlfn.BITAND(C883,1)</f>
        <v/>
      </c>
      <c r="E883">
        <f>_xlfn.BITRSHIFT(C883,1)</f>
        <v/>
      </c>
      <c r="F883">
        <f>_xlfn.BITXOR(D883,B883)</f>
        <v/>
      </c>
      <c r="G883">
        <f>IF(F883=1,_xlfn.BITXOR(E883,33800),E883)</f>
        <v/>
      </c>
    </row>
    <row r="884">
      <c r="A884" t="n">
        <v>878</v>
      </c>
      <c r="B884">
        <f>_DestuffedBits!C879</f>
        <v/>
      </c>
      <c r="C884">
        <f>G883</f>
        <v/>
      </c>
      <c r="D884">
        <f>_xlfn.BITAND(C884,1)</f>
        <v/>
      </c>
      <c r="E884">
        <f>_xlfn.BITRSHIFT(C884,1)</f>
        <v/>
      </c>
      <c r="F884">
        <f>_xlfn.BITXOR(D884,B884)</f>
        <v/>
      </c>
      <c r="G884">
        <f>IF(F884=1,_xlfn.BITXOR(E884,33800),E884)</f>
        <v/>
      </c>
    </row>
    <row r="885">
      <c r="A885" t="n">
        <v>879</v>
      </c>
      <c r="B885">
        <f>_DestuffedBits!C880</f>
        <v/>
      </c>
      <c r="C885">
        <f>G884</f>
        <v/>
      </c>
      <c r="D885">
        <f>_xlfn.BITAND(C885,1)</f>
        <v/>
      </c>
      <c r="E885">
        <f>_xlfn.BITRSHIFT(C885,1)</f>
        <v/>
      </c>
      <c r="F885">
        <f>_xlfn.BITXOR(D885,B885)</f>
        <v/>
      </c>
      <c r="G885">
        <f>IF(F885=1,_xlfn.BITXOR(E885,33800),E885)</f>
        <v/>
      </c>
    </row>
    <row r="886">
      <c r="A886" t="n">
        <v>880</v>
      </c>
      <c r="B886">
        <f>_DestuffedBits!C881</f>
        <v/>
      </c>
      <c r="C886">
        <f>G885</f>
        <v/>
      </c>
      <c r="D886">
        <f>_xlfn.BITAND(C886,1)</f>
        <v/>
      </c>
      <c r="E886">
        <f>_xlfn.BITRSHIFT(C886,1)</f>
        <v/>
      </c>
      <c r="F886">
        <f>_xlfn.BITXOR(D886,B886)</f>
        <v/>
      </c>
      <c r="G886">
        <f>IF(F886=1,_xlfn.BITXOR(E886,33800),E886)</f>
        <v/>
      </c>
    </row>
    <row r="887">
      <c r="A887" t="n">
        <v>881</v>
      </c>
      <c r="B887">
        <f>_DestuffedBits!C882</f>
        <v/>
      </c>
      <c r="C887">
        <f>G886</f>
        <v/>
      </c>
      <c r="D887">
        <f>_xlfn.BITAND(C887,1)</f>
        <v/>
      </c>
      <c r="E887">
        <f>_xlfn.BITRSHIFT(C887,1)</f>
        <v/>
      </c>
      <c r="F887">
        <f>_xlfn.BITXOR(D887,B887)</f>
        <v/>
      </c>
      <c r="G887">
        <f>IF(F887=1,_xlfn.BITXOR(E887,33800),E887)</f>
        <v/>
      </c>
    </row>
    <row r="888">
      <c r="A888" t="n">
        <v>882</v>
      </c>
      <c r="B888">
        <f>_DestuffedBits!C883</f>
        <v/>
      </c>
      <c r="C888">
        <f>G887</f>
        <v/>
      </c>
      <c r="D888">
        <f>_xlfn.BITAND(C888,1)</f>
        <v/>
      </c>
      <c r="E888">
        <f>_xlfn.BITRSHIFT(C888,1)</f>
        <v/>
      </c>
      <c r="F888">
        <f>_xlfn.BITXOR(D888,B888)</f>
        <v/>
      </c>
      <c r="G888">
        <f>IF(F888=1,_xlfn.BITXOR(E888,33800),E888)</f>
        <v/>
      </c>
    </row>
    <row r="889">
      <c r="A889" t="n">
        <v>883</v>
      </c>
      <c r="B889">
        <f>_DestuffedBits!C884</f>
        <v/>
      </c>
      <c r="C889">
        <f>G888</f>
        <v/>
      </c>
      <c r="D889">
        <f>_xlfn.BITAND(C889,1)</f>
        <v/>
      </c>
      <c r="E889">
        <f>_xlfn.BITRSHIFT(C889,1)</f>
        <v/>
      </c>
      <c r="F889">
        <f>_xlfn.BITXOR(D889,B889)</f>
        <v/>
      </c>
      <c r="G889">
        <f>IF(F889=1,_xlfn.BITXOR(E889,33800),E889)</f>
        <v/>
      </c>
    </row>
    <row r="890">
      <c r="A890" t="n">
        <v>884</v>
      </c>
      <c r="B890">
        <f>_DestuffedBits!C885</f>
        <v/>
      </c>
      <c r="C890">
        <f>G889</f>
        <v/>
      </c>
      <c r="D890">
        <f>_xlfn.BITAND(C890,1)</f>
        <v/>
      </c>
      <c r="E890">
        <f>_xlfn.BITRSHIFT(C890,1)</f>
        <v/>
      </c>
      <c r="F890">
        <f>_xlfn.BITXOR(D890,B890)</f>
        <v/>
      </c>
      <c r="G890">
        <f>IF(F890=1,_xlfn.BITXOR(E890,33800),E890)</f>
        <v/>
      </c>
    </row>
    <row r="891">
      <c r="A891" t="n">
        <v>885</v>
      </c>
      <c r="B891">
        <f>_DestuffedBits!C886</f>
        <v/>
      </c>
      <c r="C891">
        <f>G890</f>
        <v/>
      </c>
      <c r="D891">
        <f>_xlfn.BITAND(C891,1)</f>
        <v/>
      </c>
      <c r="E891">
        <f>_xlfn.BITRSHIFT(C891,1)</f>
        <v/>
      </c>
      <c r="F891">
        <f>_xlfn.BITXOR(D891,B891)</f>
        <v/>
      </c>
      <c r="G891">
        <f>IF(F891=1,_xlfn.BITXOR(E891,33800),E891)</f>
        <v/>
      </c>
    </row>
    <row r="892">
      <c r="A892" t="n">
        <v>886</v>
      </c>
      <c r="B892">
        <f>_DestuffedBits!C887</f>
        <v/>
      </c>
      <c r="C892">
        <f>G891</f>
        <v/>
      </c>
      <c r="D892">
        <f>_xlfn.BITAND(C892,1)</f>
        <v/>
      </c>
      <c r="E892">
        <f>_xlfn.BITRSHIFT(C892,1)</f>
        <v/>
      </c>
      <c r="F892">
        <f>_xlfn.BITXOR(D892,B892)</f>
        <v/>
      </c>
      <c r="G892">
        <f>IF(F892=1,_xlfn.BITXOR(E892,33800),E892)</f>
        <v/>
      </c>
    </row>
    <row r="893">
      <c r="A893" t="n">
        <v>887</v>
      </c>
      <c r="B893">
        <f>_DestuffedBits!C888</f>
        <v/>
      </c>
      <c r="C893">
        <f>G892</f>
        <v/>
      </c>
      <c r="D893">
        <f>_xlfn.BITAND(C893,1)</f>
        <v/>
      </c>
      <c r="E893">
        <f>_xlfn.BITRSHIFT(C893,1)</f>
        <v/>
      </c>
      <c r="F893">
        <f>_xlfn.BITXOR(D893,B893)</f>
        <v/>
      </c>
      <c r="G893">
        <f>IF(F893=1,_xlfn.BITXOR(E893,33800),E893)</f>
        <v/>
      </c>
    </row>
    <row r="894">
      <c r="A894" t="n">
        <v>888</v>
      </c>
      <c r="B894">
        <f>_DestuffedBits!C889</f>
        <v/>
      </c>
      <c r="C894">
        <f>G893</f>
        <v/>
      </c>
      <c r="D894">
        <f>_xlfn.BITAND(C894,1)</f>
        <v/>
      </c>
      <c r="E894">
        <f>_xlfn.BITRSHIFT(C894,1)</f>
        <v/>
      </c>
      <c r="F894">
        <f>_xlfn.BITXOR(D894,B894)</f>
        <v/>
      </c>
      <c r="G894">
        <f>IF(F894=1,_xlfn.BITXOR(E894,33800),E894)</f>
        <v/>
      </c>
    </row>
    <row r="895">
      <c r="A895" t="n">
        <v>889</v>
      </c>
      <c r="B895">
        <f>_DestuffedBits!C890</f>
        <v/>
      </c>
      <c r="C895">
        <f>G894</f>
        <v/>
      </c>
      <c r="D895">
        <f>_xlfn.BITAND(C895,1)</f>
        <v/>
      </c>
      <c r="E895">
        <f>_xlfn.BITRSHIFT(C895,1)</f>
        <v/>
      </c>
      <c r="F895">
        <f>_xlfn.BITXOR(D895,B895)</f>
        <v/>
      </c>
      <c r="G895">
        <f>IF(F895=1,_xlfn.BITXOR(E895,33800),E895)</f>
        <v/>
      </c>
    </row>
    <row r="896">
      <c r="A896" t="n">
        <v>890</v>
      </c>
      <c r="B896">
        <f>_DestuffedBits!C891</f>
        <v/>
      </c>
      <c r="C896">
        <f>G895</f>
        <v/>
      </c>
      <c r="D896">
        <f>_xlfn.BITAND(C896,1)</f>
        <v/>
      </c>
      <c r="E896">
        <f>_xlfn.BITRSHIFT(C896,1)</f>
        <v/>
      </c>
      <c r="F896">
        <f>_xlfn.BITXOR(D896,B896)</f>
        <v/>
      </c>
      <c r="G896">
        <f>IF(F896=1,_xlfn.BITXOR(E896,33800),E896)</f>
        <v/>
      </c>
    </row>
    <row r="897">
      <c r="A897" t="n">
        <v>891</v>
      </c>
      <c r="B897">
        <f>_DestuffedBits!C892</f>
        <v/>
      </c>
      <c r="C897">
        <f>G896</f>
        <v/>
      </c>
      <c r="D897">
        <f>_xlfn.BITAND(C897,1)</f>
        <v/>
      </c>
      <c r="E897">
        <f>_xlfn.BITRSHIFT(C897,1)</f>
        <v/>
      </c>
      <c r="F897">
        <f>_xlfn.BITXOR(D897,B897)</f>
        <v/>
      </c>
      <c r="G897">
        <f>IF(F897=1,_xlfn.BITXOR(E897,33800),E897)</f>
        <v/>
      </c>
    </row>
    <row r="898">
      <c r="A898" t="n">
        <v>892</v>
      </c>
      <c r="B898">
        <f>_DestuffedBits!C893</f>
        <v/>
      </c>
      <c r="C898">
        <f>G897</f>
        <v/>
      </c>
      <c r="D898">
        <f>_xlfn.BITAND(C898,1)</f>
        <v/>
      </c>
      <c r="E898">
        <f>_xlfn.BITRSHIFT(C898,1)</f>
        <v/>
      </c>
      <c r="F898">
        <f>_xlfn.BITXOR(D898,B898)</f>
        <v/>
      </c>
      <c r="G898">
        <f>IF(F898=1,_xlfn.BITXOR(E898,33800),E898)</f>
        <v/>
      </c>
    </row>
    <row r="899">
      <c r="A899" t="n">
        <v>893</v>
      </c>
      <c r="B899">
        <f>_DestuffedBits!C894</f>
        <v/>
      </c>
      <c r="C899">
        <f>G898</f>
        <v/>
      </c>
      <c r="D899">
        <f>_xlfn.BITAND(C899,1)</f>
        <v/>
      </c>
      <c r="E899">
        <f>_xlfn.BITRSHIFT(C899,1)</f>
        <v/>
      </c>
      <c r="F899">
        <f>_xlfn.BITXOR(D899,B899)</f>
        <v/>
      </c>
      <c r="G899">
        <f>IF(F899=1,_xlfn.BITXOR(E899,33800),E899)</f>
        <v/>
      </c>
    </row>
    <row r="900">
      <c r="A900" t="n">
        <v>894</v>
      </c>
      <c r="B900">
        <f>_DestuffedBits!C895</f>
        <v/>
      </c>
      <c r="C900">
        <f>G899</f>
        <v/>
      </c>
      <c r="D900">
        <f>_xlfn.BITAND(C900,1)</f>
        <v/>
      </c>
      <c r="E900">
        <f>_xlfn.BITRSHIFT(C900,1)</f>
        <v/>
      </c>
      <c r="F900">
        <f>_xlfn.BITXOR(D900,B900)</f>
        <v/>
      </c>
      <c r="G900">
        <f>IF(F900=1,_xlfn.BITXOR(E900,33800),E900)</f>
        <v/>
      </c>
    </row>
    <row r="901">
      <c r="A901" t="n">
        <v>895</v>
      </c>
      <c r="B901">
        <f>_DestuffedBits!C896</f>
        <v/>
      </c>
      <c r="C901">
        <f>G900</f>
        <v/>
      </c>
      <c r="D901">
        <f>_xlfn.BITAND(C901,1)</f>
        <v/>
      </c>
      <c r="E901">
        <f>_xlfn.BITRSHIFT(C901,1)</f>
        <v/>
      </c>
      <c r="F901">
        <f>_xlfn.BITXOR(D901,B901)</f>
        <v/>
      </c>
      <c r="G901">
        <f>IF(F901=1,_xlfn.BITXOR(E901,33800),E901)</f>
        <v/>
      </c>
    </row>
    <row r="902">
      <c r="A902" t="n">
        <v>896</v>
      </c>
      <c r="B902">
        <f>_DestuffedBits!C897</f>
        <v/>
      </c>
      <c r="C902">
        <f>G901</f>
        <v/>
      </c>
      <c r="D902">
        <f>_xlfn.BITAND(C902,1)</f>
        <v/>
      </c>
      <c r="E902">
        <f>_xlfn.BITRSHIFT(C902,1)</f>
        <v/>
      </c>
      <c r="F902">
        <f>_xlfn.BITXOR(D902,B902)</f>
        <v/>
      </c>
      <c r="G902">
        <f>IF(F902=1,_xlfn.BITXOR(E902,33800),E902)</f>
        <v/>
      </c>
    </row>
    <row r="903">
      <c r="A903" t="n">
        <v>897</v>
      </c>
      <c r="B903">
        <f>_DestuffedBits!C898</f>
        <v/>
      </c>
      <c r="C903">
        <f>G902</f>
        <v/>
      </c>
      <c r="D903">
        <f>_xlfn.BITAND(C903,1)</f>
        <v/>
      </c>
      <c r="E903">
        <f>_xlfn.BITRSHIFT(C903,1)</f>
        <v/>
      </c>
      <c r="F903">
        <f>_xlfn.BITXOR(D903,B903)</f>
        <v/>
      </c>
      <c r="G903">
        <f>IF(F903=1,_xlfn.BITXOR(E903,33800),E903)</f>
        <v/>
      </c>
    </row>
    <row r="904">
      <c r="A904" t="n">
        <v>898</v>
      </c>
      <c r="B904">
        <f>_DestuffedBits!C899</f>
        <v/>
      </c>
      <c r="C904">
        <f>G903</f>
        <v/>
      </c>
      <c r="D904">
        <f>_xlfn.BITAND(C904,1)</f>
        <v/>
      </c>
      <c r="E904">
        <f>_xlfn.BITRSHIFT(C904,1)</f>
        <v/>
      </c>
      <c r="F904">
        <f>_xlfn.BITXOR(D904,B904)</f>
        <v/>
      </c>
      <c r="G904">
        <f>IF(F904=1,_xlfn.BITXOR(E904,33800),E904)</f>
        <v/>
      </c>
    </row>
    <row r="905">
      <c r="A905" t="n">
        <v>899</v>
      </c>
      <c r="B905">
        <f>_DestuffedBits!C900</f>
        <v/>
      </c>
      <c r="C905">
        <f>G904</f>
        <v/>
      </c>
      <c r="D905">
        <f>_xlfn.BITAND(C905,1)</f>
        <v/>
      </c>
      <c r="E905">
        <f>_xlfn.BITRSHIFT(C905,1)</f>
        <v/>
      </c>
      <c r="F905">
        <f>_xlfn.BITXOR(D905,B905)</f>
        <v/>
      </c>
      <c r="G905">
        <f>IF(F905=1,_xlfn.BITXOR(E905,33800),E905)</f>
        <v/>
      </c>
    </row>
    <row r="906">
      <c r="A906" t="n">
        <v>900</v>
      </c>
      <c r="B906">
        <f>_DestuffedBits!C901</f>
        <v/>
      </c>
      <c r="C906">
        <f>G905</f>
        <v/>
      </c>
      <c r="D906">
        <f>_xlfn.BITAND(C906,1)</f>
        <v/>
      </c>
      <c r="E906">
        <f>_xlfn.BITRSHIFT(C906,1)</f>
        <v/>
      </c>
      <c r="F906">
        <f>_xlfn.BITXOR(D906,B906)</f>
        <v/>
      </c>
      <c r="G906">
        <f>IF(F906=1,_xlfn.BITXOR(E906,33800),E906)</f>
        <v/>
      </c>
    </row>
    <row r="907">
      <c r="A907" t="n">
        <v>901</v>
      </c>
      <c r="B907">
        <f>_DestuffedBits!C902</f>
        <v/>
      </c>
      <c r="C907">
        <f>G906</f>
        <v/>
      </c>
      <c r="D907">
        <f>_xlfn.BITAND(C907,1)</f>
        <v/>
      </c>
      <c r="E907">
        <f>_xlfn.BITRSHIFT(C907,1)</f>
        <v/>
      </c>
      <c r="F907">
        <f>_xlfn.BITXOR(D907,B907)</f>
        <v/>
      </c>
      <c r="G907">
        <f>IF(F907=1,_xlfn.BITXOR(E907,33800),E907)</f>
        <v/>
      </c>
    </row>
    <row r="908">
      <c r="A908" t="n">
        <v>902</v>
      </c>
      <c r="B908">
        <f>_DestuffedBits!C903</f>
        <v/>
      </c>
      <c r="C908">
        <f>G907</f>
        <v/>
      </c>
      <c r="D908">
        <f>_xlfn.BITAND(C908,1)</f>
        <v/>
      </c>
      <c r="E908">
        <f>_xlfn.BITRSHIFT(C908,1)</f>
        <v/>
      </c>
      <c r="F908">
        <f>_xlfn.BITXOR(D908,B908)</f>
        <v/>
      </c>
      <c r="G908">
        <f>IF(F908=1,_xlfn.BITXOR(E908,33800),E908)</f>
        <v/>
      </c>
    </row>
    <row r="909">
      <c r="A909" t="n">
        <v>903</v>
      </c>
      <c r="B909">
        <f>_DestuffedBits!C904</f>
        <v/>
      </c>
      <c r="C909">
        <f>G908</f>
        <v/>
      </c>
      <c r="D909">
        <f>_xlfn.BITAND(C909,1)</f>
        <v/>
      </c>
      <c r="E909">
        <f>_xlfn.BITRSHIFT(C909,1)</f>
        <v/>
      </c>
      <c r="F909">
        <f>_xlfn.BITXOR(D909,B909)</f>
        <v/>
      </c>
      <c r="G909">
        <f>IF(F909=1,_xlfn.BITXOR(E909,33800),E909)</f>
        <v/>
      </c>
    </row>
    <row r="910">
      <c r="A910" t="n">
        <v>904</v>
      </c>
      <c r="B910">
        <f>_DestuffedBits!C905</f>
        <v/>
      </c>
      <c r="C910">
        <f>G909</f>
        <v/>
      </c>
      <c r="D910">
        <f>_xlfn.BITAND(C910,1)</f>
        <v/>
      </c>
      <c r="E910">
        <f>_xlfn.BITRSHIFT(C910,1)</f>
        <v/>
      </c>
      <c r="F910">
        <f>_xlfn.BITXOR(D910,B910)</f>
        <v/>
      </c>
      <c r="G910">
        <f>IF(F910=1,_xlfn.BITXOR(E910,33800),E910)</f>
        <v/>
      </c>
    </row>
    <row r="911">
      <c r="A911" t="n">
        <v>905</v>
      </c>
      <c r="B911">
        <f>_DestuffedBits!C906</f>
        <v/>
      </c>
      <c r="C911">
        <f>G910</f>
        <v/>
      </c>
      <c r="D911">
        <f>_xlfn.BITAND(C911,1)</f>
        <v/>
      </c>
      <c r="E911">
        <f>_xlfn.BITRSHIFT(C911,1)</f>
        <v/>
      </c>
      <c r="F911">
        <f>_xlfn.BITXOR(D911,B911)</f>
        <v/>
      </c>
      <c r="G911">
        <f>IF(F911=1,_xlfn.BITXOR(E911,33800),E911)</f>
        <v/>
      </c>
    </row>
    <row r="912">
      <c r="A912" t="n">
        <v>906</v>
      </c>
      <c r="B912">
        <f>_DestuffedBits!C907</f>
        <v/>
      </c>
      <c r="C912">
        <f>G911</f>
        <v/>
      </c>
      <c r="D912">
        <f>_xlfn.BITAND(C912,1)</f>
        <v/>
      </c>
      <c r="E912">
        <f>_xlfn.BITRSHIFT(C912,1)</f>
        <v/>
      </c>
      <c r="F912">
        <f>_xlfn.BITXOR(D912,B912)</f>
        <v/>
      </c>
      <c r="G912">
        <f>IF(F912=1,_xlfn.BITXOR(E912,33800),E912)</f>
        <v/>
      </c>
    </row>
    <row r="913">
      <c r="A913" t="n">
        <v>907</v>
      </c>
      <c r="B913">
        <f>_DestuffedBits!C908</f>
        <v/>
      </c>
      <c r="C913">
        <f>G912</f>
        <v/>
      </c>
      <c r="D913">
        <f>_xlfn.BITAND(C913,1)</f>
        <v/>
      </c>
      <c r="E913">
        <f>_xlfn.BITRSHIFT(C913,1)</f>
        <v/>
      </c>
      <c r="F913">
        <f>_xlfn.BITXOR(D913,B913)</f>
        <v/>
      </c>
      <c r="G913">
        <f>IF(F913=1,_xlfn.BITXOR(E913,33800),E913)</f>
        <v/>
      </c>
    </row>
    <row r="914">
      <c r="A914" t="n">
        <v>908</v>
      </c>
      <c r="B914">
        <f>_DestuffedBits!C909</f>
        <v/>
      </c>
      <c r="C914">
        <f>G913</f>
        <v/>
      </c>
      <c r="D914">
        <f>_xlfn.BITAND(C914,1)</f>
        <v/>
      </c>
      <c r="E914">
        <f>_xlfn.BITRSHIFT(C914,1)</f>
        <v/>
      </c>
      <c r="F914">
        <f>_xlfn.BITXOR(D914,B914)</f>
        <v/>
      </c>
      <c r="G914">
        <f>IF(F914=1,_xlfn.BITXOR(E914,33800),E914)</f>
        <v/>
      </c>
    </row>
    <row r="915">
      <c r="A915" t="n">
        <v>909</v>
      </c>
      <c r="B915">
        <f>_DestuffedBits!C910</f>
        <v/>
      </c>
      <c r="C915">
        <f>G914</f>
        <v/>
      </c>
      <c r="D915">
        <f>_xlfn.BITAND(C915,1)</f>
        <v/>
      </c>
      <c r="E915">
        <f>_xlfn.BITRSHIFT(C915,1)</f>
        <v/>
      </c>
      <c r="F915">
        <f>_xlfn.BITXOR(D915,B915)</f>
        <v/>
      </c>
      <c r="G915">
        <f>IF(F915=1,_xlfn.BITXOR(E915,33800),E915)</f>
        <v/>
      </c>
    </row>
    <row r="916">
      <c r="A916" t="n">
        <v>910</v>
      </c>
      <c r="B916">
        <f>_DestuffedBits!C911</f>
        <v/>
      </c>
      <c r="C916">
        <f>G915</f>
        <v/>
      </c>
      <c r="D916">
        <f>_xlfn.BITAND(C916,1)</f>
        <v/>
      </c>
      <c r="E916">
        <f>_xlfn.BITRSHIFT(C916,1)</f>
        <v/>
      </c>
      <c r="F916">
        <f>_xlfn.BITXOR(D916,B916)</f>
        <v/>
      </c>
      <c r="G916">
        <f>IF(F916=1,_xlfn.BITXOR(E916,33800),E916)</f>
        <v/>
      </c>
    </row>
    <row r="917">
      <c r="A917" t="n">
        <v>911</v>
      </c>
      <c r="B917">
        <f>_DestuffedBits!C912</f>
        <v/>
      </c>
      <c r="C917">
        <f>G916</f>
        <v/>
      </c>
      <c r="D917">
        <f>_xlfn.BITAND(C917,1)</f>
        <v/>
      </c>
      <c r="E917">
        <f>_xlfn.BITRSHIFT(C917,1)</f>
        <v/>
      </c>
      <c r="F917">
        <f>_xlfn.BITXOR(D917,B917)</f>
        <v/>
      </c>
      <c r="G917">
        <f>IF(F917=1,_xlfn.BITXOR(E917,33800),E917)</f>
        <v/>
      </c>
    </row>
    <row r="918">
      <c r="A918" t="n">
        <v>912</v>
      </c>
      <c r="B918">
        <f>_DestuffedBits!C913</f>
        <v/>
      </c>
      <c r="C918">
        <f>G917</f>
        <v/>
      </c>
      <c r="D918">
        <f>_xlfn.BITAND(C918,1)</f>
        <v/>
      </c>
      <c r="E918">
        <f>_xlfn.BITRSHIFT(C918,1)</f>
        <v/>
      </c>
      <c r="F918">
        <f>_xlfn.BITXOR(D918,B918)</f>
        <v/>
      </c>
      <c r="G918">
        <f>IF(F918=1,_xlfn.BITXOR(E918,33800),E918)</f>
        <v/>
      </c>
    </row>
    <row r="919">
      <c r="A919" t="n">
        <v>913</v>
      </c>
      <c r="B919">
        <f>_DestuffedBits!C914</f>
        <v/>
      </c>
      <c r="C919">
        <f>G918</f>
        <v/>
      </c>
      <c r="D919">
        <f>_xlfn.BITAND(C919,1)</f>
        <v/>
      </c>
      <c r="E919">
        <f>_xlfn.BITRSHIFT(C919,1)</f>
        <v/>
      </c>
      <c r="F919">
        <f>_xlfn.BITXOR(D919,B919)</f>
        <v/>
      </c>
      <c r="G919">
        <f>IF(F919=1,_xlfn.BITXOR(E919,33800),E919)</f>
        <v/>
      </c>
    </row>
    <row r="920">
      <c r="A920" t="n">
        <v>914</v>
      </c>
      <c r="B920">
        <f>_DestuffedBits!C915</f>
        <v/>
      </c>
      <c r="C920">
        <f>G919</f>
        <v/>
      </c>
      <c r="D920">
        <f>_xlfn.BITAND(C920,1)</f>
        <v/>
      </c>
      <c r="E920">
        <f>_xlfn.BITRSHIFT(C920,1)</f>
        <v/>
      </c>
      <c r="F920">
        <f>_xlfn.BITXOR(D920,B920)</f>
        <v/>
      </c>
      <c r="G920">
        <f>IF(F920=1,_xlfn.BITXOR(E920,33800),E920)</f>
        <v/>
      </c>
    </row>
    <row r="921">
      <c r="A921" t="n">
        <v>915</v>
      </c>
      <c r="B921">
        <f>_DestuffedBits!C916</f>
        <v/>
      </c>
      <c r="C921">
        <f>G920</f>
        <v/>
      </c>
      <c r="D921">
        <f>_xlfn.BITAND(C921,1)</f>
        <v/>
      </c>
      <c r="E921">
        <f>_xlfn.BITRSHIFT(C921,1)</f>
        <v/>
      </c>
      <c r="F921">
        <f>_xlfn.BITXOR(D921,B921)</f>
        <v/>
      </c>
      <c r="G921">
        <f>IF(F921=1,_xlfn.BITXOR(E921,33800),E921)</f>
        <v/>
      </c>
    </row>
    <row r="922">
      <c r="A922" t="n">
        <v>916</v>
      </c>
      <c r="B922">
        <f>_DestuffedBits!C917</f>
        <v/>
      </c>
      <c r="C922">
        <f>G921</f>
        <v/>
      </c>
      <c r="D922">
        <f>_xlfn.BITAND(C922,1)</f>
        <v/>
      </c>
      <c r="E922">
        <f>_xlfn.BITRSHIFT(C922,1)</f>
        <v/>
      </c>
      <c r="F922">
        <f>_xlfn.BITXOR(D922,B922)</f>
        <v/>
      </c>
      <c r="G922">
        <f>IF(F922=1,_xlfn.BITXOR(E922,33800),E922)</f>
        <v/>
      </c>
    </row>
    <row r="923">
      <c r="A923" t="n">
        <v>917</v>
      </c>
      <c r="B923">
        <f>_DestuffedBits!C918</f>
        <v/>
      </c>
      <c r="C923">
        <f>G922</f>
        <v/>
      </c>
      <c r="D923">
        <f>_xlfn.BITAND(C923,1)</f>
        <v/>
      </c>
      <c r="E923">
        <f>_xlfn.BITRSHIFT(C923,1)</f>
        <v/>
      </c>
      <c r="F923">
        <f>_xlfn.BITXOR(D923,B923)</f>
        <v/>
      </c>
      <c r="G923">
        <f>IF(F923=1,_xlfn.BITXOR(E923,33800),E923)</f>
        <v/>
      </c>
    </row>
    <row r="924">
      <c r="A924" t="n">
        <v>918</v>
      </c>
      <c r="B924">
        <f>_DestuffedBits!C919</f>
        <v/>
      </c>
      <c r="C924">
        <f>G923</f>
        <v/>
      </c>
      <c r="D924">
        <f>_xlfn.BITAND(C924,1)</f>
        <v/>
      </c>
      <c r="E924">
        <f>_xlfn.BITRSHIFT(C924,1)</f>
        <v/>
      </c>
      <c r="F924">
        <f>_xlfn.BITXOR(D924,B924)</f>
        <v/>
      </c>
      <c r="G924">
        <f>IF(F924=1,_xlfn.BITXOR(E924,33800),E924)</f>
        <v/>
      </c>
    </row>
    <row r="925">
      <c r="A925" t="n">
        <v>919</v>
      </c>
      <c r="B925">
        <f>_DestuffedBits!C920</f>
        <v/>
      </c>
      <c r="C925">
        <f>G924</f>
        <v/>
      </c>
      <c r="D925">
        <f>_xlfn.BITAND(C925,1)</f>
        <v/>
      </c>
      <c r="E925">
        <f>_xlfn.BITRSHIFT(C925,1)</f>
        <v/>
      </c>
      <c r="F925">
        <f>_xlfn.BITXOR(D925,B925)</f>
        <v/>
      </c>
      <c r="G925">
        <f>IF(F925=1,_xlfn.BITXOR(E925,33800),E925)</f>
        <v/>
      </c>
    </row>
    <row r="926">
      <c r="A926" t="n">
        <v>920</v>
      </c>
      <c r="B926">
        <f>_DestuffedBits!C921</f>
        <v/>
      </c>
      <c r="C926">
        <f>G925</f>
        <v/>
      </c>
      <c r="D926">
        <f>_xlfn.BITAND(C926,1)</f>
        <v/>
      </c>
      <c r="E926">
        <f>_xlfn.BITRSHIFT(C926,1)</f>
        <v/>
      </c>
      <c r="F926">
        <f>_xlfn.BITXOR(D926,B926)</f>
        <v/>
      </c>
      <c r="G926">
        <f>IF(F926=1,_xlfn.BITXOR(E926,33800),E926)</f>
        <v/>
      </c>
    </row>
    <row r="927">
      <c r="A927" t="n">
        <v>921</v>
      </c>
      <c r="B927">
        <f>_DestuffedBits!C922</f>
        <v/>
      </c>
      <c r="C927">
        <f>G926</f>
        <v/>
      </c>
      <c r="D927">
        <f>_xlfn.BITAND(C927,1)</f>
        <v/>
      </c>
      <c r="E927">
        <f>_xlfn.BITRSHIFT(C927,1)</f>
        <v/>
      </c>
      <c r="F927">
        <f>_xlfn.BITXOR(D927,B927)</f>
        <v/>
      </c>
      <c r="G927">
        <f>IF(F927=1,_xlfn.BITXOR(E927,33800),E927)</f>
        <v/>
      </c>
    </row>
    <row r="928">
      <c r="A928" t="n">
        <v>922</v>
      </c>
      <c r="B928">
        <f>_DestuffedBits!C923</f>
        <v/>
      </c>
      <c r="C928">
        <f>G927</f>
        <v/>
      </c>
      <c r="D928">
        <f>_xlfn.BITAND(C928,1)</f>
        <v/>
      </c>
      <c r="E928">
        <f>_xlfn.BITRSHIFT(C928,1)</f>
        <v/>
      </c>
      <c r="F928">
        <f>_xlfn.BITXOR(D928,B928)</f>
        <v/>
      </c>
      <c r="G928">
        <f>IF(F928=1,_xlfn.BITXOR(E928,33800),E928)</f>
        <v/>
      </c>
    </row>
    <row r="929">
      <c r="A929" t="n">
        <v>923</v>
      </c>
      <c r="B929">
        <f>_DestuffedBits!C924</f>
        <v/>
      </c>
      <c r="C929">
        <f>G928</f>
        <v/>
      </c>
      <c r="D929">
        <f>_xlfn.BITAND(C929,1)</f>
        <v/>
      </c>
      <c r="E929">
        <f>_xlfn.BITRSHIFT(C929,1)</f>
        <v/>
      </c>
      <c r="F929">
        <f>_xlfn.BITXOR(D929,B929)</f>
        <v/>
      </c>
      <c r="G929">
        <f>IF(F929=1,_xlfn.BITXOR(E929,33800),E929)</f>
        <v/>
      </c>
    </row>
    <row r="930">
      <c r="A930" t="n">
        <v>924</v>
      </c>
      <c r="B930">
        <f>_DestuffedBits!C925</f>
        <v/>
      </c>
      <c r="C930">
        <f>G929</f>
        <v/>
      </c>
      <c r="D930">
        <f>_xlfn.BITAND(C930,1)</f>
        <v/>
      </c>
      <c r="E930">
        <f>_xlfn.BITRSHIFT(C930,1)</f>
        <v/>
      </c>
      <c r="F930">
        <f>_xlfn.BITXOR(D930,B930)</f>
        <v/>
      </c>
      <c r="G930">
        <f>IF(F930=1,_xlfn.BITXOR(E930,33800),E930)</f>
        <v/>
      </c>
    </row>
    <row r="931">
      <c r="A931" t="n">
        <v>925</v>
      </c>
      <c r="B931">
        <f>_DestuffedBits!C926</f>
        <v/>
      </c>
      <c r="C931">
        <f>G930</f>
        <v/>
      </c>
      <c r="D931">
        <f>_xlfn.BITAND(C931,1)</f>
        <v/>
      </c>
      <c r="E931">
        <f>_xlfn.BITRSHIFT(C931,1)</f>
        <v/>
      </c>
      <c r="F931">
        <f>_xlfn.BITXOR(D931,B931)</f>
        <v/>
      </c>
      <c r="G931">
        <f>IF(F931=1,_xlfn.BITXOR(E931,33800),E931)</f>
        <v/>
      </c>
    </row>
    <row r="932">
      <c r="A932" t="n">
        <v>926</v>
      </c>
      <c r="B932">
        <f>_DestuffedBits!C927</f>
        <v/>
      </c>
      <c r="C932">
        <f>G931</f>
        <v/>
      </c>
      <c r="D932">
        <f>_xlfn.BITAND(C932,1)</f>
        <v/>
      </c>
      <c r="E932">
        <f>_xlfn.BITRSHIFT(C932,1)</f>
        <v/>
      </c>
      <c r="F932">
        <f>_xlfn.BITXOR(D932,B932)</f>
        <v/>
      </c>
      <c r="G932">
        <f>IF(F932=1,_xlfn.BITXOR(E932,33800),E932)</f>
        <v/>
      </c>
    </row>
    <row r="933">
      <c r="A933" t="n">
        <v>927</v>
      </c>
      <c r="B933">
        <f>_DestuffedBits!C928</f>
        <v/>
      </c>
      <c r="C933">
        <f>G932</f>
        <v/>
      </c>
      <c r="D933">
        <f>_xlfn.BITAND(C933,1)</f>
        <v/>
      </c>
      <c r="E933">
        <f>_xlfn.BITRSHIFT(C933,1)</f>
        <v/>
      </c>
      <c r="F933">
        <f>_xlfn.BITXOR(D933,B933)</f>
        <v/>
      </c>
      <c r="G933">
        <f>IF(F933=1,_xlfn.BITXOR(E933,33800),E933)</f>
        <v/>
      </c>
    </row>
    <row r="934">
      <c r="A934" t="n">
        <v>928</v>
      </c>
      <c r="B934">
        <f>_DestuffedBits!C929</f>
        <v/>
      </c>
      <c r="C934">
        <f>G933</f>
        <v/>
      </c>
      <c r="D934">
        <f>_xlfn.BITAND(C934,1)</f>
        <v/>
      </c>
      <c r="E934">
        <f>_xlfn.BITRSHIFT(C934,1)</f>
        <v/>
      </c>
      <c r="F934">
        <f>_xlfn.BITXOR(D934,B934)</f>
        <v/>
      </c>
      <c r="G934">
        <f>IF(F934=1,_xlfn.BITXOR(E934,33800),E934)</f>
        <v/>
      </c>
    </row>
    <row r="935">
      <c r="A935" t="n">
        <v>929</v>
      </c>
      <c r="B935">
        <f>_DestuffedBits!C930</f>
        <v/>
      </c>
      <c r="C935">
        <f>G934</f>
        <v/>
      </c>
      <c r="D935">
        <f>_xlfn.BITAND(C935,1)</f>
        <v/>
      </c>
      <c r="E935">
        <f>_xlfn.BITRSHIFT(C935,1)</f>
        <v/>
      </c>
      <c r="F935">
        <f>_xlfn.BITXOR(D935,B935)</f>
        <v/>
      </c>
      <c r="G935">
        <f>IF(F935=1,_xlfn.BITXOR(E935,33800),E935)</f>
        <v/>
      </c>
    </row>
    <row r="936">
      <c r="A936" t="n">
        <v>930</v>
      </c>
      <c r="B936">
        <f>_DestuffedBits!C931</f>
        <v/>
      </c>
      <c r="C936">
        <f>G935</f>
        <v/>
      </c>
      <c r="D936">
        <f>_xlfn.BITAND(C936,1)</f>
        <v/>
      </c>
      <c r="E936">
        <f>_xlfn.BITRSHIFT(C936,1)</f>
        <v/>
      </c>
      <c r="F936">
        <f>_xlfn.BITXOR(D936,B936)</f>
        <v/>
      </c>
      <c r="G936">
        <f>IF(F936=1,_xlfn.BITXOR(E936,33800),E936)</f>
        <v/>
      </c>
    </row>
    <row r="937">
      <c r="A937" t="n">
        <v>931</v>
      </c>
      <c r="B937">
        <f>_DestuffedBits!C932</f>
        <v/>
      </c>
      <c r="C937">
        <f>G936</f>
        <v/>
      </c>
      <c r="D937">
        <f>_xlfn.BITAND(C937,1)</f>
        <v/>
      </c>
      <c r="E937">
        <f>_xlfn.BITRSHIFT(C937,1)</f>
        <v/>
      </c>
      <c r="F937">
        <f>_xlfn.BITXOR(D937,B937)</f>
        <v/>
      </c>
      <c r="G937">
        <f>IF(F937=1,_xlfn.BITXOR(E937,33800),E937)</f>
        <v/>
      </c>
    </row>
    <row r="938">
      <c r="A938" t="n">
        <v>932</v>
      </c>
      <c r="B938">
        <f>_DestuffedBits!C933</f>
        <v/>
      </c>
      <c r="C938">
        <f>G937</f>
        <v/>
      </c>
      <c r="D938">
        <f>_xlfn.BITAND(C938,1)</f>
        <v/>
      </c>
      <c r="E938">
        <f>_xlfn.BITRSHIFT(C938,1)</f>
        <v/>
      </c>
      <c r="F938">
        <f>_xlfn.BITXOR(D938,B938)</f>
        <v/>
      </c>
      <c r="G938">
        <f>IF(F938=1,_xlfn.BITXOR(E938,33800),E938)</f>
        <v/>
      </c>
    </row>
    <row r="939">
      <c r="A939" t="n">
        <v>933</v>
      </c>
      <c r="B939">
        <f>_DestuffedBits!C934</f>
        <v/>
      </c>
      <c r="C939">
        <f>G938</f>
        <v/>
      </c>
      <c r="D939">
        <f>_xlfn.BITAND(C939,1)</f>
        <v/>
      </c>
      <c r="E939">
        <f>_xlfn.BITRSHIFT(C939,1)</f>
        <v/>
      </c>
      <c r="F939">
        <f>_xlfn.BITXOR(D939,B939)</f>
        <v/>
      </c>
      <c r="G939">
        <f>IF(F939=1,_xlfn.BITXOR(E939,33800),E939)</f>
        <v/>
      </c>
    </row>
    <row r="940">
      <c r="A940" t="n">
        <v>934</v>
      </c>
      <c r="B940">
        <f>_DestuffedBits!C935</f>
        <v/>
      </c>
      <c r="C940">
        <f>G939</f>
        <v/>
      </c>
      <c r="D940">
        <f>_xlfn.BITAND(C940,1)</f>
        <v/>
      </c>
      <c r="E940">
        <f>_xlfn.BITRSHIFT(C940,1)</f>
        <v/>
      </c>
      <c r="F940">
        <f>_xlfn.BITXOR(D940,B940)</f>
        <v/>
      </c>
      <c r="G940">
        <f>IF(F940=1,_xlfn.BITXOR(E940,33800),E940)</f>
        <v/>
      </c>
    </row>
    <row r="941">
      <c r="A941" t="n">
        <v>935</v>
      </c>
      <c r="B941">
        <f>_DestuffedBits!C936</f>
        <v/>
      </c>
      <c r="C941">
        <f>G940</f>
        <v/>
      </c>
      <c r="D941">
        <f>_xlfn.BITAND(C941,1)</f>
        <v/>
      </c>
      <c r="E941">
        <f>_xlfn.BITRSHIFT(C941,1)</f>
        <v/>
      </c>
      <c r="F941">
        <f>_xlfn.BITXOR(D941,B941)</f>
        <v/>
      </c>
      <c r="G941">
        <f>IF(F941=1,_xlfn.BITXOR(E941,33800),E941)</f>
        <v/>
      </c>
    </row>
    <row r="942">
      <c r="A942" t="n">
        <v>936</v>
      </c>
      <c r="B942">
        <f>_DestuffedBits!C937</f>
        <v/>
      </c>
      <c r="C942">
        <f>G941</f>
        <v/>
      </c>
      <c r="D942">
        <f>_xlfn.BITAND(C942,1)</f>
        <v/>
      </c>
      <c r="E942">
        <f>_xlfn.BITRSHIFT(C942,1)</f>
        <v/>
      </c>
      <c r="F942">
        <f>_xlfn.BITXOR(D942,B942)</f>
        <v/>
      </c>
      <c r="G942">
        <f>IF(F942=1,_xlfn.BITXOR(E942,33800),E942)</f>
        <v/>
      </c>
    </row>
    <row r="943">
      <c r="A943" t="n">
        <v>937</v>
      </c>
      <c r="B943">
        <f>_DestuffedBits!C938</f>
        <v/>
      </c>
      <c r="C943">
        <f>G942</f>
        <v/>
      </c>
      <c r="D943">
        <f>_xlfn.BITAND(C943,1)</f>
        <v/>
      </c>
      <c r="E943">
        <f>_xlfn.BITRSHIFT(C943,1)</f>
        <v/>
      </c>
      <c r="F943">
        <f>_xlfn.BITXOR(D943,B943)</f>
        <v/>
      </c>
      <c r="G943">
        <f>IF(F943=1,_xlfn.BITXOR(E943,33800),E943)</f>
        <v/>
      </c>
    </row>
    <row r="944">
      <c r="A944" t="n">
        <v>938</v>
      </c>
      <c r="B944">
        <f>_DestuffedBits!C939</f>
        <v/>
      </c>
      <c r="C944">
        <f>G943</f>
        <v/>
      </c>
      <c r="D944">
        <f>_xlfn.BITAND(C944,1)</f>
        <v/>
      </c>
      <c r="E944">
        <f>_xlfn.BITRSHIFT(C944,1)</f>
        <v/>
      </c>
      <c r="F944">
        <f>_xlfn.BITXOR(D944,B944)</f>
        <v/>
      </c>
      <c r="G944">
        <f>IF(F944=1,_xlfn.BITXOR(E944,33800),E944)</f>
        <v/>
      </c>
    </row>
    <row r="945">
      <c r="A945" t="n">
        <v>939</v>
      </c>
      <c r="B945">
        <f>_DestuffedBits!C940</f>
        <v/>
      </c>
      <c r="C945">
        <f>G944</f>
        <v/>
      </c>
      <c r="D945">
        <f>_xlfn.BITAND(C945,1)</f>
        <v/>
      </c>
      <c r="E945">
        <f>_xlfn.BITRSHIFT(C945,1)</f>
        <v/>
      </c>
      <c r="F945">
        <f>_xlfn.BITXOR(D945,B945)</f>
        <v/>
      </c>
      <c r="G945">
        <f>IF(F945=1,_xlfn.BITXOR(E945,33800),E945)</f>
        <v/>
      </c>
    </row>
    <row r="946">
      <c r="A946" t="n">
        <v>940</v>
      </c>
      <c r="B946">
        <f>_DestuffedBits!C941</f>
        <v/>
      </c>
      <c r="C946">
        <f>G945</f>
        <v/>
      </c>
      <c r="D946">
        <f>_xlfn.BITAND(C946,1)</f>
        <v/>
      </c>
      <c r="E946">
        <f>_xlfn.BITRSHIFT(C946,1)</f>
        <v/>
      </c>
      <c r="F946">
        <f>_xlfn.BITXOR(D946,B946)</f>
        <v/>
      </c>
      <c r="G946">
        <f>IF(F946=1,_xlfn.BITXOR(E946,33800),E946)</f>
        <v/>
      </c>
    </row>
    <row r="947">
      <c r="A947" t="n">
        <v>941</v>
      </c>
      <c r="B947">
        <f>_DestuffedBits!C942</f>
        <v/>
      </c>
      <c r="C947">
        <f>G946</f>
        <v/>
      </c>
      <c r="D947">
        <f>_xlfn.BITAND(C947,1)</f>
        <v/>
      </c>
      <c r="E947">
        <f>_xlfn.BITRSHIFT(C947,1)</f>
        <v/>
      </c>
      <c r="F947">
        <f>_xlfn.BITXOR(D947,B947)</f>
        <v/>
      </c>
      <c r="G947">
        <f>IF(F947=1,_xlfn.BITXOR(E947,33800),E947)</f>
        <v/>
      </c>
    </row>
    <row r="948">
      <c r="A948" t="n">
        <v>942</v>
      </c>
      <c r="B948">
        <f>_DestuffedBits!C943</f>
        <v/>
      </c>
      <c r="C948">
        <f>G947</f>
        <v/>
      </c>
      <c r="D948">
        <f>_xlfn.BITAND(C948,1)</f>
        <v/>
      </c>
      <c r="E948">
        <f>_xlfn.BITRSHIFT(C948,1)</f>
        <v/>
      </c>
      <c r="F948">
        <f>_xlfn.BITXOR(D948,B948)</f>
        <v/>
      </c>
      <c r="G948">
        <f>IF(F948=1,_xlfn.BITXOR(E948,33800),E948)</f>
        <v/>
      </c>
    </row>
    <row r="949">
      <c r="A949" t="n">
        <v>943</v>
      </c>
      <c r="B949">
        <f>_DestuffedBits!C944</f>
        <v/>
      </c>
      <c r="C949">
        <f>G948</f>
        <v/>
      </c>
      <c r="D949">
        <f>_xlfn.BITAND(C949,1)</f>
        <v/>
      </c>
      <c r="E949">
        <f>_xlfn.BITRSHIFT(C949,1)</f>
        <v/>
      </c>
      <c r="F949">
        <f>_xlfn.BITXOR(D949,B949)</f>
        <v/>
      </c>
      <c r="G949">
        <f>IF(F949=1,_xlfn.BITXOR(E949,33800),E949)</f>
        <v/>
      </c>
    </row>
    <row r="950">
      <c r="A950" t="n">
        <v>944</v>
      </c>
      <c r="B950">
        <f>_DestuffedBits!C945</f>
        <v/>
      </c>
      <c r="C950">
        <f>G949</f>
        <v/>
      </c>
      <c r="D950">
        <f>_xlfn.BITAND(C950,1)</f>
        <v/>
      </c>
      <c r="E950">
        <f>_xlfn.BITRSHIFT(C950,1)</f>
        <v/>
      </c>
      <c r="F950">
        <f>_xlfn.BITXOR(D950,B950)</f>
        <v/>
      </c>
      <c r="G950">
        <f>IF(F950=1,_xlfn.BITXOR(E950,33800),E950)</f>
        <v/>
      </c>
    </row>
    <row r="951">
      <c r="A951" t="n">
        <v>945</v>
      </c>
      <c r="B951">
        <f>_DestuffedBits!C946</f>
        <v/>
      </c>
      <c r="C951">
        <f>G950</f>
        <v/>
      </c>
      <c r="D951">
        <f>_xlfn.BITAND(C951,1)</f>
        <v/>
      </c>
      <c r="E951">
        <f>_xlfn.BITRSHIFT(C951,1)</f>
        <v/>
      </c>
      <c r="F951">
        <f>_xlfn.BITXOR(D951,B951)</f>
        <v/>
      </c>
      <c r="G951">
        <f>IF(F951=1,_xlfn.BITXOR(E951,33800),E951)</f>
        <v/>
      </c>
    </row>
    <row r="952">
      <c r="A952" t="n">
        <v>946</v>
      </c>
      <c r="B952">
        <f>_DestuffedBits!C947</f>
        <v/>
      </c>
      <c r="C952">
        <f>G951</f>
        <v/>
      </c>
      <c r="D952">
        <f>_xlfn.BITAND(C952,1)</f>
        <v/>
      </c>
      <c r="E952">
        <f>_xlfn.BITRSHIFT(C952,1)</f>
        <v/>
      </c>
      <c r="F952">
        <f>_xlfn.BITXOR(D952,B952)</f>
        <v/>
      </c>
      <c r="G952">
        <f>IF(F952=1,_xlfn.BITXOR(E952,33800),E952)</f>
        <v/>
      </c>
    </row>
    <row r="953">
      <c r="A953" t="n">
        <v>947</v>
      </c>
      <c r="B953">
        <f>_DestuffedBits!C948</f>
        <v/>
      </c>
      <c r="C953">
        <f>G952</f>
        <v/>
      </c>
      <c r="D953">
        <f>_xlfn.BITAND(C953,1)</f>
        <v/>
      </c>
      <c r="E953">
        <f>_xlfn.BITRSHIFT(C953,1)</f>
        <v/>
      </c>
      <c r="F953">
        <f>_xlfn.BITXOR(D953,B953)</f>
        <v/>
      </c>
      <c r="G953">
        <f>IF(F953=1,_xlfn.BITXOR(E953,33800),E953)</f>
        <v/>
      </c>
    </row>
    <row r="954">
      <c r="A954" t="n">
        <v>948</v>
      </c>
      <c r="B954">
        <f>_DestuffedBits!C949</f>
        <v/>
      </c>
      <c r="C954">
        <f>G953</f>
        <v/>
      </c>
      <c r="D954">
        <f>_xlfn.BITAND(C954,1)</f>
        <v/>
      </c>
      <c r="E954">
        <f>_xlfn.BITRSHIFT(C954,1)</f>
        <v/>
      </c>
      <c r="F954">
        <f>_xlfn.BITXOR(D954,B954)</f>
        <v/>
      </c>
      <c r="G954">
        <f>IF(F954=1,_xlfn.BITXOR(E954,33800),E954)</f>
        <v/>
      </c>
    </row>
    <row r="955">
      <c r="A955" t="n">
        <v>949</v>
      </c>
      <c r="B955">
        <f>_DestuffedBits!C950</f>
        <v/>
      </c>
      <c r="C955">
        <f>G954</f>
        <v/>
      </c>
      <c r="D955">
        <f>_xlfn.BITAND(C955,1)</f>
        <v/>
      </c>
      <c r="E955">
        <f>_xlfn.BITRSHIFT(C955,1)</f>
        <v/>
      </c>
      <c r="F955">
        <f>_xlfn.BITXOR(D955,B955)</f>
        <v/>
      </c>
      <c r="G955">
        <f>IF(F955=1,_xlfn.BITXOR(E955,33800),E955)</f>
        <v/>
      </c>
    </row>
    <row r="956">
      <c r="A956" t="n">
        <v>950</v>
      </c>
      <c r="B956">
        <f>_DestuffedBits!C951</f>
        <v/>
      </c>
      <c r="C956">
        <f>G955</f>
        <v/>
      </c>
      <c r="D956">
        <f>_xlfn.BITAND(C956,1)</f>
        <v/>
      </c>
      <c r="E956">
        <f>_xlfn.BITRSHIFT(C956,1)</f>
        <v/>
      </c>
      <c r="F956">
        <f>_xlfn.BITXOR(D956,B956)</f>
        <v/>
      </c>
      <c r="G956">
        <f>IF(F956=1,_xlfn.BITXOR(E956,33800),E956)</f>
        <v/>
      </c>
    </row>
    <row r="957">
      <c r="A957" t="n">
        <v>951</v>
      </c>
      <c r="B957">
        <f>_DestuffedBits!C952</f>
        <v/>
      </c>
      <c r="C957">
        <f>G956</f>
        <v/>
      </c>
      <c r="D957">
        <f>_xlfn.BITAND(C957,1)</f>
        <v/>
      </c>
      <c r="E957">
        <f>_xlfn.BITRSHIFT(C957,1)</f>
        <v/>
      </c>
      <c r="F957">
        <f>_xlfn.BITXOR(D957,B957)</f>
        <v/>
      </c>
      <c r="G957">
        <f>IF(F957=1,_xlfn.BITXOR(E957,33800),E957)</f>
        <v/>
      </c>
    </row>
    <row r="958">
      <c r="A958" t="n">
        <v>952</v>
      </c>
      <c r="B958">
        <f>_DestuffedBits!C953</f>
        <v/>
      </c>
      <c r="C958">
        <f>G957</f>
        <v/>
      </c>
      <c r="D958">
        <f>_xlfn.BITAND(C958,1)</f>
        <v/>
      </c>
      <c r="E958">
        <f>_xlfn.BITRSHIFT(C958,1)</f>
        <v/>
      </c>
      <c r="F958">
        <f>_xlfn.BITXOR(D958,B958)</f>
        <v/>
      </c>
      <c r="G958">
        <f>IF(F958=1,_xlfn.BITXOR(E958,33800),E958)</f>
        <v/>
      </c>
    </row>
    <row r="959">
      <c r="A959" t="n">
        <v>953</v>
      </c>
      <c r="B959">
        <f>_DestuffedBits!C954</f>
        <v/>
      </c>
      <c r="C959">
        <f>G958</f>
        <v/>
      </c>
      <c r="D959">
        <f>_xlfn.BITAND(C959,1)</f>
        <v/>
      </c>
      <c r="E959">
        <f>_xlfn.BITRSHIFT(C959,1)</f>
        <v/>
      </c>
      <c r="F959">
        <f>_xlfn.BITXOR(D959,B959)</f>
        <v/>
      </c>
      <c r="G959">
        <f>IF(F959=1,_xlfn.BITXOR(E959,33800),E959)</f>
        <v/>
      </c>
    </row>
    <row r="960">
      <c r="A960" t="n">
        <v>954</v>
      </c>
      <c r="B960">
        <f>_DestuffedBits!C955</f>
        <v/>
      </c>
      <c r="C960">
        <f>G959</f>
        <v/>
      </c>
      <c r="D960">
        <f>_xlfn.BITAND(C960,1)</f>
        <v/>
      </c>
      <c r="E960">
        <f>_xlfn.BITRSHIFT(C960,1)</f>
        <v/>
      </c>
      <c r="F960">
        <f>_xlfn.BITXOR(D960,B960)</f>
        <v/>
      </c>
      <c r="G960">
        <f>IF(F960=1,_xlfn.BITXOR(E960,33800),E960)</f>
        <v/>
      </c>
    </row>
    <row r="961">
      <c r="A961" t="n">
        <v>955</v>
      </c>
      <c r="B961">
        <f>_DestuffedBits!C956</f>
        <v/>
      </c>
      <c r="C961">
        <f>G960</f>
        <v/>
      </c>
      <c r="D961">
        <f>_xlfn.BITAND(C961,1)</f>
        <v/>
      </c>
      <c r="E961">
        <f>_xlfn.BITRSHIFT(C961,1)</f>
        <v/>
      </c>
      <c r="F961">
        <f>_xlfn.BITXOR(D961,B961)</f>
        <v/>
      </c>
      <c r="G961">
        <f>IF(F961=1,_xlfn.BITXOR(E961,33800),E961)</f>
        <v/>
      </c>
    </row>
    <row r="962">
      <c r="A962" t="n">
        <v>956</v>
      </c>
      <c r="B962">
        <f>_DestuffedBits!C957</f>
        <v/>
      </c>
      <c r="C962">
        <f>G961</f>
        <v/>
      </c>
      <c r="D962">
        <f>_xlfn.BITAND(C962,1)</f>
        <v/>
      </c>
      <c r="E962">
        <f>_xlfn.BITRSHIFT(C962,1)</f>
        <v/>
      </c>
      <c r="F962">
        <f>_xlfn.BITXOR(D962,B962)</f>
        <v/>
      </c>
      <c r="G962">
        <f>IF(F962=1,_xlfn.BITXOR(E962,33800),E962)</f>
        <v/>
      </c>
    </row>
    <row r="963">
      <c r="A963" t="n">
        <v>957</v>
      </c>
      <c r="B963">
        <f>_DestuffedBits!C958</f>
        <v/>
      </c>
      <c r="C963">
        <f>G962</f>
        <v/>
      </c>
      <c r="D963">
        <f>_xlfn.BITAND(C963,1)</f>
        <v/>
      </c>
      <c r="E963">
        <f>_xlfn.BITRSHIFT(C963,1)</f>
        <v/>
      </c>
      <c r="F963">
        <f>_xlfn.BITXOR(D963,B963)</f>
        <v/>
      </c>
      <c r="G963">
        <f>IF(F963=1,_xlfn.BITXOR(E963,33800),E963)</f>
        <v/>
      </c>
    </row>
    <row r="964">
      <c r="A964" t="n">
        <v>958</v>
      </c>
      <c r="B964">
        <f>_DestuffedBits!C959</f>
        <v/>
      </c>
      <c r="C964">
        <f>G963</f>
        <v/>
      </c>
      <c r="D964">
        <f>_xlfn.BITAND(C964,1)</f>
        <v/>
      </c>
      <c r="E964">
        <f>_xlfn.BITRSHIFT(C964,1)</f>
        <v/>
      </c>
      <c r="F964">
        <f>_xlfn.BITXOR(D964,B964)</f>
        <v/>
      </c>
      <c r="G964">
        <f>IF(F964=1,_xlfn.BITXOR(E964,33800),E964)</f>
        <v/>
      </c>
    </row>
    <row r="965">
      <c r="A965" t="n">
        <v>959</v>
      </c>
      <c r="B965">
        <f>_DestuffedBits!C960</f>
        <v/>
      </c>
      <c r="C965">
        <f>G964</f>
        <v/>
      </c>
      <c r="D965">
        <f>_xlfn.BITAND(C965,1)</f>
        <v/>
      </c>
      <c r="E965">
        <f>_xlfn.BITRSHIFT(C965,1)</f>
        <v/>
      </c>
      <c r="F965">
        <f>_xlfn.BITXOR(D965,B965)</f>
        <v/>
      </c>
      <c r="G965">
        <f>IF(F965=1,_xlfn.BITXOR(E965,33800),E965)</f>
        <v/>
      </c>
    </row>
    <row r="966">
      <c r="A966" t="n">
        <v>960</v>
      </c>
      <c r="B966">
        <f>_DestuffedBits!C961</f>
        <v/>
      </c>
      <c r="C966">
        <f>G965</f>
        <v/>
      </c>
      <c r="D966">
        <f>_xlfn.BITAND(C966,1)</f>
        <v/>
      </c>
      <c r="E966">
        <f>_xlfn.BITRSHIFT(C966,1)</f>
        <v/>
      </c>
      <c r="F966">
        <f>_xlfn.BITXOR(D966,B966)</f>
        <v/>
      </c>
      <c r="G966">
        <f>IF(F966=1,_xlfn.BITXOR(E966,33800),E966)</f>
        <v/>
      </c>
    </row>
    <row r="967">
      <c r="A967" t="n">
        <v>961</v>
      </c>
      <c r="B967">
        <f>_DestuffedBits!C962</f>
        <v/>
      </c>
      <c r="C967">
        <f>G966</f>
        <v/>
      </c>
      <c r="D967">
        <f>_xlfn.BITAND(C967,1)</f>
        <v/>
      </c>
      <c r="E967">
        <f>_xlfn.BITRSHIFT(C967,1)</f>
        <v/>
      </c>
      <c r="F967">
        <f>_xlfn.BITXOR(D967,B967)</f>
        <v/>
      </c>
      <c r="G967">
        <f>IF(F967=1,_xlfn.BITXOR(E967,33800),E967)</f>
        <v/>
      </c>
    </row>
    <row r="968">
      <c r="A968" t="n">
        <v>962</v>
      </c>
      <c r="B968">
        <f>_DestuffedBits!C963</f>
        <v/>
      </c>
      <c r="C968">
        <f>G967</f>
        <v/>
      </c>
      <c r="D968">
        <f>_xlfn.BITAND(C968,1)</f>
        <v/>
      </c>
      <c r="E968">
        <f>_xlfn.BITRSHIFT(C968,1)</f>
        <v/>
      </c>
      <c r="F968">
        <f>_xlfn.BITXOR(D968,B968)</f>
        <v/>
      </c>
      <c r="G968">
        <f>IF(F968=1,_xlfn.BITXOR(E968,33800),E968)</f>
        <v/>
      </c>
    </row>
    <row r="969">
      <c r="A969" t="n">
        <v>963</v>
      </c>
      <c r="B969">
        <f>_DestuffedBits!C964</f>
        <v/>
      </c>
      <c r="C969">
        <f>G968</f>
        <v/>
      </c>
      <c r="D969">
        <f>_xlfn.BITAND(C969,1)</f>
        <v/>
      </c>
      <c r="E969">
        <f>_xlfn.BITRSHIFT(C969,1)</f>
        <v/>
      </c>
      <c r="F969">
        <f>_xlfn.BITXOR(D969,B969)</f>
        <v/>
      </c>
      <c r="G969">
        <f>IF(F969=1,_xlfn.BITXOR(E969,33800),E969)</f>
        <v/>
      </c>
    </row>
    <row r="970">
      <c r="A970" t="n">
        <v>964</v>
      </c>
      <c r="B970">
        <f>_DestuffedBits!C965</f>
        <v/>
      </c>
      <c r="C970">
        <f>G969</f>
        <v/>
      </c>
      <c r="D970">
        <f>_xlfn.BITAND(C970,1)</f>
        <v/>
      </c>
      <c r="E970">
        <f>_xlfn.BITRSHIFT(C970,1)</f>
        <v/>
      </c>
      <c r="F970">
        <f>_xlfn.BITXOR(D970,B970)</f>
        <v/>
      </c>
      <c r="G970">
        <f>IF(F970=1,_xlfn.BITXOR(E970,33800),E970)</f>
        <v/>
      </c>
    </row>
    <row r="971">
      <c r="A971" t="n">
        <v>965</v>
      </c>
      <c r="B971">
        <f>_DestuffedBits!C966</f>
        <v/>
      </c>
      <c r="C971">
        <f>G970</f>
        <v/>
      </c>
      <c r="D971">
        <f>_xlfn.BITAND(C971,1)</f>
        <v/>
      </c>
      <c r="E971">
        <f>_xlfn.BITRSHIFT(C971,1)</f>
        <v/>
      </c>
      <c r="F971">
        <f>_xlfn.BITXOR(D971,B971)</f>
        <v/>
      </c>
      <c r="G971">
        <f>IF(F971=1,_xlfn.BITXOR(E971,33800),E971)</f>
        <v/>
      </c>
    </row>
    <row r="972">
      <c r="A972" t="n">
        <v>966</v>
      </c>
      <c r="B972">
        <f>_DestuffedBits!C967</f>
        <v/>
      </c>
      <c r="C972">
        <f>G971</f>
        <v/>
      </c>
      <c r="D972">
        <f>_xlfn.BITAND(C972,1)</f>
        <v/>
      </c>
      <c r="E972">
        <f>_xlfn.BITRSHIFT(C972,1)</f>
        <v/>
      </c>
      <c r="F972">
        <f>_xlfn.BITXOR(D972,B972)</f>
        <v/>
      </c>
      <c r="G972">
        <f>IF(F972=1,_xlfn.BITXOR(E972,33800),E972)</f>
        <v/>
      </c>
    </row>
    <row r="973">
      <c r="A973" t="n">
        <v>967</v>
      </c>
      <c r="B973">
        <f>_DestuffedBits!C968</f>
        <v/>
      </c>
      <c r="C973">
        <f>G972</f>
        <v/>
      </c>
      <c r="D973">
        <f>_xlfn.BITAND(C973,1)</f>
        <v/>
      </c>
      <c r="E973">
        <f>_xlfn.BITRSHIFT(C973,1)</f>
        <v/>
      </c>
      <c r="F973">
        <f>_xlfn.BITXOR(D973,B973)</f>
        <v/>
      </c>
      <c r="G973">
        <f>IF(F973=1,_xlfn.BITXOR(E973,33800),E973)</f>
        <v/>
      </c>
    </row>
    <row r="974">
      <c r="A974" t="n">
        <v>968</v>
      </c>
      <c r="B974">
        <f>_DestuffedBits!C969</f>
        <v/>
      </c>
      <c r="C974">
        <f>G973</f>
        <v/>
      </c>
      <c r="D974">
        <f>_xlfn.BITAND(C974,1)</f>
        <v/>
      </c>
      <c r="E974">
        <f>_xlfn.BITRSHIFT(C974,1)</f>
        <v/>
      </c>
      <c r="F974">
        <f>_xlfn.BITXOR(D974,B974)</f>
        <v/>
      </c>
      <c r="G974">
        <f>IF(F974=1,_xlfn.BITXOR(E974,33800),E974)</f>
        <v/>
      </c>
    </row>
    <row r="975">
      <c r="A975" t="n">
        <v>969</v>
      </c>
      <c r="B975">
        <f>_DestuffedBits!C970</f>
        <v/>
      </c>
      <c r="C975">
        <f>G974</f>
        <v/>
      </c>
      <c r="D975">
        <f>_xlfn.BITAND(C975,1)</f>
        <v/>
      </c>
      <c r="E975">
        <f>_xlfn.BITRSHIFT(C975,1)</f>
        <v/>
      </c>
      <c r="F975">
        <f>_xlfn.BITXOR(D975,B975)</f>
        <v/>
      </c>
      <c r="G975">
        <f>IF(F975=1,_xlfn.BITXOR(E975,33800),E975)</f>
        <v/>
      </c>
    </row>
    <row r="976">
      <c r="A976" t="n">
        <v>970</v>
      </c>
      <c r="B976">
        <f>_DestuffedBits!C971</f>
        <v/>
      </c>
      <c r="C976">
        <f>G975</f>
        <v/>
      </c>
      <c r="D976">
        <f>_xlfn.BITAND(C976,1)</f>
        <v/>
      </c>
      <c r="E976">
        <f>_xlfn.BITRSHIFT(C976,1)</f>
        <v/>
      </c>
      <c r="F976">
        <f>_xlfn.BITXOR(D976,B976)</f>
        <v/>
      </c>
      <c r="G976">
        <f>IF(F976=1,_xlfn.BITXOR(E976,33800),E976)</f>
        <v/>
      </c>
    </row>
    <row r="977">
      <c r="A977" t="n">
        <v>971</v>
      </c>
      <c r="B977">
        <f>_DestuffedBits!C972</f>
        <v/>
      </c>
      <c r="C977">
        <f>G976</f>
        <v/>
      </c>
      <c r="D977">
        <f>_xlfn.BITAND(C977,1)</f>
        <v/>
      </c>
      <c r="E977">
        <f>_xlfn.BITRSHIFT(C977,1)</f>
        <v/>
      </c>
      <c r="F977">
        <f>_xlfn.BITXOR(D977,B977)</f>
        <v/>
      </c>
      <c r="G977">
        <f>IF(F977=1,_xlfn.BITXOR(E977,33800),E977)</f>
        <v/>
      </c>
    </row>
    <row r="978">
      <c r="A978" t="n">
        <v>972</v>
      </c>
      <c r="B978">
        <f>_DestuffedBits!C973</f>
        <v/>
      </c>
      <c r="C978">
        <f>G977</f>
        <v/>
      </c>
      <c r="D978">
        <f>_xlfn.BITAND(C978,1)</f>
        <v/>
      </c>
      <c r="E978">
        <f>_xlfn.BITRSHIFT(C978,1)</f>
        <v/>
      </c>
      <c r="F978">
        <f>_xlfn.BITXOR(D978,B978)</f>
        <v/>
      </c>
      <c r="G978">
        <f>IF(F978=1,_xlfn.BITXOR(E978,33800),E978)</f>
        <v/>
      </c>
    </row>
    <row r="979">
      <c r="A979" t="n">
        <v>973</v>
      </c>
      <c r="B979">
        <f>_DestuffedBits!C974</f>
        <v/>
      </c>
      <c r="C979">
        <f>G978</f>
        <v/>
      </c>
      <c r="D979">
        <f>_xlfn.BITAND(C979,1)</f>
        <v/>
      </c>
      <c r="E979">
        <f>_xlfn.BITRSHIFT(C979,1)</f>
        <v/>
      </c>
      <c r="F979">
        <f>_xlfn.BITXOR(D979,B979)</f>
        <v/>
      </c>
      <c r="G979">
        <f>IF(F979=1,_xlfn.BITXOR(E979,33800),E979)</f>
        <v/>
      </c>
    </row>
    <row r="980">
      <c r="A980" t="n">
        <v>974</v>
      </c>
      <c r="B980">
        <f>_DestuffedBits!C975</f>
        <v/>
      </c>
      <c r="C980">
        <f>G979</f>
        <v/>
      </c>
      <c r="D980">
        <f>_xlfn.BITAND(C980,1)</f>
        <v/>
      </c>
      <c r="E980">
        <f>_xlfn.BITRSHIFT(C980,1)</f>
        <v/>
      </c>
      <c r="F980">
        <f>_xlfn.BITXOR(D980,B980)</f>
        <v/>
      </c>
      <c r="G980">
        <f>IF(F980=1,_xlfn.BITXOR(E980,33800),E980)</f>
        <v/>
      </c>
    </row>
    <row r="981">
      <c r="A981" t="n">
        <v>975</v>
      </c>
      <c r="B981">
        <f>_DestuffedBits!C976</f>
        <v/>
      </c>
      <c r="C981">
        <f>G980</f>
        <v/>
      </c>
      <c r="D981">
        <f>_xlfn.BITAND(C981,1)</f>
        <v/>
      </c>
      <c r="E981">
        <f>_xlfn.BITRSHIFT(C981,1)</f>
        <v/>
      </c>
      <c r="F981">
        <f>_xlfn.BITXOR(D981,B981)</f>
        <v/>
      </c>
      <c r="G981">
        <f>IF(F981=1,_xlfn.BITXOR(E981,33800),E981)</f>
        <v/>
      </c>
    </row>
    <row r="982">
      <c r="A982" t="n">
        <v>976</v>
      </c>
      <c r="B982">
        <f>_DestuffedBits!C977</f>
        <v/>
      </c>
      <c r="C982">
        <f>G981</f>
        <v/>
      </c>
      <c r="D982">
        <f>_xlfn.BITAND(C982,1)</f>
        <v/>
      </c>
      <c r="E982">
        <f>_xlfn.BITRSHIFT(C982,1)</f>
        <v/>
      </c>
      <c r="F982">
        <f>_xlfn.BITXOR(D982,B982)</f>
        <v/>
      </c>
      <c r="G982">
        <f>IF(F982=1,_xlfn.BITXOR(E982,33800),E982)</f>
        <v/>
      </c>
    </row>
    <row r="983">
      <c r="A983" t="n">
        <v>977</v>
      </c>
      <c r="B983">
        <f>_DestuffedBits!C978</f>
        <v/>
      </c>
      <c r="C983">
        <f>G982</f>
        <v/>
      </c>
      <c r="D983">
        <f>_xlfn.BITAND(C983,1)</f>
        <v/>
      </c>
      <c r="E983">
        <f>_xlfn.BITRSHIFT(C983,1)</f>
        <v/>
      </c>
      <c r="F983">
        <f>_xlfn.BITXOR(D983,B983)</f>
        <v/>
      </c>
      <c r="G983">
        <f>IF(F983=1,_xlfn.BITXOR(E983,33800),E983)</f>
        <v/>
      </c>
    </row>
    <row r="984">
      <c r="A984" t="n">
        <v>978</v>
      </c>
      <c r="B984">
        <f>_DestuffedBits!C979</f>
        <v/>
      </c>
      <c r="C984">
        <f>G983</f>
        <v/>
      </c>
      <c r="D984">
        <f>_xlfn.BITAND(C984,1)</f>
        <v/>
      </c>
      <c r="E984">
        <f>_xlfn.BITRSHIFT(C984,1)</f>
        <v/>
      </c>
      <c r="F984">
        <f>_xlfn.BITXOR(D984,B984)</f>
        <v/>
      </c>
      <c r="G984">
        <f>IF(F984=1,_xlfn.BITXOR(E984,33800),E984)</f>
        <v/>
      </c>
    </row>
    <row r="985">
      <c r="A985" t="n">
        <v>979</v>
      </c>
      <c r="B985">
        <f>_DestuffedBits!C980</f>
        <v/>
      </c>
      <c r="C985">
        <f>G984</f>
        <v/>
      </c>
      <c r="D985">
        <f>_xlfn.BITAND(C985,1)</f>
        <v/>
      </c>
      <c r="E985">
        <f>_xlfn.BITRSHIFT(C985,1)</f>
        <v/>
      </c>
      <c r="F985">
        <f>_xlfn.BITXOR(D985,B985)</f>
        <v/>
      </c>
      <c r="G985">
        <f>IF(F985=1,_xlfn.BITXOR(E985,33800),E985)</f>
        <v/>
      </c>
    </row>
    <row r="986">
      <c r="A986" t="n">
        <v>980</v>
      </c>
      <c r="B986">
        <f>_DestuffedBits!C981</f>
        <v/>
      </c>
      <c r="C986">
        <f>G985</f>
        <v/>
      </c>
      <c r="D986">
        <f>_xlfn.BITAND(C986,1)</f>
        <v/>
      </c>
      <c r="E986">
        <f>_xlfn.BITRSHIFT(C986,1)</f>
        <v/>
      </c>
      <c r="F986">
        <f>_xlfn.BITXOR(D986,B986)</f>
        <v/>
      </c>
      <c r="G986">
        <f>IF(F986=1,_xlfn.BITXOR(E986,33800),E986)</f>
        <v/>
      </c>
    </row>
    <row r="987">
      <c r="A987" t="n">
        <v>981</v>
      </c>
      <c r="B987">
        <f>_DestuffedBits!C982</f>
        <v/>
      </c>
      <c r="C987">
        <f>G986</f>
        <v/>
      </c>
      <c r="D987">
        <f>_xlfn.BITAND(C987,1)</f>
        <v/>
      </c>
      <c r="E987">
        <f>_xlfn.BITRSHIFT(C987,1)</f>
        <v/>
      </c>
      <c r="F987">
        <f>_xlfn.BITXOR(D987,B987)</f>
        <v/>
      </c>
      <c r="G987">
        <f>IF(F987=1,_xlfn.BITXOR(E987,33800),E987)</f>
        <v/>
      </c>
    </row>
    <row r="988">
      <c r="A988" t="n">
        <v>982</v>
      </c>
      <c r="B988">
        <f>_DestuffedBits!C983</f>
        <v/>
      </c>
      <c r="C988">
        <f>G987</f>
        <v/>
      </c>
      <c r="D988">
        <f>_xlfn.BITAND(C988,1)</f>
        <v/>
      </c>
      <c r="E988">
        <f>_xlfn.BITRSHIFT(C988,1)</f>
        <v/>
      </c>
      <c r="F988">
        <f>_xlfn.BITXOR(D988,B988)</f>
        <v/>
      </c>
      <c r="G988">
        <f>IF(F988=1,_xlfn.BITXOR(E988,33800),E988)</f>
        <v/>
      </c>
    </row>
    <row r="989">
      <c r="A989" t="n">
        <v>983</v>
      </c>
      <c r="B989">
        <f>_DestuffedBits!C984</f>
        <v/>
      </c>
      <c r="C989">
        <f>G988</f>
        <v/>
      </c>
      <c r="D989">
        <f>_xlfn.BITAND(C989,1)</f>
        <v/>
      </c>
      <c r="E989">
        <f>_xlfn.BITRSHIFT(C989,1)</f>
        <v/>
      </c>
      <c r="F989">
        <f>_xlfn.BITXOR(D989,B989)</f>
        <v/>
      </c>
      <c r="G989">
        <f>IF(F989=1,_xlfn.BITXOR(E989,33800),E989)</f>
        <v/>
      </c>
    </row>
    <row r="990">
      <c r="A990" t="n">
        <v>984</v>
      </c>
      <c r="B990">
        <f>_DestuffedBits!C985</f>
        <v/>
      </c>
      <c r="C990">
        <f>G989</f>
        <v/>
      </c>
      <c r="D990">
        <f>_xlfn.BITAND(C990,1)</f>
        <v/>
      </c>
      <c r="E990">
        <f>_xlfn.BITRSHIFT(C990,1)</f>
        <v/>
      </c>
      <c r="F990">
        <f>_xlfn.BITXOR(D990,B990)</f>
        <v/>
      </c>
      <c r="G990">
        <f>IF(F990=1,_xlfn.BITXOR(E990,33800),E990)</f>
        <v/>
      </c>
    </row>
    <row r="991">
      <c r="A991" t="n">
        <v>985</v>
      </c>
      <c r="B991">
        <f>_DestuffedBits!C986</f>
        <v/>
      </c>
      <c r="C991">
        <f>G990</f>
        <v/>
      </c>
      <c r="D991">
        <f>_xlfn.BITAND(C991,1)</f>
        <v/>
      </c>
      <c r="E991">
        <f>_xlfn.BITRSHIFT(C991,1)</f>
        <v/>
      </c>
      <c r="F991">
        <f>_xlfn.BITXOR(D991,B991)</f>
        <v/>
      </c>
      <c r="G991">
        <f>IF(F991=1,_xlfn.BITXOR(E991,33800),E991)</f>
        <v/>
      </c>
    </row>
    <row r="992">
      <c r="A992" t="n">
        <v>986</v>
      </c>
      <c r="B992">
        <f>_DestuffedBits!C987</f>
        <v/>
      </c>
      <c r="C992">
        <f>G991</f>
        <v/>
      </c>
      <c r="D992">
        <f>_xlfn.BITAND(C992,1)</f>
        <v/>
      </c>
      <c r="E992">
        <f>_xlfn.BITRSHIFT(C992,1)</f>
        <v/>
      </c>
      <c r="F992">
        <f>_xlfn.BITXOR(D992,B992)</f>
        <v/>
      </c>
      <c r="G992">
        <f>IF(F992=1,_xlfn.BITXOR(E992,33800),E992)</f>
        <v/>
      </c>
    </row>
    <row r="993">
      <c r="A993" t="n">
        <v>987</v>
      </c>
      <c r="B993">
        <f>_DestuffedBits!C988</f>
        <v/>
      </c>
      <c r="C993">
        <f>G992</f>
        <v/>
      </c>
      <c r="D993">
        <f>_xlfn.BITAND(C993,1)</f>
        <v/>
      </c>
      <c r="E993">
        <f>_xlfn.BITRSHIFT(C993,1)</f>
        <v/>
      </c>
      <c r="F993">
        <f>_xlfn.BITXOR(D993,B993)</f>
        <v/>
      </c>
      <c r="G993">
        <f>IF(F993=1,_xlfn.BITXOR(E993,33800),E993)</f>
        <v/>
      </c>
    </row>
    <row r="994">
      <c r="A994" t="n">
        <v>988</v>
      </c>
      <c r="B994">
        <f>_DestuffedBits!C989</f>
        <v/>
      </c>
      <c r="C994">
        <f>G993</f>
        <v/>
      </c>
      <c r="D994">
        <f>_xlfn.BITAND(C994,1)</f>
        <v/>
      </c>
      <c r="E994">
        <f>_xlfn.BITRSHIFT(C994,1)</f>
        <v/>
      </c>
      <c r="F994">
        <f>_xlfn.BITXOR(D994,B994)</f>
        <v/>
      </c>
      <c r="G994">
        <f>IF(F994=1,_xlfn.BITXOR(E994,33800),E994)</f>
        <v/>
      </c>
    </row>
    <row r="995">
      <c r="A995" t="n">
        <v>989</v>
      </c>
      <c r="B995">
        <f>_DestuffedBits!C990</f>
        <v/>
      </c>
      <c r="C995">
        <f>G994</f>
        <v/>
      </c>
      <c r="D995">
        <f>_xlfn.BITAND(C995,1)</f>
        <v/>
      </c>
      <c r="E995">
        <f>_xlfn.BITRSHIFT(C995,1)</f>
        <v/>
      </c>
      <c r="F995">
        <f>_xlfn.BITXOR(D995,B995)</f>
        <v/>
      </c>
      <c r="G995">
        <f>IF(F995=1,_xlfn.BITXOR(E995,33800),E995)</f>
        <v/>
      </c>
    </row>
    <row r="996">
      <c r="A996" t="n">
        <v>990</v>
      </c>
      <c r="B996">
        <f>_DestuffedBits!C991</f>
        <v/>
      </c>
      <c r="C996">
        <f>G995</f>
        <v/>
      </c>
      <c r="D996">
        <f>_xlfn.BITAND(C996,1)</f>
        <v/>
      </c>
      <c r="E996">
        <f>_xlfn.BITRSHIFT(C996,1)</f>
        <v/>
      </c>
      <c r="F996">
        <f>_xlfn.BITXOR(D996,B996)</f>
        <v/>
      </c>
      <c r="G996">
        <f>IF(F996=1,_xlfn.BITXOR(E996,33800),E996)</f>
        <v/>
      </c>
    </row>
    <row r="997">
      <c r="A997" t="n">
        <v>991</v>
      </c>
      <c r="B997">
        <f>_DestuffedBits!C992</f>
        <v/>
      </c>
      <c r="C997">
        <f>G996</f>
        <v/>
      </c>
      <c r="D997">
        <f>_xlfn.BITAND(C997,1)</f>
        <v/>
      </c>
      <c r="E997">
        <f>_xlfn.BITRSHIFT(C997,1)</f>
        <v/>
      </c>
      <c r="F997">
        <f>_xlfn.BITXOR(D997,B997)</f>
        <v/>
      </c>
      <c r="G997">
        <f>IF(F997=1,_xlfn.BITXOR(E997,33800),E997)</f>
        <v/>
      </c>
    </row>
    <row r="998">
      <c r="A998" t="n">
        <v>992</v>
      </c>
      <c r="B998">
        <f>_DestuffedBits!C993</f>
        <v/>
      </c>
      <c r="C998">
        <f>G997</f>
        <v/>
      </c>
      <c r="D998">
        <f>_xlfn.BITAND(C998,1)</f>
        <v/>
      </c>
      <c r="E998">
        <f>_xlfn.BITRSHIFT(C998,1)</f>
        <v/>
      </c>
      <c r="F998">
        <f>_xlfn.BITXOR(D998,B998)</f>
        <v/>
      </c>
      <c r="G998">
        <f>IF(F998=1,_xlfn.BITXOR(E998,33800),E998)</f>
        <v/>
      </c>
    </row>
    <row r="999">
      <c r="A999" t="n">
        <v>993</v>
      </c>
      <c r="B999">
        <f>_DestuffedBits!C994</f>
        <v/>
      </c>
      <c r="C999">
        <f>G998</f>
        <v/>
      </c>
      <c r="D999">
        <f>_xlfn.BITAND(C999,1)</f>
        <v/>
      </c>
      <c r="E999">
        <f>_xlfn.BITRSHIFT(C999,1)</f>
        <v/>
      </c>
      <c r="F999">
        <f>_xlfn.BITXOR(D999,B999)</f>
        <v/>
      </c>
      <c r="G999">
        <f>IF(F999=1,_xlfn.BITXOR(E999,33800),E999)</f>
        <v/>
      </c>
    </row>
    <row r="1000">
      <c r="A1000" t="n">
        <v>994</v>
      </c>
      <c r="B1000">
        <f>_DestuffedBits!C995</f>
        <v/>
      </c>
      <c r="C1000">
        <f>G999</f>
        <v/>
      </c>
      <c r="D1000">
        <f>_xlfn.BITAND(C1000,1)</f>
        <v/>
      </c>
      <c r="E1000">
        <f>_xlfn.BITRSHIFT(C1000,1)</f>
        <v/>
      </c>
      <c r="F1000">
        <f>_xlfn.BITXOR(D1000,B1000)</f>
        <v/>
      </c>
      <c r="G1000">
        <f>IF(F1000=1,_xlfn.BITXOR(E1000,33800),E1000)</f>
        <v/>
      </c>
    </row>
    <row r="1001">
      <c r="A1001" t="n">
        <v>995</v>
      </c>
      <c r="B1001">
        <f>_DestuffedBits!C996</f>
        <v/>
      </c>
      <c r="C1001">
        <f>G1000</f>
        <v/>
      </c>
      <c r="D1001">
        <f>_xlfn.BITAND(C1001,1)</f>
        <v/>
      </c>
      <c r="E1001">
        <f>_xlfn.BITRSHIFT(C1001,1)</f>
        <v/>
      </c>
      <c r="F1001">
        <f>_xlfn.BITXOR(D1001,B1001)</f>
        <v/>
      </c>
      <c r="G1001">
        <f>IF(F1001=1,_xlfn.BITXOR(E1001,33800),E1001)</f>
        <v/>
      </c>
    </row>
    <row r="1002">
      <c r="A1002" t="n">
        <v>996</v>
      </c>
      <c r="B1002">
        <f>_DestuffedBits!C997</f>
        <v/>
      </c>
      <c r="C1002">
        <f>G1001</f>
        <v/>
      </c>
      <c r="D1002">
        <f>_xlfn.BITAND(C1002,1)</f>
        <v/>
      </c>
      <c r="E1002">
        <f>_xlfn.BITRSHIFT(C1002,1)</f>
        <v/>
      </c>
      <c r="F1002">
        <f>_xlfn.BITXOR(D1002,B1002)</f>
        <v/>
      </c>
      <c r="G1002">
        <f>IF(F1002=1,_xlfn.BITXOR(E1002,33800),E1002)</f>
        <v/>
      </c>
    </row>
    <row r="1003">
      <c r="A1003" t="n">
        <v>997</v>
      </c>
      <c r="B1003">
        <f>_DestuffedBits!C998</f>
        <v/>
      </c>
      <c r="C1003">
        <f>G1002</f>
        <v/>
      </c>
      <c r="D1003">
        <f>_xlfn.BITAND(C1003,1)</f>
        <v/>
      </c>
      <c r="E1003">
        <f>_xlfn.BITRSHIFT(C1003,1)</f>
        <v/>
      </c>
      <c r="F1003">
        <f>_xlfn.BITXOR(D1003,B1003)</f>
        <v/>
      </c>
      <c r="G1003">
        <f>IF(F1003=1,_xlfn.BITXOR(E1003,33800),E1003)</f>
        <v/>
      </c>
    </row>
    <row r="1004">
      <c r="A1004" t="n">
        <v>998</v>
      </c>
      <c r="B1004">
        <f>_DestuffedBits!C999</f>
        <v/>
      </c>
      <c r="C1004">
        <f>G1003</f>
        <v/>
      </c>
      <c r="D1004">
        <f>_xlfn.BITAND(C1004,1)</f>
        <v/>
      </c>
      <c r="E1004">
        <f>_xlfn.BITRSHIFT(C1004,1)</f>
        <v/>
      </c>
      <c r="F1004">
        <f>_xlfn.BITXOR(D1004,B1004)</f>
        <v/>
      </c>
      <c r="G1004">
        <f>IF(F1004=1,_xlfn.BITXOR(E1004,33800),E1004)</f>
        <v/>
      </c>
    </row>
    <row r="1005">
      <c r="A1005" t="n">
        <v>999</v>
      </c>
      <c r="B1005">
        <f>_DestuffedBits!C1000</f>
        <v/>
      </c>
      <c r="C1005">
        <f>G1004</f>
        <v/>
      </c>
      <c r="D1005">
        <f>_xlfn.BITAND(C1005,1)</f>
        <v/>
      </c>
      <c r="E1005">
        <f>_xlfn.BITRSHIFT(C1005,1)</f>
        <v/>
      </c>
      <c r="F1005">
        <f>_xlfn.BITXOR(D1005,B1005)</f>
        <v/>
      </c>
      <c r="G1005">
        <f>IF(F1005=1,_xlfn.BITXOR(E1005,33800),E1005)</f>
        <v/>
      </c>
    </row>
    <row r="1006">
      <c r="A1006" t="n">
        <v>1000</v>
      </c>
      <c r="B1006">
        <f>_DestuffedBits!C1001</f>
        <v/>
      </c>
      <c r="C1006">
        <f>G1005</f>
        <v/>
      </c>
      <c r="D1006">
        <f>_xlfn.BITAND(C1006,1)</f>
        <v/>
      </c>
      <c r="E1006">
        <f>_xlfn.BITRSHIFT(C1006,1)</f>
        <v/>
      </c>
      <c r="F1006">
        <f>_xlfn.BITXOR(D1006,B1006)</f>
        <v/>
      </c>
      <c r="G1006">
        <f>IF(F1006=1,_xlfn.BITXOR(E1006,33800),E1006)</f>
        <v/>
      </c>
    </row>
    <row r="1007">
      <c r="A1007" t="n">
        <v>1001</v>
      </c>
      <c r="B1007">
        <f>_DestuffedBits!C1002</f>
        <v/>
      </c>
      <c r="C1007">
        <f>G1006</f>
        <v/>
      </c>
      <c r="D1007">
        <f>_xlfn.BITAND(C1007,1)</f>
        <v/>
      </c>
      <c r="E1007">
        <f>_xlfn.BITRSHIFT(C1007,1)</f>
        <v/>
      </c>
      <c r="F1007">
        <f>_xlfn.BITXOR(D1007,B1007)</f>
        <v/>
      </c>
      <c r="G1007">
        <f>IF(F1007=1,_xlfn.BITXOR(E1007,33800),E1007)</f>
        <v/>
      </c>
    </row>
    <row r="1008">
      <c r="A1008" t="n">
        <v>1002</v>
      </c>
      <c r="B1008">
        <f>_DestuffedBits!C1003</f>
        <v/>
      </c>
      <c r="C1008">
        <f>G1007</f>
        <v/>
      </c>
      <c r="D1008">
        <f>_xlfn.BITAND(C1008,1)</f>
        <v/>
      </c>
      <c r="E1008">
        <f>_xlfn.BITRSHIFT(C1008,1)</f>
        <v/>
      </c>
      <c r="F1008">
        <f>_xlfn.BITXOR(D1008,B1008)</f>
        <v/>
      </c>
      <c r="G1008">
        <f>IF(F1008=1,_xlfn.BITXOR(E1008,33800),E1008)</f>
        <v/>
      </c>
    </row>
    <row r="1009">
      <c r="A1009" t="n">
        <v>1003</v>
      </c>
      <c r="B1009">
        <f>_DestuffedBits!C1004</f>
        <v/>
      </c>
      <c r="C1009">
        <f>G1008</f>
        <v/>
      </c>
      <c r="D1009">
        <f>_xlfn.BITAND(C1009,1)</f>
        <v/>
      </c>
      <c r="E1009">
        <f>_xlfn.BITRSHIFT(C1009,1)</f>
        <v/>
      </c>
      <c r="F1009">
        <f>_xlfn.BITXOR(D1009,B1009)</f>
        <v/>
      </c>
      <c r="G1009">
        <f>IF(F1009=1,_xlfn.BITXOR(E1009,33800),E1009)</f>
        <v/>
      </c>
    </row>
    <row r="1010">
      <c r="A1010" t="n">
        <v>1004</v>
      </c>
      <c r="B1010">
        <f>_DestuffedBits!C1005</f>
        <v/>
      </c>
      <c r="C1010">
        <f>G1009</f>
        <v/>
      </c>
      <c r="D1010">
        <f>_xlfn.BITAND(C1010,1)</f>
        <v/>
      </c>
      <c r="E1010">
        <f>_xlfn.BITRSHIFT(C1010,1)</f>
        <v/>
      </c>
      <c r="F1010">
        <f>_xlfn.BITXOR(D1010,B1010)</f>
        <v/>
      </c>
      <c r="G1010">
        <f>IF(F1010=1,_xlfn.BITXOR(E1010,33800),E1010)</f>
        <v/>
      </c>
    </row>
    <row r="1011">
      <c r="A1011" t="n">
        <v>1005</v>
      </c>
      <c r="B1011">
        <f>_DestuffedBits!C1006</f>
        <v/>
      </c>
      <c r="C1011">
        <f>G1010</f>
        <v/>
      </c>
      <c r="D1011">
        <f>_xlfn.BITAND(C1011,1)</f>
        <v/>
      </c>
      <c r="E1011">
        <f>_xlfn.BITRSHIFT(C1011,1)</f>
        <v/>
      </c>
      <c r="F1011">
        <f>_xlfn.BITXOR(D1011,B1011)</f>
        <v/>
      </c>
      <c r="G1011">
        <f>IF(F1011=1,_xlfn.BITXOR(E1011,33800),E1011)</f>
        <v/>
      </c>
    </row>
    <row r="1012">
      <c r="A1012" t="n">
        <v>1006</v>
      </c>
      <c r="B1012">
        <f>_DestuffedBits!C1007</f>
        <v/>
      </c>
      <c r="C1012">
        <f>G1011</f>
        <v/>
      </c>
      <c r="D1012">
        <f>_xlfn.BITAND(C1012,1)</f>
        <v/>
      </c>
      <c r="E1012">
        <f>_xlfn.BITRSHIFT(C1012,1)</f>
        <v/>
      </c>
      <c r="F1012">
        <f>_xlfn.BITXOR(D1012,B1012)</f>
        <v/>
      </c>
      <c r="G1012">
        <f>IF(F1012=1,_xlfn.BITXOR(E1012,33800),E1012)</f>
        <v/>
      </c>
    </row>
    <row r="1013">
      <c r="A1013" t="n">
        <v>1007</v>
      </c>
      <c r="B1013">
        <f>_DestuffedBits!C1008</f>
        <v/>
      </c>
      <c r="C1013">
        <f>G1012</f>
        <v/>
      </c>
      <c r="D1013">
        <f>_xlfn.BITAND(C1013,1)</f>
        <v/>
      </c>
      <c r="E1013">
        <f>_xlfn.BITRSHIFT(C1013,1)</f>
        <v/>
      </c>
      <c r="F1013">
        <f>_xlfn.BITXOR(D1013,B1013)</f>
        <v/>
      </c>
      <c r="G1013">
        <f>IF(F1013=1,_xlfn.BITXOR(E1013,33800),E1013)</f>
        <v/>
      </c>
    </row>
    <row r="1014">
      <c r="A1014" t="n">
        <v>1008</v>
      </c>
      <c r="B1014">
        <f>_DestuffedBits!C1009</f>
        <v/>
      </c>
      <c r="C1014">
        <f>G1013</f>
        <v/>
      </c>
      <c r="D1014">
        <f>_xlfn.BITAND(C1014,1)</f>
        <v/>
      </c>
      <c r="E1014">
        <f>_xlfn.BITRSHIFT(C1014,1)</f>
        <v/>
      </c>
      <c r="F1014">
        <f>_xlfn.BITXOR(D1014,B1014)</f>
        <v/>
      </c>
      <c r="G1014">
        <f>IF(F1014=1,_xlfn.BITXOR(E1014,33800),E1014)</f>
        <v/>
      </c>
    </row>
    <row r="1015">
      <c r="A1015" t="n">
        <v>1009</v>
      </c>
      <c r="B1015">
        <f>_DestuffedBits!C1010</f>
        <v/>
      </c>
      <c r="C1015">
        <f>G1014</f>
        <v/>
      </c>
      <c r="D1015">
        <f>_xlfn.BITAND(C1015,1)</f>
        <v/>
      </c>
      <c r="E1015">
        <f>_xlfn.BITRSHIFT(C1015,1)</f>
        <v/>
      </c>
      <c r="F1015">
        <f>_xlfn.BITXOR(D1015,B1015)</f>
        <v/>
      </c>
      <c r="G1015">
        <f>IF(F1015=1,_xlfn.BITXOR(E1015,33800),E1015)</f>
        <v/>
      </c>
    </row>
    <row r="1016">
      <c r="A1016" t="n">
        <v>1010</v>
      </c>
      <c r="B1016">
        <f>_DestuffedBits!C1011</f>
        <v/>
      </c>
      <c r="C1016">
        <f>G1015</f>
        <v/>
      </c>
      <c r="D1016">
        <f>_xlfn.BITAND(C1016,1)</f>
        <v/>
      </c>
      <c r="E1016">
        <f>_xlfn.BITRSHIFT(C1016,1)</f>
        <v/>
      </c>
      <c r="F1016">
        <f>_xlfn.BITXOR(D1016,B1016)</f>
        <v/>
      </c>
      <c r="G1016">
        <f>IF(F1016=1,_xlfn.BITXOR(E1016,33800),E1016)</f>
        <v/>
      </c>
    </row>
    <row r="1017">
      <c r="A1017" t="n">
        <v>1011</v>
      </c>
      <c r="B1017">
        <f>_DestuffedBits!C1012</f>
        <v/>
      </c>
      <c r="C1017">
        <f>G1016</f>
        <v/>
      </c>
      <c r="D1017">
        <f>_xlfn.BITAND(C1017,1)</f>
        <v/>
      </c>
      <c r="E1017">
        <f>_xlfn.BITRSHIFT(C1017,1)</f>
        <v/>
      </c>
      <c r="F1017">
        <f>_xlfn.BITXOR(D1017,B1017)</f>
        <v/>
      </c>
      <c r="G1017">
        <f>IF(F1017=1,_xlfn.BITXOR(E1017,33800),E1017)</f>
        <v/>
      </c>
    </row>
    <row r="1018">
      <c r="A1018" t="n">
        <v>1012</v>
      </c>
      <c r="B1018">
        <f>_DestuffedBits!C1013</f>
        <v/>
      </c>
      <c r="C1018">
        <f>G1017</f>
        <v/>
      </c>
      <c r="D1018">
        <f>_xlfn.BITAND(C1018,1)</f>
        <v/>
      </c>
      <c r="E1018">
        <f>_xlfn.BITRSHIFT(C1018,1)</f>
        <v/>
      </c>
      <c r="F1018">
        <f>_xlfn.BITXOR(D1018,B1018)</f>
        <v/>
      </c>
      <c r="G1018">
        <f>IF(F1018=1,_xlfn.BITXOR(E1018,33800),E1018)</f>
        <v/>
      </c>
    </row>
    <row r="1019">
      <c r="A1019" t="n">
        <v>1013</v>
      </c>
      <c r="B1019">
        <f>_DestuffedBits!C1014</f>
        <v/>
      </c>
      <c r="C1019">
        <f>G1018</f>
        <v/>
      </c>
      <c r="D1019">
        <f>_xlfn.BITAND(C1019,1)</f>
        <v/>
      </c>
      <c r="E1019">
        <f>_xlfn.BITRSHIFT(C1019,1)</f>
        <v/>
      </c>
      <c r="F1019">
        <f>_xlfn.BITXOR(D1019,B1019)</f>
        <v/>
      </c>
      <c r="G1019">
        <f>IF(F1019=1,_xlfn.BITXOR(E1019,33800),E1019)</f>
        <v/>
      </c>
    </row>
    <row r="1020">
      <c r="A1020" t="n">
        <v>1014</v>
      </c>
      <c r="B1020">
        <f>_DestuffedBits!C1015</f>
        <v/>
      </c>
      <c r="C1020">
        <f>G1019</f>
        <v/>
      </c>
      <c r="D1020">
        <f>_xlfn.BITAND(C1020,1)</f>
        <v/>
      </c>
      <c r="E1020">
        <f>_xlfn.BITRSHIFT(C1020,1)</f>
        <v/>
      </c>
      <c r="F1020">
        <f>_xlfn.BITXOR(D1020,B1020)</f>
        <v/>
      </c>
      <c r="G1020">
        <f>IF(F1020=1,_xlfn.BITXOR(E1020,33800),E1020)</f>
        <v/>
      </c>
    </row>
    <row r="1021">
      <c r="A1021" t="n">
        <v>1015</v>
      </c>
      <c r="B1021">
        <f>_DestuffedBits!C1016</f>
        <v/>
      </c>
      <c r="C1021">
        <f>G1020</f>
        <v/>
      </c>
      <c r="D1021">
        <f>_xlfn.BITAND(C1021,1)</f>
        <v/>
      </c>
      <c r="E1021">
        <f>_xlfn.BITRSHIFT(C1021,1)</f>
        <v/>
      </c>
      <c r="F1021">
        <f>_xlfn.BITXOR(D1021,B1021)</f>
        <v/>
      </c>
      <c r="G1021">
        <f>IF(F1021=1,_xlfn.BITXOR(E1021,33800),E1021)</f>
        <v/>
      </c>
    </row>
    <row r="1022">
      <c r="A1022" t="n">
        <v>1016</v>
      </c>
      <c r="B1022">
        <f>_DestuffedBits!C1017</f>
        <v/>
      </c>
      <c r="C1022">
        <f>G1021</f>
        <v/>
      </c>
      <c r="D1022">
        <f>_xlfn.BITAND(C1022,1)</f>
        <v/>
      </c>
      <c r="E1022">
        <f>_xlfn.BITRSHIFT(C1022,1)</f>
        <v/>
      </c>
      <c r="F1022">
        <f>_xlfn.BITXOR(D1022,B1022)</f>
        <v/>
      </c>
      <c r="G1022">
        <f>IF(F1022=1,_xlfn.BITXOR(E1022,33800),E1022)</f>
        <v/>
      </c>
    </row>
    <row r="1023">
      <c r="A1023" t="n">
        <v>1017</v>
      </c>
      <c r="B1023">
        <f>_DestuffedBits!C1018</f>
        <v/>
      </c>
      <c r="C1023">
        <f>G1022</f>
        <v/>
      </c>
      <c r="D1023">
        <f>_xlfn.BITAND(C1023,1)</f>
        <v/>
      </c>
      <c r="E1023">
        <f>_xlfn.BITRSHIFT(C1023,1)</f>
        <v/>
      </c>
      <c r="F1023">
        <f>_xlfn.BITXOR(D1023,B1023)</f>
        <v/>
      </c>
      <c r="G1023">
        <f>IF(F1023=1,_xlfn.BITXOR(E1023,33800),E1023)</f>
        <v/>
      </c>
    </row>
    <row r="1024">
      <c r="A1024" t="n">
        <v>1018</v>
      </c>
      <c r="B1024">
        <f>_DestuffedBits!C1019</f>
        <v/>
      </c>
      <c r="C1024">
        <f>G1023</f>
        <v/>
      </c>
      <c r="D1024">
        <f>_xlfn.BITAND(C1024,1)</f>
        <v/>
      </c>
      <c r="E1024">
        <f>_xlfn.BITRSHIFT(C1024,1)</f>
        <v/>
      </c>
      <c r="F1024">
        <f>_xlfn.BITXOR(D1024,B1024)</f>
        <v/>
      </c>
      <c r="G1024">
        <f>IF(F1024=1,_xlfn.BITXOR(E1024,33800),E1024)</f>
        <v/>
      </c>
    </row>
    <row r="1025">
      <c r="A1025" t="n">
        <v>1019</v>
      </c>
      <c r="B1025">
        <f>_DestuffedBits!C1020</f>
        <v/>
      </c>
      <c r="C1025">
        <f>G1024</f>
        <v/>
      </c>
      <c r="D1025">
        <f>_xlfn.BITAND(C1025,1)</f>
        <v/>
      </c>
      <c r="E1025">
        <f>_xlfn.BITRSHIFT(C1025,1)</f>
        <v/>
      </c>
      <c r="F1025">
        <f>_xlfn.BITXOR(D1025,B1025)</f>
        <v/>
      </c>
      <c r="G1025">
        <f>IF(F1025=1,_xlfn.BITXOR(E1025,33800),E1025)</f>
        <v/>
      </c>
    </row>
    <row r="1026">
      <c r="A1026" t="n">
        <v>1020</v>
      </c>
      <c r="B1026">
        <f>_DestuffedBits!C1021</f>
        <v/>
      </c>
      <c r="C1026">
        <f>G1025</f>
        <v/>
      </c>
      <c r="D1026">
        <f>_xlfn.BITAND(C1026,1)</f>
        <v/>
      </c>
      <c r="E1026">
        <f>_xlfn.BITRSHIFT(C1026,1)</f>
        <v/>
      </c>
      <c r="F1026">
        <f>_xlfn.BITXOR(D1026,B1026)</f>
        <v/>
      </c>
      <c r="G1026">
        <f>IF(F1026=1,_xlfn.BITXOR(E1026,33800),E1026)</f>
        <v/>
      </c>
    </row>
    <row r="1027">
      <c r="A1027" t="n">
        <v>1021</v>
      </c>
      <c r="B1027">
        <f>_DestuffedBits!C1022</f>
        <v/>
      </c>
      <c r="C1027">
        <f>G1026</f>
        <v/>
      </c>
      <c r="D1027">
        <f>_xlfn.BITAND(C1027,1)</f>
        <v/>
      </c>
      <c r="E1027">
        <f>_xlfn.BITRSHIFT(C1027,1)</f>
        <v/>
      </c>
      <c r="F1027">
        <f>_xlfn.BITXOR(D1027,B1027)</f>
        <v/>
      </c>
      <c r="G1027">
        <f>IF(F1027=1,_xlfn.BITXOR(E1027,33800),E1027)</f>
        <v/>
      </c>
    </row>
    <row r="1028">
      <c r="A1028" t="n">
        <v>1022</v>
      </c>
      <c r="B1028">
        <f>_DestuffedBits!C1023</f>
        <v/>
      </c>
      <c r="C1028">
        <f>G1027</f>
        <v/>
      </c>
      <c r="D1028">
        <f>_xlfn.BITAND(C1028,1)</f>
        <v/>
      </c>
      <c r="E1028">
        <f>_xlfn.BITRSHIFT(C1028,1)</f>
        <v/>
      </c>
      <c r="F1028">
        <f>_xlfn.BITXOR(D1028,B1028)</f>
        <v/>
      </c>
      <c r="G1028">
        <f>IF(F1028=1,_xlfn.BITXOR(E1028,33800),E1028)</f>
        <v/>
      </c>
    </row>
    <row r="1029">
      <c r="A1029" t="n">
        <v>1023</v>
      </c>
      <c r="B1029">
        <f>_DestuffedBits!C1024</f>
        <v/>
      </c>
      <c r="C1029">
        <f>G1028</f>
        <v/>
      </c>
      <c r="D1029">
        <f>_xlfn.BITAND(C1029,1)</f>
        <v/>
      </c>
      <c r="E1029">
        <f>_xlfn.BITRSHIFT(C1029,1)</f>
        <v/>
      </c>
      <c r="F1029">
        <f>_xlfn.BITXOR(D1029,B1029)</f>
        <v/>
      </c>
      <c r="G1029">
        <f>IF(F1029=1,_xlfn.BITXOR(E1029,33800),E1029)</f>
        <v/>
      </c>
    </row>
    <row r="1030">
      <c r="A1030" t="n">
        <v>1024</v>
      </c>
      <c r="B1030">
        <f>_DestuffedBits!C1025</f>
        <v/>
      </c>
      <c r="C1030">
        <f>G1029</f>
        <v/>
      </c>
      <c r="D1030">
        <f>_xlfn.BITAND(C1030,1)</f>
        <v/>
      </c>
      <c r="E1030">
        <f>_xlfn.BITRSHIFT(C1030,1)</f>
        <v/>
      </c>
      <c r="F1030">
        <f>_xlfn.BITXOR(D1030,B1030)</f>
        <v/>
      </c>
      <c r="G1030">
        <f>IF(F1030=1,_xlfn.BITXOR(E1030,33800),E1030)</f>
        <v/>
      </c>
    </row>
    <row r="1031">
      <c r="A1031" t="n">
        <v>1025</v>
      </c>
      <c r="B1031">
        <f>_DestuffedBits!C1026</f>
        <v/>
      </c>
      <c r="C1031">
        <f>G1030</f>
        <v/>
      </c>
      <c r="D1031">
        <f>_xlfn.BITAND(C1031,1)</f>
        <v/>
      </c>
      <c r="E1031">
        <f>_xlfn.BITRSHIFT(C1031,1)</f>
        <v/>
      </c>
      <c r="F1031">
        <f>_xlfn.BITXOR(D1031,B1031)</f>
        <v/>
      </c>
      <c r="G1031">
        <f>IF(F1031=1,_xlfn.BITXOR(E1031,33800),E1031)</f>
        <v/>
      </c>
    </row>
    <row r="1032">
      <c r="A1032" t="n">
        <v>1026</v>
      </c>
      <c r="B1032">
        <f>_DestuffedBits!C1027</f>
        <v/>
      </c>
      <c r="C1032">
        <f>G1031</f>
        <v/>
      </c>
      <c r="D1032">
        <f>_xlfn.BITAND(C1032,1)</f>
        <v/>
      </c>
      <c r="E1032">
        <f>_xlfn.BITRSHIFT(C1032,1)</f>
        <v/>
      </c>
      <c r="F1032">
        <f>_xlfn.BITXOR(D1032,B1032)</f>
        <v/>
      </c>
      <c r="G1032">
        <f>IF(F1032=1,_xlfn.BITXOR(E1032,33800),E1032)</f>
        <v/>
      </c>
    </row>
    <row r="1033">
      <c r="A1033" t="n">
        <v>1027</v>
      </c>
      <c r="B1033">
        <f>_DestuffedBits!C1028</f>
        <v/>
      </c>
      <c r="C1033">
        <f>G1032</f>
        <v/>
      </c>
      <c r="D1033">
        <f>_xlfn.BITAND(C1033,1)</f>
        <v/>
      </c>
      <c r="E1033">
        <f>_xlfn.BITRSHIFT(C1033,1)</f>
        <v/>
      </c>
      <c r="F1033">
        <f>_xlfn.BITXOR(D1033,B1033)</f>
        <v/>
      </c>
      <c r="G1033">
        <f>IF(F1033=1,_xlfn.BITXOR(E1033,33800),E1033)</f>
        <v/>
      </c>
    </row>
    <row r="1034">
      <c r="A1034" t="n">
        <v>1028</v>
      </c>
      <c r="B1034">
        <f>_DestuffedBits!C1029</f>
        <v/>
      </c>
      <c r="C1034">
        <f>G1033</f>
        <v/>
      </c>
      <c r="D1034">
        <f>_xlfn.BITAND(C1034,1)</f>
        <v/>
      </c>
      <c r="E1034">
        <f>_xlfn.BITRSHIFT(C1034,1)</f>
        <v/>
      </c>
      <c r="F1034">
        <f>_xlfn.BITXOR(D1034,B1034)</f>
        <v/>
      </c>
      <c r="G1034">
        <f>IF(F1034=1,_xlfn.BITXOR(E1034,33800),E1034)</f>
        <v/>
      </c>
    </row>
    <row r="1035">
      <c r="A1035" t="n">
        <v>1029</v>
      </c>
      <c r="B1035">
        <f>_DestuffedBits!C1030</f>
        <v/>
      </c>
      <c r="C1035">
        <f>G1034</f>
        <v/>
      </c>
      <c r="D1035">
        <f>_xlfn.BITAND(C1035,1)</f>
        <v/>
      </c>
      <c r="E1035">
        <f>_xlfn.BITRSHIFT(C1035,1)</f>
        <v/>
      </c>
      <c r="F1035">
        <f>_xlfn.BITXOR(D1035,B1035)</f>
        <v/>
      </c>
      <c r="G1035">
        <f>IF(F1035=1,_xlfn.BITXOR(E1035,33800),E1035)</f>
        <v/>
      </c>
    </row>
    <row r="1036">
      <c r="A1036" t="n">
        <v>1030</v>
      </c>
      <c r="B1036">
        <f>_DestuffedBits!C1031</f>
        <v/>
      </c>
      <c r="C1036">
        <f>G1035</f>
        <v/>
      </c>
      <c r="D1036">
        <f>_xlfn.BITAND(C1036,1)</f>
        <v/>
      </c>
      <c r="E1036">
        <f>_xlfn.BITRSHIFT(C1036,1)</f>
        <v/>
      </c>
      <c r="F1036">
        <f>_xlfn.BITXOR(D1036,B1036)</f>
        <v/>
      </c>
      <c r="G1036">
        <f>IF(F1036=1,_xlfn.BITXOR(E1036,33800),E1036)</f>
        <v/>
      </c>
    </row>
    <row r="1037">
      <c r="A1037" t="n">
        <v>1031</v>
      </c>
      <c r="B1037">
        <f>_DestuffedBits!C1032</f>
        <v/>
      </c>
      <c r="C1037">
        <f>G1036</f>
        <v/>
      </c>
      <c r="D1037">
        <f>_xlfn.BITAND(C1037,1)</f>
        <v/>
      </c>
      <c r="E1037">
        <f>_xlfn.BITRSHIFT(C1037,1)</f>
        <v/>
      </c>
      <c r="F1037">
        <f>_xlfn.BITXOR(D1037,B1037)</f>
        <v/>
      </c>
      <c r="G1037">
        <f>IF(F1037=1,_xlfn.BITXOR(E1037,33800),E1037)</f>
        <v/>
      </c>
    </row>
    <row r="1038">
      <c r="A1038" t="n">
        <v>1032</v>
      </c>
      <c r="B1038">
        <f>_DestuffedBits!C1033</f>
        <v/>
      </c>
      <c r="C1038">
        <f>G1037</f>
        <v/>
      </c>
      <c r="D1038">
        <f>_xlfn.BITAND(C1038,1)</f>
        <v/>
      </c>
      <c r="E1038">
        <f>_xlfn.BITRSHIFT(C1038,1)</f>
        <v/>
      </c>
      <c r="F1038">
        <f>_xlfn.BITXOR(D1038,B1038)</f>
        <v/>
      </c>
      <c r="G1038">
        <f>IF(F1038=1,_xlfn.BITXOR(E1038,33800),E1038)</f>
        <v/>
      </c>
    </row>
    <row r="1039">
      <c r="A1039" t="n">
        <v>1033</v>
      </c>
      <c r="B1039">
        <f>_DestuffedBits!C1034</f>
        <v/>
      </c>
      <c r="C1039">
        <f>G1038</f>
        <v/>
      </c>
      <c r="D1039">
        <f>_xlfn.BITAND(C1039,1)</f>
        <v/>
      </c>
      <c r="E1039">
        <f>_xlfn.BITRSHIFT(C1039,1)</f>
        <v/>
      </c>
      <c r="F1039">
        <f>_xlfn.BITXOR(D1039,B1039)</f>
        <v/>
      </c>
      <c r="G1039">
        <f>IF(F1039=1,_xlfn.BITXOR(E1039,33800),E1039)</f>
        <v/>
      </c>
    </row>
    <row r="1040">
      <c r="A1040" t="n">
        <v>1034</v>
      </c>
      <c r="B1040">
        <f>_DestuffedBits!C1035</f>
        <v/>
      </c>
      <c r="C1040">
        <f>G1039</f>
        <v/>
      </c>
      <c r="D1040">
        <f>_xlfn.BITAND(C1040,1)</f>
        <v/>
      </c>
      <c r="E1040">
        <f>_xlfn.BITRSHIFT(C1040,1)</f>
        <v/>
      </c>
      <c r="F1040">
        <f>_xlfn.BITXOR(D1040,B1040)</f>
        <v/>
      </c>
      <c r="G1040">
        <f>IF(F1040=1,_xlfn.BITXOR(E1040,33800),E1040)</f>
        <v/>
      </c>
    </row>
    <row r="1041">
      <c r="A1041" t="n">
        <v>1035</v>
      </c>
      <c r="B1041">
        <f>_DestuffedBits!C1036</f>
        <v/>
      </c>
      <c r="C1041">
        <f>G1040</f>
        <v/>
      </c>
      <c r="D1041">
        <f>_xlfn.BITAND(C1041,1)</f>
        <v/>
      </c>
      <c r="E1041">
        <f>_xlfn.BITRSHIFT(C1041,1)</f>
        <v/>
      </c>
      <c r="F1041">
        <f>_xlfn.BITXOR(D1041,B1041)</f>
        <v/>
      </c>
      <c r="G1041">
        <f>IF(F1041=1,_xlfn.BITXOR(E1041,33800),E1041)</f>
        <v/>
      </c>
    </row>
    <row r="1042">
      <c r="A1042" t="n">
        <v>1036</v>
      </c>
      <c r="B1042">
        <f>_DestuffedBits!C1037</f>
        <v/>
      </c>
      <c r="C1042">
        <f>G1041</f>
        <v/>
      </c>
      <c r="D1042">
        <f>_xlfn.BITAND(C1042,1)</f>
        <v/>
      </c>
      <c r="E1042">
        <f>_xlfn.BITRSHIFT(C1042,1)</f>
        <v/>
      </c>
      <c r="F1042">
        <f>_xlfn.BITXOR(D1042,B1042)</f>
        <v/>
      </c>
      <c r="G1042">
        <f>IF(F1042=1,_xlfn.BITXOR(E1042,33800),E1042)</f>
        <v/>
      </c>
    </row>
    <row r="1043">
      <c r="A1043" t="n">
        <v>1037</v>
      </c>
      <c r="B1043">
        <f>_DestuffedBits!C1038</f>
        <v/>
      </c>
      <c r="C1043">
        <f>G1042</f>
        <v/>
      </c>
      <c r="D1043">
        <f>_xlfn.BITAND(C1043,1)</f>
        <v/>
      </c>
      <c r="E1043">
        <f>_xlfn.BITRSHIFT(C1043,1)</f>
        <v/>
      </c>
      <c r="F1043">
        <f>_xlfn.BITXOR(D1043,B1043)</f>
        <v/>
      </c>
      <c r="G1043">
        <f>IF(F1043=1,_xlfn.BITXOR(E1043,33800),E1043)</f>
        <v/>
      </c>
    </row>
    <row r="1044">
      <c r="A1044" t="n">
        <v>1038</v>
      </c>
      <c r="B1044">
        <f>_DestuffedBits!C1039</f>
        <v/>
      </c>
      <c r="C1044">
        <f>G1043</f>
        <v/>
      </c>
      <c r="D1044">
        <f>_xlfn.BITAND(C1044,1)</f>
        <v/>
      </c>
      <c r="E1044">
        <f>_xlfn.BITRSHIFT(C1044,1)</f>
        <v/>
      </c>
      <c r="F1044">
        <f>_xlfn.BITXOR(D1044,B1044)</f>
        <v/>
      </c>
      <c r="G1044">
        <f>IF(F1044=1,_xlfn.BITXOR(E1044,33800),E1044)</f>
        <v/>
      </c>
    </row>
    <row r="1045">
      <c r="A1045" t="n">
        <v>1039</v>
      </c>
      <c r="B1045">
        <f>_DestuffedBits!C1040</f>
        <v/>
      </c>
      <c r="C1045">
        <f>G1044</f>
        <v/>
      </c>
      <c r="D1045">
        <f>_xlfn.BITAND(C1045,1)</f>
        <v/>
      </c>
      <c r="E1045">
        <f>_xlfn.BITRSHIFT(C1045,1)</f>
        <v/>
      </c>
      <c r="F1045">
        <f>_xlfn.BITXOR(D1045,B1045)</f>
        <v/>
      </c>
      <c r="G1045">
        <f>IF(F1045=1,_xlfn.BITXOR(E1045,33800),E1045)</f>
        <v/>
      </c>
    </row>
    <row r="1046">
      <c r="A1046" t="n">
        <v>1040</v>
      </c>
      <c r="B1046">
        <f>_DestuffedBits!C1041</f>
        <v/>
      </c>
      <c r="C1046">
        <f>G1045</f>
        <v/>
      </c>
      <c r="D1046">
        <f>_xlfn.BITAND(C1046,1)</f>
        <v/>
      </c>
      <c r="E1046">
        <f>_xlfn.BITRSHIFT(C1046,1)</f>
        <v/>
      </c>
      <c r="F1046">
        <f>_xlfn.BITXOR(D1046,B1046)</f>
        <v/>
      </c>
      <c r="G1046">
        <f>IF(F1046=1,_xlfn.BITXOR(E1046,33800),E1046)</f>
        <v/>
      </c>
    </row>
    <row r="1047">
      <c r="A1047" t="n">
        <v>1041</v>
      </c>
      <c r="B1047">
        <f>_DestuffedBits!C1042</f>
        <v/>
      </c>
      <c r="C1047">
        <f>G1046</f>
        <v/>
      </c>
      <c r="D1047">
        <f>_xlfn.BITAND(C1047,1)</f>
        <v/>
      </c>
      <c r="E1047">
        <f>_xlfn.BITRSHIFT(C1047,1)</f>
        <v/>
      </c>
      <c r="F1047">
        <f>_xlfn.BITXOR(D1047,B1047)</f>
        <v/>
      </c>
      <c r="G1047">
        <f>IF(F1047=1,_xlfn.BITXOR(E1047,33800),E1047)</f>
        <v/>
      </c>
    </row>
    <row r="1048">
      <c r="A1048" t="n">
        <v>1042</v>
      </c>
      <c r="B1048">
        <f>_DestuffedBits!C1043</f>
        <v/>
      </c>
      <c r="C1048">
        <f>G1047</f>
        <v/>
      </c>
      <c r="D1048">
        <f>_xlfn.BITAND(C1048,1)</f>
        <v/>
      </c>
      <c r="E1048">
        <f>_xlfn.BITRSHIFT(C1048,1)</f>
        <v/>
      </c>
      <c r="F1048">
        <f>_xlfn.BITXOR(D1048,B1048)</f>
        <v/>
      </c>
      <c r="G1048">
        <f>IF(F1048=1,_xlfn.BITXOR(E1048,33800),E1048)</f>
        <v/>
      </c>
    </row>
    <row r="1049">
      <c r="A1049" t="n">
        <v>1043</v>
      </c>
      <c r="B1049">
        <f>_DestuffedBits!C1044</f>
        <v/>
      </c>
      <c r="C1049">
        <f>G1048</f>
        <v/>
      </c>
      <c r="D1049">
        <f>_xlfn.BITAND(C1049,1)</f>
        <v/>
      </c>
      <c r="E1049">
        <f>_xlfn.BITRSHIFT(C1049,1)</f>
        <v/>
      </c>
      <c r="F1049">
        <f>_xlfn.BITXOR(D1049,B1049)</f>
        <v/>
      </c>
      <c r="G1049">
        <f>IF(F1049=1,_xlfn.BITXOR(E1049,33800),E1049)</f>
        <v/>
      </c>
    </row>
    <row r="1050">
      <c r="A1050" t="n">
        <v>1044</v>
      </c>
      <c r="B1050">
        <f>_DestuffedBits!C1045</f>
        <v/>
      </c>
      <c r="C1050">
        <f>G1049</f>
        <v/>
      </c>
      <c r="D1050">
        <f>_xlfn.BITAND(C1050,1)</f>
        <v/>
      </c>
      <c r="E1050">
        <f>_xlfn.BITRSHIFT(C1050,1)</f>
        <v/>
      </c>
      <c r="F1050">
        <f>_xlfn.BITXOR(D1050,B1050)</f>
        <v/>
      </c>
      <c r="G1050">
        <f>IF(F1050=1,_xlfn.BITXOR(E1050,33800),E1050)</f>
        <v/>
      </c>
    </row>
    <row r="1051">
      <c r="A1051" t="n">
        <v>1045</v>
      </c>
      <c r="B1051">
        <f>_DestuffedBits!C1046</f>
        <v/>
      </c>
      <c r="C1051">
        <f>G1050</f>
        <v/>
      </c>
      <c r="D1051">
        <f>_xlfn.BITAND(C1051,1)</f>
        <v/>
      </c>
      <c r="E1051">
        <f>_xlfn.BITRSHIFT(C1051,1)</f>
        <v/>
      </c>
      <c r="F1051">
        <f>_xlfn.BITXOR(D1051,B1051)</f>
        <v/>
      </c>
      <c r="G1051">
        <f>IF(F1051=1,_xlfn.BITXOR(E1051,33800),E1051)</f>
        <v/>
      </c>
    </row>
    <row r="1052">
      <c r="A1052" t="n">
        <v>1046</v>
      </c>
      <c r="B1052">
        <f>_DestuffedBits!C1047</f>
        <v/>
      </c>
      <c r="C1052">
        <f>G1051</f>
        <v/>
      </c>
      <c r="D1052">
        <f>_xlfn.BITAND(C1052,1)</f>
        <v/>
      </c>
      <c r="E1052">
        <f>_xlfn.BITRSHIFT(C1052,1)</f>
        <v/>
      </c>
      <c r="F1052">
        <f>_xlfn.BITXOR(D1052,B1052)</f>
        <v/>
      </c>
      <c r="G1052">
        <f>IF(F1052=1,_xlfn.BITXOR(E1052,33800),E1052)</f>
        <v/>
      </c>
    </row>
    <row r="1053">
      <c r="A1053" t="n">
        <v>1047</v>
      </c>
      <c r="B1053">
        <f>_DestuffedBits!C1048</f>
        <v/>
      </c>
      <c r="C1053">
        <f>G1052</f>
        <v/>
      </c>
      <c r="D1053">
        <f>_xlfn.BITAND(C1053,1)</f>
        <v/>
      </c>
      <c r="E1053">
        <f>_xlfn.BITRSHIFT(C1053,1)</f>
        <v/>
      </c>
      <c r="F1053">
        <f>_xlfn.BITXOR(D1053,B1053)</f>
        <v/>
      </c>
      <c r="G1053">
        <f>IF(F1053=1,_xlfn.BITXOR(E1053,33800),E1053)</f>
        <v/>
      </c>
    </row>
    <row r="1054">
      <c r="A1054" t="n">
        <v>1048</v>
      </c>
      <c r="B1054">
        <f>_DestuffedBits!C1049</f>
        <v/>
      </c>
      <c r="C1054">
        <f>G1053</f>
        <v/>
      </c>
      <c r="D1054">
        <f>_xlfn.BITAND(C1054,1)</f>
        <v/>
      </c>
      <c r="E1054">
        <f>_xlfn.BITRSHIFT(C1054,1)</f>
        <v/>
      </c>
      <c r="F1054">
        <f>_xlfn.BITXOR(D1054,B1054)</f>
        <v/>
      </c>
      <c r="G1054">
        <f>IF(F1054=1,_xlfn.BITXOR(E1054,33800),E1054)</f>
        <v/>
      </c>
    </row>
    <row r="1055">
      <c r="A1055" t="n">
        <v>1049</v>
      </c>
      <c r="B1055">
        <f>_DestuffedBits!C1050</f>
        <v/>
      </c>
      <c r="C1055">
        <f>G1054</f>
        <v/>
      </c>
      <c r="D1055">
        <f>_xlfn.BITAND(C1055,1)</f>
        <v/>
      </c>
      <c r="E1055">
        <f>_xlfn.BITRSHIFT(C1055,1)</f>
        <v/>
      </c>
      <c r="F1055">
        <f>_xlfn.BITXOR(D1055,B1055)</f>
        <v/>
      </c>
      <c r="G1055">
        <f>IF(F1055=1,_xlfn.BITXOR(E1055,33800),E1055)</f>
        <v/>
      </c>
    </row>
    <row r="1056">
      <c r="A1056" t="n">
        <v>1050</v>
      </c>
      <c r="B1056">
        <f>_DestuffedBits!C1051</f>
        <v/>
      </c>
      <c r="C1056">
        <f>G1055</f>
        <v/>
      </c>
      <c r="D1056">
        <f>_xlfn.BITAND(C1056,1)</f>
        <v/>
      </c>
      <c r="E1056">
        <f>_xlfn.BITRSHIFT(C1056,1)</f>
        <v/>
      </c>
      <c r="F1056">
        <f>_xlfn.BITXOR(D1056,B1056)</f>
        <v/>
      </c>
      <c r="G1056">
        <f>IF(F1056=1,_xlfn.BITXOR(E1056,33800),E1056)</f>
        <v/>
      </c>
    </row>
    <row r="1057">
      <c r="A1057" t="n">
        <v>1051</v>
      </c>
      <c r="B1057">
        <f>_DestuffedBits!C1052</f>
        <v/>
      </c>
      <c r="C1057">
        <f>G1056</f>
        <v/>
      </c>
      <c r="D1057">
        <f>_xlfn.BITAND(C1057,1)</f>
        <v/>
      </c>
      <c r="E1057">
        <f>_xlfn.BITRSHIFT(C1057,1)</f>
        <v/>
      </c>
      <c r="F1057">
        <f>_xlfn.BITXOR(D1057,B1057)</f>
        <v/>
      </c>
      <c r="G1057">
        <f>IF(F1057=1,_xlfn.BITXOR(E1057,33800),E1057)</f>
        <v/>
      </c>
    </row>
    <row r="1058">
      <c r="A1058" t="n">
        <v>1052</v>
      </c>
      <c r="B1058">
        <f>_DestuffedBits!C1053</f>
        <v/>
      </c>
      <c r="C1058">
        <f>G1057</f>
        <v/>
      </c>
      <c r="D1058">
        <f>_xlfn.BITAND(C1058,1)</f>
        <v/>
      </c>
      <c r="E1058">
        <f>_xlfn.BITRSHIFT(C1058,1)</f>
        <v/>
      </c>
      <c r="F1058">
        <f>_xlfn.BITXOR(D1058,B1058)</f>
        <v/>
      </c>
      <c r="G1058">
        <f>IF(F1058=1,_xlfn.BITXOR(E1058,33800),E1058)</f>
        <v/>
      </c>
    </row>
    <row r="1059">
      <c r="A1059" t="n">
        <v>1053</v>
      </c>
      <c r="B1059">
        <f>_DestuffedBits!C1054</f>
        <v/>
      </c>
      <c r="C1059">
        <f>G1058</f>
        <v/>
      </c>
      <c r="D1059">
        <f>_xlfn.BITAND(C1059,1)</f>
        <v/>
      </c>
      <c r="E1059">
        <f>_xlfn.BITRSHIFT(C1059,1)</f>
        <v/>
      </c>
      <c r="F1059">
        <f>_xlfn.BITXOR(D1059,B1059)</f>
        <v/>
      </c>
      <c r="G1059">
        <f>IF(F1059=1,_xlfn.BITXOR(E1059,33800),E1059)</f>
        <v/>
      </c>
    </row>
    <row r="1060">
      <c r="A1060" t="n">
        <v>1054</v>
      </c>
      <c r="B1060">
        <f>_DestuffedBits!C1055</f>
        <v/>
      </c>
      <c r="C1060">
        <f>G1059</f>
        <v/>
      </c>
      <c r="D1060">
        <f>_xlfn.BITAND(C1060,1)</f>
        <v/>
      </c>
      <c r="E1060">
        <f>_xlfn.BITRSHIFT(C1060,1)</f>
        <v/>
      </c>
      <c r="F1060">
        <f>_xlfn.BITXOR(D1060,B1060)</f>
        <v/>
      </c>
      <c r="G1060">
        <f>IF(F1060=1,_xlfn.BITXOR(E1060,33800),E1060)</f>
        <v/>
      </c>
    </row>
    <row r="1061">
      <c r="A1061" t="n">
        <v>1055</v>
      </c>
      <c r="B1061">
        <f>_DestuffedBits!C1056</f>
        <v/>
      </c>
      <c r="C1061">
        <f>G1060</f>
        <v/>
      </c>
      <c r="D1061">
        <f>_xlfn.BITAND(C1061,1)</f>
        <v/>
      </c>
      <c r="E1061">
        <f>_xlfn.BITRSHIFT(C1061,1)</f>
        <v/>
      </c>
      <c r="F1061">
        <f>_xlfn.BITXOR(D1061,B1061)</f>
        <v/>
      </c>
      <c r="G1061">
        <f>IF(F1061=1,_xlfn.BITXOR(E1061,33800),E1061)</f>
        <v/>
      </c>
    </row>
    <row r="1062">
      <c r="A1062" t="n">
        <v>1056</v>
      </c>
      <c r="B1062">
        <f>_DestuffedBits!C1057</f>
        <v/>
      </c>
      <c r="C1062">
        <f>G1061</f>
        <v/>
      </c>
      <c r="D1062">
        <f>_xlfn.BITAND(C1062,1)</f>
        <v/>
      </c>
      <c r="E1062">
        <f>_xlfn.BITRSHIFT(C1062,1)</f>
        <v/>
      </c>
      <c r="F1062">
        <f>_xlfn.BITXOR(D1062,B1062)</f>
        <v/>
      </c>
      <c r="G1062">
        <f>IF(F1062=1,_xlfn.BITXOR(E1062,33800),E1062)</f>
        <v/>
      </c>
    </row>
    <row r="1063">
      <c r="A1063" t="n">
        <v>1057</v>
      </c>
      <c r="B1063">
        <f>_DestuffedBits!C1058</f>
        <v/>
      </c>
      <c r="C1063">
        <f>G1062</f>
        <v/>
      </c>
      <c r="D1063">
        <f>_xlfn.BITAND(C1063,1)</f>
        <v/>
      </c>
      <c r="E1063">
        <f>_xlfn.BITRSHIFT(C1063,1)</f>
        <v/>
      </c>
      <c r="F1063">
        <f>_xlfn.BITXOR(D1063,B1063)</f>
        <v/>
      </c>
      <c r="G1063">
        <f>IF(F1063=1,_xlfn.BITXOR(E1063,33800),E1063)</f>
        <v/>
      </c>
    </row>
    <row r="1064">
      <c r="A1064" t="n">
        <v>1058</v>
      </c>
      <c r="B1064">
        <f>_DestuffedBits!C1059</f>
        <v/>
      </c>
      <c r="C1064">
        <f>G1063</f>
        <v/>
      </c>
      <c r="D1064">
        <f>_xlfn.BITAND(C1064,1)</f>
        <v/>
      </c>
      <c r="E1064">
        <f>_xlfn.BITRSHIFT(C1064,1)</f>
        <v/>
      </c>
      <c r="F1064">
        <f>_xlfn.BITXOR(D1064,B1064)</f>
        <v/>
      </c>
      <c r="G1064">
        <f>IF(F1064=1,_xlfn.BITXOR(E1064,33800),E1064)</f>
        <v/>
      </c>
    </row>
    <row r="1065">
      <c r="A1065" t="n">
        <v>1059</v>
      </c>
      <c r="B1065">
        <f>_DestuffedBits!C1060</f>
        <v/>
      </c>
      <c r="C1065">
        <f>G1064</f>
        <v/>
      </c>
      <c r="D1065">
        <f>_xlfn.BITAND(C1065,1)</f>
        <v/>
      </c>
      <c r="E1065">
        <f>_xlfn.BITRSHIFT(C1065,1)</f>
        <v/>
      </c>
      <c r="F1065">
        <f>_xlfn.BITXOR(D1065,B1065)</f>
        <v/>
      </c>
      <c r="G1065">
        <f>IF(F1065=1,_xlfn.BITXOR(E1065,33800),E1065)</f>
        <v/>
      </c>
    </row>
    <row r="1066">
      <c r="A1066" t="n">
        <v>1060</v>
      </c>
      <c r="B1066">
        <f>_DestuffedBits!C1061</f>
        <v/>
      </c>
      <c r="C1066">
        <f>G1065</f>
        <v/>
      </c>
      <c r="D1066">
        <f>_xlfn.BITAND(C1066,1)</f>
        <v/>
      </c>
      <c r="E1066">
        <f>_xlfn.BITRSHIFT(C1066,1)</f>
        <v/>
      </c>
      <c r="F1066">
        <f>_xlfn.BITXOR(D1066,B1066)</f>
        <v/>
      </c>
      <c r="G1066">
        <f>IF(F1066=1,_xlfn.BITXOR(E1066,33800),E1066)</f>
        <v/>
      </c>
    </row>
    <row r="1067">
      <c r="A1067" t="n">
        <v>1061</v>
      </c>
      <c r="B1067">
        <f>_DestuffedBits!C1062</f>
        <v/>
      </c>
      <c r="C1067">
        <f>G1066</f>
        <v/>
      </c>
      <c r="D1067">
        <f>_xlfn.BITAND(C1067,1)</f>
        <v/>
      </c>
      <c r="E1067">
        <f>_xlfn.BITRSHIFT(C1067,1)</f>
        <v/>
      </c>
      <c r="F1067">
        <f>_xlfn.BITXOR(D1067,B1067)</f>
        <v/>
      </c>
      <c r="G1067">
        <f>IF(F1067=1,_xlfn.BITXOR(E1067,33800),E1067)</f>
        <v/>
      </c>
    </row>
    <row r="1068">
      <c r="A1068" t="n">
        <v>1062</v>
      </c>
      <c r="B1068">
        <f>_DestuffedBits!C1063</f>
        <v/>
      </c>
      <c r="C1068">
        <f>G1067</f>
        <v/>
      </c>
      <c r="D1068">
        <f>_xlfn.BITAND(C1068,1)</f>
        <v/>
      </c>
      <c r="E1068">
        <f>_xlfn.BITRSHIFT(C1068,1)</f>
        <v/>
      </c>
      <c r="F1068">
        <f>_xlfn.BITXOR(D1068,B1068)</f>
        <v/>
      </c>
      <c r="G1068">
        <f>IF(F1068=1,_xlfn.BITXOR(E1068,33800),E1068)</f>
        <v/>
      </c>
    </row>
    <row r="1069">
      <c r="A1069" t="n">
        <v>1063</v>
      </c>
      <c r="B1069">
        <f>_DestuffedBits!C1064</f>
        <v/>
      </c>
      <c r="C1069">
        <f>G1068</f>
        <v/>
      </c>
      <c r="D1069">
        <f>_xlfn.BITAND(C1069,1)</f>
        <v/>
      </c>
      <c r="E1069">
        <f>_xlfn.BITRSHIFT(C1069,1)</f>
        <v/>
      </c>
      <c r="F1069">
        <f>_xlfn.BITXOR(D1069,B1069)</f>
        <v/>
      </c>
      <c r="G1069">
        <f>IF(F1069=1,_xlfn.BITXOR(E1069,33800),E1069)</f>
        <v/>
      </c>
    </row>
    <row r="1070">
      <c r="A1070" t="n">
        <v>1064</v>
      </c>
      <c r="B1070">
        <f>_DestuffedBits!C1065</f>
        <v/>
      </c>
      <c r="C1070">
        <f>G1069</f>
        <v/>
      </c>
      <c r="D1070">
        <f>_xlfn.BITAND(C1070,1)</f>
        <v/>
      </c>
      <c r="E1070">
        <f>_xlfn.BITRSHIFT(C1070,1)</f>
        <v/>
      </c>
      <c r="F1070">
        <f>_xlfn.BITXOR(D1070,B1070)</f>
        <v/>
      </c>
      <c r="G1070">
        <f>IF(F1070=1,_xlfn.BITXOR(E1070,33800),E1070)</f>
        <v/>
      </c>
    </row>
    <row r="1071">
      <c r="A1071" t="n">
        <v>1065</v>
      </c>
      <c r="B1071">
        <f>_DestuffedBits!C1066</f>
        <v/>
      </c>
      <c r="C1071">
        <f>G1070</f>
        <v/>
      </c>
      <c r="D1071">
        <f>_xlfn.BITAND(C1071,1)</f>
        <v/>
      </c>
      <c r="E1071">
        <f>_xlfn.BITRSHIFT(C1071,1)</f>
        <v/>
      </c>
      <c r="F1071">
        <f>_xlfn.BITXOR(D1071,B1071)</f>
        <v/>
      </c>
      <c r="G1071">
        <f>IF(F1071=1,_xlfn.BITXOR(E1071,33800),E1071)</f>
        <v/>
      </c>
    </row>
    <row r="1072">
      <c r="A1072" t="n">
        <v>1066</v>
      </c>
      <c r="B1072">
        <f>_DestuffedBits!C1067</f>
        <v/>
      </c>
      <c r="C1072">
        <f>G1071</f>
        <v/>
      </c>
      <c r="D1072">
        <f>_xlfn.BITAND(C1072,1)</f>
        <v/>
      </c>
      <c r="E1072">
        <f>_xlfn.BITRSHIFT(C1072,1)</f>
        <v/>
      </c>
      <c r="F1072">
        <f>_xlfn.BITXOR(D1072,B1072)</f>
        <v/>
      </c>
      <c r="G1072">
        <f>IF(F1072=1,_xlfn.BITXOR(E1072,33800),E1072)</f>
        <v/>
      </c>
    </row>
    <row r="1073">
      <c r="A1073" t="n">
        <v>1067</v>
      </c>
      <c r="B1073">
        <f>_DestuffedBits!C1068</f>
        <v/>
      </c>
      <c r="C1073">
        <f>G1072</f>
        <v/>
      </c>
      <c r="D1073">
        <f>_xlfn.BITAND(C1073,1)</f>
        <v/>
      </c>
      <c r="E1073">
        <f>_xlfn.BITRSHIFT(C1073,1)</f>
        <v/>
      </c>
      <c r="F1073">
        <f>_xlfn.BITXOR(D1073,B1073)</f>
        <v/>
      </c>
      <c r="G1073">
        <f>IF(F1073=1,_xlfn.BITXOR(E1073,33800),E1073)</f>
        <v/>
      </c>
    </row>
    <row r="1074">
      <c r="A1074" t="n">
        <v>1068</v>
      </c>
      <c r="B1074">
        <f>_DestuffedBits!C1069</f>
        <v/>
      </c>
      <c r="C1074">
        <f>G1073</f>
        <v/>
      </c>
      <c r="D1074">
        <f>_xlfn.BITAND(C1074,1)</f>
        <v/>
      </c>
      <c r="E1074">
        <f>_xlfn.BITRSHIFT(C1074,1)</f>
        <v/>
      </c>
      <c r="F1074">
        <f>_xlfn.BITXOR(D1074,B1074)</f>
        <v/>
      </c>
      <c r="G1074">
        <f>IF(F1074=1,_xlfn.BITXOR(E1074,33800),E1074)</f>
        <v/>
      </c>
    </row>
    <row r="1075">
      <c r="A1075" t="n">
        <v>1069</v>
      </c>
      <c r="B1075">
        <f>_DestuffedBits!C1070</f>
        <v/>
      </c>
      <c r="C1075">
        <f>G1074</f>
        <v/>
      </c>
      <c r="D1075">
        <f>_xlfn.BITAND(C1075,1)</f>
        <v/>
      </c>
      <c r="E1075">
        <f>_xlfn.BITRSHIFT(C1075,1)</f>
        <v/>
      </c>
      <c r="F1075">
        <f>_xlfn.BITXOR(D1075,B1075)</f>
        <v/>
      </c>
      <c r="G1075">
        <f>IF(F1075=1,_xlfn.BITXOR(E1075,33800),E1075)</f>
        <v/>
      </c>
    </row>
    <row r="1076">
      <c r="A1076" t="n">
        <v>1070</v>
      </c>
      <c r="B1076">
        <f>_DestuffedBits!C1071</f>
        <v/>
      </c>
      <c r="C1076">
        <f>G1075</f>
        <v/>
      </c>
      <c r="D1076">
        <f>_xlfn.BITAND(C1076,1)</f>
        <v/>
      </c>
      <c r="E1076">
        <f>_xlfn.BITRSHIFT(C1076,1)</f>
        <v/>
      </c>
      <c r="F1076">
        <f>_xlfn.BITXOR(D1076,B1076)</f>
        <v/>
      </c>
      <c r="G1076">
        <f>IF(F1076=1,_xlfn.BITXOR(E1076,33800),E1076)</f>
        <v/>
      </c>
    </row>
    <row r="1077">
      <c r="A1077" t="n">
        <v>1071</v>
      </c>
      <c r="B1077">
        <f>_DestuffedBits!C1072</f>
        <v/>
      </c>
      <c r="C1077">
        <f>G1076</f>
        <v/>
      </c>
      <c r="D1077">
        <f>_xlfn.BITAND(C1077,1)</f>
        <v/>
      </c>
      <c r="E1077">
        <f>_xlfn.BITRSHIFT(C1077,1)</f>
        <v/>
      </c>
      <c r="F1077">
        <f>_xlfn.BITXOR(D1077,B1077)</f>
        <v/>
      </c>
      <c r="G1077">
        <f>IF(F1077=1,_xlfn.BITXOR(E1077,33800),E1077)</f>
        <v/>
      </c>
    </row>
    <row r="1078">
      <c r="A1078" t="n">
        <v>1072</v>
      </c>
      <c r="B1078">
        <f>_DestuffedBits!C1073</f>
        <v/>
      </c>
      <c r="C1078">
        <f>G1077</f>
        <v/>
      </c>
      <c r="D1078">
        <f>_xlfn.BITAND(C1078,1)</f>
        <v/>
      </c>
      <c r="E1078">
        <f>_xlfn.BITRSHIFT(C1078,1)</f>
        <v/>
      </c>
      <c r="F1078">
        <f>_xlfn.BITXOR(D1078,B1078)</f>
        <v/>
      </c>
      <c r="G1078">
        <f>IF(F1078=1,_xlfn.BITXOR(E1078,33800),E1078)</f>
        <v/>
      </c>
    </row>
    <row r="1079">
      <c r="A1079" t="n">
        <v>1073</v>
      </c>
      <c r="B1079">
        <f>_DestuffedBits!C1074</f>
        <v/>
      </c>
      <c r="C1079">
        <f>G1078</f>
        <v/>
      </c>
      <c r="D1079">
        <f>_xlfn.BITAND(C1079,1)</f>
        <v/>
      </c>
      <c r="E1079">
        <f>_xlfn.BITRSHIFT(C1079,1)</f>
        <v/>
      </c>
      <c r="F1079">
        <f>_xlfn.BITXOR(D1079,B1079)</f>
        <v/>
      </c>
      <c r="G1079">
        <f>IF(F1079=1,_xlfn.BITXOR(E1079,33800),E1079)</f>
        <v/>
      </c>
    </row>
    <row r="1080">
      <c r="A1080" t="n">
        <v>1074</v>
      </c>
      <c r="B1080">
        <f>_DestuffedBits!C1075</f>
        <v/>
      </c>
      <c r="C1080">
        <f>G1079</f>
        <v/>
      </c>
      <c r="D1080">
        <f>_xlfn.BITAND(C1080,1)</f>
        <v/>
      </c>
      <c r="E1080">
        <f>_xlfn.BITRSHIFT(C1080,1)</f>
        <v/>
      </c>
      <c r="F1080">
        <f>_xlfn.BITXOR(D1080,B1080)</f>
        <v/>
      </c>
      <c r="G1080">
        <f>IF(F1080=1,_xlfn.BITXOR(E1080,33800),E1080)</f>
        <v/>
      </c>
    </row>
    <row r="1081">
      <c r="A1081" t="n">
        <v>1075</v>
      </c>
      <c r="B1081">
        <f>_DestuffedBits!C1076</f>
        <v/>
      </c>
      <c r="C1081">
        <f>G1080</f>
        <v/>
      </c>
      <c r="D1081">
        <f>_xlfn.BITAND(C1081,1)</f>
        <v/>
      </c>
      <c r="E1081">
        <f>_xlfn.BITRSHIFT(C1081,1)</f>
        <v/>
      </c>
      <c r="F1081">
        <f>_xlfn.BITXOR(D1081,B1081)</f>
        <v/>
      </c>
      <c r="G1081">
        <f>IF(F1081=1,_xlfn.BITXOR(E1081,33800),E1081)</f>
        <v/>
      </c>
    </row>
    <row r="1082">
      <c r="A1082" t="n">
        <v>1076</v>
      </c>
      <c r="B1082">
        <f>_DestuffedBits!C1077</f>
        <v/>
      </c>
      <c r="C1082">
        <f>G1081</f>
        <v/>
      </c>
      <c r="D1082">
        <f>_xlfn.BITAND(C1082,1)</f>
        <v/>
      </c>
      <c r="E1082">
        <f>_xlfn.BITRSHIFT(C1082,1)</f>
        <v/>
      </c>
      <c r="F1082">
        <f>_xlfn.BITXOR(D1082,B1082)</f>
        <v/>
      </c>
      <c r="G1082">
        <f>IF(F1082=1,_xlfn.BITXOR(E1082,33800),E1082)</f>
        <v/>
      </c>
    </row>
    <row r="1083">
      <c r="A1083" t="n">
        <v>1077</v>
      </c>
      <c r="B1083">
        <f>_DestuffedBits!C1078</f>
        <v/>
      </c>
      <c r="C1083">
        <f>G1082</f>
        <v/>
      </c>
      <c r="D1083">
        <f>_xlfn.BITAND(C1083,1)</f>
        <v/>
      </c>
      <c r="E1083">
        <f>_xlfn.BITRSHIFT(C1083,1)</f>
        <v/>
      </c>
      <c r="F1083">
        <f>_xlfn.BITXOR(D1083,B1083)</f>
        <v/>
      </c>
      <c r="G1083">
        <f>IF(F1083=1,_xlfn.BITXOR(E1083,33800),E1083)</f>
        <v/>
      </c>
    </row>
    <row r="1084">
      <c r="A1084" t="n">
        <v>1078</v>
      </c>
      <c r="B1084">
        <f>_DestuffedBits!C1079</f>
        <v/>
      </c>
      <c r="C1084">
        <f>G1083</f>
        <v/>
      </c>
      <c r="D1084">
        <f>_xlfn.BITAND(C1084,1)</f>
        <v/>
      </c>
      <c r="E1084">
        <f>_xlfn.BITRSHIFT(C1084,1)</f>
        <v/>
      </c>
      <c r="F1084">
        <f>_xlfn.BITXOR(D1084,B1084)</f>
        <v/>
      </c>
      <c r="G1084">
        <f>IF(F1084=1,_xlfn.BITXOR(E1084,33800),E1084)</f>
        <v/>
      </c>
    </row>
    <row r="1085">
      <c r="A1085" t="n">
        <v>1079</v>
      </c>
      <c r="B1085">
        <f>_DestuffedBits!C1080</f>
        <v/>
      </c>
      <c r="C1085">
        <f>G1084</f>
        <v/>
      </c>
      <c r="D1085">
        <f>_xlfn.BITAND(C1085,1)</f>
        <v/>
      </c>
      <c r="E1085">
        <f>_xlfn.BITRSHIFT(C1085,1)</f>
        <v/>
      </c>
      <c r="F1085">
        <f>_xlfn.BITXOR(D1085,B1085)</f>
        <v/>
      </c>
      <c r="G1085">
        <f>IF(F1085=1,_xlfn.BITXOR(E1085,33800),E1085)</f>
        <v/>
      </c>
    </row>
    <row r="1086">
      <c r="A1086" t="n">
        <v>1080</v>
      </c>
      <c r="B1086">
        <f>_DestuffedBits!C1081</f>
        <v/>
      </c>
      <c r="C1086">
        <f>G1085</f>
        <v/>
      </c>
      <c r="D1086">
        <f>_xlfn.BITAND(C1086,1)</f>
        <v/>
      </c>
      <c r="E1086">
        <f>_xlfn.BITRSHIFT(C1086,1)</f>
        <v/>
      </c>
      <c r="F1086">
        <f>_xlfn.BITXOR(D1086,B1086)</f>
        <v/>
      </c>
      <c r="G1086">
        <f>IF(F1086=1,_xlfn.BITXOR(E1086,33800),E1086)</f>
        <v/>
      </c>
    </row>
    <row r="1087">
      <c r="A1087" t="n">
        <v>1081</v>
      </c>
      <c r="B1087">
        <f>_DestuffedBits!C1082</f>
        <v/>
      </c>
      <c r="C1087">
        <f>G1086</f>
        <v/>
      </c>
      <c r="D1087">
        <f>_xlfn.BITAND(C1087,1)</f>
        <v/>
      </c>
      <c r="E1087">
        <f>_xlfn.BITRSHIFT(C1087,1)</f>
        <v/>
      </c>
      <c r="F1087">
        <f>_xlfn.BITXOR(D1087,B1087)</f>
        <v/>
      </c>
      <c r="G1087">
        <f>IF(F1087=1,_xlfn.BITXOR(E1087,33800),E1087)</f>
        <v/>
      </c>
    </row>
    <row r="1088">
      <c r="A1088" t="n">
        <v>1082</v>
      </c>
      <c r="B1088">
        <f>_DestuffedBits!C1083</f>
        <v/>
      </c>
      <c r="C1088">
        <f>G1087</f>
        <v/>
      </c>
      <c r="D1088">
        <f>_xlfn.BITAND(C1088,1)</f>
        <v/>
      </c>
      <c r="E1088">
        <f>_xlfn.BITRSHIFT(C1088,1)</f>
        <v/>
      </c>
      <c r="F1088">
        <f>_xlfn.BITXOR(D1088,B1088)</f>
        <v/>
      </c>
      <c r="G1088">
        <f>IF(F1088=1,_xlfn.BITXOR(E1088,33800),E1088)</f>
        <v/>
      </c>
    </row>
    <row r="1089">
      <c r="A1089" t="n">
        <v>1083</v>
      </c>
      <c r="B1089">
        <f>_DestuffedBits!C1084</f>
        <v/>
      </c>
      <c r="C1089">
        <f>G1088</f>
        <v/>
      </c>
      <c r="D1089">
        <f>_xlfn.BITAND(C1089,1)</f>
        <v/>
      </c>
      <c r="E1089">
        <f>_xlfn.BITRSHIFT(C1089,1)</f>
        <v/>
      </c>
      <c r="F1089">
        <f>_xlfn.BITXOR(D1089,B1089)</f>
        <v/>
      </c>
      <c r="G1089">
        <f>IF(F1089=1,_xlfn.BITXOR(E1089,33800),E1089)</f>
        <v/>
      </c>
    </row>
    <row r="1090">
      <c r="A1090" t="n">
        <v>1084</v>
      </c>
      <c r="B1090">
        <f>_DestuffedBits!C1085</f>
        <v/>
      </c>
      <c r="C1090">
        <f>G1089</f>
        <v/>
      </c>
      <c r="D1090">
        <f>_xlfn.BITAND(C1090,1)</f>
        <v/>
      </c>
      <c r="E1090">
        <f>_xlfn.BITRSHIFT(C1090,1)</f>
        <v/>
      </c>
      <c r="F1090">
        <f>_xlfn.BITXOR(D1090,B1090)</f>
        <v/>
      </c>
      <c r="G1090">
        <f>IF(F1090=1,_xlfn.BITXOR(E1090,33800),E1090)</f>
        <v/>
      </c>
    </row>
    <row r="1091">
      <c r="A1091" t="n">
        <v>1085</v>
      </c>
      <c r="B1091">
        <f>_DestuffedBits!C1086</f>
        <v/>
      </c>
      <c r="C1091">
        <f>G1090</f>
        <v/>
      </c>
      <c r="D1091">
        <f>_xlfn.BITAND(C1091,1)</f>
        <v/>
      </c>
      <c r="E1091">
        <f>_xlfn.BITRSHIFT(C1091,1)</f>
        <v/>
      </c>
      <c r="F1091">
        <f>_xlfn.BITXOR(D1091,B1091)</f>
        <v/>
      </c>
      <c r="G1091">
        <f>IF(F1091=1,_xlfn.BITXOR(E1091,33800),E1091)</f>
        <v/>
      </c>
    </row>
    <row r="1092">
      <c r="A1092" t="n">
        <v>1086</v>
      </c>
      <c r="B1092">
        <f>_DestuffedBits!C1087</f>
        <v/>
      </c>
      <c r="C1092">
        <f>G1091</f>
        <v/>
      </c>
      <c r="D1092">
        <f>_xlfn.BITAND(C1092,1)</f>
        <v/>
      </c>
      <c r="E1092">
        <f>_xlfn.BITRSHIFT(C1092,1)</f>
        <v/>
      </c>
      <c r="F1092">
        <f>_xlfn.BITXOR(D1092,B1092)</f>
        <v/>
      </c>
      <c r="G1092">
        <f>IF(F1092=1,_xlfn.BITXOR(E1092,33800),E1092)</f>
        <v/>
      </c>
    </row>
    <row r="1093">
      <c r="A1093" t="n">
        <v>1087</v>
      </c>
      <c r="B1093">
        <f>_DestuffedBits!C1088</f>
        <v/>
      </c>
      <c r="C1093">
        <f>G1092</f>
        <v/>
      </c>
      <c r="D1093">
        <f>_xlfn.BITAND(C1093,1)</f>
        <v/>
      </c>
      <c r="E1093">
        <f>_xlfn.BITRSHIFT(C1093,1)</f>
        <v/>
      </c>
      <c r="F1093">
        <f>_xlfn.BITXOR(D1093,B1093)</f>
        <v/>
      </c>
      <c r="G1093">
        <f>IF(F1093=1,_xlfn.BITXOR(E1093,33800),E1093)</f>
        <v/>
      </c>
    </row>
    <row r="1094">
      <c r="A1094" t="n">
        <v>1088</v>
      </c>
      <c r="B1094">
        <f>_DestuffedBits!C1089</f>
        <v/>
      </c>
      <c r="C1094">
        <f>G1093</f>
        <v/>
      </c>
      <c r="D1094">
        <f>_xlfn.BITAND(C1094,1)</f>
        <v/>
      </c>
      <c r="E1094">
        <f>_xlfn.BITRSHIFT(C1094,1)</f>
        <v/>
      </c>
      <c r="F1094">
        <f>_xlfn.BITXOR(D1094,B1094)</f>
        <v/>
      </c>
      <c r="G1094">
        <f>IF(F1094=1,_xlfn.BITXOR(E1094,33800),E1094)</f>
        <v/>
      </c>
    </row>
    <row r="1095">
      <c r="A1095" t="n">
        <v>1089</v>
      </c>
      <c r="B1095">
        <f>_DestuffedBits!C1090</f>
        <v/>
      </c>
      <c r="C1095">
        <f>G1094</f>
        <v/>
      </c>
      <c r="D1095">
        <f>_xlfn.BITAND(C1095,1)</f>
        <v/>
      </c>
      <c r="E1095">
        <f>_xlfn.BITRSHIFT(C1095,1)</f>
        <v/>
      </c>
      <c r="F1095">
        <f>_xlfn.BITXOR(D1095,B1095)</f>
        <v/>
      </c>
      <c r="G1095">
        <f>IF(F1095=1,_xlfn.BITXOR(E1095,33800),E1095)</f>
        <v/>
      </c>
    </row>
    <row r="1096">
      <c r="A1096" t="n">
        <v>1090</v>
      </c>
      <c r="B1096">
        <f>_DestuffedBits!C1091</f>
        <v/>
      </c>
      <c r="C1096">
        <f>G1095</f>
        <v/>
      </c>
      <c r="D1096">
        <f>_xlfn.BITAND(C1096,1)</f>
        <v/>
      </c>
      <c r="E1096">
        <f>_xlfn.BITRSHIFT(C1096,1)</f>
        <v/>
      </c>
      <c r="F1096">
        <f>_xlfn.BITXOR(D1096,B1096)</f>
        <v/>
      </c>
      <c r="G1096">
        <f>IF(F1096=1,_xlfn.BITXOR(E1096,33800),E1096)</f>
        <v/>
      </c>
    </row>
    <row r="1097">
      <c r="A1097" t="n">
        <v>1091</v>
      </c>
      <c r="B1097">
        <f>_DestuffedBits!C1092</f>
        <v/>
      </c>
      <c r="C1097">
        <f>G1096</f>
        <v/>
      </c>
      <c r="D1097">
        <f>_xlfn.BITAND(C1097,1)</f>
        <v/>
      </c>
      <c r="E1097">
        <f>_xlfn.BITRSHIFT(C1097,1)</f>
        <v/>
      </c>
      <c r="F1097">
        <f>_xlfn.BITXOR(D1097,B1097)</f>
        <v/>
      </c>
      <c r="G1097">
        <f>IF(F1097=1,_xlfn.BITXOR(E1097,33800),E1097)</f>
        <v/>
      </c>
    </row>
    <row r="1098">
      <c r="A1098" t="n">
        <v>1092</v>
      </c>
      <c r="B1098">
        <f>_DestuffedBits!C1093</f>
        <v/>
      </c>
      <c r="C1098">
        <f>G1097</f>
        <v/>
      </c>
      <c r="D1098">
        <f>_xlfn.BITAND(C1098,1)</f>
        <v/>
      </c>
      <c r="E1098">
        <f>_xlfn.BITRSHIFT(C1098,1)</f>
        <v/>
      </c>
      <c r="F1098">
        <f>_xlfn.BITXOR(D1098,B1098)</f>
        <v/>
      </c>
      <c r="G1098">
        <f>IF(F1098=1,_xlfn.BITXOR(E1098,33800),E1098)</f>
        <v/>
      </c>
    </row>
    <row r="1099">
      <c r="A1099" t="n">
        <v>1093</v>
      </c>
      <c r="B1099">
        <f>_DestuffedBits!C1094</f>
        <v/>
      </c>
      <c r="C1099">
        <f>G1098</f>
        <v/>
      </c>
      <c r="D1099">
        <f>_xlfn.BITAND(C1099,1)</f>
        <v/>
      </c>
      <c r="E1099">
        <f>_xlfn.BITRSHIFT(C1099,1)</f>
        <v/>
      </c>
      <c r="F1099">
        <f>_xlfn.BITXOR(D1099,B1099)</f>
        <v/>
      </c>
      <c r="G1099">
        <f>IF(F1099=1,_xlfn.BITXOR(E1099,33800),E1099)</f>
        <v/>
      </c>
    </row>
    <row r="1100">
      <c r="A1100" t="n">
        <v>1094</v>
      </c>
      <c r="B1100">
        <f>_DestuffedBits!C1095</f>
        <v/>
      </c>
      <c r="C1100">
        <f>G1099</f>
        <v/>
      </c>
      <c r="D1100">
        <f>_xlfn.BITAND(C1100,1)</f>
        <v/>
      </c>
      <c r="E1100">
        <f>_xlfn.BITRSHIFT(C1100,1)</f>
        <v/>
      </c>
      <c r="F1100">
        <f>_xlfn.BITXOR(D1100,B1100)</f>
        <v/>
      </c>
      <c r="G1100">
        <f>IF(F1100=1,_xlfn.BITXOR(E1100,33800),E1100)</f>
        <v/>
      </c>
    </row>
    <row r="1101">
      <c r="A1101" t="n">
        <v>1095</v>
      </c>
      <c r="B1101">
        <f>_DestuffedBits!C1096</f>
        <v/>
      </c>
      <c r="C1101">
        <f>G1100</f>
        <v/>
      </c>
      <c r="D1101">
        <f>_xlfn.BITAND(C1101,1)</f>
        <v/>
      </c>
      <c r="E1101">
        <f>_xlfn.BITRSHIFT(C1101,1)</f>
        <v/>
      </c>
      <c r="F1101">
        <f>_xlfn.BITXOR(D1101,B1101)</f>
        <v/>
      </c>
      <c r="G1101">
        <f>IF(F1101=1,_xlfn.BITXOR(E1101,33800),E1101)</f>
        <v/>
      </c>
    </row>
    <row r="1102">
      <c r="A1102" t="n">
        <v>1096</v>
      </c>
      <c r="B1102">
        <f>_DestuffedBits!C1097</f>
        <v/>
      </c>
      <c r="C1102">
        <f>G1101</f>
        <v/>
      </c>
      <c r="D1102">
        <f>_xlfn.BITAND(C1102,1)</f>
        <v/>
      </c>
      <c r="E1102">
        <f>_xlfn.BITRSHIFT(C1102,1)</f>
        <v/>
      </c>
      <c r="F1102">
        <f>_xlfn.BITXOR(D1102,B1102)</f>
        <v/>
      </c>
      <c r="G1102">
        <f>IF(F1102=1,_xlfn.BITXOR(E1102,33800),E1102)</f>
        <v/>
      </c>
    </row>
    <row r="1103">
      <c r="A1103" t="n">
        <v>1097</v>
      </c>
      <c r="B1103">
        <f>_DestuffedBits!C1098</f>
        <v/>
      </c>
      <c r="C1103">
        <f>G1102</f>
        <v/>
      </c>
      <c r="D1103">
        <f>_xlfn.BITAND(C1103,1)</f>
        <v/>
      </c>
      <c r="E1103">
        <f>_xlfn.BITRSHIFT(C1103,1)</f>
        <v/>
      </c>
      <c r="F1103">
        <f>_xlfn.BITXOR(D1103,B1103)</f>
        <v/>
      </c>
      <c r="G1103">
        <f>IF(F1103=1,_xlfn.BITXOR(E1103,33800),E1103)</f>
        <v/>
      </c>
    </row>
    <row r="1104">
      <c r="A1104" t="n">
        <v>1098</v>
      </c>
      <c r="B1104">
        <f>_DestuffedBits!C1099</f>
        <v/>
      </c>
      <c r="C1104">
        <f>G1103</f>
        <v/>
      </c>
      <c r="D1104">
        <f>_xlfn.BITAND(C1104,1)</f>
        <v/>
      </c>
      <c r="E1104">
        <f>_xlfn.BITRSHIFT(C1104,1)</f>
        <v/>
      </c>
      <c r="F1104">
        <f>_xlfn.BITXOR(D1104,B1104)</f>
        <v/>
      </c>
      <c r="G1104">
        <f>IF(F1104=1,_xlfn.BITXOR(E1104,33800),E1104)</f>
        <v/>
      </c>
    </row>
    <row r="1105">
      <c r="A1105" t="n">
        <v>1099</v>
      </c>
      <c r="B1105">
        <f>_DestuffedBits!C1100</f>
        <v/>
      </c>
      <c r="C1105">
        <f>G1104</f>
        <v/>
      </c>
      <c r="D1105">
        <f>_xlfn.BITAND(C1105,1)</f>
        <v/>
      </c>
      <c r="E1105">
        <f>_xlfn.BITRSHIFT(C1105,1)</f>
        <v/>
      </c>
      <c r="F1105">
        <f>_xlfn.BITXOR(D1105,B1105)</f>
        <v/>
      </c>
      <c r="G1105">
        <f>IF(F1105=1,_xlfn.BITXOR(E1105,33800),E1105)</f>
        <v/>
      </c>
    </row>
    <row r="1106">
      <c r="A1106" t="n">
        <v>1100</v>
      </c>
      <c r="B1106">
        <f>_DestuffedBits!C1101</f>
        <v/>
      </c>
      <c r="C1106">
        <f>G1105</f>
        <v/>
      </c>
      <c r="D1106">
        <f>_xlfn.BITAND(C1106,1)</f>
        <v/>
      </c>
      <c r="E1106">
        <f>_xlfn.BITRSHIFT(C1106,1)</f>
        <v/>
      </c>
      <c r="F1106">
        <f>_xlfn.BITXOR(D1106,B1106)</f>
        <v/>
      </c>
      <c r="G1106">
        <f>IF(F1106=1,_xlfn.BITXOR(E1106,33800),E1106)</f>
        <v/>
      </c>
    </row>
    <row r="1107">
      <c r="A1107" t="n">
        <v>1101</v>
      </c>
      <c r="B1107">
        <f>_DestuffedBits!C1102</f>
        <v/>
      </c>
      <c r="C1107">
        <f>G1106</f>
        <v/>
      </c>
      <c r="D1107">
        <f>_xlfn.BITAND(C1107,1)</f>
        <v/>
      </c>
      <c r="E1107">
        <f>_xlfn.BITRSHIFT(C1107,1)</f>
        <v/>
      </c>
      <c r="F1107">
        <f>_xlfn.BITXOR(D1107,B1107)</f>
        <v/>
      </c>
      <c r="G1107">
        <f>IF(F1107=1,_xlfn.BITXOR(E1107,33800),E1107)</f>
        <v/>
      </c>
    </row>
    <row r="1108">
      <c r="A1108" t="n">
        <v>1102</v>
      </c>
      <c r="B1108">
        <f>_DestuffedBits!C1103</f>
        <v/>
      </c>
      <c r="C1108">
        <f>G1107</f>
        <v/>
      </c>
      <c r="D1108">
        <f>_xlfn.BITAND(C1108,1)</f>
        <v/>
      </c>
      <c r="E1108">
        <f>_xlfn.BITRSHIFT(C1108,1)</f>
        <v/>
      </c>
      <c r="F1108">
        <f>_xlfn.BITXOR(D1108,B1108)</f>
        <v/>
      </c>
      <c r="G1108">
        <f>IF(F1108=1,_xlfn.BITXOR(E1108,33800),E1108)</f>
        <v/>
      </c>
    </row>
    <row r="1109">
      <c r="A1109" t="n">
        <v>1103</v>
      </c>
      <c r="B1109">
        <f>_DestuffedBits!C1104</f>
        <v/>
      </c>
      <c r="C1109">
        <f>G1108</f>
        <v/>
      </c>
      <c r="D1109">
        <f>_xlfn.BITAND(C1109,1)</f>
        <v/>
      </c>
      <c r="E1109">
        <f>_xlfn.BITRSHIFT(C1109,1)</f>
        <v/>
      </c>
      <c r="F1109">
        <f>_xlfn.BITXOR(D1109,B1109)</f>
        <v/>
      </c>
      <c r="G1109">
        <f>IF(F1109=1,_xlfn.BITXOR(E1109,33800),E1109)</f>
        <v/>
      </c>
    </row>
    <row r="1110">
      <c r="A1110" t="n">
        <v>1104</v>
      </c>
      <c r="B1110">
        <f>_DestuffedBits!C1105</f>
        <v/>
      </c>
      <c r="C1110">
        <f>G1109</f>
        <v/>
      </c>
      <c r="D1110">
        <f>_xlfn.BITAND(C1110,1)</f>
        <v/>
      </c>
      <c r="E1110">
        <f>_xlfn.BITRSHIFT(C1110,1)</f>
        <v/>
      </c>
      <c r="F1110">
        <f>_xlfn.BITXOR(D1110,B1110)</f>
        <v/>
      </c>
      <c r="G1110">
        <f>IF(F1110=1,_xlfn.BITXOR(E1110,33800),E1110)</f>
        <v/>
      </c>
    </row>
    <row r="1111">
      <c r="A1111" t="n">
        <v>1105</v>
      </c>
      <c r="B1111">
        <f>_DestuffedBits!C1106</f>
        <v/>
      </c>
      <c r="C1111">
        <f>G1110</f>
        <v/>
      </c>
      <c r="D1111">
        <f>_xlfn.BITAND(C1111,1)</f>
        <v/>
      </c>
      <c r="E1111">
        <f>_xlfn.BITRSHIFT(C1111,1)</f>
        <v/>
      </c>
      <c r="F1111">
        <f>_xlfn.BITXOR(D1111,B1111)</f>
        <v/>
      </c>
      <c r="G1111">
        <f>IF(F1111=1,_xlfn.BITXOR(E1111,33800),E1111)</f>
        <v/>
      </c>
    </row>
    <row r="1112">
      <c r="A1112" t="n">
        <v>1106</v>
      </c>
      <c r="B1112">
        <f>_DestuffedBits!C1107</f>
        <v/>
      </c>
      <c r="C1112">
        <f>G1111</f>
        <v/>
      </c>
      <c r="D1112">
        <f>_xlfn.BITAND(C1112,1)</f>
        <v/>
      </c>
      <c r="E1112">
        <f>_xlfn.BITRSHIFT(C1112,1)</f>
        <v/>
      </c>
      <c r="F1112">
        <f>_xlfn.BITXOR(D1112,B1112)</f>
        <v/>
      </c>
      <c r="G1112">
        <f>IF(F1112=1,_xlfn.BITXOR(E1112,33800),E1112)</f>
        <v/>
      </c>
    </row>
    <row r="1113">
      <c r="A1113" t="n">
        <v>1107</v>
      </c>
      <c r="B1113">
        <f>_DestuffedBits!C1108</f>
        <v/>
      </c>
      <c r="C1113">
        <f>G1112</f>
        <v/>
      </c>
      <c r="D1113">
        <f>_xlfn.BITAND(C1113,1)</f>
        <v/>
      </c>
      <c r="E1113">
        <f>_xlfn.BITRSHIFT(C1113,1)</f>
        <v/>
      </c>
      <c r="F1113">
        <f>_xlfn.BITXOR(D1113,B1113)</f>
        <v/>
      </c>
      <c r="G1113">
        <f>IF(F1113=1,_xlfn.BITXOR(E1113,33800),E1113)</f>
        <v/>
      </c>
    </row>
    <row r="1114">
      <c r="A1114" t="n">
        <v>1108</v>
      </c>
      <c r="B1114">
        <f>_DestuffedBits!C1109</f>
        <v/>
      </c>
      <c r="C1114">
        <f>G1113</f>
        <v/>
      </c>
      <c r="D1114">
        <f>_xlfn.BITAND(C1114,1)</f>
        <v/>
      </c>
      <c r="E1114">
        <f>_xlfn.BITRSHIFT(C1114,1)</f>
        <v/>
      </c>
      <c r="F1114">
        <f>_xlfn.BITXOR(D1114,B1114)</f>
        <v/>
      </c>
      <c r="G1114">
        <f>IF(F1114=1,_xlfn.BITXOR(E1114,33800),E1114)</f>
        <v/>
      </c>
    </row>
    <row r="1115">
      <c r="A1115" t="n">
        <v>1109</v>
      </c>
      <c r="B1115">
        <f>_DestuffedBits!C1110</f>
        <v/>
      </c>
      <c r="C1115">
        <f>G1114</f>
        <v/>
      </c>
      <c r="D1115">
        <f>_xlfn.BITAND(C1115,1)</f>
        <v/>
      </c>
      <c r="E1115">
        <f>_xlfn.BITRSHIFT(C1115,1)</f>
        <v/>
      </c>
      <c r="F1115">
        <f>_xlfn.BITXOR(D1115,B1115)</f>
        <v/>
      </c>
      <c r="G1115">
        <f>IF(F1115=1,_xlfn.BITXOR(E1115,33800),E1115)</f>
        <v/>
      </c>
    </row>
    <row r="1116">
      <c r="A1116" t="n">
        <v>1110</v>
      </c>
      <c r="B1116">
        <f>_DestuffedBits!C1111</f>
        <v/>
      </c>
      <c r="C1116">
        <f>G1115</f>
        <v/>
      </c>
      <c r="D1116">
        <f>_xlfn.BITAND(C1116,1)</f>
        <v/>
      </c>
      <c r="E1116">
        <f>_xlfn.BITRSHIFT(C1116,1)</f>
        <v/>
      </c>
      <c r="F1116">
        <f>_xlfn.BITXOR(D1116,B1116)</f>
        <v/>
      </c>
      <c r="G1116">
        <f>IF(F1116=1,_xlfn.BITXOR(E1116,33800),E1116)</f>
        <v/>
      </c>
    </row>
    <row r="1117">
      <c r="A1117" t="n">
        <v>1111</v>
      </c>
      <c r="B1117">
        <f>_DestuffedBits!C1112</f>
        <v/>
      </c>
      <c r="C1117">
        <f>G1116</f>
        <v/>
      </c>
      <c r="D1117">
        <f>_xlfn.BITAND(C1117,1)</f>
        <v/>
      </c>
      <c r="E1117">
        <f>_xlfn.BITRSHIFT(C1117,1)</f>
        <v/>
      </c>
      <c r="F1117">
        <f>_xlfn.BITXOR(D1117,B1117)</f>
        <v/>
      </c>
      <c r="G1117">
        <f>IF(F1117=1,_xlfn.BITXOR(E1117,33800),E1117)</f>
        <v/>
      </c>
    </row>
    <row r="1118">
      <c r="A1118" t="n">
        <v>1112</v>
      </c>
      <c r="B1118">
        <f>_DestuffedBits!C1113</f>
        <v/>
      </c>
      <c r="C1118">
        <f>G1117</f>
        <v/>
      </c>
      <c r="D1118">
        <f>_xlfn.BITAND(C1118,1)</f>
        <v/>
      </c>
      <c r="E1118">
        <f>_xlfn.BITRSHIFT(C1118,1)</f>
        <v/>
      </c>
      <c r="F1118">
        <f>_xlfn.BITXOR(D1118,B1118)</f>
        <v/>
      </c>
      <c r="G1118">
        <f>IF(F1118=1,_xlfn.BITXOR(E1118,33800),E1118)</f>
        <v/>
      </c>
    </row>
    <row r="1119">
      <c r="A1119" t="n">
        <v>1113</v>
      </c>
      <c r="B1119">
        <f>_DestuffedBits!C1114</f>
        <v/>
      </c>
      <c r="C1119">
        <f>G1118</f>
        <v/>
      </c>
      <c r="D1119">
        <f>_xlfn.BITAND(C1119,1)</f>
        <v/>
      </c>
      <c r="E1119">
        <f>_xlfn.BITRSHIFT(C1119,1)</f>
        <v/>
      </c>
      <c r="F1119">
        <f>_xlfn.BITXOR(D1119,B1119)</f>
        <v/>
      </c>
      <c r="G1119">
        <f>IF(F1119=1,_xlfn.BITXOR(E1119,33800),E1119)</f>
        <v/>
      </c>
    </row>
    <row r="1120">
      <c r="A1120" t="n">
        <v>1114</v>
      </c>
      <c r="B1120">
        <f>_DestuffedBits!C1115</f>
        <v/>
      </c>
      <c r="C1120">
        <f>G1119</f>
        <v/>
      </c>
      <c r="D1120">
        <f>_xlfn.BITAND(C1120,1)</f>
        <v/>
      </c>
      <c r="E1120">
        <f>_xlfn.BITRSHIFT(C1120,1)</f>
        <v/>
      </c>
      <c r="F1120">
        <f>_xlfn.BITXOR(D1120,B1120)</f>
        <v/>
      </c>
      <c r="G1120">
        <f>IF(F1120=1,_xlfn.BITXOR(E1120,33800),E1120)</f>
        <v/>
      </c>
    </row>
    <row r="1121">
      <c r="A1121" t="n">
        <v>1115</v>
      </c>
      <c r="B1121">
        <f>_DestuffedBits!C1116</f>
        <v/>
      </c>
      <c r="C1121">
        <f>G1120</f>
        <v/>
      </c>
      <c r="D1121">
        <f>_xlfn.BITAND(C1121,1)</f>
        <v/>
      </c>
      <c r="E1121">
        <f>_xlfn.BITRSHIFT(C1121,1)</f>
        <v/>
      </c>
      <c r="F1121">
        <f>_xlfn.BITXOR(D1121,B1121)</f>
        <v/>
      </c>
      <c r="G1121">
        <f>IF(F1121=1,_xlfn.BITXOR(E1121,33800),E1121)</f>
        <v/>
      </c>
    </row>
    <row r="1122">
      <c r="A1122" t="n">
        <v>1116</v>
      </c>
      <c r="B1122">
        <f>_DestuffedBits!C1117</f>
        <v/>
      </c>
      <c r="C1122">
        <f>G1121</f>
        <v/>
      </c>
      <c r="D1122">
        <f>_xlfn.BITAND(C1122,1)</f>
        <v/>
      </c>
      <c r="E1122">
        <f>_xlfn.BITRSHIFT(C1122,1)</f>
        <v/>
      </c>
      <c r="F1122">
        <f>_xlfn.BITXOR(D1122,B1122)</f>
        <v/>
      </c>
      <c r="G1122">
        <f>IF(F1122=1,_xlfn.BITXOR(E1122,33800),E1122)</f>
        <v/>
      </c>
    </row>
    <row r="1123">
      <c r="A1123" t="n">
        <v>1117</v>
      </c>
      <c r="B1123">
        <f>_DestuffedBits!C1118</f>
        <v/>
      </c>
      <c r="C1123">
        <f>G1122</f>
        <v/>
      </c>
      <c r="D1123">
        <f>_xlfn.BITAND(C1123,1)</f>
        <v/>
      </c>
      <c r="E1123">
        <f>_xlfn.BITRSHIFT(C1123,1)</f>
        <v/>
      </c>
      <c r="F1123">
        <f>_xlfn.BITXOR(D1123,B1123)</f>
        <v/>
      </c>
      <c r="G1123">
        <f>IF(F1123=1,_xlfn.BITXOR(E1123,33800),E1123)</f>
        <v/>
      </c>
    </row>
    <row r="1124">
      <c r="A1124" t="n">
        <v>1118</v>
      </c>
      <c r="B1124">
        <f>_DestuffedBits!C1119</f>
        <v/>
      </c>
      <c r="C1124">
        <f>G1123</f>
        <v/>
      </c>
      <c r="D1124">
        <f>_xlfn.BITAND(C1124,1)</f>
        <v/>
      </c>
      <c r="E1124">
        <f>_xlfn.BITRSHIFT(C1124,1)</f>
        <v/>
      </c>
      <c r="F1124">
        <f>_xlfn.BITXOR(D1124,B1124)</f>
        <v/>
      </c>
      <c r="G1124">
        <f>IF(F1124=1,_xlfn.BITXOR(E1124,33800),E1124)</f>
        <v/>
      </c>
    </row>
    <row r="1125">
      <c r="A1125" t="n">
        <v>1119</v>
      </c>
      <c r="B1125">
        <f>_DestuffedBits!C1120</f>
        <v/>
      </c>
      <c r="C1125">
        <f>G1124</f>
        <v/>
      </c>
      <c r="D1125">
        <f>_xlfn.BITAND(C1125,1)</f>
        <v/>
      </c>
      <c r="E1125">
        <f>_xlfn.BITRSHIFT(C1125,1)</f>
        <v/>
      </c>
      <c r="F1125">
        <f>_xlfn.BITXOR(D1125,B1125)</f>
        <v/>
      </c>
      <c r="G1125">
        <f>IF(F1125=1,_xlfn.BITXOR(E1125,33800),E1125)</f>
        <v/>
      </c>
    </row>
    <row r="1126">
      <c r="A1126" t="n">
        <v>1120</v>
      </c>
      <c r="B1126">
        <f>_DestuffedBits!C1121</f>
        <v/>
      </c>
      <c r="C1126">
        <f>G1125</f>
        <v/>
      </c>
      <c r="D1126">
        <f>_xlfn.BITAND(C1126,1)</f>
        <v/>
      </c>
      <c r="E1126">
        <f>_xlfn.BITRSHIFT(C1126,1)</f>
        <v/>
      </c>
      <c r="F1126">
        <f>_xlfn.BITXOR(D1126,B1126)</f>
        <v/>
      </c>
      <c r="G1126">
        <f>IF(F1126=1,_xlfn.BITXOR(E1126,33800),E1126)</f>
        <v/>
      </c>
    </row>
    <row r="1127">
      <c r="A1127" t="n">
        <v>1121</v>
      </c>
      <c r="B1127">
        <f>_DestuffedBits!C1122</f>
        <v/>
      </c>
      <c r="C1127">
        <f>G1126</f>
        <v/>
      </c>
      <c r="D1127">
        <f>_xlfn.BITAND(C1127,1)</f>
        <v/>
      </c>
      <c r="E1127">
        <f>_xlfn.BITRSHIFT(C1127,1)</f>
        <v/>
      </c>
      <c r="F1127">
        <f>_xlfn.BITXOR(D1127,B1127)</f>
        <v/>
      </c>
      <c r="G1127">
        <f>IF(F1127=1,_xlfn.BITXOR(E1127,33800),E1127)</f>
        <v/>
      </c>
    </row>
    <row r="1128">
      <c r="A1128" t="n">
        <v>1122</v>
      </c>
      <c r="B1128">
        <f>_DestuffedBits!C1123</f>
        <v/>
      </c>
      <c r="C1128">
        <f>G1127</f>
        <v/>
      </c>
      <c r="D1128">
        <f>_xlfn.BITAND(C1128,1)</f>
        <v/>
      </c>
      <c r="E1128">
        <f>_xlfn.BITRSHIFT(C1128,1)</f>
        <v/>
      </c>
      <c r="F1128">
        <f>_xlfn.BITXOR(D1128,B1128)</f>
        <v/>
      </c>
      <c r="G1128">
        <f>IF(F1128=1,_xlfn.BITXOR(E1128,33800),E1128)</f>
        <v/>
      </c>
    </row>
    <row r="1129">
      <c r="A1129" t="n">
        <v>1123</v>
      </c>
      <c r="B1129">
        <f>_DestuffedBits!C1124</f>
        <v/>
      </c>
      <c r="C1129">
        <f>G1128</f>
        <v/>
      </c>
      <c r="D1129">
        <f>_xlfn.BITAND(C1129,1)</f>
        <v/>
      </c>
      <c r="E1129">
        <f>_xlfn.BITRSHIFT(C1129,1)</f>
        <v/>
      </c>
      <c r="F1129">
        <f>_xlfn.BITXOR(D1129,B1129)</f>
        <v/>
      </c>
      <c r="G1129">
        <f>IF(F1129=1,_xlfn.BITXOR(E1129,33800),E1129)</f>
        <v/>
      </c>
    </row>
    <row r="1130">
      <c r="A1130" t="n">
        <v>1124</v>
      </c>
      <c r="B1130">
        <f>_DestuffedBits!C1125</f>
        <v/>
      </c>
      <c r="C1130">
        <f>G1129</f>
        <v/>
      </c>
      <c r="D1130">
        <f>_xlfn.BITAND(C1130,1)</f>
        <v/>
      </c>
      <c r="E1130">
        <f>_xlfn.BITRSHIFT(C1130,1)</f>
        <v/>
      </c>
      <c r="F1130">
        <f>_xlfn.BITXOR(D1130,B1130)</f>
        <v/>
      </c>
      <c r="G1130">
        <f>IF(F1130=1,_xlfn.BITXOR(E1130,33800),E1130)</f>
        <v/>
      </c>
    </row>
    <row r="1131">
      <c r="A1131" t="n">
        <v>1125</v>
      </c>
      <c r="B1131">
        <f>_DestuffedBits!C1126</f>
        <v/>
      </c>
      <c r="C1131">
        <f>G1130</f>
        <v/>
      </c>
      <c r="D1131">
        <f>_xlfn.BITAND(C1131,1)</f>
        <v/>
      </c>
      <c r="E1131">
        <f>_xlfn.BITRSHIFT(C1131,1)</f>
        <v/>
      </c>
      <c r="F1131">
        <f>_xlfn.BITXOR(D1131,B1131)</f>
        <v/>
      </c>
      <c r="G1131">
        <f>IF(F1131=1,_xlfn.BITXOR(E1131,33800),E1131)</f>
        <v/>
      </c>
    </row>
    <row r="1132">
      <c r="A1132" t="n">
        <v>1126</v>
      </c>
      <c r="B1132">
        <f>_DestuffedBits!C1127</f>
        <v/>
      </c>
      <c r="C1132">
        <f>G1131</f>
        <v/>
      </c>
      <c r="D1132">
        <f>_xlfn.BITAND(C1132,1)</f>
        <v/>
      </c>
      <c r="E1132">
        <f>_xlfn.BITRSHIFT(C1132,1)</f>
        <v/>
      </c>
      <c r="F1132">
        <f>_xlfn.BITXOR(D1132,B1132)</f>
        <v/>
      </c>
      <c r="G1132">
        <f>IF(F1132=1,_xlfn.BITXOR(E1132,33800),E1132)</f>
        <v/>
      </c>
    </row>
    <row r="1133">
      <c r="A1133" t="n">
        <v>1127</v>
      </c>
      <c r="B1133">
        <f>_DestuffedBits!C1128</f>
        <v/>
      </c>
      <c r="C1133">
        <f>G1132</f>
        <v/>
      </c>
      <c r="D1133">
        <f>_xlfn.BITAND(C1133,1)</f>
        <v/>
      </c>
      <c r="E1133">
        <f>_xlfn.BITRSHIFT(C1133,1)</f>
        <v/>
      </c>
      <c r="F1133">
        <f>_xlfn.BITXOR(D1133,B1133)</f>
        <v/>
      </c>
      <c r="G1133">
        <f>IF(F1133=1,_xlfn.BITXOR(E1133,33800),E1133)</f>
        <v/>
      </c>
    </row>
    <row r="1134">
      <c r="A1134" t="n">
        <v>1128</v>
      </c>
      <c r="B1134">
        <f>_DestuffedBits!C1129</f>
        <v/>
      </c>
      <c r="C1134">
        <f>G1133</f>
        <v/>
      </c>
      <c r="D1134">
        <f>_xlfn.BITAND(C1134,1)</f>
        <v/>
      </c>
      <c r="E1134">
        <f>_xlfn.BITRSHIFT(C1134,1)</f>
        <v/>
      </c>
      <c r="F1134">
        <f>_xlfn.BITXOR(D1134,B1134)</f>
        <v/>
      </c>
      <c r="G1134">
        <f>IF(F1134=1,_xlfn.BITXOR(E1134,33800),E1134)</f>
        <v/>
      </c>
    </row>
    <row r="1135">
      <c r="A1135" t="n">
        <v>1129</v>
      </c>
      <c r="B1135">
        <f>_DestuffedBits!C1130</f>
        <v/>
      </c>
      <c r="C1135">
        <f>G1134</f>
        <v/>
      </c>
      <c r="D1135">
        <f>_xlfn.BITAND(C1135,1)</f>
        <v/>
      </c>
      <c r="E1135">
        <f>_xlfn.BITRSHIFT(C1135,1)</f>
        <v/>
      </c>
      <c r="F1135">
        <f>_xlfn.BITXOR(D1135,B1135)</f>
        <v/>
      </c>
      <c r="G1135">
        <f>IF(F1135=1,_xlfn.BITXOR(E1135,33800),E1135)</f>
        <v/>
      </c>
    </row>
    <row r="1136">
      <c r="A1136" t="n">
        <v>1130</v>
      </c>
      <c r="B1136">
        <f>_DestuffedBits!C1131</f>
        <v/>
      </c>
      <c r="C1136">
        <f>G1135</f>
        <v/>
      </c>
      <c r="D1136">
        <f>_xlfn.BITAND(C1136,1)</f>
        <v/>
      </c>
      <c r="E1136">
        <f>_xlfn.BITRSHIFT(C1136,1)</f>
        <v/>
      </c>
      <c r="F1136">
        <f>_xlfn.BITXOR(D1136,B1136)</f>
        <v/>
      </c>
      <c r="G1136">
        <f>IF(F1136=1,_xlfn.BITXOR(E1136,33800),E1136)</f>
        <v/>
      </c>
    </row>
    <row r="1137">
      <c r="A1137" t="n">
        <v>1131</v>
      </c>
      <c r="B1137">
        <f>_DestuffedBits!C1132</f>
        <v/>
      </c>
      <c r="C1137">
        <f>G1136</f>
        <v/>
      </c>
      <c r="D1137">
        <f>_xlfn.BITAND(C1137,1)</f>
        <v/>
      </c>
      <c r="E1137">
        <f>_xlfn.BITRSHIFT(C1137,1)</f>
        <v/>
      </c>
      <c r="F1137">
        <f>_xlfn.BITXOR(D1137,B1137)</f>
        <v/>
      </c>
      <c r="G1137">
        <f>IF(F1137=1,_xlfn.BITXOR(E1137,33800),E1137)</f>
        <v/>
      </c>
    </row>
    <row r="1138">
      <c r="A1138" t="n">
        <v>1132</v>
      </c>
      <c r="B1138">
        <f>_DestuffedBits!C1133</f>
        <v/>
      </c>
      <c r="C1138">
        <f>G1137</f>
        <v/>
      </c>
      <c r="D1138">
        <f>_xlfn.BITAND(C1138,1)</f>
        <v/>
      </c>
      <c r="E1138">
        <f>_xlfn.BITRSHIFT(C1138,1)</f>
        <v/>
      </c>
      <c r="F1138">
        <f>_xlfn.BITXOR(D1138,B1138)</f>
        <v/>
      </c>
      <c r="G1138">
        <f>IF(F1138=1,_xlfn.BITXOR(E1138,33800),E1138)</f>
        <v/>
      </c>
    </row>
    <row r="1139">
      <c r="A1139" t="n">
        <v>1133</v>
      </c>
      <c r="B1139">
        <f>_DestuffedBits!C1134</f>
        <v/>
      </c>
      <c r="C1139">
        <f>G1138</f>
        <v/>
      </c>
      <c r="D1139">
        <f>_xlfn.BITAND(C1139,1)</f>
        <v/>
      </c>
      <c r="E1139">
        <f>_xlfn.BITRSHIFT(C1139,1)</f>
        <v/>
      </c>
      <c r="F1139">
        <f>_xlfn.BITXOR(D1139,B1139)</f>
        <v/>
      </c>
      <c r="G1139">
        <f>IF(F1139=1,_xlfn.BITXOR(E1139,33800),E1139)</f>
        <v/>
      </c>
    </row>
    <row r="1140">
      <c r="A1140" t="n">
        <v>1134</v>
      </c>
      <c r="B1140">
        <f>_DestuffedBits!C1135</f>
        <v/>
      </c>
      <c r="C1140">
        <f>G1139</f>
        <v/>
      </c>
      <c r="D1140">
        <f>_xlfn.BITAND(C1140,1)</f>
        <v/>
      </c>
      <c r="E1140">
        <f>_xlfn.BITRSHIFT(C1140,1)</f>
        <v/>
      </c>
      <c r="F1140">
        <f>_xlfn.BITXOR(D1140,B1140)</f>
        <v/>
      </c>
      <c r="G1140">
        <f>IF(F1140=1,_xlfn.BITXOR(E1140,33800),E1140)</f>
        <v/>
      </c>
    </row>
    <row r="1141">
      <c r="A1141" t="n">
        <v>1135</v>
      </c>
      <c r="B1141">
        <f>_DestuffedBits!C1136</f>
        <v/>
      </c>
      <c r="C1141">
        <f>G1140</f>
        <v/>
      </c>
      <c r="D1141">
        <f>_xlfn.BITAND(C1141,1)</f>
        <v/>
      </c>
      <c r="E1141">
        <f>_xlfn.BITRSHIFT(C1141,1)</f>
        <v/>
      </c>
      <c r="F1141">
        <f>_xlfn.BITXOR(D1141,B1141)</f>
        <v/>
      </c>
      <c r="G1141">
        <f>IF(F1141=1,_xlfn.BITXOR(E1141,33800),E1141)</f>
        <v/>
      </c>
    </row>
    <row r="1142">
      <c r="A1142" t="n">
        <v>1136</v>
      </c>
      <c r="B1142">
        <f>_DestuffedBits!C1137</f>
        <v/>
      </c>
      <c r="C1142">
        <f>G1141</f>
        <v/>
      </c>
      <c r="D1142">
        <f>_xlfn.BITAND(C1142,1)</f>
        <v/>
      </c>
      <c r="E1142">
        <f>_xlfn.BITRSHIFT(C1142,1)</f>
        <v/>
      </c>
      <c r="F1142">
        <f>_xlfn.BITXOR(D1142,B1142)</f>
        <v/>
      </c>
      <c r="G1142">
        <f>IF(F1142=1,_xlfn.BITXOR(E1142,33800),E1142)</f>
        <v/>
      </c>
    </row>
    <row r="1143">
      <c r="A1143" t="n">
        <v>1137</v>
      </c>
      <c r="B1143">
        <f>_DestuffedBits!C1138</f>
        <v/>
      </c>
      <c r="C1143">
        <f>G1142</f>
        <v/>
      </c>
      <c r="D1143">
        <f>_xlfn.BITAND(C1143,1)</f>
        <v/>
      </c>
      <c r="E1143">
        <f>_xlfn.BITRSHIFT(C1143,1)</f>
        <v/>
      </c>
      <c r="F1143">
        <f>_xlfn.BITXOR(D1143,B1143)</f>
        <v/>
      </c>
      <c r="G1143">
        <f>IF(F1143=1,_xlfn.BITXOR(E1143,33800),E1143)</f>
        <v/>
      </c>
    </row>
    <row r="1144">
      <c r="A1144" t="n">
        <v>1138</v>
      </c>
      <c r="B1144">
        <f>_DestuffedBits!C1139</f>
        <v/>
      </c>
      <c r="C1144">
        <f>G1143</f>
        <v/>
      </c>
      <c r="D1144">
        <f>_xlfn.BITAND(C1144,1)</f>
        <v/>
      </c>
      <c r="E1144">
        <f>_xlfn.BITRSHIFT(C1144,1)</f>
        <v/>
      </c>
      <c r="F1144">
        <f>_xlfn.BITXOR(D1144,B1144)</f>
        <v/>
      </c>
      <c r="G1144">
        <f>IF(F1144=1,_xlfn.BITXOR(E1144,33800),E1144)</f>
        <v/>
      </c>
    </row>
    <row r="1145">
      <c r="A1145" t="n">
        <v>1139</v>
      </c>
      <c r="B1145">
        <f>_DestuffedBits!C1140</f>
        <v/>
      </c>
      <c r="C1145">
        <f>G1144</f>
        <v/>
      </c>
      <c r="D1145">
        <f>_xlfn.BITAND(C1145,1)</f>
        <v/>
      </c>
      <c r="E1145">
        <f>_xlfn.BITRSHIFT(C1145,1)</f>
        <v/>
      </c>
      <c r="F1145">
        <f>_xlfn.BITXOR(D1145,B1145)</f>
        <v/>
      </c>
      <c r="G1145">
        <f>IF(F1145=1,_xlfn.BITXOR(E1145,33800),E1145)</f>
        <v/>
      </c>
    </row>
    <row r="1146">
      <c r="A1146" t="n">
        <v>1140</v>
      </c>
      <c r="B1146">
        <f>_DestuffedBits!C1141</f>
        <v/>
      </c>
      <c r="C1146">
        <f>G1145</f>
        <v/>
      </c>
      <c r="D1146">
        <f>_xlfn.BITAND(C1146,1)</f>
        <v/>
      </c>
      <c r="E1146">
        <f>_xlfn.BITRSHIFT(C1146,1)</f>
        <v/>
      </c>
      <c r="F1146">
        <f>_xlfn.BITXOR(D1146,B1146)</f>
        <v/>
      </c>
      <c r="G1146">
        <f>IF(F1146=1,_xlfn.BITXOR(E1146,33800),E1146)</f>
        <v/>
      </c>
    </row>
    <row r="1147">
      <c r="A1147" t="n">
        <v>1141</v>
      </c>
      <c r="B1147">
        <f>_DestuffedBits!C1142</f>
        <v/>
      </c>
      <c r="C1147">
        <f>G1146</f>
        <v/>
      </c>
      <c r="D1147">
        <f>_xlfn.BITAND(C1147,1)</f>
        <v/>
      </c>
      <c r="E1147">
        <f>_xlfn.BITRSHIFT(C1147,1)</f>
        <v/>
      </c>
      <c r="F1147">
        <f>_xlfn.BITXOR(D1147,B1147)</f>
        <v/>
      </c>
      <c r="G1147">
        <f>IF(F1147=1,_xlfn.BITXOR(E1147,33800),E1147)</f>
        <v/>
      </c>
    </row>
    <row r="1148">
      <c r="A1148" t="n">
        <v>1142</v>
      </c>
      <c r="B1148">
        <f>_DestuffedBits!C1143</f>
        <v/>
      </c>
      <c r="C1148">
        <f>G1147</f>
        <v/>
      </c>
      <c r="D1148">
        <f>_xlfn.BITAND(C1148,1)</f>
        <v/>
      </c>
      <c r="E1148">
        <f>_xlfn.BITRSHIFT(C1148,1)</f>
        <v/>
      </c>
      <c r="F1148">
        <f>_xlfn.BITXOR(D1148,B1148)</f>
        <v/>
      </c>
      <c r="G1148">
        <f>IF(F1148=1,_xlfn.BITXOR(E1148,33800),E1148)</f>
        <v/>
      </c>
    </row>
    <row r="1149">
      <c r="A1149" t="n">
        <v>1143</v>
      </c>
      <c r="B1149">
        <f>_DestuffedBits!C1144</f>
        <v/>
      </c>
      <c r="C1149">
        <f>G1148</f>
        <v/>
      </c>
      <c r="D1149">
        <f>_xlfn.BITAND(C1149,1)</f>
        <v/>
      </c>
      <c r="E1149">
        <f>_xlfn.BITRSHIFT(C1149,1)</f>
        <v/>
      </c>
      <c r="F1149">
        <f>_xlfn.BITXOR(D1149,B1149)</f>
        <v/>
      </c>
      <c r="G1149">
        <f>IF(F1149=1,_xlfn.BITXOR(E1149,33800),E1149)</f>
        <v/>
      </c>
    </row>
    <row r="1150">
      <c r="A1150" t="n">
        <v>1144</v>
      </c>
      <c r="B1150">
        <f>_DestuffedBits!C1145</f>
        <v/>
      </c>
      <c r="C1150">
        <f>G1149</f>
        <v/>
      </c>
      <c r="D1150">
        <f>_xlfn.BITAND(C1150,1)</f>
        <v/>
      </c>
      <c r="E1150">
        <f>_xlfn.BITRSHIFT(C1150,1)</f>
        <v/>
      </c>
      <c r="F1150">
        <f>_xlfn.BITXOR(D1150,B1150)</f>
        <v/>
      </c>
      <c r="G1150">
        <f>IF(F1150=1,_xlfn.BITXOR(E1150,33800),E1150)</f>
        <v/>
      </c>
    </row>
    <row r="1151">
      <c r="A1151" t="n">
        <v>1145</v>
      </c>
      <c r="B1151">
        <f>_DestuffedBits!C1146</f>
        <v/>
      </c>
      <c r="C1151">
        <f>G1150</f>
        <v/>
      </c>
      <c r="D1151">
        <f>_xlfn.BITAND(C1151,1)</f>
        <v/>
      </c>
      <c r="E1151">
        <f>_xlfn.BITRSHIFT(C1151,1)</f>
        <v/>
      </c>
      <c r="F1151">
        <f>_xlfn.BITXOR(D1151,B1151)</f>
        <v/>
      </c>
      <c r="G1151">
        <f>IF(F1151=1,_xlfn.BITXOR(E1151,33800),E1151)</f>
        <v/>
      </c>
    </row>
    <row r="1152">
      <c r="A1152" t="n">
        <v>1146</v>
      </c>
      <c r="B1152">
        <f>_DestuffedBits!C1147</f>
        <v/>
      </c>
      <c r="C1152">
        <f>G1151</f>
        <v/>
      </c>
      <c r="D1152">
        <f>_xlfn.BITAND(C1152,1)</f>
        <v/>
      </c>
      <c r="E1152">
        <f>_xlfn.BITRSHIFT(C1152,1)</f>
        <v/>
      </c>
      <c r="F1152">
        <f>_xlfn.BITXOR(D1152,B1152)</f>
        <v/>
      </c>
      <c r="G1152">
        <f>IF(F1152=1,_xlfn.BITXOR(E1152,33800),E1152)</f>
        <v/>
      </c>
    </row>
    <row r="1153">
      <c r="A1153" t="n">
        <v>1147</v>
      </c>
      <c r="B1153">
        <f>_DestuffedBits!C1148</f>
        <v/>
      </c>
      <c r="C1153">
        <f>G1152</f>
        <v/>
      </c>
      <c r="D1153">
        <f>_xlfn.BITAND(C1153,1)</f>
        <v/>
      </c>
      <c r="E1153">
        <f>_xlfn.BITRSHIFT(C1153,1)</f>
        <v/>
      </c>
      <c r="F1153">
        <f>_xlfn.BITXOR(D1153,B1153)</f>
        <v/>
      </c>
      <c r="G1153">
        <f>IF(F1153=1,_xlfn.BITXOR(E1153,33800),E1153)</f>
        <v/>
      </c>
    </row>
    <row r="1154">
      <c r="A1154" t="n">
        <v>1148</v>
      </c>
      <c r="B1154">
        <f>_DestuffedBits!C1149</f>
        <v/>
      </c>
      <c r="C1154">
        <f>G1153</f>
        <v/>
      </c>
      <c r="D1154">
        <f>_xlfn.BITAND(C1154,1)</f>
        <v/>
      </c>
      <c r="E1154">
        <f>_xlfn.BITRSHIFT(C1154,1)</f>
        <v/>
      </c>
      <c r="F1154">
        <f>_xlfn.BITXOR(D1154,B1154)</f>
        <v/>
      </c>
      <c r="G1154">
        <f>IF(F1154=1,_xlfn.BITXOR(E1154,33800),E1154)</f>
        <v/>
      </c>
    </row>
    <row r="1155">
      <c r="A1155" t="n">
        <v>1149</v>
      </c>
      <c r="B1155">
        <f>_DestuffedBits!C1150</f>
        <v/>
      </c>
      <c r="C1155">
        <f>G1154</f>
        <v/>
      </c>
      <c r="D1155">
        <f>_xlfn.BITAND(C1155,1)</f>
        <v/>
      </c>
      <c r="E1155">
        <f>_xlfn.BITRSHIFT(C1155,1)</f>
        <v/>
      </c>
      <c r="F1155">
        <f>_xlfn.BITXOR(D1155,B1155)</f>
        <v/>
      </c>
      <c r="G1155">
        <f>IF(F1155=1,_xlfn.BITXOR(E1155,33800),E1155)</f>
        <v/>
      </c>
    </row>
    <row r="1156">
      <c r="A1156" t="n">
        <v>1150</v>
      </c>
      <c r="B1156">
        <f>_DestuffedBits!C1151</f>
        <v/>
      </c>
      <c r="C1156">
        <f>G1155</f>
        <v/>
      </c>
      <c r="D1156">
        <f>_xlfn.BITAND(C1156,1)</f>
        <v/>
      </c>
      <c r="E1156">
        <f>_xlfn.BITRSHIFT(C1156,1)</f>
        <v/>
      </c>
      <c r="F1156">
        <f>_xlfn.BITXOR(D1156,B1156)</f>
        <v/>
      </c>
      <c r="G1156">
        <f>IF(F1156=1,_xlfn.BITXOR(E1156,33800),E1156)</f>
        <v/>
      </c>
    </row>
    <row r="1157">
      <c r="A1157" t="n">
        <v>1151</v>
      </c>
      <c r="B1157">
        <f>_DestuffedBits!C1152</f>
        <v/>
      </c>
      <c r="C1157">
        <f>G1156</f>
        <v/>
      </c>
      <c r="D1157">
        <f>_xlfn.BITAND(C1157,1)</f>
        <v/>
      </c>
      <c r="E1157">
        <f>_xlfn.BITRSHIFT(C1157,1)</f>
        <v/>
      </c>
      <c r="F1157">
        <f>_xlfn.BITXOR(D1157,B1157)</f>
        <v/>
      </c>
      <c r="G1157">
        <f>IF(F1157=1,_xlfn.BITXOR(E1157,33800),E1157)</f>
        <v/>
      </c>
    </row>
    <row r="1158">
      <c r="A1158" t="n">
        <v>1152</v>
      </c>
      <c r="B1158">
        <f>_DestuffedBits!C1153</f>
        <v/>
      </c>
      <c r="C1158">
        <f>G1157</f>
        <v/>
      </c>
      <c r="D1158">
        <f>_xlfn.BITAND(C1158,1)</f>
        <v/>
      </c>
      <c r="E1158">
        <f>_xlfn.BITRSHIFT(C1158,1)</f>
        <v/>
      </c>
      <c r="F1158">
        <f>_xlfn.BITXOR(D1158,B1158)</f>
        <v/>
      </c>
      <c r="G1158">
        <f>IF(F1158=1,_xlfn.BITXOR(E1158,33800),E1158)</f>
        <v/>
      </c>
    </row>
    <row r="1159">
      <c r="A1159" t="n">
        <v>1153</v>
      </c>
      <c r="B1159">
        <f>_DestuffedBits!C1154</f>
        <v/>
      </c>
      <c r="C1159">
        <f>G1158</f>
        <v/>
      </c>
      <c r="D1159">
        <f>_xlfn.BITAND(C1159,1)</f>
        <v/>
      </c>
      <c r="E1159">
        <f>_xlfn.BITRSHIFT(C1159,1)</f>
        <v/>
      </c>
      <c r="F1159">
        <f>_xlfn.BITXOR(D1159,B1159)</f>
        <v/>
      </c>
      <c r="G1159">
        <f>IF(F1159=1,_xlfn.BITXOR(E1159,33800),E1159)</f>
        <v/>
      </c>
    </row>
    <row r="1160">
      <c r="A1160" t="n">
        <v>1154</v>
      </c>
      <c r="B1160">
        <f>_DestuffedBits!C1155</f>
        <v/>
      </c>
      <c r="C1160">
        <f>G1159</f>
        <v/>
      </c>
      <c r="D1160">
        <f>_xlfn.BITAND(C1160,1)</f>
        <v/>
      </c>
      <c r="E1160">
        <f>_xlfn.BITRSHIFT(C1160,1)</f>
        <v/>
      </c>
      <c r="F1160">
        <f>_xlfn.BITXOR(D1160,B1160)</f>
        <v/>
      </c>
      <c r="G1160">
        <f>IF(F1160=1,_xlfn.BITXOR(E1160,33800),E1160)</f>
        <v/>
      </c>
    </row>
    <row r="1161">
      <c r="A1161" t="n">
        <v>1155</v>
      </c>
      <c r="B1161">
        <f>_DestuffedBits!C1156</f>
        <v/>
      </c>
      <c r="C1161">
        <f>G1160</f>
        <v/>
      </c>
      <c r="D1161">
        <f>_xlfn.BITAND(C1161,1)</f>
        <v/>
      </c>
      <c r="E1161">
        <f>_xlfn.BITRSHIFT(C1161,1)</f>
        <v/>
      </c>
      <c r="F1161">
        <f>_xlfn.BITXOR(D1161,B1161)</f>
        <v/>
      </c>
      <c r="G1161">
        <f>IF(F1161=1,_xlfn.BITXOR(E1161,33800),E1161)</f>
        <v/>
      </c>
    </row>
    <row r="1162">
      <c r="A1162" t="n">
        <v>1156</v>
      </c>
      <c r="B1162">
        <f>_DestuffedBits!C1157</f>
        <v/>
      </c>
      <c r="C1162">
        <f>G1161</f>
        <v/>
      </c>
      <c r="D1162">
        <f>_xlfn.BITAND(C1162,1)</f>
        <v/>
      </c>
      <c r="E1162">
        <f>_xlfn.BITRSHIFT(C1162,1)</f>
        <v/>
      </c>
      <c r="F1162">
        <f>_xlfn.BITXOR(D1162,B1162)</f>
        <v/>
      </c>
      <c r="G1162">
        <f>IF(F1162=1,_xlfn.BITXOR(E1162,33800),E1162)</f>
        <v/>
      </c>
    </row>
    <row r="1163">
      <c r="A1163" t="n">
        <v>1157</v>
      </c>
      <c r="B1163">
        <f>_DestuffedBits!C1158</f>
        <v/>
      </c>
      <c r="C1163">
        <f>G1162</f>
        <v/>
      </c>
      <c r="D1163">
        <f>_xlfn.BITAND(C1163,1)</f>
        <v/>
      </c>
      <c r="E1163">
        <f>_xlfn.BITRSHIFT(C1163,1)</f>
        <v/>
      </c>
      <c r="F1163">
        <f>_xlfn.BITXOR(D1163,B1163)</f>
        <v/>
      </c>
      <c r="G1163">
        <f>IF(F1163=1,_xlfn.BITXOR(E1163,33800),E1163)</f>
        <v/>
      </c>
    </row>
    <row r="1164">
      <c r="A1164" t="n">
        <v>1158</v>
      </c>
      <c r="B1164">
        <f>_DestuffedBits!C1159</f>
        <v/>
      </c>
      <c r="C1164">
        <f>G1163</f>
        <v/>
      </c>
      <c r="D1164">
        <f>_xlfn.BITAND(C1164,1)</f>
        <v/>
      </c>
      <c r="E1164">
        <f>_xlfn.BITRSHIFT(C1164,1)</f>
        <v/>
      </c>
      <c r="F1164">
        <f>_xlfn.BITXOR(D1164,B1164)</f>
        <v/>
      </c>
      <c r="G1164">
        <f>IF(F1164=1,_xlfn.BITXOR(E1164,33800),E1164)</f>
        <v/>
      </c>
    </row>
    <row r="1165">
      <c r="A1165" t="n">
        <v>1159</v>
      </c>
      <c r="B1165">
        <f>_DestuffedBits!C1160</f>
        <v/>
      </c>
      <c r="C1165">
        <f>G1164</f>
        <v/>
      </c>
      <c r="D1165">
        <f>_xlfn.BITAND(C1165,1)</f>
        <v/>
      </c>
      <c r="E1165">
        <f>_xlfn.BITRSHIFT(C1165,1)</f>
        <v/>
      </c>
      <c r="F1165">
        <f>_xlfn.BITXOR(D1165,B1165)</f>
        <v/>
      </c>
      <c r="G1165">
        <f>IF(F1165=1,_xlfn.BITXOR(E1165,33800),E1165)</f>
        <v/>
      </c>
    </row>
    <row r="1166">
      <c r="A1166" t="n">
        <v>1160</v>
      </c>
      <c r="B1166">
        <f>_DestuffedBits!C1161</f>
        <v/>
      </c>
      <c r="C1166">
        <f>G1165</f>
        <v/>
      </c>
      <c r="D1166">
        <f>_xlfn.BITAND(C1166,1)</f>
        <v/>
      </c>
      <c r="E1166">
        <f>_xlfn.BITRSHIFT(C1166,1)</f>
        <v/>
      </c>
      <c r="F1166">
        <f>_xlfn.BITXOR(D1166,B1166)</f>
        <v/>
      </c>
      <c r="G1166">
        <f>IF(F1166=1,_xlfn.BITXOR(E1166,33800),E1166)</f>
        <v/>
      </c>
    </row>
    <row r="1167">
      <c r="A1167" t="n">
        <v>1161</v>
      </c>
      <c r="B1167">
        <f>_DestuffedBits!C1162</f>
        <v/>
      </c>
      <c r="C1167">
        <f>G1166</f>
        <v/>
      </c>
      <c r="D1167">
        <f>_xlfn.BITAND(C1167,1)</f>
        <v/>
      </c>
      <c r="E1167">
        <f>_xlfn.BITRSHIFT(C1167,1)</f>
        <v/>
      </c>
      <c r="F1167">
        <f>_xlfn.BITXOR(D1167,B1167)</f>
        <v/>
      </c>
      <c r="G1167">
        <f>IF(F1167=1,_xlfn.BITXOR(E1167,33800),E1167)</f>
        <v/>
      </c>
    </row>
    <row r="1168">
      <c r="A1168" t="n">
        <v>1162</v>
      </c>
      <c r="B1168">
        <f>_DestuffedBits!C1163</f>
        <v/>
      </c>
      <c r="C1168">
        <f>G1167</f>
        <v/>
      </c>
      <c r="D1168">
        <f>_xlfn.BITAND(C1168,1)</f>
        <v/>
      </c>
      <c r="E1168">
        <f>_xlfn.BITRSHIFT(C1168,1)</f>
        <v/>
      </c>
      <c r="F1168">
        <f>_xlfn.BITXOR(D1168,B1168)</f>
        <v/>
      </c>
      <c r="G1168">
        <f>IF(F1168=1,_xlfn.BITXOR(E1168,33800),E1168)</f>
        <v/>
      </c>
    </row>
    <row r="1169">
      <c r="A1169" t="n">
        <v>1163</v>
      </c>
      <c r="B1169">
        <f>_DestuffedBits!C1164</f>
        <v/>
      </c>
      <c r="C1169">
        <f>G1168</f>
        <v/>
      </c>
      <c r="D1169">
        <f>_xlfn.BITAND(C1169,1)</f>
        <v/>
      </c>
      <c r="E1169">
        <f>_xlfn.BITRSHIFT(C1169,1)</f>
        <v/>
      </c>
      <c r="F1169">
        <f>_xlfn.BITXOR(D1169,B1169)</f>
        <v/>
      </c>
      <c r="G1169">
        <f>IF(F1169=1,_xlfn.BITXOR(E1169,33800),E1169)</f>
        <v/>
      </c>
    </row>
    <row r="1170">
      <c r="A1170" t="n">
        <v>1164</v>
      </c>
      <c r="B1170">
        <f>_DestuffedBits!C1165</f>
        <v/>
      </c>
      <c r="C1170">
        <f>G1169</f>
        <v/>
      </c>
      <c r="D1170">
        <f>_xlfn.BITAND(C1170,1)</f>
        <v/>
      </c>
      <c r="E1170">
        <f>_xlfn.BITRSHIFT(C1170,1)</f>
        <v/>
      </c>
      <c r="F1170">
        <f>_xlfn.BITXOR(D1170,B1170)</f>
        <v/>
      </c>
      <c r="G1170">
        <f>IF(F1170=1,_xlfn.BITXOR(E1170,33800),E1170)</f>
        <v/>
      </c>
    </row>
    <row r="1171">
      <c r="A1171" t="n">
        <v>1165</v>
      </c>
      <c r="B1171">
        <f>_DestuffedBits!C1166</f>
        <v/>
      </c>
      <c r="C1171">
        <f>G1170</f>
        <v/>
      </c>
      <c r="D1171">
        <f>_xlfn.BITAND(C1171,1)</f>
        <v/>
      </c>
      <c r="E1171">
        <f>_xlfn.BITRSHIFT(C1171,1)</f>
        <v/>
      </c>
      <c r="F1171">
        <f>_xlfn.BITXOR(D1171,B1171)</f>
        <v/>
      </c>
      <c r="G1171">
        <f>IF(F1171=1,_xlfn.BITXOR(E1171,33800),E1171)</f>
        <v/>
      </c>
    </row>
    <row r="1172">
      <c r="A1172" t="n">
        <v>1166</v>
      </c>
      <c r="B1172">
        <f>_DestuffedBits!C1167</f>
        <v/>
      </c>
      <c r="C1172">
        <f>G1171</f>
        <v/>
      </c>
      <c r="D1172">
        <f>_xlfn.BITAND(C1172,1)</f>
        <v/>
      </c>
      <c r="E1172">
        <f>_xlfn.BITRSHIFT(C1172,1)</f>
        <v/>
      </c>
      <c r="F1172">
        <f>_xlfn.BITXOR(D1172,B1172)</f>
        <v/>
      </c>
      <c r="G1172">
        <f>IF(F1172=1,_xlfn.BITXOR(E1172,33800),E1172)</f>
        <v/>
      </c>
    </row>
    <row r="1173">
      <c r="A1173" t="n">
        <v>1167</v>
      </c>
      <c r="B1173">
        <f>_DestuffedBits!C1168</f>
        <v/>
      </c>
      <c r="C1173">
        <f>G1172</f>
        <v/>
      </c>
      <c r="D1173">
        <f>_xlfn.BITAND(C1173,1)</f>
        <v/>
      </c>
      <c r="E1173">
        <f>_xlfn.BITRSHIFT(C1173,1)</f>
        <v/>
      </c>
      <c r="F1173">
        <f>_xlfn.BITXOR(D1173,B1173)</f>
        <v/>
      </c>
      <c r="G1173">
        <f>IF(F1173=1,_xlfn.BITXOR(E1173,33800),E1173)</f>
        <v/>
      </c>
    </row>
    <row r="1174">
      <c r="A1174" t="n">
        <v>1168</v>
      </c>
      <c r="B1174">
        <f>_DestuffedBits!C1169</f>
        <v/>
      </c>
      <c r="C1174">
        <f>G1173</f>
        <v/>
      </c>
      <c r="D1174">
        <f>_xlfn.BITAND(C1174,1)</f>
        <v/>
      </c>
      <c r="E1174">
        <f>_xlfn.BITRSHIFT(C1174,1)</f>
        <v/>
      </c>
      <c r="F1174">
        <f>_xlfn.BITXOR(D1174,B1174)</f>
        <v/>
      </c>
      <c r="G1174">
        <f>IF(F1174=1,_xlfn.BITXOR(E1174,33800),E1174)</f>
        <v/>
      </c>
    </row>
    <row r="1175">
      <c r="A1175" t="n">
        <v>1169</v>
      </c>
      <c r="B1175">
        <f>_DestuffedBits!C1170</f>
        <v/>
      </c>
      <c r="C1175">
        <f>G1174</f>
        <v/>
      </c>
      <c r="D1175">
        <f>_xlfn.BITAND(C1175,1)</f>
        <v/>
      </c>
      <c r="E1175">
        <f>_xlfn.BITRSHIFT(C1175,1)</f>
        <v/>
      </c>
      <c r="F1175">
        <f>_xlfn.BITXOR(D1175,B1175)</f>
        <v/>
      </c>
      <c r="G1175">
        <f>IF(F1175=1,_xlfn.BITXOR(E1175,33800),E1175)</f>
        <v/>
      </c>
    </row>
    <row r="1176">
      <c r="A1176" t="n">
        <v>1170</v>
      </c>
      <c r="B1176">
        <f>_DestuffedBits!C1171</f>
        <v/>
      </c>
      <c r="C1176">
        <f>G1175</f>
        <v/>
      </c>
      <c r="D1176">
        <f>_xlfn.BITAND(C1176,1)</f>
        <v/>
      </c>
      <c r="E1176">
        <f>_xlfn.BITRSHIFT(C1176,1)</f>
        <v/>
      </c>
      <c r="F1176">
        <f>_xlfn.BITXOR(D1176,B1176)</f>
        <v/>
      </c>
      <c r="G1176">
        <f>IF(F1176=1,_xlfn.BITXOR(E1176,33800),E1176)</f>
        <v/>
      </c>
    </row>
    <row r="1177">
      <c r="A1177" t="n">
        <v>1171</v>
      </c>
      <c r="B1177">
        <f>_DestuffedBits!C1172</f>
        <v/>
      </c>
      <c r="C1177">
        <f>G1176</f>
        <v/>
      </c>
      <c r="D1177">
        <f>_xlfn.BITAND(C1177,1)</f>
        <v/>
      </c>
      <c r="E1177">
        <f>_xlfn.BITRSHIFT(C1177,1)</f>
        <v/>
      </c>
      <c r="F1177">
        <f>_xlfn.BITXOR(D1177,B1177)</f>
        <v/>
      </c>
      <c r="G1177">
        <f>IF(F1177=1,_xlfn.BITXOR(E1177,33800),E1177)</f>
        <v/>
      </c>
    </row>
    <row r="1178">
      <c r="A1178" t="n">
        <v>1172</v>
      </c>
      <c r="B1178">
        <f>_DestuffedBits!C1173</f>
        <v/>
      </c>
      <c r="C1178">
        <f>G1177</f>
        <v/>
      </c>
      <c r="D1178">
        <f>_xlfn.BITAND(C1178,1)</f>
        <v/>
      </c>
      <c r="E1178">
        <f>_xlfn.BITRSHIFT(C1178,1)</f>
        <v/>
      </c>
      <c r="F1178">
        <f>_xlfn.BITXOR(D1178,B1178)</f>
        <v/>
      </c>
      <c r="G1178">
        <f>IF(F1178=1,_xlfn.BITXOR(E1178,33800),E1178)</f>
        <v/>
      </c>
    </row>
    <row r="1179">
      <c r="A1179" t="n">
        <v>1173</v>
      </c>
      <c r="B1179">
        <f>_DestuffedBits!C1174</f>
        <v/>
      </c>
      <c r="C1179">
        <f>G1178</f>
        <v/>
      </c>
      <c r="D1179">
        <f>_xlfn.BITAND(C1179,1)</f>
        <v/>
      </c>
      <c r="E1179">
        <f>_xlfn.BITRSHIFT(C1179,1)</f>
        <v/>
      </c>
      <c r="F1179">
        <f>_xlfn.BITXOR(D1179,B1179)</f>
        <v/>
      </c>
      <c r="G1179">
        <f>IF(F1179=1,_xlfn.BITXOR(E1179,33800),E1179)</f>
        <v/>
      </c>
    </row>
    <row r="1180">
      <c r="A1180" t="n">
        <v>1174</v>
      </c>
      <c r="B1180">
        <f>_DestuffedBits!C1175</f>
        <v/>
      </c>
      <c r="C1180">
        <f>G1179</f>
        <v/>
      </c>
      <c r="D1180">
        <f>_xlfn.BITAND(C1180,1)</f>
        <v/>
      </c>
      <c r="E1180">
        <f>_xlfn.BITRSHIFT(C1180,1)</f>
        <v/>
      </c>
      <c r="F1180">
        <f>_xlfn.BITXOR(D1180,B1180)</f>
        <v/>
      </c>
      <c r="G1180">
        <f>IF(F1180=1,_xlfn.BITXOR(E1180,33800),E1180)</f>
        <v/>
      </c>
    </row>
    <row r="1181">
      <c r="A1181" t="n">
        <v>1175</v>
      </c>
      <c r="B1181">
        <f>_DestuffedBits!C1176</f>
        <v/>
      </c>
      <c r="C1181">
        <f>G1180</f>
        <v/>
      </c>
      <c r="D1181">
        <f>_xlfn.BITAND(C1181,1)</f>
        <v/>
      </c>
      <c r="E1181">
        <f>_xlfn.BITRSHIFT(C1181,1)</f>
        <v/>
      </c>
      <c r="F1181">
        <f>_xlfn.BITXOR(D1181,B1181)</f>
        <v/>
      </c>
      <c r="G1181">
        <f>IF(F1181=1,_xlfn.BITXOR(E1181,33800),E1181)</f>
        <v/>
      </c>
    </row>
    <row r="1182">
      <c r="A1182" t="n">
        <v>1176</v>
      </c>
      <c r="B1182">
        <f>_DestuffedBits!C1177</f>
        <v/>
      </c>
      <c r="C1182">
        <f>G1181</f>
        <v/>
      </c>
      <c r="D1182">
        <f>_xlfn.BITAND(C1182,1)</f>
        <v/>
      </c>
      <c r="E1182">
        <f>_xlfn.BITRSHIFT(C1182,1)</f>
        <v/>
      </c>
      <c r="F1182">
        <f>_xlfn.BITXOR(D1182,B1182)</f>
        <v/>
      </c>
      <c r="G1182">
        <f>IF(F1182=1,_xlfn.BITXOR(E1182,33800),E1182)</f>
        <v/>
      </c>
    </row>
    <row r="1183">
      <c r="A1183" t="n">
        <v>1177</v>
      </c>
      <c r="B1183">
        <f>_DestuffedBits!C1178</f>
        <v/>
      </c>
      <c r="C1183">
        <f>G1182</f>
        <v/>
      </c>
      <c r="D1183">
        <f>_xlfn.BITAND(C1183,1)</f>
        <v/>
      </c>
      <c r="E1183">
        <f>_xlfn.BITRSHIFT(C1183,1)</f>
        <v/>
      </c>
      <c r="F1183">
        <f>_xlfn.BITXOR(D1183,B1183)</f>
        <v/>
      </c>
      <c r="G1183">
        <f>IF(F1183=1,_xlfn.BITXOR(E1183,33800),E1183)</f>
        <v/>
      </c>
    </row>
    <row r="1184">
      <c r="A1184" t="n">
        <v>1178</v>
      </c>
      <c r="B1184">
        <f>_DestuffedBits!C1179</f>
        <v/>
      </c>
      <c r="C1184">
        <f>G1183</f>
        <v/>
      </c>
      <c r="D1184">
        <f>_xlfn.BITAND(C1184,1)</f>
        <v/>
      </c>
      <c r="E1184">
        <f>_xlfn.BITRSHIFT(C1184,1)</f>
        <v/>
      </c>
      <c r="F1184">
        <f>_xlfn.BITXOR(D1184,B1184)</f>
        <v/>
      </c>
      <c r="G1184">
        <f>IF(F1184=1,_xlfn.BITXOR(E1184,33800),E1184)</f>
        <v/>
      </c>
    </row>
    <row r="1185">
      <c r="A1185" t="n">
        <v>1179</v>
      </c>
      <c r="B1185">
        <f>_DestuffedBits!C1180</f>
        <v/>
      </c>
      <c r="C1185">
        <f>G1184</f>
        <v/>
      </c>
      <c r="D1185">
        <f>_xlfn.BITAND(C1185,1)</f>
        <v/>
      </c>
      <c r="E1185">
        <f>_xlfn.BITRSHIFT(C1185,1)</f>
        <v/>
      </c>
      <c r="F1185">
        <f>_xlfn.BITXOR(D1185,B1185)</f>
        <v/>
      </c>
      <c r="G1185">
        <f>IF(F1185=1,_xlfn.BITXOR(E1185,33800),E1185)</f>
        <v/>
      </c>
    </row>
    <row r="1186">
      <c r="A1186" t="n">
        <v>1180</v>
      </c>
      <c r="B1186">
        <f>_DestuffedBits!C1181</f>
        <v/>
      </c>
      <c r="C1186">
        <f>G1185</f>
        <v/>
      </c>
      <c r="D1186">
        <f>_xlfn.BITAND(C1186,1)</f>
        <v/>
      </c>
      <c r="E1186">
        <f>_xlfn.BITRSHIFT(C1186,1)</f>
        <v/>
      </c>
      <c r="F1186">
        <f>_xlfn.BITXOR(D1186,B1186)</f>
        <v/>
      </c>
      <c r="G1186">
        <f>IF(F1186=1,_xlfn.BITXOR(E1186,33800),E1186)</f>
        <v/>
      </c>
    </row>
    <row r="1187">
      <c r="A1187" t="n">
        <v>1181</v>
      </c>
      <c r="B1187">
        <f>_DestuffedBits!C1182</f>
        <v/>
      </c>
      <c r="C1187">
        <f>G1186</f>
        <v/>
      </c>
      <c r="D1187">
        <f>_xlfn.BITAND(C1187,1)</f>
        <v/>
      </c>
      <c r="E1187">
        <f>_xlfn.BITRSHIFT(C1187,1)</f>
        <v/>
      </c>
      <c r="F1187">
        <f>_xlfn.BITXOR(D1187,B1187)</f>
        <v/>
      </c>
      <c r="G1187">
        <f>IF(F1187=1,_xlfn.BITXOR(E1187,33800),E1187)</f>
        <v/>
      </c>
    </row>
    <row r="1188">
      <c r="A1188" t="n">
        <v>1182</v>
      </c>
      <c r="B1188">
        <f>_DestuffedBits!C1183</f>
        <v/>
      </c>
      <c r="C1188">
        <f>G1187</f>
        <v/>
      </c>
      <c r="D1188">
        <f>_xlfn.BITAND(C1188,1)</f>
        <v/>
      </c>
      <c r="E1188">
        <f>_xlfn.BITRSHIFT(C1188,1)</f>
        <v/>
      </c>
      <c r="F1188">
        <f>_xlfn.BITXOR(D1188,B1188)</f>
        <v/>
      </c>
      <c r="G1188">
        <f>IF(F1188=1,_xlfn.BITXOR(E1188,33800),E1188)</f>
        <v/>
      </c>
    </row>
    <row r="1189">
      <c r="A1189" t="n">
        <v>1183</v>
      </c>
      <c r="B1189">
        <f>_DestuffedBits!C1184</f>
        <v/>
      </c>
      <c r="C1189">
        <f>G1188</f>
        <v/>
      </c>
      <c r="D1189">
        <f>_xlfn.BITAND(C1189,1)</f>
        <v/>
      </c>
      <c r="E1189">
        <f>_xlfn.BITRSHIFT(C1189,1)</f>
        <v/>
      </c>
      <c r="F1189">
        <f>_xlfn.BITXOR(D1189,B1189)</f>
        <v/>
      </c>
      <c r="G1189">
        <f>IF(F1189=1,_xlfn.BITXOR(E1189,33800),E1189)</f>
        <v/>
      </c>
    </row>
    <row r="1190">
      <c r="A1190" t="n">
        <v>1184</v>
      </c>
      <c r="B1190">
        <f>_DestuffedBits!C1185</f>
        <v/>
      </c>
      <c r="C1190">
        <f>G1189</f>
        <v/>
      </c>
      <c r="D1190">
        <f>_xlfn.BITAND(C1190,1)</f>
        <v/>
      </c>
      <c r="E1190">
        <f>_xlfn.BITRSHIFT(C1190,1)</f>
        <v/>
      </c>
      <c r="F1190">
        <f>_xlfn.BITXOR(D1190,B1190)</f>
        <v/>
      </c>
      <c r="G1190">
        <f>IF(F1190=1,_xlfn.BITXOR(E1190,33800),E1190)</f>
        <v/>
      </c>
    </row>
    <row r="1191">
      <c r="A1191" t="n">
        <v>1185</v>
      </c>
      <c r="B1191">
        <f>_DestuffedBits!C1186</f>
        <v/>
      </c>
      <c r="C1191">
        <f>G1190</f>
        <v/>
      </c>
      <c r="D1191">
        <f>_xlfn.BITAND(C1191,1)</f>
        <v/>
      </c>
      <c r="E1191">
        <f>_xlfn.BITRSHIFT(C1191,1)</f>
        <v/>
      </c>
      <c r="F1191">
        <f>_xlfn.BITXOR(D1191,B1191)</f>
        <v/>
      </c>
      <c r="G1191">
        <f>IF(F1191=1,_xlfn.BITXOR(E1191,33800),E1191)</f>
        <v/>
      </c>
    </row>
    <row r="1192">
      <c r="A1192" t="n">
        <v>1186</v>
      </c>
      <c r="B1192">
        <f>_DestuffedBits!C1187</f>
        <v/>
      </c>
      <c r="C1192">
        <f>G1191</f>
        <v/>
      </c>
      <c r="D1192">
        <f>_xlfn.BITAND(C1192,1)</f>
        <v/>
      </c>
      <c r="E1192">
        <f>_xlfn.BITRSHIFT(C1192,1)</f>
        <v/>
      </c>
      <c r="F1192">
        <f>_xlfn.BITXOR(D1192,B1192)</f>
        <v/>
      </c>
      <c r="G1192">
        <f>IF(F1192=1,_xlfn.BITXOR(E1192,33800),E1192)</f>
        <v/>
      </c>
    </row>
    <row r="1193">
      <c r="A1193" t="n">
        <v>1187</v>
      </c>
      <c r="B1193">
        <f>_DestuffedBits!C1188</f>
        <v/>
      </c>
      <c r="C1193">
        <f>G1192</f>
        <v/>
      </c>
      <c r="D1193">
        <f>_xlfn.BITAND(C1193,1)</f>
        <v/>
      </c>
      <c r="E1193">
        <f>_xlfn.BITRSHIFT(C1193,1)</f>
        <v/>
      </c>
      <c r="F1193">
        <f>_xlfn.BITXOR(D1193,B1193)</f>
        <v/>
      </c>
      <c r="G1193">
        <f>IF(F1193=1,_xlfn.BITXOR(E1193,33800),E1193)</f>
        <v/>
      </c>
    </row>
    <row r="1194">
      <c r="A1194" t="n">
        <v>1188</v>
      </c>
      <c r="B1194">
        <f>_DestuffedBits!C1189</f>
        <v/>
      </c>
      <c r="C1194">
        <f>G1193</f>
        <v/>
      </c>
      <c r="D1194">
        <f>_xlfn.BITAND(C1194,1)</f>
        <v/>
      </c>
      <c r="E1194">
        <f>_xlfn.BITRSHIFT(C1194,1)</f>
        <v/>
      </c>
      <c r="F1194">
        <f>_xlfn.BITXOR(D1194,B1194)</f>
        <v/>
      </c>
      <c r="G1194">
        <f>IF(F1194=1,_xlfn.BITXOR(E1194,33800),E1194)</f>
        <v/>
      </c>
    </row>
    <row r="1195">
      <c r="A1195" t="n">
        <v>1189</v>
      </c>
      <c r="B1195">
        <f>_DestuffedBits!C1190</f>
        <v/>
      </c>
      <c r="C1195">
        <f>G1194</f>
        <v/>
      </c>
      <c r="D1195">
        <f>_xlfn.BITAND(C1195,1)</f>
        <v/>
      </c>
      <c r="E1195">
        <f>_xlfn.BITRSHIFT(C1195,1)</f>
        <v/>
      </c>
      <c r="F1195">
        <f>_xlfn.BITXOR(D1195,B1195)</f>
        <v/>
      </c>
      <c r="G1195">
        <f>IF(F1195=1,_xlfn.BITXOR(E1195,33800),E1195)</f>
        <v/>
      </c>
    </row>
    <row r="1196">
      <c r="A1196" t="n">
        <v>1190</v>
      </c>
      <c r="B1196">
        <f>_DestuffedBits!C1191</f>
        <v/>
      </c>
      <c r="C1196">
        <f>G1195</f>
        <v/>
      </c>
      <c r="D1196">
        <f>_xlfn.BITAND(C1196,1)</f>
        <v/>
      </c>
      <c r="E1196">
        <f>_xlfn.BITRSHIFT(C1196,1)</f>
        <v/>
      </c>
      <c r="F1196">
        <f>_xlfn.BITXOR(D1196,B1196)</f>
        <v/>
      </c>
      <c r="G1196">
        <f>IF(F1196=1,_xlfn.BITXOR(E1196,33800),E1196)</f>
        <v/>
      </c>
    </row>
    <row r="1197">
      <c r="A1197" t="n">
        <v>1191</v>
      </c>
      <c r="B1197">
        <f>_DestuffedBits!C1192</f>
        <v/>
      </c>
      <c r="C1197">
        <f>G1196</f>
        <v/>
      </c>
      <c r="D1197">
        <f>_xlfn.BITAND(C1197,1)</f>
        <v/>
      </c>
      <c r="E1197">
        <f>_xlfn.BITRSHIFT(C1197,1)</f>
        <v/>
      </c>
      <c r="F1197">
        <f>_xlfn.BITXOR(D1197,B1197)</f>
        <v/>
      </c>
      <c r="G1197">
        <f>IF(F1197=1,_xlfn.BITXOR(E1197,33800),E1197)</f>
        <v/>
      </c>
    </row>
    <row r="1198">
      <c r="A1198" t="n">
        <v>1192</v>
      </c>
      <c r="B1198">
        <f>_DestuffedBits!C1193</f>
        <v/>
      </c>
      <c r="C1198">
        <f>G1197</f>
        <v/>
      </c>
      <c r="D1198">
        <f>_xlfn.BITAND(C1198,1)</f>
        <v/>
      </c>
      <c r="E1198">
        <f>_xlfn.BITRSHIFT(C1198,1)</f>
        <v/>
      </c>
      <c r="F1198">
        <f>_xlfn.BITXOR(D1198,B1198)</f>
        <v/>
      </c>
      <c r="G1198">
        <f>IF(F1198=1,_xlfn.BITXOR(E1198,33800),E1198)</f>
        <v/>
      </c>
    </row>
    <row r="1199">
      <c r="A1199" t="n">
        <v>1193</v>
      </c>
      <c r="B1199">
        <f>_DestuffedBits!C1194</f>
        <v/>
      </c>
      <c r="C1199">
        <f>G1198</f>
        <v/>
      </c>
      <c r="D1199">
        <f>_xlfn.BITAND(C1199,1)</f>
        <v/>
      </c>
      <c r="E1199">
        <f>_xlfn.BITRSHIFT(C1199,1)</f>
        <v/>
      </c>
      <c r="F1199">
        <f>_xlfn.BITXOR(D1199,B1199)</f>
        <v/>
      </c>
      <c r="G1199">
        <f>IF(F1199=1,_xlfn.BITXOR(E1199,33800),E1199)</f>
        <v/>
      </c>
    </row>
    <row r="1200">
      <c r="A1200" t="n">
        <v>1194</v>
      </c>
      <c r="B1200">
        <f>_DestuffedBits!C1195</f>
        <v/>
      </c>
      <c r="C1200">
        <f>G1199</f>
        <v/>
      </c>
      <c r="D1200">
        <f>_xlfn.BITAND(C1200,1)</f>
        <v/>
      </c>
      <c r="E1200">
        <f>_xlfn.BITRSHIFT(C1200,1)</f>
        <v/>
      </c>
      <c r="F1200">
        <f>_xlfn.BITXOR(D1200,B1200)</f>
        <v/>
      </c>
      <c r="G1200">
        <f>IF(F1200=1,_xlfn.BITXOR(E1200,33800),E1200)</f>
        <v/>
      </c>
    </row>
    <row r="1201">
      <c r="A1201" t="n">
        <v>1195</v>
      </c>
      <c r="B1201">
        <f>_DestuffedBits!C1196</f>
        <v/>
      </c>
      <c r="C1201">
        <f>G1200</f>
        <v/>
      </c>
      <c r="D1201">
        <f>_xlfn.BITAND(C1201,1)</f>
        <v/>
      </c>
      <c r="E1201">
        <f>_xlfn.BITRSHIFT(C1201,1)</f>
        <v/>
      </c>
      <c r="F1201">
        <f>_xlfn.BITXOR(D1201,B1201)</f>
        <v/>
      </c>
      <c r="G1201">
        <f>IF(F1201=1,_xlfn.BITXOR(E1201,33800),E1201)</f>
        <v/>
      </c>
    </row>
    <row r="1202">
      <c r="A1202" t="n">
        <v>1196</v>
      </c>
      <c r="B1202">
        <f>_DestuffedBits!C1197</f>
        <v/>
      </c>
      <c r="C1202">
        <f>G1201</f>
        <v/>
      </c>
      <c r="D1202">
        <f>_xlfn.BITAND(C1202,1)</f>
        <v/>
      </c>
      <c r="E1202">
        <f>_xlfn.BITRSHIFT(C1202,1)</f>
        <v/>
      </c>
      <c r="F1202">
        <f>_xlfn.BITXOR(D1202,B1202)</f>
        <v/>
      </c>
      <c r="G1202">
        <f>IF(F1202=1,_xlfn.BITXOR(E1202,33800),E1202)</f>
        <v/>
      </c>
    </row>
    <row r="1203">
      <c r="A1203" t="n">
        <v>1197</v>
      </c>
      <c r="B1203">
        <f>_DestuffedBits!C1198</f>
        <v/>
      </c>
      <c r="C1203">
        <f>G1202</f>
        <v/>
      </c>
      <c r="D1203">
        <f>_xlfn.BITAND(C1203,1)</f>
        <v/>
      </c>
      <c r="E1203">
        <f>_xlfn.BITRSHIFT(C1203,1)</f>
        <v/>
      </c>
      <c r="F1203">
        <f>_xlfn.BITXOR(D1203,B1203)</f>
        <v/>
      </c>
      <c r="G1203">
        <f>IF(F1203=1,_xlfn.BITXOR(E1203,33800),E1203)</f>
        <v/>
      </c>
    </row>
    <row r="1204">
      <c r="A1204" t="n">
        <v>1198</v>
      </c>
      <c r="B1204">
        <f>_DestuffedBits!C1199</f>
        <v/>
      </c>
      <c r="C1204">
        <f>G1203</f>
        <v/>
      </c>
      <c r="D1204">
        <f>_xlfn.BITAND(C1204,1)</f>
        <v/>
      </c>
      <c r="E1204">
        <f>_xlfn.BITRSHIFT(C1204,1)</f>
        <v/>
      </c>
      <c r="F1204">
        <f>_xlfn.BITXOR(D1204,B1204)</f>
        <v/>
      </c>
      <c r="G1204">
        <f>IF(F1204=1,_xlfn.BITXOR(E1204,33800),E1204)</f>
        <v/>
      </c>
    </row>
    <row r="1205">
      <c r="A1205" t="n">
        <v>1199</v>
      </c>
      <c r="B1205">
        <f>_DestuffedBits!C1200</f>
        <v/>
      </c>
      <c r="C1205">
        <f>G1204</f>
        <v/>
      </c>
      <c r="D1205">
        <f>_xlfn.BITAND(C1205,1)</f>
        <v/>
      </c>
      <c r="E1205">
        <f>_xlfn.BITRSHIFT(C1205,1)</f>
        <v/>
      </c>
      <c r="F1205">
        <f>_xlfn.BITXOR(D1205,B1205)</f>
        <v/>
      </c>
      <c r="G1205">
        <f>IF(F1205=1,_xlfn.BITXOR(E1205,33800),E1205)</f>
        <v/>
      </c>
    </row>
    <row r="1206">
      <c r="A1206" t="n">
        <v>1200</v>
      </c>
      <c r="B1206">
        <f>_DestuffedBits!C1201</f>
        <v/>
      </c>
      <c r="C1206">
        <f>G1205</f>
        <v/>
      </c>
      <c r="D1206">
        <f>_xlfn.BITAND(C1206,1)</f>
        <v/>
      </c>
      <c r="E1206">
        <f>_xlfn.BITRSHIFT(C1206,1)</f>
        <v/>
      </c>
      <c r="F1206">
        <f>_xlfn.BITXOR(D1206,B1206)</f>
        <v/>
      </c>
      <c r="G1206">
        <f>IF(F1206=1,_xlfn.BITXOR(E1206,33800),E1206)</f>
        <v/>
      </c>
    </row>
    <row r="1207">
      <c r="A1207" t="n">
        <v>1201</v>
      </c>
      <c r="B1207">
        <f>_DestuffedBits!C1202</f>
        <v/>
      </c>
      <c r="C1207">
        <f>G1206</f>
        <v/>
      </c>
      <c r="D1207">
        <f>_xlfn.BITAND(C1207,1)</f>
        <v/>
      </c>
      <c r="E1207">
        <f>_xlfn.BITRSHIFT(C1207,1)</f>
        <v/>
      </c>
      <c r="F1207">
        <f>_xlfn.BITXOR(D1207,B1207)</f>
        <v/>
      </c>
      <c r="G1207">
        <f>IF(F1207=1,_xlfn.BITXOR(E1207,33800),E1207)</f>
        <v/>
      </c>
    </row>
    <row r="1208">
      <c r="A1208" t="n">
        <v>1202</v>
      </c>
      <c r="B1208">
        <f>_DestuffedBits!C1203</f>
        <v/>
      </c>
      <c r="C1208">
        <f>G1207</f>
        <v/>
      </c>
      <c r="D1208">
        <f>_xlfn.BITAND(C1208,1)</f>
        <v/>
      </c>
      <c r="E1208">
        <f>_xlfn.BITRSHIFT(C1208,1)</f>
        <v/>
      </c>
      <c r="F1208">
        <f>_xlfn.BITXOR(D1208,B1208)</f>
        <v/>
      </c>
      <c r="G1208">
        <f>IF(F1208=1,_xlfn.BITXOR(E1208,33800),E1208)</f>
        <v/>
      </c>
    </row>
    <row r="1209">
      <c r="A1209" t="n">
        <v>1203</v>
      </c>
      <c r="B1209">
        <f>_DestuffedBits!C1204</f>
        <v/>
      </c>
      <c r="C1209">
        <f>G1208</f>
        <v/>
      </c>
      <c r="D1209">
        <f>_xlfn.BITAND(C1209,1)</f>
        <v/>
      </c>
      <c r="E1209">
        <f>_xlfn.BITRSHIFT(C1209,1)</f>
        <v/>
      </c>
      <c r="F1209">
        <f>_xlfn.BITXOR(D1209,B1209)</f>
        <v/>
      </c>
      <c r="G1209">
        <f>IF(F1209=1,_xlfn.BITXOR(E1209,33800),E1209)</f>
        <v/>
      </c>
    </row>
    <row r="1210">
      <c r="A1210" t="n">
        <v>1204</v>
      </c>
      <c r="B1210">
        <f>_DestuffedBits!C1205</f>
        <v/>
      </c>
      <c r="C1210">
        <f>G1209</f>
        <v/>
      </c>
      <c r="D1210">
        <f>_xlfn.BITAND(C1210,1)</f>
        <v/>
      </c>
      <c r="E1210">
        <f>_xlfn.BITRSHIFT(C1210,1)</f>
        <v/>
      </c>
      <c r="F1210">
        <f>_xlfn.BITXOR(D1210,B1210)</f>
        <v/>
      </c>
      <c r="G1210">
        <f>IF(F1210=1,_xlfn.BITXOR(E1210,33800),E1210)</f>
        <v/>
      </c>
    </row>
    <row r="1211">
      <c r="A1211" t="n">
        <v>1205</v>
      </c>
      <c r="B1211">
        <f>_DestuffedBits!C1206</f>
        <v/>
      </c>
      <c r="C1211">
        <f>G1210</f>
        <v/>
      </c>
      <c r="D1211">
        <f>_xlfn.BITAND(C1211,1)</f>
        <v/>
      </c>
      <c r="E1211">
        <f>_xlfn.BITRSHIFT(C1211,1)</f>
        <v/>
      </c>
      <c r="F1211">
        <f>_xlfn.BITXOR(D1211,B1211)</f>
        <v/>
      </c>
      <c r="G1211">
        <f>IF(F1211=1,_xlfn.BITXOR(E1211,33800),E1211)</f>
        <v/>
      </c>
    </row>
    <row r="1212">
      <c r="A1212" t="n">
        <v>1206</v>
      </c>
      <c r="B1212">
        <f>_DestuffedBits!C1207</f>
        <v/>
      </c>
      <c r="C1212">
        <f>G1211</f>
        <v/>
      </c>
      <c r="D1212">
        <f>_xlfn.BITAND(C1212,1)</f>
        <v/>
      </c>
      <c r="E1212">
        <f>_xlfn.BITRSHIFT(C1212,1)</f>
        <v/>
      </c>
      <c r="F1212">
        <f>_xlfn.BITXOR(D1212,B1212)</f>
        <v/>
      </c>
      <c r="G1212">
        <f>IF(F1212=1,_xlfn.BITXOR(E1212,33800),E1212)</f>
        <v/>
      </c>
    </row>
    <row r="1213">
      <c r="A1213" t="n">
        <v>1207</v>
      </c>
      <c r="B1213">
        <f>_DestuffedBits!C1208</f>
        <v/>
      </c>
      <c r="C1213">
        <f>G1212</f>
        <v/>
      </c>
      <c r="D1213">
        <f>_xlfn.BITAND(C1213,1)</f>
        <v/>
      </c>
      <c r="E1213">
        <f>_xlfn.BITRSHIFT(C1213,1)</f>
        <v/>
      </c>
      <c r="F1213">
        <f>_xlfn.BITXOR(D1213,B1213)</f>
        <v/>
      </c>
      <c r="G1213">
        <f>IF(F1213=1,_xlfn.BITXOR(E1213,33800),E1213)</f>
        <v/>
      </c>
    </row>
    <row r="1214">
      <c r="A1214" t="n">
        <v>1208</v>
      </c>
      <c r="B1214">
        <f>_DestuffedBits!C1209</f>
        <v/>
      </c>
      <c r="C1214">
        <f>G1213</f>
        <v/>
      </c>
      <c r="D1214">
        <f>_xlfn.BITAND(C1214,1)</f>
        <v/>
      </c>
      <c r="E1214">
        <f>_xlfn.BITRSHIFT(C1214,1)</f>
        <v/>
      </c>
      <c r="F1214">
        <f>_xlfn.BITXOR(D1214,B1214)</f>
        <v/>
      </c>
      <c r="G1214">
        <f>IF(F1214=1,_xlfn.BITXOR(E1214,33800),E1214)</f>
        <v/>
      </c>
    </row>
    <row r="1215">
      <c r="A1215" t="n">
        <v>1209</v>
      </c>
      <c r="B1215">
        <f>_DestuffedBits!C1210</f>
        <v/>
      </c>
      <c r="C1215">
        <f>G1214</f>
        <v/>
      </c>
      <c r="D1215">
        <f>_xlfn.BITAND(C1215,1)</f>
        <v/>
      </c>
      <c r="E1215">
        <f>_xlfn.BITRSHIFT(C1215,1)</f>
        <v/>
      </c>
      <c r="F1215">
        <f>_xlfn.BITXOR(D1215,B1215)</f>
        <v/>
      </c>
      <c r="G1215">
        <f>IF(F1215=1,_xlfn.BITXOR(E1215,33800),E1215)</f>
        <v/>
      </c>
    </row>
    <row r="1216">
      <c r="A1216" t="n">
        <v>1210</v>
      </c>
      <c r="B1216">
        <f>_DestuffedBits!C1211</f>
        <v/>
      </c>
      <c r="C1216">
        <f>G1215</f>
        <v/>
      </c>
      <c r="D1216">
        <f>_xlfn.BITAND(C1216,1)</f>
        <v/>
      </c>
      <c r="E1216">
        <f>_xlfn.BITRSHIFT(C1216,1)</f>
        <v/>
      </c>
      <c r="F1216">
        <f>_xlfn.BITXOR(D1216,B1216)</f>
        <v/>
      </c>
      <c r="G1216">
        <f>IF(F1216=1,_xlfn.BITXOR(E1216,33800),E1216)</f>
        <v/>
      </c>
    </row>
    <row r="1217">
      <c r="A1217" t="n">
        <v>1211</v>
      </c>
      <c r="B1217">
        <f>_DestuffedBits!C1212</f>
        <v/>
      </c>
      <c r="C1217">
        <f>G1216</f>
        <v/>
      </c>
      <c r="D1217">
        <f>_xlfn.BITAND(C1217,1)</f>
        <v/>
      </c>
      <c r="E1217">
        <f>_xlfn.BITRSHIFT(C1217,1)</f>
        <v/>
      </c>
      <c r="F1217">
        <f>_xlfn.BITXOR(D1217,B1217)</f>
        <v/>
      </c>
      <c r="G1217">
        <f>IF(F1217=1,_xlfn.BITXOR(E1217,33800),E1217)</f>
        <v/>
      </c>
    </row>
    <row r="1218">
      <c r="A1218" t="n">
        <v>1212</v>
      </c>
      <c r="B1218">
        <f>_DestuffedBits!C1213</f>
        <v/>
      </c>
      <c r="C1218">
        <f>G1217</f>
        <v/>
      </c>
      <c r="D1218">
        <f>_xlfn.BITAND(C1218,1)</f>
        <v/>
      </c>
      <c r="E1218">
        <f>_xlfn.BITRSHIFT(C1218,1)</f>
        <v/>
      </c>
      <c r="F1218">
        <f>_xlfn.BITXOR(D1218,B1218)</f>
        <v/>
      </c>
      <c r="G1218">
        <f>IF(F1218=1,_xlfn.BITXOR(E1218,33800),E1218)</f>
        <v/>
      </c>
    </row>
    <row r="1219">
      <c r="A1219" t="n">
        <v>1213</v>
      </c>
      <c r="B1219">
        <f>_DestuffedBits!C1214</f>
        <v/>
      </c>
      <c r="C1219">
        <f>G1218</f>
        <v/>
      </c>
      <c r="D1219">
        <f>_xlfn.BITAND(C1219,1)</f>
        <v/>
      </c>
      <c r="E1219">
        <f>_xlfn.BITRSHIFT(C1219,1)</f>
        <v/>
      </c>
      <c r="F1219">
        <f>_xlfn.BITXOR(D1219,B1219)</f>
        <v/>
      </c>
      <c r="G1219">
        <f>IF(F1219=1,_xlfn.BITXOR(E1219,33800),E1219)</f>
        <v/>
      </c>
    </row>
    <row r="1220">
      <c r="A1220" t="n">
        <v>1214</v>
      </c>
      <c r="B1220">
        <f>_DestuffedBits!C1215</f>
        <v/>
      </c>
      <c r="C1220">
        <f>G1219</f>
        <v/>
      </c>
      <c r="D1220">
        <f>_xlfn.BITAND(C1220,1)</f>
        <v/>
      </c>
      <c r="E1220">
        <f>_xlfn.BITRSHIFT(C1220,1)</f>
        <v/>
      </c>
      <c r="F1220">
        <f>_xlfn.BITXOR(D1220,B1220)</f>
        <v/>
      </c>
      <c r="G1220">
        <f>IF(F1220=1,_xlfn.BITXOR(E1220,33800),E1220)</f>
        <v/>
      </c>
    </row>
    <row r="1221">
      <c r="A1221" t="n">
        <v>1215</v>
      </c>
      <c r="B1221">
        <f>_DestuffedBits!C1216</f>
        <v/>
      </c>
      <c r="C1221">
        <f>G1220</f>
        <v/>
      </c>
      <c r="D1221">
        <f>_xlfn.BITAND(C1221,1)</f>
        <v/>
      </c>
      <c r="E1221">
        <f>_xlfn.BITRSHIFT(C1221,1)</f>
        <v/>
      </c>
      <c r="F1221">
        <f>_xlfn.BITXOR(D1221,B1221)</f>
        <v/>
      </c>
      <c r="G1221">
        <f>IF(F1221=1,_xlfn.BITXOR(E1221,33800),E1221)</f>
        <v/>
      </c>
    </row>
    <row r="1222">
      <c r="A1222" t="n">
        <v>1216</v>
      </c>
      <c r="B1222">
        <f>_DestuffedBits!C1217</f>
        <v/>
      </c>
      <c r="C1222">
        <f>G1221</f>
        <v/>
      </c>
      <c r="D1222">
        <f>_xlfn.BITAND(C1222,1)</f>
        <v/>
      </c>
      <c r="E1222">
        <f>_xlfn.BITRSHIFT(C1222,1)</f>
        <v/>
      </c>
      <c r="F1222">
        <f>_xlfn.BITXOR(D1222,B1222)</f>
        <v/>
      </c>
      <c r="G1222">
        <f>IF(F1222=1,_xlfn.BITXOR(E1222,33800),E1222)</f>
        <v/>
      </c>
    </row>
    <row r="1223">
      <c r="A1223" t="n">
        <v>1217</v>
      </c>
      <c r="B1223">
        <f>_DestuffedBits!C1218</f>
        <v/>
      </c>
      <c r="C1223">
        <f>G1222</f>
        <v/>
      </c>
      <c r="D1223">
        <f>_xlfn.BITAND(C1223,1)</f>
        <v/>
      </c>
      <c r="E1223">
        <f>_xlfn.BITRSHIFT(C1223,1)</f>
        <v/>
      </c>
      <c r="F1223">
        <f>_xlfn.BITXOR(D1223,B1223)</f>
        <v/>
      </c>
      <c r="G1223">
        <f>IF(F1223=1,_xlfn.BITXOR(E1223,33800),E1223)</f>
        <v/>
      </c>
    </row>
    <row r="1224">
      <c r="A1224" t="n">
        <v>1218</v>
      </c>
      <c r="B1224">
        <f>_DestuffedBits!C1219</f>
        <v/>
      </c>
      <c r="C1224">
        <f>G1223</f>
        <v/>
      </c>
      <c r="D1224">
        <f>_xlfn.BITAND(C1224,1)</f>
        <v/>
      </c>
      <c r="E1224">
        <f>_xlfn.BITRSHIFT(C1224,1)</f>
        <v/>
      </c>
      <c r="F1224">
        <f>_xlfn.BITXOR(D1224,B1224)</f>
        <v/>
      </c>
      <c r="G1224">
        <f>IF(F1224=1,_xlfn.BITXOR(E1224,33800),E1224)</f>
        <v/>
      </c>
    </row>
    <row r="1225">
      <c r="A1225" t="n">
        <v>1219</v>
      </c>
      <c r="B1225">
        <f>_DestuffedBits!C1220</f>
        <v/>
      </c>
      <c r="C1225">
        <f>G1224</f>
        <v/>
      </c>
      <c r="D1225">
        <f>_xlfn.BITAND(C1225,1)</f>
        <v/>
      </c>
      <c r="E1225">
        <f>_xlfn.BITRSHIFT(C1225,1)</f>
        <v/>
      </c>
      <c r="F1225">
        <f>_xlfn.BITXOR(D1225,B1225)</f>
        <v/>
      </c>
      <c r="G1225">
        <f>IF(F1225=1,_xlfn.BITXOR(E1225,33800),E1225)</f>
        <v/>
      </c>
    </row>
    <row r="1226">
      <c r="A1226" t="n">
        <v>1220</v>
      </c>
      <c r="B1226">
        <f>_DestuffedBits!C1221</f>
        <v/>
      </c>
      <c r="C1226">
        <f>G1225</f>
        <v/>
      </c>
      <c r="D1226">
        <f>_xlfn.BITAND(C1226,1)</f>
        <v/>
      </c>
      <c r="E1226">
        <f>_xlfn.BITRSHIFT(C1226,1)</f>
        <v/>
      </c>
      <c r="F1226">
        <f>_xlfn.BITXOR(D1226,B1226)</f>
        <v/>
      </c>
      <c r="G1226">
        <f>IF(F1226=1,_xlfn.BITXOR(E1226,33800),E1226)</f>
        <v/>
      </c>
    </row>
    <row r="1227">
      <c r="A1227" t="n">
        <v>1221</v>
      </c>
      <c r="B1227">
        <f>_DestuffedBits!C1222</f>
        <v/>
      </c>
      <c r="C1227">
        <f>G1226</f>
        <v/>
      </c>
      <c r="D1227">
        <f>_xlfn.BITAND(C1227,1)</f>
        <v/>
      </c>
      <c r="E1227">
        <f>_xlfn.BITRSHIFT(C1227,1)</f>
        <v/>
      </c>
      <c r="F1227">
        <f>_xlfn.BITXOR(D1227,B1227)</f>
        <v/>
      </c>
      <c r="G1227">
        <f>IF(F1227=1,_xlfn.BITXOR(E1227,33800),E1227)</f>
        <v/>
      </c>
    </row>
    <row r="1228">
      <c r="A1228" t="n">
        <v>1222</v>
      </c>
      <c r="B1228">
        <f>_DestuffedBits!C1223</f>
        <v/>
      </c>
      <c r="C1228">
        <f>G1227</f>
        <v/>
      </c>
      <c r="D1228">
        <f>_xlfn.BITAND(C1228,1)</f>
        <v/>
      </c>
      <c r="E1228">
        <f>_xlfn.BITRSHIFT(C1228,1)</f>
        <v/>
      </c>
      <c r="F1228">
        <f>_xlfn.BITXOR(D1228,B1228)</f>
        <v/>
      </c>
      <c r="G1228">
        <f>IF(F1228=1,_xlfn.BITXOR(E1228,33800),E1228)</f>
        <v/>
      </c>
    </row>
    <row r="1229">
      <c r="A1229" t="n">
        <v>1223</v>
      </c>
      <c r="B1229">
        <f>_DestuffedBits!C1224</f>
        <v/>
      </c>
      <c r="C1229">
        <f>G1228</f>
        <v/>
      </c>
      <c r="D1229">
        <f>_xlfn.BITAND(C1229,1)</f>
        <v/>
      </c>
      <c r="E1229">
        <f>_xlfn.BITRSHIFT(C1229,1)</f>
        <v/>
      </c>
      <c r="F1229">
        <f>_xlfn.BITXOR(D1229,B1229)</f>
        <v/>
      </c>
      <c r="G1229">
        <f>IF(F1229=1,_xlfn.BITXOR(E1229,33800),E1229)</f>
        <v/>
      </c>
    </row>
    <row r="1230">
      <c r="A1230" t="n">
        <v>1224</v>
      </c>
      <c r="B1230">
        <f>_DestuffedBits!C1225</f>
        <v/>
      </c>
      <c r="C1230">
        <f>G1229</f>
        <v/>
      </c>
      <c r="D1230">
        <f>_xlfn.BITAND(C1230,1)</f>
        <v/>
      </c>
      <c r="E1230">
        <f>_xlfn.BITRSHIFT(C1230,1)</f>
        <v/>
      </c>
      <c r="F1230">
        <f>_xlfn.BITXOR(D1230,B1230)</f>
        <v/>
      </c>
      <c r="G1230">
        <f>IF(F1230=1,_xlfn.BITXOR(E1230,33800),E1230)</f>
        <v/>
      </c>
    </row>
    <row r="1231">
      <c r="A1231" t="n">
        <v>1225</v>
      </c>
      <c r="B1231">
        <f>_DestuffedBits!C1226</f>
        <v/>
      </c>
      <c r="C1231">
        <f>G1230</f>
        <v/>
      </c>
      <c r="D1231">
        <f>_xlfn.BITAND(C1231,1)</f>
        <v/>
      </c>
      <c r="E1231">
        <f>_xlfn.BITRSHIFT(C1231,1)</f>
        <v/>
      </c>
      <c r="F1231">
        <f>_xlfn.BITXOR(D1231,B1231)</f>
        <v/>
      </c>
      <c r="G1231">
        <f>IF(F1231=1,_xlfn.BITXOR(E1231,33800),E1231)</f>
        <v/>
      </c>
    </row>
    <row r="1232">
      <c r="A1232" t="n">
        <v>1226</v>
      </c>
      <c r="B1232">
        <f>_DestuffedBits!C1227</f>
        <v/>
      </c>
      <c r="C1232">
        <f>G1231</f>
        <v/>
      </c>
      <c r="D1232">
        <f>_xlfn.BITAND(C1232,1)</f>
        <v/>
      </c>
      <c r="E1232">
        <f>_xlfn.BITRSHIFT(C1232,1)</f>
        <v/>
      </c>
      <c r="F1232">
        <f>_xlfn.BITXOR(D1232,B1232)</f>
        <v/>
      </c>
      <c r="G1232">
        <f>IF(F1232=1,_xlfn.BITXOR(E1232,33800),E1232)</f>
        <v/>
      </c>
    </row>
    <row r="1233">
      <c r="A1233" t="n">
        <v>1227</v>
      </c>
      <c r="B1233">
        <f>_DestuffedBits!C1228</f>
        <v/>
      </c>
      <c r="C1233">
        <f>G1232</f>
        <v/>
      </c>
      <c r="D1233">
        <f>_xlfn.BITAND(C1233,1)</f>
        <v/>
      </c>
      <c r="E1233">
        <f>_xlfn.BITRSHIFT(C1233,1)</f>
        <v/>
      </c>
      <c r="F1233">
        <f>_xlfn.BITXOR(D1233,B1233)</f>
        <v/>
      </c>
      <c r="G1233">
        <f>IF(F1233=1,_xlfn.BITXOR(E1233,33800),E1233)</f>
        <v/>
      </c>
    </row>
    <row r="1234">
      <c r="A1234" t="n">
        <v>1228</v>
      </c>
      <c r="B1234">
        <f>_DestuffedBits!C1229</f>
        <v/>
      </c>
      <c r="C1234">
        <f>G1233</f>
        <v/>
      </c>
      <c r="D1234">
        <f>_xlfn.BITAND(C1234,1)</f>
        <v/>
      </c>
      <c r="E1234">
        <f>_xlfn.BITRSHIFT(C1234,1)</f>
        <v/>
      </c>
      <c r="F1234">
        <f>_xlfn.BITXOR(D1234,B1234)</f>
        <v/>
      </c>
      <c r="G1234">
        <f>IF(F1234=1,_xlfn.BITXOR(E1234,33800),E1234)</f>
        <v/>
      </c>
    </row>
    <row r="1235">
      <c r="A1235" t="n">
        <v>1229</v>
      </c>
      <c r="B1235">
        <f>_DestuffedBits!C1230</f>
        <v/>
      </c>
      <c r="C1235">
        <f>G1234</f>
        <v/>
      </c>
      <c r="D1235">
        <f>_xlfn.BITAND(C1235,1)</f>
        <v/>
      </c>
      <c r="E1235">
        <f>_xlfn.BITRSHIFT(C1235,1)</f>
        <v/>
      </c>
      <c r="F1235">
        <f>_xlfn.BITXOR(D1235,B1235)</f>
        <v/>
      </c>
      <c r="G1235">
        <f>IF(F1235=1,_xlfn.BITXOR(E1235,33800),E1235)</f>
        <v/>
      </c>
    </row>
    <row r="1236">
      <c r="A1236" t="n">
        <v>1230</v>
      </c>
      <c r="B1236">
        <f>_DestuffedBits!C1231</f>
        <v/>
      </c>
      <c r="C1236">
        <f>G1235</f>
        <v/>
      </c>
      <c r="D1236">
        <f>_xlfn.BITAND(C1236,1)</f>
        <v/>
      </c>
      <c r="E1236">
        <f>_xlfn.BITRSHIFT(C1236,1)</f>
        <v/>
      </c>
      <c r="F1236">
        <f>_xlfn.BITXOR(D1236,B1236)</f>
        <v/>
      </c>
      <c r="G1236">
        <f>IF(F1236=1,_xlfn.BITXOR(E1236,33800),E1236)</f>
        <v/>
      </c>
    </row>
    <row r="1237">
      <c r="A1237" t="n">
        <v>1231</v>
      </c>
      <c r="B1237">
        <f>_DestuffedBits!C1232</f>
        <v/>
      </c>
      <c r="C1237">
        <f>G1236</f>
        <v/>
      </c>
      <c r="D1237">
        <f>_xlfn.BITAND(C1237,1)</f>
        <v/>
      </c>
      <c r="E1237">
        <f>_xlfn.BITRSHIFT(C1237,1)</f>
        <v/>
      </c>
      <c r="F1237">
        <f>_xlfn.BITXOR(D1237,B1237)</f>
        <v/>
      </c>
      <c r="G1237">
        <f>IF(F1237=1,_xlfn.BITXOR(E1237,33800),E1237)</f>
        <v/>
      </c>
    </row>
    <row r="1238">
      <c r="A1238" t="n">
        <v>1232</v>
      </c>
      <c r="B1238">
        <f>_DestuffedBits!C1233</f>
        <v/>
      </c>
      <c r="C1238">
        <f>G1237</f>
        <v/>
      </c>
      <c r="D1238">
        <f>_xlfn.BITAND(C1238,1)</f>
        <v/>
      </c>
      <c r="E1238">
        <f>_xlfn.BITRSHIFT(C1238,1)</f>
        <v/>
      </c>
      <c r="F1238">
        <f>_xlfn.BITXOR(D1238,B1238)</f>
        <v/>
      </c>
      <c r="G1238">
        <f>IF(F1238=1,_xlfn.BITXOR(E1238,33800),E1238)</f>
        <v/>
      </c>
    </row>
    <row r="1239">
      <c r="A1239" t="n">
        <v>1233</v>
      </c>
      <c r="B1239">
        <f>_DestuffedBits!C1234</f>
        <v/>
      </c>
      <c r="C1239">
        <f>G1238</f>
        <v/>
      </c>
      <c r="D1239">
        <f>_xlfn.BITAND(C1239,1)</f>
        <v/>
      </c>
      <c r="E1239">
        <f>_xlfn.BITRSHIFT(C1239,1)</f>
        <v/>
      </c>
      <c r="F1239">
        <f>_xlfn.BITXOR(D1239,B1239)</f>
        <v/>
      </c>
      <c r="G1239">
        <f>IF(F1239=1,_xlfn.BITXOR(E1239,33800),E1239)</f>
        <v/>
      </c>
    </row>
    <row r="1240">
      <c r="A1240" t="n">
        <v>1234</v>
      </c>
      <c r="B1240">
        <f>_DestuffedBits!C1235</f>
        <v/>
      </c>
      <c r="C1240">
        <f>G1239</f>
        <v/>
      </c>
      <c r="D1240">
        <f>_xlfn.BITAND(C1240,1)</f>
        <v/>
      </c>
      <c r="E1240">
        <f>_xlfn.BITRSHIFT(C1240,1)</f>
        <v/>
      </c>
      <c r="F1240">
        <f>_xlfn.BITXOR(D1240,B1240)</f>
        <v/>
      </c>
      <c r="G1240">
        <f>IF(F1240=1,_xlfn.BITXOR(E1240,33800),E1240)</f>
        <v/>
      </c>
    </row>
    <row r="1241">
      <c r="A1241" t="n">
        <v>1235</v>
      </c>
      <c r="B1241">
        <f>_DestuffedBits!C1236</f>
        <v/>
      </c>
      <c r="C1241">
        <f>G1240</f>
        <v/>
      </c>
      <c r="D1241">
        <f>_xlfn.BITAND(C1241,1)</f>
        <v/>
      </c>
      <c r="E1241">
        <f>_xlfn.BITRSHIFT(C1241,1)</f>
        <v/>
      </c>
      <c r="F1241">
        <f>_xlfn.BITXOR(D1241,B1241)</f>
        <v/>
      </c>
      <c r="G1241">
        <f>IF(F1241=1,_xlfn.BITXOR(E1241,33800),E1241)</f>
        <v/>
      </c>
    </row>
    <row r="1242">
      <c r="A1242" t="n">
        <v>1236</v>
      </c>
      <c r="B1242">
        <f>_DestuffedBits!C1237</f>
        <v/>
      </c>
      <c r="C1242">
        <f>G1241</f>
        <v/>
      </c>
      <c r="D1242">
        <f>_xlfn.BITAND(C1242,1)</f>
        <v/>
      </c>
      <c r="E1242">
        <f>_xlfn.BITRSHIFT(C1242,1)</f>
        <v/>
      </c>
      <c r="F1242">
        <f>_xlfn.BITXOR(D1242,B1242)</f>
        <v/>
      </c>
      <c r="G1242">
        <f>IF(F1242=1,_xlfn.BITXOR(E1242,33800),E1242)</f>
        <v/>
      </c>
    </row>
    <row r="1243">
      <c r="A1243" t="n">
        <v>1237</v>
      </c>
      <c r="B1243">
        <f>_DestuffedBits!C1238</f>
        <v/>
      </c>
      <c r="C1243">
        <f>G1242</f>
        <v/>
      </c>
      <c r="D1243">
        <f>_xlfn.BITAND(C1243,1)</f>
        <v/>
      </c>
      <c r="E1243">
        <f>_xlfn.BITRSHIFT(C1243,1)</f>
        <v/>
      </c>
      <c r="F1243">
        <f>_xlfn.BITXOR(D1243,B1243)</f>
        <v/>
      </c>
      <c r="G1243">
        <f>IF(F1243=1,_xlfn.BITXOR(E1243,33800),E1243)</f>
        <v/>
      </c>
    </row>
    <row r="1244">
      <c r="A1244" t="n">
        <v>1238</v>
      </c>
      <c r="B1244">
        <f>_DestuffedBits!C1239</f>
        <v/>
      </c>
      <c r="C1244">
        <f>G1243</f>
        <v/>
      </c>
      <c r="D1244">
        <f>_xlfn.BITAND(C1244,1)</f>
        <v/>
      </c>
      <c r="E1244">
        <f>_xlfn.BITRSHIFT(C1244,1)</f>
        <v/>
      </c>
      <c r="F1244">
        <f>_xlfn.BITXOR(D1244,B1244)</f>
        <v/>
      </c>
      <c r="G1244">
        <f>IF(F1244=1,_xlfn.BITXOR(E1244,33800),E1244)</f>
        <v/>
      </c>
    </row>
    <row r="1245">
      <c r="A1245" t="n">
        <v>1239</v>
      </c>
      <c r="B1245">
        <f>_DestuffedBits!C1240</f>
        <v/>
      </c>
      <c r="C1245">
        <f>G1244</f>
        <v/>
      </c>
      <c r="D1245">
        <f>_xlfn.BITAND(C1245,1)</f>
        <v/>
      </c>
      <c r="E1245">
        <f>_xlfn.BITRSHIFT(C1245,1)</f>
        <v/>
      </c>
      <c r="F1245">
        <f>_xlfn.BITXOR(D1245,B1245)</f>
        <v/>
      </c>
      <c r="G1245">
        <f>IF(F1245=1,_xlfn.BITXOR(E1245,33800),E1245)</f>
        <v/>
      </c>
    </row>
    <row r="1246">
      <c r="A1246" t="n">
        <v>1240</v>
      </c>
      <c r="B1246">
        <f>_DestuffedBits!C1241</f>
        <v/>
      </c>
      <c r="C1246">
        <f>G1245</f>
        <v/>
      </c>
      <c r="D1246">
        <f>_xlfn.BITAND(C1246,1)</f>
        <v/>
      </c>
      <c r="E1246">
        <f>_xlfn.BITRSHIFT(C1246,1)</f>
        <v/>
      </c>
      <c r="F1246">
        <f>_xlfn.BITXOR(D1246,B1246)</f>
        <v/>
      </c>
      <c r="G1246">
        <f>IF(F1246=1,_xlfn.BITXOR(E1246,33800),E1246)</f>
        <v/>
      </c>
    </row>
    <row r="1247">
      <c r="A1247" t="n">
        <v>1241</v>
      </c>
      <c r="B1247">
        <f>_DestuffedBits!C1242</f>
        <v/>
      </c>
      <c r="C1247">
        <f>G1246</f>
        <v/>
      </c>
      <c r="D1247">
        <f>_xlfn.BITAND(C1247,1)</f>
        <v/>
      </c>
      <c r="E1247">
        <f>_xlfn.BITRSHIFT(C1247,1)</f>
        <v/>
      </c>
      <c r="F1247">
        <f>_xlfn.BITXOR(D1247,B1247)</f>
        <v/>
      </c>
      <c r="G1247">
        <f>IF(F1247=1,_xlfn.BITXOR(E1247,33800),E1247)</f>
        <v/>
      </c>
    </row>
    <row r="1248">
      <c r="A1248" t="n">
        <v>1242</v>
      </c>
      <c r="B1248">
        <f>_DestuffedBits!C1243</f>
        <v/>
      </c>
      <c r="C1248">
        <f>G1247</f>
        <v/>
      </c>
      <c r="D1248">
        <f>_xlfn.BITAND(C1248,1)</f>
        <v/>
      </c>
      <c r="E1248">
        <f>_xlfn.BITRSHIFT(C1248,1)</f>
        <v/>
      </c>
      <c r="F1248">
        <f>_xlfn.BITXOR(D1248,B1248)</f>
        <v/>
      </c>
      <c r="G1248">
        <f>IF(F1248=1,_xlfn.BITXOR(E1248,33800),E1248)</f>
        <v/>
      </c>
    </row>
    <row r="1249">
      <c r="A1249" t="n">
        <v>1243</v>
      </c>
      <c r="B1249">
        <f>_DestuffedBits!C1244</f>
        <v/>
      </c>
      <c r="C1249">
        <f>G1248</f>
        <v/>
      </c>
      <c r="D1249">
        <f>_xlfn.BITAND(C1249,1)</f>
        <v/>
      </c>
      <c r="E1249">
        <f>_xlfn.BITRSHIFT(C1249,1)</f>
        <v/>
      </c>
      <c r="F1249">
        <f>_xlfn.BITXOR(D1249,B1249)</f>
        <v/>
      </c>
      <c r="G1249">
        <f>IF(F1249=1,_xlfn.BITXOR(E1249,33800),E1249)</f>
        <v/>
      </c>
    </row>
    <row r="1250">
      <c r="A1250" t="n">
        <v>1244</v>
      </c>
      <c r="B1250">
        <f>_DestuffedBits!C1245</f>
        <v/>
      </c>
      <c r="C1250">
        <f>G1249</f>
        <v/>
      </c>
      <c r="D1250">
        <f>_xlfn.BITAND(C1250,1)</f>
        <v/>
      </c>
      <c r="E1250">
        <f>_xlfn.BITRSHIFT(C1250,1)</f>
        <v/>
      </c>
      <c r="F1250">
        <f>_xlfn.BITXOR(D1250,B1250)</f>
        <v/>
      </c>
      <c r="G1250">
        <f>IF(F1250=1,_xlfn.BITXOR(E1250,33800),E1250)</f>
        <v/>
      </c>
    </row>
    <row r="1251">
      <c r="A1251" t="n">
        <v>1245</v>
      </c>
      <c r="B1251">
        <f>_DestuffedBits!C1246</f>
        <v/>
      </c>
      <c r="C1251">
        <f>G1250</f>
        <v/>
      </c>
      <c r="D1251">
        <f>_xlfn.BITAND(C1251,1)</f>
        <v/>
      </c>
      <c r="E1251">
        <f>_xlfn.BITRSHIFT(C1251,1)</f>
        <v/>
      </c>
      <c r="F1251">
        <f>_xlfn.BITXOR(D1251,B1251)</f>
        <v/>
      </c>
      <c r="G1251">
        <f>IF(F1251=1,_xlfn.BITXOR(E1251,33800),E1251)</f>
        <v/>
      </c>
    </row>
    <row r="1252">
      <c r="A1252" t="n">
        <v>1246</v>
      </c>
      <c r="B1252">
        <f>_DestuffedBits!C1247</f>
        <v/>
      </c>
      <c r="C1252">
        <f>G1251</f>
        <v/>
      </c>
      <c r="D1252">
        <f>_xlfn.BITAND(C1252,1)</f>
        <v/>
      </c>
      <c r="E1252">
        <f>_xlfn.BITRSHIFT(C1252,1)</f>
        <v/>
      </c>
      <c r="F1252">
        <f>_xlfn.BITXOR(D1252,B1252)</f>
        <v/>
      </c>
      <c r="G1252">
        <f>IF(F1252=1,_xlfn.BITXOR(E1252,33800),E1252)</f>
        <v/>
      </c>
    </row>
    <row r="1253">
      <c r="A1253" t="n">
        <v>1247</v>
      </c>
      <c r="B1253">
        <f>_DestuffedBits!C1248</f>
        <v/>
      </c>
      <c r="C1253">
        <f>G1252</f>
        <v/>
      </c>
      <c r="D1253">
        <f>_xlfn.BITAND(C1253,1)</f>
        <v/>
      </c>
      <c r="E1253">
        <f>_xlfn.BITRSHIFT(C1253,1)</f>
        <v/>
      </c>
      <c r="F1253">
        <f>_xlfn.BITXOR(D1253,B1253)</f>
        <v/>
      </c>
      <c r="G1253">
        <f>IF(F1253=1,_xlfn.BITXOR(E1253,33800),E1253)</f>
        <v/>
      </c>
    </row>
    <row r="1254">
      <c r="A1254" t="n">
        <v>1248</v>
      </c>
      <c r="B1254">
        <f>_DestuffedBits!C1249</f>
        <v/>
      </c>
      <c r="C1254">
        <f>G1253</f>
        <v/>
      </c>
      <c r="D1254">
        <f>_xlfn.BITAND(C1254,1)</f>
        <v/>
      </c>
      <c r="E1254">
        <f>_xlfn.BITRSHIFT(C1254,1)</f>
        <v/>
      </c>
      <c r="F1254">
        <f>_xlfn.BITXOR(D1254,B1254)</f>
        <v/>
      </c>
      <c r="G1254">
        <f>IF(F1254=1,_xlfn.BITXOR(E1254,33800),E1254)</f>
        <v/>
      </c>
    </row>
    <row r="1255">
      <c r="A1255" t="n">
        <v>1249</v>
      </c>
      <c r="B1255">
        <f>_DestuffedBits!C1250</f>
        <v/>
      </c>
      <c r="C1255">
        <f>G1254</f>
        <v/>
      </c>
      <c r="D1255">
        <f>_xlfn.BITAND(C1255,1)</f>
        <v/>
      </c>
      <c r="E1255">
        <f>_xlfn.BITRSHIFT(C1255,1)</f>
        <v/>
      </c>
      <c r="F1255">
        <f>_xlfn.BITXOR(D1255,B1255)</f>
        <v/>
      </c>
      <c r="G1255">
        <f>IF(F1255=1,_xlfn.BITXOR(E1255,33800),E1255)</f>
        <v/>
      </c>
    </row>
    <row r="1256">
      <c r="A1256" t="n">
        <v>1250</v>
      </c>
      <c r="B1256">
        <f>_DestuffedBits!C1251</f>
        <v/>
      </c>
      <c r="C1256">
        <f>G1255</f>
        <v/>
      </c>
      <c r="D1256">
        <f>_xlfn.BITAND(C1256,1)</f>
        <v/>
      </c>
      <c r="E1256">
        <f>_xlfn.BITRSHIFT(C1256,1)</f>
        <v/>
      </c>
      <c r="F1256">
        <f>_xlfn.BITXOR(D1256,B1256)</f>
        <v/>
      </c>
      <c r="G1256">
        <f>IF(F1256=1,_xlfn.BITXOR(E1256,33800),E1256)</f>
        <v/>
      </c>
    </row>
    <row r="1257">
      <c r="A1257" t="n">
        <v>1251</v>
      </c>
      <c r="B1257">
        <f>_DestuffedBits!C1252</f>
        <v/>
      </c>
      <c r="C1257">
        <f>G1256</f>
        <v/>
      </c>
      <c r="D1257">
        <f>_xlfn.BITAND(C1257,1)</f>
        <v/>
      </c>
      <c r="E1257">
        <f>_xlfn.BITRSHIFT(C1257,1)</f>
        <v/>
      </c>
      <c r="F1257">
        <f>_xlfn.BITXOR(D1257,B1257)</f>
        <v/>
      </c>
      <c r="G1257">
        <f>IF(F1257=1,_xlfn.BITXOR(E1257,33800),E1257)</f>
        <v/>
      </c>
    </row>
    <row r="1258">
      <c r="A1258" t="n">
        <v>1252</v>
      </c>
      <c r="B1258">
        <f>_DestuffedBits!C1253</f>
        <v/>
      </c>
      <c r="C1258">
        <f>G1257</f>
        <v/>
      </c>
      <c r="D1258">
        <f>_xlfn.BITAND(C1258,1)</f>
        <v/>
      </c>
      <c r="E1258">
        <f>_xlfn.BITRSHIFT(C1258,1)</f>
        <v/>
      </c>
      <c r="F1258">
        <f>_xlfn.BITXOR(D1258,B1258)</f>
        <v/>
      </c>
      <c r="G1258">
        <f>IF(F1258=1,_xlfn.BITXOR(E1258,33800),E1258)</f>
        <v/>
      </c>
    </row>
    <row r="1259">
      <c r="A1259" t="n">
        <v>1253</v>
      </c>
      <c r="B1259">
        <f>_DestuffedBits!C1254</f>
        <v/>
      </c>
      <c r="C1259">
        <f>G1258</f>
        <v/>
      </c>
      <c r="D1259">
        <f>_xlfn.BITAND(C1259,1)</f>
        <v/>
      </c>
      <c r="E1259">
        <f>_xlfn.BITRSHIFT(C1259,1)</f>
        <v/>
      </c>
      <c r="F1259">
        <f>_xlfn.BITXOR(D1259,B1259)</f>
        <v/>
      </c>
      <c r="G1259">
        <f>IF(F1259=1,_xlfn.BITXOR(E1259,33800),E1259)</f>
        <v/>
      </c>
    </row>
    <row r="1260">
      <c r="A1260" t="n">
        <v>1254</v>
      </c>
      <c r="B1260">
        <f>_DestuffedBits!C1255</f>
        <v/>
      </c>
      <c r="C1260">
        <f>G1259</f>
        <v/>
      </c>
      <c r="D1260">
        <f>_xlfn.BITAND(C1260,1)</f>
        <v/>
      </c>
      <c r="E1260">
        <f>_xlfn.BITRSHIFT(C1260,1)</f>
        <v/>
      </c>
      <c r="F1260">
        <f>_xlfn.BITXOR(D1260,B1260)</f>
        <v/>
      </c>
      <c r="G1260">
        <f>IF(F1260=1,_xlfn.BITXOR(E1260,33800),E1260)</f>
        <v/>
      </c>
    </row>
    <row r="1261">
      <c r="A1261" t="n">
        <v>1255</v>
      </c>
      <c r="B1261">
        <f>_DestuffedBits!C1256</f>
        <v/>
      </c>
      <c r="C1261">
        <f>G1260</f>
        <v/>
      </c>
      <c r="D1261">
        <f>_xlfn.BITAND(C1261,1)</f>
        <v/>
      </c>
      <c r="E1261">
        <f>_xlfn.BITRSHIFT(C1261,1)</f>
        <v/>
      </c>
      <c r="F1261">
        <f>_xlfn.BITXOR(D1261,B1261)</f>
        <v/>
      </c>
      <c r="G1261">
        <f>IF(F1261=1,_xlfn.BITXOR(E1261,33800),E1261)</f>
        <v/>
      </c>
    </row>
    <row r="1262">
      <c r="A1262" t="n">
        <v>1256</v>
      </c>
      <c r="B1262">
        <f>_DestuffedBits!C1257</f>
        <v/>
      </c>
      <c r="C1262">
        <f>G1261</f>
        <v/>
      </c>
      <c r="D1262">
        <f>_xlfn.BITAND(C1262,1)</f>
        <v/>
      </c>
      <c r="E1262">
        <f>_xlfn.BITRSHIFT(C1262,1)</f>
        <v/>
      </c>
      <c r="F1262">
        <f>_xlfn.BITXOR(D1262,B1262)</f>
        <v/>
      </c>
      <c r="G1262">
        <f>IF(F1262=1,_xlfn.BITXOR(E1262,33800),E1262)</f>
        <v/>
      </c>
    </row>
    <row r="1263">
      <c r="A1263" t="n">
        <v>1257</v>
      </c>
      <c r="B1263">
        <f>_DestuffedBits!C1258</f>
        <v/>
      </c>
      <c r="C1263">
        <f>G1262</f>
        <v/>
      </c>
      <c r="D1263">
        <f>_xlfn.BITAND(C1263,1)</f>
        <v/>
      </c>
      <c r="E1263">
        <f>_xlfn.BITRSHIFT(C1263,1)</f>
        <v/>
      </c>
      <c r="F1263">
        <f>_xlfn.BITXOR(D1263,B1263)</f>
        <v/>
      </c>
      <c r="G1263">
        <f>IF(F1263=1,_xlfn.BITXOR(E1263,33800),E1263)</f>
        <v/>
      </c>
    </row>
    <row r="1264">
      <c r="A1264" t="n">
        <v>1258</v>
      </c>
      <c r="B1264">
        <f>_DestuffedBits!C1259</f>
        <v/>
      </c>
      <c r="C1264">
        <f>G1263</f>
        <v/>
      </c>
      <c r="D1264">
        <f>_xlfn.BITAND(C1264,1)</f>
        <v/>
      </c>
      <c r="E1264">
        <f>_xlfn.BITRSHIFT(C1264,1)</f>
        <v/>
      </c>
      <c r="F1264">
        <f>_xlfn.BITXOR(D1264,B1264)</f>
        <v/>
      </c>
      <c r="G1264">
        <f>IF(F1264=1,_xlfn.BITXOR(E1264,33800),E1264)</f>
        <v/>
      </c>
    </row>
    <row r="1265">
      <c r="A1265" t="n">
        <v>1259</v>
      </c>
      <c r="B1265">
        <f>_DestuffedBits!C1260</f>
        <v/>
      </c>
      <c r="C1265">
        <f>G1264</f>
        <v/>
      </c>
      <c r="D1265">
        <f>_xlfn.BITAND(C1265,1)</f>
        <v/>
      </c>
      <c r="E1265">
        <f>_xlfn.BITRSHIFT(C1265,1)</f>
        <v/>
      </c>
      <c r="F1265">
        <f>_xlfn.BITXOR(D1265,B1265)</f>
        <v/>
      </c>
      <c r="G1265">
        <f>IF(F1265=1,_xlfn.BITXOR(E1265,33800),E1265)</f>
        <v/>
      </c>
    </row>
    <row r="1266">
      <c r="A1266" t="n">
        <v>1260</v>
      </c>
      <c r="B1266">
        <f>_DestuffedBits!C1261</f>
        <v/>
      </c>
      <c r="C1266">
        <f>G1265</f>
        <v/>
      </c>
      <c r="D1266">
        <f>_xlfn.BITAND(C1266,1)</f>
        <v/>
      </c>
      <c r="E1266">
        <f>_xlfn.BITRSHIFT(C1266,1)</f>
        <v/>
      </c>
      <c r="F1266">
        <f>_xlfn.BITXOR(D1266,B1266)</f>
        <v/>
      </c>
      <c r="G1266">
        <f>IF(F1266=1,_xlfn.BITXOR(E1266,33800),E1266)</f>
        <v/>
      </c>
    </row>
    <row r="1267">
      <c r="A1267" t="n">
        <v>1261</v>
      </c>
      <c r="B1267">
        <f>_DestuffedBits!C1262</f>
        <v/>
      </c>
      <c r="C1267">
        <f>G1266</f>
        <v/>
      </c>
      <c r="D1267">
        <f>_xlfn.BITAND(C1267,1)</f>
        <v/>
      </c>
      <c r="E1267">
        <f>_xlfn.BITRSHIFT(C1267,1)</f>
        <v/>
      </c>
      <c r="F1267">
        <f>_xlfn.BITXOR(D1267,B1267)</f>
        <v/>
      </c>
      <c r="G1267">
        <f>IF(F1267=1,_xlfn.BITXOR(E1267,33800),E1267)</f>
        <v/>
      </c>
    </row>
    <row r="1268">
      <c r="A1268" t="n">
        <v>1262</v>
      </c>
      <c r="B1268">
        <f>_DestuffedBits!C1263</f>
        <v/>
      </c>
      <c r="C1268">
        <f>G1267</f>
        <v/>
      </c>
      <c r="D1268">
        <f>_xlfn.BITAND(C1268,1)</f>
        <v/>
      </c>
      <c r="E1268">
        <f>_xlfn.BITRSHIFT(C1268,1)</f>
        <v/>
      </c>
      <c r="F1268">
        <f>_xlfn.BITXOR(D1268,B1268)</f>
        <v/>
      </c>
      <c r="G1268">
        <f>IF(F1268=1,_xlfn.BITXOR(E1268,33800),E1268)</f>
        <v/>
      </c>
    </row>
    <row r="1269">
      <c r="A1269" t="n">
        <v>1263</v>
      </c>
      <c r="B1269">
        <f>_DestuffedBits!C1264</f>
        <v/>
      </c>
      <c r="C1269">
        <f>G1268</f>
        <v/>
      </c>
      <c r="D1269">
        <f>_xlfn.BITAND(C1269,1)</f>
        <v/>
      </c>
      <c r="E1269">
        <f>_xlfn.BITRSHIFT(C1269,1)</f>
        <v/>
      </c>
      <c r="F1269">
        <f>_xlfn.BITXOR(D1269,B1269)</f>
        <v/>
      </c>
      <c r="G1269">
        <f>IF(F1269=1,_xlfn.BITXOR(E1269,33800),E1269)</f>
        <v/>
      </c>
    </row>
    <row r="1270">
      <c r="A1270" t="n">
        <v>1264</v>
      </c>
      <c r="B1270">
        <f>_DestuffedBits!C1265</f>
        <v/>
      </c>
      <c r="C1270">
        <f>G1269</f>
        <v/>
      </c>
      <c r="D1270">
        <f>_xlfn.BITAND(C1270,1)</f>
        <v/>
      </c>
      <c r="E1270">
        <f>_xlfn.BITRSHIFT(C1270,1)</f>
        <v/>
      </c>
      <c r="F1270">
        <f>_xlfn.BITXOR(D1270,B1270)</f>
        <v/>
      </c>
      <c r="G1270">
        <f>IF(F1270=1,_xlfn.BITXOR(E1270,33800),E1270)</f>
        <v/>
      </c>
    </row>
    <row r="1271">
      <c r="A1271" t="n">
        <v>1265</v>
      </c>
      <c r="B1271">
        <f>_DestuffedBits!C1266</f>
        <v/>
      </c>
      <c r="C1271">
        <f>G1270</f>
        <v/>
      </c>
      <c r="D1271">
        <f>_xlfn.BITAND(C1271,1)</f>
        <v/>
      </c>
      <c r="E1271">
        <f>_xlfn.BITRSHIFT(C1271,1)</f>
        <v/>
      </c>
      <c r="F1271">
        <f>_xlfn.BITXOR(D1271,B1271)</f>
        <v/>
      </c>
      <c r="G1271">
        <f>IF(F1271=1,_xlfn.BITXOR(E1271,33800),E1271)</f>
        <v/>
      </c>
    </row>
    <row r="1272">
      <c r="A1272" t="n">
        <v>1266</v>
      </c>
      <c r="B1272">
        <f>_DestuffedBits!C1267</f>
        <v/>
      </c>
      <c r="C1272">
        <f>G1271</f>
        <v/>
      </c>
      <c r="D1272">
        <f>_xlfn.BITAND(C1272,1)</f>
        <v/>
      </c>
      <c r="E1272">
        <f>_xlfn.BITRSHIFT(C1272,1)</f>
        <v/>
      </c>
      <c r="F1272">
        <f>_xlfn.BITXOR(D1272,B1272)</f>
        <v/>
      </c>
      <c r="G1272">
        <f>IF(F1272=1,_xlfn.BITXOR(E1272,33800),E1272)</f>
        <v/>
      </c>
    </row>
    <row r="1273">
      <c r="A1273" t="n">
        <v>1267</v>
      </c>
      <c r="B1273">
        <f>_DestuffedBits!C1268</f>
        <v/>
      </c>
      <c r="C1273">
        <f>G1272</f>
        <v/>
      </c>
      <c r="D1273">
        <f>_xlfn.BITAND(C1273,1)</f>
        <v/>
      </c>
      <c r="E1273">
        <f>_xlfn.BITRSHIFT(C1273,1)</f>
        <v/>
      </c>
      <c r="F1273">
        <f>_xlfn.BITXOR(D1273,B1273)</f>
        <v/>
      </c>
      <c r="G1273">
        <f>IF(F1273=1,_xlfn.BITXOR(E1273,33800),E1273)</f>
        <v/>
      </c>
    </row>
    <row r="1274">
      <c r="A1274" t="n">
        <v>1268</v>
      </c>
      <c r="B1274">
        <f>_DestuffedBits!C1269</f>
        <v/>
      </c>
      <c r="C1274">
        <f>G1273</f>
        <v/>
      </c>
      <c r="D1274">
        <f>_xlfn.BITAND(C1274,1)</f>
        <v/>
      </c>
      <c r="E1274">
        <f>_xlfn.BITRSHIFT(C1274,1)</f>
        <v/>
      </c>
      <c r="F1274">
        <f>_xlfn.BITXOR(D1274,B1274)</f>
        <v/>
      </c>
      <c r="G1274">
        <f>IF(F1274=1,_xlfn.BITXOR(E1274,33800),E1274)</f>
        <v/>
      </c>
    </row>
    <row r="1275">
      <c r="A1275" t="n">
        <v>1269</v>
      </c>
      <c r="B1275">
        <f>_DestuffedBits!C1270</f>
        <v/>
      </c>
      <c r="C1275">
        <f>G1274</f>
        <v/>
      </c>
      <c r="D1275">
        <f>_xlfn.BITAND(C1275,1)</f>
        <v/>
      </c>
      <c r="E1275">
        <f>_xlfn.BITRSHIFT(C1275,1)</f>
        <v/>
      </c>
      <c r="F1275">
        <f>_xlfn.BITXOR(D1275,B1275)</f>
        <v/>
      </c>
      <c r="G1275">
        <f>IF(F1275=1,_xlfn.BITXOR(E1275,33800),E1275)</f>
        <v/>
      </c>
    </row>
    <row r="1276">
      <c r="A1276" t="n">
        <v>1270</v>
      </c>
      <c r="B1276">
        <f>_DestuffedBits!C1271</f>
        <v/>
      </c>
      <c r="C1276">
        <f>G1275</f>
        <v/>
      </c>
      <c r="D1276">
        <f>_xlfn.BITAND(C1276,1)</f>
        <v/>
      </c>
      <c r="E1276">
        <f>_xlfn.BITRSHIFT(C1276,1)</f>
        <v/>
      </c>
      <c r="F1276">
        <f>_xlfn.BITXOR(D1276,B1276)</f>
        <v/>
      </c>
      <c r="G1276">
        <f>IF(F1276=1,_xlfn.BITXOR(E1276,33800),E1276)</f>
        <v/>
      </c>
    </row>
    <row r="1277">
      <c r="A1277" t="n">
        <v>1271</v>
      </c>
      <c r="B1277">
        <f>_DestuffedBits!C1272</f>
        <v/>
      </c>
      <c r="C1277">
        <f>G1276</f>
        <v/>
      </c>
      <c r="D1277">
        <f>_xlfn.BITAND(C1277,1)</f>
        <v/>
      </c>
      <c r="E1277">
        <f>_xlfn.BITRSHIFT(C1277,1)</f>
        <v/>
      </c>
      <c r="F1277">
        <f>_xlfn.BITXOR(D1277,B1277)</f>
        <v/>
      </c>
      <c r="G1277">
        <f>IF(F1277=1,_xlfn.BITXOR(E1277,33800),E1277)</f>
        <v/>
      </c>
    </row>
    <row r="1278">
      <c r="A1278" t="n">
        <v>1272</v>
      </c>
      <c r="B1278">
        <f>_DestuffedBits!C1273</f>
        <v/>
      </c>
      <c r="C1278">
        <f>G1277</f>
        <v/>
      </c>
      <c r="D1278">
        <f>_xlfn.BITAND(C1278,1)</f>
        <v/>
      </c>
      <c r="E1278">
        <f>_xlfn.BITRSHIFT(C1278,1)</f>
        <v/>
      </c>
      <c r="F1278">
        <f>_xlfn.BITXOR(D1278,B1278)</f>
        <v/>
      </c>
      <c r="G1278">
        <f>IF(F1278=1,_xlfn.BITXOR(E1278,33800),E1278)</f>
        <v/>
      </c>
    </row>
    <row r="1279">
      <c r="A1279" t="n">
        <v>1273</v>
      </c>
      <c r="B1279">
        <f>_DestuffedBits!C1274</f>
        <v/>
      </c>
      <c r="C1279">
        <f>G1278</f>
        <v/>
      </c>
      <c r="D1279">
        <f>_xlfn.BITAND(C1279,1)</f>
        <v/>
      </c>
      <c r="E1279">
        <f>_xlfn.BITRSHIFT(C1279,1)</f>
        <v/>
      </c>
      <c r="F1279">
        <f>_xlfn.BITXOR(D1279,B1279)</f>
        <v/>
      </c>
      <c r="G1279">
        <f>IF(F1279=1,_xlfn.BITXOR(E1279,33800),E1279)</f>
        <v/>
      </c>
    </row>
    <row r="1280">
      <c r="A1280" t="n">
        <v>1274</v>
      </c>
      <c r="B1280">
        <f>_DestuffedBits!C1275</f>
        <v/>
      </c>
      <c r="C1280">
        <f>G1279</f>
        <v/>
      </c>
      <c r="D1280">
        <f>_xlfn.BITAND(C1280,1)</f>
        <v/>
      </c>
      <c r="E1280">
        <f>_xlfn.BITRSHIFT(C1280,1)</f>
        <v/>
      </c>
      <c r="F1280">
        <f>_xlfn.BITXOR(D1280,B1280)</f>
        <v/>
      </c>
      <c r="G1280">
        <f>IF(F1280=1,_xlfn.BITXOR(E1280,33800),E1280)</f>
        <v/>
      </c>
    </row>
    <row r="1281">
      <c r="A1281" t="n">
        <v>1275</v>
      </c>
      <c r="B1281">
        <f>_DestuffedBits!C1276</f>
        <v/>
      </c>
      <c r="C1281">
        <f>G1280</f>
        <v/>
      </c>
      <c r="D1281">
        <f>_xlfn.BITAND(C1281,1)</f>
        <v/>
      </c>
      <c r="E1281">
        <f>_xlfn.BITRSHIFT(C1281,1)</f>
        <v/>
      </c>
      <c r="F1281">
        <f>_xlfn.BITXOR(D1281,B1281)</f>
        <v/>
      </c>
      <c r="G1281">
        <f>IF(F1281=1,_xlfn.BITXOR(E1281,33800),E1281)</f>
        <v/>
      </c>
    </row>
    <row r="1282">
      <c r="A1282" t="n">
        <v>1276</v>
      </c>
      <c r="B1282">
        <f>_DestuffedBits!C1277</f>
        <v/>
      </c>
      <c r="C1282">
        <f>G1281</f>
        <v/>
      </c>
      <c r="D1282">
        <f>_xlfn.BITAND(C1282,1)</f>
        <v/>
      </c>
      <c r="E1282">
        <f>_xlfn.BITRSHIFT(C1282,1)</f>
        <v/>
      </c>
      <c r="F1282">
        <f>_xlfn.BITXOR(D1282,B1282)</f>
        <v/>
      </c>
      <c r="G1282">
        <f>IF(F1282=1,_xlfn.BITXOR(E1282,33800),E1282)</f>
        <v/>
      </c>
    </row>
    <row r="1283">
      <c r="A1283" t="n">
        <v>1277</v>
      </c>
      <c r="B1283">
        <f>_DestuffedBits!C1278</f>
        <v/>
      </c>
      <c r="C1283">
        <f>G1282</f>
        <v/>
      </c>
      <c r="D1283">
        <f>_xlfn.BITAND(C1283,1)</f>
        <v/>
      </c>
      <c r="E1283">
        <f>_xlfn.BITRSHIFT(C1283,1)</f>
        <v/>
      </c>
      <c r="F1283">
        <f>_xlfn.BITXOR(D1283,B1283)</f>
        <v/>
      </c>
      <c r="G1283">
        <f>IF(F1283=1,_xlfn.BITXOR(E1283,33800),E1283)</f>
        <v/>
      </c>
    </row>
    <row r="1284">
      <c r="A1284" t="n">
        <v>1278</v>
      </c>
      <c r="B1284">
        <f>_DestuffedBits!C1279</f>
        <v/>
      </c>
      <c r="C1284">
        <f>G1283</f>
        <v/>
      </c>
      <c r="D1284">
        <f>_xlfn.BITAND(C1284,1)</f>
        <v/>
      </c>
      <c r="E1284">
        <f>_xlfn.BITRSHIFT(C1284,1)</f>
        <v/>
      </c>
      <c r="F1284">
        <f>_xlfn.BITXOR(D1284,B1284)</f>
        <v/>
      </c>
      <c r="G1284">
        <f>IF(F1284=1,_xlfn.BITXOR(E1284,33800),E1284)</f>
        <v/>
      </c>
    </row>
    <row r="1285">
      <c r="A1285" t="n">
        <v>1279</v>
      </c>
      <c r="B1285">
        <f>_DestuffedBits!C1280</f>
        <v/>
      </c>
      <c r="C1285">
        <f>G1284</f>
        <v/>
      </c>
      <c r="D1285">
        <f>_xlfn.BITAND(C1285,1)</f>
        <v/>
      </c>
      <c r="E1285">
        <f>_xlfn.BITRSHIFT(C1285,1)</f>
        <v/>
      </c>
      <c r="F1285">
        <f>_xlfn.BITXOR(D1285,B1285)</f>
        <v/>
      </c>
      <c r="G1285">
        <f>IF(F1285=1,_xlfn.BITXOR(E1285,33800),E1285)</f>
        <v/>
      </c>
    </row>
    <row r="1286">
      <c r="A1286" t="n">
        <v>1280</v>
      </c>
      <c r="B1286">
        <f>_DestuffedBits!C1281</f>
        <v/>
      </c>
      <c r="C1286">
        <f>G1285</f>
        <v/>
      </c>
      <c r="D1286">
        <f>_xlfn.BITAND(C1286,1)</f>
        <v/>
      </c>
      <c r="E1286">
        <f>_xlfn.BITRSHIFT(C1286,1)</f>
        <v/>
      </c>
      <c r="F1286">
        <f>_xlfn.BITXOR(D1286,B1286)</f>
        <v/>
      </c>
      <c r="G1286">
        <f>IF(F1286=1,_xlfn.BITXOR(E1286,33800),E1286)</f>
        <v/>
      </c>
    </row>
    <row r="1287">
      <c r="A1287" t="n">
        <v>1281</v>
      </c>
      <c r="B1287">
        <f>_DestuffedBits!C1282</f>
        <v/>
      </c>
      <c r="C1287">
        <f>G1286</f>
        <v/>
      </c>
      <c r="D1287">
        <f>_xlfn.BITAND(C1287,1)</f>
        <v/>
      </c>
      <c r="E1287">
        <f>_xlfn.BITRSHIFT(C1287,1)</f>
        <v/>
      </c>
      <c r="F1287">
        <f>_xlfn.BITXOR(D1287,B1287)</f>
        <v/>
      </c>
      <c r="G1287">
        <f>IF(F1287=1,_xlfn.BITXOR(E1287,33800),E1287)</f>
        <v/>
      </c>
    </row>
    <row r="1288">
      <c r="A1288" t="n">
        <v>1282</v>
      </c>
      <c r="B1288">
        <f>_DestuffedBits!C1283</f>
        <v/>
      </c>
      <c r="C1288">
        <f>G1287</f>
        <v/>
      </c>
      <c r="D1288">
        <f>_xlfn.BITAND(C1288,1)</f>
        <v/>
      </c>
      <c r="E1288">
        <f>_xlfn.BITRSHIFT(C1288,1)</f>
        <v/>
      </c>
      <c r="F1288">
        <f>_xlfn.BITXOR(D1288,B1288)</f>
        <v/>
      </c>
      <c r="G1288">
        <f>IF(F1288=1,_xlfn.BITXOR(E1288,33800),E1288)</f>
        <v/>
      </c>
    </row>
    <row r="1289">
      <c r="A1289" t="n">
        <v>1283</v>
      </c>
      <c r="B1289">
        <f>_DestuffedBits!C1284</f>
        <v/>
      </c>
      <c r="C1289">
        <f>G1288</f>
        <v/>
      </c>
      <c r="D1289">
        <f>_xlfn.BITAND(C1289,1)</f>
        <v/>
      </c>
      <c r="E1289">
        <f>_xlfn.BITRSHIFT(C1289,1)</f>
        <v/>
      </c>
      <c r="F1289">
        <f>_xlfn.BITXOR(D1289,B1289)</f>
        <v/>
      </c>
      <c r="G1289">
        <f>IF(F1289=1,_xlfn.BITXOR(E1289,33800),E1289)</f>
        <v/>
      </c>
    </row>
    <row r="1290">
      <c r="A1290" t="n">
        <v>1284</v>
      </c>
      <c r="B1290">
        <f>_DestuffedBits!C1285</f>
        <v/>
      </c>
      <c r="C1290">
        <f>G1289</f>
        <v/>
      </c>
      <c r="D1290">
        <f>_xlfn.BITAND(C1290,1)</f>
        <v/>
      </c>
      <c r="E1290">
        <f>_xlfn.BITRSHIFT(C1290,1)</f>
        <v/>
      </c>
      <c r="F1290">
        <f>_xlfn.BITXOR(D1290,B1290)</f>
        <v/>
      </c>
      <c r="G1290">
        <f>IF(F1290=1,_xlfn.BITXOR(E1290,33800),E1290)</f>
        <v/>
      </c>
    </row>
    <row r="1291">
      <c r="A1291" t="n">
        <v>1285</v>
      </c>
      <c r="B1291">
        <f>_DestuffedBits!C1286</f>
        <v/>
      </c>
      <c r="C1291">
        <f>G1290</f>
        <v/>
      </c>
      <c r="D1291">
        <f>_xlfn.BITAND(C1291,1)</f>
        <v/>
      </c>
      <c r="E1291">
        <f>_xlfn.BITRSHIFT(C1291,1)</f>
        <v/>
      </c>
      <c r="F1291">
        <f>_xlfn.BITXOR(D1291,B1291)</f>
        <v/>
      </c>
      <c r="G1291">
        <f>IF(F1291=1,_xlfn.BITXOR(E1291,33800),E1291)</f>
        <v/>
      </c>
    </row>
    <row r="1292">
      <c r="A1292" t="n">
        <v>1286</v>
      </c>
      <c r="B1292">
        <f>_DestuffedBits!C1287</f>
        <v/>
      </c>
      <c r="C1292">
        <f>G1291</f>
        <v/>
      </c>
      <c r="D1292">
        <f>_xlfn.BITAND(C1292,1)</f>
        <v/>
      </c>
      <c r="E1292">
        <f>_xlfn.BITRSHIFT(C1292,1)</f>
        <v/>
      </c>
      <c r="F1292">
        <f>_xlfn.BITXOR(D1292,B1292)</f>
        <v/>
      </c>
      <c r="G1292">
        <f>IF(F1292=1,_xlfn.BITXOR(E1292,33800),E1292)</f>
        <v/>
      </c>
    </row>
    <row r="1293">
      <c r="A1293" t="n">
        <v>1287</v>
      </c>
      <c r="B1293">
        <f>_DestuffedBits!C1288</f>
        <v/>
      </c>
      <c r="C1293">
        <f>G1292</f>
        <v/>
      </c>
      <c r="D1293">
        <f>_xlfn.BITAND(C1293,1)</f>
        <v/>
      </c>
      <c r="E1293">
        <f>_xlfn.BITRSHIFT(C1293,1)</f>
        <v/>
      </c>
      <c r="F1293">
        <f>_xlfn.BITXOR(D1293,B1293)</f>
        <v/>
      </c>
      <c r="G1293">
        <f>IF(F1293=1,_xlfn.BITXOR(E1293,33800),E1293)</f>
        <v/>
      </c>
    </row>
    <row r="1294">
      <c r="A1294" t="n">
        <v>1288</v>
      </c>
      <c r="B1294">
        <f>_DestuffedBits!C1289</f>
        <v/>
      </c>
      <c r="C1294">
        <f>G1293</f>
        <v/>
      </c>
      <c r="D1294">
        <f>_xlfn.BITAND(C1294,1)</f>
        <v/>
      </c>
      <c r="E1294">
        <f>_xlfn.BITRSHIFT(C1294,1)</f>
        <v/>
      </c>
      <c r="F1294">
        <f>_xlfn.BITXOR(D1294,B1294)</f>
        <v/>
      </c>
      <c r="G1294">
        <f>IF(F1294=1,_xlfn.BITXOR(E1294,33800),E1294)</f>
        <v/>
      </c>
    </row>
    <row r="1295">
      <c r="A1295" t="n">
        <v>1289</v>
      </c>
      <c r="B1295">
        <f>_DestuffedBits!C1290</f>
        <v/>
      </c>
      <c r="C1295">
        <f>G1294</f>
        <v/>
      </c>
      <c r="D1295">
        <f>_xlfn.BITAND(C1295,1)</f>
        <v/>
      </c>
      <c r="E1295">
        <f>_xlfn.BITRSHIFT(C1295,1)</f>
        <v/>
      </c>
      <c r="F1295">
        <f>_xlfn.BITXOR(D1295,B1295)</f>
        <v/>
      </c>
      <c r="G1295">
        <f>IF(F1295=1,_xlfn.BITXOR(E1295,33800),E1295)</f>
        <v/>
      </c>
    </row>
    <row r="1296">
      <c r="A1296" t="n">
        <v>1290</v>
      </c>
      <c r="B1296">
        <f>_DestuffedBits!C1291</f>
        <v/>
      </c>
      <c r="C1296">
        <f>G1295</f>
        <v/>
      </c>
      <c r="D1296">
        <f>_xlfn.BITAND(C1296,1)</f>
        <v/>
      </c>
      <c r="E1296">
        <f>_xlfn.BITRSHIFT(C1296,1)</f>
        <v/>
      </c>
      <c r="F1296">
        <f>_xlfn.BITXOR(D1296,B1296)</f>
        <v/>
      </c>
      <c r="G1296">
        <f>IF(F1296=1,_xlfn.BITXOR(E1296,33800),E1296)</f>
        <v/>
      </c>
    </row>
    <row r="1297">
      <c r="A1297" t="n">
        <v>1291</v>
      </c>
      <c r="B1297">
        <f>_DestuffedBits!C1292</f>
        <v/>
      </c>
      <c r="C1297">
        <f>G1296</f>
        <v/>
      </c>
      <c r="D1297">
        <f>_xlfn.BITAND(C1297,1)</f>
        <v/>
      </c>
      <c r="E1297">
        <f>_xlfn.BITRSHIFT(C1297,1)</f>
        <v/>
      </c>
      <c r="F1297">
        <f>_xlfn.BITXOR(D1297,B1297)</f>
        <v/>
      </c>
      <c r="G1297">
        <f>IF(F1297=1,_xlfn.BITXOR(E1297,33800),E1297)</f>
        <v/>
      </c>
    </row>
    <row r="1298">
      <c r="A1298" t="n">
        <v>1292</v>
      </c>
      <c r="B1298">
        <f>_DestuffedBits!C1293</f>
        <v/>
      </c>
      <c r="C1298">
        <f>G1297</f>
        <v/>
      </c>
      <c r="D1298">
        <f>_xlfn.BITAND(C1298,1)</f>
        <v/>
      </c>
      <c r="E1298">
        <f>_xlfn.BITRSHIFT(C1298,1)</f>
        <v/>
      </c>
      <c r="F1298">
        <f>_xlfn.BITXOR(D1298,B1298)</f>
        <v/>
      </c>
      <c r="G1298">
        <f>IF(F1298=1,_xlfn.BITXOR(E1298,33800),E1298)</f>
        <v/>
      </c>
    </row>
    <row r="1299">
      <c r="A1299" t="n">
        <v>1293</v>
      </c>
      <c r="B1299">
        <f>_DestuffedBits!C1294</f>
        <v/>
      </c>
      <c r="C1299">
        <f>G1298</f>
        <v/>
      </c>
      <c r="D1299">
        <f>_xlfn.BITAND(C1299,1)</f>
        <v/>
      </c>
      <c r="E1299">
        <f>_xlfn.BITRSHIFT(C1299,1)</f>
        <v/>
      </c>
      <c r="F1299">
        <f>_xlfn.BITXOR(D1299,B1299)</f>
        <v/>
      </c>
      <c r="G1299">
        <f>IF(F1299=1,_xlfn.BITXOR(E1299,33800),E1299)</f>
        <v/>
      </c>
    </row>
    <row r="1300">
      <c r="A1300" t="n">
        <v>1294</v>
      </c>
      <c r="B1300">
        <f>_DestuffedBits!C1295</f>
        <v/>
      </c>
      <c r="C1300">
        <f>G1299</f>
        <v/>
      </c>
      <c r="D1300">
        <f>_xlfn.BITAND(C1300,1)</f>
        <v/>
      </c>
      <c r="E1300">
        <f>_xlfn.BITRSHIFT(C1300,1)</f>
        <v/>
      </c>
      <c r="F1300">
        <f>_xlfn.BITXOR(D1300,B1300)</f>
        <v/>
      </c>
      <c r="G1300">
        <f>IF(F1300=1,_xlfn.BITXOR(E1300,33800),E1300)</f>
        <v/>
      </c>
    </row>
    <row r="1301">
      <c r="A1301" t="n">
        <v>1295</v>
      </c>
      <c r="B1301">
        <f>_DestuffedBits!C1296</f>
        <v/>
      </c>
      <c r="C1301">
        <f>G1300</f>
        <v/>
      </c>
      <c r="D1301">
        <f>_xlfn.BITAND(C1301,1)</f>
        <v/>
      </c>
      <c r="E1301">
        <f>_xlfn.BITRSHIFT(C1301,1)</f>
        <v/>
      </c>
      <c r="F1301">
        <f>_xlfn.BITXOR(D1301,B1301)</f>
        <v/>
      </c>
      <c r="G1301">
        <f>IF(F1301=1,_xlfn.BITXOR(E1301,33800),E1301)</f>
        <v/>
      </c>
    </row>
    <row r="1302">
      <c r="A1302" t="n">
        <v>1296</v>
      </c>
      <c r="B1302">
        <f>_DestuffedBits!C1297</f>
        <v/>
      </c>
      <c r="C1302">
        <f>G1301</f>
        <v/>
      </c>
      <c r="D1302">
        <f>_xlfn.BITAND(C1302,1)</f>
        <v/>
      </c>
      <c r="E1302">
        <f>_xlfn.BITRSHIFT(C1302,1)</f>
        <v/>
      </c>
      <c r="F1302">
        <f>_xlfn.BITXOR(D1302,B1302)</f>
        <v/>
      </c>
      <c r="G1302">
        <f>IF(F1302=1,_xlfn.BITXOR(E1302,33800),E1302)</f>
        <v/>
      </c>
    </row>
    <row r="1303">
      <c r="A1303" t="n">
        <v>1297</v>
      </c>
      <c r="B1303">
        <f>_DestuffedBits!C1298</f>
        <v/>
      </c>
      <c r="C1303">
        <f>G1302</f>
        <v/>
      </c>
      <c r="D1303">
        <f>_xlfn.BITAND(C1303,1)</f>
        <v/>
      </c>
      <c r="E1303">
        <f>_xlfn.BITRSHIFT(C1303,1)</f>
        <v/>
      </c>
      <c r="F1303">
        <f>_xlfn.BITXOR(D1303,B1303)</f>
        <v/>
      </c>
      <c r="G1303">
        <f>IF(F1303=1,_xlfn.BITXOR(E1303,33800),E1303)</f>
        <v/>
      </c>
    </row>
    <row r="1304">
      <c r="A1304" t="n">
        <v>1298</v>
      </c>
      <c r="B1304">
        <f>_DestuffedBits!C1299</f>
        <v/>
      </c>
      <c r="C1304">
        <f>G1303</f>
        <v/>
      </c>
      <c r="D1304">
        <f>_xlfn.BITAND(C1304,1)</f>
        <v/>
      </c>
      <c r="E1304">
        <f>_xlfn.BITRSHIFT(C1304,1)</f>
        <v/>
      </c>
      <c r="F1304">
        <f>_xlfn.BITXOR(D1304,B1304)</f>
        <v/>
      </c>
      <c r="G1304">
        <f>IF(F1304=1,_xlfn.BITXOR(E1304,33800),E1304)</f>
        <v/>
      </c>
    </row>
    <row r="1305">
      <c r="A1305" t="n">
        <v>1299</v>
      </c>
      <c r="B1305">
        <f>_DestuffedBits!C1300</f>
        <v/>
      </c>
      <c r="C1305">
        <f>G1304</f>
        <v/>
      </c>
      <c r="D1305">
        <f>_xlfn.BITAND(C1305,1)</f>
        <v/>
      </c>
      <c r="E1305">
        <f>_xlfn.BITRSHIFT(C1305,1)</f>
        <v/>
      </c>
      <c r="F1305">
        <f>_xlfn.BITXOR(D1305,B1305)</f>
        <v/>
      </c>
      <c r="G1305">
        <f>IF(F1305=1,_xlfn.BITXOR(E1305,33800),E1305)</f>
        <v/>
      </c>
    </row>
    <row r="1306">
      <c r="A1306" t="n">
        <v>1300</v>
      </c>
      <c r="B1306">
        <f>_DestuffedBits!C1301</f>
        <v/>
      </c>
      <c r="C1306">
        <f>G1305</f>
        <v/>
      </c>
      <c r="D1306">
        <f>_xlfn.BITAND(C1306,1)</f>
        <v/>
      </c>
      <c r="E1306">
        <f>_xlfn.BITRSHIFT(C1306,1)</f>
        <v/>
      </c>
      <c r="F1306">
        <f>_xlfn.BITXOR(D1306,B1306)</f>
        <v/>
      </c>
      <c r="G1306">
        <f>IF(F1306=1,_xlfn.BITXOR(E1306,33800),E1306)</f>
        <v/>
      </c>
    </row>
    <row r="1307">
      <c r="A1307" t="n">
        <v>1301</v>
      </c>
      <c r="B1307">
        <f>_DestuffedBits!C1302</f>
        <v/>
      </c>
      <c r="C1307">
        <f>G1306</f>
        <v/>
      </c>
      <c r="D1307">
        <f>_xlfn.BITAND(C1307,1)</f>
        <v/>
      </c>
      <c r="E1307">
        <f>_xlfn.BITRSHIFT(C1307,1)</f>
        <v/>
      </c>
      <c r="F1307">
        <f>_xlfn.BITXOR(D1307,B1307)</f>
        <v/>
      </c>
      <c r="G1307">
        <f>IF(F1307=1,_xlfn.BITXOR(E1307,33800),E1307)</f>
        <v/>
      </c>
    </row>
    <row r="1308">
      <c r="A1308" t="n">
        <v>1302</v>
      </c>
      <c r="B1308">
        <f>_DestuffedBits!C1303</f>
        <v/>
      </c>
      <c r="C1308">
        <f>G1307</f>
        <v/>
      </c>
      <c r="D1308">
        <f>_xlfn.BITAND(C1308,1)</f>
        <v/>
      </c>
      <c r="E1308">
        <f>_xlfn.BITRSHIFT(C1308,1)</f>
        <v/>
      </c>
      <c r="F1308">
        <f>_xlfn.BITXOR(D1308,B1308)</f>
        <v/>
      </c>
      <c r="G1308">
        <f>IF(F1308=1,_xlfn.BITXOR(E1308,33800),E1308)</f>
        <v/>
      </c>
    </row>
    <row r="1309">
      <c r="A1309" t="n">
        <v>1303</v>
      </c>
      <c r="B1309">
        <f>_DestuffedBits!C1304</f>
        <v/>
      </c>
      <c r="C1309">
        <f>G1308</f>
        <v/>
      </c>
      <c r="D1309">
        <f>_xlfn.BITAND(C1309,1)</f>
        <v/>
      </c>
      <c r="E1309">
        <f>_xlfn.BITRSHIFT(C1309,1)</f>
        <v/>
      </c>
      <c r="F1309">
        <f>_xlfn.BITXOR(D1309,B1309)</f>
        <v/>
      </c>
      <c r="G1309">
        <f>IF(F1309=1,_xlfn.BITXOR(E1309,33800),E1309)</f>
        <v/>
      </c>
    </row>
    <row r="1310">
      <c r="A1310" t="n">
        <v>1304</v>
      </c>
      <c r="B1310">
        <f>_DestuffedBits!C1305</f>
        <v/>
      </c>
      <c r="C1310">
        <f>G1309</f>
        <v/>
      </c>
      <c r="D1310">
        <f>_xlfn.BITAND(C1310,1)</f>
        <v/>
      </c>
      <c r="E1310">
        <f>_xlfn.BITRSHIFT(C1310,1)</f>
        <v/>
      </c>
      <c r="F1310">
        <f>_xlfn.BITXOR(D1310,B1310)</f>
        <v/>
      </c>
      <c r="G1310">
        <f>IF(F1310=1,_xlfn.BITXOR(E1310,33800),E1310)</f>
        <v/>
      </c>
    </row>
    <row r="1311">
      <c r="A1311" t="n">
        <v>1305</v>
      </c>
      <c r="B1311">
        <f>_DestuffedBits!C1306</f>
        <v/>
      </c>
      <c r="C1311">
        <f>G1310</f>
        <v/>
      </c>
      <c r="D1311">
        <f>_xlfn.BITAND(C1311,1)</f>
        <v/>
      </c>
      <c r="E1311">
        <f>_xlfn.BITRSHIFT(C1311,1)</f>
        <v/>
      </c>
      <c r="F1311">
        <f>_xlfn.BITXOR(D1311,B1311)</f>
        <v/>
      </c>
      <c r="G1311">
        <f>IF(F1311=1,_xlfn.BITXOR(E1311,33800),E1311)</f>
        <v/>
      </c>
    </row>
    <row r="1312">
      <c r="A1312" t="n">
        <v>1306</v>
      </c>
      <c r="B1312">
        <f>_DestuffedBits!C1307</f>
        <v/>
      </c>
      <c r="C1312">
        <f>G1311</f>
        <v/>
      </c>
      <c r="D1312">
        <f>_xlfn.BITAND(C1312,1)</f>
        <v/>
      </c>
      <c r="E1312">
        <f>_xlfn.BITRSHIFT(C1312,1)</f>
        <v/>
      </c>
      <c r="F1312">
        <f>_xlfn.BITXOR(D1312,B1312)</f>
        <v/>
      </c>
      <c r="G1312">
        <f>IF(F1312=1,_xlfn.BITXOR(E1312,33800),E1312)</f>
        <v/>
      </c>
    </row>
    <row r="1313">
      <c r="A1313" t="n">
        <v>1307</v>
      </c>
      <c r="B1313">
        <f>_DestuffedBits!C1308</f>
        <v/>
      </c>
      <c r="C1313">
        <f>G1312</f>
        <v/>
      </c>
      <c r="D1313">
        <f>_xlfn.BITAND(C1313,1)</f>
        <v/>
      </c>
      <c r="E1313">
        <f>_xlfn.BITRSHIFT(C1313,1)</f>
        <v/>
      </c>
      <c r="F1313">
        <f>_xlfn.BITXOR(D1313,B1313)</f>
        <v/>
      </c>
      <c r="G1313">
        <f>IF(F1313=1,_xlfn.BITXOR(E1313,33800),E1313)</f>
        <v/>
      </c>
    </row>
    <row r="1314">
      <c r="A1314" t="n">
        <v>1308</v>
      </c>
      <c r="B1314">
        <f>_DestuffedBits!C1309</f>
        <v/>
      </c>
      <c r="C1314">
        <f>G1313</f>
        <v/>
      </c>
      <c r="D1314">
        <f>_xlfn.BITAND(C1314,1)</f>
        <v/>
      </c>
      <c r="E1314">
        <f>_xlfn.BITRSHIFT(C1314,1)</f>
        <v/>
      </c>
      <c r="F1314">
        <f>_xlfn.BITXOR(D1314,B1314)</f>
        <v/>
      </c>
      <c r="G1314">
        <f>IF(F1314=1,_xlfn.BITXOR(E1314,33800),E1314)</f>
        <v/>
      </c>
    </row>
    <row r="1315">
      <c r="A1315" t="n">
        <v>1309</v>
      </c>
      <c r="B1315">
        <f>_DestuffedBits!C1310</f>
        <v/>
      </c>
      <c r="C1315">
        <f>G1314</f>
        <v/>
      </c>
      <c r="D1315">
        <f>_xlfn.BITAND(C1315,1)</f>
        <v/>
      </c>
      <c r="E1315">
        <f>_xlfn.BITRSHIFT(C1315,1)</f>
        <v/>
      </c>
      <c r="F1315">
        <f>_xlfn.BITXOR(D1315,B1315)</f>
        <v/>
      </c>
      <c r="G1315">
        <f>IF(F1315=1,_xlfn.BITXOR(E1315,33800),E1315)</f>
        <v/>
      </c>
    </row>
    <row r="1316">
      <c r="A1316" t="n">
        <v>1310</v>
      </c>
      <c r="B1316">
        <f>_DestuffedBits!C1311</f>
        <v/>
      </c>
      <c r="C1316">
        <f>G1315</f>
        <v/>
      </c>
      <c r="D1316">
        <f>_xlfn.BITAND(C1316,1)</f>
        <v/>
      </c>
      <c r="E1316">
        <f>_xlfn.BITRSHIFT(C1316,1)</f>
        <v/>
      </c>
      <c r="F1316">
        <f>_xlfn.BITXOR(D1316,B1316)</f>
        <v/>
      </c>
      <c r="G1316">
        <f>IF(F1316=1,_xlfn.BITXOR(E1316,33800),E1316)</f>
        <v/>
      </c>
    </row>
    <row r="1317">
      <c r="A1317" t="n">
        <v>1311</v>
      </c>
      <c r="B1317">
        <f>_DestuffedBits!C1312</f>
        <v/>
      </c>
      <c r="C1317">
        <f>G1316</f>
        <v/>
      </c>
      <c r="D1317">
        <f>_xlfn.BITAND(C1317,1)</f>
        <v/>
      </c>
      <c r="E1317">
        <f>_xlfn.BITRSHIFT(C1317,1)</f>
        <v/>
      </c>
      <c r="F1317">
        <f>_xlfn.BITXOR(D1317,B1317)</f>
        <v/>
      </c>
      <c r="G1317">
        <f>IF(F1317=1,_xlfn.BITXOR(E1317,33800),E1317)</f>
        <v/>
      </c>
    </row>
    <row r="1318">
      <c r="A1318" t="n">
        <v>1312</v>
      </c>
      <c r="B1318">
        <f>_DestuffedBits!C1313</f>
        <v/>
      </c>
      <c r="C1318">
        <f>G1317</f>
        <v/>
      </c>
      <c r="D1318">
        <f>_xlfn.BITAND(C1318,1)</f>
        <v/>
      </c>
      <c r="E1318">
        <f>_xlfn.BITRSHIFT(C1318,1)</f>
        <v/>
      </c>
      <c r="F1318">
        <f>_xlfn.BITXOR(D1318,B1318)</f>
        <v/>
      </c>
      <c r="G1318">
        <f>IF(F1318=1,_xlfn.BITXOR(E1318,33800),E1318)</f>
        <v/>
      </c>
    </row>
    <row r="1319">
      <c r="A1319" t="n">
        <v>1313</v>
      </c>
      <c r="B1319">
        <f>_DestuffedBits!C1314</f>
        <v/>
      </c>
      <c r="C1319">
        <f>G1318</f>
        <v/>
      </c>
      <c r="D1319">
        <f>_xlfn.BITAND(C1319,1)</f>
        <v/>
      </c>
      <c r="E1319">
        <f>_xlfn.BITRSHIFT(C1319,1)</f>
        <v/>
      </c>
      <c r="F1319">
        <f>_xlfn.BITXOR(D1319,B1319)</f>
        <v/>
      </c>
      <c r="G1319">
        <f>IF(F1319=1,_xlfn.BITXOR(E1319,33800),E1319)</f>
        <v/>
      </c>
    </row>
    <row r="1320">
      <c r="A1320" t="n">
        <v>1314</v>
      </c>
      <c r="B1320">
        <f>_DestuffedBits!C1315</f>
        <v/>
      </c>
      <c r="C1320">
        <f>G1319</f>
        <v/>
      </c>
      <c r="D1320">
        <f>_xlfn.BITAND(C1320,1)</f>
        <v/>
      </c>
      <c r="E1320">
        <f>_xlfn.BITRSHIFT(C1320,1)</f>
        <v/>
      </c>
      <c r="F1320">
        <f>_xlfn.BITXOR(D1320,B1320)</f>
        <v/>
      </c>
      <c r="G1320">
        <f>IF(F1320=1,_xlfn.BITXOR(E1320,33800),E1320)</f>
        <v/>
      </c>
    </row>
    <row r="1321">
      <c r="A1321" t="n">
        <v>1315</v>
      </c>
      <c r="B1321">
        <f>_DestuffedBits!C1316</f>
        <v/>
      </c>
      <c r="C1321">
        <f>G1320</f>
        <v/>
      </c>
      <c r="D1321">
        <f>_xlfn.BITAND(C1321,1)</f>
        <v/>
      </c>
      <c r="E1321">
        <f>_xlfn.BITRSHIFT(C1321,1)</f>
        <v/>
      </c>
      <c r="F1321">
        <f>_xlfn.BITXOR(D1321,B1321)</f>
        <v/>
      </c>
      <c r="G1321">
        <f>IF(F1321=1,_xlfn.BITXOR(E1321,33800),E1321)</f>
        <v/>
      </c>
    </row>
    <row r="1322">
      <c r="A1322" t="n">
        <v>1316</v>
      </c>
      <c r="B1322">
        <f>_DestuffedBits!C1317</f>
        <v/>
      </c>
      <c r="C1322">
        <f>G1321</f>
        <v/>
      </c>
      <c r="D1322">
        <f>_xlfn.BITAND(C1322,1)</f>
        <v/>
      </c>
      <c r="E1322">
        <f>_xlfn.BITRSHIFT(C1322,1)</f>
        <v/>
      </c>
      <c r="F1322">
        <f>_xlfn.BITXOR(D1322,B1322)</f>
        <v/>
      </c>
      <c r="G1322">
        <f>IF(F1322=1,_xlfn.BITXOR(E1322,33800),E1322)</f>
        <v/>
      </c>
    </row>
    <row r="1323">
      <c r="A1323" t="n">
        <v>1317</v>
      </c>
      <c r="B1323">
        <f>_DestuffedBits!C1318</f>
        <v/>
      </c>
      <c r="C1323">
        <f>G1322</f>
        <v/>
      </c>
      <c r="D1323">
        <f>_xlfn.BITAND(C1323,1)</f>
        <v/>
      </c>
      <c r="E1323">
        <f>_xlfn.BITRSHIFT(C1323,1)</f>
        <v/>
      </c>
      <c r="F1323">
        <f>_xlfn.BITXOR(D1323,B1323)</f>
        <v/>
      </c>
      <c r="G1323">
        <f>IF(F1323=1,_xlfn.BITXOR(E1323,33800),E1323)</f>
        <v/>
      </c>
    </row>
    <row r="1324">
      <c r="A1324" t="n">
        <v>1318</v>
      </c>
      <c r="B1324">
        <f>_DestuffedBits!C1319</f>
        <v/>
      </c>
      <c r="C1324">
        <f>G1323</f>
        <v/>
      </c>
      <c r="D1324">
        <f>_xlfn.BITAND(C1324,1)</f>
        <v/>
      </c>
      <c r="E1324">
        <f>_xlfn.BITRSHIFT(C1324,1)</f>
        <v/>
      </c>
      <c r="F1324">
        <f>_xlfn.BITXOR(D1324,B1324)</f>
        <v/>
      </c>
      <c r="G1324">
        <f>IF(F1324=1,_xlfn.BITXOR(E1324,33800),E1324)</f>
        <v/>
      </c>
    </row>
    <row r="1325">
      <c r="A1325" t="n">
        <v>1319</v>
      </c>
      <c r="B1325">
        <f>_DestuffedBits!C1320</f>
        <v/>
      </c>
      <c r="C1325">
        <f>G1324</f>
        <v/>
      </c>
      <c r="D1325">
        <f>_xlfn.BITAND(C1325,1)</f>
        <v/>
      </c>
      <c r="E1325">
        <f>_xlfn.BITRSHIFT(C1325,1)</f>
        <v/>
      </c>
      <c r="F1325">
        <f>_xlfn.BITXOR(D1325,B1325)</f>
        <v/>
      </c>
      <c r="G1325">
        <f>IF(F1325=1,_xlfn.BITXOR(E1325,33800),E1325)</f>
        <v/>
      </c>
    </row>
    <row r="1326">
      <c r="A1326" t="n">
        <v>1320</v>
      </c>
      <c r="B1326">
        <f>_DestuffedBits!C1321</f>
        <v/>
      </c>
      <c r="C1326">
        <f>G1325</f>
        <v/>
      </c>
      <c r="D1326">
        <f>_xlfn.BITAND(C1326,1)</f>
        <v/>
      </c>
      <c r="E1326">
        <f>_xlfn.BITRSHIFT(C1326,1)</f>
        <v/>
      </c>
      <c r="F1326">
        <f>_xlfn.BITXOR(D1326,B1326)</f>
        <v/>
      </c>
      <c r="G1326">
        <f>IF(F1326=1,_xlfn.BITXOR(E1326,33800),E1326)</f>
        <v/>
      </c>
    </row>
    <row r="1327">
      <c r="A1327" t="n">
        <v>1321</v>
      </c>
      <c r="B1327">
        <f>_DestuffedBits!C1322</f>
        <v/>
      </c>
      <c r="C1327">
        <f>G1326</f>
        <v/>
      </c>
      <c r="D1327">
        <f>_xlfn.BITAND(C1327,1)</f>
        <v/>
      </c>
      <c r="E1327">
        <f>_xlfn.BITRSHIFT(C1327,1)</f>
        <v/>
      </c>
      <c r="F1327">
        <f>_xlfn.BITXOR(D1327,B1327)</f>
        <v/>
      </c>
      <c r="G1327">
        <f>IF(F1327=1,_xlfn.BITXOR(E1327,33800),E1327)</f>
        <v/>
      </c>
    </row>
    <row r="1328">
      <c r="A1328" t="n">
        <v>1322</v>
      </c>
      <c r="B1328">
        <f>_DestuffedBits!C1323</f>
        <v/>
      </c>
      <c r="C1328">
        <f>G1327</f>
        <v/>
      </c>
      <c r="D1328">
        <f>_xlfn.BITAND(C1328,1)</f>
        <v/>
      </c>
      <c r="E1328">
        <f>_xlfn.BITRSHIFT(C1328,1)</f>
        <v/>
      </c>
      <c r="F1328">
        <f>_xlfn.BITXOR(D1328,B1328)</f>
        <v/>
      </c>
      <c r="G1328">
        <f>IF(F1328=1,_xlfn.BITXOR(E1328,33800),E1328)</f>
        <v/>
      </c>
    </row>
    <row r="1329">
      <c r="A1329" t="n">
        <v>1323</v>
      </c>
      <c r="B1329">
        <f>_DestuffedBits!C1324</f>
        <v/>
      </c>
      <c r="C1329">
        <f>G1328</f>
        <v/>
      </c>
      <c r="D1329">
        <f>_xlfn.BITAND(C1329,1)</f>
        <v/>
      </c>
      <c r="E1329">
        <f>_xlfn.BITRSHIFT(C1329,1)</f>
        <v/>
      </c>
      <c r="F1329">
        <f>_xlfn.BITXOR(D1329,B1329)</f>
        <v/>
      </c>
      <c r="G1329">
        <f>IF(F1329=1,_xlfn.BITXOR(E1329,33800),E1329)</f>
        <v/>
      </c>
    </row>
    <row r="1330">
      <c r="A1330" t="n">
        <v>1324</v>
      </c>
      <c r="B1330">
        <f>_DestuffedBits!C1325</f>
        <v/>
      </c>
      <c r="C1330">
        <f>G1329</f>
        <v/>
      </c>
      <c r="D1330">
        <f>_xlfn.BITAND(C1330,1)</f>
        <v/>
      </c>
      <c r="E1330">
        <f>_xlfn.BITRSHIFT(C1330,1)</f>
        <v/>
      </c>
      <c r="F1330">
        <f>_xlfn.BITXOR(D1330,B1330)</f>
        <v/>
      </c>
      <c r="G1330">
        <f>IF(F1330=1,_xlfn.BITXOR(E1330,33800),E1330)</f>
        <v/>
      </c>
    </row>
    <row r="1331">
      <c r="A1331" t="n">
        <v>1325</v>
      </c>
      <c r="B1331">
        <f>_DestuffedBits!C1326</f>
        <v/>
      </c>
      <c r="C1331">
        <f>G1330</f>
        <v/>
      </c>
      <c r="D1331">
        <f>_xlfn.BITAND(C1331,1)</f>
        <v/>
      </c>
      <c r="E1331">
        <f>_xlfn.BITRSHIFT(C1331,1)</f>
        <v/>
      </c>
      <c r="F1331">
        <f>_xlfn.BITXOR(D1331,B1331)</f>
        <v/>
      </c>
      <c r="G1331">
        <f>IF(F1331=1,_xlfn.BITXOR(E1331,33800),E1331)</f>
        <v/>
      </c>
    </row>
    <row r="1332">
      <c r="A1332" t="n">
        <v>1326</v>
      </c>
      <c r="B1332">
        <f>_DestuffedBits!C1327</f>
        <v/>
      </c>
      <c r="C1332">
        <f>G1331</f>
        <v/>
      </c>
      <c r="D1332">
        <f>_xlfn.BITAND(C1332,1)</f>
        <v/>
      </c>
      <c r="E1332">
        <f>_xlfn.BITRSHIFT(C1332,1)</f>
        <v/>
      </c>
      <c r="F1332">
        <f>_xlfn.BITXOR(D1332,B1332)</f>
        <v/>
      </c>
      <c r="G1332">
        <f>IF(F1332=1,_xlfn.BITXOR(E1332,33800),E1332)</f>
        <v/>
      </c>
    </row>
    <row r="1333">
      <c r="A1333" t="n">
        <v>1327</v>
      </c>
      <c r="B1333">
        <f>_DestuffedBits!C1328</f>
        <v/>
      </c>
      <c r="C1333">
        <f>G1332</f>
        <v/>
      </c>
      <c r="D1333">
        <f>_xlfn.BITAND(C1333,1)</f>
        <v/>
      </c>
      <c r="E1333">
        <f>_xlfn.BITRSHIFT(C1333,1)</f>
        <v/>
      </c>
      <c r="F1333">
        <f>_xlfn.BITXOR(D1333,B1333)</f>
        <v/>
      </c>
      <c r="G1333">
        <f>IF(F1333=1,_xlfn.BITXOR(E1333,33800),E1333)</f>
        <v/>
      </c>
    </row>
    <row r="1334">
      <c r="A1334" t="n">
        <v>1328</v>
      </c>
      <c r="B1334">
        <f>_DestuffedBits!C1329</f>
        <v/>
      </c>
      <c r="C1334">
        <f>G1333</f>
        <v/>
      </c>
      <c r="D1334">
        <f>_xlfn.BITAND(C1334,1)</f>
        <v/>
      </c>
      <c r="E1334">
        <f>_xlfn.BITRSHIFT(C1334,1)</f>
        <v/>
      </c>
      <c r="F1334">
        <f>_xlfn.BITXOR(D1334,B1334)</f>
        <v/>
      </c>
      <c r="G1334">
        <f>IF(F1334=1,_xlfn.BITXOR(E1334,33800),E1334)</f>
        <v/>
      </c>
    </row>
    <row r="1335">
      <c r="A1335" t="n">
        <v>1329</v>
      </c>
      <c r="B1335">
        <f>_DestuffedBits!C1330</f>
        <v/>
      </c>
      <c r="C1335">
        <f>G1334</f>
        <v/>
      </c>
      <c r="D1335">
        <f>_xlfn.BITAND(C1335,1)</f>
        <v/>
      </c>
      <c r="E1335">
        <f>_xlfn.BITRSHIFT(C1335,1)</f>
        <v/>
      </c>
      <c r="F1335">
        <f>_xlfn.BITXOR(D1335,B1335)</f>
        <v/>
      </c>
      <c r="G1335">
        <f>IF(F1335=1,_xlfn.BITXOR(E1335,33800),E1335)</f>
        <v/>
      </c>
    </row>
    <row r="1336">
      <c r="A1336" t="n">
        <v>1330</v>
      </c>
      <c r="B1336">
        <f>_DestuffedBits!C1331</f>
        <v/>
      </c>
      <c r="C1336">
        <f>G1335</f>
        <v/>
      </c>
      <c r="D1336">
        <f>_xlfn.BITAND(C1336,1)</f>
        <v/>
      </c>
      <c r="E1336">
        <f>_xlfn.BITRSHIFT(C1336,1)</f>
        <v/>
      </c>
      <c r="F1336">
        <f>_xlfn.BITXOR(D1336,B1336)</f>
        <v/>
      </c>
      <c r="G1336">
        <f>IF(F1336=1,_xlfn.BITXOR(E1336,33800),E1336)</f>
        <v/>
      </c>
    </row>
    <row r="1337">
      <c r="A1337" t="n">
        <v>1331</v>
      </c>
      <c r="B1337">
        <f>_DestuffedBits!C1332</f>
        <v/>
      </c>
      <c r="C1337">
        <f>G1336</f>
        <v/>
      </c>
      <c r="D1337">
        <f>_xlfn.BITAND(C1337,1)</f>
        <v/>
      </c>
      <c r="E1337">
        <f>_xlfn.BITRSHIFT(C1337,1)</f>
        <v/>
      </c>
      <c r="F1337">
        <f>_xlfn.BITXOR(D1337,B1337)</f>
        <v/>
      </c>
      <c r="G1337">
        <f>IF(F1337=1,_xlfn.BITXOR(E1337,33800),E1337)</f>
        <v/>
      </c>
    </row>
    <row r="1338">
      <c r="A1338" t="n">
        <v>1332</v>
      </c>
      <c r="B1338">
        <f>_DestuffedBits!C1333</f>
        <v/>
      </c>
      <c r="C1338">
        <f>G1337</f>
        <v/>
      </c>
      <c r="D1338">
        <f>_xlfn.BITAND(C1338,1)</f>
        <v/>
      </c>
      <c r="E1338">
        <f>_xlfn.BITRSHIFT(C1338,1)</f>
        <v/>
      </c>
      <c r="F1338">
        <f>_xlfn.BITXOR(D1338,B1338)</f>
        <v/>
      </c>
      <c r="G1338">
        <f>IF(F1338=1,_xlfn.BITXOR(E1338,33800),E1338)</f>
        <v/>
      </c>
    </row>
    <row r="1339">
      <c r="A1339" t="n">
        <v>1333</v>
      </c>
      <c r="B1339">
        <f>_DestuffedBits!C1334</f>
        <v/>
      </c>
      <c r="C1339">
        <f>G1338</f>
        <v/>
      </c>
      <c r="D1339">
        <f>_xlfn.BITAND(C1339,1)</f>
        <v/>
      </c>
      <c r="E1339">
        <f>_xlfn.BITRSHIFT(C1339,1)</f>
        <v/>
      </c>
      <c r="F1339">
        <f>_xlfn.BITXOR(D1339,B1339)</f>
        <v/>
      </c>
      <c r="G1339">
        <f>IF(F1339=1,_xlfn.BITXOR(E1339,33800),E1339)</f>
        <v/>
      </c>
    </row>
    <row r="1340">
      <c r="A1340" t="n">
        <v>1334</v>
      </c>
      <c r="B1340">
        <f>_DestuffedBits!C1335</f>
        <v/>
      </c>
      <c r="C1340">
        <f>G1339</f>
        <v/>
      </c>
      <c r="D1340">
        <f>_xlfn.BITAND(C1340,1)</f>
        <v/>
      </c>
      <c r="E1340">
        <f>_xlfn.BITRSHIFT(C1340,1)</f>
        <v/>
      </c>
      <c r="F1340">
        <f>_xlfn.BITXOR(D1340,B1340)</f>
        <v/>
      </c>
      <c r="G1340">
        <f>IF(F1340=1,_xlfn.BITXOR(E1340,33800),E1340)</f>
        <v/>
      </c>
    </row>
    <row r="1341">
      <c r="A1341" t="n">
        <v>1335</v>
      </c>
      <c r="B1341">
        <f>_DestuffedBits!C1336</f>
        <v/>
      </c>
      <c r="C1341">
        <f>G1340</f>
        <v/>
      </c>
      <c r="D1341">
        <f>_xlfn.BITAND(C1341,1)</f>
        <v/>
      </c>
      <c r="E1341">
        <f>_xlfn.BITRSHIFT(C1341,1)</f>
        <v/>
      </c>
      <c r="F1341">
        <f>_xlfn.BITXOR(D1341,B1341)</f>
        <v/>
      </c>
      <c r="G1341">
        <f>IF(F1341=1,_xlfn.BITXOR(E1341,33800),E1341)</f>
        <v/>
      </c>
    </row>
    <row r="1342">
      <c r="A1342" t="n">
        <v>1336</v>
      </c>
      <c r="B1342">
        <f>_DestuffedBits!C1337</f>
        <v/>
      </c>
      <c r="C1342">
        <f>G1341</f>
        <v/>
      </c>
      <c r="D1342">
        <f>_xlfn.BITAND(C1342,1)</f>
        <v/>
      </c>
      <c r="E1342">
        <f>_xlfn.BITRSHIFT(C1342,1)</f>
        <v/>
      </c>
      <c r="F1342">
        <f>_xlfn.BITXOR(D1342,B1342)</f>
        <v/>
      </c>
      <c r="G1342">
        <f>IF(F1342=1,_xlfn.BITXOR(E1342,33800),E1342)</f>
        <v/>
      </c>
    </row>
    <row r="1343">
      <c r="A1343" t="n">
        <v>1337</v>
      </c>
      <c r="B1343">
        <f>_DestuffedBits!C1338</f>
        <v/>
      </c>
      <c r="C1343">
        <f>G1342</f>
        <v/>
      </c>
      <c r="D1343">
        <f>_xlfn.BITAND(C1343,1)</f>
        <v/>
      </c>
      <c r="E1343">
        <f>_xlfn.BITRSHIFT(C1343,1)</f>
        <v/>
      </c>
      <c r="F1343">
        <f>_xlfn.BITXOR(D1343,B1343)</f>
        <v/>
      </c>
      <c r="G1343">
        <f>IF(F1343=1,_xlfn.BITXOR(E1343,33800),E1343)</f>
        <v/>
      </c>
    </row>
    <row r="1344">
      <c r="A1344" t="n">
        <v>1338</v>
      </c>
      <c r="B1344">
        <f>_DestuffedBits!C1339</f>
        <v/>
      </c>
      <c r="C1344">
        <f>G1343</f>
        <v/>
      </c>
      <c r="D1344">
        <f>_xlfn.BITAND(C1344,1)</f>
        <v/>
      </c>
      <c r="E1344">
        <f>_xlfn.BITRSHIFT(C1344,1)</f>
        <v/>
      </c>
      <c r="F1344">
        <f>_xlfn.BITXOR(D1344,B1344)</f>
        <v/>
      </c>
      <c r="G1344">
        <f>IF(F1344=1,_xlfn.BITXOR(E1344,33800),E1344)</f>
        <v/>
      </c>
    </row>
    <row r="1345">
      <c r="A1345" t="n">
        <v>1339</v>
      </c>
      <c r="B1345">
        <f>_DestuffedBits!C1340</f>
        <v/>
      </c>
      <c r="C1345">
        <f>G1344</f>
        <v/>
      </c>
      <c r="D1345">
        <f>_xlfn.BITAND(C1345,1)</f>
        <v/>
      </c>
      <c r="E1345">
        <f>_xlfn.BITRSHIFT(C1345,1)</f>
        <v/>
      </c>
      <c r="F1345">
        <f>_xlfn.BITXOR(D1345,B1345)</f>
        <v/>
      </c>
      <c r="G1345">
        <f>IF(F1345=1,_xlfn.BITXOR(E1345,33800),E1345)</f>
        <v/>
      </c>
    </row>
    <row r="1346">
      <c r="A1346" t="n">
        <v>1340</v>
      </c>
      <c r="B1346">
        <f>_DestuffedBits!C1341</f>
        <v/>
      </c>
      <c r="C1346">
        <f>G1345</f>
        <v/>
      </c>
      <c r="D1346">
        <f>_xlfn.BITAND(C1346,1)</f>
        <v/>
      </c>
      <c r="E1346">
        <f>_xlfn.BITRSHIFT(C1346,1)</f>
        <v/>
      </c>
      <c r="F1346">
        <f>_xlfn.BITXOR(D1346,B1346)</f>
        <v/>
      </c>
      <c r="G1346">
        <f>IF(F1346=1,_xlfn.BITXOR(E1346,33800),E1346)</f>
        <v/>
      </c>
    </row>
    <row r="1347">
      <c r="A1347" t="n">
        <v>1341</v>
      </c>
      <c r="B1347">
        <f>_DestuffedBits!C1342</f>
        <v/>
      </c>
      <c r="C1347">
        <f>G1346</f>
        <v/>
      </c>
      <c r="D1347">
        <f>_xlfn.BITAND(C1347,1)</f>
        <v/>
      </c>
      <c r="E1347">
        <f>_xlfn.BITRSHIFT(C1347,1)</f>
        <v/>
      </c>
      <c r="F1347">
        <f>_xlfn.BITXOR(D1347,B1347)</f>
        <v/>
      </c>
      <c r="G1347">
        <f>IF(F1347=1,_xlfn.BITXOR(E1347,33800),E1347)</f>
        <v/>
      </c>
    </row>
    <row r="1348">
      <c r="A1348" t="n">
        <v>1342</v>
      </c>
      <c r="B1348">
        <f>_DestuffedBits!C1343</f>
        <v/>
      </c>
      <c r="C1348">
        <f>G1347</f>
        <v/>
      </c>
      <c r="D1348">
        <f>_xlfn.BITAND(C1348,1)</f>
        <v/>
      </c>
      <c r="E1348">
        <f>_xlfn.BITRSHIFT(C1348,1)</f>
        <v/>
      </c>
      <c r="F1348">
        <f>_xlfn.BITXOR(D1348,B1348)</f>
        <v/>
      </c>
      <c r="G1348">
        <f>IF(F1348=1,_xlfn.BITXOR(E1348,33800),E1348)</f>
        <v/>
      </c>
    </row>
    <row r="1349">
      <c r="A1349" t="n">
        <v>1343</v>
      </c>
      <c r="B1349">
        <f>_DestuffedBits!C1344</f>
        <v/>
      </c>
      <c r="C1349">
        <f>G1348</f>
        <v/>
      </c>
      <c r="D1349">
        <f>_xlfn.BITAND(C1349,1)</f>
        <v/>
      </c>
      <c r="E1349">
        <f>_xlfn.BITRSHIFT(C1349,1)</f>
        <v/>
      </c>
      <c r="F1349">
        <f>_xlfn.BITXOR(D1349,B1349)</f>
        <v/>
      </c>
      <c r="G1349">
        <f>IF(F1349=1,_xlfn.BITXOR(E1349,33800),E1349)</f>
        <v/>
      </c>
    </row>
    <row r="1350">
      <c r="A1350" t="n">
        <v>1344</v>
      </c>
      <c r="B1350">
        <f>_DestuffedBits!C1345</f>
        <v/>
      </c>
      <c r="C1350">
        <f>G1349</f>
        <v/>
      </c>
      <c r="D1350">
        <f>_xlfn.BITAND(C1350,1)</f>
        <v/>
      </c>
      <c r="E1350">
        <f>_xlfn.BITRSHIFT(C1350,1)</f>
        <v/>
      </c>
      <c r="F1350">
        <f>_xlfn.BITXOR(D1350,B1350)</f>
        <v/>
      </c>
      <c r="G1350">
        <f>IF(F1350=1,_xlfn.BITXOR(E1350,33800),E1350)</f>
        <v/>
      </c>
    </row>
    <row r="1351">
      <c r="A1351" t="n">
        <v>1345</v>
      </c>
      <c r="B1351">
        <f>_DestuffedBits!C1346</f>
        <v/>
      </c>
      <c r="C1351">
        <f>G1350</f>
        <v/>
      </c>
      <c r="D1351">
        <f>_xlfn.BITAND(C1351,1)</f>
        <v/>
      </c>
      <c r="E1351">
        <f>_xlfn.BITRSHIFT(C1351,1)</f>
        <v/>
      </c>
      <c r="F1351">
        <f>_xlfn.BITXOR(D1351,B1351)</f>
        <v/>
      </c>
      <c r="G1351">
        <f>IF(F1351=1,_xlfn.BITXOR(E1351,33800),E1351)</f>
        <v/>
      </c>
    </row>
    <row r="1352">
      <c r="A1352" t="n">
        <v>1346</v>
      </c>
      <c r="B1352">
        <f>_DestuffedBits!C1347</f>
        <v/>
      </c>
      <c r="C1352">
        <f>G1351</f>
        <v/>
      </c>
      <c r="D1352">
        <f>_xlfn.BITAND(C1352,1)</f>
        <v/>
      </c>
      <c r="E1352">
        <f>_xlfn.BITRSHIFT(C1352,1)</f>
        <v/>
      </c>
      <c r="F1352">
        <f>_xlfn.BITXOR(D1352,B1352)</f>
        <v/>
      </c>
      <c r="G1352">
        <f>IF(F1352=1,_xlfn.BITXOR(E1352,33800),E1352)</f>
        <v/>
      </c>
    </row>
    <row r="1353">
      <c r="A1353" t="n">
        <v>1347</v>
      </c>
      <c r="B1353">
        <f>_DestuffedBits!C1348</f>
        <v/>
      </c>
      <c r="C1353">
        <f>G1352</f>
        <v/>
      </c>
      <c r="D1353">
        <f>_xlfn.BITAND(C1353,1)</f>
        <v/>
      </c>
      <c r="E1353">
        <f>_xlfn.BITRSHIFT(C1353,1)</f>
        <v/>
      </c>
      <c r="F1353">
        <f>_xlfn.BITXOR(D1353,B1353)</f>
        <v/>
      </c>
      <c r="G1353">
        <f>IF(F1353=1,_xlfn.BITXOR(E1353,33800),E1353)</f>
        <v/>
      </c>
    </row>
    <row r="1354">
      <c r="A1354" t="n">
        <v>1348</v>
      </c>
      <c r="B1354">
        <f>_DestuffedBits!C1349</f>
        <v/>
      </c>
      <c r="C1354">
        <f>G1353</f>
        <v/>
      </c>
      <c r="D1354">
        <f>_xlfn.BITAND(C1354,1)</f>
        <v/>
      </c>
      <c r="E1354">
        <f>_xlfn.BITRSHIFT(C1354,1)</f>
        <v/>
      </c>
      <c r="F1354">
        <f>_xlfn.BITXOR(D1354,B1354)</f>
        <v/>
      </c>
      <c r="G1354">
        <f>IF(F1354=1,_xlfn.BITXOR(E1354,33800),E1354)</f>
        <v/>
      </c>
    </row>
    <row r="1355">
      <c r="A1355" t="n">
        <v>1349</v>
      </c>
      <c r="B1355">
        <f>_DestuffedBits!C1350</f>
        <v/>
      </c>
      <c r="C1355">
        <f>G1354</f>
        <v/>
      </c>
      <c r="D1355">
        <f>_xlfn.BITAND(C1355,1)</f>
        <v/>
      </c>
      <c r="E1355">
        <f>_xlfn.BITRSHIFT(C1355,1)</f>
        <v/>
      </c>
      <c r="F1355">
        <f>_xlfn.BITXOR(D1355,B1355)</f>
        <v/>
      </c>
      <c r="G1355">
        <f>IF(F1355=1,_xlfn.BITXOR(E1355,33800),E1355)</f>
        <v/>
      </c>
    </row>
    <row r="1356">
      <c r="A1356" t="n">
        <v>1350</v>
      </c>
      <c r="B1356">
        <f>_DestuffedBits!C1351</f>
        <v/>
      </c>
      <c r="C1356">
        <f>G1355</f>
        <v/>
      </c>
      <c r="D1356">
        <f>_xlfn.BITAND(C1356,1)</f>
        <v/>
      </c>
      <c r="E1356">
        <f>_xlfn.BITRSHIFT(C1356,1)</f>
        <v/>
      </c>
      <c r="F1356">
        <f>_xlfn.BITXOR(D1356,B1356)</f>
        <v/>
      </c>
      <c r="G1356">
        <f>IF(F1356=1,_xlfn.BITXOR(E1356,33800),E1356)</f>
        <v/>
      </c>
    </row>
    <row r="1357">
      <c r="A1357" t="n">
        <v>1351</v>
      </c>
      <c r="B1357">
        <f>_DestuffedBits!C1352</f>
        <v/>
      </c>
      <c r="C1357">
        <f>G1356</f>
        <v/>
      </c>
      <c r="D1357">
        <f>_xlfn.BITAND(C1357,1)</f>
        <v/>
      </c>
      <c r="E1357">
        <f>_xlfn.BITRSHIFT(C1357,1)</f>
        <v/>
      </c>
      <c r="F1357">
        <f>_xlfn.BITXOR(D1357,B1357)</f>
        <v/>
      </c>
      <c r="G1357">
        <f>IF(F1357=1,_xlfn.BITXOR(E1357,33800),E1357)</f>
        <v/>
      </c>
    </row>
    <row r="1358">
      <c r="A1358" t="n">
        <v>1352</v>
      </c>
      <c r="B1358">
        <f>_DestuffedBits!C1353</f>
        <v/>
      </c>
      <c r="C1358">
        <f>G1357</f>
        <v/>
      </c>
      <c r="D1358">
        <f>_xlfn.BITAND(C1358,1)</f>
        <v/>
      </c>
      <c r="E1358">
        <f>_xlfn.BITRSHIFT(C1358,1)</f>
        <v/>
      </c>
      <c r="F1358">
        <f>_xlfn.BITXOR(D1358,B1358)</f>
        <v/>
      </c>
      <c r="G1358">
        <f>IF(F1358=1,_xlfn.BITXOR(E1358,33800),E1358)</f>
        <v/>
      </c>
    </row>
    <row r="1359">
      <c r="A1359" t="n">
        <v>1353</v>
      </c>
      <c r="B1359">
        <f>_DestuffedBits!C1354</f>
        <v/>
      </c>
      <c r="C1359">
        <f>G1358</f>
        <v/>
      </c>
      <c r="D1359">
        <f>_xlfn.BITAND(C1359,1)</f>
        <v/>
      </c>
      <c r="E1359">
        <f>_xlfn.BITRSHIFT(C1359,1)</f>
        <v/>
      </c>
      <c r="F1359">
        <f>_xlfn.BITXOR(D1359,B1359)</f>
        <v/>
      </c>
      <c r="G1359">
        <f>IF(F1359=1,_xlfn.BITXOR(E1359,33800),E1359)</f>
        <v/>
      </c>
    </row>
    <row r="1360">
      <c r="A1360" t="n">
        <v>1354</v>
      </c>
      <c r="B1360">
        <f>_DestuffedBits!C1355</f>
        <v/>
      </c>
      <c r="C1360">
        <f>G1359</f>
        <v/>
      </c>
      <c r="D1360">
        <f>_xlfn.BITAND(C1360,1)</f>
        <v/>
      </c>
      <c r="E1360">
        <f>_xlfn.BITRSHIFT(C1360,1)</f>
        <v/>
      </c>
      <c r="F1360">
        <f>_xlfn.BITXOR(D1360,B1360)</f>
        <v/>
      </c>
      <c r="G1360">
        <f>IF(F1360=1,_xlfn.BITXOR(E1360,33800),E1360)</f>
        <v/>
      </c>
    </row>
    <row r="1361">
      <c r="A1361" t="n">
        <v>1355</v>
      </c>
      <c r="B1361">
        <f>_DestuffedBits!C1356</f>
        <v/>
      </c>
      <c r="C1361">
        <f>G1360</f>
        <v/>
      </c>
      <c r="D1361">
        <f>_xlfn.BITAND(C1361,1)</f>
        <v/>
      </c>
      <c r="E1361">
        <f>_xlfn.BITRSHIFT(C1361,1)</f>
        <v/>
      </c>
      <c r="F1361">
        <f>_xlfn.BITXOR(D1361,B1361)</f>
        <v/>
      </c>
      <c r="G1361">
        <f>IF(F1361=1,_xlfn.BITXOR(E1361,33800),E1361)</f>
        <v/>
      </c>
    </row>
    <row r="1362">
      <c r="A1362" t="n">
        <v>1356</v>
      </c>
      <c r="B1362">
        <f>_DestuffedBits!C1357</f>
        <v/>
      </c>
      <c r="C1362">
        <f>G1361</f>
        <v/>
      </c>
      <c r="D1362">
        <f>_xlfn.BITAND(C1362,1)</f>
        <v/>
      </c>
      <c r="E1362">
        <f>_xlfn.BITRSHIFT(C1362,1)</f>
        <v/>
      </c>
      <c r="F1362">
        <f>_xlfn.BITXOR(D1362,B1362)</f>
        <v/>
      </c>
      <c r="G1362">
        <f>IF(F1362=1,_xlfn.BITXOR(E1362,33800),E1362)</f>
        <v/>
      </c>
    </row>
    <row r="1363">
      <c r="A1363" t="n">
        <v>1357</v>
      </c>
      <c r="B1363">
        <f>_DestuffedBits!C1358</f>
        <v/>
      </c>
      <c r="C1363">
        <f>G1362</f>
        <v/>
      </c>
      <c r="D1363">
        <f>_xlfn.BITAND(C1363,1)</f>
        <v/>
      </c>
      <c r="E1363">
        <f>_xlfn.BITRSHIFT(C1363,1)</f>
        <v/>
      </c>
      <c r="F1363">
        <f>_xlfn.BITXOR(D1363,B1363)</f>
        <v/>
      </c>
      <c r="G1363">
        <f>IF(F1363=1,_xlfn.BITXOR(E1363,33800),E1363)</f>
        <v/>
      </c>
    </row>
    <row r="1364">
      <c r="A1364" t="n">
        <v>1358</v>
      </c>
      <c r="B1364">
        <f>_DestuffedBits!C1359</f>
        <v/>
      </c>
      <c r="C1364">
        <f>G1363</f>
        <v/>
      </c>
      <c r="D1364">
        <f>_xlfn.BITAND(C1364,1)</f>
        <v/>
      </c>
      <c r="E1364">
        <f>_xlfn.BITRSHIFT(C1364,1)</f>
        <v/>
      </c>
      <c r="F1364">
        <f>_xlfn.BITXOR(D1364,B1364)</f>
        <v/>
      </c>
      <c r="G1364">
        <f>IF(F1364=1,_xlfn.BITXOR(E1364,33800),E1364)</f>
        <v/>
      </c>
    </row>
    <row r="1365">
      <c r="A1365" t="n">
        <v>1359</v>
      </c>
      <c r="B1365">
        <f>_DestuffedBits!C1360</f>
        <v/>
      </c>
      <c r="C1365">
        <f>G1364</f>
        <v/>
      </c>
      <c r="D1365">
        <f>_xlfn.BITAND(C1365,1)</f>
        <v/>
      </c>
      <c r="E1365">
        <f>_xlfn.BITRSHIFT(C1365,1)</f>
        <v/>
      </c>
      <c r="F1365">
        <f>_xlfn.BITXOR(D1365,B1365)</f>
        <v/>
      </c>
      <c r="G1365">
        <f>IF(F1365=1,_xlfn.BITXOR(E1365,33800),E1365)</f>
        <v/>
      </c>
    </row>
    <row r="1366">
      <c r="A1366" t="n">
        <v>1360</v>
      </c>
      <c r="B1366">
        <f>_DestuffedBits!C1361</f>
        <v/>
      </c>
      <c r="C1366">
        <f>G1365</f>
        <v/>
      </c>
      <c r="D1366">
        <f>_xlfn.BITAND(C1366,1)</f>
        <v/>
      </c>
      <c r="E1366">
        <f>_xlfn.BITRSHIFT(C1366,1)</f>
        <v/>
      </c>
      <c r="F1366">
        <f>_xlfn.BITXOR(D1366,B1366)</f>
        <v/>
      </c>
      <c r="G1366">
        <f>IF(F1366=1,_xlfn.BITXOR(E1366,33800),E1366)</f>
        <v/>
      </c>
    </row>
    <row r="1367">
      <c r="A1367" t="n">
        <v>1361</v>
      </c>
      <c r="B1367">
        <f>_DestuffedBits!C1362</f>
        <v/>
      </c>
      <c r="C1367">
        <f>G1366</f>
        <v/>
      </c>
      <c r="D1367">
        <f>_xlfn.BITAND(C1367,1)</f>
        <v/>
      </c>
      <c r="E1367">
        <f>_xlfn.BITRSHIFT(C1367,1)</f>
        <v/>
      </c>
      <c r="F1367">
        <f>_xlfn.BITXOR(D1367,B1367)</f>
        <v/>
      </c>
      <c r="G1367">
        <f>IF(F1367=1,_xlfn.BITXOR(E1367,33800),E1367)</f>
        <v/>
      </c>
    </row>
    <row r="1368">
      <c r="A1368" t="n">
        <v>1362</v>
      </c>
      <c r="B1368">
        <f>_DestuffedBits!C1363</f>
        <v/>
      </c>
      <c r="C1368">
        <f>G1367</f>
        <v/>
      </c>
      <c r="D1368">
        <f>_xlfn.BITAND(C1368,1)</f>
        <v/>
      </c>
      <c r="E1368">
        <f>_xlfn.BITRSHIFT(C1368,1)</f>
        <v/>
      </c>
      <c r="F1368">
        <f>_xlfn.BITXOR(D1368,B1368)</f>
        <v/>
      </c>
      <c r="G1368">
        <f>IF(F1368=1,_xlfn.BITXOR(E1368,33800),E1368)</f>
        <v/>
      </c>
    </row>
    <row r="1369">
      <c r="A1369" t="n">
        <v>1363</v>
      </c>
      <c r="B1369">
        <f>_DestuffedBits!C1364</f>
        <v/>
      </c>
      <c r="C1369">
        <f>G1368</f>
        <v/>
      </c>
      <c r="D1369">
        <f>_xlfn.BITAND(C1369,1)</f>
        <v/>
      </c>
      <c r="E1369">
        <f>_xlfn.BITRSHIFT(C1369,1)</f>
        <v/>
      </c>
      <c r="F1369">
        <f>_xlfn.BITXOR(D1369,B1369)</f>
        <v/>
      </c>
      <c r="G1369">
        <f>IF(F1369=1,_xlfn.BITXOR(E1369,33800),E1369)</f>
        <v/>
      </c>
    </row>
    <row r="1370">
      <c r="A1370" t="n">
        <v>1364</v>
      </c>
      <c r="B1370">
        <f>_DestuffedBits!C1365</f>
        <v/>
      </c>
      <c r="C1370">
        <f>G1369</f>
        <v/>
      </c>
      <c r="D1370">
        <f>_xlfn.BITAND(C1370,1)</f>
        <v/>
      </c>
      <c r="E1370">
        <f>_xlfn.BITRSHIFT(C1370,1)</f>
        <v/>
      </c>
      <c r="F1370">
        <f>_xlfn.BITXOR(D1370,B1370)</f>
        <v/>
      </c>
      <c r="G1370">
        <f>IF(F1370=1,_xlfn.BITXOR(E1370,33800),E1370)</f>
        <v/>
      </c>
    </row>
    <row r="1371">
      <c r="A1371" t="n">
        <v>1365</v>
      </c>
      <c r="B1371">
        <f>_DestuffedBits!C1366</f>
        <v/>
      </c>
      <c r="C1371">
        <f>G1370</f>
        <v/>
      </c>
      <c r="D1371">
        <f>_xlfn.BITAND(C1371,1)</f>
        <v/>
      </c>
      <c r="E1371">
        <f>_xlfn.BITRSHIFT(C1371,1)</f>
        <v/>
      </c>
      <c r="F1371">
        <f>_xlfn.BITXOR(D1371,B1371)</f>
        <v/>
      </c>
      <c r="G1371">
        <f>IF(F1371=1,_xlfn.BITXOR(E1371,33800),E1371)</f>
        <v/>
      </c>
    </row>
    <row r="1372">
      <c r="A1372" t="n">
        <v>1366</v>
      </c>
      <c r="B1372">
        <f>_DestuffedBits!C1367</f>
        <v/>
      </c>
      <c r="C1372">
        <f>G1371</f>
        <v/>
      </c>
      <c r="D1372">
        <f>_xlfn.BITAND(C1372,1)</f>
        <v/>
      </c>
      <c r="E1372">
        <f>_xlfn.BITRSHIFT(C1372,1)</f>
        <v/>
      </c>
      <c r="F1372">
        <f>_xlfn.BITXOR(D1372,B1372)</f>
        <v/>
      </c>
      <c r="G1372">
        <f>IF(F1372=1,_xlfn.BITXOR(E1372,33800),E1372)</f>
        <v/>
      </c>
    </row>
    <row r="1373">
      <c r="A1373" t="n">
        <v>1367</v>
      </c>
      <c r="B1373">
        <f>_DestuffedBits!C1368</f>
        <v/>
      </c>
      <c r="C1373">
        <f>G1372</f>
        <v/>
      </c>
      <c r="D1373">
        <f>_xlfn.BITAND(C1373,1)</f>
        <v/>
      </c>
      <c r="E1373">
        <f>_xlfn.BITRSHIFT(C1373,1)</f>
        <v/>
      </c>
      <c r="F1373">
        <f>_xlfn.BITXOR(D1373,B1373)</f>
        <v/>
      </c>
      <c r="G1373">
        <f>IF(F1373=1,_xlfn.BITXOR(E1373,33800),E1373)</f>
        <v/>
      </c>
    </row>
    <row r="1374">
      <c r="A1374" t="n">
        <v>1368</v>
      </c>
      <c r="B1374">
        <f>_DestuffedBits!C1369</f>
        <v/>
      </c>
      <c r="C1374">
        <f>G1373</f>
        <v/>
      </c>
      <c r="D1374">
        <f>_xlfn.BITAND(C1374,1)</f>
        <v/>
      </c>
      <c r="E1374">
        <f>_xlfn.BITRSHIFT(C1374,1)</f>
        <v/>
      </c>
      <c r="F1374">
        <f>_xlfn.BITXOR(D1374,B1374)</f>
        <v/>
      </c>
      <c r="G1374">
        <f>IF(F1374=1,_xlfn.BITXOR(E1374,33800),E1374)</f>
        <v/>
      </c>
    </row>
    <row r="1375">
      <c r="A1375" t="n">
        <v>1369</v>
      </c>
      <c r="B1375">
        <f>_DestuffedBits!C1370</f>
        <v/>
      </c>
      <c r="C1375">
        <f>G1374</f>
        <v/>
      </c>
      <c r="D1375">
        <f>_xlfn.BITAND(C1375,1)</f>
        <v/>
      </c>
      <c r="E1375">
        <f>_xlfn.BITRSHIFT(C1375,1)</f>
        <v/>
      </c>
      <c r="F1375">
        <f>_xlfn.BITXOR(D1375,B1375)</f>
        <v/>
      </c>
      <c r="G1375">
        <f>IF(F1375=1,_xlfn.BITXOR(E1375,33800),E1375)</f>
        <v/>
      </c>
    </row>
    <row r="1376">
      <c r="A1376" t="n">
        <v>1370</v>
      </c>
      <c r="B1376">
        <f>_DestuffedBits!C1371</f>
        <v/>
      </c>
      <c r="C1376">
        <f>G1375</f>
        <v/>
      </c>
      <c r="D1376">
        <f>_xlfn.BITAND(C1376,1)</f>
        <v/>
      </c>
      <c r="E1376">
        <f>_xlfn.BITRSHIFT(C1376,1)</f>
        <v/>
      </c>
      <c r="F1376">
        <f>_xlfn.BITXOR(D1376,B1376)</f>
        <v/>
      </c>
      <c r="G1376">
        <f>IF(F1376=1,_xlfn.BITXOR(E1376,33800),E1376)</f>
        <v/>
      </c>
    </row>
    <row r="1377">
      <c r="A1377" t="n">
        <v>1371</v>
      </c>
      <c r="B1377">
        <f>_DestuffedBits!C1372</f>
        <v/>
      </c>
      <c r="C1377">
        <f>G1376</f>
        <v/>
      </c>
      <c r="D1377">
        <f>_xlfn.BITAND(C1377,1)</f>
        <v/>
      </c>
      <c r="E1377">
        <f>_xlfn.BITRSHIFT(C1377,1)</f>
        <v/>
      </c>
      <c r="F1377">
        <f>_xlfn.BITXOR(D1377,B1377)</f>
        <v/>
      </c>
      <c r="G1377">
        <f>IF(F1377=1,_xlfn.BITXOR(E1377,33800),E1377)</f>
        <v/>
      </c>
    </row>
    <row r="1378">
      <c r="A1378" t="n">
        <v>1372</v>
      </c>
      <c r="B1378">
        <f>_DestuffedBits!C1373</f>
        <v/>
      </c>
      <c r="C1378">
        <f>G1377</f>
        <v/>
      </c>
      <c r="D1378">
        <f>_xlfn.BITAND(C1378,1)</f>
        <v/>
      </c>
      <c r="E1378">
        <f>_xlfn.BITRSHIFT(C1378,1)</f>
        <v/>
      </c>
      <c r="F1378">
        <f>_xlfn.BITXOR(D1378,B1378)</f>
        <v/>
      </c>
      <c r="G1378">
        <f>IF(F1378=1,_xlfn.BITXOR(E1378,33800),E1378)</f>
        <v/>
      </c>
    </row>
    <row r="1379">
      <c r="A1379" t="n">
        <v>1373</v>
      </c>
      <c r="B1379">
        <f>_DestuffedBits!C1374</f>
        <v/>
      </c>
      <c r="C1379">
        <f>G1378</f>
        <v/>
      </c>
      <c r="D1379">
        <f>_xlfn.BITAND(C1379,1)</f>
        <v/>
      </c>
      <c r="E1379">
        <f>_xlfn.BITRSHIFT(C1379,1)</f>
        <v/>
      </c>
      <c r="F1379">
        <f>_xlfn.BITXOR(D1379,B1379)</f>
        <v/>
      </c>
      <c r="G1379">
        <f>IF(F1379=1,_xlfn.BITXOR(E1379,33800),E1379)</f>
        <v/>
      </c>
    </row>
    <row r="1380">
      <c r="A1380" t="n">
        <v>1374</v>
      </c>
      <c r="B1380">
        <f>_DestuffedBits!C1375</f>
        <v/>
      </c>
      <c r="C1380">
        <f>G1379</f>
        <v/>
      </c>
      <c r="D1380">
        <f>_xlfn.BITAND(C1380,1)</f>
        <v/>
      </c>
      <c r="E1380">
        <f>_xlfn.BITRSHIFT(C1380,1)</f>
        <v/>
      </c>
      <c r="F1380">
        <f>_xlfn.BITXOR(D1380,B1380)</f>
        <v/>
      </c>
      <c r="G1380">
        <f>IF(F1380=1,_xlfn.BITXOR(E1380,33800),E1380)</f>
        <v/>
      </c>
    </row>
    <row r="1381">
      <c r="A1381" t="n">
        <v>1375</v>
      </c>
      <c r="B1381">
        <f>_DestuffedBits!C1376</f>
        <v/>
      </c>
      <c r="C1381">
        <f>G1380</f>
        <v/>
      </c>
      <c r="D1381">
        <f>_xlfn.BITAND(C1381,1)</f>
        <v/>
      </c>
      <c r="E1381">
        <f>_xlfn.BITRSHIFT(C1381,1)</f>
        <v/>
      </c>
      <c r="F1381">
        <f>_xlfn.BITXOR(D1381,B1381)</f>
        <v/>
      </c>
      <c r="G1381">
        <f>IF(F1381=1,_xlfn.BITXOR(E1381,33800),E1381)</f>
        <v/>
      </c>
    </row>
    <row r="1382">
      <c r="A1382" t="n">
        <v>1376</v>
      </c>
      <c r="B1382">
        <f>_DestuffedBits!C1377</f>
        <v/>
      </c>
      <c r="C1382">
        <f>G1381</f>
        <v/>
      </c>
      <c r="D1382">
        <f>_xlfn.BITAND(C1382,1)</f>
        <v/>
      </c>
      <c r="E1382">
        <f>_xlfn.BITRSHIFT(C1382,1)</f>
        <v/>
      </c>
      <c r="F1382">
        <f>_xlfn.BITXOR(D1382,B1382)</f>
        <v/>
      </c>
      <c r="G1382">
        <f>IF(F1382=1,_xlfn.BITXOR(E1382,33800),E1382)</f>
        <v/>
      </c>
    </row>
    <row r="1383">
      <c r="A1383" t="n">
        <v>1377</v>
      </c>
      <c r="B1383">
        <f>_DestuffedBits!C1378</f>
        <v/>
      </c>
      <c r="C1383">
        <f>G1382</f>
        <v/>
      </c>
      <c r="D1383">
        <f>_xlfn.BITAND(C1383,1)</f>
        <v/>
      </c>
      <c r="E1383">
        <f>_xlfn.BITRSHIFT(C1383,1)</f>
        <v/>
      </c>
      <c r="F1383">
        <f>_xlfn.BITXOR(D1383,B1383)</f>
        <v/>
      </c>
      <c r="G1383">
        <f>IF(F1383=1,_xlfn.BITXOR(E1383,33800),E1383)</f>
        <v/>
      </c>
    </row>
    <row r="1384">
      <c r="A1384" t="n">
        <v>1378</v>
      </c>
      <c r="B1384">
        <f>_DestuffedBits!C1379</f>
        <v/>
      </c>
      <c r="C1384">
        <f>G1383</f>
        <v/>
      </c>
      <c r="D1384">
        <f>_xlfn.BITAND(C1384,1)</f>
        <v/>
      </c>
      <c r="E1384">
        <f>_xlfn.BITRSHIFT(C1384,1)</f>
        <v/>
      </c>
      <c r="F1384">
        <f>_xlfn.BITXOR(D1384,B1384)</f>
        <v/>
      </c>
      <c r="G1384">
        <f>IF(F1384=1,_xlfn.BITXOR(E1384,33800),E1384)</f>
        <v/>
      </c>
    </row>
    <row r="1385">
      <c r="A1385" t="n">
        <v>1379</v>
      </c>
      <c r="B1385">
        <f>_DestuffedBits!C1380</f>
        <v/>
      </c>
      <c r="C1385">
        <f>G1384</f>
        <v/>
      </c>
      <c r="D1385">
        <f>_xlfn.BITAND(C1385,1)</f>
        <v/>
      </c>
      <c r="E1385">
        <f>_xlfn.BITRSHIFT(C1385,1)</f>
        <v/>
      </c>
      <c r="F1385">
        <f>_xlfn.BITXOR(D1385,B1385)</f>
        <v/>
      </c>
      <c r="G1385">
        <f>IF(F1385=1,_xlfn.BITXOR(E1385,33800),E1385)</f>
        <v/>
      </c>
    </row>
    <row r="1386">
      <c r="A1386" t="n">
        <v>1380</v>
      </c>
      <c r="B1386">
        <f>_DestuffedBits!C1381</f>
        <v/>
      </c>
      <c r="C1386">
        <f>G1385</f>
        <v/>
      </c>
      <c r="D1386">
        <f>_xlfn.BITAND(C1386,1)</f>
        <v/>
      </c>
      <c r="E1386">
        <f>_xlfn.BITRSHIFT(C1386,1)</f>
        <v/>
      </c>
      <c r="F1386">
        <f>_xlfn.BITXOR(D1386,B1386)</f>
        <v/>
      </c>
      <c r="G1386">
        <f>IF(F1386=1,_xlfn.BITXOR(E1386,33800),E1386)</f>
        <v/>
      </c>
    </row>
    <row r="1387">
      <c r="A1387" t="n">
        <v>1381</v>
      </c>
      <c r="B1387">
        <f>_DestuffedBits!C1382</f>
        <v/>
      </c>
      <c r="C1387">
        <f>G1386</f>
        <v/>
      </c>
      <c r="D1387">
        <f>_xlfn.BITAND(C1387,1)</f>
        <v/>
      </c>
      <c r="E1387">
        <f>_xlfn.BITRSHIFT(C1387,1)</f>
        <v/>
      </c>
      <c r="F1387">
        <f>_xlfn.BITXOR(D1387,B1387)</f>
        <v/>
      </c>
      <c r="G1387">
        <f>IF(F1387=1,_xlfn.BITXOR(E1387,33800),E1387)</f>
        <v/>
      </c>
    </row>
    <row r="1388">
      <c r="A1388" t="n">
        <v>1382</v>
      </c>
      <c r="B1388">
        <f>_DestuffedBits!C1383</f>
        <v/>
      </c>
      <c r="C1388">
        <f>G1387</f>
        <v/>
      </c>
      <c r="D1388">
        <f>_xlfn.BITAND(C1388,1)</f>
        <v/>
      </c>
      <c r="E1388">
        <f>_xlfn.BITRSHIFT(C1388,1)</f>
        <v/>
      </c>
      <c r="F1388">
        <f>_xlfn.BITXOR(D1388,B1388)</f>
        <v/>
      </c>
      <c r="G1388">
        <f>IF(F1388=1,_xlfn.BITXOR(E1388,33800),E1388)</f>
        <v/>
      </c>
    </row>
    <row r="1389">
      <c r="A1389" t="n">
        <v>1383</v>
      </c>
      <c r="B1389">
        <f>_DestuffedBits!C1384</f>
        <v/>
      </c>
      <c r="C1389">
        <f>G1388</f>
        <v/>
      </c>
      <c r="D1389">
        <f>_xlfn.BITAND(C1389,1)</f>
        <v/>
      </c>
      <c r="E1389">
        <f>_xlfn.BITRSHIFT(C1389,1)</f>
        <v/>
      </c>
      <c r="F1389">
        <f>_xlfn.BITXOR(D1389,B1389)</f>
        <v/>
      </c>
      <c r="G1389">
        <f>IF(F1389=1,_xlfn.BITXOR(E1389,33800),E1389)</f>
        <v/>
      </c>
    </row>
    <row r="1390">
      <c r="A1390" t="n">
        <v>1384</v>
      </c>
      <c r="B1390">
        <f>_DestuffedBits!C1385</f>
        <v/>
      </c>
      <c r="C1390">
        <f>G1389</f>
        <v/>
      </c>
      <c r="D1390">
        <f>_xlfn.BITAND(C1390,1)</f>
        <v/>
      </c>
      <c r="E1390">
        <f>_xlfn.BITRSHIFT(C1390,1)</f>
        <v/>
      </c>
      <c r="F1390">
        <f>_xlfn.BITXOR(D1390,B1390)</f>
        <v/>
      </c>
      <c r="G1390">
        <f>IF(F1390=1,_xlfn.BITXOR(E1390,33800),E1390)</f>
        <v/>
      </c>
    </row>
    <row r="1391">
      <c r="A1391" t="n">
        <v>1385</v>
      </c>
      <c r="B1391">
        <f>_DestuffedBits!C1386</f>
        <v/>
      </c>
      <c r="C1391">
        <f>G1390</f>
        <v/>
      </c>
      <c r="D1391">
        <f>_xlfn.BITAND(C1391,1)</f>
        <v/>
      </c>
      <c r="E1391">
        <f>_xlfn.BITRSHIFT(C1391,1)</f>
        <v/>
      </c>
      <c r="F1391">
        <f>_xlfn.BITXOR(D1391,B1391)</f>
        <v/>
      </c>
      <c r="G1391">
        <f>IF(F1391=1,_xlfn.BITXOR(E1391,33800),E1391)</f>
        <v/>
      </c>
    </row>
    <row r="1392">
      <c r="A1392" t="n">
        <v>1386</v>
      </c>
      <c r="B1392">
        <f>_DestuffedBits!C1387</f>
        <v/>
      </c>
      <c r="C1392">
        <f>G1391</f>
        <v/>
      </c>
      <c r="D1392">
        <f>_xlfn.BITAND(C1392,1)</f>
        <v/>
      </c>
      <c r="E1392">
        <f>_xlfn.BITRSHIFT(C1392,1)</f>
        <v/>
      </c>
      <c r="F1392">
        <f>_xlfn.BITXOR(D1392,B1392)</f>
        <v/>
      </c>
      <c r="G1392">
        <f>IF(F1392=1,_xlfn.BITXOR(E1392,33800),E1392)</f>
        <v/>
      </c>
    </row>
    <row r="1393">
      <c r="A1393" t="n">
        <v>1387</v>
      </c>
      <c r="B1393">
        <f>_DestuffedBits!C1388</f>
        <v/>
      </c>
      <c r="C1393">
        <f>G1392</f>
        <v/>
      </c>
      <c r="D1393">
        <f>_xlfn.BITAND(C1393,1)</f>
        <v/>
      </c>
      <c r="E1393">
        <f>_xlfn.BITRSHIFT(C1393,1)</f>
        <v/>
      </c>
      <c r="F1393">
        <f>_xlfn.BITXOR(D1393,B1393)</f>
        <v/>
      </c>
      <c r="G1393">
        <f>IF(F1393=1,_xlfn.BITXOR(E1393,33800),E1393)</f>
        <v/>
      </c>
    </row>
    <row r="1394">
      <c r="A1394" t="n">
        <v>1388</v>
      </c>
      <c r="B1394">
        <f>_DestuffedBits!C1389</f>
        <v/>
      </c>
      <c r="C1394">
        <f>G1393</f>
        <v/>
      </c>
      <c r="D1394">
        <f>_xlfn.BITAND(C1394,1)</f>
        <v/>
      </c>
      <c r="E1394">
        <f>_xlfn.BITRSHIFT(C1394,1)</f>
        <v/>
      </c>
      <c r="F1394">
        <f>_xlfn.BITXOR(D1394,B1394)</f>
        <v/>
      </c>
      <c r="G1394">
        <f>IF(F1394=1,_xlfn.BITXOR(E1394,33800),E1394)</f>
        <v/>
      </c>
    </row>
    <row r="1395">
      <c r="A1395" t="n">
        <v>1389</v>
      </c>
      <c r="B1395">
        <f>_DestuffedBits!C1390</f>
        <v/>
      </c>
      <c r="C1395">
        <f>G1394</f>
        <v/>
      </c>
      <c r="D1395">
        <f>_xlfn.BITAND(C1395,1)</f>
        <v/>
      </c>
      <c r="E1395">
        <f>_xlfn.BITRSHIFT(C1395,1)</f>
        <v/>
      </c>
      <c r="F1395">
        <f>_xlfn.BITXOR(D1395,B1395)</f>
        <v/>
      </c>
      <c r="G1395">
        <f>IF(F1395=1,_xlfn.BITXOR(E1395,33800),E1395)</f>
        <v/>
      </c>
    </row>
    <row r="1396">
      <c r="A1396" t="n">
        <v>1390</v>
      </c>
      <c r="B1396">
        <f>_DestuffedBits!C1391</f>
        <v/>
      </c>
      <c r="C1396">
        <f>G1395</f>
        <v/>
      </c>
      <c r="D1396">
        <f>_xlfn.BITAND(C1396,1)</f>
        <v/>
      </c>
      <c r="E1396">
        <f>_xlfn.BITRSHIFT(C1396,1)</f>
        <v/>
      </c>
      <c r="F1396">
        <f>_xlfn.BITXOR(D1396,B1396)</f>
        <v/>
      </c>
      <c r="G1396">
        <f>IF(F1396=1,_xlfn.BITXOR(E1396,33800),E1396)</f>
        <v/>
      </c>
    </row>
    <row r="1397">
      <c r="A1397" t="n">
        <v>1391</v>
      </c>
      <c r="B1397">
        <f>_DestuffedBits!C1392</f>
        <v/>
      </c>
      <c r="C1397">
        <f>G1396</f>
        <v/>
      </c>
      <c r="D1397">
        <f>_xlfn.BITAND(C1397,1)</f>
        <v/>
      </c>
      <c r="E1397">
        <f>_xlfn.BITRSHIFT(C1397,1)</f>
        <v/>
      </c>
      <c r="F1397">
        <f>_xlfn.BITXOR(D1397,B1397)</f>
        <v/>
      </c>
      <c r="G1397">
        <f>IF(F1397=1,_xlfn.BITXOR(E1397,33800),E1397)</f>
        <v/>
      </c>
    </row>
    <row r="1398">
      <c r="A1398" t="n">
        <v>1392</v>
      </c>
      <c r="B1398">
        <f>_DestuffedBits!C1393</f>
        <v/>
      </c>
      <c r="C1398">
        <f>G1397</f>
        <v/>
      </c>
      <c r="D1398">
        <f>_xlfn.BITAND(C1398,1)</f>
        <v/>
      </c>
      <c r="E1398">
        <f>_xlfn.BITRSHIFT(C1398,1)</f>
        <v/>
      </c>
      <c r="F1398">
        <f>_xlfn.BITXOR(D1398,B1398)</f>
        <v/>
      </c>
      <c r="G1398">
        <f>IF(F1398=1,_xlfn.BITXOR(E1398,33800),E1398)</f>
        <v/>
      </c>
    </row>
    <row r="1399">
      <c r="A1399" t="n">
        <v>1393</v>
      </c>
      <c r="B1399">
        <f>_DestuffedBits!C1394</f>
        <v/>
      </c>
      <c r="C1399">
        <f>G1398</f>
        <v/>
      </c>
      <c r="D1399">
        <f>_xlfn.BITAND(C1399,1)</f>
        <v/>
      </c>
      <c r="E1399">
        <f>_xlfn.BITRSHIFT(C1399,1)</f>
        <v/>
      </c>
      <c r="F1399">
        <f>_xlfn.BITXOR(D1399,B1399)</f>
        <v/>
      </c>
      <c r="G1399">
        <f>IF(F1399=1,_xlfn.BITXOR(E1399,33800),E1399)</f>
        <v/>
      </c>
    </row>
    <row r="1400">
      <c r="A1400" t="n">
        <v>1394</v>
      </c>
      <c r="B1400">
        <f>_DestuffedBits!C1395</f>
        <v/>
      </c>
      <c r="C1400">
        <f>G1399</f>
        <v/>
      </c>
      <c r="D1400">
        <f>_xlfn.BITAND(C1400,1)</f>
        <v/>
      </c>
      <c r="E1400">
        <f>_xlfn.BITRSHIFT(C1400,1)</f>
        <v/>
      </c>
      <c r="F1400">
        <f>_xlfn.BITXOR(D1400,B1400)</f>
        <v/>
      </c>
      <c r="G1400">
        <f>IF(F1400=1,_xlfn.BITXOR(E1400,33800),E1400)</f>
        <v/>
      </c>
    </row>
    <row r="1401">
      <c r="A1401" t="n">
        <v>1395</v>
      </c>
      <c r="B1401">
        <f>_DestuffedBits!C1396</f>
        <v/>
      </c>
      <c r="C1401">
        <f>G1400</f>
        <v/>
      </c>
      <c r="D1401">
        <f>_xlfn.BITAND(C1401,1)</f>
        <v/>
      </c>
      <c r="E1401">
        <f>_xlfn.BITRSHIFT(C1401,1)</f>
        <v/>
      </c>
      <c r="F1401">
        <f>_xlfn.BITXOR(D1401,B1401)</f>
        <v/>
      </c>
      <c r="G1401">
        <f>IF(F1401=1,_xlfn.BITXOR(E1401,33800),E1401)</f>
        <v/>
      </c>
    </row>
    <row r="1402">
      <c r="A1402" t="n">
        <v>1396</v>
      </c>
      <c r="B1402">
        <f>_DestuffedBits!C1397</f>
        <v/>
      </c>
      <c r="C1402">
        <f>G1401</f>
        <v/>
      </c>
      <c r="D1402">
        <f>_xlfn.BITAND(C1402,1)</f>
        <v/>
      </c>
      <c r="E1402">
        <f>_xlfn.BITRSHIFT(C1402,1)</f>
        <v/>
      </c>
      <c r="F1402">
        <f>_xlfn.BITXOR(D1402,B1402)</f>
        <v/>
      </c>
      <c r="G1402">
        <f>IF(F1402=1,_xlfn.BITXOR(E1402,33800),E1402)</f>
        <v/>
      </c>
    </row>
    <row r="1403">
      <c r="A1403" t="n">
        <v>1397</v>
      </c>
      <c r="B1403">
        <f>_DestuffedBits!C1398</f>
        <v/>
      </c>
      <c r="C1403">
        <f>G1402</f>
        <v/>
      </c>
      <c r="D1403">
        <f>_xlfn.BITAND(C1403,1)</f>
        <v/>
      </c>
      <c r="E1403">
        <f>_xlfn.BITRSHIFT(C1403,1)</f>
        <v/>
      </c>
      <c r="F1403">
        <f>_xlfn.BITXOR(D1403,B1403)</f>
        <v/>
      </c>
      <c r="G1403">
        <f>IF(F1403=1,_xlfn.BITXOR(E1403,33800),E1403)</f>
        <v/>
      </c>
    </row>
    <row r="1404">
      <c r="A1404" t="n">
        <v>1398</v>
      </c>
      <c r="B1404">
        <f>_DestuffedBits!C1399</f>
        <v/>
      </c>
      <c r="C1404">
        <f>G1403</f>
        <v/>
      </c>
      <c r="D1404">
        <f>_xlfn.BITAND(C1404,1)</f>
        <v/>
      </c>
      <c r="E1404">
        <f>_xlfn.BITRSHIFT(C1404,1)</f>
        <v/>
      </c>
      <c r="F1404">
        <f>_xlfn.BITXOR(D1404,B1404)</f>
        <v/>
      </c>
      <c r="G1404">
        <f>IF(F1404=1,_xlfn.BITXOR(E1404,33800),E1404)</f>
        <v/>
      </c>
    </row>
    <row r="1405">
      <c r="A1405" t="n">
        <v>1399</v>
      </c>
      <c r="B1405">
        <f>_DestuffedBits!C1400</f>
        <v/>
      </c>
      <c r="C1405">
        <f>G1404</f>
        <v/>
      </c>
      <c r="D1405">
        <f>_xlfn.BITAND(C1405,1)</f>
        <v/>
      </c>
      <c r="E1405">
        <f>_xlfn.BITRSHIFT(C1405,1)</f>
        <v/>
      </c>
      <c r="F1405">
        <f>_xlfn.BITXOR(D1405,B1405)</f>
        <v/>
      </c>
      <c r="G1405">
        <f>IF(F1405=1,_xlfn.BITXOR(E1405,33800),E1405)</f>
        <v/>
      </c>
    </row>
    <row r="1406">
      <c r="A1406" t="n">
        <v>1400</v>
      </c>
      <c r="B1406">
        <f>_DestuffedBits!C1401</f>
        <v/>
      </c>
      <c r="C1406">
        <f>G1405</f>
        <v/>
      </c>
      <c r="D1406">
        <f>_xlfn.BITAND(C1406,1)</f>
        <v/>
      </c>
      <c r="E1406">
        <f>_xlfn.BITRSHIFT(C1406,1)</f>
        <v/>
      </c>
      <c r="F1406">
        <f>_xlfn.BITXOR(D1406,B1406)</f>
        <v/>
      </c>
      <c r="G1406">
        <f>IF(F1406=1,_xlfn.BITXOR(E1406,33800),E1406)</f>
        <v/>
      </c>
    </row>
    <row r="1407">
      <c r="A1407" t="n">
        <v>1401</v>
      </c>
      <c r="B1407">
        <f>_DestuffedBits!C1402</f>
        <v/>
      </c>
      <c r="C1407">
        <f>G1406</f>
        <v/>
      </c>
      <c r="D1407">
        <f>_xlfn.BITAND(C1407,1)</f>
        <v/>
      </c>
      <c r="E1407">
        <f>_xlfn.BITRSHIFT(C1407,1)</f>
        <v/>
      </c>
      <c r="F1407">
        <f>_xlfn.BITXOR(D1407,B1407)</f>
        <v/>
      </c>
      <c r="G1407">
        <f>IF(F1407=1,_xlfn.BITXOR(E1407,33800),E1407)</f>
        <v/>
      </c>
    </row>
    <row r="1408">
      <c r="A1408" t="n">
        <v>1402</v>
      </c>
      <c r="B1408">
        <f>_DestuffedBits!C1403</f>
        <v/>
      </c>
      <c r="C1408">
        <f>G1407</f>
        <v/>
      </c>
      <c r="D1408">
        <f>_xlfn.BITAND(C1408,1)</f>
        <v/>
      </c>
      <c r="E1408">
        <f>_xlfn.BITRSHIFT(C1408,1)</f>
        <v/>
      </c>
      <c r="F1408">
        <f>_xlfn.BITXOR(D1408,B1408)</f>
        <v/>
      </c>
      <c r="G1408">
        <f>IF(F1408=1,_xlfn.BITXOR(E1408,33800),E1408)</f>
        <v/>
      </c>
    </row>
    <row r="1409">
      <c r="A1409" t="n">
        <v>1403</v>
      </c>
      <c r="B1409">
        <f>_DestuffedBits!C1404</f>
        <v/>
      </c>
      <c r="C1409">
        <f>G1408</f>
        <v/>
      </c>
      <c r="D1409">
        <f>_xlfn.BITAND(C1409,1)</f>
        <v/>
      </c>
      <c r="E1409">
        <f>_xlfn.BITRSHIFT(C1409,1)</f>
        <v/>
      </c>
      <c r="F1409">
        <f>_xlfn.BITXOR(D1409,B1409)</f>
        <v/>
      </c>
      <c r="G1409">
        <f>IF(F1409=1,_xlfn.BITXOR(E1409,33800),E1409)</f>
        <v/>
      </c>
    </row>
    <row r="1410">
      <c r="A1410" t="n">
        <v>1404</v>
      </c>
      <c r="B1410">
        <f>_DestuffedBits!C1405</f>
        <v/>
      </c>
      <c r="C1410">
        <f>G1409</f>
        <v/>
      </c>
      <c r="D1410">
        <f>_xlfn.BITAND(C1410,1)</f>
        <v/>
      </c>
      <c r="E1410">
        <f>_xlfn.BITRSHIFT(C1410,1)</f>
        <v/>
      </c>
      <c r="F1410">
        <f>_xlfn.BITXOR(D1410,B1410)</f>
        <v/>
      </c>
      <c r="G1410">
        <f>IF(F1410=1,_xlfn.BITXOR(E1410,33800),E1410)</f>
        <v/>
      </c>
    </row>
    <row r="1411">
      <c r="A1411" t="n">
        <v>1405</v>
      </c>
      <c r="B1411">
        <f>_DestuffedBits!C1406</f>
        <v/>
      </c>
      <c r="C1411">
        <f>G1410</f>
        <v/>
      </c>
      <c r="D1411">
        <f>_xlfn.BITAND(C1411,1)</f>
        <v/>
      </c>
      <c r="E1411">
        <f>_xlfn.BITRSHIFT(C1411,1)</f>
        <v/>
      </c>
      <c r="F1411">
        <f>_xlfn.BITXOR(D1411,B1411)</f>
        <v/>
      </c>
      <c r="G1411">
        <f>IF(F1411=1,_xlfn.BITXOR(E1411,33800),E1411)</f>
        <v/>
      </c>
    </row>
    <row r="1412">
      <c r="A1412" t="n">
        <v>1406</v>
      </c>
      <c r="B1412">
        <f>_DestuffedBits!C1407</f>
        <v/>
      </c>
      <c r="C1412">
        <f>G1411</f>
        <v/>
      </c>
      <c r="D1412">
        <f>_xlfn.BITAND(C1412,1)</f>
        <v/>
      </c>
      <c r="E1412">
        <f>_xlfn.BITRSHIFT(C1412,1)</f>
        <v/>
      </c>
      <c r="F1412">
        <f>_xlfn.BITXOR(D1412,B1412)</f>
        <v/>
      </c>
      <c r="G1412">
        <f>IF(F1412=1,_xlfn.BITXOR(E1412,33800),E1412)</f>
        <v/>
      </c>
    </row>
    <row r="1413">
      <c r="A1413" t="n">
        <v>1407</v>
      </c>
      <c r="B1413">
        <f>_DestuffedBits!C1408</f>
        <v/>
      </c>
      <c r="C1413">
        <f>G1412</f>
        <v/>
      </c>
      <c r="D1413">
        <f>_xlfn.BITAND(C1413,1)</f>
        <v/>
      </c>
      <c r="E1413">
        <f>_xlfn.BITRSHIFT(C1413,1)</f>
        <v/>
      </c>
      <c r="F1413">
        <f>_xlfn.BITXOR(D1413,B1413)</f>
        <v/>
      </c>
      <c r="G1413">
        <f>IF(F1413=1,_xlfn.BITXOR(E1413,33800),E1413)</f>
        <v/>
      </c>
    </row>
    <row r="1414">
      <c r="A1414" t="n">
        <v>1408</v>
      </c>
      <c r="B1414">
        <f>_DestuffedBits!C1409</f>
        <v/>
      </c>
      <c r="C1414">
        <f>G1413</f>
        <v/>
      </c>
      <c r="D1414">
        <f>_xlfn.BITAND(C1414,1)</f>
        <v/>
      </c>
      <c r="E1414">
        <f>_xlfn.BITRSHIFT(C1414,1)</f>
        <v/>
      </c>
      <c r="F1414">
        <f>_xlfn.BITXOR(D1414,B1414)</f>
        <v/>
      </c>
      <c r="G1414">
        <f>IF(F1414=1,_xlfn.BITXOR(E1414,33800),E1414)</f>
        <v/>
      </c>
    </row>
    <row r="1415">
      <c r="A1415" t="n">
        <v>1409</v>
      </c>
      <c r="B1415">
        <f>_DestuffedBits!C1410</f>
        <v/>
      </c>
      <c r="C1415">
        <f>G1414</f>
        <v/>
      </c>
      <c r="D1415">
        <f>_xlfn.BITAND(C1415,1)</f>
        <v/>
      </c>
      <c r="E1415">
        <f>_xlfn.BITRSHIFT(C1415,1)</f>
        <v/>
      </c>
      <c r="F1415">
        <f>_xlfn.BITXOR(D1415,B1415)</f>
        <v/>
      </c>
      <c r="G1415">
        <f>IF(F1415=1,_xlfn.BITXOR(E1415,33800),E1415)</f>
        <v/>
      </c>
    </row>
    <row r="1416">
      <c r="A1416" t="n">
        <v>1410</v>
      </c>
      <c r="B1416">
        <f>_DestuffedBits!C1411</f>
        <v/>
      </c>
      <c r="C1416">
        <f>G1415</f>
        <v/>
      </c>
      <c r="D1416">
        <f>_xlfn.BITAND(C1416,1)</f>
        <v/>
      </c>
      <c r="E1416">
        <f>_xlfn.BITRSHIFT(C1416,1)</f>
        <v/>
      </c>
      <c r="F1416">
        <f>_xlfn.BITXOR(D1416,B1416)</f>
        <v/>
      </c>
      <c r="G1416">
        <f>IF(F1416=1,_xlfn.BITXOR(E1416,33800),E1416)</f>
        <v/>
      </c>
    </row>
    <row r="1417">
      <c r="A1417" t="n">
        <v>1411</v>
      </c>
      <c r="B1417">
        <f>_DestuffedBits!C1412</f>
        <v/>
      </c>
      <c r="C1417">
        <f>G1416</f>
        <v/>
      </c>
      <c r="D1417">
        <f>_xlfn.BITAND(C1417,1)</f>
        <v/>
      </c>
      <c r="E1417">
        <f>_xlfn.BITRSHIFT(C1417,1)</f>
        <v/>
      </c>
      <c r="F1417">
        <f>_xlfn.BITXOR(D1417,B1417)</f>
        <v/>
      </c>
      <c r="G1417">
        <f>IF(F1417=1,_xlfn.BITXOR(E1417,33800),E1417)</f>
        <v/>
      </c>
    </row>
    <row r="1418">
      <c r="A1418" t="n">
        <v>1412</v>
      </c>
      <c r="B1418">
        <f>_DestuffedBits!C1413</f>
        <v/>
      </c>
      <c r="C1418">
        <f>G1417</f>
        <v/>
      </c>
      <c r="D1418">
        <f>_xlfn.BITAND(C1418,1)</f>
        <v/>
      </c>
      <c r="E1418">
        <f>_xlfn.BITRSHIFT(C1418,1)</f>
        <v/>
      </c>
      <c r="F1418">
        <f>_xlfn.BITXOR(D1418,B1418)</f>
        <v/>
      </c>
      <c r="G1418">
        <f>IF(F1418=1,_xlfn.BITXOR(E1418,33800),E1418)</f>
        <v/>
      </c>
    </row>
    <row r="1419">
      <c r="A1419" t="n">
        <v>1413</v>
      </c>
      <c r="B1419">
        <f>_DestuffedBits!C1414</f>
        <v/>
      </c>
      <c r="C1419">
        <f>G1418</f>
        <v/>
      </c>
      <c r="D1419">
        <f>_xlfn.BITAND(C1419,1)</f>
        <v/>
      </c>
      <c r="E1419">
        <f>_xlfn.BITRSHIFT(C1419,1)</f>
        <v/>
      </c>
      <c r="F1419">
        <f>_xlfn.BITXOR(D1419,B1419)</f>
        <v/>
      </c>
      <c r="G1419">
        <f>IF(F1419=1,_xlfn.BITXOR(E1419,33800),E1419)</f>
        <v/>
      </c>
    </row>
    <row r="1420">
      <c r="A1420" t="n">
        <v>1414</v>
      </c>
      <c r="B1420">
        <f>_DestuffedBits!C1415</f>
        <v/>
      </c>
      <c r="C1420">
        <f>G1419</f>
        <v/>
      </c>
      <c r="D1420">
        <f>_xlfn.BITAND(C1420,1)</f>
        <v/>
      </c>
      <c r="E1420">
        <f>_xlfn.BITRSHIFT(C1420,1)</f>
        <v/>
      </c>
      <c r="F1420">
        <f>_xlfn.BITXOR(D1420,B1420)</f>
        <v/>
      </c>
      <c r="G1420">
        <f>IF(F1420=1,_xlfn.BITXOR(E1420,33800),E1420)</f>
        <v/>
      </c>
    </row>
    <row r="1421">
      <c r="A1421" t="n">
        <v>1415</v>
      </c>
      <c r="B1421">
        <f>_DestuffedBits!C1416</f>
        <v/>
      </c>
      <c r="C1421">
        <f>G1420</f>
        <v/>
      </c>
      <c r="D1421">
        <f>_xlfn.BITAND(C1421,1)</f>
        <v/>
      </c>
      <c r="E1421">
        <f>_xlfn.BITRSHIFT(C1421,1)</f>
        <v/>
      </c>
      <c r="F1421">
        <f>_xlfn.BITXOR(D1421,B1421)</f>
        <v/>
      </c>
      <c r="G1421">
        <f>IF(F1421=1,_xlfn.BITXOR(E1421,33800),E1421)</f>
        <v/>
      </c>
    </row>
    <row r="1422">
      <c r="A1422" t="n">
        <v>1416</v>
      </c>
      <c r="B1422">
        <f>_DestuffedBits!C1417</f>
        <v/>
      </c>
      <c r="C1422">
        <f>G1421</f>
        <v/>
      </c>
      <c r="D1422">
        <f>_xlfn.BITAND(C1422,1)</f>
        <v/>
      </c>
      <c r="E1422">
        <f>_xlfn.BITRSHIFT(C1422,1)</f>
        <v/>
      </c>
      <c r="F1422">
        <f>_xlfn.BITXOR(D1422,B1422)</f>
        <v/>
      </c>
      <c r="G1422">
        <f>IF(F1422=1,_xlfn.BITXOR(E1422,33800),E1422)</f>
        <v/>
      </c>
    </row>
    <row r="1423">
      <c r="A1423" t="n">
        <v>1417</v>
      </c>
      <c r="B1423">
        <f>_DestuffedBits!C1418</f>
        <v/>
      </c>
      <c r="C1423">
        <f>G1422</f>
        <v/>
      </c>
      <c r="D1423">
        <f>_xlfn.BITAND(C1423,1)</f>
        <v/>
      </c>
      <c r="E1423">
        <f>_xlfn.BITRSHIFT(C1423,1)</f>
        <v/>
      </c>
      <c r="F1423">
        <f>_xlfn.BITXOR(D1423,B1423)</f>
        <v/>
      </c>
      <c r="G1423">
        <f>IF(F1423=1,_xlfn.BITXOR(E1423,33800),E1423)</f>
        <v/>
      </c>
    </row>
    <row r="1424">
      <c r="A1424" t="n">
        <v>1418</v>
      </c>
      <c r="B1424">
        <f>_DestuffedBits!C1419</f>
        <v/>
      </c>
      <c r="C1424">
        <f>G1423</f>
        <v/>
      </c>
      <c r="D1424">
        <f>_xlfn.BITAND(C1424,1)</f>
        <v/>
      </c>
      <c r="E1424">
        <f>_xlfn.BITRSHIFT(C1424,1)</f>
        <v/>
      </c>
      <c r="F1424">
        <f>_xlfn.BITXOR(D1424,B1424)</f>
        <v/>
      </c>
      <c r="G1424">
        <f>IF(F1424=1,_xlfn.BITXOR(E1424,33800),E1424)</f>
        <v/>
      </c>
    </row>
    <row r="1425">
      <c r="A1425" t="n">
        <v>1419</v>
      </c>
      <c r="B1425">
        <f>_DestuffedBits!C1420</f>
        <v/>
      </c>
      <c r="C1425">
        <f>G1424</f>
        <v/>
      </c>
      <c r="D1425">
        <f>_xlfn.BITAND(C1425,1)</f>
        <v/>
      </c>
      <c r="E1425">
        <f>_xlfn.BITRSHIFT(C1425,1)</f>
        <v/>
      </c>
      <c r="F1425">
        <f>_xlfn.BITXOR(D1425,B1425)</f>
        <v/>
      </c>
      <c r="G1425">
        <f>IF(F1425=1,_xlfn.BITXOR(E1425,33800),E1425)</f>
        <v/>
      </c>
    </row>
    <row r="1426">
      <c r="A1426" t="n">
        <v>1420</v>
      </c>
      <c r="B1426">
        <f>_DestuffedBits!C1421</f>
        <v/>
      </c>
      <c r="C1426">
        <f>G1425</f>
        <v/>
      </c>
      <c r="D1426">
        <f>_xlfn.BITAND(C1426,1)</f>
        <v/>
      </c>
      <c r="E1426">
        <f>_xlfn.BITRSHIFT(C1426,1)</f>
        <v/>
      </c>
      <c r="F1426">
        <f>_xlfn.BITXOR(D1426,B1426)</f>
        <v/>
      </c>
      <c r="G1426">
        <f>IF(F1426=1,_xlfn.BITXOR(E1426,33800),E1426)</f>
        <v/>
      </c>
    </row>
    <row r="1427">
      <c r="A1427" t="n">
        <v>1421</v>
      </c>
      <c r="B1427">
        <f>_DestuffedBits!C1422</f>
        <v/>
      </c>
      <c r="C1427">
        <f>G1426</f>
        <v/>
      </c>
      <c r="D1427">
        <f>_xlfn.BITAND(C1427,1)</f>
        <v/>
      </c>
      <c r="E1427">
        <f>_xlfn.BITRSHIFT(C1427,1)</f>
        <v/>
      </c>
      <c r="F1427">
        <f>_xlfn.BITXOR(D1427,B1427)</f>
        <v/>
      </c>
      <c r="G1427">
        <f>IF(F1427=1,_xlfn.BITXOR(E1427,33800),E1427)</f>
        <v/>
      </c>
    </row>
    <row r="1428">
      <c r="A1428" t="n">
        <v>1422</v>
      </c>
      <c r="B1428">
        <f>_DestuffedBits!C1423</f>
        <v/>
      </c>
      <c r="C1428">
        <f>G1427</f>
        <v/>
      </c>
      <c r="D1428">
        <f>_xlfn.BITAND(C1428,1)</f>
        <v/>
      </c>
      <c r="E1428">
        <f>_xlfn.BITRSHIFT(C1428,1)</f>
        <v/>
      </c>
      <c r="F1428">
        <f>_xlfn.BITXOR(D1428,B1428)</f>
        <v/>
      </c>
      <c r="G1428">
        <f>IF(F1428=1,_xlfn.BITXOR(E1428,33800),E1428)</f>
        <v/>
      </c>
    </row>
    <row r="1429">
      <c r="A1429" t="n">
        <v>1423</v>
      </c>
      <c r="B1429">
        <f>_DestuffedBits!C1424</f>
        <v/>
      </c>
      <c r="C1429">
        <f>G1428</f>
        <v/>
      </c>
      <c r="D1429">
        <f>_xlfn.BITAND(C1429,1)</f>
        <v/>
      </c>
      <c r="E1429">
        <f>_xlfn.BITRSHIFT(C1429,1)</f>
        <v/>
      </c>
      <c r="F1429">
        <f>_xlfn.BITXOR(D1429,B1429)</f>
        <v/>
      </c>
      <c r="G1429">
        <f>IF(F1429=1,_xlfn.BITXOR(E1429,33800),E1429)</f>
        <v/>
      </c>
    </row>
    <row r="1430">
      <c r="A1430" t="n">
        <v>1424</v>
      </c>
      <c r="B1430">
        <f>_DestuffedBits!C1425</f>
        <v/>
      </c>
      <c r="C1430">
        <f>G1429</f>
        <v/>
      </c>
      <c r="D1430">
        <f>_xlfn.BITAND(C1430,1)</f>
        <v/>
      </c>
      <c r="E1430">
        <f>_xlfn.BITRSHIFT(C1430,1)</f>
        <v/>
      </c>
      <c r="F1430">
        <f>_xlfn.BITXOR(D1430,B1430)</f>
        <v/>
      </c>
      <c r="G1430">
        <f>IF(F1430=1,_xlfn.BITXOR(E1430,33800),E1430)</f>
        <v/>
      </c>
    </row>
    <row r="1431">
      <c r="A1431" t="n">
        <v>1425</v>
      </c>
      <c r="B1431">
        <f>_DestuffedBits!C1426</f>
        <v/>
      </c>
      <c r="C1431">
        <f>G1430</f>
        <v/>
      </c>
      <c r="D1431">
        <f>_xlfn.BITAND(C1431,1)</f>
        <v/>
      </c>
      <c r="E1431">
        <f>_xlfn.BITRSHIFT(C1431,1)</f>
        <v/>
      </c>
      <c r="F1431">
        <f>_xlfn.BITXOR(D1431,B1431)</f>
        <v/>
      </c>
      <c r="G1431">
        <f>IF(F1431=1,_xlfn.BITXOR(E1431,33800),E1431)</f>
        <v/>
      </c>
    </row>
    <row r="1432">
      <c r="A1432" t="n">
        <v>1426</v>
      </c>
      <c r="B1432">
        <f>_DestuffedBits!C1427</f>
        <v/>
      </c>
      <c r="C1432">
        <f>G1431</f>
        <v/>
      </c>
      <c r="D1432">
        <f>_xlfn.BITAND(C1432,1)</f>
        <v/>
      </c>
      <c r="E1432">
        <f>_xlfn.BITRSHIFT(C1432,1)</f>
        <v/>
      </c>
      <c r="F1432">
        <f>_xlfn.BITXOR(D1432,B1432)</f>
        <v/>
      </c>
      <c r="G1432">
        <f>IF(F1432=1,_xlfn.BITXOR(E1432,33800),E1432)</f>
        <v/>
      </c>
    </row>
    <row r="1433">
      <c r="A1433" t="n">
        <v>1427</v>
      </c>
      <c r="B1433">
        <f>_DestuffedBits!C1428</f>
        <v/>
      </c>
      <c r="C1433">
        <f>G1432</f>
        <v/>
      </c>
      <c r="D1433">
        <f>_xlfn.BITAND(C1433,1)</f>
        <v/>
      </c>
      <c r="E1433">
        <f>_xlfn.BITRSHIFT(C1433,1)</f>
        <v/>
      </c>
      <c r="F1433">
        <f>_xlfn.BITXOR(D1433,B1433)</f>
        <v/>
      </c>
      <c r="G1433">
        <f>IF(F1433=1,_xlfn.BITXOR(E1433,33800),E1433)</f>
        <v/>
      </c>
    </row>
    <row r="1434">
      <c r="A1434" t="n">
        <v>1428</v>
      </c>
      <c r="B1434">
        <f>_DestuffedBits!C1429</f>
        <v/>
      </c>
      <c r="C1434">
        <f>G1433</f>
        <v/>
      </c>
      <c r="D1434">
        <f>_xlfn.BITAND(C1434,1)</f>
        <v/>
      </c>
      <c r="E1434">
        <f>_xlfn.BITRSHIFT(C1434,1)</f>
        <v/>
      </c>
      <c r="F1434">
        <f>_xlfn.BITXOR(D1434,B1434)</f>
        <v/>
      </c>
      <c r="G1434">
        <f>IF(F1434=1,_xlfn.BITXOR(E1434,33800),E1434)</f>
        <v/>
      </c>
    </row>
    <row r="1435">
      <c r="A1435" t="n">
        <v>1429</v>
      </c>
      <c r="B1435">
        <f>_DestuffedBits!C1430</f>
        <v/>
      </c>
      <c r="C1435">
        <f>G1434</f>
        <v/>
      </c>
      <c r="D1435">
        <f>_xlfn.BITAND(C1435,1)</f>
        <v/>
      </c>
      <c r="E1435">
        <f>_xlfn.BITRSHIFT(C1435,1)</f>
        <v/>
      </c>
      <c r="F1435">
        <f>_xlfn.BITXOR(D1435,B1435)</f>
        <v/>
      </c>
      <c r="G1435">
        <f>IF(F1435=1,_xlfn.BITXOR(E1435,33800),E1435)</f>
        <v/>
      </c>
    </row>
    <row r="1436">
      <c r="A1436" t="n">
        <v>1430</v>
      </c>
      <c r="B1436">
        <f>_DestuffedBits!C1431</f>
        <v/>
      </c>
      <c r="C1436">
        <f>G1435</f>
        <v/>
      </c>
      <c r="D1436">
        <f>_xlfn.BITAND(C1436,1)</f>
        <v/>
      </c>
      <c r="E1436">
        <f>_xlfn.BITRSHIFT(C1436,1)</f>
        <v/>
      </c>
      <c r="F1436">
        <f>_xlfn.BITXOR(D1436,B1436)</f>
        <v/>
      </c>
      <c r="G1436">
        <f>IF(F1436=1,_xlfn.BITXOR(E1436,33800),E1436)</f>
        <v/>
      </c>
    </row>
    <row r="1437">
      <c r="A1437" t="n">
        <v>1431</v>
      </c>
      <c r="B1437">
        <f>_DestuffedBits!C1432</f>
        <v/>
      </c>
      <c r="C1437">
        <f>G1436</f>
        <v/>
      </c>
      <c r="D1437">
        <f>_xlfn.BITAND(C1437,1)</f>
        <v/>
      </c>
      <c r="E1437">
        <f>_xlfn.BITRSHIFT(C1437,1)</f>
        <v/>
      </c>
      <c r="F1437">
        <f>_xlfn.BITXOR(D1437,B1437)</f>
        <v/>
      </c>
      <c r="G1437">
        <f>IF(F1437=1,_xlfn.BITXOR(E1437,33800),E1437)</f>
        <v/>
      </c>
    </row>
    <row r="1438">
      <c r="A1438" t="n">
        <v>1432</v>
      </c>
      <c r="B1438">
        <f>_DestuffedBits!C1433</f>
        <v/>
      </c>
      <c r="C1438">
        <f>G1437</f>
        <v/>
      </c>
      <c r="D1438">
        <f>_xlfn.BITAND(C1438,1)</f>
        <v/>
      </c>
      <c r="E1438">
        <f>_xlfn.BITRSHIFT(C1438,1)</f>
        <v/>
      </c>
      <c r="F1438">
        <f>_xlfn.BITXOR(D1438,B1438)</f>
        <v/>
      </c>
      <c r="G1438">
        <f>IF(F1438=1,_xlfn.BITXOR(E1438,33800),E1438)</f>
        <v/>
      </c>
    </row>
    <row r="1439">
      <c r="A1439" t="n">
        <v>1433</v>
      </c>
      <c r="B1439">
        <f>_DestuffedBits!C1434</f>
        <v/>
      </c>
      <c r="C1439">
        <f>G1438</f>
        <v/>
      </c>
      <c r="D1439">
        <f>_xlfn.BITAND(C1439,1)</f>
        <v/>
      </c>
      <c r="E1439">
        <f>_xlfn.BITRSHIFT(C1439,1)</f>
        <v/>
      </c>
      <c r="F1439">
        <f>_xlfn.BITXOR(D1439,B1439)</f>
        <v/>
      </c>
      <c r="G1439">
        <f>IF(F1439=1,_xlfn.BITXOR(E1439,33800),E1439)</f>
        <v/>
      </c>
    </row>
    <row r="1440">
      <c r="A1440" t="n">
        <v>1434</v>
      </c>
      <c r="B1440">
        <f>_DestuffedBits!C1435</f>
        <v/>
      </c>
      <c r="C1440">
        <f>G1439</f>
        <v/>
      </c>
      <c r="D1440">
        <f>_xlfn.BITAND(C1440,1)</f>
        <v/>
      </c>
      <c r="E1440">
        <f>_xlfn.BITRSHIFT(C1440,1)</f>
        <v/>
      </c>
      <c r="F1440">
        <f>_xlfn.BITXOR(D1440,B1440)</f>
        <v/>
      </c>
      <c r="G1440">
        <f>IF(F1440=1,_xlfn.BITXOR(E1440,33800),E1440)</f>
        <v/>
      </c>
    </row>
    <row r="1441">
      <c r="A1441" t="n">
        <v>1435</v>
      </c>
      <c r="B1441">
        <f>_DestuffedBits!C1436</f>
        <v/>
      </c>
      <c r="C1441">
        <f>G1440</f>
        <v/>
      </c>
      <c r="D1441">
        <f>_xlfn.BITAND(C1441,1)</f>
        <v/>
      </c>
      <c r="E1441">
        <f>_xlfn.BITRSHIFT(C1441,1)</f>
        <v/>
      </c>
      <c r="F1441">
        <f>_xlfn.BITXOR(D1441,B1441)</f>
        <v/>
      </c>
      <c r="G1441">
        <f>IF(F1441=1,_xlfn.BITXOR(E1441,33800),E1441)</f>
        <v/>
      </c>
    </row>
    <row r="1442">
      <c r="A1442" t="n">
        <v>1436</v>
      </c>
      <c r="B1442">
        <f>_DestuffedBits!C1437</f>
        <v/>
      </c>
      <c r="C1442">
        <f>G1441</f>
        <v/>
      </c>
      <c r="D1442">
        <f>_xlfn.BITAND(C1442,1)</f>
        <v/>
      </c>
      <c r="E1442">
        <f>_xlfn.BITRSHIFT(C1442,1)</f>
        <v/>
      </c>
      <c r="F1442">
        <f>_xlfn.BITXOR(D1442,B1442)</f>
        <v/>
      </c>
      <c r="G1442">
        <f>IF(F1442=1,_xlfn.BITXOR(E1442,33800),E1442)</f>
        <v/>
      </c>
    </row>
    <row r="1443">
      <c r="A1443" t="n">
        <v>1437</v>
      </c>
      <c r="B1443">
        <f>_DestuffedBits!C1438</f>
        <v/>
      </c>
      <c r="C1443">
        <f>G1442</f>
        <v/>
      </c>
      <c r="D1443">
        <f>_xlfn.BITAND(C1443,1)</f>
        <v/>
      </c>
      <c r="E1443">
        <f>_xlfn.BITRSHIFT(C1443,1)</f>
        <v/>
      </c>
      <c r="F1443">
        <f>_xlfn.BITXOR(D1443,B1443)</f>
        <v/>
      </c>
      <c r="G1443">
        <f>IF(F1443=1,_xlfn.BITXOR(E1443,33800),E1443)</f>
        <v/>
      </c>
    </row>
    <row r="1444">
      <c r="A1444" t="n">
        <v>1438</v>
      </c>
      <c r="B1444">
        <f>_DestuffedBits!C1439</f>
        <v/>
      </c>
      <c r="C1444">
        <f>G1443</f>
        <v/>
      </c>
      <c r="D1444">
        <f>_xlfn.BITAND(C1444,1)</f>
        <v/>
      </c>
      <c r="E1444">
        <f>_xlfn.BITRSHIFT(C1444,1)</f>
        <v/>
      </c>
      <c r="F1444">
        <f>_xlfn.BITXOR(D1444,B1444)</f>
        <v/>
      </c>
      <c r="G1444">
        <f>IF(F1444=1,_xlfn.BITXOR(E1444,33800),E1444)</f>
        <v/>
      </c>
    </row>
    <row r="1445">
      <c r="A1445" t="n">
        <v>1439</v>
      </c>
      <c r="B1445">
        <f>_DestuffedBits!C1440</f>
        <v/>
      </c>
      <c r="C1445">
        <f>G1444</f>
        <v/>
      </c>
      <c r="D1445">
        <f>_xlfn.BITAND(C1445,1)</f>
        <v/>
      </c>
      <c r="E1445">
        <f>_xlfn.BITRSHIFT(C1445,1)</f>
        <v/>
      </c>
      <c r="F1445">
        <f>_xlfn.BITXOR(D1445,B1445)</f>
        <v/>
      </c>
      <c r="G1445">
        <f>IF(F1445=1,_xlfn.BITXOR(E1445,33800),E1445)</f>
        <v/>
      </c>
    </row>
    <row r="1446">
      <c r="A1446" t="n">
        <v>1440</v>
      </c>
      <c r="B1446">
        <f>_DestuffedBits!C1441</f>
        <v/>
      </c>
      <c r="C1446">
        <f>G1445</f>
        <v/>
      </c>
      <c r="D1446">
        <f>_xlfn.BITAND(C1446,1)</f>
        <v/>
      </c>
      <c r="E1446">
        <f>_xlfn.BITRSHIFT(C1446,1)</f>
        <v/>
      </c>
      <c r="F1446">
        <f>_xlfn.BITXOR(D1446,B1446)</f>
        <v/>
      </c>
      <c r="G1446">
        <f>IF(F1446=1,_xlfn.BITXOR(E1446,33800),E1446)</f>
        <v/>
      </c>
    </row>
    <row r="1447">
      <c r="A1447" t="n">
        <v>1441</v>
      </c>
      <c r="B1447">
        <f>_DestuffedBits!C1442</f>
        <v/>
      </c>
      <c r="C1447">
        <f>G1446</f>
        <v/>
      </c>
      <c r="D1447">
        <f>_xlfn.BITAND(C1447,1)</f>
        <v/>
      </c>
      <c r="E1447">
        <f>_xlfn.BITRSHIFT(C1447,1)</f>
        <v/>
      </c>
      <c r="F1447">
        <f>_xlfn.BITXOR(D1447,B1447)</f>
        <v/>
      </c>
      <c r="G1447">
        <f>IF(F1447=1,_xlfn.BITXOR(E1447,33800),E1447)</f>
        <v/>
      </c>
    </row>
    <row r="1448">
      <c r="A1448" t="n">
        <v>1442</v>
      </c>
      <c r="B1448">
        <f>_DestuffedBits!C1443</f>
        <v/>
      </c>
      <c r="C1448">
        <f>G1447</f>
        <v/>
      </c>
      <c r="D1448">
        <f>_xlfn.BITAND(C1448,1)</f>
        <v/>
      </c>
      <c r="E1448">
        <f>_xlfn.BITRSHIFT(C1448,1)</f>
        <v/>
      </c>
      <c r="F1448">
        <f>_xlfn.BITXOR(D1448,B1448)</f>
        <v/>
      </c>
      <c r="G1448">
        <f>IF(F1448=1,_xlfn.BITXOR(E1448,33800),E1448)</f>
        <v/>
      </c>
    </row>
    <row r="1449">
      <c r="A1449" t="n">
        <v>1443</v>
      </c>
      <c r="B1449">
        <f>_DestuffedBits!C1444</f>
        <v/>
      </c>
      <c r="C1449">
        <f>G1448</f>
        <v/>
      </c>
      <c r="D1449">
        <f>_xlfn.BITAND(C1449,1)</f>
        <v/>
      </c>
      <c r="E1449">
        <f>_xlfn.BITRSHIFT(C1449,1)</f>
        <v/>
      </c>
      <c r="F1449">
        <f>_xlfn.BITXOR(D1449,B1449)</f>
        <v/>
      </c>
      <c r="G1449">
        <f>IF(F1449=1,_xlfn.BITXOR(E1449,33800),E1449)</f>
        <v/>
      </c>
    </row>
    <row r="1450">
      <c r="A1450" t="n">
        <v>1444</v>
      </c>
      <c r="B1450">
        <f>_DestuffedBits!C1445</f>
        <v/>
      </c>
      <c r="C1450">
        <f>G1449</f>
        <v/>
      </c>
      <c r="D1450">
        <f>_xlfn.BITAND(C1450,1)</f>
        <v/>
      </c>
      <c r="E1450">
        <f>_xlfn.BITRSHIFT(C1450,1)</f>
        <v/>
      </c>
      <c r="F1450">
        <f>_xlfn.BITXOR(D1450,B1450)</f>
        <v/>
      </c>
      <c r="G1450">
        <f>IF(F1450=1,_xlfn.BITXOR(E1450,33800),E1450)</f>
        <v/>
      </c>
    </row>
    <row r="1451">
      <c r="A1451" t="n">
        <v>1445</v>
      </c>
      <c r="B1451">
        <f>_DestuffedBits!C1446</f>
        <v/>
      </c>
      <c r="C1451">
        <f>G1450</f>
        <v/>
      </c>
      <c r="D1451">
        <f>_xlfn.BITAND(C1451,1)</f>
        <v/>
      </c>
      <c r="E1451">
        <f>_xlfn.BITRSHIFT(C1451,1)</f>
        <v/>
      </c>
      <c r="F1451">
        <f>_xlfn.BITXOR(D1451,B1451)</f>
        <v/>
      </c>
      <c r="G1451">
        <f>IF(F1451=1,_xlfn.BITXOR(E1451,33800),E1451)</f>
        <v/>
      </c>
    </row>
    <row r="1452">
      <c r="A1452" t="n">
        <v>1446</v>
      </c>
      <c r="B1452">
        <f>_DestuffedBits!C1447</f>
        <v/>
      </c>
      <c r="C1452">
        <f>G1451</f>
        <v/>
      </c>
      <c r="D1452">
        <f>_xlfn.BITAND(C1452,1)</f>
        <v/>
      </c>
      <c r="E1452">
        <f>_xlfn.BITRSHIFT(C1452,1)</f>
        <v/>
      </c>
      <c r="F1452">
        <f>_xlfn.BITXOR(D1452,B1452)</f>
        <v/>
      </c>
      <c r="G1452">
        <f>IF(F1452=1,_xlfn.BITXOR(E1452,33800),E1452)</f>
        <v/>
      </c>
    </row>
    <row r="1453">
      <c r="A1453" t="n">
        <v>1447</v>
      </c>
      <c r="B1453">
        <f>_DestuffedBits!C1448</f>
        <v/>
      </c>
      <c r="C1453">
        <f>G1452</f>
        <v/>
      </c>
      <c r="D1453">
        <f>_xlfn.BITAND(C1453,1)</f>
        <v/>
      </c>
      <c r="E1453">
        <f>_xlfn.BITRSHIFT(C1453,1)</f>
        <v/>
      </c>
      <c r="F1453">
        <f>_xlfn.BITXOR(D1453,B1453)</f>
        <v/>
      </c>
      <c r="G1453">
        <f>IF(F1453=1,_xlfn.BITXOR(E1453,33800),E1453)</f>
        <v/>
      </c>
    </row>
    <row r="1454">
      <c r="A1454" t="n">
        <v>1448</v>
      </c>
      <c r="B1454">
        <f>_DestuffedBits!C1449</f>
        <v/>
      </c>
      <c r="C1454">
        <f>G1453</f>
        <v/>
      </c>
      <c r="D1454">
        <f>_xlfn.BITAND(C1454,1)</f>
        <v/>
      </c>
      <c r="E1454">
        <f>_xlfn.BITRSHIFT(C1454,1)</f>
        <v/>
      </c>
      <c r="F1454">
        <f>_xlfn.BITXOR(D1454,B1454)</f>
        <v/>
      </c>
      <c r="G1454">
        <f>IF(F1454=1,_xlfn.BITXOR(E1454,33800),E1454)</f>
        <v/>
      </c>
    </row>
    <row r="1455">
      <c r="A1455" t="n">
        <v>1449</v>
      </c>
      <c r="B1455">
        <f>_DestuffedBits!C1450</f>
        <v/>
      </c>
      <c r="C1455">
        <f>G1454</f>
        <v/>
      </c>
      <c r="D1455">
        <f>_xlfn.BITAND(C1455,1)</f>
        <v/>
      </c>
      <c r="E1455">
        <f>_xlfn.BITRSHIFT(C1455,1)</f>
        <v/>
      </c>
      <c r="F1455">
        <f>_xlfn.BITXOR(D1455,B1455)</f>
        <v/>
      </c>
      <c r="G1455">
        <f>IF(F1455=1,_xlfn.BITXOR(E1455,33800),E1455)</f>
        <v/>
      </c>
    </row>
    <row r="1456">
      <c r="A1456" t="n">
        <v>1450</v>
      </c>
      <c r="B1456">
        <f>_DestuffedBits!C1451</f>
        <v/>
      </c>
      <c r="C1456">
        <f>G1455</f>
        <v/>
      </c>
      <c r="D1456">
        <f>_xlfn.BITAND(C1456,1)</f>
        <v/>
      </c>
      <c r="E1456">
        <f>_xlfn.BITRSHIFT(C1456,1)</f>
        <v/>
      </c>
      <c r="F1456">
        <f>_xlfn.BITXOR(D1456,B1456)</f>
        <v/>
      </c>
      <c r="G1456">
        <f>IF(F1456=1,_xlfn.BITXOR(E1456,33800),E1456)</f>
        <v/>
      </c>
    </row>
    <row r="1457">
      <c r="A1457" t="n">
        <v>1451</v>
      </c>
      <c r="B1457">
        <f>_DestuffedBits!C1452</f>
        <v/>
      </c>
      <c r="C1457">
        <f>G1456</f>
        <v/>
      </c>
      <c r="D1457">
        <f>_xlfn.BITAND(C1457,1)</f>
        <v/>
      </c>
      <c r="E1457">
        <f>_xlfn.BITRSHIFT(C1457,1)</f>
        <v/>
      </c>
      <c r="F1457">
        <f>_xlfn.BITXOR(D1457,B1457)</f>
        <v/>
      </c>
      <c r="G1457">
        <f>IF(F1457=1,_xlfn.BITXOR(E1457,33800),E1457)</f>
        <v/>
      </c>
    </row>
    <row r="1458">
      <c r="A1458" t="n">
        <v>1452</v>
      </c>
      <c r="B1458">
        <f>_DestuffedBits!C1453</f>
        <v/>
      </c>
      <c r="C1458">
        <f>G1457</f>
        <v/>
      </c>
      <c r="D1458">
        <f>_xlfn.BITAND(C1458,1)</f>
        <v/>
      </c>
      <c r="E1458">
        <f>_xlfn.BITRSHIFT(C1458,1)</f>
        <v/>
      </c>
      <c r="F1458">
        <f>_xlfn.BITXOR(D1458,B1458)</f>
        <v/>
      </c>
      <c r="G1458">
        <f>IF(F1458=1,_xlfn.BITXOR(E1458,33800),E1458)</f>
        <v/>
      </c>
    </row>
    <row r="1459">
      <c r="A1459" t="n">
        <v>1453</v>
      </c>
      <c r="B1459">
        <f>_DestuffedBits!C1454</f>
        <v/>
      </c>
      <c r="C1459">
        <f>G1458</f>
        <v/>
      </c>
      <c r="D1459">
        <f>_xlfn.BITAND(C1459,1)</f>
        <v/>
      </c>
      <c r="E1459">
        <f>_xlfn.BITRSHIFT(C1459,1)</f>
        <v/>
      </c>
      <c r="F1459">
        <f>_xlfn.BITXOR(D1459,B1459)</f>
        <v/>
      </c>
      <c r="G1459">
        <f>IF(F1459=1,_xlfn.BITXOR(E1459,33800),E1459)</f>
        <v/>
      </c>
    </row>
    <row r="1460">
      <c r="A1460" t="n">
        <v>1454</v>
      </c>
      <c r="B1460">
        <f>_DestuffedBits!C1455</f>
        <v/>
      </c>
      <c r="C1460">
        <f>G1459</f>
        <v/>
      </c>
      <c r="D1460">
        <f>_xlfn.BITAND(C1460,1)</f>
        <v/>
      </c>
      <c r="E1460">
        <f>_xlfn.BITRSHIFT(C1460,1)</f>
        <v/>
      </c>
      <c r="F1460">
        <f>_xlfn.BITXOR(D1460,B1460)</f>
        <v/>
      </c>
      <c r="G1460">
        <f>IF(F1460=1,_xlfn.BITXOR(E1460,33800),E1460)</f>
        <v/>
      </c>
    </row>
    <row r="1461">
      <c r="A1461" t="n">
        <v>1455</v>
      </c>
      <c r="B1461">
        <f>_DestuffedBits!C1456</f>
        <v/>
      </c>
      <c r="C1461">
        <f>G1460</f>
        <v/>
      </c>
      <c r="D1461">
        <f>_xlfn.BITAND(C1461,1)</f>
        <v/>
      </c>
      <c r="E1461">
        <f>_xlfn.BITRSHIFT(C1461,1)</f>
        <v/>
      </c>
      <c r="F1461">
        <f>_xlfn.BITXOR(D1461,B1461)</f>
        <v/>
      </c>
      <c r="G1461">
        <f>IF(F1461=1,_xlfn.BITXOR(E1461,33800),E1461)</f>
        <v/>
      </c>
    </row>
    <row r="1462">
      <c r="A1462" t="n">
        <v>1456</v>
      </c>
      <c r="B1462">
        <f>_DestuffedBits!C1457</f>
        <v/>
      </c>
      <c r="C1462">
        <f>G1461</f>
        <v/>
      </c>
      <c r="D1462">
        <f>_xlfn.BITAND(C1462,1)</f>
        <v/>
      </c>
      <c r="E1462">
        <f>_xlfn.BITRSHIFT(C1462,1)</f>
        <v/>
      </c>
      <c r="F1462">
        <f>_xlfn.BITXOR(D1462,B1462)</f>
        <v/>
      </c>
      <c r="G1462">
        <f>IF(F1462=1,_xlfn.BITXOR(E1462,33800),E1462)</f>
        <v/>
      </c>
    </row>
    <row r="1463">
      <c r="A1463" t="n">
        <v>1457</v>
      </c>
      <c r="B1463">
        <f>_DestuffedBits!C1458</f>
        <v/>
      </c>
      <c r="C1463">
        <f>G1462</f>
        <v/>
      </c>
      <c r="D1463">
        <f>_xlfn.BITAND(C1463,1)</f>
        <v/>
      </c>
      <c r="E1463">
        <f>_xlfn.BITRSHIFT(C1463,1)</f>
        <v/>
      </c>
      <c r="F1463">
        <f>_xlfn.BITXOR(D1463,B1463)</f>
        <v/>
      </c>
      <c r="G1463">
        <f>IF(F1463=1,_xlfn.BITXOR(E1463,33800),E1463)</f>
        <v/>
      </c>
    </row>
    <row r="1464">
      <c r="A1464" t="n">
        <v>1458</v>
      </c>
      <c r="B1464">
        <f>_DestuffedBits!C1459</f>
        <v/>
      </c>
      <c r="C1464">
        <f>G1463</f>
        <v/>
      </c>
      <c r="D1464">
        <f>_xlfn.BITAND(C1464,1)</f>
        <v/>
      </c>
      <c r="E1464">
        <f>_xlfn.BITRSHIFT(C1464,1)</f>
        <v/>
      </c>
      <c r="F1464">
        <f>_xlfn.BITXOR(D1464,B1464)</f>
        <v/>
      </c>
      <c r="G1464">
        <f>IF(F1464=1,_xlfn.BITXOR(E1464,33800),E1464)</f>
        <v/>
      </c>
    </row>
    <row r="1465">
      <c r="A1465" t="n">
        <v>1459</v>
      </c>
      <c r="B1465">
        <f>_DestuffedBits!C1460</f>
        <v/>
      </c>
      <c r="C1465">
        <f>G1464</f>
        <v/>
      </c>
      <c r="D1465">
        <f>_xlfn.BITAND(C1465,1)</f>
        <v/>
      </c>
      <c r="E1465">
        <f>_xlfn.BITRSHIFT(C1465,1)</f>
        <v/>
      </c>
      <c r="F1465">
        <f>_xlfn.BITXOR(D1465,B1465)</f>
        <v/>
      </c>
      <c r="G1465">
        <f>IF(F1465=1,_xlfn.BITXOR(E1465,33800),E1465)</f>
        <v/>
      </c>
    </row>
    <row r="1466">
      <c r="A1466" t="n">
        <v>1460</v>
      </c>
      <c r="B1466">
        <f>_DestuffedBits!C1461</f>
        <v/>
      </c>
      <c r="C1466">
        <f>G1465</f>
        <v/>
      </c>
      <c r="D1466">
        <f>_xlfn.BITAND(C1466,1)</f>
        <v/>
      </c>
      <c r="E1466">
        <f>_xlfn.BITRSHIFT(C1466,1)</f>
        <v/>
      </c>
      <c r="F1466">
        <f>_xlfn.BITXOR(D1466,B1466)</f>
        <v/>
      </c>
      <c r="G1466">
        <f>IF(F1466=1,_xlfn.BITXOR(E1466,33800),E1466)</f>
        <v/>
      </c>
    </row>
    <row r="1467">
      <c r="A1467" t="n">
        <v>1461</v>
      </c>
      <c r="B1467">
        <f>_DestuffedBits!C1462</f>
        <v/>
      </c>
      <c r="C1467">
        <f>G1466</f>
        <v/>
      </c>
      <c r="D1467">
        <f>_xlfn.BITAND(C1467,1)</f>
        <v/>
      </c>
      <c r="E1467">
        <f>_xlfn.BITRSHIFT(C1467,1)</f>
        <v/>
      </c>
      <c r="F1467">
        <f>_xlfn.BITXOR(D1467,B1467)</f>
        <v/>
      </c>
      <c r="G1467">
        <f>IF(F1467=1,_xlfn.BITXOR(E1467,33800),E1467)</f>
        <v/>
      </c>
    </row>
    <row r="1468">
      <c r="A1468" t="n">
        <v>1462</v>
      </c>
      <c r="B1468">
        <f>_DestuffedBits!C1463</f>
        <v/>
      </c>
      <c r="C1468">
        <f>G1467</f>
        <v/>
      </c>
      <c r="D1468">
        <f>_xlfn.BITAND(C1468,1)</f>
        <v/>
      </c>
      <c r="E1468">
        <f>_xlfn.BITRSHIFT(C1468,1)</f>
        <v/>
      </c>
      <c r="F1468">
        <f>_xlfn.BITXOR(D1468,B1468)</f>
        <v/>
      </c>
      <c r="G1468">
        <f>IF(F1468=1,_xlfn.BITXOR(E1468,33800),E1468)</f>
        <v/>
      </c>
    </row>
    <row r="1469">
      <c r="A1469" t="n">
        <v>1463</v>
      </c>
      <c r="B1469">
        <f>_DestuffedBits!C1464</f>
        <v/>
      </c>
      <c r="C1469">
        <f>G1468</f>
        <v/>
      </c>
      <c r="D1469">
        <f>_xlfn.BITAND(C1469,1)</f>
        <v/>
      </c>
      <c r="E1469">
        <f>_xlfn.BITRSHIFT(C1469,1)</f>
        <v/>
      </c>
      <c r="F1469">
        <f>_xlfn.BITXOR(D1469,B1469)</f>
        <v/>
      </c>
      <c r="G1469">
        <f>IF(F1469=1,_xlfn.BITXOR(E1469,33800),E1469)</f>
        <v/>
      </c>
    </row>
    <row r="1470">
      <c r="A1470" t="n">
        <v>1464</v>
      </c>
      <c r="B1470">
        <f>_DestuffedBits!C1465</f>
        <v/>
      </c>
      <c r="C1470">
        <f>G1469</f>
        <v/>
      </c>
      <c r="D1470">
        <f>_xlfn.BITAND(C1470,1)</f>
        <v/>
      </c>
      <c r="E1470">
        <f>_xlfn.BITRSHIFT(C1470,1)</f>
        <v/>
      </c>
      <c r="F1470">
        <f>_xlfn.BITXOR(D1470,B1470)</f>
        <v/>
      </c>
      <c r="G1470">
        <f>IF(F1470=1,_xlfn.BITXOR(E1470,33800),E1470)</f>
        <v/>
      </c>
    </row>
    <row r="1471">
      <c r="A1471" t="n">
        <v>1465</v>
      </c>
      <c r="B1471">
        <f>_DestuffedBits!C1466</f>
        <v/>
      </c>
      <c r="C1471">
        <f>G1470</f>
        <v/>
      </c>
      <c r="D1471">
        <f>_xlfn.BITAND(C1471,1)</f>
        <v/>
      </c>
      <c r="E1471">
        <f>_xlfn.BITRSHIFT(C1471,1)</f>
        <v/>
      </c>
      <c r="F1471">
        <f>_xlfn.BITXOR(D1471,B1471)</f>
        <v/>
      </c>
      <c r="G1471">
        <f>IF(F1471=1,_xlfn.BITXOR(E1471,33800),E1471)</f>
        <v/>
      </c>
    </row>
    <row r="1472">
      <c r="A1472" t="n">
        <v>1466</v>
      </c>
      <c r="B1472">
        <f>_DestuffedBits!C1467</f>
        <v/>
      </c>
      <c r="C1472">
        <f>G1471</f>
        <v/>
      </c>
      <c r="D1472">
        <f>_xlfn.BITAND(C1472,1)</f>
        <v/>
      </c>
      <c r="E1472">
        <f>_xlfn.BITRSHIFT(C1472,1)</f>
        <v/>
      </c>
      <c r="F1472">
        <f>_xlfn.BITXOR(D1472,B1472)</f>
        <v/>
      </c>
      <c r="G1472">
        <f>IF(F1472=1,_xlfn.BITXOR(E1472,33800),E1472)</f>
        <v/>
      </c>
    </row>
    <row r="1473">
      <c r="A1473" t="n">
        <v>1467</v>
      </c>
      <c r="B1473">
        <f>_DestuffedBits!C1468</f>
        <v/>
      </c>
      <c r="C1473">
        <f>G1472</f>
        <v/>
      </c>
      <c r="D1473">
        <f>_xlfn.BITAND(C1473,1)</f>
        <v/>
      </c>
      <c r="E1473">
        <f>_xlfn.BITRSHIFT(C1473,1)</f>
        <v/>
      </c>
      <c r="F1473">
        <f>_xlfn.BITXOR(D1473,B1473)</f>
        <v/>
      </c>
      <c r="G1473">
        <f>IF(F1473=1,_xlfn.BITXOR(E1473,33800),E1473)</f>
        <v/>
      </c>
    </row>
    <row r="1474">
      <c r="A1474" t="n">
        <v>1468</v>
      </c>
      <c r="B1474">
        <f>_DestuffedBits!C1469</f>
        <v/>
      </c>
      <c r="C1474">
        <f>G1473</f>
        <v/>
      </c>
      <c r="D1474">
        <f>_xlfn.BITAND(C1474,1)</f>
        <v/>
      </c>
      <c r="E1474">
        <f>_xlfn.BITRSHIFT(C1474,1)</f>
        <v/>
      </c>
      <c r="F1474">
        <f>_xlfn.BITXOR(D1474,B1474)</f>
        <v/>
      </c>
      <c r="G1474">
        <f>IF(F1474=1,_xlfn.BITXOR(E1474,33800),E1474)</f>
        <v/>
      </c>
    </row>
    <row r="1475">
      <c r="A1475" t="n">
        <v>1469</v>
      </c>
      <c r="B1475">
        <f>_DestuffedBits!C1470</f>
        <v/>
      </c>
      <c r="C1475">
        <f>G1474</f>
        <v/>
      </c>
      <c r="D1475">
        <f>_xlfn.BITAND(C1475,1)</f>
        <v/>
      </c>
      <c r="E1475">
        <f>_xlfn.BITRSHIFT(C1475,1)</f>
        <v/>
      </c>
      <c r="F1475">
        <f>_xlfn.BITXOR(D1475,B1475)</f>
        <v/>
      </c>
      <c r="G1475">
        <f>IF(F1475=1,_xlfn.BITXOR(E1475,33800),E1475)</f>
        <v/>
      </c>
    </row>
    <row r="1476">
      <c r="A1476" t="n">
        <v>1470</v>
      </c>
      <c r="B1476">
        <f>_DestuffedBits!C1471</f>
        <v/>
      </c>
      <c r="C1476">
        <f>G1475</f>
        <v/>
      </c>
      <c r="D1476">
        <f>_xlfn.BITAND(C1476,1)</f>
        <v/>
      </c>
      <c r="E1476">
        <f>_xlfn.BITRSHIFT(C1476,1)</f>
        <v/>
      </c>
      <c r="F1476">
        <f>_xlfn.BITXOR(D1476,B1476)</f>
        <v/>
      </c>
      <c r="G1476">
        <f>IF(F1476=1,_xlfn.BITXOR(E1476,33800),E1476)</f>
        <v/>
      </c>
    </row>
    <row r="1477">
      <c r="A1477" t="n">
        <v>1471</v>
      </c>
      <c r="B1477">
        <f>_DestuffedBits!C1472</f>
        <v/>
      </c>
      <c r="C1477">
        <f>G1476</f>
        <v/>
      </c>
      <c r="D1477">
        <f>_xlfn.BITAND(C1477,1)</f>
        <v/>
      </c>
      <c r="E1477">
        <f>_xlfn.BITRSHIFT(C1477,1)</f>
        <v/>
      </c>
      <c r="F1477">
        <f>_xlfn.BITXOR(D1477,B1477)</f>
        <v/>
      </c>
      <c r="G1477">
        <f>IF(F1477=1,_xlfn.BITXOR(E1477,33800),E1477)</f>
        <v/>
      </c>
    </row>
    <row r="1478">
      <c r="A1478" t="n">
        <v>1472</v>
      </c>
      <c r="B1478">
        <f>_DestuffedBits!C1473</f>
        <v/>
      </c>
      <c r="C1478">
        <f>G1477</f>
        <v/>
      </c>
      <c r="D1478">
        <f>_xlfn.BITAND(C1478,1)</f>
        <v/>
      </c>
      <c r="E1478">
        <f>_xlfn.BITRSHIFT(C1478,1)</f>
        <v/>
      </c>
      <c r="F1478">
        <f>_xlfn.BITXOR(D1478,B1478)</f>
        <v/>
      </c>
      <c r="G1478">
        <f>IF(F1478=1,_xlfn.BITXOR(E1478,33800),E1478)</f>
        <v/>
      </c>
    </row>
    <row r="1479">
      <c r="A1479" t="n">
        <v>1473</v>
      </c>
      <c r="B1479">
        <f>_DestuffedBits!C1474</f>
        <v/>
      </c>
      <c r="C1479">
        <f>G1478</f>
        <v/>
      </c>
      <c r="D1479">
        <f>_xlfn.BITAND(C1479,1)</f>
        <v/>
      </c>
      <c r="E1479">
        <f>_xlfn.BITRSHIFT(C1479,1)</f>
        <v/>
      </c>
      <c r="F1479">
        <f>_xlfn.BITXOR(D1479,B1479)</f>
        <v/>
      </c>
      <c r="G1479">
        <f>IF(F1479=1,_xlfn.BITXOR(E1479,33800),E1479)</f>
        <v/>
      </c>
    </row>
    <row r="1480">
      <c r="A1480" t="n">
        <v>1474</v>
      </c>
      <c r="B1480">
        <f>_DestuffedBits!C1475</f>
        <v/>
      </c>
      <c r="C1480">
        <f>G1479</f>
        <v/>
      </c>
      <c r="D1480">
        <f>_xlfn.BITAND(C1480,1)</f>
        <v/>
      </c>
      <c r="E1480">
        <f>_xlfn.BITRSHIFT(C1480,1)</f>
        <v/>
      </c>
      <c r="F1480">
        <f>_xlfn.BITXOR(D1480,B1480)</f>
        <v/>
      </c>
      <c r="G1480">
        <f>IF(F1480=1,_xlfn.BITXOR(E1480,33800),E1480)</f>
        <v/>
      </c>
    </row>
    <row r="1481">
      <c r="A1481" t="n">
        <v>1475</v>
      </c>
      <c r="B1481">
        <f>_DestuffedBits!C1476</f>
        <v/>
      </c>
      <c r="C1481">
        <f>G1480</f>
        <v/>
      </c>
      <c r="D1481">
        <f>_xlfn.BITAND(C1481,1)</f>
        <v/>
      </c>
      <c r="E1481">
        <f>_xlfn.BITRSHIFT(C1481,1)</f>
        <v/>
      </c>
      <c r="F1481">
        <f>_xlfn.BITXOR(D1481,B1481)</f>
        <v/>
      </c>
      <c r="G1481">
        <f>IF(F1481=1,_xlfn.BITXOR(E1481,33800),E1481)</f>
        <v/>
      </c>
    </row>
    <row r="1482">
      <c r="A1482" t="n">
        <v>1476</v>
      </c>
      <c r="B1482">
        <f>_DestuffedBits!C1477</f>
        <v/>
      </c>
      <c r="C1482">
        <f>G1481</f>
        <v/>
      </c>
      <c r="D1482">
        <f>_xlfn.BITAND(C1482,1)</f>
        <v/>
      </c>
      <c r="E1482">
        <f>_xlfn.BITRSHIFT(C1482,1)</f>
        <v/>
      </c>
      <c r="F1482">
        <f>_xlfn.BITXOR(D1482,B1482)</f>
        <v/>
      </c>
      <c r="G1482">
        <f>IF(F1482=1,_xlfn.BITXOR(E1482,33800),E1482)</f>
        <v/>
      </c>
    </row>
    <row r="1483">
      <c r="A1483" t="n">
        <v>1477</v>
      </c>
      <c r="B1483">
        <f>_DestuffedBits!C1478</f>
        <v/>
      </c>
      <c r="C1483">
        <f>G1482</f>
        <v/>
      </c>
      <c r="D1483">
        <f>_xlfn.BITAND(C1483,1)</f>
        <v/>
      </c>
      <c r="E1483">
        <f>_xlfn.BITRSHIFT(C1483,1)</f>
        <v/>
      </c>
      <c r="F1483">
        <f>_xlfn.BITXOR(D1483,B1483)</f>
        <v/>
      </c>
      <c r="G1483">
        <f>IF(F1483=1,_xlfn.BITXOR(E1483,33800),E1483)</f>
        <v/>
      </c>
    </row>
    <row r="1484">
      <c r="A1484" t="n">
        <v>1478</v>
      </c>
      <c r="B1484">
        <f>_DestuffedBits!C1479</f>
        <v/>
      </c>
      <c r="C1484">
        <f>G1483</f>
        <v/>
      </c>
      <c r="D1484">
        <f>_xlfn.BITAND(C1484,1)</f>
        <v/>
      </c>
      <c r="E1484">
        <f>_xlfn.BITRSHIFT(C1484,1)</f>
        <v/>
      </c>
      <c r="F1484">
        <f>_xlfn.BITXOR(D1484,B1484)</f>
        <v/>
      </c>
      <c r="G1484">
        <f>IF(F1484=1,_xlfn.BITXOR(E1484,33800),E1484)</f>
        <v/>
      </c>
    </row>
    <row r="1485">
      <c r="A1485" t="n">
        <v>1479</v>
      </c>
      <c r="B1485">
        <f>_DestuffedBits!C1480</f>
        <v/>
      </c>
      <c r="C1485">
        <f>G1484</f>
        <v/>
      </c>
      <c r="D1485">
        <f>_xlfn.BITAND(C1485,1)</f>
        <v/>
      </c>
      <c r="E1485">
        <f>_xlfn.BITRSHIFT(C1485,1)</f>
        <v/>
      </c>
      <c r="F1485">
        <f>_xlfn.BITXOR(D1485,B1485)</f>
        <v/>
      </c>
      <c r="G1485">
        <f>IF(F1485=1,_xlfn.BITXOR(E1485,33800),E1485)</f>
        <v/>
      </c>
    </row>
    <row r="1486">
      <c r="A1486" t="n">
        <v>1480</v>
      </c>
      <c r="B1486">
        <f>_DestuffedBits!C1481</f>
        <v/>
      </c>
      <c r="C1486">
        <f>G1485</f>
        <v/>
      </c>
      <c r="D1486">
        <f>_xlfn.BITAND(C1486,1)</f>
        <v/>
      </c>
      <c r="E1486">
        <f>_xlfn.BITRSHIFT(C1486,1)</f>
        <v/>
      </c>
      <c r="F1486">
        <f>_xlfn.BITXOR(D1486,B1486)</f>
        <v/>
      </c>
      <c r="G1486">
        <f>IF(F1486=1,_xlfn.BITXOR(E1486,33800),E1486)</f>
        <v/>
      </c>
    </row>
    <row r="1487">
      <c r="A1487" t="n">
        <v>1481</v>
      </c>
      <c r="B1487">
        <f>_DestuffedBits!C1482</f>
        <v/>
      </c>
      <c r="C1487">
        <f>G1486</f>
        <v/>
      </c>
      <c r="D1487">
        <f>_xlfn.BITAND(C1487,1)</f>
        <v/>
      </c>
      <c r="E1487">
        <f>_xlfn.BITRSHIFT(C1487,1)</f>
        <v/>
      </c>
      <c r="F1487">
        <f>_xlfn.BITXOR(D1487,B1487)</f>
        <v/>
      </c>
      <c r="G1487">
        <f>IF(F1487=1,_xlfn.BITXOR(E1487,33800),E1487)</f>
        <v/>
      </c>
    </row>
    <row r="1488">
      <c r="A1488" t="n">
        <v>1482</v>
      </c>
      <c r="B1488">
        <f>_DestuffedBits!C1483</f>
        <v/>
      </c>
      <c r="C1488">
        <f>G1487</f>
        <v/>
      </c>
      <c r="D1488">
        <f>_xlfn.BITAND(C1488,1)</f>
        <v/>
      </c>
      <c r="E1488">
        <f>_xlfn.BITRSHIFT(C1488,1)</f>
        <v/>
      </c>
      <c r="F1488">
        <f>_xlfn.BITXOR(D1488,B1488)</f>
        <v/>
      </c>
      <c r="G1488">
        <f>IF(F1488=1,_xlfn.BITXOR(E1488,33800),E1488)</f>
        <v/>
      </c>
    </row>
    <row r="1489">
      <c r="A1489" t="n">
        <v>1483</v>
      </c>
      <c r="B1489">
        <f>_DestuffedBits!C1484</f>
        <v/>
      </c>
      <c r="C1489">
        <f>G1488</f>
        <v/>
      </c>
      <c r="D1489">
        <f>_xlfn.BITAND(C1489,1)</f>
        <v/>
      </c>
      <c r="E1489">
        <f>_xlfn.BITRSHIFT(C1489,1)</f>
        <v/>
      </c>
      <c r="F1489">
        <f>_xlfn.BITXOR(D1489,B1489)</f>
        <v/>
      </c>
      <c r="G1489">
        <f>IF(F1489=1,_xlfn.BITXOR(E1489,33800),E1489)</f>
        <v/>
      </c>
    </row>
    <row r="1490">
      <c r="A1490" t="n">
        <v>1484</v>
      </c>
      <c r="B1490">
        <f>_DestuffedBits!C1485</f>
        <v/>
      </c>
      <c r="C1490">
        <f>G1489</f>
        <v/>
      </c>
      <c r="D1490">
        <f>_xlfn.BITAND(C1490,1)</f>
        <v/>
      </c>
      <c r="E1490">
        <f>_xlfn.BITRSHIFT(C1490,1)</f>
        <v/>
      </c>
      <c r="F1490">
        <f>_xlfn.BITXOR(D1490,B1490)</f>
        <v/>
      </c>
      <c r="G1490">
        <f>IF(F1490=1,_xlfn.BITXOR(E1490,33800),E1490)</f>
        <v/>
      </c>
    </row>
    <row r="1491">
      <c r="A1491" t="n">
        <v>1485</v>
      </c>
      <c r="B1491">
        <f>_DestuffedBits!C1486</f>
        <v/>
      </c>
      <c r="C1491">
        <f>G1490</f>
        <v/>
      </c>
      <c r="D1491">
        <f>_xlfn.BITAND(C1491,1)</f>
        <v/>
      </c>
      <c r="E1491">
        <f>_xlfn.BITRSHIFT(C1491,1)</f>
        <v/>
      </c>
      <c r="F1491">
        <f>_xlfn.BITXOR(D1491,B1491)</f>
        <v/>
      </c>
      <c r="G1491">
        <f>IF(F1491=1,_xlfn.BITXOR(E1491,33800),E1491)</f>
        <v/>
      </c>
    </row>
    <row r="1492">
      <c r="A1492" t="n">
        <v>1486</v>
      </c>
      <c r="B1492">
        <f>_DestuffedBits!C1487</f>
        <v/>
      </c>
      <c r="C1492">
        <f>G1491</f>
        <v/>
      </c>
      <c r="D1492">
        <f>_xlfn.BITAND(C1492,1)</f>
        <v/>
      </c>
      <c r="E1492">
        <f>_xlfn.BITRSHIFT(C1492,1)</f>
        <v/>
      </c>
      <c r="F1492">
        <f>_xlfn.BITXOR(D1492,B1492)</f>
        <v/>
      </c>
      <c r="G1492">
        <f>IF(F1492=1,_xlfn.BITXOR(E1492,33800),E1492)</f>
        <v/>
      </c>
    </row>
    <row r="1493">
      <c r="A1493" t="n">
        <v>1487</v>
      </c>
      <c r="B1493">
        <f>_DestuffedBits!C1488</f>
        <v/>
      </c>
      <c r="C1493">
        <f>G1492</f>
        <v/>
      </c>
      <c r="D1493">
        <f>_xlfn.BITAND(C1493,1)</f>
        <v/>
      </c>
      <c r="E1493">
        <f>_xlfn.BITRSHIFT(C1493,1)</f>
        <v/>
      </c>
      <c r="F1493">
        <f>_xlfn.BITXOR(D1493,B1493)</f>
        <v/>
      </c>
      <c r="G1493">
        <f>IF(F1493=1,_xlfn.BITXOR(E1493,33800),E1493)</f>
        <v/>
      </c>
    </row>
    <row r="1494">
      <c r="A1494" t="n">
        <v>1488</v>
      </c>
      <c r="B1494">
        <f>_DestuffedBits!C1489</f>
        <v/>
      </c>
      <c r="C1494">
        <f>G1493</f>
        <v/>
      </c>
      <c r="D1494">
        <f>_xlfn.BITAND(C1494,1)</f>
        <v/>
      </c>
      <c r="E1494">
        <f>_xlfn.BITRSHIFT(C1494,1)</f>
        <v/>
      </c>
      <c r="F1494">
        <f>_xlfn.BITXOR(D1494,B1494)</f>
        <v/>
      </c>
      <c r="G1494">
        <f>IF(F1494=1,_xlfn.BITXOR(E1494,33800),E1494)</f>
        <v/>
      </c>
    </row>
    <row r="1495">
      <c r="A1495" t="n">
        <v>1489</v>
      </c>
      <c r="B1495">
        <f>_DestuffedBits!C1490</f>
        <v/>
      </c>
      <c r="C1495">
        <f>G1494</f>
        <v/>
      </c>
      <c r="D1495">
        <f>_xlfn.BITAND(C1495,1)</f>
        <v/>
      </c>
      <c r="E1495">
        <f>_xlfn.BITRSHIFT(C1495,1)</f>
        <v/>
      </c>
      <c r="F1495">
        <f>_xlfn.BITXOR(D1495,B1495)</f>
        <v/>
      </c>
      <c r="G1495">
        <f>IF(F1495=1,_xlfn.BITXOR(E1495,33800),E1495)</f>
        <v/>
      </c>
    </row>
    <row r="1496">
      <c r="A1496" t="n">
        <v>1490</v>
      </c>
      <c r="B1496">
        <f>_DestuffedBits!C1491</f>
        <v/>
      </c>
      <c r="C1496">
        <f>G1495</f>
        <v/>
      </c>
      <c r="D1496">
        <f>_xlfn.BITAND(C1496,1)</f>
        <v/>
      </c>
      <c r="E1496">
        <f>_xlfn.BITRSHIFT(C1496,1)</f>
        <v/>
      </c>
      <c r="F1496">
        <f>_xlfn.BITXOR(D1496,B1496)</f>
        <v/>
      </c>
      <c r="G1496">
        <f>IF(F1496=1,_xlfn.BITXOR(E1496,33800),E1496)</f>
        <v/>
      </c>
    </row>
    <row r="1497">
      <c r="A1497" t="n">
        <v>1491</v>
      </c>
      <c r="B1497">
        <f>_DestuffedBits!C1492</f>
        <v/>
      </c>
      <c r="C1497">
        <f>G1496</f>
        <v/>
      </c>
      <c r="D1497">
        <f>_xlfn.BITAND(C1497,1)</f>
        <v/>
      </c>
      <c r="E1497">
        <f>_xlfn.BITRSHIFT(C1497,1)</f>
        <v/>
      </c>
      <c r="F1497">
        <f>_xlfn.BITXOR(D1497,B1497)</f>
        <v/>
      </c>
      <c r="G1497">
        <f>IF(F1497=1,_xlfn.BITXOR(E1497,33800),E1497)</f>
        <v/>
      </c>
    </row>
    <row r="1498">
      <c r="A1498" t="n">
        <v>1492</v>
      </c>
      <c r="B1498">
        <f>_DestuffedBits!C1493</f>
        <v/>
      </c>
      <c r="C1498">
        <f>G1497</f>
        <v/>
      </c>
      <c r="D1498">
        <f>_xlfn.BITAND(C1498,1)</f>
        <v/>
      </c>
      <c r="E1498">
        <f>_xlfn.BITRSHIFT(C1498,1)</f>
        <v/>
      </c>
      <c r="F1498">
        <f>_xlfn.BITXOR(D1498,B1498)</f>
        <v/>
      </c>
      <c r="G1498">
        <f>IF(F1498=1,_xlfn.BITXOR(E1498,33800),E1498)</f>
        <v/>
      </c>
    </row>
    <row r="1499">
      <c r="A1499" t="n">
        <v>1493</v>
      </c>
      <c r="B1499">
        <f>_DestuffedBits!C1494</f>
        <v/>
      </c>
      <c r="C1499">
        <f>G1498</f>
        <v/>
      </c>
      <c r="D1499">
        <f>_xlfn.BITAND(C1499,1)</f>
        <v/>
      </c>
      <c r="E1499">
        <f>_xlfn.BITRSHIFT(C1499,1)</f>
        <v/>
      </c>
      <c r="F1499">
        <f>_xlfn.BITXOR(D1499,B1499)</f>
        <v/>
      </c>
      <c r="G1499">
        <f>IF(F1499=1,_xlfn.BITXOR(E1499,33800),E1499)</f>
        <v/>
      </c>
    </row>
    <row r="1500">
      <c r="A1500" t="n">
        <v>1494</v>
      </c>
      <c r="B1500">
        <f>_DestuffedBits!C1495</f>
        <v/>
      </c>
      <c r="C1500">
        <f>G1499</f>
        <v/>
      </c>
      <c r="D1500">
        <f>_xlfn.BITAND(C1500,1)</f>
        <v/>
      </c>
      <c r="E1500">
        <f>_xlfn.BITRSHIFT(C1500,1)</f>
        <v/>
      </c>
      <c r="F1500">
        <f>_xlfn.BITXOR(D1500,B1500)</f>
        <v/>
      </c>
      <c r="G1500">
        <f>IF(F1500=1,_xlfn.BITXOR(E1500,33800),E1500)</f>
        <v/>
      </c>
    </row>
    <row r="1501">
      <c r="A1501" t="n">
        <v>1495</v>
      </c>
      <c r="B1501">
        <f>_DestuffedBits!C1496</f>
        <v/>
      </c>
      <c r="C1501">
        <f>G1500</f>
        <v/>
      </c>
      <c r="D1501">
        <f>_xlfn.BITAND(C1501,1)</f>
        <v/>
      </c>
      <c r="E1501">
        <f>_xlfn.BITRSHIFT(C1501,1)</f>
        <v/>
      </c>
      <c r="F1501">
        <f>_xlfn.BITXOR(D1501,B1501)</f>
        <v/>
      </c>
      <c r="G1501">
        <f>IF(F1501=1,_xlfn.BITXOR(E1501,33800),E1501)</f>
        <v/>
      </c>
    </row>
    <row r="1502">
      <c r="A1502" t="n">
        <v>1496</v>
      </c>
      <c r="B1502">
        <f>_DestuffedBits!C1497</f>
        <v/>
      </c>
      <c r="C1502">
        <f>G1501</f>
        <v/>
      </c>
      <c r="D1502">
        <f>_xlfn.BITAND(C1502,1)</f>
        <v/>
      </c>
      <c r="E1502">
        <f>_xlfn.BITRSHIFT(C1502,1)</f>
        <v/>
      </c>
      <c r="F1502">
        <f>_xlfn.BITXOR(D1502,B1502)</f>
        <v/>
      </c>
      <c r="G1502">
        <f>IF(F1502=1,_xlfn.BITXOR(E1502,33800),E1502)</f>
        <v/>
      </c>
    </row>
    <row r="1503">
      <c r="A1503" t="n">
        <v>1497</v>
      </c>
      <c r="B1503">
        <f>_DestuffedBits!C1498</f>
        <v/>
      </c>
      <c r="C1503">
        <f>G1502</f>
        <v/>
      </c>
      <c r="D1503">
        <f>_xlfn.BITAND(C1503,1)</f>
        <v/>
      </c>
      <c r="E1503">
        <f>_xlfn.BITRSHIFT(C1503,1)</f>
        <v/>
      </c>
      <c r="F1503">
        <f>_xlfn.BITXOR(D1503,B1503)</f>
        <v/>
      </c>
      <c r="G1503">
        <f>IF(F1503=1,_xlfn.BITXOR(E1503,33800),E1503)</f>
        <v/>
      </c>
    </row>
    <row r="1504">
      <c r="A1504" t="n">
        <v>1498</v>
      </c>
      <c r="B1504">
        <f>_DestuffedBits!C1499</f>
        <v/>
      </c>
      <c r="C1504">
        <f>G1503</f>
        <v/>
      </c>
      <c r="D1504">
        <f>_xlfn.BITAND(C1504,1)</f>
        <v/>
      </c>
      <c r="E1504">
        <f>_xlfn.BITRSHIFT(C1504,1)</f>
        <v/>
      </c>
      <c r="F1504">
        <f>_xlfn.BITXOR(D1504,B1504)</f>
        <v/>
      </c>
      <c r="G1504">
        <f>IF(F1504=1,_xlfn.BITXOR(E1504,33800),E1504)</f>
        <v/>
      </c>
    </row>
    <row r="1505">
      <c r="A1505" t="n">
        <v>1499</v>
      </c>
      <c r="B1505">
        <f>_DestuffedBits!C1500</f>
        <v/>
      </c>
      <c r="C1505">
        <f>G1504</f>
        <v/>
      </c>
      <c r="D1505">
        <f>_xlfn.BITAND(C1505,1)</f>
        <v/>
      </c>
      <c r="E1505">
        <f>_xlfn.BITRSHIFT(C1505,1)</f>
        <v/>
      </c>
      <c r="F1505">
        <f>_xlfn.BITXOR(D1505,B1505)</f>
        <v/>
      </c>
      <c r="G1505">
        <f>IF(F1505=1,_xlfn.BITXOR(E1505,33800),E1505)</f>
        <v/>
      </c>
    </row>
    <row r="1506">
      <c r="A1506" t="n">
        <v>1500</v>
      </c>
      <c r="B1506">
        <f>_DestuffedBits!C1501</f>
        <v/>
      </c>
      <c r="C1506">
        <f>G1505</f>
        <v/>
      </c>
      <c r="D1506">
        <f>_xlfn.BITAND(C1506,1)</f>
        <v/>
      </c>
      <c r="E1506">
        <f>_xlfn.BITRSHIFT(C1506,1)</f>
        <v/>
      </c>
      <c r="F1506">
        <f>_xlfn.BITXOR(D1506,B1506)</f>
        <v/>
      </c>
      <c r="G1506">
        <f>IF(F1506=1,_xlfn.BITXOR(E1506,33800),E1506)</f>
        <v/>
      </c>
    </row>
    <row r="1507">
      <c r="A1507" t="n">
        <v>1501</v>
      </c>
      <c r="B1507">
        <f>_DestuffedBits!C1502</f>
        <v/>
      </c>
      <c r="C1507">
        <f>G1506</f>
        <v/>
      </c>
      <c r="D1507">
        <f>_xlfn.BITAND(C1507,1)</f>
        <v/>
      </c>
      <c r="E1507">
        <f>_xlfn.BITRSHIFT(C1507,1)</f>
        <v/>
      </c>
      <c r="F1507">
        <f>_xlfn.BITXOR(D1507,B1507)</f>
        <v/>
      </c>
      <c r="G1507">
        <f>IF(F1507=1,_xlfn.BITXOR(E1507,33800),E1507)</f>
        <v/>
      </c>
    </row>
    <row r="1508">
      <c r="A1508" t="n">
        <v>1502</v>
      </c>
      <c r="B1508">
        <f>_DestuffedBits!C1503</f>
        <v/>
      </c>
      <c r="C1508">
        <f>G1507</f>
        <v/>
      </c>
      <c r="D1508">
        <f>_xlfn.BITAND(C1508,1)</f>
        <v/>
      </c>
      <c r="E1508">
        <f>_xlfn.BITRSHIFT(C1508,1)</f>
        <v/>
      </c>
      <c r="F1508">
        <f>_xlfn.BITXOR(D1508,B1508)</f>
        <v/>
      </c>
      <c r="G1508">
        <f>IF(F1508=1,_xlfn.BITXOR(E1508,33800),E1508)</f>
        <v/>
      </c>
    </row>
    <row r="1509">
      <c r="A1509" t="n">
        <v>1503</v>
      </c>
      <c r="B1509">
        <f>_DestuffedBits!C1504</f>
        <v/>
      </c>
      <c r="C1509">
        <f>G1508</f>
        <v/>
      </c>
      <c r="D1509">
        <f>_xlfn.BITAND(C1509,1)</f>
        <v/>
      </c>
      <c r="E1509">
        <f>_xlfn.BITRSHIFT(C1509,1)</f>
        <v/>
      </c>
      <c r="F1509">
        <f>_xlfn.BITXOR(D1509,B1509)</f>
        <v/>
      </c>
      <c r="G1509">
        <f>IF(F1509=1,_xlfn.BITXOR(E1509,33800),E1509)</f>
        <v/>
      </c>
    </row>
    <row r="1510">
      <c r="A1510" t="n">
        <v>1504</v>
      </c>
      <c r="B1510">
        <f>_DestuffedBits!C1505</f>
        <v/>
      </c>
      <c r="C1510">
        <f>G1509</f>
        <v/>
      </c>
      <c r="D1510">
        <f>_xlfn.BITAND(C1510,1)</f>
        <v/>
      </c>
      <c r="E1510">
        <f>_xlfn.BITRSHIFT(C1510,1)</f>
        <v/>
      </c>
      <c r="F1510">
        <f>_xlfn.BITXOR(D1510,B1510)</f>
        <v/>
      </c>
      <c r="G1510">
        <f>IF(F1510=1,_xlfn.BITXOR(E1510,33800),E1510)</f>
        <v/>
      </c>
    </row>
    <row r="1511">
      <c r="A1511" t="n">
        <v>1505</v>
      </c>
      <c r="B1511">
        <f>_DestuffedBits!C1506</f>
        <v/>
      </c>
      <c r="C1511">
        <f>G1510</f>
        <v/>
      </c>
      <c r="D1511">
        <f>_xlfn.BITAND(C1511,1)</f>
        <v/>
      </c>
      <c r="E1511">
        <f>_xlfn.BITRSHIFT(C1511,1)</f>
        <v/>
      </c>
      <c r="F1511">
        <f>_xlfn.BITXOR(D1511,B1511)</f>
        <v/>
      </c>
      <c r="G1511">
        <f>IF(F1511=1,_xlfn.BITXOR(E1511,33800),E1511)</f>
        <v/>
      </c>
    </row>
    <row r="1512">
      <c r="A1512" t="n">
        <v>1506</v>
      </c>
      <c r="B1512">
        <f>_DestuffedBits!C1507</f>
        <v/>
      </c>
      <c r="C1512">
        <f>G1511</f>
        <v/>
      </c>
      <c r="D1512">
        <f>_xlfn.BITAND(C1512,1)</f>
        <v/>
      </c>
      <c r="E1512">
        <f>_xlfn.BITRSHIFT(C1512,1)</f>
        <v/>
      </c>
      <c r="F1512">
        <f>_xlfn.BITXOR(D1512,B1512)</f>
        <v/>
      </c>
      <c r="G1512">
        <f>IF(F1512=1,_xlfn.BITXOR(E1512,33800),E1512)</f>
        <v/>
      </c>
    </row>
    <row r="1513">
      <c r="A1513" t="n">
        <v>1507</v>
      </c>
      <c r="B1513">
        <f>_DestuffedBits!C1508</f>
        <v/>
      </c>
      <c r="C1513">
        <f>G1512</f>
        <v/>
      </c>
      <c r="D1513">
        <f>_xlfn.BITAND(C1513,1)</f>
        <v/>
      </c>
      <c r="E1513">
        <f>_xlfn.BITRSHIFT(C1513,1)</f>
        <v/>
      </c>
      <c r="F1513">
        <f>_xlfn.BITXOR(D1513,B1513)</f>
        <v/>
      </c>
      <c r="G1513">
        <f>IF(F1513=1,_xlfn.BITXOR(E1513,33800),E1513)</f>
        <v/>
      </c>
    </row>
    <row r="1514">
      <c r="A1514" t="n">
        <v>1508</v>
      </c>
      <c r="B1514">
        <f>_DestuffedBits!C1509</f>
        <v/>
      </c>
      <c r="C1514">
        <f>G1513</f>
        <v/>
      </c>
      <c r="D1514">
        <f>_xlfn.BITAND(C1514,1)</f>
        <v/>
      </c>
      <c r="E1514">
        <f>_xlfn.BITRSHIFT(C1514,1)</f>
        <v/>
      </c>
      <c r="F1514">
        <f>_xlfn.BITXOR(D1514,B1514)</f>
        <v/>
      </c>
      <c r="G1514">
        <f>IF(F1514=1,_xlfn.BITXOR(E1514,33800),E1514)</f>
        <v/>
      </c>
    </row>
    <row r="1515">
      <c r="A1515" t="n">
        <v>1509</v>
      </c>
      <c r="B1515">
        <f>_DestuffedBits!C1510</f>
        <v/>
      </c>
      <c r="C1515">
        <f>G1514</f>
        <v/>
      </c>
      <c r="D1515">
        <f>_xlfn.BITAND(C1515,1)</f>
        <v/>
      </c>
      <c r="E1515">
        <f>_xlfn.BITRSHIFT(C1515,1)</f>
        <v/>
      </c>
      <c r="F1515">
        <f>_xlfn.BITXOR(D1515,B1515)</f>
        <v/>
      </c>
      <c r="G1515">
        <f>IF(F1515=1,_xlfn.BITXOR(E1515,33800),E1515)</f>
        <v/>
      </c>
    </row>
    <row r="1516">
      <c r="A1516" t="n">
        <v>1510</v>
      </c>
      <c r="B1516">
        <f>_DestuffedBits!C1511</f>
        <v/>
      </c>
      <c r="C1516">
        <f>G1515</f>
        <v/>
      </c>
      <c r="D1516">
        <f>_xlfn.BITAND(C1516,1)</f>
        <v/>
      </c>
      <c r="E1516">
        <f>_xlfn.BITRSHIFT(C1516,1)</f>
        <v/>
      </c>
      <c r="F1516">
        <f>_xlfn.BITXOR(D1516,B1516)</f>
        <v/>
      </c>
      <c r="G1516">
        <f>IF(F1516=1,_xlfn.BITXOR(E1516,33800),E1516)</f>
        <v/>
      </c>
    </row>
    <row r="1517">
      <c r="A1517" t="n">
        <v>1511</v>
      </c>
      <c r="B1517">
        <f>_DestuffedBits!C1512</f>
        <v/>
      </c>
      <c r="C1517">
        <f>G1516</f>
        <v/>
      </c>
      <c r="D1517">
        <f>_xlfn.BITAND(C1517,1)</f>
        <v/>
      </c>
      <c r="E1517">
        <f>_xlfn.BITRSHIFT(C1517,1)</f>
        <v/>
      </c>
      <c r="F1517">
        <f>_xlfn.BITXOR(D1517,B1517)</f>
        <v/>
      </c>
      <c r="G1517">
        <f>IF(F1517=1,_xlfn.BITXOR(E1517,33800),E1517)</f>
        <v/>
      </c>
    </row>
    <row r="1518">
      <c r="A1518" t="n">
        <v>1512</v>
      </c>
      <c r="B1518">
        <f>_DestuffedBits!C1513</f>
        <v/>
      </c>
      <c r="C1518">
        <f>G1517</f>
        <v/>
      </c>
      <c r="D1518">
        <f>_xlfn.BITAND(C1518,1)</f>
        <v/>
      </c>
      <c r="E1518">
        <f>_xlfn.BITRSHIFT(C1518,1)</f>
        <v/>
      </c>
      <c r="F1518">
        <f>_xlfn.BITXOR(D1518,B1518)</f>
        <v/>
      </c>
      <c r="G1518">
        <f>IF(F1518=1,_xlfn.BITXOR(E1518,33800),E1518)</f>
        <v/>
      </c>
    </row>
    <row r="1519">
      <c r="A1519" t="n">
        <v>1513</v>
      </c>
      <c r="B1519">
        <f>_DestuffedBits!C1514</f>
        <v/>
      </c>
      <c r="C1519">
        <f>G1518</f>
        <v/>
      </c>
      <c r="D1519">
        <f>_xlfn.BITAND(C1519,1)</f>
        <v/>
      </c>
      <c r="E1519">
        <f>_xlfn.BITRSHIFT(C1519,1)</f>
        <v/>
      </c>
      <c r="F1519">
        <f>_xlfn.BITXOR(D1519,B1519)</f>
        <v/>
      </c>
      <c r="G1519">
        <f>IF(F1519=1,_xlfn.BITXOR(E1519,33800),E1519)</f>
        <v/>
      </c>
    </row>
    <row r="1520">
      <c r="A1520" t="n">
        <v>1514</v>
      </c>
      <c r="B1520">
        <f>_DestuffedBits!C1515</f>
        <v/>
      </c>
      <c r="C1520">
        <f>G1519</f>
        <v/>
      </c>
      <c r="D1520">
        <f>_xlfn.BITAND(C1520,1)</f>
        <v/>
      </c>
      <c r="E1520">
        <f>_xlfn.BITRSHIFT(C1520,1)</f>
        <v/>
      </c>
      <c r="F1520">
        <f>_xlfn.BITXOR(D1520,B1520)</f>
        <v/>
      </c>
      <c r="G1520">
        <f>IF(F1520=1,_xlfn.BITXOR(E1520,33800),E1520)</f>
        <v/>
      </c>
    </row>
    <row r="1521">
      <c r="A1521" t="n">
        <v>1515</v>
      </c>
      <c r="B1521">
        <f>_DestuffedBits!C1516</f>
        <v/>
      </c>
      <c r="C1521">
        <f>G1520</f>
        <v/>
      </c>
      <c r="D1521">
        <f>_xlfn.BITAND(C1521,1)</f>
        <v/>
      </c>
      <c r="E1521">
        <f>_xlfn.BITRSHIFT(C1521,1)</f>
        <v/>
      </c>
      <c r="F1521">
        <f>_xlfn.BITXOR(D1521,B1521)</f>
        <v/>
      </c>
      <c r="G1521">
        <f>IF(F1521=1,_xlfn.BITXOR(E1521,33800),E1521)</f>
        <v/>
      </c>
    </row>
    <row r="1522">
      <c r="A1522" t="n">
        <v>1516</v>
      </c>
      <c r="B1522">
        <f>_DestuffedBits!C1517</f>
        <v/>
      </c>
      <c r="C1522">
        <f>G1521</f>
        <v/>
      </c>
      <c r="D1522">
        <f>_xlfn.BITAND(C1522,1)</f>
        <v/>
      </c>
      <c r="E1522">
        <f>_xlfn.BITRSHIFT(C1522,1)</f>
        <v/>
      </c>
      <c r="F1522">
        <f>_xlfn.BITXOR(D1522,B1522)</f>
        <v/>
      </c>
      <c r="G1522">
        <f>IF(F1522=1,_xlfn.BITXOR(E1522,33800),E1522)</f>
        <v/>
      </c>
    </row>
    <row r="1523">
      <c r="A1523" t="n">
        <v>1517</v>
      </c>
      <c r="B1523">
        <f>_DestuffedBits!C1518</f>
        <v/>
      </c>
      <c r="C1523">
        <f>G1522</f>
        <v/>
      </c>
      <c r="D1523">
        <f>_xlfn.BITAND(C1523,1)</f>
        <v/>
      </c>
      <c r="E1523">
        <f>_xlfn.BITRSHIFT(C1523,1)</f>
        <v/>
      </c>
      <c r="F1523">
        <f>_xlfn.BITXOR(D1523,B1523)</f>
        <v/>
      </c>
      <c r="G1523">
        <f>IF(F1523=1,_xlfn.BITXOR(E1523,33800),E1523)</f>
        <v/>
      </c>
    </row>
    <row r="1524">
      <c r="A1524" t="n">
        <v>1518</v>
      </c>
      <c r="B1524">
        <f>_DestuffedBits!C1519</f>
        <v/>
      </c>
      <c r="C1524">
        <f>G1523</f>
        <v/>
      </c>
      <c r="D1524">
        <f>_xlfn.BITAND(C1524,1)</f>
        <v/>
      </c>
      <c r="E1524">
        <f>_xlfn.BITRSHIFT(C1524,1)</f>
        <v/>
      </c>
      <c r="F1524">
        <f>_xlfn.BITXOR(D1524,B1524)</f>
        <v/>
      </c>
      <c r="G1524">
        <f>IF(F1524=1,_xlfn.BITXOR(E1524,33800),E1524)</f>
        <v/>
      </c>
    </row>
    <row r="1525">
      <c r="A1525" t="n">
        <v>1519</v>
      </c>
      <c r="B1525">
        <f>_DestuffedBits!C1520</f>
        <v/>
      </c>
      <c r="C1525">
        <f>G1524</f>
        <v/>
      </c>
      <c r="D1525">
        <f>_xlfn.BITAND(C1525,1)</f>
        <v/>
      </c>
      <c r="E1525">
        <f>_xlfn.BITRSHIFT(C1525,1)</f>
        <v/>
      </c>
      <c r="F1525">
        <f>_xlfn.BITXOR(D1525,B1525)</f>
        <v/>
      </c>
      <c r="G1525">
        <f>IF(F1525=1,_xlfn.BITXOR(E1525,33800),E1525)</f>
        <v/>
      </c>
    </row>
    <row r="1526">
      <c r="A1526" t="n">
        <v>1520</v>
      </c>
      <c r="B1526">
        <f>_DestuffedBits!C1521</f>
        <v/>
      </c>
      <c r="C1526">
        <f>G1525</f>
        <v/>
      </c>
      <c r="D1526">
        <f>_xlfn.BITAND(C1526,1)</f>
        <v/>
      </c>
      <c r="E1526">
        <f>_xlfn.BITRSHIFT(C1526,1)</f>
        <v/>
      </c>
      <c r="F1526">
        <f>_xlfn.BITXOR(D1526,B1526)</f>
        <v/>
      </c>
      <c r="G1526">
        <f>IF(F1526=1,_xlfn.BITXOR(E1526,33800),E1526)</f>
        <v/>
      </c>
    </row>
    <row r="1527">
      <c r="A1527" t="n">
        <v>1521</v>
      </c>
      <c r="B1527">
        <f>_DestuffedBits!C1522</f>
        <v/>
      </c>
      <c r="C1527">
        <f>G1526</f>
        <v/>
      </c>
      <c r="D1527">
        <f>_xlfn.BITAND(C1527,1)</f>
        <v/>
      </c>
      <c r="E1527">
        <f>_xlfn.BITRSHIFT(C1527,1)</f>
        <v/>
      </c>
      <c r="F1527">
        <f>_xlfn.BITXOR(D1527,B1527)</f>
        <v/>
      </c>
      <c r="G1527">
        <f>IF(F1527=1,_xlfn.BITXOR(E1527,33800),E1527)</f>
        <v/>
      </c>
    </row>
    <row r="1528">
      <c r="A1528" t="n">
        <v>1522</v>
      </c>
      <c r="B1528">
        <f>_DestuffedBits!C1523</f>
        <v/>
      </c>
      <c r="C1528">
        <f>G1527</f>
        <v/>
      </c>
      <c r="D1528">
        <f>_xlfn.BITAND(C1528,1)</f>
        <v/>
      </c>
      <c r="E1528">
        <f>_xlfn.BITRSHIFT(C1528,1)</f>
        <v/>
      </c>
      <c r="F1528">
        <f>_xlfn.BITXOR(D1528,B1528)</f>
        <v/>
      </c>
      <c r="G1528">
        <f>IF(F1528=1,_xlfn.BITXOR(E1528,33800),E1528)</f>
        <v/>
      </c>
    </row>
    <row r="1529">
      <c r="A1529" t="n">
        <v>1523</v>
      </c>
      <c r="B1529">
        <f>_DestuffedBits!C1524</f>
        <v/>
      </c>
      <c r="C1529">
        <f>G1528</f>
        <v/>
      </c>
      <c r="D1529">
        <f>_xlfn.BITAND(C1529,1)</f>
        <v/>
      </c>
      <c r="E1529">
        <f>_xlfn.BITRSHIFT(C1529,1)</f>
        <v/>
      </c>
      <c r="F1529">
        <f>_xlfn.BITXOR(D1529,B1529)</f>
        <v/>
      </c>
      <c r="G1529">
        <f>IF(F1529=1,_xlfn.BITXOR(E1529,33800),E1529)</f>
        <v/>
      </c>
    </row>
    <row r="1530">
      <c r="A1530" t="n">
        <v>1524</v>
      </c>
      <c r="B1530">
        <f>_DestuffedBits!C1525</f>
        <v/>
      </c>
      <c r="C1530">
        <f>G1529</f>
        <v/>
      </c>
      <c r="D1530">
        <f>_xlfn.BITAND(C1530,1)</f>
        <v/>
      </c>
      <c r="E1530">
        <f>_xlfn.BITRSHIFT(C1530,1)</f>
        <v/>
      </c>
      <c r="F1530">
        <f>_xlfn.BITXOR(D1530,B1530)</f>
        <v/>
      </c>
      <c r="G1530">
        <f>IF(F1530=1,_xlfn.BITXOR(E1530,33800),E1530)</f>
        <v/>
      </c>
    </row>
    <row r="1531">
      <c r="A1531" t="n">
        <v>1525</v>
      </c>
      <c r="B1531">
        <f>_DestuffedBits!C1526</f>
        <v/>
      </c>
      <c r="C1531">
        <f>G1530</f>
        <v/>
      </c>
      <c r="D1531">
        <f>_xlfn.BITAND(C1531,1)</f>
        <v/>
      </c>
      <c r="E1531">
        <f>_xlfn.BITRSHIFT(C1531,1)</f>
        <v/>
      </c>
      <c r="F1531">
        <f>_xlfn.BITXOR(D1531,B1531)</f>
        <v/>
      </c>
      <c r="G1531">
        <f>IF(F1531=1,_xlfn.BITXOR(E1531,33800),E1531)</f>
        <v/>
      </c>
    </row>
    <row r="1532">
      <c r="A1532" t="n">
        <v>1526</v>
      </c>
      <c r="B1532">
        <f>_DestuffedBits!C1527</f>
        <v/>
      </c>
      <c r="C1532">
        <f>G1531</f>
        <v/>
      </c>
      <c r="D1532">
        <f>_xlfn.BITAND(C1532,1)</f>
        <v/>
      </c>
      <c r="E1532">
        <f>_xlfn.BITRSHIFT(C1532,1)</f>
        <v/>
      </c>
      <c r="F1532">
        <f>_xlfn.BITXOR(D1532,B1532)</f>
        <v/>
      </c>
      <c r="G1532">
        <f>IF(F1532=1,_xlfn.BITXOR(E1532,33800),E1532)</f>
        <v/>
      </c>
    </row>
    <row r="1533">
      <c r="A1533" t="n">
        <v>1527</v>
      </c>
      <c r="B1533">
        <f>_DestuffedBits!C1528</f>
        <v/>
      </c>
      <c r="C1533">
        <f>G1532</f>
        <v/>
      </c>
      <c r="D1533">
        <f>_xlfn.BITAND(C1533,1)</f>
        <v/>
      </c>
      <c r="E1533">
        <f>_xlfn.BITRSHIFT(C1533,1)</f>
        <v/>
      </c>
      <c r="F1533">
        <f>_xlfn.BITXOR(D1533,B1533)</f>
        <v/>
      </c>
      <c r="G1533">
        <f>IF(F1533=1,_xlfn.BITXOR(E1533,33800),E1533)</f>
        <v/>
      </c>
    </row>
    <row r="1534">
      <c r="A1534" t="n">
        <v>1528</v>
      </c>
      <c r="B1534">
        <f>_DestuffedBits!C1529</f>
        <v/>
      </c>
      <c r="C1534">
        <f>G1533</f>
        <v/>
      </c>
      <c r="D1534">
        <f>_xlfn.BITAND(C1534,1)</f>
        <v/>
      </c>
      <c r="E1534">
        <f>_xlfn.BITRSHIFT(C1534,1)</f>
        <v/>
      </c>
      <c r="F1534">
        <f>_xlfn.BITXOR(D1534,B1534)</f>
        <v/>
      </c>
      <c r="G1534">
        <f>IF(F1534=1,_xlfn.BITXOR(E1534,33800),E1534)</f>
        <v/>
      </c>
    </row>
    <row r="1535">
      <c r="A1535" t="n">
        <v>1529</v>
      </c>
      <c r="B1535">
        <f>_DestuffedBits!C1530</f>
        <v/>
      </c>
      <c r="C1535">
        <f>G1534</f>
        <v/>
      </c>
      <c r="D1535">
        <f>_xlfn.BITAND(C1535,1)</f>
        <v/>
      </c>
      <c r="E1535">
        <f>_xlfn.BITRSHIFT(C1535,1)</f>
        <v/>
      </c>
      <c r="F1535">
        <f>_xlfn.BITXOR(D1535,B1535)</f>
        <v/>
      </c>
      <c r="G1535">
        <f>IF(F1535=1,_xlfn.BITXOR(E1535,33800),E1535)</f>
        <v/>
      </c>
    </row>
    <row r="1536">
      <c r="A1536" t="n">
        <v>1530</v>
      </c>
      <c r="B1536">
        <f>_DestuffedBits!C1531</f>
        <v/>
      </c>
      <c r="C1536">
        <f>G1535</f>
        <v/>
      </c>
      <c r="D1536">
        <f>_xlfn.BITAND(C1536,1)</f>
        <v/>
      </c>
      <c r="E1536">
        <f>_xlfn.BITRSHIFT(C1536,1)</f>
        <v/>
      </c>
      <c r="F1536">
        <f>_xlfn.BITXOR(D1536,B1536)</f>
        <v/>
      </c>
      <c r="G1536">
        <f>IF(F1536=1,_xlfn.BITXOR(E1536,33800),E1536)</f>
        <v/>
      </c>
    </row>
    <row r="1537">
      <c r="A1537" t="n">
        <v>1531</v>
      </c>
      <c r="B1537">
        <f>_DestuffedBits!C1532</f>
        <v/>
      </c>
      <c r="C1537">
        <f>G1536</f>
        <v/>
      </c>
      <c r="D1537">
        <f>_xlfn.BITAND(C1537,1)</f>
        <v/>
      </c>
      <c r="E1537">
        <f>_xlfn.BITRSHIFT(C1537,1)</f>
        <v/>
      </c>
      <c r="F1537">
        <f>_xlfn.BITXOR(D1537,B1537)</f>
        <v/>
      </c>
      <c r="G1537">
        <f>IF(F1537=1,_xlfn.BITXOR(E1537,33800),E1537)</f>
        <v/>
      </c>
    </row>
    <row r="1538">
      <c r="A1538" t="n">
        <v>1532</v>
      </c>
      <c r="B1538">
        <f>_DestuffedBits!C1533</f>
        <v/>
      </c>
      <c r="C1538">
        <f>G1537</f>
        <v/>
      </c>
      <c r="D1538">
        <f>_xlfn.BITAND(C1538,1)</f>
        <v/>
      </c>
      <c r="E1538">
        <f>_xlfn.BITRSHIFT(C1538,1)</f>
        <v/>
      </c>
      <c r="F1538">
        <f>_xlfn.BITXOR(D1538,B1538)</f>
        <v/>
      </c>
      <c r="G1538">
        <f>IF(F1538=1,_xlfn.BITXOR(E1538,33800),E1538)</f>
        <v/>
      </c>
    </row>
    <row r="1539">
      <c r="A1539" t="n">
        <v>1533</v>
      </c>
      <c r="B1539">
        <f>_DestuffedBits!C1534</f>
        <v/>
      </c>
      <c r="C1539">
        <f>G1538</f>
        <v/>
      </c>
      <c r="D1539">
        <f>_xlfn.BITAND(C1539,1)</f>
        <v/>
      </c>
      <c r="E1539">
        <f>_xlfn.BITRSHIFT(C1539,1)</f>
        <v/>
      </c>
      <c r="F1539">
        <f>_xlfn.BITXOR(D1539,B1539)</f>
        <v/>
      </c>
      <c r="G1539">
        <f>IF(F1539=1,_xlfn.BITXOR(E1539,33800),E1539)</f>
        <v/>
      </c>
    </row>
    <row r="1540">
      <c r="A1540" t="n">
        <v>1534</v>
      </c>
      <c r="B1540">
        <f>_DestuffedBits!C1535</f>
        <v/>
      </c>
      <c r="C1540">
        <f>G1539</f>
        <v/>
      </c>
      <c r="D1540">
        <f>_xlfn.BITAND(C1540,1)</f>
        <v/>
      </c>
      <c r="E1540">
        <f>_xlfn.BITRSHIFT(C1540,1)</f>
        <v/>
      </c>
      <c r="F1540">
        <f>_xlfn.BITXOR(D1540,B1540)</f>
        <v/>
      </c>
      <c r="G1540">
        <f>IF(F1540=1,_xlfn.BITXOR(E1540,33800),E1540)</f>
        <v/>
      </c>
    </row>
    <row r="1541">
      <c r="A1541" t="n">
        <v>1535</v>
      </c>
      <c r="B1541">
        <f>_DestuffedBits!C1536</f>
        <v/>
      </c>
      <c r="C1541">
        <f>G1540</f>
        <v/>
      </c>
      <c r="D1541">
        <f>_xlfn.BITAND(C1541,1)</f>
        <v/>
      </c>
      <c r="E1541">
        <f>_xlfn.BITRSHIFT(C1541,1)</f>
        <v/>
      </c>
      <c r="F1541">
        <f>_xlfn.BITXOR(D1541,B1541)</f>
        <v/>
      </c>
      <c r="G1541">
        <f>IF(F1541=1,_xlfn.BITXOR(E1541,33800),E1541)</f>
        <v/>
      </c>
    </row>
    <row r="1542">
      <c r="A1542" t="n">
        <v>1536</v>
      </c>
      <c r="B1542">
        <f>_DestuffedBits!C1537</f>
        <v/>
      </c>
      <c r="C1542">
        <f>G1541</f>
        <v/>
      </c>
      <c r="D1542">
        <f>_xlfn.BITAND(C1542,1)</f>
        <v/>
      </c>
      <c r="E1542">
        <f>_xlfn.BITRSHIFT(C1542,1)</f>
        <v/>
      </c>
      <c r="F1542">
        <f>_xlfn.BITXOR(D1542,B1542)</f>
        <v/>
      </c>
      <c r="G1542">
        <f>IF(F1542=1,_xlfn.BITXOR(E1542,33800),E1542)</f>
        <v/>
      </c>
    </row>
    <row r="1543">
      <c r="A1543" t="n">
        <v>1537</v>
      </c>
      <c r="B1543">
        <f>_DestuffedBits!C1538</f>
        <v/>
      </c>
      <c r="C1543">
        <f>G1542</f>
        <v/>
      </c>
      <c r="D1543">
        <f>_xlfn.BITAND(C1543,1)</f>
        <v/>
      </c>
      <c r="E1543">
        <f>_xlfn.BITRSHIFT(C1543,1)</f>
        <v/>
      </c>
      <c r="F1543">
        <f>_xlfn.BITXOR(D1543,B1543)</f>
        <v/>
      </c>
      <c r="G1543">
        <f>IF(F1543=1,_xlfn.BITXOR(E1543,33800),E1543)</f>
        <v/>
      </c>
    </row>
    <row r="1544">
      <c r="A1544" t="n">
        <v>1538</v>
      </c>
      <c r="B1544">
        <f>_DestuffedBits!C1539</f>
        <v/>
      </c>
      <c r="C1544">
        <f>G1543</f>
        <v/>
      </c>
      <c r="D1544">
        <f>_xlfn.BITAND(C1544,1)</f>
        <v/>
      </c>
      <c r="E1544">
        <f>_xlfn.BITRSHIFT(C1544,1)</f>
        <v/>
      </c>
      <c r="F1544">
        <f>_xlfn.BITXOR(D1544,B1544)</f>
        <v/>
      </c>
      <c r="G1544">
        <f>IF(F1544=1,_xlfn.BITXOR(E1544,33800),E1544)</f>
        <v/>
      </c>
    </row>
    <row r="1545">
      <c r="A1545" t="n">
        <v>1539</v>
      </c>
      <c r="B1545">
        <f>_DestuffedBits!C1540</f>
        <v/>
      </c>
      <c r="C1545">
        <f>G1544</f>
        <v/>
      </c>
      <c r="D1545">
        <f>_xlfn.BITAND(C1545,1)</f>
        <v/>
      </c>
      <c r="E1545">
        <f>_xlfn.BITRSHIFT(C1545,1)</f>
        <v/>
      </c>
      <c r="F1545">
        <f>_xlfn.BITXOR(D1545,B1545)</f>
        <v/>
      </c>
      <c r="G1545">
        <f>IF(F1545=1,_xlfn.BITXOR(E1545,33800),E1545)</f>
        <v/>
      </c>
    </row>
    <row r="1546">
      <c r="A1546" t="n">
        <v>1540</v>
      </c>
      <c r="B1546">
        <f>_DestuffedBits!C1541</f>
        <v/>
      </c>
      <c r="C1546">
        <f>G1545</f>
        <v/>
      </c>
      <c r="D1546">
        <f>_xlfn.BITAND(C1546,1)</f>
        <v/>
      </c>
      <c r="E1546">
        <f>_xlfn.BITRSHIFT(C1546,1)</f>
        <v/>
      </c>
      <c r="F1546">
        <f>_xlfn.BITXOR(D1546,B1546)</f>
        <v/>
      </c>
      <c r="G1546">
        <f>IF(F1546=1,_xlfn.BITXOR(E1546,33800),E1546)</f>
        <v/>
      </c>
    </row>
    <row r="1547">
      <c r="A1547" t="n">
        <v>1541</v>
      </c>
      <c r="B1547">
        <f>_DestuffedBits!C1542</f>
        <v/>
      </c>
      <c r="C1547">
        <f>G1546</f>
        <v/>
      </c>
      <c r="D1547">
        <f>_xlfn.BITAND(C1547,1)</f>
        <v/>
      </c>
      <c r="E1547">
        <f>_xlfn.BITRSHIFT(C1547,1)</f>
        <v/>
      </c>
      <c r="F1547">
        <f>_xlfn.BITXOR(D1547,B1547)</f>
        <v/>
      </c>
      <c r="G1547">
        <f>IF(F1547=1,_xlfn.BITXOR(E1547,33800),E1547)</f>
        <v/>
      </c>
    </row>
    <row r="1548">
      <c r="A1548" t="n">
        <v>1542</v>
      </c>
      <c r="B1548">
        <f>_DestuffedBits!C1543</f>
        <v/>
      </c>
      <c r="C1548">
        <f>G1547</f>
        <v/>
      </c>
      <c r="D1548">
        <f>_xlfn.BITAND(C1548,1)</f>
        <v/>
      </c>
      <c r="E1548">
        <f>_xlfn.BITRSHIFT(C1548,1)</f>
        <v/>
      </c>
      <c r="F1548">
        <f>_xlfn.BITXOR(D1548,B1548)</f>
        <v/>
      </c>
      <c r="G1548">
        <f>IF(F1548=1,_xlfn.BITXOR(E1548,33800),E1548)</f>
        <v/>
      </c>
    </row>
    <row r="1549">
      <c r="A1549" t="n">
        <v>1543</v>
      </c>
      <c r="B1549">
        <f>_DestuffedBits!C1544</f>
        <v/>
      </c>
      <c r="C1549">
        <f>G1548</f>
        <v/>
      </c>
      <c r="D1549">
        <f>_xlfn.BITAND(C1549,1)</f>
        <v/>
      </c>
      <c r="E1549">
        <f>_xlfn.BITRSHIFT(C1549,1)</f>
        <v/>
      </c>
      <c r="F1549">
        <f>_xlfn.BITXOR(D1549,B1549)</f>
        <v/>
      </c>
      <c r="G1549">
        <f>IF(F1549=1,_xlfn.BITXOR(E1549,33800),E1549)</f>
        <v/>
      </c>
    </row>
    <row r="1550">
      <c r="A1550" t="n">
        <v>1544</v>
      </c>
      <c r="B1550">
        <f>_DestuffedBits!C1545</f>
        <v/>
      </c>
      <c r="C1550">
        <f>G1549</f>
        <v/>
      </c>
      <c r="D1550">
        <f>_xlfn.BITAND(C1550,1)</f>
        <v/>
      </c>
      <c r="E1550">
        <f>_xlfn.BITRSHIFT(C1550,1)</f>
        <v/>
      </c>
      <c r="F1550">
        <f>_xlfn.BITXOR(D1550,B1550)</f>
        <v/>
      </c>
      <c r="G1550">
        <f>IF(F1550=1,_xlfn.BITXOR(E1550,33800),E1550)</f>
        <v/>
      </c>
    </row>
    <row r="1551">
      <c r="A1551" t="n">
        <v>1545</v>
      </c>
      <c r="B1551">
        <f>_DestuffedBits!C1546</f>
        <v/>
      </c>
      <c r="C1551">
        <f>G1550</f>
        <v/>
      </c>
      <c r="D1551">
        <f>_xlfn.BITAND(C1551,1)</f>
        <v/>
      </c>
      <c r="E1551">
        <f>_xlfn.BITRSHIFT(C1551,1)</f>
        <v/>
      </c>
      <c r="F1551">
        <f>_xlfn.BITXOR(D1551,B1551)</f>
        <v/>
      </c>
      <c r="G1551">
        <f>IF(F1551=1,_xlfn.BITXOR(E1551,33800),E1551)</f>
        <v/>
      </c>
    </row>
    <row r="1552">
      <c r="A1552" t="n">
        <v>1546</v>
      </c>
      <c r="B1552">
        <f>_DestuffedBits!C1547</f>
        <v/>
      </c>
      <c r="C1552">
        <f>G1551</f>
        <v/>
      </c>
      <c r="D1552">
        <f>_xlfn.BITAND(C1552,1)</f>
        <v/>
      </c>
      <c r="E1552">
        <f>_xlfn.BITRSHIFT(C1552,1)</f>
        <v/>
      </c>
      <c r="F1552">
        <f>_xlfn.BITXOR(D1552,B1552)</f>
        <v/>
      </c>
      <c r="G1552">
        <f>IF(F1552=1,_xlfn.BITXOR(E1552,33800),E1552)</f>
        <v/>
      </c>
    </row>
    <row r="1553">
      <c r="A1553" t="n">
        <v>1547</v>
      </c>
      <c r="B1553">
        <f>_DestuffedBits!C1548</f>
        <v/>
      </c>
      <c r="C1553">
        <f>G1552</f>
        <v/>
      </c>
      <c r="D1553">
        <f>_xlfn.BITAND(C1553,1)</f>
        <v/>
      </c>
      <c r="E1553">
        <f>_xlfn.BITRSHIFT(C1553,1)</f>
        <v/>
      </c>
      <c r="F1553">
        <f>_xlfn.BITXOR(D1553,B1553)</f>
        <v/>
      </c>
      <c r="G1553">
        <f>IF(F1553=1,_xlfn.BITXOR(E1553,33800),E1553)</f>
        <v/>
      </c>
    </row>
    <row r="1554">
      <c r="A1554" t="n">
        <v>1548</v>
      </c>
      <c r="B1554">
        <f>_DestuffedBits!C1549</f>
        <v/>
      </c>
      <c r="C1554">
        <f>G1553</f>
        <v/>
      </c>
      <c r="D1554">
        <f>_xlfn.BITAND(C1554,1)</f>
        <v/>
      </c>
      <c r="E1554">
        <f>_xlfn.BITRSHIFT(C1554,1)</f>
        <v/>
      </c>
      <c r="F1554">
        <f>_xlfn.BITXOR(D1554,B1554)</f>
        <v/>
      </c>
      <c r="G1554">
        <f>IF(F1554=1,_xlfn.BITXOR(E1554,33800),E1554)</f>
        <v/>
      </c>
    </row>
    <row r="1555">
      <c r="A1555" t="n">
        <v>1549</v>
      </c>
      <c r="B1555">
        <f>_DestuffedBits!C1550</f>
        <v/>
      </c>
      <c r="C1555">
        <f>G1554</f>
        <v/>
      </c>
      <c r="D1555">
        <f>_xlfn.BITAND(C1555,1)</f>
        <v/>
      </c>
      <c r="E1555">
        <f>_xlfn.BITRSHIFT(C1555,1)</f>
        <v/>
      </c>
      <c r="F1555">
        <f>_xlfn.BITXOR(D1555,B1555)</f>
        <v/>
      </c>
      <c r="G1555">
        <f>IF(F1555=1,_xlfn.BITXOR(E1555,33800),E1555)</f>
        <v/>
      </c>
    </row>
    <row r="1556">
      <c r="A1556" t="n">
        <v>1550</v>
      </c>
      <c r="B1556">
        <f>_DestuffedBits!C1551</f>
        <v/>
      </c>
      <c r="C1556">
        <f>G1555</f>
        <v/>
      </c>
      <c r="D1556">
        <f>_xlfn.BITAND(C1556,1)</f>
        <v/>
      </c>
      <c r="E1556">
        <f>_xlfn.BITRSHIFT(C1556,1)</f>
        <v/>
      </c>
      <c r="F1556">
        <f>_xlfn.BITXOR(D1556,B1556)</f>
        <v/>
      </c>
      <c r="G1556">
        <f>IF(F1556=1,_xlfn.BITXOR(E1556,33800),E1556)</f>
        <v/>
      </c>
    </row>
    <row r="1557">
      <c r="A1557" t="n">
        <v>1551</v>
      </c>
      <c r="B1557">
        <f>_DestuffedBits!C1552</f>
        <v/>
      </c>
      <c r="C1557">
        <f>G1556</f>
        <v/>
      </c>
      <c r="D1557">
        <f>_xlfn.BITAND(C1557,1)</f>
        <v/>
      </c>
      <c r="E1557">
        <f>_xlfn.BITRSHIFT(C1557,1)</f>
        <v/>
      </c>
      <c r="F1557">
        <f>_xlfn.BITXOR(D1557,B1557)</f>
        <v/>
      </c>
      <c r="G1557">
        <f>IF(F1557=1,_xlfn.BITXOR(E1557,33800),E1557)</f>
        <v/>
      </c>
    </row>
    <row r="1558">
      <c r="A1558" t="n">
        <v>1552</v>
      </c>
      <c r="B1558">
        <f>_DestuffedBits!C1553</f>
        <v/>
      </c>
      <c r="C1558">
        <f>G1557</f>
        <v/>
      </c>
      <c r="D1558">
        <f>_xlfn.BITAND(C1558,1)</f>
        <v/>
      </c>
      <c r="E1558">
        <f>_xlfn.BITRSHIFT(C1558,1)</f>
        <v/>
      </c>
      <c r="F1558">
        <f>_xlfn.BITXOR(D1558,B1558)</f>
        <v/>
      </c>
      <c r="G1558">
        <f>IF(F1558=1,_xlfn.BITXOR(E1558,33800),E1558)</f>
        <v/>
      </c>
    </row>
    <row r="1559">
      <c r="A1559" t="n">
        <v>1553</v>
      </c>
      <c r="B1559">
        <f>_DestuffedBits!C1554</f>
        <v/>
      </c>
      <c r="C1559">
        <f>G1558</f>
        <v/>
      </c>
      <c r="D1559">
        <f>_xlfn.BITAND(C1559,1)</f>
        <v/>
      </c>
      <c r="E1559">
        <f>_xlfn.BITRSHIFT(C1559,1)</f>
        <v/>
      </c>
      <c r="F1559">
        <f>_xlfn.BITXOR(D1559,B1559)</f>
        <v/>
      </c>
      <c r="G1559">
        <f>IF(F1559=1,_xlfn.BITXOR(E1559,33800),E1559)</f>
        <v/>
      </c>
    </row>
    <row r="1560">
      <c r="A1560" t="n">
        <v>1554</v>
      </c>
      <c r="B1560">
        <f>_DestuffedBits!C1555</f>
        <v/>
      </c>
      <c r="C1560">
        <f>G1559</f>
        <v/>
      </c>
      <c r="D1560">
        <f>_xlfn.BITAND(C1560,1)</f>
        <v/>
      </c>
      <c r="E1560">
        <f>_xlfn.BITRSHIFT(C1560,1)</f>
        <v/>
      </c>
      <c r="F1560">
        <f>_xlfn.BITXOR(D1560,B1560)</f>
        <v/>
      </c>
      <c r="G1560">
        <f>IF(F1560=1,_xlfn.BITXOR(E1560,33800),E1560)</f>
        <v/>
      </c>
    </row>
    <row r="1561">
      <c r="A1561" t="n">
        <v>1555</v>
      </c>
      <c r="B1561">
        <f>_DestuffedBits!C1556</f>
        <v/>
      </c>
      <c r="C1561">
        <f>G1560</f>
        <v/>
      </c>
      <c r="D1561">
        <f>_xlfn.BITAND(C1561,1)</f>
        <v/>
      </c>
      <c r="E1561">
        <f>_xlfn.BITRSHIFT(C1561,1)</f>
        <v/>
      </c>
      <c r="F1561">
        <f>_xlfn.BITXOR(D1561,B1561)</f>
        <v/>
      </c>
      <c r="G1561">
        <f>IF(F1561=1,_xlfn.BITXOR(E1561,33800),E1561)</f>
        <v/>
      </c>
    </row>
    <row r="1562">
      <c r="A1562" t="n">
        <v>1556</v>
      </c>
      <c r="B1562">
        <f>_DestuffedBits!C1557</f>
        <v/>
      </c>
      <c r="C1562">
        <f>G1561</f>
        <v/>
      </c>
      <c r="D1562">
        <f>_xlfn.BITAND(C1562,1)</f>
        <v/>
      </c>
      <c r="E1562">
        <f>_xlfn.BITRSHIFT(C1562,1)</f>
        <v/>
      </c>
      <c r="F1562">
        <f>_xlfn.BITXOR(D1562,B1562)</f>
        <v/>
      </c>
      <c r="G1562">
        <f>IF(F1562=1,_xlfn.BITXOR(E1562,33800),E1562)</f>
        <v/>
      </c>
    </row>
    <row r="1563">
      <c r="A1563" t="n">
        <v>1557</v>
      </c>
      <c r="B1563">
        <f>_DestuffedBits!C1558</f>
        <v/>
      </c>
      <c r="C1563">
        <f>G1562</f>
        <v/>
      </c>
      <c r="D1563">
        <f>_xlfn.BITAND(C1563,1)</f>
        <v/>
      </c>
      <c r="E1563">
        <f>_xlfn.BITRSHIFT(C1563,1)</f>
        <v/>
      </c>
      <c r="F1563">
        <f>_xlfn.BITXOR(D1563,B1563)</f>
        <v/>
      </c>
      <c r="G1563">
        <f>IF(F1563=1,_xlfn.BITXOR(E1563,33800),E1563)</f>
        <v/>
      </c>
    </row>
    <row r="1564">
      <c r="A1564" t="n">
        <v>1558</v>
      </c>
      <c r="B1564">
        <f>_DestuffedBits!C1559</f>
        <v/>
      </c>
      <c r="C1564">
        <f>G1563</f>
        <v/>
      </c>
      <c r="D1564">
        <f>_xlfn.BITAND(C1564,1)</f>
        <v/>
      </c>
      <c r="E1564">
        <f>_xlfn.BITRSHIFT(C1564,1)</f>
        <v/>
      </c>
      <c r="F1564">
        <f>_xlfn.BITXOR(D1564,B1564)</f>
        <v/>
      </c>
      <c r="G1564">
        <f>IF(F1564=1,_xlfn.BITXOR(E1564,33800),E1564)</f>
        <v/>
      </c>
    </row>
    <row r="1565">
      <c r="A1565" t="n">
        <v>1559</v>
      </c>
      <c r="B1565">
        <f>_DestuffedBits!C1560</f>
        <v/>
      </c>
      <c r="C1565">
        <f>G1564</f>
        <v/>
      </c>
      <c r="D1565">
        <f>_xlfn.BITAND(C1565,1)</f>
        <v/>
      </c>
      <c r="E1565">
        <f>_xlfn.BITRSHIFT(C1565,1)</f>
        <v/>
      </c>
      <c r="F1565">
        <f>_xlfn.BITXOR(D1565,B1565)</f>
        <v/>
      </c>
      <c r="G1565">
        <f>IF(F1565=1,_xlfn.BITXOR(E1565,33800),E1565)</f>
        <v/>
      </c>
    </row>
    <row r="1566">
      <c r="A1566" t="n">
        <v>1560</v>
      </c>
      <c r="B1566">
        <f>_DestuffedBits!C1561</f>
        <v/>
      </c>
      <c r="C1566">
        <f>G1565</f>
        <v/>
      </c>
      <c r="D1566">
        <f>_xlfn.BITAND(C1566,1)</f>
        <v/>
      </c>
      <c r="E1566">
        <f>_xlfn.BITRSHIFT(C1566,1)</f>
        <v/>
      </c>
      <c r="F1566">
        <f>_xlfn.BITXOR(D1566,B1566)</f>
        <v/>
      </c>
      <c r="G1566">
        <f>IF(F1566=1,_xlfn.BITXOR(E1566,33800),E1566)</f>
        <v/>
      </c>
    </row>
    <row r="1567">
      <c r="A1567" t="n">
        <v>1561</v>
      </c>
      <c r="B1567">
        <f>_DestuffedBits!C1562</f>
        <v/>
      </c>
      <c r="C1567">
        <f>G1566</f>
        <v/>
      </c>
      <c r="D1567">
        <f>_xlfn.BITAND(C1567,1)</f>
        <v/>
      </c>
      <c r="E1567">
        <f>_xlfn.BITRSHIFT(C1567,1)</f>
        <v/>
      </c>
      <c r="F1567">
        <f>_xlfn.BITXOR(D1567,B1567)</f>
        <v/>
      </c>
      <c r="G1567">
        <f>IF(F1567=1,_xlfn.BITXOR(E1567,33800),E1567)</f>
        <v/>
      </c>
    </row>
    <row r="1568">
      <c r="A1568" t="n">
        <v>1562</v>
      </c>
      <c r="B1568">
        <f>_DestuffedBits!C1563</f>
        <v/>
      </c>
      <c r="C1568">
        <f>G1567</f>
        <v/>
      </c>
      <c r="D1568">
        <f>_xlfn.BITAND(C1568,1)</f>
        <v/>
      </c>
      <c r="E1568">
        <f>_xlfn.BITRSHIFT(C1568,1)</f>
        <v/>
      </c>
      <c r="F1568">
        <f>_xlfn.BITXOR(D1568,B1568)</f>
        <v/>
      </c>
      <c r="G1568">
        <f>IF(F1568=1,_xlfn.BITXOR(E1568,33800),E1568)</f>
        <v/>
      </c>
    </row>
    <row r="1569">
      <c r="A1569" t="n">
        <v>1563</v>
      </c>
      <c r="B1569">
        <f>_DestuffedBits!C1564</f>
        <v/>
      </c>
      <c r="C1569">
        <f>G1568</f>
        <v/>
      </c>
      <c r="D1569">
        <f>_xlfn.BITAND(C1569,1)</f>
        <v/>
      </c>
      <c r="E1569">
        <f>_xlfn.BITRSHIFT(C1569,1)</f>
        <v/>
      </c>
      <c r="F1569">
        <f>_xlfn.BITXOR(D1569,B1569)</f>
        <v/>
      </c>
      <c r="G1569">
        <f>IF(F1569=1,_xlfn.BITXOR(E1569,33800),E1569)</f>
        <v/>
      </c>
    </row>
    <row r="1570">
      <c r="A1570" t="n">
        <v>1564</v>
      </c>
      <c r="B1570">
        <f>_DestuffedBits!C1565</f>
        <v/>
      </c>
      <c r="C1570">
        <f>G1569</f>
        <v/>
      </c>
      <c r="D1570">
        <f>_xlfn.BITAND(C1570,1)</f>
        <v/>
      </c>
      <c r="E1570">
        <f>_xlfn.BITRSHIFT(C1570,1)</f>
        <v/>
      </c>
      <c r="F1570">
        <f>_xlfn.BITXOR(D1570,B1570)</f>
        <v/>
      </c>
      <c r="G1570">
        <f>IF(F1570=1,_xlfn.BITXOR(E1570,33800),E1570)</f>
        <v/>
      </c>
    </row>
    <row r="1571">
      <c r="A1571" t="n">
        <v>1565</v>
      </c>
      <c r="B1571">
        <f>_DestuffedBits!C1566</f>
        <v/>
      </c>
      <c r="C1571">
        <f>G1570</f>
        <v/>
      </c>
      <c r="D1571">
        <f>_xlfn.BITAND(C1571,1)</f>
        <v/>
      </c>
      <c r="E1571">
        <f>_xlfn.BITRSHIFT(C1571,1)</f>
        <v/>
      </c>
      <c r="F1571">
        <f>_xlfn.BITXOR(D1571,B1571)</f>
        <v/>
      </c>
      <c r="G1571">
        <f>IF(F1571=1,_xlfn.BITXOR(E1571,33800),E1571)</f>
        <v/>
      </c>
    </row>
    <row r="1572">
      <c r="A1572" t="n">
        <v>1566</v>
      </c>
      <c r="B1572">
        <f>_DestuffedBits!C1567</f>
        <v/>
      </c>
      <c r="C1572">
        <f>G1571</f>
        <v/>
      </c>
      <c r="D1572">
        <f>_xlfn.BITAND(C1572,1)</f>
        <v/>
      </c>
      <c r="E1572">
        <f>_xlfn.BITRSHIFT(C1572,1)</f>
        <v/>
      </c>
      <c r="F1572">
        <f>_xlfn.BITXOR(D1572,B1572)</f>
        <v/>
      </c>
      <c r="G1572">
        <f>IF(F1572=1,_xlfn.BITXOR(E1572,33800),E1572)</f>
        <v/>
      </c>
    </row>
    <row r="1573">
      <c r="A1573" t="n">
        <v>1567</v>
      </c>
      <c r="B1573">
        <f>_DestuffedBits!C1568</f>
        <v/>
      </c>
      <c r="C1573">
        <f>G1572</f>
        <v/>
      </c>
      <c r="D1573">
        <f>_xlfn.BITAND(C1573,1)</f>
        <v/>
      </c>
      <c r="E1573">
        <f>_xlfn.BITRSHIFT(C1573,1)</f>
        <v/>
      </c>
      <c r="F1573">
        <f>_xlfn.BITXOR(D1573,B1573)</f>
        <v/>
      </c>
      <c r="G1573">
        <f>IF(F1573=1,_xlfn.BITXOR(E1573,33800),E1573)</f>
        <v/>
      </c>
    </row>
    <row r="1574">
      <c r="A1574" t="n">
        <v>1568</v>
      </c>
      <c r="B1574">
        <f>_DestuffedBits!C1569</f>
        <v/>
      </c>
      <c r="C1574">
        <f>G1573</f>
        <v/>
      </c>
      <c r="D1574">
        <f>_xlfn.BITAND(C1574,1)</f>
        <v/>
      </c>
      <c r="E1574">
        <f>_xlfn.BITRSHIFT(C1574,1)</f>
        <v/>
      </c>
      <c r="F1574">
        <f>_xlfn.BITXOR(D1574,B1574)</f>
        <v/>
      </c>
      <c r="G1574">
        <f>IF(F1574=1,_xlfn.BITXOR(E1574,33800),E1574)</f>
        <v/>
      </c>
    </row>
    <row r="1575">
      <c r="A1575" t="n">
        <v>1569</v>
      </c>
      <c r="B1575">
        <f>_DestuffedBits!C1570</f>
        <v/>
      </c>
      <c r="C1575">
        <f>G1574</f>
        <v/>
      </c>
      <c r="D1575">
        <f>_xlfn.BITAND(C1575,1)</f>
        <v/>
      </c>
      <c r="E1575">
        <f>_xlfn.BITRSHIFT(C1575,1)</f>
        <v/>
      </c>
      <c r="F1575">
        <f>_xlfn.BITXOR(D1575,B1575)</f>
        <v/>
      </c>
      <c r="G1575">
        <f>IF(F1575=1,_xlfn.BITXOR(E1575,33800),E1575)</f>
        <v/>
      </c>
    </row>
    <row r="1576">
      <c r="A1576" t="n">
        <v>1570</v>
      </c>
      <c r="B1576">
        <f>_DestuffedBits!C1571</f>
        <v/>
      </c>
      <c r="C1576">
        <f>G1575</f>
        <v/>
      </c>
      <c r="D1576">
        <f>_xlfn.BITAND(C1576,1)</f>
        <v/>
      </c>
      <c r="E1576">
        <f>_xlfn.BITRSHIFT(C1576,1)</f>
        <v/>
      </c>
      <c r="F1576">
        <f>_xlfn.BITXOR(D1576,B1576)</f>
        <v/>
      </c>
      <c r="G1576">
        <f>IF(F1576=1,_xlfn.BITXOR(E1576,33800),E1576)</f>
        <v/>
      </c>
    </row>
    <row r="1577">
      <c r="A1577" t="n">
        <v>1571</v>
      </c>
      <c r="B1577">
        <f>_DestuffedBits!C1572</f>
        <v/>
      </c>
      <c r="C1577">
        <f>G1576</f>
        <v/>
      </c>
      <c r="D1577">
        <f>_xlfn.BITAND(C1577,1)</f>
        <v/>
      </c>
      <c r="E1577">
        <f>_xlfn.BITRSHIFT(C1577,1)</f>
        <v/>
      </c>
      <c r="F1577">
        <f>_xlfn.BITXOR(D1577,B1577)</f>
        <v/>
      </c>
      <c r="G1577">
        <f>IF(F1577=1,_xlfn.BITXOR(E1577,33800),E1577)</f>
        <v/>
      </c>
    </row>
    <row r="1578">
      <c r="A1578" t="n">
        <v>1572</v>
      </c>
      <c r="B1578">
        <f>_DestuffedBits!C1573</f>
        <v/>
      </c>
      <c r="C1578">
        <f>G1577</f>
        <v/>
      </c>
      <c r="D1578">
        <f>_xlfn.BITAND(C1578,1)</f>
        <v/>
      </c>
      <c r="E1578">
        <f>_xlfn.BITRSHIFT(C1578,1)</f>
        <v/>
      </c>
      <c r="F1578">
        <f>_xlfn.BITXOR(D1578,B1578)</f>
        <v/>
      </c>
      <c r="G1578">
        <f>IF(F1578=1,_xlfn.BITXOR(E1578,33800),E1578)</f>
        <v/>
      </c>
    </row>
    <row r="1579">
      <c r="A1579" t="n">
        <v>1573</v>
      </c>
      <c r="B1579">
        <f>_DestuffedBits!C1574</f>
        <v/>
      </c>
      <c r="C1579">
        <f>G1578</f>
        <v/>
      </c>
      <c r="D1579">
        <f>_xlfn.BITAND(C1579,1)</f>
        <v/>
      </c>
      <c r="E1579">
        <f>_xlfn.BITRSHIFT(C1579,1)</f>
        <v/>
      </c>
      <c r="F1579">
        <f>_xlfn.BITXOR(D1579,B1579)</f>
        <v/>
      </c>
      <c r="G1579">
        <f>IF(F1579=1,_xlfn.BITXOR(E1579,33800),E1579)</f>
        <v/>
      </c>
    </row>
    <row r="1580">
      <c r="A1580" t="n">
        <v>1574</v>
      </c>
      <c r="B1580">
        <f>_DestuffedBits!C1575</f>
        <v/>
      </c>
      <c r="C1580">
        <f>G1579</f>
        <v/>
      </c>
      <c r="D1580">
        <f>_xlfn.BITAND(C1580,1)</f>
        <v/>
      </c>
      <c r="E1580">
        <f>_xlfn.BITRSHIFT(C1580,1)</f>
        <v/>
      </c>
      <c r="F1580">
        <f>_xlfn.BITXOR(D1580,B1580)</f>
        <v/>
      </c>
      <c r="G1580">
        <f>IF(F1580=1,_xlfn.BITXOR(E1580,33800),E1580)</f>
        <v/>
      </c>
    </row>
    <row r="1581">
      <c r="A1581" t="n">
        <v>1575</v>
      </c>
      <c r="B1581">
        <f>_DestuffedBits!C1576</f>
        <v/>
      </c>
      <c r="C1581">
        <f>G1580</f>
        <v/>
      </c>
      <c r="D1581">
        <f>_xlfn.BITAND(C1581,1)</f>
        <v/>
      </c>
      <c r="E1581">
        <f>_xlfn.BITRSHIFT(C1581,1)</f>
        <v/>
      </c>
      <c r="F1581">
        <f>_xlfn.BITXOR(D1581,B1581)</f>
        <v/>
      </c>
      <c r="G1581">
        <f>IF(F1581=1,_xlfn.BITXOR(E1581,33800),E1581)</f>
        <v/>
      </c>
    </row>
    <row r="1582">
      <c r="A1582" t="n">
        <v>1576</v>
      </c>
      <c r="B1582">
        <f>_DestuffedBits!C1577</f>
        <v/>
      </c>
      <c r="C1582">
        <f>G1581</f>
        <v/>
      </c>
      <c r="D1582">
        <f>_xlfn.BITAND(C1582,1)</f>
        <v/>
      </c>
      <c r="E1582">
        <f>_xlfn.BITRSHIFT(C1582,1)</f>
        <v/>
      </c>
      <c r="F1582">
        <f>_xlfn.BITXOR(D1582,B1582)</f>
        <v/>
      </c>
      <c r="G1582">
        <f>IF(F1582=1,_xlfn.BITXOR(E1582,33800),E1582)</f>
        <v/>
      </c>
    </row>
    <row r="1583">
      <c r="A1583" t="n">
        <v>1577</v>
      </c>
      <c r="B1583">
        <f>_DestuffedBits!C1578</f>
        <v/>
      </c>
      <c r="C1583">
        <f>G1582</f>
        <v/>
      </c>
      <c r="D1583">
        <f>_xlfn.BITAND(C1583,1)</f>
        <v/>
      </c>
      <c r="E1583">
        <f>_xlfn.BITRSHIFT(C1583,1)</f>
        <v/>
      </c>
      <c r="F1583">
        <f>_xlfn.BITXOR(D1583,B1583)</f>
        <v/>
      </c>
      <c r="G1583">
        <f>IF(F1583=1,_xlfn.BITXOR(E1583,33800),E1583)</f>
        <v/>
      </c>
    </row>
    <row r="1584">
      <c r="A1584" t="n">
        <v>1578</v>
      </c>
      <c r="B1584">
        <f>_DestuffedBits!C1579</f>
        <v/>
      </c>
      <c r="C1584">
        <f>G1583</f>
        <v/>
      </c>
      <c r="D1584">
        <f>_xlfn.BITAND(C1584,1)</f>
        <v/>
      </c>
      <c r="E1584">
        <f>_xlfn.BITRSHIFT(C1584,1)</f>
        <v/>
      </c>
      <c r="F1584">
        <f>_xlfn.BITXOR(D1584,B1584)</f>
        <v/>
      </c>
      <c r="G1584">
        <f>IF(F1584=1,_xlfn.BITXOR(E1584,33800),E1584)</f>
        <v/>
      </c>
    </row>
    <row r="1585">
      <c r="A1585" t="n">
        <v>1579</v>
      </c>
      <c r="B1585">
        <f>_DestuffedBits!C1580</f>
        <v/>
      </c>
      <c r="C1585">
        <f>G1584</f>
        <v/>
      </c>
      <c r="D1585">
        <f>_xlfn.BITAND(C1585,1)</f>
        <v/>
      </c>
      <c r="E1585">
        <f>_xlfn.BITRSHIFT(C1585,1)</f>
        <v/>
      </c>
      <c r="F1585">
        <f>_xlfn.BITXOR(D1585,B1585)</f>
        <v/>
      </c>
      <c r="G1585">
        <f>IF(F1585=1,_xlfn.BITXOR(E1585,33800),E1585)</f>
        <v/>
      </c>
    </row>
    <row r="1586">
      <c r="A1586" t="n">
        <v>1580</v>
      </c>
      <c r="B1586">
        <f>_DestuffedBits!C1581</f>
        <v/>
      </c>
      <c r="C1586">
        <f>G1585</f>
        <v/>
      </c>
      <c r="D1586">
        <f>_xlfn.BITAND(C1586,1)</f>
        <v/>
      </c>
      <c r="E1586">
        <f>_xlfn.BITRSHIFT(C1586,1)</f>
        <v/>
      </c>
      <c r="F1586">
        <f>_xlfn.BITXOR(D1586,B1586)</f>
        <v/>
      </c>
      <c r="G1586">
        <f>IF(F1586=1,_xlfn.BITXOR(E1586,33800),E1586)</f>
        <v/>
      </c>
    </row>
    <row r="1587">
      <c r="A1587" t="n">
        <v>1581</v>
      </c>
      <c r="B1587">
        <f>_DestuffedBits!C1582</f>
        <v/>
      </c>
      <c r="C1587">
        <f>G1586</f>
        <v/>
      </c>
      <c r="D1587">
        <f>_xlfn.BITAND(C1587,1)</f>
        <v/>
      </c>
      <c r="E1587">
        <f>_xlfn.BITRSHIFT(C1587,1)</f>
        <v/>
      </c>
      <c r="F1587">
        <f>_xlfn.BITXOR(D1587,B1587)</f>
        <v/>
      </c>
      <c r="G1587">
        <f>IF(F1587=1,_xlfn.BITXOR(E1587,33800),E1587)</f>
        <v/>
      </c>
    </row>
    <row r="1588">
      <c r="A1588" t="n">
        <v>1582</v>
      </c>
      <c r="B1588">
        <f>_DestuffedBits!C1583</f>
        <v/>
      </c>
      <c r="C1588">
        <f>G1587</f>
        <v/>
      </c>
      <c r="D1588">
        <f>_xlfn.BITAND(C1588,1)</f>
        <v/>
      </c>
      <c r="E1588">
        <f>_xlfn.BITRSHIFT(C1588,1)</f>
        <v/>
      </c>
      <c r="F1588">
        <f>_xlfn.BITXOR(D1588,B1588)</f>
        <v/>
      </c>
      <c r="G1588">
        <f>IF(F1588=1,_xlfn.BITXOR(E1588,33800),E1588)</f>
        <v/>
      </c>
    </row>
    <row r="1589">
      <c r="A1589" t="n">
        <v>1583</v>
      </c>
      <c r="B1589">
        <f>_DestuffedBits!C1584</f>
        <v/>
      </c>
      <c r="C1589">
        <f>G1588</f>
        <v/>
      </c>
      <c r="D1589">
        <f>_xlfn.BITAND(C1589,1)</f>
        <v/>
      </c>
      <c r="E1589">
        <f>_xlfn.BITRSHIFT(C1589,1)</f>
        <v/>
      </c>
      <c r="F1589">
        <f>_xlfn.BITXOR(D1589,B1589)</f>
        <v/>
      </c>
      <c r="G1589">
        <f>IF(F1589=1,_xlfn.BITXOR(E1589,33800),E1589)</f>
        <v/>
      </c>
    </row>
    <row r="1590">
      <c r="A1590" t="n">
        <v>1584</v>
      </c>
      <c r="B1590">
        <f>_DestuffedBits!C1585</f>
        <v/>
      </c>
      <c r="C1590">
        <f>G1589</f>
        <v/>
      </c>
      <c r="D1590">
        <f>_xlfn.BITAND(C1590,1)</f>
        <v/>
      </c>
      <c r="E1590">
        <f>_xlfn.BITRSHIFT(C1590,1)</f>
        <v/>
      </c>
      <c r="F1590">
        <f>_xlfn.BITXOR(D1590,B1590)</f>
        <v/>
      </c>
      <c r="G1590">
        <f>IF(F1590=1,_xlfn.BITXOR(E1590,33800),E1590)</f>
        <v/>
      </c>
    </row>
    <row r="1591">
      <c r="A1591" t="n">
        <v>1585</v>
      </c>
      <c r="B1591">
        <f>_DestuffedBits!C1586</f>
        <v/>
      </c>
      <c r="C1591">
        <f>G1590</f>
        <v/>
      </c>
      <c r="D1591">
        <f>_xlfn.BITAND(C1591,1)</f>
        <v/>
      </c>
      <c r="E1591">
        <f>_xlfn.BITRSHIFT(C1591,1)</f>
        <v/>
      </c>
      <c r="F1591">
        <f>_xlfn.BITXOR(D1591,B1591)</f>
        <v/>
      </c>
      <c r="G1591">
        <f>IF(F1591=1,_xlfn.BITXOR(E1591,33800),E1591)</f>
        <v/>
      </c>
    </row>
    <row r="1592">
      <c r="A1592" t="n">
        <v>1586</v>
      </c>
      <c r="B1592">
        <f>_DestuffedBits!C1587</f>
        <v/>
      </c>
      <c r="C1592">
        <f>G1591</f>
        <v/>
      </c>
      <c r="D1592">
        <f>_xlfn.BITAND(C1592,1)</f>
        <v/>
      </c>
      <c r="E1592">
        <f>_xlfn.BITRSHIFT(C1592,1)</f>
        <v/>
      </c>
      <c r="F1592">
        <f>_xlfn.BITXOR(D1592,B1592)</f>
        <v/>
      </c>
      <c r="G1592">
        <f>IF(F1592=1,_xlfn.BITXOR(E1592,33800),E1592)</f>
        <v/>
      </c>
    </row>
    <row r="1593">
      <c r="A1593" t="n">
        <v>1587</v>
      </c>
      <c r="B1593">
        <f>_DestuffedBits!C1588</f>
        <v/>
      </c>
      <c r="C1593">
        <f>G1592</f>
        <v/>
      </c>
      <c r="D1593">
        <f>_xlfn.BITAND(C1593,1)</f>
        <v/>
      </c>
      <c r="E1593">
        <f>_xlfn.BITRSHIFT(C1593,1)</f>
        <v/>
      </c>
      <c r="F1593">
        <f>_xlfn.BITXOR(D1593,B1593)</f>
        <v/>
      </c>
      <c r="G1593">
        <f>IF(F1593=1,_xlfn.BITXOR(E1593,33800),E1593)</f>
        <v/>
      </c>
    </row>
    <row r="1594">
      <c r="A1594" t="n">
        <v>1588</v>
      </c>
      <c r="B1594">
        <f>_DestuffedBits!C1589</f>
        <v/>
      </c>
      <c r="C1594">
        <f>G1593</f>
        <v/>
      </c>
      <c r="D1594">
        <f>_xlfn.BITAND(C1594,1)</f>
        <v/>
      </c>
      <c r="E1594">
        <f>_xlfn.BITRSHIFT(C1594,1)</f>
        <v/>
      </c>
      <c r="F1594">
        <f>_xlfn.BITXOR(D1594,B1594)</f>
        <v/>
      </c>
      <c r="G1594">
        <f>IF(F1594=1,_xlfn.BITXOR(E1594,33800),E1594)</f>
        <v/>
      </c>
    </row>
    <row r="1595">
      <c r="A1595" t="n">
        <v>1589</v>
      </c>
      <c r="B1595">
        <f>_DestuffedBits!C1590</f>
        <v/>
      </c>
      <c r="C1595">
        <f>G1594</f>
        <v/>
      </c>
      <c r="D1595">
        <f>_xlfn.BITAND(C1595,1)</f>
        <v/>
      </c>
      <c r="E1595">
        <f>_xlfn.BITRSHIFT(C1595,1)</f>
        <v/>
      </c>
      <c r="F1595">
        <f>_xlfn.BITXOR(D1595,B1595)</f>
        <v/>
      </c>
      <c r="G1595">
        <f>IF(F1595=1,_xlfn.BITXOR(E1595,33800),E1595)</f>
        <v/>
      </c>
    </row>
    <row r="1596">
      <c r="A1596" t="n">
        <v>1590</v>
      </c>
      <c r="B1596">
        <f>_DestuffedBits!C1591</f>
        <v/>
      </c>
      <c r="C1596">
        <f>G1595</f>
        <v/>
      </c>
      <c r="D1596">
        <f>_xlfn.BITAND(C1596,1)</f>
        <v/>
      </c>
      <c r="E1596">
        <f>_xlfn.BITRSHIFT(C1596,1)</f>
        <v/>
      </c>
      <c r="F1596">
        <f>_xlfn.BITXOR(D1596,B1596)</f>
        <v/>
      </c>
      <c r="G1596">
        <f>IF(F1596=1,_xlfn.BITXOR(E1596,33800),E1596)</f>
        <v/>
      </c>
    </row>
    <row r="1597">
      <c r="A1597" t="n">
        <v>1591</v>
      </c>
      <c r="B1597">
        <f>_DestuffedBits!C1592</f>
        <v/>
      </c>
      <c r="C1597">
        <f>G1596</f>
        <v/>
      </c>
      <c r="D1597">
        <f>_xlfn.BITAND(C1597,1)</f>
        <v/>
      </c>
      <c r="E1597">
        <f>_xlfn.BITRSHIFT(C1597,1)</f>
        <v/>
      </c>
      <c r="F1597">
        <f>_xlfn.BITXOR(D1597,B1597)</f>
        <v/>
      </c>
      <c r="G1597">
        <f>IF(F1597=1,_xlfn.BITXOR(E1597,33800),E1597)</f>
        <v/>
      </c>
    </row>
    <row r="1598">
      <c r="A1598" t="n">
        <v>1592</v>
      </c>
      <c r="B1598">
        <f>_DestuffedBits!C1593</f>
        <v/>
      </c>
      <c r="C1598">
        <f>G1597</f>
        <v/>
      </c>
      <c r="D1598">
        <f>_xlfn.BITAND(C1598,1)</f>
        <v/>
      </c>
      <c r="E1598">
        <f>_xlfn.BITRSHIFT(C1598,1)</f>
        <v/>
      </c>
      <c r="F1598">
        <f>_xlfn.BITXOR(D1598,B1598)</f>
        <v/>
      </c>
      <c r="G1598">
        <f>IF(F1598=1,_xlfn.BITXOR(E1598,33800),E1598)</f>
        <v/>
      </c>
    </row>
    <row r="1599">
      <c r="A1599" t="n">
        <v>1593</v>
      </c>
      <c r="B1599">
        <f>_DestuffedBits!C1594</f>
        <v/>
      </c>
      <c r="C1599">
        <f>G1598</f>
        <v/>
      </c>
      <c r="D1599">
        <f>_xlfn.BITAND(C1599,1)</f>
        <v/>
      </c>
      <c r="E1599">
        <f>_xlfn.BITRSHIFT(C1599,1)</f>
        <v/>
      </c>
      <c r="F1599">
        <f>_xlfn.BITXOR(D1599,B1599)</f>
        <v/>
      </c>
      <c r="G1599">
        <f>IF(F1599=1,_xlfn.BITXOR(E1599,33800),E1599)</f>
        <v/>
      </c>
    </row>
    <row r="1600">
      <c r="A1600" t="n">
        <v>1594</v>
      </c>
      <c r="B1600">
        <f>_DestuffedBits!C1595</f>
        <v/>
      </c>
      <c r="C1600">
        <f>G1599</f>
        <v/>
      </c>
      <c r="D1600">
        <f>_xlfn.BITAND(C1600,1)</f>
        <v/>
      </c>
      <c r="E1600">
        <f>_xlfn.BITRSHIFT(C1600,1)</f>
        <v/>
      </c>
      <c r="F1600">
        <f>_xlfn.BITXOR(D1600,B1600)</f>
        <v/>
      </c>
      <c r="G1600">
        <f>IF(F1600=1,_xlfn.BITXOR(E1600,33800),E1600)</f>
        <v/>
      </c>
    </row>
    <row r="1601">
      <c r="A1601" t="n">
        <v>1595</v>
      </c>
      <c r="B1601">
        <f>_DestuffedBits!C1596</f>
        <v/>
      </c>
      <c r="C1601">
        <f>G1600</f>
        <v/>
      </c>
      <c r="D1601">
        <f>_xlfn.BITAND(C1601,1)</f>
        <v/>
      </c>
      <c r="E1601">
        <f>_xlfn.BITRSHIFT(C1601,1)</f>
        <v/>
      </c>
      <c r="F1601">
        <f>_xlfn.BITXOR(D1601,B1601)</f>
        <v/>
      </c>
      <c r="G1601">
        <f>IF(F1601=1,_xlfn.BITXOR(E1601,33800),E1601)</f>
        <v/>
      </c>
    </row>
    <row r="1602">
      <c r="A1602" t="n">
        <v>1596</v>
      </c>
      <c r="B1602">
        <f>_DestuffedBits!C1597</f>
        <v/>
      </c>
      <c r="C1602">
        <f>G1601</f>
        <v/>
      </c>
      <c r="D1602">
        <f>_xlfn.BITAND(C1602,1)</f>
        <v/>
      </c>
      <c r="E1602">
        <f>_xlfn.BITRSHIFT(C1602,1)</f>
        <v/>
      </c>
      <c r="F1602">
        <f>_xlfn.BITXOR(D1602,B1602)</f>
        <v/>
      </c>
      <c r="G1602">
        <f>IF(F1602=1,_xlfn.BITXOR(E1602,33800),E1602)</f>
        <v/>
      </c>
    </row>
    <row r="1603">
      <c r="A1603" t="n">
        <v>1597</v>
      </c>
      <c r="B1603">
        <f>_DestuffedBits!C1598</f>
        <v/>
      </c>
      <c r="C1603">
        <f>G1602</f>
        <v/>
      </c>
      <c r="D1603">
        <f>_xlfn.BITAND(C1603,1)</f>
        <v/>
      </c>
      <c r="E1603">
        <f>_xlfn.BITRSHIFT(C1603,1)</f>
        <v/>
      </c>
      <c r="F1603">
        <f>_xlfn.BITXOR(D1603,B1603)</f>
        <v/>
      </c>
      <c r="G1603">
        <f>IF(F1603=1,_xlfn.BITXOR(E1603,33800),E1603)</f>
        <v/>
      </c>
    </row>
    <row r="1604">
      <c r="A1604" t="n">
        <v>1598</v>
      </c>
      <c r="B1604">
        <f>_DestuffedBits!C1599</f>
        <v/>
      </c>
      <c r="C1604">
        <f>G1603</f>
        <v/>
      </c>
      <c r="D1604">
        <f>_xlfn.BITAND(C1604,1)</f>
        <v/>
      </c>
      <c r="E1604">
        <f>_xlfn.BITRSHIFT(C1604,1)</f>
        <v/>
      </c>
      <c r="F1604">
        <f>_xlfn.BITXOR(D1604,B1604)</f>
        <v/>
      </c>
      <c r="G1604">
        <f>IF(F1604=1,_xlfn.BITXOR(E1604,33800),E1604)</f>
        <v/>
      </c>
    </row>
    <row r="1605">
      <c r="A1605" t="n">
        <v>1599</v>
      </c>
      <c r="B1605">
        <f>_DestuffedBits!C1600</f>
        <v/>
      </c>
      <c r="C1605">
        <f>G1604</f>
        <v/>
      </c>
      <c r="D1605">
        <f>_xlfn.BITAND(C1605,1)</f>
        <v/>
      </c>
      <c r="E1605">
        <f>_xlfn.BITRSHIFT(C1605,1)</f>
        <v/>
      </c>
      <c r="F1605">
        <f>_xlfn.BITXOR(D1605,B1605)</f>
        <v/>
      </c>
      <c r="G1605">
        <f>IF(F1605=1,_xlfn.BITXOR(E1605,33800),E1605)</f>
        <v/>
      </c>
    </row>
    <row r="1606">
      <c r="A1606" t="n">
        <v>1600</v>
      </c>
      <c r="B1606">
        <f>_DestuffedBits!C1601</f>
        <v/>
      </c>
      <c r="C1606">
        <f>G1605</f>
        <v/>
      </c>
      <c r="D1606">
        <f>_xlfn.BITAND(C1606,1)</f>
        <v/>
      </c>
      <c r="E1606">
        <f>_xlfn.BITRSHIFT(C1606,1)</f>
        <v/>
      </c>
      <c r="F1606">
        <f>_xlfn.BITXOR(D1606,B1606)</f>
        <v/>
      </c>
      <c r="G1606">
        <f>IF(F1606=1,_xlfn.BITXOR(E1606,33800),E1606)</f>
        <v/>
      </c>
    </row>
    <row r="1607">
      <c r="A1607" t="n">
        <v>1601</v>
      </c>
      <c r="B1607">
        <f>_DestuffedBits!C1602</f>
        <v/>
      </c>
      <c r="C1607">
        <f>G1606</f>
        <v/>
      </c>
      <c r="D1607">
        <f>_xlfn.BITAND(C1607,1)</f>
        <v/>
      </c>
      <c r="E1607">
        <f>_xlfn.BITRSHIFT(C1607,1)</f>
        <v/>
      </c>
      <c r="F1607">
        <f>_xlfn.BITXOR(D1607,B1607)</f>
        <v/>
      </c>
      <c r="G1607">
        <f>IF(F1607=1,_xlfn.BITXOR(E1607,33800),E1607)</f>
        <v/>
      </c>
    </row>
    <row r="1608">
      <c r="A1608" t="n">
        <v>1602</v>
      </c>
      <c r="B1608">
        <f>_DestuffedBits!C1603</f>
        <v/>
      </c>
      <c r="C1608">
        <f>G1607</f>
        <v/>
      </c>
      <c r="D1608">
        <f>_xlfn.BITAND(C1608,1)</f>
        <v/>
      </c>
      <c r="E1608">
        <f>_xlfn.BITRSHIFT(C1608,1)</f>
        <v/>
      </c>
      <c r="F1608">
        <f>_xlfn.BITXOR(D1608,B1608)</f>
        <v/>
      </c>
      <c r="G1608">
        <f>IF(F1608=1,_xlfn.BITXOR(E1608,33800),E1608)</f>
        <v/>
      </c>
    </row>
    <row r="1609">
      <c r="A1609" t="n">
        <v>1603</v>
      </c>
      <c r="B1609">
        <f>_DestuffedBits!C1604</f>
        <v/>
      </c>
      <c r="C1609">
        <f>G1608</f>
        <v/>
      </c>
      <c r="D1609">
        <f>_xlfn.BITAND(C1609,1)</f>
        <v/>
      </c>
      <c r="E1609">
        <f>_xlfn.BITRSHIFT(C1609,1)</f>
        <v/>
      </c>
      <c r="F1609">
        <f>_xlfn.BITXOR(D1609,B1609)</f>
        <v/>
      </c>
      <c r="G1609">
        <f>IF(F1609=1,_xlfn.BITXOR(E1609,33800),E1609)</f>
        <v/>
      </c>
    </row>
    <row r="1610">
      <c r="A1610" t="n">
        <v>1604</v>
      </c>
      <c r="B1610">
        <f>_DestuffedBits!C1605</f>
        <v/>
      </c>
      <c r="C1610">
        <f>G1609</f>
        <v/>
      </c>
      <c r="D1610">
        <f>_xlfn.BITAND(C1610,1)</f>
        <v/>
      </c>
      <c r="E1610">
        <f>_xlfn.BITRSHIFT(C1610,1)</f>
        <v/>
      </c>
      <c r="F1610">
        <f>_xlfn.BITXOR(D1610,B1610)</f>
        <v/>
      </c>
      <c r="G1610">
        <f>IF(F1610=1,_xlfn.BITXOR(E1610,33800),E1610)</f>
        <v/>
      </c>
    </row>
    <row r="1611">
      <c r="A1611" t="n">
        <v>1605</v>
      </c>
      <c r="B1611">
        <f>_DestuffedBits!C1606</f>
        <v/>
      </c>
      <c r="C1611">
        <f>G1610</f>
        <v/>
      </c>
      <c r="D1611">
        <f>_xlfn.BITAND(C1611,1)</f>
        <v/>
      </c>
      <c r="E1611">
        <f>_xlfn.BITRSHIFT(C1611,1)</f>
        <v/>
      </c>
      <c r="F1611">
        <f>_xlfn.BITXOR(D1611,B1611)</f>
        <v/>
      </c>
      <c r="G1611">
        <f>IF(F1611=1,_xlfn.BITXOR(E1611,33800),E1611)</f>
        <v/>
      </c>
    </row>
    <row r="1612">
      <c r="A1612" t="n">
        <v>1606</v>
      </c>
      <c r="B1612">
        <f>_DestuffedBits!C1607</f>
        <v/>
      </c>
      <c r="C1612">
        <f>G1611</f>
        <v/>
      </c>
      <c r="D1612">
        <f>_xlfn.BITAND(C1612,1)</f>
        <v/>
      </c>
      <c r="E1612">
        <f>_xlfn.BITRSHIFT(C1612,1)</f>
        <v/>
      </c>
      <c r="F1612">
        <f>_xlfn.BITXOR(D1612,B1612)</f>
        <v/>
      </c>
      <c r="G1612">
        <f>IF(F1612=1,_xlfn.BITXOR(E1612,33800),E1612)</f>
        <v/>
      </c>
    </row>
    <row r="1613">
      <c r="A1613" t="n">
        <v>1607</v>
      </c>
      <c r="B1613">
        <f>_DestuffedBits!C1608</f>
        <v/>
      </c>
      <c r="C1613">
        <f>G1612</f>
        <v/>
      </c>
      <c r="D1613">
        <f>_xlfn.BITAND(C1613,1)</f>
        <v/>
      </c>
      <c r="E1613">
        <f>_xlfn.BITRSHIFT(C1613,1)</f>
        <v/>
      </c>
      <c r="F1613">
        <f>_xlfn.BITXOR(D1613,B1613)</f>
        <v/>
      </c>
      <c r="G1613">
        <f>IF(F1613=1,_xlfn.BITXOR(E1613,33800),E1613)</f>
        <v/>
      </c>
    </row>
    <row r="1614">
      <c r="A1614" t="n">
        <v>1608</v>
      </c>
      <c r="B1614">
        <f>_DestuffedBits!C1609</f>
        <v/>
      </c>
      <c r="C1614">
        <f>G1613</f>
        <v/>
      </c>
      <c r="D1614">
        <f>_xlfn.BITAND(C1614,1)</f>
        <v/>
      </c>
      <c r="E1614">
        <f>_xlfn.BITRSHIFT(C1614,1)</f>
        <v/>
      </c>
      <c r="F1614">
        <f>_xlfn.BITXOR(D1614,B1614)</f>
        <v/>
      </c>
      <c r="G1614">
        <f>IF(F1614=1,_xlfn.BITXOR(E1614,33800),E1614)</f>
        <v/>
      </c>
    </row>
    <row r="1615">
      <c r="A1615" t="n">
        <v>1609</v>
      </c>
      <c r="B1615">
        <f>_DestuffedBits!C1610</f>
        <v/>
      </c>
      <c r="C1615">
        <f>G1614</f>
        <v/>
      </c>
      <c r="D1615">
        <f>_xlfn.BITAND(C1615,1)</f>
        <v/>
      </c>
      <c r="E1615">
        <f>_xlfn.BITRSHIFT(C1615,1)</f>
        <v/>
      </c>
      <c r="F1615">
        <f>_xlfn.BITXOR(D1615,B1615)</f>
        <v/>
      </c>
      <c r="G1615">
        <f>IF(F1615=1,_xlfn.BITXOR(E1615,33800),E1615)</f>
        <v/>
      </c>
    </row>
    <row r="1616">
      <c r="A1616" t="n">
        <v>1610</v>
      </c>
      <c r="B1616">
        <f>_DestuffedBits!C1611</f>
        <v/>
      </c>
      <c r="C1616">
        <f>G1615</f>
        <v/>
      </c>
      <c r="D1616">
        <f>_xlfn.BITAND(C1616,1)</f>
        <v/>
      </c>
      <c r="E1616">
        <f>_xlfn.BITRSHIFT(C1616,1)</f>
        <v/>
      </c>
      <c r="F1616">
        <f>_xlfn.BITXOR(D1616,B1616)</f>
        <v/>
      </c>
      <c r="G1616">
        <f>IF(F1616=1,_xlfn.BITXOR(E1616,33800),E1616)</f>
        <v/>
      </c>
    </row>
    <row r="1617">
      <c r="A1617" t="n">
        <v>1611</v>
      </c>
      <c r="B1617">
        <f>_DestuffedBits!C1612</f>
        <v/>
      </c>
      <c r="C1617">
        <f>G1616</f>
        <v/>
      </c>
      <c r="D1617">
        <f>_xlfn.BITAND(C1617,1)</f>
        <v/>
      </c>
      <c r="E1617">
        <f>_xlfn.BITRSHIFT(C1617,1)</f>
        <v/>
      </c>
      <c r="F1617">
        <f>_xlfn.BITXOR(D1617,B1617)</f>
        <v/>
      </c>
      <c r="G1617">
        <f>IF(F1617=1,_xlfn.BITXOR(E1617,33800),E1617)</f>
        <v/>
      </c>
    </row>
    <row r="1618">
      <c r="A1618" t="n">
        <v>1612</v>
      </c>
      <c r="B1618">
        <f>_DestuffedBits!C1613</f>
        <v/>
      </c>
      <c r="C1618">
        <f>G1617</f>
        <v/>
      </c>
      <c r="D1618">
        <f>_xlfn.BITAND(C1618,1)</f>
        <v/>
      </c>
      <c r="E1618">
        <f>_xlfn.BITRSHIFT(C1618,1)</f>
        <v/>
      </c>
      <c r="F1618">
        <f>_xlfn.BITXOR(D1618,B1618)</f>
        <v/>
      </c>
      <c r="G1618">
        <f>IF(F1618=1,_xlfn.BITXOR(E1618,33800),E1618)</f>
        <v/>
      </c>
    </row>
    <row r="1619">
      <c r="A1619" t="n">
        <v>1613</v>
      </c>
      <c r="B1619">
        <f>_DestuffedBits!C1614</f>
        <v/>
      </c>
      <c r="C1619">
        <f>G1618</f>
        <v/>
      </c>
      <c r="D1619">
        <f>_xlfn.BITAND(C1619,1)</f>
        <v/>
      </c>
      <c r="E1619">
        <f>_xlfn.BITRSHIFT(C1619,1)</f>
        <v/>
      </c>
      <c r="F1619">
        <f>_xlfn.BITXOR(D1619,B1619)</f>
        <v/>
      </c>
      <c r="G1619">
        <f>IF(F1619=1,_xlfn.BITXOR(E1619,33800),E1619)</f>
        <v/>
      </c>
    </row>
    <row r="1620">
      <c r="A1620" t="n">
        <v>1614</v>
      </c>
      <c r="B1620">
        <f>_DestuffedBits!C1615</f>
        <v/>
      </c>
      <c r="C1620">
        <f>G1619</f>
        <v/>
      </c>
      <c r="D1620">
        <f>_xlfn.BITAND(C1620,1)</f>
        <v/>
      </c>
      <c r="E1620">
        <f>_xlfn.BITRSHIFT(C1620,1)</f>
        <v/>
      </c>
      <c r="F1620">
        <f>_xlfn.BITXOR(D1620,B1620)</f>
        <v/>
      </c>
      <c r="G1620">
        <f>IF(F1620=1,_xlfn.BITXOR(E1620,33800),E1620)</f>
        <v/>
      </c>
    </row>
    <row r="1621">
      <c r="A1621" t="n">
        <v>1615</v>
      </c>
      <c r="B1621">
        <f>_DestuffedBits!C1616</f>
        <v/>
      </c>
      <c r="C1621">
        <f>G1620</f>
        <v/>
      </c>
      <c r="D1621">
        <f>_xlfn.BITAND(C1621,1)</f>
        <v/>
      </c>
      <c r="E1621">
        <f>_xlfn.BITRSHIFT(C1621,1)</f>
        <v/>
      </c>
      <c r="F1621">
        <f>_xlfn.BITXOR(D1621,B1621)</f>
        <v/>
      </c>
      <c r="G1621">
        <f>IF(F1621=1,_xlfn.BITXOR(E1621,33800),E1621)</f>
        <v/>
      </c>
    </row>
    <row r="1622">
      <c r="A1622" t="n">
        <v>1616</v>
      </c>
      <c r="B1622">
        <f>_DestuffedBits!C1617</f>
        <v/>
      </c>
      <c r="C1622">
        <f>G1621</f>
        <v/>
      </c>
      <c r="D1622">
        <f>_xlfn.BITAND(C1622,1)</f>
        <v/>
      </c>
      <c r="E1622">
        <f>_xlfn.BITRSHIFT(C1622,1)</f>
        <v/>
      </c>
      <c r="F1622">
        <f>_xlfn.BITXOR(D1622,B1622)</f>
        <v/>
      </c>
      <c r="G1622">
        <f>IF(F1622=1,_xlfn.BITXOR(E1622,33800),E1622)</f>
        <v/>
      </c>
    </row>
    <row r="1623">
      <c r="A1623" t="n">
        <v>1617</v>
      </c>
      <c r="B1623">
        <f>_DestuffedBits!C1618</f>
        <v/>
      </c>
      <c r="C1623">
        <f>G1622</f>
        <v/>
      </c>
      <c r="D1623">
        <f>_xlfn.BITAND(C1623,1)</f>
        <v/>
      </c>
      <c r="E1623">
        <f>_xlfn.BITRSHIFT(C1623,1)</f>
        <v/>
      </c>
      <c r="F1623">
        <f>_xlfn.BITXOR(D1623,B1623)</f>
        <v/>
      </c>
      <c r="G1623">
        <f>IF(F1623=1,_xlfn.BITXOR(E1623,33800),E1623)</f>
        <v/>
      </c>
    </row>
    <row r="1624">
      <c r="A1624" t="n">
        <v>1618</v>
      </c>
      <c r="B1624">
        <f>_DestuffedBits!C1619</f>
        <v/>
      </c>
      <c r="C1624">
        <f>G1623</f>
        <v/>
      </c>
      <c r="D1624">
        <f>_xlfn.BITAND(C1624,1)</f>
        <v/>
      </c>
      <c r="E1624">
        <f>_xlfn.BITRSHIFT(C1624,1)</f>
        <v/>
      </c>
      <c r="F1624">
        <f>_xlfn.BITXOR(D1624,B1624)</f>
        <v/>
      </c>
      <c r="G1624">
        <f>IF(F1624=1,_xlfn.BITXOR(E1624,33800),E1624)</f>
        <v/>
      </c>
    </row>
    <row r="1625">
      <c r="A1625" t="n">
        <v>1619</v>
      </c>
      <c r="B1625">
        <f>_DestuffedBits!C1620</f>
        <v/>
      </c>
      <c r="C1625">
        <f>G1624</f>
        <v/>
      </c>
      <c r="D1625">
        <f>_xlfn.BITAND(C1625,1)</f>
        <v/>
      </c>
      <c r="E1625">
        <f>_xlfn.BITRSHIFT(C1625,1)</f>
        <v/>
      </c>
      <c r="F1625">
        <f>_xlfn.BITXOR(D1625,B1625)</f>
        <v/>
      </c>
      <c r="G1625">
        <f>IF(F1625=1,_xlfn.BITXOR(E1625,33800),E1625)</f>
        <v/>
      </c>
    </row>
    <row r="1626">
      <c r="A1626" t="n">
        <v>1620</v>
      </c>
      <c r="B1626">
        <f>_DestuffedBits!C1621</f>
        <v/>
      </c>
      <c r="C1626">
        <f>G1625</f>
        <v/>
      </c>
      <c r="D1626">
        <f>_xlfn.BITAND(C1626,1)</f>
        <v/>
      </c>
      <c r="E1626">
        <f>_xlfn.BITRSHIFT(C1626,1)</f>
        <v/>
      </c>
      <c r="F1626">
        <f>_xlfn.BITXOR(D1626,B1626)</f>
        <v/>
      </c>
      <c r="G1626">
        <f>IF(F1626=1,_xlfn.BITXOR(E1626,33800),E1626)</f>
        <v/>
      </c>
    </row>
    <row r="1627">
      <c r="A1627" t="n">
        <v>1621</v>
      </c>
      <c r="B1627">
        <f>_DestuffedBits!C1622</f>
        <v/>
      </c>
      <c r="C1627">
        <f>G1626</f>
        <v/>
      </c>
      <c r="D1627">
        <f>_xlfn.BITAND(C1627,1)</f>
        <v/>
      </c>
      <c r="E1627">
        <f>_xlfn.BITRSHIFT(C1627,1)</f>
        <v/>
      </c>
      <c r="F1627">
        <f>_xlfn.BITXOR(D1627,B1627)</f>
        <v/>
      </c>
      <c r="G1627">
        <f>IF(F1627=1,_xlfn.BITXOR(E1627,33800),E1627)</f>
        <v/>
      </c>
    </row>
    <row r="1628">
      <c r="A1628" t="n">
        <v>1622</v>
      </c>
      <c r="B1628">
        <f>_DestuffedBits!C1623</f>
        <v/>
      </c>
      <c r="C1628">
        <f>G1627</f>
        <v/>
      </c>
      <c r="D1628">
        <f>_xlfn.BITAND(C1628,1)</f>
        <v/>
      </c>
      <c r="E1628">
        <f>_xlfn.BITRSHIFT(C1628,1)</f>
        <v/>
      </c>
      <c r="F1628">
        <f>_xlfn.BITXOR(D1628,B1628)</f>
        <v/>
      </c>
      <c r="G1628">
        <f>IF(F1628=1,_xlfn.BITXOR(E1628,33800),E1628)</f>
        <v/>
      </c>
    </row>
    <row r="1629">
      <c r="A1629" t="n">
        <v>1623</v>
      </c>
      <c r="B1629">
        <f>_DestuffedBits!C1624</f>
        <v/>
      </c>
      <c r="C1629">
        <f>G1628</f>
        <v/>
      </c>
      <c r="D1629">
        <f>_xlfn.BITAND(C1629,1)</f>
        <v/>
      </c>
      <c r="E1629">
        <f>_xlfn.BITRSHIFT(C1629,1)</f>
        <v/>
      </c>
      <c r="F1629">
        <f>_xlfn.BITXOR(D1629,B1629)</f>
        <v/>
      </c>
      <c r="G1629">
        <f>IF(F1629=1,_xlfn.BITXOR(E1629,33800),E1629)</f>
        <v/>
      </c>
    </row>
    <row r="1630">
      <c r="A1630" t="n">
        <v>1624</v>
      </c>
      <c r="B1630">
        <f>_DestuffedBits!C1625</f>
        <v/>
      </c>
      <c r="C1630">
        <f>G1629</f>
        <v/>
      </c>
      <c r="D1630">
        <f>_xlfn.BITAND(C1630,1)</f>
        <v/>
      </c>
      <c r="E1630">
        <f>_xlfn.BITRSHIFT(C1630,1)</f>
        <v/>
      </c>
      <c r="F1630">
        <f>_xlfn.BITXOR(D1630,B1630)</f>
        <v/>
      </c>
      <c r="G1630">
        <f>IF(F1630=1,_xlfn.BITXOR(E1630,33800),E1630)</f>
        <v/>
      </c>
    </row>
    <row r="1631">
      <c r="A1631" t="n">
        <v>1625</v>
      </c>
      <c r="B1631">
        <f>_DestuffedBits!C1626</f>
        <v/>
      </c>
      <c r="C1631">
        <f>G1630</f>
        <v/>
      </c>
      <c r="D1631">
        <f>_xlfn.BITAND(C1631,1)</f>
        <v/>
      </c>
      <c r="E1631">
        <f>_xlfn.BITRSHIFT(C1631,1)</f>
        <v/>
      </c>
      <c r="F1631">
        <f>_xlfn.BITXOR(D1631,B1631)</f>
        <v/>
      </c>
      <c r="G1631">
        <f>IF(F1631=1,_xlfn.BITXOR(E1631,33800),E1631)</f>
        <v/>
      </c>
    </row>
    <row r="1632">
      <c r="A1632" t="n">
        <v>1626</v>
      </c>
      <c r="B1632">
        <f>_DestuffedBits!C1627</f>
        <v/>
      </c>
      <c r="C1632">
        <f>G1631</f>
        <v/>
      </c>
      <c r="D1632">
        <f>_xlfn.BITAND(C1632,1)</f>
        <v/>
      </c>
      <c r="E1632">
        <f>_xlfn.BITRSHIFT(C1632,1)</f>
        <v/>
      </c>
      <c r="F1632">
        <f>_xlfn.BITXOR(D1632,B1632)</f>
        <v/>
      </c>
      <c r="G1632">
        <f>IF(F1632=1,_xlfn.BITXOR(E1632,33800),E1632)</f>
        <v/>
      </c>
    </row>
    <row r="1633">
      <c r="A1633" t="n">
        <v>1627</v>
      </c>
      <c r="B1633">
        <f>_DestuffedBits!C1628</f>
        <v/>
      </c>
      <c r="C1633">
        <f>G1632</f>
        <v/>
      </c>
      <c r="D1633">
        <f>_xlfn.BITAND(C1633,1)</f>
        <v/>
      </c>
      <c r="E1633">
        <f>_xlfn.BITRSHIFT(C1633,1)</f>
        <v/>
      </c>
      <c r="F1633">
        <f>_xlfn.BITXOR(D1633,B1633)</f>
        <v/>
      </c>
      <c r="G1633">
        <f>IF(F1633=1,_xlfn.BITXOR(E1633,33800),E1633)</f>
        <v/>
      </c>
    </row>
    <row r="1634">
      <c r="A1634" t="n">
        <v>1628</v>
      </c>
      <c r="B1634">
        <f>_DestuffedBits!C1629</f>
        <v/>
      </c>
      <c r="C1634">
        <f>G1633</f>
        <v/>
      </c>
      <c r="D1634">
        <f>_xlfn.BITAND(C1634,1)</f>
        <v/>
      </c>
      <c r="E1634">
        <f>_xlfn.BITRSHIFT(C1634,1)</f>
        <v/>
      </c>
      <c r="F1634">
        <f>_xlfn.BITXOR(D1634,B1634)</f>
        <v/>
      </c>
      <c r="G1634">
        <f>IF(F1634=1,_xlfn.BITXOR(E1634,33800),E1634)</f>
        <v/>
      </c>
    </row>
    <row r="1635">
      <c r="A1635" t="n">
        <v>1629</v>
      </c>
      <c r="B1635">
        <f>_DestuffedBits!C1630</f>
        <v/>
      </c>
      <c r="C1635">
        <f>G1634</f>
        <v/>
      </c>
      <c r="D1635">
        <f>_xlfn.BITAND(C1635,1)</f>
        <v/>
      </c>
      <c r="E1635">
        <f>_xlfn.BITRSHIFT(C1635,1)</f>
        <v/>
      </c>
      <c r="F1635">
        <f>_xlfn.BITXOR(D1635,B1635)</f>
        <v/>
      </c>
      <c r="G1635">
        <f>IF(F1635=1,_xlfn.BITXOR(E1635,33800),E1635)</f>
        <v/>
      </c>
    </row>
    <row r="1636">
      <c r="A1636" t="n">
        <v>1630</v>
      </c>
      <c r="B1636">
        <f>_DestuffedBits!C1631</f>
        <v/>
      </c>
      <c r="C1636">
        <f>G1635</f>
        <v/>
      </c>
      <c r="D1636">
        <f>_xlfn.BITAND(C1636,1)</f>
        <v/>
      </c>
      <c r="E1636">
        <f>_xlfn.BITRSHIFT(C1636,1)</f>
        <v/>
      </c>
      <c r="F1636">
        <f>_xlfn.BITXOR(D1636,B1636)</f>
        <v/>
      </c>
      <c r="G1636">
        <f>IF(F1636=1,_xlfn.BITXOR(E1636,33800),E1636)</f>
        <v/>
      </c>
    </row>
    <row r="1637">
      <c r="A1637" t="n">
        <v>1631</v>
      </c>
      <c r="B1637">
        <f>_DestuffedBits!C1632</f>
        <v/>
      </c>
      <c r="C1637">
        <f>G1636</f>
        <v/>
      </c>
      <c r="D1637">
        <f>_xlfn.BITAND(C1637,1)</f>
        <v/>
      </c>
      <c r="E1637">
        <f>_xlfn.BITRSHIFT(C1637,1)</f>
        <v/>
      </c>
      <c r="F1637">
        <f>_xlfn.BITXOR(D1637,B1637)</f>
        <v/>
      </c>
      <c r="G1637">
        <f>IF(F1637=1,_xlfn.BITXOR(E1637,33800),E1637)</f>
        <v/>
      </c>
    </row>
    <row r="1638">
      <c r="A1638" t="n">
        <v>1632</v>
      </c>
      <c r="B1638">
        <f>_DestuffedBits!C1633</f>
        <v/>
      </c>
      <c r="C1638">
        <f>G1637</f>
        <v/>
      </c>
      <c r="D1638">
        <f>_xlfn.BITAND(C1638,1)</f>
        <v/>
      </c>
      <c r="E1638">
        <f>_xlfn.BITRSHIFT(C1638,1)</f>
        <v/>
      </c>
      <c r="F1638">
        <f>_xlfn.BITXOR(D1638,B1638)</f>
        <v/>
      </c>
      <c r="G1638">
        <f>IF(F1638=1,_xlfn.BITXOR(E1638,33800),E1638)</f>
        <v/>
      </c>
    </row>
    <row r="1639">
      <c r="A1639" t="n">
        <v>1633</v>
      </c>
      <c r="B1639">
        <f>_DestuffedBits!C1634</f>
        <v/>
      </c>
      <c r="C1639">
        <f>G1638</f>
        <v/>
      </c>
      <c r="D1639">
        <f>_xlfn.BITAND(C1639,1)</f>
        <v/>
      </c>
      <c r="E1639">
        <f>_xlfn.BITRSHIFT(C1639,1)</f>
        <v/>
      </c>
      <c r="F1639">
        <f>_xlfn.BITXOR(D1639,B1639)</f>
        <v/>
      </c>
      <c r="G1639">
        <f>IF(F1639=1,_xlfn.BITXOR(E1639,33800),E1639)</f>
        <v/>
      </c>
    </row>
    <row r="1640">
      <c r="A1640" t="n">
        <v>1634</v>
      </c>
      <c r="B1640">
        <f>_DestuffedBits!C1635</f>
        <v/>
      </c>
      <c r="C1640">
        <f>G1639</f>
        <v/>
      </c>
      <c r="D1640">
        <f>_xlfn.BITAND(C1640,1)</f>
        <v/>
      </c>
      <c r="E1640">
        <f>_xlfn.BITRSHIFT(C1640,1)</f>
        <v/>
      </c>
      <c r="F1640">
        <f>_xlfn.BITXOR(D1640,B1640)</f>
        <v/>
      </c>
      <c r="G1640">
        <f>IF(F1640=1,_xlfn.BITXOR(E1640,33800),E1640)</f>
        <v/>
      </c>
    </row>
    <row r="1641">
      <c r="A1641" t="n">
        <v>1635</v>
      </c>
      <c r="B1641">
        <f>_DestuffedBits!C1636</f>
        <v/>
      </c>
      <c r="C1641">
        <f>G1640</f>
        <v/>
      </c>
      <c r="D1641">
        <f>_xlfn.BITAND(C1641,1)</f>
        <v/>
      </c>
      <c r="E1641">
        <f>_xlfn.BITRSHIFT(C1641,1)</f>
        <v/>
      </c>
      <c r="F1641">
        <f>_xlfn.BITXOR(D1641,B1641)</f>
        <v/>
      </c>
      <c r="G1641">
        <f>IF(F1641=1,_xlfn.BITXOR(E1641,33800),E1641)</f>
        <v/>
      </c>
    </row>
    <row r="1642">
      <c r="A1642" t="n">
        <v>1636</v>
      </c>
      <c r="B1642">
        <f>_DestuffedBits!C1637</f>
        <v/>
      </c>
      <c r="C1642">
        <f>G1641</f>
        <v/>
      </c>
      <c r="D1642">
        <f>_xlfn.BITAND(C1642,1)</f>
        <v/>
      </c>
      <c r="E1642">
        <f>_xlfn.BITRSHIFT(C1642,1)</f>
        <v/>
      </c>
      <c r="F1642">
        <f>_xlfn.BITXOR(D1642,B1642)</f>
        <v/>
      </c>
      <c r="G1642">
        <f>IF(F1642=1,_xlfn.BITXOR(E1642,33800),E1642)</f>
        <v/>
      </c>
    </row>
    <row r="1643">
      <c r="A1643" t="n">
        <v>1637</v>
      </c>
      <c r="B1643">
        <f>_DestuffedBits!C1638</f>
        <v/>
      </c>
      <c r="C1643">
        <f>G1642</f>
        <v/>
      </c>
      <c r="D1643">
        <f>_xlfn.BITAND(C1643,1)</f>
        <v/>
      </c>
      <c r="E1643">
        <f>_xlfn.BITRSHIFT(C1643,1)</f>
        <v/>
      </c>
      <c r="F1643">
        <f>_xlfn.BITXOR(D1643,B1643)</f>
        <v/>
      </c>
      <c r="G1643">
        <f>IF(F1643=1,_xlfn.BITXOR(E1643,33800),E1643)</f>
        <v/>
      </c>
    </row>
    <row r="1644">
      <c r="A1644" t="n">
        <v>1638</v>
      </c>
      <c r="B1644">
        <f>_DestuffedBits!C1639</f>
        <v/>
      </c>
      <c r="C1644">
        <f>G1643</f>
        <v/>
      </c>
      <c r="D1644">
        <f>_xlfn.BITAND(C1644,1)</f>
        <v/>
      </c>
      <c r="E1644">
        <f>_xlfn.BITRSHIFT(C1644,1)</f>
        <v/>
      </c>
      <c r="F1644">
        <f>_xlfn.BITXOR(D1644,B1644)</f>
        <v/>
      </c>
      <c r="G1644">
        <f>IF(F1644=1,_xlfn.BITXOR(E1644,33800),E1644)</f>
        <v/>
      </c>
    </row>
    <row r="1645">
      <c r="A1645" t="n">
        <v>1639</v>
      </c>
      <c r="B1645">
        <f>_DestuffedBits!C1640</f>
        <v/>
      </c>
      <c r="C1645">
        <f>G1644</f>
        <v/>
      </c>
      <c r="D1645">
        <f>_xlfn.BITAND(C1645,1)</f>
        <v/>
      </c>
      <c r="E1645">
        <f>_xlfn.BITRSHIFT(C1645,1)</f>
        <v/>
      </c>
      <c r="F1645">
        <f>_xlfn.BITXOR(D1645,B1645)</f>
        <v/>
      </c>
      <c r="G1645">
        <f>IF(F1645=1,_xlfn.BITXOR(E1645,33800),E1645)</f>
        <v/>
      </c>
    </row>
    <row r="1646">
      <c r="A1646" t="n">
        <v>1640</v>
      </c>
      <c r="B1646">
        <f>_DestuffedBits!C1641</f>
        <v/>
      </c>
      <c r="C1646">
        <f>G1645</f>
        <v/>
      </c>
      <c r="D1646">
        <f>_xlfn.BITAND(C1646,1)</f>
        <v/>
      </c>
      <c r="E1646">
        <f>_xlfn.BITRSHIFT(C1646,1)</f>
        <v/>
      </c>
      <c r="F1646">
        <f>_xlfn.BITXOR(D1646,B1646)</f>
        <v/>
      </c>
      <c r="G1646">
        <f>IF(F1646=1,_xlfn.BITXOR(E1646,33800),E1646)</f>
        <v/>
      </c>
    </row>
    <row r="1647">
      <c r="A1647" t="n">
        <v>1641</v>
      </c>
      <c r="B1647">
        <f>_DestuffedBits!C1642</f>
        <v/>
      </c>
      <c r="C1647">
        <f>G1646</f>
        <v/>
      </c>
      <c r="D1647">
        <f>_xlfn.BITAND(C1647,1)</f>
        <v/>
      </c>
      <c r="E1647">
        <f>_xlfn.BITRSHIFT(C1647,1)</f>
        <v/>
      </c>
      <c r="F1647">
        <f>_xlfn.BITXOR(D1647,B1647)</f>
        <v/>
      </c>
      <c r="G1647">
        <f>IF(F1647=1,_xlfn.BITXOR(E1647,33800),E1647)</f>
        <v/>
      </c>
    </row>
    <row r="1648">
      <c r="A1648" t="n">
        <v>1642</v>
      </c>
      <c r="B1648">
        <f>_DestuffedBits!C1643</f>
        <v/>
      </c>
      <c r="C1648">
        <f>G1647</f>
        <v/>
      </c>
      <c r="D1648">
        <f>_xlfn.BITAND(C1648,1)</f>
        <v/>
      </c>
      <c r="E1648">
        <f>_xlfn.BITRSHIFT(C1648,1)</f>
        <v/>
      </c>
      <c r="F1648">
        <f>_xlfn.BITXOR(D1648,B1648)</f>
        <v/>
      </c>
      <c r="G1648">
        <f>IF(F1648=1,_xlfn.BITXOR(E1648,33800),E1648)</f>
        <v/>
      </c>
    </row>
    <row r="1649">
      <c r="A1649" t="n">
        <v>1643</v>
      </c>
      <c r="B1649">
        <f>_DestuffedBits!C1644</f>
        <v/>
      </c>
      <c r="C1649">
        <f>G1648</f>
        <v/>
      </c>
      <c r="D1649">
        <f>_xlfn.BITAND(C1649,1)</f>
        <v/>
      </c>
      <c r="E1649">
        <f>_xlfn.BITRSHIFT(C1649,1)</f>
        <v/>
      </c>
      <c r="F1649">
        <f>_xlfn.BITXOR(D1649,B1649)</f>
        <v/>
      </c>
      <c r="G1649">
        <f>IF(F1649=1,_xlfn.BITXOR(E1649,33800),E1649)</f>
        <v/>
      </c>
    </row>
    <row r="1650">
      <c r="A1650" t="n">
        <v>1644</v>
      </c>
      <c r="B1650">
        <f>_DestuffedBits!C1645</f>
        <v/>
      </c>
      <c r="C1650">
        <f>G1649</f>
        <v/>
      </c>
      <c r="D1650">
        <f>_xlfn.BITAND(C1650,1)</f>
        <v/>
      </c>
      <c r="E1650">
        <f>_xlfn.BITRSHIFT(C1650,1)</f>
        <v/>
      </c>
      <c r="F1650">
        <f>_xlfn.BITXOR(D1650,B1650)</f>
        <v/>
      </c>
      <c r="G1650">
        <f>IF(F1650=1,_xlfn.BITXOR(E1650,33800),E1650)</f>
        <v/>
      </c>
    </row>
    <row r="1651">
      <c r="A1651" t="n">
        <v>1645</v>
      </c>
      <c r="B1651">
        <f>_DestuffedBits!C1646</f>
        <v/>
      </c>
      <c r="C1651">
        <f>G1650</f>
        <v/>
      </c>
      <c r="D1651">
        <f>_xlfn.BITAND(C1651,1)</f>
        <v/>
      </c>
      <c r="E1651">
        <f>_xlfn.BITRSHIFT(C1651,1)</f>
        <v/>
      </c>
      <c r="F1651">
        <f>_xlfn.BITXOR(D1651,B1651)</f>
        <v/>
      </c>
      <c r="G1651">
        <f>IF(F1651=1,_xlfn.BITXOR(E1651,33800),E1651)</f>
        <v/>
      </c>
    </row>
    <row r="1652">
      <c r="A1652" t="n">
        <v>1646</v>
      </c>
      <c r="B1652">
        <f>_DestuffedBits!C1647</f>
        <v/>
      </c>
      <c r="C1652">
        <f>G1651</f>
        <v/>
      </c>
      <c r="D1652">
        <f>_xlfn.BITAND(C1652,1)</f>
        <v/>
      </c>
      <c r="E1652">
        <f>_xlfn.BITRSHIFT(C1652,1)</f>
        <v/>
      </c>
      <c r="F1652">
        <f>_xlfn.BITXOR(D1652,B1652)</f>
        <v/>
      </c>
      <c r="G1652">
        <f>IF(F1652=1,_xlfn.BITXOR(E1652,33800),E1652)</f>
        <v/>
      </c>
    </row>
    <row r="1653">
      <c r="A1653" t="n">
        <v>1647</v>
      </c>
      <c r="B1653">
        <f>_DestuffedBits!C1648</f>
        <v/>
      </c>
      <c r="C1653">
        <f>G1652</f>
        <v/>
      </c>
      <c r="D1653">
        <f>_xlfn.BITAND(C1653,1)</f>
        <v/>
      </c>
      <c r="E1653">
        <f>_xlfn.BITRSHIFT(C1653,1)</f>
        <v/>
      </c>
      <c r="F1653">
        <f>_xlfn.BITXOR(D1653,B1653)</f>
        <v/>
      </c>
      <c r="G1653">
        <f>IF(F1653=1,_xlfn.BITXOR(E1653,33800),E1653)</f>
        <v/>
      </c>
    </row>
    <row r="1654">
      <c r="A1654" t="n">
        <v>1648</v>
      </c>
      <c r="B1654">
        <f>_DestuffedBits!C1649</f>
        <v/>
      </c>
      <c r="C1654">
        <f>G1653</f>
        <v/>
      </c>
      <c r="D1654">
        <f>_xlfn.BITAND(C1654,1)</f>
        <v/>
      </c>
      <c r="E1654">
        <f>_xlfn.BITRSHIFT(C1654,1)</f>
        <v/>
      </c>
      <c r="F1654">
        <f>_xlfn.BITXOR(D1654,B1654)</f>
        <v/>
      </c>
      <c r="G1654">
        <f>IF(F1654=1,_xlfn.BITXOR(E1654,33800),E1654)</f>
        <v/>
      </c>
    </row>
    <row r="1655">
      <c r="A1655" t="n">
        <v>1649</v>
      </c>
      <c r="B1655">
        <f>_DestuffedBits!C1650</f>
        <v/>
      </c>
      <c r="C1655">
        <f>G1654</f>
        <v/>
      </c>
      <c r="D1655">
        <f>_xlfn.BITAND(C1655,1)</f>
        <v/>
      </c>
      <c r="E1655">
        <f>_xlfn.BITRSHIFT(C1655,1)</f>
        <v/>
      </c>
      <c r="F1655">
        <f>_xlfn.BITXOR(D1655,B1655)</f>
        <v/>
      </c>
      <c r="G1655">
        <f>IF(F1655=1,_xlfn.BITXOR(E1655,33800),E1655)</f>
        <v/>
      </c>
    </row>
    <row r="1656">
      <c r="A1656" t="n">
        <v>1650</v>
      </c>
      <c r="B1656">
        <f>_DestuffedBits!C1651</f>
        <v/>
      </c>
      <c r="C1656">
        <f>G1655</f>
        <v/>
      </c>
      <c r="D1656">
        <f>_xlfn.BITAND(C1656,1)</f>
        <v/>
      </c>
      <c r="E1656">
        <f>_xlfn.BITRSHIFT(C1656,1)</f>
        <v/>
      </c>
      <c r="F1656">
        <f>_xlfn.BITXOR(D1656,B1656)</f>
        <v/>
      </c>
      <c r="G1656">
        <f>IF(F1656=1,_xlfn.BITXOR(E1656,33800),E1656)</f>
        <v/>
      </c>
    </row>
    <row r="1657">
      <c r="A1657" t="n">
        <v>1651</v>
      </c>
      <c r="B1657">
        <f>_DestuffedBits!C1652</f>
        <v/>
      </c>
      <c r="C1657">
        <f>G1656</f>
        <v/>
      </c>
      <c r="D1657">
        <f>_xlfn.BITAND(C1657,1)</f>
        <v/>
      </c>
      <c r="E1657">
        <f>_xlfn.BITRSHIFT(C1657,1)</f>
        <v/>
      </c>
      <c r="F1657">
        <f>_xlfn.BITXOR(D1657,B1657)</f>
        <v/>
      </c>
      <c r="G1657">
        <f>IF(F1657=1,_xlfn.BITXOR(E1657,33800),E1657)</f>
        <v/>
      </c>
    </row>
    <row r="1658">
      <c r="A1658" t="n">
        <v>1652</v>
      </c>
      <c r="B1658">
        <f>_DestuffedBits!C1653</f>
        <v/>
      </c>
      <c r="C1658">
        <f>G1657</f>
        <v/>
      </c>
      <c r="D1658">
        <f>_xlfn.BITAND(C1658,1)</f>
        <v/>
      </c>
      <c r="E1658">
        <f>_xlfn.BITRSHIFT(C1658,1)</f>
        <v/>
      </c>
      <c r="F1658">
        <f>_xlfn.BITXOR(D1658,B1658)</f>
        <v/>
      </c>
      <c r="G1658">
        <f>IF(F1658=1,_xlfn.BITXOR(E1658,33800),E1658)</f>
        <v/>
      </c>
    </row>
    <row r="1659">
      <c r="A1659" t="n">
        <v>1653</v>
      </c>
      <c r="B1659">
        <f>_DestuffedBits!C1654</f>
        <v/>
      </c>
      <c r="C1659">
        <f>G1658</f>
        <v/>
      </c>
      <c r="D1659">
        <f>_xlfn.BITAND(C1659,1)</f>
        <v/>
      </c>
      <c r="E1659">
        <f>_xlfn.BITRSHIFT(C1659,1)</f>
        <v/>
      </c>
      <c r="F1659">
        <f>_xlfn.BITXOR(D1659,B1659)</f>
        <v/>
      </c>
      <c r="G1659">
        <f>IF(F1659=1,_xlfn.BITXOR(E1659,33800),E1659)</f>
        <v/>
      </c>
    </row>
    <row r="1660">
      <c r="A1660" t="n">
        <v>1654</v>
      </c>
      <c r="B1660">
        <f>_DestuffedBits!C1655</f>
        <v/>
      </c>
      <c r="C1660">
        <f>G1659</f>
        <v/>
      </c>
      <c r="D1660">
        <f>_xlfn.BITAND(C1660,1)</f>
        <v/>
      </c>
      <c r="E1660">
        <f>_xlfn.BITRSHIFT(C1660,1)</f>
        <v/>
      </c>
      <c r="F1660">
        <f>_xlfn.BITXOR(D1660,B1660)</f>
        <v/>
      </c>
      <c r="G1660">
        <f>IF(F1660=1,_xlfn.BITXOR(E1660,33800),E1660)</f>
        <v/>
      </c>
    </row>
    <row r="1661">
      <c r="A1661" t="n">
        <v>1655</v>
      </c>
      <c r="B1661">
        <f>_DestuffedBits!C1656</f>
        <v/>
      </c>
      <c r="C1661">
        <f>G1660</f>
        <v/>
      </c>
      <c r="D1661">
        <f>_xlfn.BITAND(C1661,1)</f>
        <v/>
      </c>
      <c r="E1661">
        <f>_xlfn.BITRSHIFT(C1661,1)</f>
        <v/>
      </c>
      <c r="F1661">
        <f>_xlfn.BITXOR(D1661,B1661)</f>
        <v/>
      </c>
      <c r="G1661">
        <f>IF(F1661=1,_xlfn.BITXOR(E1661,33800),E1661)</f>
        <v/>
      </c>
    </row>
    <row r="1662">
      <c r="A1662" t="n">
        <v>1656</v>
      </c>
      <c r="B1662">
        <f>_DestuffedBits!C1657</f>
        <v/>
      </c>
      <c r="C1662">
        <f>G1661</f>
        <v/>
      </c>
      <c r="D1662">
        <f>_xlfn.BITAND(C1662,1)</f>
        <v/>
      </c>
      <c r="E1662">
        <f>_xlfn.BITRSHIFT(C1662,1)</f>
        <v/>
      </c>
      <c r="F1662">
        <f>_xlfn.BITXOR(D1662,B1662)</f>
        <v/>
      </c>
      <c r="G1662">
        <f>IF(F1662=1,_xlfn.BITXOR(E1662,33800),E1662)</f>
        <v/>
      </c>
    </row>
    <row r="1663">
      <c r="A1663" t="n">
        <v>1657</v>
      </c>
      <c r="B1663">
        <f>_DestuffedBits!C1658</f>
        <v/>
      </c>
      <c r="C1663">
        <f>G1662</f>
        <v/>
      </c>
      <c r="D1663">
        <f>_xlfn.BITAND(C1663,1)</f>
        <v/>
      </c>
      <c r="E1663">
        <f>_xlfn.BITRSHIFT(C1663,1)</f>
        <v/>
      </c>
      <c r="F1663">
        <f>_xlfn.BITXOR(D1663,B1663)</f>
        <v/>
      </c>
      <c r="G1663">
        <f>IF(F1663=1,_xlfn.BITXOR(E1663,33800),E1663)</f>
        <v/>
      </c>
    </row>
    <row r="1664">
      <c r="A1664" t="n">
        <v>1658</v>
      </c>
      <c r="B1664">
        <f>_DestuffedBits!C1659</f>
        <v/>
      </c>
      <c r="C1664">
        <f>G1663</f>
        <v/>
      </c>
      <c r="D1664">
        <f>_xlfn.BITAND(C1664,1)</f>
        <v/>
      </c>
      <c r="E1664">
        <f>_xlfn.BITRSHIFT(C1664,1)</f>
        <v/>
      </c>
      <c r="F1664">
        <f>_xlfn.BITXOR(D1664,B1664)</f>
        <v/>
      </c>
      <c r="G1664">
        <f>IF(F1664=1,_xlfn.BITXOR(E1664,33800),E1664)</f>
        <v/>
      </c>
    </row>
    <row r="1665">
      <c r="A1665" t="n">
        <v>1659</v>
      </c>
      <c r="B1665">
        <f>_DestuffedBits!C1660</f>
        <v/>
      </c>
      <c r="C1665">
        <f>G1664</f>
        <v/>
      </c>
      <c r="D1665">
        <f>_xlfn.BITAND(C1665,1)</f>
        <v/>
      </c>
      <c r="E1665">
        <f>_xlfn.BITRSHIFT(C1665,1)</f>
        <v/>
      </c>
      <c r="F1665">
        <f>_xlfn.BITXOR(D1665,B1665)</f>
        <v/>
      </c>
      <c r="G1665">
        <f>IF(F1665=1,_xlfn.BITXOR(E1665,33800),E1665)</f>
        <v/>
      </c>
    </row>
    <row r="1666">
      <c r="A1666" t="n">
        <v>1660</v>
      </c>
      <c r="B1666">
        <f>_DestuffedBits!C1661</f>
        <v/>
      </c>
      <c r="C1666">
        <f>G1665</f>
        <v/>
      </c>
      <c r="D1666">
        <f>_xlfn.BITAND(C1666,1)</f>
        <v/>
      </c>
      <c r="E1666">
        <f>_xlfn.BITRSHIFT(C1666,1)</f>
        <v/>
      </c>
      <c r="F1666">
        <f>_xlfn.BITXOR(D1666,B1666)</f>
        <v/>
      </c>
      <c r="G1666">
        <f>IF(F1666=1,_xlfn.BITXOR(E1666,33800),E1666)</f>
        <v/>
      </c>
    </row>
    <row r="1667">
      <c r="A1667" t="n">
        <v>1661</v>
      </c>
      <c r="B1667">
        <f>_DestuffedBits!C1662</f>
        <v/>
      </c>
      <c r="C1667">
        <f>G1666</f>
        <v/>
      </c>
      <c r="D1667">
        <f>_xlfn.BITAND(C1667,1)</f>
        <v/>
      </c>
      <c r="E1667">
        <f>_xlfn.BITRSHIFT(C1667,1)</f>
        <v/>
      </c>
      <c r="F1667">
        <f>_xlfn.BITXOR(D1667,B1667)</f>
        <v/>
      </c>
      <c r="G1667">
        <f>IF(F1667=1,_xlfn.BITXOR(E1667,33800),E1667)</f>
        <v/>
      </c>
    </row>
    <row r="1668">
      <c r="A1668" t="n">
        <v>1662</v>
      </c>
      <c r="B1668">
        <f>_DestuffedBits!C1663</f>
        <v/>
      </c>
      <c r="C1668">
        <f>G1667</f>
        <v/>
      </c>
      <c r="D1668">
        <f>_xlfn.BITAND(C1668,1)</f>
        <v/>
      </c>
      <c r="E1668">
        <f>_xlfn.BITRSHIFT(C1668,1)</f>
        <v/>
      </c>
      <c r="F1668">
        <f>_xlfn.BITXOR(D1668,B1668)</f>
        <v/>
      </c>
      <c r="G1668">
        <f>IF(F1668=1,_xlfn.BITXOR(E1668,33800),E1668)</f>
        <v/>
      </c>
    </row>
    <row r="1669">
      <c r="A1669" t="n">
        <v>1663</v>
      </c>
      <c r="B1669">
        <f>_DestuffedBits!C1664</f>
        <v/>
      </c>
      <c r="C1669">
        <f>G1668</f>
        <v/>
      </c>
      <c r="D1669">
        <f>_xlfn.BITAND(C1669,1)</f>
        <v/>
      </c>
      <c r="E1669">
        <f>_xlfn.BITRSHIFT(C1669,1)</f>
        <v/>
      </c>
      <c r="F1669">
        <f>_xlfn.BITXOR(D1669,B1669)</f>
        <v/>
      </c>
      <c r="G1669">
        <f>IF(F1669=1,_xlfn.BITXOR(E1669,33800),E1669)</f>
        <v/>
      </c>
    </row>
    <row r="1670">
      <c r="A1670" t="n">
        <v>1664</v>
      </c>
      <c r="B1670">
        <f>_DestuffedBits!C1665</f>
        <v/>
      </c>
      <c r="C1670">
        <f>G1669</f>
        <v/>
      </c>
      <c r="D1670">
        <f>_xlfn.BITAND(C1670,1)</f>
        <v/>
      </c>
      <c r="E1670">
        <f>_xlfn.BITRSHIFT(C1670,1)</f>
        <v/>
      </c>
      <c r="F1670">
        <f>_xlfn.BITXOR(D1670,B1670)</f>
        <v/>
      </c>
      <c r="G1670">
        <f>IF(F1670=1,_xlfn.BITXOR(E1670,33800),E1670)</f>
        <v/>
      </c>
    </row>
    <row r="1671">
      <c r="A1671" t="n">
        <v>1665</v>
      </c>
      <c r="B1671">
        <f>_DestuffedBits!C1666</f>
        <v/>
      </c>
      <c r="C1671">
        <f>G1670</f>
        <v/>
      </c>
      <c r="D1671">
        <f>_xlfn.BITAND(C1671,1)</f>
        <v/>
      </c>
      <c r="E1671">
        <f>_xlfn.BITRSHIFT(C1671,1)</f>
        <v/>
      </c>
      <c r="F1671">
        <f>_xlfn.BITXOR(D1671,B1671)</f>
        <v/>
      </c>
      <c r="G1671">
        <f>IF(F1671=1,_xlfn.BITXOR(E1671,33800),E1671)</f>
        <v/>
      </c>
    </row>
    <row r="1672">
      <c r="A1672" t="n">
        <v>1666</v>
      </c>
      <c r="B1672">
        <f>_DestuffedBits!C1667</f>
        <v/>
      </c>
      <c r="C1672">
        <f>G1671</f>
        <v/>
      </c>
      <c r="D1672">
        <f>_xlfn.BITAND(C1672,1)</f>
        <v/>
      </c>
      <c r="E1672">
        <f>_xlfn.BITRSHIFT(C1672,1)</f>
        <v/>
      </c>
      <c r="F1672">
        <f>_xlfn.BITXOR(D1672,B1672)</f>
        <v/>
      </c>
      <c r="G1672">
        <f>IF(F1672=1,_xlfn.BITXOR(E1672,33800),E1672)</f>
        <v/>
      </c>
    </row>
    <row r="1673">
      <c r="A1673" t="n">
        <v>1667</v>
      </c>
      <c r="B1673">
        <f>_DestuffedBits!C1668</f>
        <v/>
      </c>
      <c r="C1673">
        <f>G1672</f>
        <v/>
      </c>
      <c r="D1673">
        <f>_xlfn.BITAND(C1673,1)</f>
        <v/>
      </c>
      <c r="E1673">
        <f>_xlfn.BITRSHIFT(C1673,1)</f>
        <v/>
      </c>
      <c r="F1673">
        <f>_xlfn.BITXOR(D1673,B1673)</f>
        <v/>
      </c>
      <c r="G1673">
        <f>IF(F1673=1,_xlfn.BITXOR(E1673,33800),E1673)</f>
        <v/>
      </c>
    </row>
    <row r="1674">
      <c r="A1674" t="n">
        <v>1668</v>
      </c>
      <c r="B1674">
        <f>_DestuffedBits!C1669</f>
        <v/>
      </c>
      <c r="C1674">
        <f>G1673</f>
        <v/>
      </c>
      <c r="D1674">
        <f>_xlfn.BITAND(C1674,1)</f>
        <v/>
      </c>
      <c r="E1674">
        <f>_xlfn.BITRSHIFT(C1674,1)</f>
        <v/>
      </c>
      <c r="F1674">
        <f>_xlfn.BITXOR(D1674,B1674)</f>
        <v/>
      </c>
      <c r="G1674">
        <f>IF(F1674=1,_xlfn.BITXOR(E1674,33800),E1674)</f>
        <v/>
      </c>
    </row>
    <row r="1675">
      <c r="A1675" t="n">
        <v>1669</v>
      </c>
      <c r="B1675">
        <f>_DestuffedBits!C1670</f>
        <v/>
      </c>
      <c r="C1675">
        <f>G1674</f>
        <v/>
      </c>
      <c r="D1675">
        <f>_xlfn.BITAND(C1675,1)</f>
        <v/>
      </c>
      <c r="E1675">
        <f>_xlfn.BITRSHIFT(C1675,1)</f>
        <v/>
      </c>
      <c r="F1675">
        <f>_xlfn.BITXOR(D1675,B1675)</f>
        <v/>
      </c>
      <c r="G1675">
        <f>IF(F1675=1,_xlfn.BITXOR(E1675,33800),E1675)</f>
        <v/>
      </c>
    </row>
    <row r="1676">
      <c r="A1676" t="n">
        <v>1670</v>
      </c>
      <c r="B1676">
        <f>_DestuffedBits!C1671</f>
        <v/>
      </c>
      <c r="C1676">
        <f>G1675</f>
        <v/>
      </c>
      <c r="D1676">
        <f>_xlfn.BITAND(C1676,1)</f>
        <v/>
      </c>
      <c r="E1676">
        <f>_xlfn.BITRSHIFT(C1676,1)</f>
        <v/>
      </c>
      <c r="F1676">
        <f>_xlfn.BITXOR(D1676,B1676)</f>
        <v/>
      </c>
      <c r="G1676">
        <f>IF(F1676=1,_xlfn.BITXOR(E1676,33800),E1676)</f>
        <v/>
      </c>
    </row>
    <row r="1677">
      <c r="A1677" t="n">
        <v>1671</v>
      </c>
      <c r="B1677">
        <f>_DestuffedBits!C1672</f>
        <v/>
      </c>
      <c r="C1677">
        <f>G1676</f>
        <v/>
      </c>
      <c r="D1677">
        <f>_xlfn.BITAND(C1677,1)</f>
        <v/>
      </c>
      <c r="E1677">
        <f>_xlfn.BITRSHIFT(C1677,1)</f>
        <v/>
      </c>
      <c r="F1677">
        <f>_xlfn.BITXOR(D1677,B1677)</f>
        <v/>
      </c>
      <c r="G1677">
        <f>IF(F1677=1,_xlfn.BITXOR(E1677,33800),E1677)</f>
        <v/>
      </c>
    </row>
    <row r="1678">
      <c r="A1678" t="n">
        <v>1672</v>
      </c>
      <c r="B1678">
        <f>_DestuffedBits!C1673</f>
        <v/>
      </c>
      <c r="C1678">
        <f>G1677</f>
        <v/>
      </c>
      <c r="D1678">
        <f>_xlfn.BITAND(C1678,1)</f>
        <v/>
      </c>
      <c r="E1678">
        <f>_xlfn.BITRSHIFT(C1678,1)</f>
        <v/>
      </c>
      <c r="F1678">
        <f>_xlfn.BITXOR(D1678,B1678)</f>
        <v/>
      </c>
      <c r="G1678">
        <f>IF(F1678=1,_xlfn.BITXOR(E1678,33800),E1678)</f>
        <v/>
      </c>
    </row>
    <row r="1679">
      <c r="A1679" t="n">
        <v>1673</v>
      </c>
      <c r="B1679">
        <f>_DestuffedBits!C1674</f>
        <v/>
      </c>
      <c r="C1679">
        <f>G1678</f>
        <v/>
      </c>
      <c r="D1679">
        <f>_xlfn.BITAND(C1679,1)</f>
        <v/>
      </c>
      <c r="E1679">
        <f>_xlfn.BITRSHIFT(C1679,1)</f>
        <v/>
      </c>
      <c r="F1679">
        <f>_xlfn.BITXOR(D1679,B1679)</f>
        <v/>
      </c>
      <c r="G1679">
        <f>IF(F1679=1,_xlfn.BITXOR(E1679,33800),E1679)</f>
        <v/>
      </c>
    </row>
    <row r="1680">
      <c r="A1680" t="n">
        <v>1674</v>
      </c>
      <c r="B1680">
        <f>_DestuffedBits!C1675</f>
        <v/>
      </c>
      <c r="C1680">
        <f>G1679</f>
        <v/>
      </c>
      <c r="D1680">
        <f>_xlfn.BITAND(C1680,1)</f>
        <v/>
      </c>
      <c r="E1680">
        <f>_xlfn.BITRSHIFT(C1680,1)</f>
        <v/>
      </c>
      <c r="F1680">
        <f>_xlfn.BITXOR(D1680,B1680)</f>
        <v/>
      </c>
      <c r="G1680">
        <f>IF(F1680=1,_xlfn.BITXOR(E1680,33800),E1680)</f>
        <v/>
      </c>
    </row>
    <row r="1681">
      <c r="A1681" t="n">
        <v>1675</v>
      </c>
      <c r="B1681">
        <f>_DestuffedBits!C1676</f>
        <v/>
      </c>
      <c r="C1681">
        <f>G1680</f>
        <v/>
      </c>
      <c r="D1681">
        <f>_xlfn.BITAND(C1681,1)</f>
        <v/>
      </c>
      <c r="E1681">
        <f>_xlfn.BITRSHIFT(C1681,1)</f>
        <v/>
      </c>
      <c r="F1681">
        <f>_xlfn.BITXOR(D1681,B1681)</f>
        <v/>
      </c>
      <c r="G1681">
        <f>IF(F1681=1,_xlfn.BITXOR(E1681,33800),E1681)</f>
        <v/>
      </c>
    </row>
    <row r="1682">
      <c r="A1682" t="n">
        <v>1676</v>
      </c>
      <c r="B1682">
        <f>_DestuffedBits!C1677</f>
        <v/>
      </c>
      <c r="C1682">
        <f>G1681</f>
        <v/>
      </c>
      <c r="D1682">
        <f>_xlfn.BITAND(C1682,1)</f>
        <v/>
      </c>
      <c r="E1682">
        <f>_xlfn.BITRSHIFT(C1682,1)</f>
        <v/>
      </c>
      <c r="F1682">
        <f>_xlfn.BITXOR(D1682,B1682)</f>
        <v/>
      </c>
      <c r="G1682">
        <f>IF(F1682=1,_xlfn.BITXOR(E1682,33800),E1682)</f>
        <v/>
      </c>
    </row>
    <row r="1683">
      <c r="A1683" t="n">
        <v>1677</v>
      </c>
      <c r="B1683">
        <f>_DestuffedBits!C1678</f>
        <v/>
      </c>
      <c r="C1683">
        <f>G1682</f>
        <v/>
      </c>
      <c r="D1683">
        <f>_xlfn.BITAND(C1683,1)</f>
        <v/>
      </c>
      <c r="E1683">
        <f>_xlfn.BITRSHIFT(C1683,1)</f>
        <v/>
      </c>
      <c r="F1683">
        <f>_xlfn.BITXOR(D1683,B1683)</f>
        <v/>
      </c>
      <c r="G1683">
        <f>IF(F1683=1,_xlfn.BITXOR(E1683,33800),E1683)</f>
        <v/>
      </c>
    </row>
    <row r="1684">
      <c r="A1684" t="n">
        <v>1678</v>
      </c>
      <c r="B1684">
        <f>_DestuffedBits!C1679</f>
        <v/>
      </c>
      <c r="C1684">
        <f>G1683</f>
        <v/>
      </c>
      <c r="D1684">
        <f>_xlfn.BITAND(C1684,1)</f>
        <v/>
      </c>
      <c r="E1684">
        <f>_xlfn.BITRSHIFT(C1684,1)</f>
        <v/>
      </c>
      <c r="F1684">
        <f>_xlfn.BITXOR(D1684,B1684)</f>
        <v/>
      </c>
      <c r="G1684">
        <f>IF(F1684=1,_xlfn.BITXOR(E1684,33800),E1684)</f>
        <v/>
      </c>
    </row>
    <row r="1685">
      <c r="A1685" t="n">
        <v>1679</v>
      </c>
      <c r="B1685">
        <f>_DestuffedBits!C1680</f>
        <v/>
      </c>
      <c r="C1685">
        <f>G1684</f>
        <v/>
      </c>
      <c r="D1685">
        <f>_xlfn.BITAND(C1685,1)</f>
        <v/>
      </c>
      <c r="E1685">
        <f>_xlfn.BITRSHIFT(C1685,1)</f>
        <v/>
      </c>
      <c r="F1685">
        <f>_xlfn.BITXOR(D1685,B1685)</f>
        <v/>
      </c>
      <c r="G1685">
        <f>IF(F1685=1,_xlfn.BITXOR(E1685,33800),E1685)</f>
        <v/>
      </c>
    </row>
    <row r="1686">
      <c r="A1686" t="n">
        <v>1680</v>
      </c>
      <c r="B1686">
        <f>_DestuffedBits!C1681</f>
        <v/>
      </c>
      <c r="C1686">
        <f>G1685</f>
        <v/>
      </c>
      <c r="D1686">
        <f>_xlfn.BITAND(C1686,1)</f>
        <v/>
      </c>
      <c r="E1686">
        <f>_xlfn.BITRSHIFT(C1686,1)</f>
        <v/>
      </c>
      <c r="F1686">
        <f>_xlfn.BITXOR(D1686,B1686)</f>
        <v/>
      </c>
      <c r="G1686">
        <f>IF(F1686=1,_xlfn.BITXOR(E1686,33800),E1686)</f>
        <v/>
      </c>
    </row>
    <row r="1687">
      <c r="A1687" t="n">
        <v>1681</v>
      </c>
      <c r="B1687">
        <f>_DestuffedBits!C1682</f>
        <v/>
      </c>
      <c r="C1687">
        <f>G1686</f>
        <v/>
      </c>
      <c r="D1687">
        <f>_xlfn.BITAND(C1687,1)</f>
        <v/>
      </c>
      <c r="E1687">
        <f>_xlfn.BITRSHIFT(C1687,1)</f>
        <v/>
      </c>
      <c r="F1687">
        <f>_xlfn.BITXOR(D1687,B1687)</f>
        <v/>
      </c>
      <c r="G1687">
        <f>IF(F1687=1,_xlfn.BITXOR(E1687,33800),E1687)</f>
        <v/>
      </c>
    </row>
    <row r="1688">
      <c r="A1688" t="n">
        <v>1682</v>
      </c>
      <c r="B1688">
        <f>_DestuffedBits!C1683</f>
        <v/>
      </c>
      <c r="C1688">
        <f>G1687</f>
        <v/>
      </c>
      <c r="D1688">
        <f>_xlfn.BITAND(C1688,1)</f>
        <v/>
      </c>
      <c r="E1688">
        <f>_xlfn.BITRSHIFT(C1688,1)</f>
        <v/>
      </c>
      <c r="F1688">
        <f>_xlfn.BITXOR(D1688,B1688)</f>
        <v/>
      </c>
      <c r="G1688">
        <f>IF(F1688=1,_xlfn.BITXOR(E1688,33800),E1688)</f>
        <v/>
      </c>
    </row>
    <row r="1689">
      <c r="A1689" t="n">
        <v>1683</v>
      </c>
      <c r="B1689">
        <f>_DestuffedBits!C1684</f>
        <v/>
      </c>
      <c r="C1689">
        <f>G1688</f>
        <v/>
      </c>
      <c r="D1689">
        <f>_xlfn.BITAND(C1689,1)</f>
        <v/>
      </c>
      <c r="E1689">
        <f>_xlfn.BITRSHIFT(C1689,1)</f>
        <v/>
      </c>
      <c r="F1689">
        <f>_xlfn.BITXOR(D1689,B1689)</f>
        <v/>
      </c>
      <c r="G1689">
        <f>IF(F1689=1,_xlfn.BITXOR(E1689,33800),E1689)</f>
        <v/>
      </c>
    </row>
    <row r="1690">
      <c r="A1690" t="n">
        <v>1684</v>
      </c>
      <c r="B1690">
        <f>_DestuffedBits!C1685</f>
        <v/>
      </c>
      <c r="C1690">
        <f>G1689</f>
        <v/>
      </c>
      <c r="D1690">
        <f>_xlfn.BITAND(C1690,1)</f>
        <v/>
      </c>
      <c r="E1690">
        <f>_xlfn.BITRSHIFT(C1690,1)</f>
        <v/>
      </c>
      <c r="F1690">
        <f>_xlfn.BITXOR(D1690,B1690)</f>
        <v/>
      </c>
      <c r="G1690">
        <f>IF(F1690=1,_xlfn.BITXOR(E1690,33800),E1690)</f>
        <v/>
      </c>
    </row>
    <row r="1691">
      <c r="A1691" t="n">
        <v>1685</v>
      </c>
      <c r="B1691">
        <f>_DestuffedBits!C1686</f>
        <v/>
      </c>
      <c r="C1691">
        <f>G1690</f>
        <v/>
      </c>
      <c r="D1691">
        <f>_xlfn.BITAND(C1691,1)</f>
        <v/>
      </c>
      <c r="E1691">
        <f>_xlfn.BITRSHIFT(C1691,1)</f>
        <v/>
      </c>
      <c r="F1691">
        <f>_xlfn.BITXOR(D1691,B1691)</f>
        <v/>
      </c>
      <c r="G1691">
        <f>IF(F1691=1,_xlfn.BITXOR(E1691,33800),E1691)</f>
        <v/>
      </c>
    </row>
    <row r="1692">
      <c r="A1692" t="n">
        <v>1686</v>
      </c>
      <c r="B1692">
        <f>_DestuffedBits!C1687</f>
        <v/>
      </c>
      <c r="C1692">
        <f>G1691</f>
        <v/>
      </c>
      <c r="D1692">
        <f>_xlfn.BITAND(C1692,1)</f>
        <v/>
      </c>
      <c r="E1692">
        <f>_xlfn.BITRSHIFT(C1692,1)</f>
        <v/>
      </c>
      <c r="F1692">
        <f>_xlfn.BITXOR(D1692,B1692)</f>
        <v/>
      </c>
      <c r="G1692">
        <f>IF(F1692=1,_xlfn.BITXOR(E1692,33800),E1692)</f>
        <v/>
      </c>
    </row>
    <row r="1693">
      <c r="A1693" t="n">
        <v>1687</v>
      </c>
      <c r="B1693">
        <f>_DestuffedBits!C1688</f>
        <v/>
      </c>
      <c r="C1693">
        <f>G1692</f>
        <v/>
      </c>
      <c r="D1693">
        <f>_xlfn.BITAND(C1693,1)</f>
        <v/>
      </c>
      <c r="E1693">
        <f>_xlfn.BITRSHIFT(C1693,1)</f>
        <v/>
      </c>
      <c r="F1693">
        <f>_xlfn.BITXOR(D1693,B1693)</f>
        <v/>
      </c>
      <c r="G1693">
        <f>IF(F1693=1,_xlfn.BITXOR(E1693,33800),E1693)</f>
        <v/>
      </c>
    </row>
    <row r="1694">
      <c r="A1694" t="n">
        <v>1688</v>
      </c>
      <c r="B1694">
        <f>_DestuffedBits!C1689</f>
        <v/>
      </c>
      <c r="C1694">
        <f>G1693</f>
        <v/>
      </c>
      <c r="D1694">
        <f>_xlfn.BITAND(C1694,1)</f>
        <v/>
      </c>
      <c r="E1694">
        <f>_xlfn.BITRSHIFT(C1694,1)</f>
        <v/>
      </c>
      <c r="F1694">
        <f>_xlfn.BITXOR(D1694,B1694)</f>
        <v/>
      </c>
      <c r="G1694">
        <f>IF(F1694=1,_xlfn.BITXOR(E1694,33800),E1694)</f>
        <v/>
      </c>
    </row>
    <row r="1695">
      <c r="A1695" t="n">
        <v>1689</v>
      </c>
      <c r="B1695">
        <f>_DestuffedBits!C1690</f>
        <v/>
      </c>
      <c r="C1695">
        <f>G1694</f>
        <v/>
      </c>
      <c r="D1695">
        <f>_xlfn.BITAND(C1695,1)</f>
        <v/>
      </c>
      <c r="E1695">
        <f>_xlfn.BITRSHIFT(C1695,1)</f>
        <v/>
      </c>
      <c r="F1695">
        <f>_xlfn.BITXOR(D1695,B1695)</f>
        <v/>
      </c>
      <c r="G1695">
        <f>IF(F1695=1,_xlfn.BITXOR(E1695,33800),E1695)</f>
        <v/>
      </c>
    </row>
    <row r="1696">
      <c r="A1696" t="n">
        <v>1690</v>
      </c>
      <c r="B1696">
        <f>_DestuffedBits!C1691</f>
        <v/>
      </c>
      <c r="C1696">
        <f>G1695</f>
        <v/>
      </c>
      <c r="D1696">
        <f>_xlfn.BITAND(C1696,1)</f>
        <v/>
      </c>
      <c r="E1696">
        <f>_xlfn.BITRSHIFT(C1696,1)</f>
        <v/>
      </c>
      <c r="F1696">
        <f>_xlfn.BITXOR(D1696,B1696)</f>
        <v/>
      </c>
      <c r="G1696">
        <f>IF(F1696=1,_xlfn.BITXOR(E1696,33800),E1696)</f>
        <v/>
      </c>
    </row>
    <row r="1697">
      <c r="A1697" t="n">
        <v>1691</v>
      </c>
      <c r="B1697">
        <f>_DestuffedBits!C1692</f>
        <v/>
      </c>
      <c r="C1697">
        <f>G1696</f>
        <v/>
      </c>
      <c r="D1697">
        <f>_xlfn.BITAND(C1697,1)</f>
        <v/>
      </c>
      <c r="E1697">
        <f>_xlfn.BITRSHIFT(C1697,1)</f>
        <v/>
      </c>
      <c r="F1697">
        <f>_xlfn.BITXOR(D1697,B1697)</f>
        <v/>
      </c>
      <c r="G1697">
        <f>IF(F1697=1,_xlfn.BITXOR(E1697,33800),E1697)</f>
        <v/>
      </c>
    </row>
    <row r="1698">
      <c r="A1698" t="n">
        <v>1692</v>
      </c>
      <c r="B1698">
        <f>_DestuffedBits!C1693</f>
        <v/>
      </c>
      <c r="C1698">
        <f>G1697</f>
        <v/>
      </c>
      <c r="D1698">
        <f>_xlfn.BITAND(C1698,1)</f>
        <v/>
      </c>
      <c r="E1698">
        <f>_xlfn.BITRSHIFT(C1698,1)</f>
        <v/>
      </c>
      <c r="F1698">
        <f>_xlfn.BITXOR(D1698,B1698)</f>
        <v/>
      </c>
      <c r="G1698">
        <f>IF(F1698=1,_xlfn.BITXOR(E1698,33800),E1698)</f>
        <v/>
      </c>
    </row>
    <row r="1699">
      <c r="A1699" t="n">
        <v>1693</v>
      </c>
      <c r="B1699">
        <f>_DestuffedBits!C1694</f>
        <v/>
      </c>
      <c r="C1699">
        <f>G1698</f>
        <v/>
      </c>
      <c r="D1699">
        <f>_xlfn.BITAND(C1699,1)</f>
        <v/>
      </c>
      <c r="E1699">
        <f>_xlfn.BITRSHIFT(C1699,1)</f>
        <v/>
      </c>
      <c r="F1699">
        <f>_xlfn.BITXOR(D1699,B1699)</f>
        <v/>
      </c>
      <c r="G1699">
        <f>IF(F1699=1,_xlfn.BITXOR(E1699,33800),E1699)</f>
        <v/>
      </c>
    </row>
    <row r="1700">
      <c r="A1700" t="n">
        <v>1694</v>
      </c>
      <c r="B1700">
        <f>_DestuffedBits!C1695</f>
        <v/>
      </c>
      <c r="C1700">
        <f>G1699</f>
        <v/>
      </c>
      <c r="D1700">
        <f>_xlfn.BITAND(C1700,1)</f>
        <v/>
      </c>
      <c r="E1700">
        <f>_xlfn.BITRSHIFT(C1700,1)</f>
        <v/>
      </c>
      <c r="F1700">
        <f>_xlfn.BITXOR(D1700,B1700)</f>
        <v/>
      </c>
      <c r="G1700">
        <f>IF(F1700=1,_xlfn.BITXOR(E1700,33800),E1700)</f>
        <v/>
      </c>
    </row>
    <row r="1701">
      <c r="A1701" t="n">
        <v>1695</v>
      </c>
      <c r="B1701">
        <f>_DestuffedBits!C1696</f>
        <v/>
      </c>
      <c r="C1701">
        <f>G1700</f>
        <v/>
      </c>
      <c r="D1701">
        <f>_xlfn.BITAND(C1701,1)</f>
        <v/>
      </c>
      <c r="E1701">
        <f>_xlfn.BITRSHIFT(C1701,1)</f>
        <v/>
      </c>
      <c r="F1701">
        <f>_xlfn.BITXOR(D1701,B1701)</f>
        <v/>
      </c>
      <c r="G1701">
        <f>IF(F1701=1,_xlfn.BITXOR(E1701,33800),E1701)</f>
        <v/>
      </c>
    </row>
    <row r="1702">
      <c r="A1702" t="n">
        <v>1696</v>
      </c>
      <c r="B1702">
        <f>_DestuffedBits!C1697</f>
        <v/>
      </c>
      <c r="C1702">
        <f>G1701</f>
        <v/>
      </c>
      <c r="D1702">
        <f>_xlfn.BITAND(C1702,1)</f>
        <v/>
      </c>
      <c r="E1702">
        <f>_xlfn.BITRSHIFT(C1702,1)</f>
        <v/>
      </c>
      <c r="F1702">
        <f>_xlfn.BITXOR(D1702,B1702)</f>
        <v/>
      </c>
      <c r="G1702">
        <f>IF(F1702=1,_xlfn.BITXOR(E1702,33800),E1702)</f>
        <v/>
      </c>
    </row>
    <row r="1703">
      <c r="A1703" t="n">
        <v>1697</v>
      </c>
      <c r="B1703">
        <f>_DestuffedBits!C1698</f>
        <v/>
      </c>
      <c r="C1703">
        <f>G1702</f>
        <v/>
      </c>
      <c r="D1703">
        <f>_xlfn.BITAND(C1703,1)</f>
        <v/>
      </c>
      <c r="E1703">
        <f>_xlfn.BITRSHIFT(C1703,1)</f>
        <v/>
      </c>
      <c r="F1703">
        <f>_xlfn.BITXOR(D1703,B1703)</f>
        <v/>
      </c>
      <c r="G1703">
        <f>IF(F1703=1,_xlfn.BITXOR(E1703,33800),E1703)</f>
        <v/>
      </c>
    </row>
    <row r="1704">
      <c r="A1704" t="n">
        <v>1698</v>
      </c>
      <c r="B1704">
        <f>_DestuffedBits!C1699</f>
        <v/>
      </c>
      <c r="C1704">
        <f>G1703</f>
        <v/>
      </c>
      <c r="D1704">
        <f>_xlfn.BITAND(C1704,1)</f>
        <v/>
      </c>
      <c r="E1704">
        <f>_xlfn.BITRSHIFT(C1704,1)</f>
        <v/>
      </c>
      <c r="F1704">
        <f>_xlfn.BITXOR(D1704,B1704)</f>
        <v/>
      </c>
      <c r="G1704">
        <f>IF(F1704=1,_xlfn.BITXOR(E1704,33800),E1704)</f>
        <v/>
      </c>
    </row>
    <row r="1705">
      <c r="A1705" t="n">
        <v>1699</v>
      </c>
      <c r="B1705">
        <f>_DestuffedBits!C1700</f>
        <v/>
      </c>
      <c r="C1705">
        <f>G1704</f>
        <v/>
      </c>
      <c r="D1705">
        <f>_xlfn.BITAND(C1705,1)</f>
        <v/>
      </c>
      <c r="E1705">
        <f>_xlfn.BITRSHIFT(C1705,1)</f>
        <v/>
      </c>
      <c r="F1705">
        <f>_xlfn.BITXOR(D1705,B1705)</f>
        <v/>
      </c>
      <c r="G1705">
        <f>IF(F1705=1,_xlfn.BITXOR(E1705,33800),E1705)</f>
        <v/>
      </c>
    </row>
    <row r="1706">
      <c r="A1706" t="n">
        <v>1700</v>
      </c>
      <c r="B1706">
        <f>_DestuffedBits!C1701</f>
        <v/>
      </c>
      <c r="C1706">
        <f>G1705</f>
        <v/>
      </c>
      <c r="D1706">
        <f>_xlfn.BITAND(C1706,1)</f>
        <v/>
      </c>
      <c r="E1706">
        <f>_xlfn.BITRSHIFT(C1706,1)</f>
        <v/>
      </c>
      <c r="F1706">
        <f>_xlfn.BITXOR(D1706,B1706)</f>
        <v/>
      </c>
      <c r="G1706">
        <f>IF(F1706=1,_xlfn.BITXOR(E1706,33800),E1706)</f>
        <v/>
      </c>
    </row>
    <row r="1707">
      <c r="A1707" t="n">
        <v>1701</v>
      </c>
      <c r="B1707">
        <f>_DestuffedBits!C1702</f>
        <v/>
      </c>
      <c r="C1707">
        <f>G1706</f>
        <v/>
      </c>
      <c r="D1707">
        <f>_xlfn.BITAND(C1707,1)</f>
        <v/>
      </c>
      <c r="E1707">
        <f>_xlfn.BITRSHIFT(C1707,1)</f>
        <v/>
      </c>
      <c r="F1707">
        <f>_xlfn.BITXOR(D1707,B1707)</f>
        <v/>
      </c>
      <c r="G1707">
        <f>IF(F1707=1,_xlfn.BITXOR(E1707,33800),E1707)</f>
        <v/>
      </c>
    </row>
    <row r="1708">
      <c r="A1708" t="n">
        <v>1702</v>
      </c>
      <c r="B1708">
        <f>_DestuffedBits!C1703</f>
        <v/>
      </c>
      <c r="C1708">
        <f>G1707</f>
        <v/>
      </c>
      <c r="D1708">
        <f>_xlfn.BITAND(C1708,1)</f>
        <v/>
      </c>
      <c r="E1708">
        <f>_xlfn.BITRSHIFT(C1708,1)</f>
        <v/>
      </c>
      <c r="F1708">
        <f>_xlfn.BITXOR(D1708,B1708)</f>
        <v/>
      </c>
      <c r="G1708">
        <f>IF(F1708=1,_xlfn.BITXOR(E1708,33800),E1708)</f>
        <v/>
      </c>
    </row>
    <row r="1709">
      <c r="A1709" t="n">
        <v>1703</v>
      </c>
      <c r="B1709">
        <f>_DestuffedBits!C1704</f>
        <v/>
      </c>
      <c r="C1709">
        <f>G1708</f>
        <v/>
      </c>
      <c r="D1709">
        <f>_xlfn.BITAND(C1709,1)</f>
        <v/>
      </c>
      <c r="E1709">
        <f>_xlfn.BITRSHIFT(C1709,1)</f>
        <v/>
      </c>
      <c r="F1709">
        <f>_xlfn.BITXOR(D1709,B1709)</f>
        <v/>
      </c>
      <c r="G1709">
        <f>IF(F1709=1,_xlfn.BITXOR(E1709,33800),E1709)</f>
        <v/>
      </c>
    </row>
    <row r="1710">
      <c r="A1710" t="n">
        <v>1704</v>
      </c>
      <c r="B1710">
        <f>_DestuffedBits!C1705</f>
        <v/>
      </c>
      <c r="C1710">
        <f>G1709</f>
        <v/>
      </c>
      <c r="D1710">
        <f>_xlfn.BITAND(C1710,1)</f>
        <v/>
      </c>
      <c r="E1710">
        <f>_xlfn.BITRSHIFT(C1710,1)</f>
        <v/>
      </c>
      <c r="F1710">
        <f>_xlfn.BITXOR(D1710,B1710)</f>
        <v/>
      </c>
      <c r="G1710">
        <f>IF(F1710=1,_xlfn.BITXOR(E1710,33800),E1710)</f>
        <v/>
      </c>
    </row>
    <row r="1711">
      <c r="A1711" t="n">
        <v>1705</v>
      </c>
      <c r="B1711">
        <f>_DestuffedBits!C1706</f>
        <v/>
      </c>
      <c r="C1711">
        <f>G1710</f>
        <v/>
      </c>
      <c r="D1711">
        <f>_xlfn.BITAND(C1711,1)</f>
        <v/>
      </c>
      <c r="E1711">
        <f>_xlfn.BITRSHIFT(C1711,1)</f>
        <v/>
      </c>
      <c r="F1711">
        <f>_xlfn.BITXOR(D1711,B1711)</f>
        <v/>
      </c>
      <c r="G1711">
        <f>IF(F1711=1,_xlfn.BITXOR(E1711,33800),E1711)</f>
        <v/>
      </c>
    </row>
    <row r="1712">
      <c r="A1712" t="n">
        <v>1706</v>
      </c>
      <c r="B1712">
        <f>_DestuffedBits!C1707</f>
        <v/>
      </c>
      <c r="C1712">
        <f>G1711</f>
        <v/>
      </c>
      <c r="D1712">
        <f>_xlfn.BITAND(C1712,1)</f>
        <v/>
      </c>
      <c r="E1712">
        <f>_xlfn.BITRSHIFT(C1712,1)</f>
        <v/>
      </c>
      <c r="F1712">
        <f>_xlfn.BITXOR(D1712,B1712)</f>
        <v/>
      </c>
      <c r="G1712">
        <f>IF(F1712=1,_xlfn.BITXOR(E1712,33800),E1712)</f>
        <v/>
      </c>
    </row>
    <row r="1713">
      <c r="A1713" t="n">
        <v>1707</v>
      </c>
      <c r="B1713">
        <f>_DestuffedBits!C1708</f>
        <v/>
      </c>
      <c r="C1713">
        <f>G1712</f>
        <v/>
      </c>
      <c r="D1713">
        <f>_xlfn.BITAND(C1713,1)</f>
        <v/>
      </c>
      <c r="E1713">
        <f>_xlfn.BITRSHIFT(C1713,1)</f>
        <v/>
      </c>
      <c r="F1713">
        <f>_xlfn.BITXOR(D1713,B1713)</f>
        <v/>
      </c>
      <c r="G1713">
        <f>IF(F1713=1,_xlfn.BITXOR(E1713,33800),E1713)</f>
        <v/>
      </c>
    </row>
    <row r="1714">
      <c r="A1714" t="n">
        <v>1708</v>
      </c>
      <c r="B1714">
        <f>_DestuffedBits!C1709</f>
        <v/>
      </c>
      <c r="C1714">
        <f>G1713</f>
        <v/>
      </c>
      <c r="D1714">
        <f>_xlfn.BITAND(C1714,1)</f>
        <v/>
      </c>
      <c r="E1714">
        <f>_xlfn.BITRSHIFT(C1714,1)</f>
        <v/>
      </c>
      <c r="F1714">
        <f>_xlfn.BITXOR(D1714,B1714)</f>
        <v/>
      </c>
      <c r="G1714">
        <f>IF(F1714=1,_xlfn.BITXOR(E1714,33800),E1714)</f>
        <v/>
      </c>
    </row>
    <row r="1715">
      <c r="A1715" t="n">
        <v>1709</v>
      </c>
      <c r="B1715">
        <f>_DestuffedBits!C1710</f>
        <v/>
      </c>
      <c r="C1715">
        <f>G1714</f>
        <v/>
      </c>
      <c r="D1715">
        <f>_xlfn.BITAND(C1715,1)</f>
        <v/>
      </c>
      <c r="E1715">
        <f>_xlfn.BITRSHIFT(C1715,1)</f>
        <v/>
      </c>
      <c r="F1715">
        <f>_xlfn.BITXOR(D1715,B1715)</f>
        <v/>
      </c>
      <c r="G1715">
        <f>IF(F1715=1,_xlfn.BITXOR(E1715,33800),E1715)</f>
        <v/>
      </c>
    </row>
    <row r="1716">
      <c r="A1716" t="n">
        <v>1710</v>
      </c>
      <c r="B1716">
        <f>_DestuffedBits!C1711</f>
        <v/>
      </c>
      <c r="C1716">
        <f>G1715</f>
        <v/>
      </c>
      <c r="D1716">
        <f>_xlfn.BITAND(C1716,1)</f>
        <v/>
      </c>
      <c r="E1716">
        <f>_xlfn.BITRSHIFT(C1716,1)</f>
        <v/>
      </c>
      <c r="F1716">
        <f>_xlfn.BITXOR(D1716,B1716)</f>
        <v/>
      </c>
      <c r="G1716">
        <f>IF(F1716=1,_xlfn.BITXOR(E1716,33800),E1716)</f>
        <v/>
      </c>
    </row>
    <row r="1717">
      <c r="A1717" t="n">
        <v>1711</v>
      </c>
      <c r="B1717">
        <f>_DestuffedBits!C1712</f>
        <v/>
      </c>
      <c r="C1717">
        <f>G1716</f>
        <v/>
      </c>
      <c r="D1717">
        <f>_xlfn.BITAND(C1717,1)</f>
        <v/>
      </c>
      <c r="E1717">
        <f>_xlfn.BITRSHIFT(C1717,1)</f>
        <v/>
      </c>
      <c r="F1717">
        <f>_xlfn.BITXOR(D1717,B1717)</f>
        <v/>
      </c>
      <c r="G1717">
        <f>IF(F1717=1,_xlfn.BITXOR(E1717,33800),E1717)</f>
        <v/>
      </c>
    </row>
    <row r="1718">
      <c r="A1718" t="n">
        <v>1712</v>
      </c>
      <c r="B1718">
        <f>_DestuffedBits!C1713</f>
        <v/>
      </c>
      <c r="C1718">
        <f>G1717</f>
        <v/>
      </c>
      <c r="D1718">
        <f>_xlfn.BITAND(C1718,1)</f>
        <v/>
      </c>
      <c r="E1718">
        <f>_xlfn.BITRSHIFT(C1718,1)</f>
        <v/>
      </c>
      <c r="F1718">
        <f>_xlfn.BITXOR(D1718,B1718)</f>
        <v/>
      </c>
      <c r="G1718">
        <f>IF(F1718=1,_xlfn.BITXOR(E1718,33800),E1718)</f>
        <v/>
      </c>
    </row>
    <row r="1719">
      <c r="A1719" t="n">
        <v>1713</v>
      </c>
      <c r="B1719">
        <f>_DestuffedBits!C1714</f>
        <v/>
      </c>
      <c r="C1719">
        <f>G1718</f>
        <v/>
      </c>
      <c r="D1719">
        <f>_xlfn.BITAND(C1719,1)</f>
        <v/>
      </c>
      <c r="E1719">
        <f>_xlfn.BITRSHIFT(C1719,1)</f>
        <v/>
      </c>
      <c r="F1719">
        <f>_xlfn.BITXOR(D1719,B1719)</f>
        <v/>
      </c>
      <c r="G1719">
        <f>IF(F1719=1,_xlfn.BITXOR(E1719,33800),E1719)</f>
        <v/>
      </c>
    </row>
    <row r="1720">
      <c r="A1720" t="n">
        <v>1714</v>
      </c>
      <c r="B1720">
        <f>_DestuffedBits!C1715</f>
        <v/>
      </c>
      <c r="C1720">
        <f>G1719</f>
        <v/>
      </c>
      <c r="D1720">
        <f>_xlfn.BITAND(C1720,1)</f>
        <v/>
      </c>
      <c r="E1720">
        <f>_xlfn.BITRSHIFT(C1720,1)</f>
        <v/>
      </c>
      <c r="F1720">
        <f>_xlfn.BITXOR(D1720,B1720)</f>
        <v/>
      </c>
      <c r="G1720">
        <f>IF(F1720=1,_xlfn.BITXOR(E1720,33800),E1720)</f>
        <v/>
      </c>
    </row>
    <row r="1721">
      <c r="A1721" t="n">
        <v>1715</v>
      </c>
      <c r="B1721">
        <f>_DestuffedBits!C1716</f>
        <v/>
      </c>
      <c r="C1721">
        <f>G1720</f>
        <v/>
      </c>
      <c r="D1721">
        <f>_xlfn.BITAND(C1721,1)</f>
        <v/>
      </c>
      <c r="E1721">
        <f>_xlfn.BITRSHIFT(C1721,1)</f>
        <v/>
      </c>
      <c r="F1721">
        <f>_xlfn.BITXOR(D1721,B1721)</f>
        <v/>
      </c>
      <c r="G1721">
        <f>IF(F1721=1,_xlfn.BITXOR(E1721,33800),E1721)</f>
        <v/>
      </c>
    </row>
    <row r="1722">
      <c r="A1722" t="n">
        <v>1716</v>
      </c>
      <c r="B1722">
        <f>_DestuffedBits!C1717</f>
        <v/>
      </c>
      <c r="C1722">
        <f>G1721</f>
        <v/>
      </c>
      <c r="D1722">
        <f>_xlfn.BITAND(C1722,1)</f>
        <v/>
      </c>
      <c r="E1722">
        <f>_xlfn.BITRSHIFT(C1722,1)</f>
        <v/>
      </c>
      <c r="F1722">
        <f>_xlfn.BITXOR(D1722,B1722)</f>
        <v/>
      </c>
      <c r="G1722">
        <f>IF(F1722=1,_xlfn.BITXOR(E1722,33800),E1722)</f>
        <v/>
      </c>
    </row>
    <row r="1723">
      <c r="A1723" t="n">
        <v>1717</v>
      </c>
      <c r="B1723">
        <f>_DestuffedBits!C1718</f>
        <v/>
      </c>
      <c r="C1723">
        <f>G1722</f>
        <v/>
      </c>
      <c r="D1723">
        <f>_xlfn.BITAND(C1723,1)</f>
        <v/>
      </c>
      <c r="E1723">
        <f>_xlfn.BITRSHIFT(C1723,1)</f>
        <v/>
      </c>
      <c r="F1723">
        <f>_xlfn.BITXOR(D1723,B1723)</f>
        <v/>
      </c>
      <c r="G1723">
        <f>IF(F1723=1,_xlfn.BITXOR(E1723,33800),E1723)</f>
        <v/>
      </c>
    </row>
    <row r="1724">
      <c r="A1724" t="n">
        <v>1718</v>
      </c>
      <c r="B1724">
        <f>_DestuffedBits!C1719</f>
        <v/>
      </c>
      <c r="C1724">
        <f>G1723</f>
        <v/>
      </c>
      <c r="D1724">
        <f>_xlfn.BITAND(C1724,1)</f>
        <v/>
      </c>
      <c r="E1724">
        <f>_xlfn.BITRSHIFT(C1724,1)</f>
        <v/>
      </c>
      <c r="F1724">
        <f>_xlfn.BITXOR(D1724,B1724)</f>
        <v/>
      </c>
      <c r="G1724">
        <f>IF(F1724=1,_xlfn.BITXOR(E1724,33800),E1724)</f>
        <v/>
      </c>
    </row>
    <row r="1725">
      <c r="A1725" t="n">
        <v>1719</v>
      </c>
      <c r="B1725">
        <f>_DestuffedBits!C1720</f>
        <v/>
      </c>
      <c r="C1725">
        <f>G1724</f>
        <v/>
      </c>
      <c r="D1725">
        <f>_xlfn.BITAND(C1725,1)</f>
        <v/>
      </c>
      <c r="E1725">
        <f>_xlfn.BITRSHIFT(C1725,1)</f>
        <v/>
      </c>
      <c r="F1725">
        <f>_xlfn.BITXOR(D1725,B1725)</f>
        <v/>
      </c>
      <c r="G1725">
        <f>IF(F1725=1,_xlfn.BITXOR(E1725,33800),E1725)</f>
        <v/>
      </c>
    </row>
    <row r="1726">
      <c r="A1726" t="n">
        <v>1720</v>
      </c>
      <c r="B1726">
        <f>_DestuffedBits!C1721</f>
        <v/>
      </c>
      <c r="C1726">
        <f>G1725</f>
        <v/>
      </c>
      <c r="D1726">
        <f>_xlfn.BITAND(C1726,1)</f>
        <v/>
      </c>
      <c r="E1726">
        <f>_xlfn.BITRSHIFT(C1726,1)</f>
        <v/>
      </c>
      <c r="F1726">
        <f>_xlfn.BITXOR(D1726,B1726)</f>
        <v/>
      </c>
      <c r="G1726">
        <f>IF(F1726=1,_xlfn.BITXOR(E1726,33800),E1726)</f>
        <v/>
      </c>
    </row>
    <row r="1727">
      <c r="A1727" t="n">
        <v>1721</v>
      </c>
      <c r="B1727">
        <f>_DestuffedBits!C1722</f>
        <v/>
      </c>
      <c r="C1727">
        <f>G1726</f>
        <v/>
      </c>
      <c r="D1727">
        <f>_xlfn.BITAND(C1727,1)</f>
        <v/>
      </c>
      <c r="E1727">
        <f>_xlfn.BITRSHIFT(C1727,1)</f>
        <v/>
      </c>
      <c r="F1727">
        <f>_xlfn.BITXOR(D1727,B1727)</f>
        <v/>
      </c>
      <c r="G1727">
        <f>IF(F1727=1,_xlfn.BITXOR(E1727,33800),E1727)</f>
        <v/>
      </c>
    </row>
    <row r="1728">
      <c r="A1728" t="n">
        <v>1722</v>
      </c>
      <c r="B1728">
        <f>_DestuffedBits!C1723</f>
        <v/>
      </c>
      <c r="C1728">
        <f>G1727</f>
        <v/>
      </c>
      <c r="D1728">
        <f>_xlfn.BITAND(C1728,1)</f>
        <v/>
      </c>
      <c r="E1728">
        <f>_xlfn.BITRSHIFT(C1728,1)</f>
        <v/>
      </c>
      <c r="F1728">
        <f>_xlfn.BITXOR(D1728,B1728)</f>
        <v/>
      </c>
      <c r="G1728">
        <f>IF(F1728=1,_xlfn.BITXOR(E1728,33800),E1728)</f>
        <v/>
      </c>
    </row>
    <row r="1729">
      <c r="A1729" t="n">
        <v>1723</v>
      </c>
      <c r="B1729">
        <f>_DestuffedBits!C1724</f>
        <v/>
      </c>
      <c r="C1729">
        <f>G1728</f>
        <v/>
      </c>
      <c r="D1729">
        <f>_xlfn.BITAND(C1729,1)</f>
        <v/>
      </c>
      <c r="E1729">
        <f>_xlfn.BITRSHIFT(C1729,1)</f>
        <v/>
      </c>
      <c r="F1729">
        <f>_xlfn.BITXOR(D1729,B1729)</f>
        <v/>
      </c>
      <c r="G1729">
        <f>IF(F1729=1,_xlfn.BITXOR(E1729,33800),E1729)</f>
        <v/>
      </c>
    </row>
    <row r="1730">
      <c r="A1730" t="n">
        <v>1724</v>
      </c>
      <c r="B1730">
        <f>_DestuffedBits!C1725</f>
        <v/>
      </c>
      <c r="C1730">
        <f>G1729</f>
        <v/>
      </c>
      <c r="D1730">
        <f>_xlfn.BITAND(C1730,1)</f>
        <v/>
      </c>
      <c r="E1730">
        <f>_xlfn.BITRSHIFT(C1730,1)</f>
        <v/>
      </c>
      <c r="F1730">
        <f>_xlfn.BITXOR(D1730,B1730)</f>
        <v/>
      </c>
      <c r="G1730">
        <f>IF(F1730=1,_xlfn.BITXOR(E1730,33800),E1730)</f>
        <v/>
      </c>
    </row>
    <row r="1731">
      <c r="A1731" t="n">
        <v>1725</v>
      </c>
      <c r="B1731">
        <f>_DestuffedBits!C1726</f>
        <v/>
      </c>
      <c r="C1731">
        <f>G1730</f>
        <v/>
      </c>
      <c r="D1731">
        <f>_xlfn.BITAND(C1731,1)</f>
        <v/>
      </c>
      <c r="E1731">
        <f>_xlfn.BITRSHIFT(C1731,1)</f>
        <v/>
      </c>
      <c r="F1731">
        <f>_xlfn.BITXOR(D1731,B1731)</f>
        <v/>
      </c>
      <c r="G1731">
        <f>IF(F1731=1,_xlfn.BITXOR(E1731,33800),E1731)</f>
        <v/>
      </c>
    </row>
    <row r="1732">
      <c r="A1732" t="n">
        <v>1726</v>
      </c>
      <c r="B1732">
        <f>_DestuffedBits!C1727</f>
        <v/>
      </c>
      <c r="C1732">
        <f>G1731</f>
        <v/>
      </c>
      <c r="D1732">
        <f>_xlfn.BITAND(C1732,1)</f>
        <v/>
      </c>
      <c r="E1732">
        <f>_xlfn.BITRSHIFT(C1732,1)</f>
        <v/>
      </c>
      <c r="F1732">
        <f>_xlfn.BITXOR(D1732,B1732)</f>
        <v/>
      </c>
      <c r="G1732">
        <f>IF(F1732=1,_xlfn.BITXOR(E1732,33800),E1732)</f>
        <v/>
      </c>
    </row>
    <row r="1733">
      <c r="A1733" t="n">
        <v>1727</v>
      </c>
      <c r="B1733">
        <f>_DestuffedBits!C1728</f>
        <v/>
      </c>
      <c r="C1733">
        <f>G1732</f>
        <v/>
      </c>
      <c r="D1733">
        <f>_xlfn.BITAND(C1733,1)</f>
        <v/>
      </c>
      <c r="E1733">
        <f>_xlfn.BITRSHIFT(C1733,1)</f>
        <v/>
      </c>
      <c r="F1733">
        <f>_xlfn.BITXOR(D1733,B1733)</f>
        <v/>
      </c>
      <c r="G1733">
        <f>IF(F1733=1,_xlfn.BITXOR(E1733,33800),E1733)</f>
        <v/>
      </c>
    </row>
    <row r="1734">
      <c r="A1734" t="n">
        <v>1728</v>
      </c>
      <c r="B1734">
        <f>_DestuffedBits!C1729</f>
        <v/>
      </c>
      <c r="C1734">
        <f>G1733</f>
        <v/>
      </c>
      <c r="D1734">
        <f>_xlfn.BITAND(C1734,1)</f>
        <v/>
      </c>
      <c r="E1734">
        <f>_xlfn.BITRSHIFT(C1734,1)</f>
        <v/>
      </c>
      <c r="F1734">
        <f>_xlfn.BITXOR(D1734,B1734)</f>
        <v/>
      </c>
      <c r="G1734">
        <f>IF(F1734=1,_xlfn.BITXOR(E1734,33800),E1734)</f>
        <v/>
      </c>
    </row>
    <row r="1735">
      <c r="A1735" t="n">
        <v>1729</v>
      </c>
      <c r="B1735">
        <f>_DestuffedBits!C1730</f>
        <v/>
      </c>
      <c r="C1735">
        <f>G1734</f>
        <v/>
      </c>
      <c r="D1735">
        <f>_xlfn.BITAND(C1735,1)</f>
        <v/>
      </c>
      <c r="E1735">
        <f>_xlfn.BITRSHIFT(C1735,1)</f>
        <v/>
      </c>
      <c r="F1735">
        <f>_xlfn.BITXOR(D1735,B1735)</f>
        <v/>
      </c>
      <c r="G1735">
        <f>IF(F1735=1,_xlfn.BITXOR(E1735,33800),E1735)</f>
        <v/>
      </c>
    </row>
    <row r="1736">
      <c r="A1736" t="n">
        <v>1730</v>
      </c>
      <c r="B1736">
        <f>_DestuffedBits!C1731</f>
        <v/>
      </c>
      <c r="C1736">
        <f>G1735</f>
        <v/>
      </c>
      <c r="D1736">
        <f>_xlfn.BITAND(C1736,1)</f>
        <v/>
      </c>
      <c r="E1736">
        <f>_xlfn.BITRSHIFT(C1736,1)</f>
        <v/>
      </c>
      <c r="F1736">
        <f>_xlfn.BITXOR(D1736,B1736)</f>
        <v/>
      </c>
      <c r="G1736">
        <f>IF(F1736=1,_xlfn.BITXOR(E1736,33800),E1736)</f>
        <v/>
      </c>
    </row>
    <row r="1737">
      <c r="A1737" t="n">
        <v>1731</v>
      </c>
      <c r="B1737">
        <f>_DestuffedBits!C1732</f>
        <v/>
      </c>
      <c r="C1737">
        <f>G1736</f>
        <v/>
      </c>
      <c r="D1737">
        <f>_xlfn.BITAND(C1737,1)</f>
        <v/>
      </c>
      <c r="E1737">
        <f>_xlfn.BITRSHIFT(C1737,1)</f>
        <v/>
      </c>
      <c r="F1737">
        <f>_xlfn.BITXOR(D1737,B1737)</f>
        <v/>
      </c>
      <c r="G1737">
        <f>IF(F1737=1,_xlfn.BITXOR(E1737,33800),E1737)</f>
        <v/>
      </c>
    </row>
    <row r="1738">
      <c r="A1738" t="n">
        <v>1732</v>
      </c>
      <c r="B1738">
        <f>_DestuffedBits!C1733</f>
        <v/>
      </c>
      <c r="C1738">
        <f>G1737</f>
        <v/>
      </c>
      <c r="D1738">
        <f>_xlfn.BITAND(C1738,1)</f>
        <v/>
      </c>
      <c r="E1738">
        <f>_xlfn.BITRSHIFT(C1738,1)</f>
        <v/>
      </c>
      <c r="F1738">
        <f>_xlfn.BITXOR(D1738,B1738)</f>
        <v/>
      </c>
      <c r="G1738">
        <f>IF(F1738=1,_xlfn.BITXOR(E1738,33800),E1738)</f>
        <v/>
      </c>
    </row>
    <row r="1739">
      <c r="A1739" t="n">
        <v>1733</v>
      </c>
      <c r="B1739">
        <f>_DestuffedBits!C1734</f>
        <v/>
      </c>
      <c r="C1739">
        <f>G1738</f>
        <v/>
      </c>
      <c r="D1739">
        <f>_xlfn.BITAND(C1739,1)</f>
        <v/>
      </c>
      <c r="E1739">
        <f>_xlfn.BITRSHIFT(C1739,1)</f>
        <v/>
      </c>
      <c r="F1739">
        <f>_xlfn.BITXOR(D1739,B1739)</f>
        <v/>
      </c>
      <c r="G1739">
        <f>IF(F1739=1,_xlfn.BITXOR(E1739,33800),E1739)</f>
        <v/>
      </c>
    </row>
    <row r="1740">
      <c r="A1740" t="n">
        <v>1734</v>
      </c>
      <c r="B1740">
        <f>_DestuffedBits!C1735</f>
        <v/>
      </c>
      <c r="C1740">
        <f>G1739</f>
        <v/>
      </c>
      <c r="D1740">
        <f>_xlfn.BITAND(C1740,1)</f>
        <v/>
      </c>
      <c r="E1740">
        <f>_xlfn.BITRSHIFT(C1740,1)</f>
        <v/>
      </c>
      <c r="F1740">
        <f>_xlfn.BITXOR(D1740,B1740)</f>
        <v/>
      </c>
      <c r="G1740">
        <f>IF(F1740=1,_xlfn.BITXOR(E1740,33800),E1740)</f>
        <v/>
      </c>
    </row>
    <row r="1741">
      <c r="A1741" t="n">
        <v>1735</v>
      </c>
      <c r="B1741">
        <f>_DestuffedBits!C1736</f>
        <v/>
      </c>
      <c r="C1741">
        <f>G1740</f>
        <v/>
      </c>
      <c r="D1741">
        <f>_xlfn.BITAND(C1741,1)</f>
        <v/>
      </c>
      <c r="E1741">
        <f>_xlfn.BITRSHIFT(C1741,1)</f>
        <v/>
      </c>
      <c r="F1741">
        <f>_xlfn.BITXOR(D1741,B1741)</f>
        <v/>
      </c>
      <c r="G1741">
        <f>IF(F1741=1,_xlfn.BITXOR(E1741,33800),E1741)</f>
        <v/>
      </c>
    </row>
    <row r="1742">
      <c r="A1742" t="n">
        <v>1736</v>
      </c>
      <c r="B1742">
        <f>_DestuffedBits!C1737</f>
        <v/>
      </c>
      <c r="C1742">
        <f>G1741</f>
        <v/>
      </c>
      <c r="D1742">
        <f>_xlfn.BITAND(C1742,1)</f>
        <v/>
      </c>
      <c r="E1742">
        <f>_xlfn.BITRSHIFT(C1742,1)</f>
        <v/>
      </c>
      <c r="F1742">
        <f>_xlfn.BITXOR(D1742,B1742)</f>
        <v/>
      </c>
      <c r="G1742">
        <f>IF(F1742=1,_xlfn.BITXOR(E1742,33800),E1742)</f>
        <v/>
      </c>
    </row>
    <row r="1743">
      <c r="A1743" t="n">
        <v>1737</v>
      </c>
      <c r="B1743">
        <f>_DestuffedBits!C1738</f>
        <v/>
      </c>
      <c r="C1743">
        <f>G1742</f>
        <v/>
      </c>
      <c r="D1743">
        <f>_xlfn.BITAND(C1743,1)</f>
        <v/>
      </c>
      <c r="E1743">
        <f>_xlfn.BITRSHIFT(C1743,1)</f>
        <v/>
      </c>
      <c r="F1743">
        <f>_xlfn.BITXOR(D1743,B1743)</f>
        <v/>
      </c>
      <c r="G1743">
        <f>IF(F1743=1,_xlfn.BITXOR(E1743,33800),E1743)</f>
        <v/>
      </c>
    </row>
    <row r="1744">
      <c r="A1744" t="n">
        <v>1738</v>
      </c>
      <c r="B1744">
        <f>_DestuffedBits!C1739</f>
        <v/>
      </c>
      <c r="C1744">
        <f>G1743</f>
        <v/>
      </c>
      <c r="D1744">
        <f>_xlfn.BITAND(C1744,1)</f>
        <v/>
      </c>
      <c r="E1744">
        <f>_xlfn.BITRSHIFT(C1744,1)</f>
        <v/>
      </c>
      <c r="F1744">
        <f>_xlfn.BITXOR(D1744,B1744)</f>
        <v/>
      </c>
      <c r="G1744">
        <f>IF(F1744=1,_xlfn.BITXOR(E1744,33800),E1744)</f>
        <v/>
      </c>
    </row>
    <row r="1745">
      <c r="A1745" t="n">
        <v>1739</v>
      </c>
      <c r="B1745">
        <f>_DestuffedBits!C1740</f>
        <v/>
      </c>
      <c r="C1745">
        <f>G1744</f>
        <v/>
      </c>
      <c r="D1745">
        <f>_xlfn.BITAND(C1745,1)</f>
        <v/>
      </c>
      <c r="E1745">
        <f>_xlfn.BITRSHIFT(C1745,1)</f>
        <v/>
      </c>
      <c r="F1745">
        <f>_xlfn.BITXOR(D1745,B1745)</f>
        <v/>
      </c>
      <c r="G1745">
        <f>IF(F1745=1,_xlfn.BITXOR(E1745,33800),E1745)</f>
        <v/>
      </c>
    </row>
    <row r="1746">
      <c r="A1746" t="n">
        <v>1740</v>
      </c>
      <c r="B1746">
        <f>_DestuffedBits!C1741</f>
        <v/>
      </c>
      <c r="C1746">
        <f>G1745</f>
        <v/>
      </c>
      <c r="D1746">
        <f>_xlfn.BITAND(C1746,1)</f>
        <v/>
      </c>
      <c r="E1746">
        <f>_xlfn.BITRSHIFT(C1746,1)</f>
        <v/>
      </c>
      <c r="F1746">
        <f>_xlfn.BITXOR(D1746,B1746)</f>
        <v/>
      </c>
      <c r="G1746">
        <f>IF(F1746=1,_xlfn.BITXOR(E1746,33800),E1746)</f>
        <v/>
      </c>
    </row>
    <row r="1747">
      <c r="A1747" t="n">
        <v>1741</v>
      </c>
      <c r="B1747">
        <f>_DestuffedBits!C1742</f>
        <v/>
      </c>
      <c r="C1747">
        <f>G1746</f>
        <v/>
      </c>
      <c r="D1747">
        <f>_xlfn.BITAND(C1747,1)</f>
        <v/>
      </c>
      <c r="E1747">
        <f>_xlfn.BITRSHIFT(C1747,1)</f>
        <v/>
      </c>
      <c r="F1747">
        <f>_xlfn.BITXOR(D1747,B1747)</f>
        <v/>
      </c>
      <c r="G1747">
        <f>IF(F1747=1,_xlfn.BITXOR(E1747,33800),E1747)</f>
        <v/>
      </c>
    </row>
    <row r="1748">
      <c r="A1748" t="n">
        <v>1742</v>
      </c>
      <c r="B1748">
        <f>_DestuffedBits!C1743</f>
        <v/>
      </c>
      <c r="C1748">
        <f>G1747</f>
        <v/>
      </c>
      <c r="D1748">
        <f>_xlfn.BITAND(C1748,1)</f>
        <v/>
      </c>
      <c r="E1748">
        <f>_xlfn.BITRSHIFT(C1748,1)</f>
        <v/>
      </c>
      <c r="F1748">
        <f>_xlfn.BITXOR(D1748,B1748)</f>
        <v/>
      </c>
      <c r="G1748">
        <f>IF(F1748=1,_xlfn.BITXOR(E1748,33800),E1748)</f>
        <v/>
      </c>
    </row>
    <row r="1749">
      <c r="A1749" t="n">
        <v>1743</v>
      </c>
      <c r="B1749">
        <f>_DestuffedBits!C1744</f>
        <v/>
      </c>
      <c r="C1749">
        <f>G1748</f>
        <v/>
      </c>
      <c r="D1749">
        <f>_xlfn.BITAND(C1749,1)</f>
        <v/>
      </c>
      <c r="E1749">
        <f>_xlfn.BITRSHIFT(C1749,1)</f>
        <v/>
      </c>
      <c r="F1749">
        <f>_xlfn.BITXOR(D1749,B1749)</f>
        <v/>
      </c>
      <c r="G1749">
        <f>IF(F1749=1,_xlfn.BITXOR(E1749,33800),E1749)</f>
        <v/>
      </c>
    </row>
    <row r="1750">
      <c r="A1750" t="n">
        <v>1744</v>
      </c>
      <c r="B1750">
        <f>_DestuffedBits!C1745</f>
        <v/>
      </c>
      <c r="C1750">
        <f>G1749</f>
        <v/>
      </c>
      <c r="D1750">
        <f>_xlfn.BITAND(C1750,1)</f>
        <v/>
      </c>
      <c r="E1750">
        <f>_xlfn.BITRSHIFT(C1750,1)</f>
        <v/>
      </c>
      <c r="F1750">
        <f>_xlfn.BITXOR(D1750,B1750)</f>
        <v/>
      </c>
      <c r="G1750">
        <f>IF(F1750=1,_xlfn.BITXOR(E1750,33800),E1750)</f>
        <v/>
      </c>
    </row>
    <row r="1751">
      <c r="A1751" t="n">
        <v>1745</v>
      </c>
      <c r="B1751">
        <f>_DestuffedBits!C1746</f>
        <v/>
      </c>
      <c r="C1751">
        <f>G1750</f>
        <v/>
      </c>
      <c r="D1751">
        <f>_xlfn.BITAND(C1751,1)</f>
        <v/>
      </c>
      <c r="E1751">
        <f>_xlfn.BITRSHIFT(C1751,1)</f>
        <v/>
      </c>
      <c r="F1751">
        <f>_xlfn.BITXOR(D1751,B1751)</f>
        <v/>
      </c>
      <c r="G1751">
        <f>IF(F1751=1,_xlfn.BITXOR(E1751,33800),E1751)</f>
        <v/>
      </c>
    </row>
    <row r="1752">
      <c r="A1752" t="n">
        <v>1746</v>
      </c>
      <c r="B1752">
        <f>_DestuffedBits!C1747</f>
        <v/>
      </c>
      <c r="C1752">
        <f>G1751</f>
        <v/>
      </c>
      <c r="D1752">
        <f>_xlfn.BITAND(C1752,1)</f>
        <v/>
      </c>
      <c r="E1752">
        <f>_xlfn.BITRSHIFT(C1752,1)</f>
        <v/>
      </c>
      <c r="F1752">
        <f>_xlfn.BITXOR(D1752,B1752)</f>
        <v/>
      </c>
      <c r="G1752">
        <f>IF(F1752=1,_xlfn.BITXOR(E1752,33800),E1752)</f>
        <v/>
      </c>
    </row>
    <row r="1753">
      <c r="A1753" t="n">
        <v>1747</v>
      </c>
      <c r="B1753">
        <f>_DestuffedBits!C1748</f>
        <v/>
      </c>
      <c r="C1753">
        <f>G1752</f>
        <v/>
      </c>
      <c r="D1753">
        <f>_xlfn.BITAND(C1753,1)</f>
        <v/>
      </c>
      <c r="E1753">
        <f>_xlfn.BITRSHIFT(C1753,1)</f>
        <v/>
      </c>
      <c r="F1753">
        <f>_xlfn.BITXOR(D1753,B1753)</f>
        <v/>
      </c>
      <c r="G1753">
        <f>IF(F1753=1,_xlfn.BITXOR(E1753,33800),E1753)</f>
        <v/>
      </c>
    </row>
    <row r="1754">
      <c r="A1754" t="n">
        <v>1748</v>
      </c>
      <c r="B1754">
        <f>_DestuffedBits!C1749</f>
        <v/>
      </c>
      <c r="C1754">
        <f>G1753</f>
        <v/>
      </c>
      <c r="D1754">
        <f>_xlfn.BITAND(C1754,1)</f>
        <v/>
      </c>
      <c r="E1754">
        <f>_xlfn.BITRSHIFT(C1754,1)</f>
        <v/>
      </c>
      <c r="F1754">
        <f>_xlfn.BITXOR(D1754,B1754)</f>
        <v/>
      </c>
      <c r="G1754">
        <f>IF(F1754=1,_xlfn.BITXOR(E1754,33800),E1754)</f>
        <v/>
      </c>
    </row>
    <row r="1755">
      <c r="A1755" t="n">
        <v>1749</v>
      </c>
      <c r="B1755">
        <f>_DestuffedBits!C1750</f>
        <v/>
      </c>
      <c r="C1755">
        <f>G1754</f>
        <v/>
      </c>
      <c r="D1755">
        <f>_xlfn.BITAND(C1755,1)</f>
        <v/>
      </c>
      <c r="E1755">
        <f>_xlfn.BITRSHIFT(C1755,1)</f>
        <v/>
      </c>
      <c r="F1755">
        <f>_xlfn.BITXOR(D1755,B1755)</f>
        <v/>
      </c>
      <c r="G1755">
        <f>IF(F1755=1,_xlfn.BITXOR(E1755,33800),E1755)</f>
        <v/>
      </c>
    </row>
    <row r="1756">
      <c r="A1756" t="n">
        <v>1750</v>
      </c>
      <c r="B1756">
        <f>_DestuffedBits!C1751</f>
        <v/>
      </c>
      <c r="C1756">
        <f>G1755</f>
        <v/>
      </c>
      <c r="D1756">
        <f>_xlfn.BITAND(C1756,1)</f>
        <v/>
      </c>
      <c r="E1756">
        <f>_xlfn.BITRSHIFT(C1756,1)</f>
        <v/>
      </c>
      <c r="F1756">
        <f>_xlfn.BITXOR(D1756,B1756)</f>
        <v/>
      </c>
      <c r="G1756">
        <f>IF(F1756=1,_xlfn.BITXOR(E1756,33800),E1756)</f>
        <v/>
      </c>
    </row>
    <row r="1757">
      <c r="A1757" t="n">
        <v>1751</v>
      </c>
      <c r="B1757">
        <f>_DestuffedBits!C1752</f>
        <v/>
      </c>
      <c r="C1757">
        <f>G1756</f>
        <v/>
      </c>
      <c r="D1757">
        <f>_xlfn.BITAND(C1757,1)</f>
        <v/>
      </c>
      <c r="E1757">
        <f>_xlfn.BITRSHIFT(C1757,1)</f>
        <v/>
      </c>
      <c r="F1757">
        <f>_xlfn.BITXOR(D1757,B1757)</f>
        <v/>
      </c>
      <c r="G1757">
        <f>IF(F1757=1,_xlfn.BITXOR(E1757,33800),E1757)</f>
        <v/>
      </c>
    </row>
    <row r="1758">
      <c r="A1758" t="n">
        <v>1752</v>
      </c>
      <c r="B1758">
        <f>_DestuffedBits!C1753</f>
        <v/>
      </c>
      <c r="C1758">
        <f>G1757</f>
        <v/>
      </c>
      <c r="D1758">
        <f>_xlfn.BITAND(C1758,1)</f>
        <v/>
      </c>
      <c r="E1758">
        <f>_xlfn.BITRSHIFT(C1758,1)</f>
        <v/>
      </c>
      <c r="F1758">
        <f>_xlfn.BITXOR(D1758,B1758)</f>
        <v/>
      </c>
      <c r="G1758">
        <f>IF(F1758=1,_xlfn.BITXOR(E1758,33800),E1758)</f>
        <v/>
      </c>
    </row>
    <row r="1759">
      <c r="A1759" t="n">
        <v>1753</v>
      </c>
      <c r="B1759">
        <f>_DestuffedBits!C1754</f>
        <v/>
      </c>
      <c r="C1759">
        <f>G1758</f>
        <v/>
      </c>
      <c r="D1759">
        <f>_xlfn.BITAND(C1759,1)</f>
        <v/>
      </c>
      <c r="E1759">
        <f>_xlfn.BITRSHIFT(C1759,1)</f>
        <v/>
      </c>
      <c r="F1759">
        <f>_xlfn.BITXOR(D1759,B1759)</f>
        <v/>
      </c>
      <c r="G1759">
        <f>IF(F1759=1,_xlfn.BITXOR(E1759,33800),E1759)</f>
        <v/>
      </c>
    </row>
    <row r="1760">
      <c r="A1760" t="n">
        <v>1754</v>
      </c>
      <c r="B1760">
        <f>_DestuffedBits!C1755</f>
        <v/>
      </c>
      <c r="C1760">
        <f>G1759</f>
        <v/>
      </c>
      <c r="D1760">
        <f>_xlfn.BITAND(C1760,1)</f>
        <v/>
      </c>
      <c r="E1760">
        <f>_xlfn.BITRSHIFT(C1760,1)</f>
        <v/>
      </c>
      <c r="F1760">
        <f>_xlfn.BITXOR(D1760,B1760)</f>
        <v/>
      </c>
      <c r="G1760">
        <f>IF(F1760=1,_xlfn.BITXOR(E1760,33800),E1760)</f>
        <v/>
      </c>
    </row>
    <row r="1761">
      <c r="A1761" t="n">
        <v>1755</v>
      </c>
      <c r="B1761">
        <f>_DestuffedBits!C1756</f>
        <v/>
      </c>
      <c r="C1761">
        <f>G1760</f>
        <v/>
      </c>
      <c r="D1761">
        <f>_xlfn.BITAND(C1761,1)</f>
        <v/>
      </c>
      <c r="E1761">
        <f>_xlfn.BITRSHIFT(C1761,1)</f>
        <v/>
      </c>
      <c r="F1761">
        <f>_xlfn.BITXOR(D1761,B1761)</f>
        <v/>
      </c>
      <c r="G1761">
        <f>IF(F1761=1,_xlfn.BITXOR(E1761,33800),E1761)</f>
        <v/>
      </c>
    </row>
    <row r="1762">
      <c r="A1762" t="n">
        <v>1756</v>
      </c>
      <c r="B1762">
        <f>_DestuffedBits!C1757</f>
        <v/>
      </c>
      <c r="C1762">
        <f>G1761</f>
        <v/>
      </c>
      <c r="D1762">
        <f>_xlfn.BITAND(C1762,1)</f>
        <v/>
      </c>
      <c r="E1762">
        <f>_xlfn.BITRSHIFT(C1762,1)</f>
        <v/>
      </c>
      <c r="F1762">
        <f>_xlfn.BITXOR(D1762,B1762)</f>
        <v/>
      </c>
      <c r="G1762">
        <f>IF(F1762=1,_xlfn.BITXOR(E1762,33800),E1762)</f>
        <v/>
      </c>
    </row>
    <row r="1763">
      <c r="A1763" t="n">
        <v>1757</v>
      </c>
      <c r="B1763">
        <f>_DestuffedBits!C1758</f>
        <v/>
      </c>
      <c r="C1763">
        <f>G1762</f>
        <v/>
      </c>
      <c r="D1763">
        <f>_xlfn.BITAND(C1763,1)</f>
        <v/>
      </c>
      <c r="E1763">
        <f>_xlfn.BITRSHIFT(C1763,1)</f>
        <v/>
      </c>
      <c r="F1763">
        <f>_xlfn.BITXOR(D1763,B1763)</f>
        <v/>
      </c>
      <c r="G1763">
        <f>IF(F1763=1,_xlfn.BITXOR(E1763,33800),E1763)</f>
        <v/>
      </c>
    </row>
    <row r="1764">
      <c r="A1764" t="n">
        <v>1758</v>
      </c>
      <c r="B1764">
        <f>_DestuffedBits!C1759</f>
        <v/>
      </c>
      <c r="C1764">
        <f>G1763</f>
        <v/>
      </c>
      <c r="D1764">
        <f>_xlfn.BITAND(C1764,1)</f>
        <v/>
      </c>
      <c r="E1764">
        <f>_xlfn.BITRSHIFT(C1764,1)</f>
        <v/>
      </c>
      <c r="F1764">
        <f>_xlfn.BITXOR(D1764,B1764)</f>
        <v/>
      </c>
      <c r="G1764">
        <f>IF(F1764=1,_xlfn.BITXOR(E1764,33800),E1764)</f>
        <v/>
      </c>
    </row>
    <row r="1765">
      <c r="A1765" t="n">
        <v>1759</v>
      </c>
      <c r="B1765">
        <f>_DestuffedBits!C1760</f>
        <v/>
      </c>
      <c r="C1765">
        <f>G1764</f>
        <v/>
      </c>
      <c r="D1765">
        <f>_xlfn.BITAND(C1765,1)</f>
        <v/>
      </c>
      <c r="E1765">
        <f>_xlfn.BITRSHIFT(C1765,1)</f>
        <v/>
      </c>
      <c r="F1765">
        <f>_xlfn.BITXOR(D1765,B1765)</f>
        <v/>
      </c>
      <c r="G1765">
        <f>IF(F1765=1,_xlfn.BITXOR(E1765,33800),E1765)</f>
        <v/>
      </c>
    </row>
    <row r="1766">
      <c r="A1766" t="n">
        <v>1760</v>
      </c>
      <c r="B1766">
        <f>_DestuffedBits!C1761</f>
        <v/>
      </c>
      <c r="C1766">
        <f>G1765</f>
        <v/>
      </c>
      <c r="D1766">
        <f>_xlfn.BITAND(C1766,1)</f>
        <v/>
      </c>
      <c r="E1766">
        <f>_xlfn.BITRSHIFT(C1766,1)</f>
        <v/>
      </c>
      <c r="F1766">
        <f>_xlfn.BITXOR(D1766,B1766)</f>
        <v/>
      </c>
      <c r="G1766">
        <f>IF(F1766=1,_xlfn.BITXOR(E1766,33800),E1766)</f>
        <v/>
      </c>
    </row>
    <row r="1767">
      <c r="A1767" t="n">
        <v>1761</v>
      </c>
      <c r="B1767">
        <f>_DestuffedBits!C1762</f>
        <v/>
      </c>
      <c r="C1767">
        <f>G1766</f>
        <v/>
      </c>
      <c r="D1767">
        <f>_xlfn.BITAND(C1767,1)</f>
        <v/>
      </c>
      <c r="E1767">
        <f>_xlfn.BITRSHIFT(C1767,1)</f>
        <v/>
      </c>
      <c r="F1767">
        <f>_xlfn.BITXOR(D1767,B1767)</f>
        <v/>
      </c>
      <c r="G1767">
        <f>IF(F1767=1,_xlfn.BITXOR(E1767,33800),E1767)</f>
        <v/>
      </c>
    </row>
    <row r="1768">
      <c r="A1768" t="n">
        <v>1762</v>
      </c>
      <c r="B1768">
        <f>_DestuffedBits!C1763</f>
        <v/>
      </c>
      <c r="C1768">
        <f>G1767</f>
        <v/>
      </c>
      <c r="D1768">
        <f>_xlfn.BITAND(C1768,1)</f>
        <v/>
      </c>
      <c r="E1768">
        <f>_xlfn.BITRSHIFT(C1768,1)</f>
        <v/>
      </c>
      <c r="F1768">
        <f>_xlfn.BITXOR(D1768,B1768)</f>
        <v/>
      </c>
      <c r="G1768">
        <f>IF(F1768=1,_xlfn.BITXOR(E1768,33800),E1768)</f>
        <v/>
      </c>
    </row>
    <row r="1769">
      <c r="A1769" t="n">
        <v>1763</v>
      </c>
      <c r="B1769">
        <f>_DestuffedBits!C1764</f>
        <v/>
      </c>
      <c r="C1769">
        <f>G1768</f>
        <v/>
      </c>
      <c r="D1769">
        <f>_xlfn.BITAND(C1769,1)</f>
        <v/>
      </c>
      <c r="E1769">
        <f>_xlfn.BITRSHIFT(C1769,1)</f>
        <v/>
      </c>
      <c r="F1769">
        <f>_xlfn.BITXOR(D1769,B1769)</f>
        <v/>
      </c>
      <c r="G1769">
        <f>IF(F1769=1,_xlfn.BITXOR(E1769,33800),E1769)</f>
        <v/>
      </c>
    </row>
    <row r="1770">
      <c r="A1770" t="n">
        <v>1764</v>
      </c>
      <c r="B1770">
        <f>_DestuffedBits!C1765</f>
        <v/>
      </c>
      <c r="C1770">
        <f>G1769</f>
        <v/>
      </c>
      <c r="D1770">
        <f>_xlfn.BITAND(C1770,1)</f>
        <v/>
      </c>
      <c r="E1770">
        <f>_xlfn.BITRSHIFT(C1770,1)</f>
        <v/>
      </c>
      <c r="F1770">
        <f>_xlfn.BITXOR(D1770,B1770)</f>
        <v/>
      </c>
      <c r="G1770">
        <f>IF(F1770=1,_xlfn.BITXOR(E1770,33800),E1770)</f>
        <v/>
      </c>
    </row>
    <row r="1771">
      <c r="A1771" t="n">
        <v>1765</v>
      </c>
      <c r="B1771">
        <f>_DestuffedBits!C1766</f>
        <v/>
      </c>
      <c r="C1771">
        <f>G1770</f>
        <v/>
      </c>
      <c r="D1771">
        <f>_xlfn.BITAND(C1771,1)</f>
        <v/>
      </c>
      <c r="E1771">
        <f>_xlfn.BITRSHIFT(C1771,1)</f>
        <v/>
      </c>
      <c r="F1771">
        <f>_xlfn.BITXOR(D1771,B1771)</f>
        <v/>
      </c>
      <c r="G1771">
        <f>IF(F1771=1,_xlfn.BITXOR(E1771,33800),E1771)</f>
        <v/>
      </c>
    </row>
    <row r="1772">
      <c r="A1772" t="n">
        <v>1766</v>
      </c>
      <c r="B1772">
        <f>_DestuffedBits!C1767</f>
        <v/>
      </c>
      <c r="C1772">
        <f>G1771</f>
        <v/>
      </c>
      <c r="D1772">
        <f>_xlfn.BITAND(C1772,1)</f>
        <v/>
      </c>
      <c r="E1772">
        <f>_xlfn.BITRSHIFT(C1772,1)</f>
        <v/>
      </c>
      <c r="F1772">
        <f>_xlfn.BITXOR(D1772,B1772)</f>
        <v/>
      </c>
      <c r="G1772">
        <f>IF(F1772=1,_xlfn.BITXOR(E1772,33800),E1772)</f>
        <v/>
      </c>
    </row>
    <row r="1773">
      <c r="A1773" t="n">
        <v>1767</v>
      </c>
      <c r="B1773">
        <f>_DestuffedBits!C1768</f>
        <v/>
      </c>
      <c r="C1773">
        <f>G1772</f>
        <v/>
      </c>
      <c r="D1773">
        <f>_xlfn.BITAND(C1773,1)</f>
        <v/>
      </c>
      <c r="E1773">
        <f>_xlfn.BITRSHIFT(C1773,1)</f>
        <v/>
      </c>
      <c r="F1773">
        <f>_xlfn.BITXOR(D1773,B1773)</f>
        <v/>
      </c>
      <c r="G1773">
        <f>IF(F1773=1,_xlfn.BITXOR(E1773,33800),E1773)</f>
        <v/>
      </c>
    </row>
    <row r="1774">
      <c r="A1774" t="n">
        <v>1768</v>
      </c>
      <c r="B1774">
        <f>_DestuffedBits!C1769</f>
        <v/>
      </c>
      <c r="C1774">
        <f>G1773</f>
        <v/>
      </c>
      <c r="D1774">
        <f>_xlfn.BITAND(C1774,1)</f>
        <v/>
      </c>
      <c r="E1774">
        <f>_xlfn.BITRSHIFT(C1774,1)</f>
        <v/>
      </c>
      <c r="F1774">
        <f>_xlfn.BITXOR(D1774,B1774)</f>
        <v/>
      </c>
      <c r="G1774">
        <f>IF(F1774=1,_xlfn.BITXOR(E1774,33800),E1774)</f>
        <v/>
      </c>
    </row>
    <row r="1775">
      <c r="A1775" t="n">
        <v>1769</v>
      </c>
      <c r="B1775">
        <f>_DestuffedBits!C1770</f>
        <v/>
      </c>
      <c r="C1775">
        <f>G1774</f>
        <v/>
      </c>
      <c r="D1775">
        <f>_xlfn.BITAND(C1775,1)</f>
        <v/>
      </c>
      <c r="E1775">
        <f>_xlfn.BITRSHIFT(C1775,1)</f>
        <v/>
      </c>
      <c r="F1775">
        <f>_xlfn.BITXOR(D1775,B1775)</f>
        <v/>
      </c>
      <c r="G1775">
        <f>IF(F1775=1,_xlfn.BITXOR(E1775,33800),E1775)</f>
        <v/>
      </c>
    </row>
    <row r="1776">
      <c r="A1776" t="n">
        <v>1770</v>
      </c>
      <c r="B1776">
        <f>_DestuffedBits!C1771</f>
        <v/>
      </c>
      <c r="C1776">
        <f>G1775</f>
        <v/>
      </c>
      <c r="D1776">
        <f>_xlfn.BITAND(C1776,1)</f>
        <v/>
      </c>
      <c r="E1776">
        <f>_xlfn.BITRSHIFT(C1776,1)</f>
        <v/>
      </c>
      <c r="F1776">
        <f>_xlfn.BITXOR(D1776,B1776)</f>
        <v/>
      </c>
      <c r="G1776">
        <f>IF(F1776=1,_xlfn.BITXOR(E1776,33800),E1776)</f>
        <v/>
      </c>
    </row>
    <row r="1777">
      <c r="A1777" t="n">
        <v>1771</v>
      </c>
      <c r="B1777">
        <f>_DestuffedBits!C1772</f>
        <v/>
      </c>
      <c r="C1777">
        <f>G1776</f>
        <v/>
      </c>
      <c r="D1777">
        <f>_xlfn.BITAND(C1777,1)</f>
        <v/>
      </c>
      <c r="E1777">
        <f>_xlfn.BITRSHIFT(C1777,1)</f>
        <v/>
      </c>
      <c r="F1777">
        <f>_xlfn.BITXOR(D1777,B1777)</f>
        <v/>
      </c>
      <c r="G1777">
        <f>IF(F1777=1,_xlfn.BITXOR(E1777,33800),E1777)</f>
        <v/>
      </c>
    </row>
    <row r="1778">
      <c r="A1778" t="n">
        <v>1772</v>
      </c>
      <c r="B1778">
        <f>_DestuffedBits!C1773</f>
        <v/>
      </c>
      <c r="C1778">
        <f>G1777</f>
        <v/>
      </c>
      <c r="D1778">
        <f>_xlfn.BITAND(C1778,1)</f>
        <v/>
      </c>
      <c r="E1778">
        <f>_xlfn.BITRSHIFT(C1778,1)</f>
        <v/>
      </c>
      <c r="F1778">
        <f>_xlfn.BITXOR(D1778,B1778)</f>
        <v/>
      </c>
      <c r="G1778">
        <f>IF(F1778=1,_xlfn.BITXOR(E1778,33800),E1778)</f>
        <v/>
      </c>
    </row>
    <row r="1779">
      <c r="A1779" t="n">
        <v>1773</v>
      </c>
      <c r="B1779">
        <f>_DestuffedBits!C1774</f>
        <v/>
      </c>
      <c r="C1779">
        <f>G1778</f>
        <v/>
      </c>
      <c r="D1779">
        <f>_xlfn.BITAND(C1779,1)</f>
        <v/>
      </c>
      <c r="E1779">
        <f>_xlfn.BITRSHIFT(C1779,1)</f>
        <v/>
      </c>
      <c r="F1779">
        <f>_xlfn.BITXOR(D1779,B1779)</f>
        <v/>
      </c>
      <c r="G1779">
        <f>IF(F1779=1,_xlfn.BITXOR(E1779,33800),E1779)</f>
        <v/>
      </c>
    </row>
    <row r="1780">
      <c r="A1780" t="n">
        <v>1774</v>
      </c>
      <c r="B1780">
        <f>_DestuffedBits!C1775</f>
        <v/>
      </c>
      <c r="C1780">
        <f>G1779</f>
        <v/>
      </c>
      <c r="D1780">
        <f>_xlfn.BITAND(C1780,1)</f>
        <v/>
      </c>
      <c r="E1780">
        <f>_xlfn.BITRSHIFT(C1780,1)</f>
        <v/>
      </c>
      <c r="F1780">
        <f>_xlfn.BITXOR(D1780,B1780)</f>
        <v/>
      </c>
      <c r="G1780">
        <f>IF(F1780=1,_xlfn.BITXOR(E1780,33800),E1780)</f>
        <v/>
      </c>
    </row>
    <row r="1781">
      <c r="A1781" t="n">
        <v>1775</v>
      </c>
      <c r="B1781">
        <f>_DestuffedBits!C1776</f>
        <v/>
      </c>
      <c r="C1781">
        <f>G1780</f>
        <v/>
      </c>
      <c r="D1781">
        <f>_xlfn.BITAND(C1781,1)</f>
        <v/>
      </c>
      <c r="E1781">
        <f>_xlfn.BITRSHIFT(C1781,1)</f>
        <v/>
      </c>
      <c r="F1781">
        <f>_xlfn.BITXOR(D1781,B1781)</f>
        <v/>
      </c>
      <c r="G1781">
        <f>IF(F1781=1,_xlfn.BITXOR(E1781,33800),E1781)</f>
        <v/>
      </c>
    </row>
    <row r="1782">
      <c r="A1782" t="n">
        <v>1776</v>
      </c>
      <c r="B1782">
        <f>_DestuffedBits!C1777</f>
        <v/>
      </c>
      <c r="C1782">
        <f>G1781</f>
        <v/>
      </c>
      <c r="D1782">
        <f>_xlfn.BITAND(C1782,1)</f>
        <v/>
      </c>
      <c r="E1782">
        <f>_xlfn.BITRSHIFT(C1782,1)</f>
        <v/>
      </c>
      <c r="F1782">
        <f>_xlfn.BITXOR(D1782,B1782)</f>
        <v/>
      </c>
      <c r="G1782">
        <f>IF(F1782=1,_xlfn.BITXOR(E1782,33800),E1782)</f>
        <v/>
      </c>
    </row>
    <row r="1783">
      <c r="A1783" t="n">
        <v>1777</v>
      </c>
      <c r="B1783">
        <f>_DestuffedBits!C1778</f>
        <v/>
      </c>
      <c r="C1783">
        <f>G1782</f>
        <v/>
      </c>
      <c r="D1783">
        <f>_xlfn.BITAND(C1783,1)</f>
        <v/>
      </c>
      <c r="E1783">
        <f>_xlfn.BITRSHIFT(C1783,1)</f>
        <v/>
      </c>
      <c r="F1783">
        <f>_xlfn.BITXOR(D1783,B1783)</f>
        <v/>
      </c>
      <c r="G1783">
        <f>IF(F1783=1,_xlfn.BITXOR(E1783,33800),E1783)</f>
        <v/>
      </c>
    </row>
    <row r="1784">
      <c r="A1784" t="n">
        <v>1778</v>
      </c>
      <c r="B1784">
        <f>_DestuffedBits!C1779</f>
        <v/>
      </c>
      <c r="C1784">
        <f>G1783</f>
        <v/>
      </c>
      <c r="D1784">
        <f>_xlfn.BITAND(C1784,1)</f>
        <v/>
      </c>
      <c r="E1784">
        <f>_xlfn.BITRSHIFT(C1784,1)</f>
        <v/>
      </c>
      <c r="F1784">
        <f>_xlfn.BITXOR(D1784,B1784)</f>
        <v/>
      </c>
      <c r="G1784">
        <f>IF(F1784=1,_xlfn.BITXOR(E1784,33800),E1784)</f>
        <v/>
      </c>
    </row>
    <row r="1785">
      <c r="A1785" t="n">
        <v>1779</v>
      </c>
      <c r="B1785">
        <f>_DestuffedBits!C1780</f>
        <v/>
      </c>
      <c r="C1785">
        <f>G1784</f>
        <v/>
      </c>
      <c r="D1785">
        <f>_xlfn.BITAND(C1785,1)</f>
        <v/>
      </c>
      <c r="E1785">
        <f>_xlfn.BITRSHIFT(C1785,1)</f>
        <v/>
      </c>
      <c r="F1785">
        <f>_xlfn.BITXOR(D1785,B1785)</f>
        <v/>
      </c>
      <c r="G1785">
        <f>IF(F1785=1,_xlfn.BITXOR(E1785,33800),E1785)</f>
        <v/>
      </c>
    </row>
    <row r="1786">
      <c r="A1786" t="n">
        <v>1780</v>
      </c>
      <c r="B1786">
        <f>_DestuffedBits!C1781</f>
        <v/>
      </c>
      <c r="C1786">
        <f>G1785</f>
        <v/>
      </c>
      <c r="D1786">
        <f>_xlfn.BITAND(C1786,1)</f>
        <v/>
      </c>
      <c r="E1786">
        <f>_xlfn.BITRSHIFT(C1786,1)</f>
        <v/>
      </c>
      <c r="F1786">
        <f>_xlfn.BITXOR(D1786,B1786)</f>
        <v/>
      </c>
      <c r="G1786">
        <f>IF(F1786=1,_xlfn.BITXOR(E1786,33800),E1786)</f>
        <v/>
      </c>
    </row>
    <row r="1787">
      <c r="A1787" t="n">
        <v>1781</v>
      </c>
      <c r="B1787">
        <f>_DestuffedBits!C1782</f>
        <v/>
      </c>
      <c r="C1787">
        <f>G1786</f>
        <v/>
      </c>
      <c r="D1787">
        <f>_xlfn.BITAND(C1787,1)</f>
        <v/>
      </c>
      <c r="E1787">
        <f>_xlfn.BITRSHIFT(C1787,1)</f>
        <v/>
      </c>
      <c r="F1787">
        <f>_xlfn.BITXOR(D1787,B1787)</f>
        <v/>
      </c>
      <c r="G1787">
        <f>IF(F1787=1,_xlfn.BITXOR(E1787,33800),E1787)</f>
        <v/>
      </c>
    </row>
    <row r="1788">
      <c r="A1788" t="n">
        <v>1782</v>
      </c>
      <c r="B1788">
        <f>_DestuffedBits!C1783</f>
        <v/>
      </c>
      <c r="C1788">
        <f>G1787</f>
        <v/>
      </c>
      <c r="D1788">
        <f>_xlfn.BITAND(C1788,1)</f>
        <v/>
      </c>
      <c r="E1788">
        <f>_xlfn.BITRSHIFT(C1788,1)</f>
        <v/>
      </c>
      <c r="F1788">
        <f>_xlfn.BITXOR(D1788,B1788)</f>
        <v/>
      </c>
      <c r="G1788">
        <f>IF(F1788=1,_xlfn.BITXOR(E1788,33800),E1788)</f>
        <v/>
      </c>
    </row>
    <row r="1789">
      <c r="A1789" t="n">
        <v>1783</v>
      </c>
      <c r="B1789">
        <f>_DestuffedBits!C1784</f>
        <v/>
      </c>
      <c r="C1789">
        <f>G1788</f>
        <v/>
      </c>
      <c r="D1789">
        <f>_xlfn.BITAND(C1789,1)</f>
        <v/>
      </c>
      <c r="E1789">
        <f>_xlfn.BITRSHIFT(C1789,1)</f>
        <v/>
      </c>
      <c r="F1789">
        <f>_xlfn.BITXOR(D1789,B1789)</f>
        <v/>
      </c>
      <c r="G1789">
        <f>IF(F1789=1,_xlfn.BITXOR(E1789,33800),E1789)</f>
        <v/>
      </c>
    </row>
    <row r="1790">
      <c r="A1790" t="n">
        <v>1784</v>
      </c>
      <c r="B1790">
        <f>_DestuffedBits!C1785</f>
        <v/>
      </c>
      <c r="C1790">
        <f>G1789</f>
        <v/>
      </c>
      <c r="D1790">
        <f>_xlfn.BITAND(C1790,1)</f>
        <v/>
      </c>
      <c r="E1790">
        <f>_xlfn.BITRSHIFT(C1790,1)</f>
        <v/>
      </c>
      <c r="F1790">
        <f>_xlfn.BITXOR(D1790,B1790)</f>
        <v/>
      </c>
      <c r="G1790">
        <f>IF(F1790=1,_xlfn.BITXOR(E1790,33800),E1790)</f>
        <v/>
      </c>
    </row>
    <row r="1791">
      <c r="A1791" t="n">
        <v>1785</v>
      </c>
      <c r="B1791">
        <f>_DestuffedBits!C1786</f>
        <v/>
      </c>
      <c r="C1791">
        <f>G1790</f>
        <v/>
      </c>
      <c r="D1791">
        <f>_xlfn.BITAND(C1791,1)</f>
        <v/>
      </c>
      <c r="E1791">
        <f>_xlfn.BITRSHIFT(C1791,1)</f>
        <v/>
      </c>
      <c r="F1791">
        <f>_xlfn.BITXOR(D1791,B1791)</f>
        <v/>
      </c>
      <c r="G1791">
        <f>IF(F1791=1,_xlfn.BITXOR(E1791,33800),E1791)</f>
        <v/>
      </c>
    </row>
    <row r="1792">
      <c r="A1792" t="n">
        <v>1786</v>
      </c>
      <c r="B1792">
        <f>_DestuffedBits!C1787</f>
        <v/>
      </c>
      <c r="C1792">
        <f>G1791</f>
        <v/>
      </c>
      <c r="D1792">
        <f>_xlfn.BITAND(C1792,1)</f>
        <v/>
      </c>
      <c r="E1792">
        <f>_xlfn.BITRSHIFT(C1792,1)</f>
        <v/>
      </c>
      <c r="F1792">
        <f>_xlfn.BITXOR(D1792,B1792)</f>
        <v/>
      </c>
      <c r="G1792">
        <f>IF(F1792=1,_xlfn.BITXOR(E1792,33800),E1792)</f>
        <v/>
      </c>
    </row>
    <row r="1793">
      <c r="A1793" t="n">
        <v>1787</v>
      </c>
      <c r="B1793">
        <f>_DestuffedBits!C1788</f>
        <v/>
      </c>
      <c r="C1793">
        <f>G1792</f>
        <v/>
      </c>
      <c r="D1793">
        <f>_xlfn.BITAND(C1793,1)</f>
        <v/>
      </c>
      <c r="E1793">
        <f>_xlfn.BITRSHIFT(C1793,1)</f>
        <v/>
      </c>
      <c r="F1793">
        <f>_xlfn.BITXOR(D1793,B1793)</f>
        <v/>
      </c>
      <c r="G1793">
        <f>IF(F1793=1,_xlfn.BITXOR(E1793,33800),E1793)</f>
        <v/>
      </c>
    </row>
    <row r="1794">
      <c r="A1794" t="n">
        <v>1788</v>
      </c>
      <c r="B1794">
        <f>_DestuffedBits!C1789</f>
        <v/>
      </c>
      <c r="C1794">
        <f>G1793</f>
        <v/>
      </c>
      <c r="D1794">
        <f>_xlfn.BITAND(C1794,1)</f>
        <v/>
      </c>
      <c r="E1794">
        <f>_xlfn.BITRSHIFT(C1794,1)</f>
        <v/>
      </c>
      <c r="F1794">
        <f>_xlfn.BITXOR(D1794,B1794)</f>
        <v/>
      </c>
      <c r="G1794">
        <f>IF(F1794=1,_xlfn.BITXOR(E1794,33800),E1794)</f>
        <v/>
      </c>
    </row>
    <row r="1795">
      <c r="A1795" t="n">
        <v>1789</v>
      </c>
      <c r="B1795">
        <f>_DestuffedBits!C1790</f>
        <v/>
      </c>
      <c r="C1795">
        <f>G1794</f>
        <v/>
      </c>
      <c r="D1795">
        <f>_xlfn.BITAND(C1795,1)</f>
        <v/>
      </c>
      <c r="E1795">
        <f>_xlfn.BITRSHIFT(C1795,1)</f>
        <v/>
      </c>
      <c r="F1795">
        <f>_xlfn.BITXOR(D1795,B1795)</f>
        <v/>
      </c>
      <c r="G1795">
        <f>IF(F1795=1,_xlfn.BITXOR(E1795,33800),E1795)</f>
        <v/>
      </c>
    </row>
    <row r="1796">
      <c r="A1796" t="n">
        <v>1790</v>
      </c>
      <c r="B1796">
        <f>_DestuffedBits!C1791</f>
        <v/>
      </c>
      <c r="C1796">
        <f>G1795</f>
        <v/>
      </c>
      <c r="D1796">
        <f>_xlfn.BITAND(C1796,1)</f>
        <v/>
      </c>
      <c r="E1796">
        <f>_xlfn.BITRSHIFT(C1796,1)</f>
        <v/>
      </c>
      <c r="F1796">
        <f>_xlfn.BITXOR(D1796,B1796)</f>
        <v/>
      </c>
      <c r="G1796">
        <f>IF(F1796=1,_xlfn.BITXOR(E1796,33800),E1796)</f>
        <v/>
      </c>
    </row>
    <row r="1797">
      <c r="A1797" t="n">
        <v>1791</v>
      </c>
      <c r="B1797">
        <f>_DestuffedBits!C1792</f>
        <v/>
      </c>
      <c r="C1797">
        <f>G1796</f>
        <v/>
      </c>
      <c r="D1797">
        <f>_xlfn.BITAND(C1797,1)</f>
        <v/>
      </c>
      <c r="E1797">
        <f>_xlfn.BITRSHIFT(C1797,1)</f>
        <v/>
      </c>
      <c r="F1797">
        <f>_xlfn.BITXOR(D1797,B1797)</f>
        <v/>
      </c>
      <c r="G1797">
        <f>IF(F1797=1,_xlfn.BITXOR(E1797,33800),E1797)</f>
        <v/>
      </c>
    </row>
    <row r="1798">
      <c r="A1798" t="n">
        <v>1792</v>
      </c>
      <c r="B1798">
        <f>_DestuffedBits!C1793</f>
        <v/>
      </c>
      <c r="C1798">
        <f>G1797</f>
        <v/>
      </c>
      <c r="D1798">
        <f>_xlfn.BITAND(C1798,1)</f>
        <v/>
      </c>
      <c r="E1798">
        <f>_xlfn.BITRSHIFT(C1798,1)</f>
        <v/>
      </c>
      <c r="F1798">
        <f>_xlfn.BITXOR(D1798,B1798)</f>
        <v/>
      </c>
      <c r="G1798">
        <f>IF(F1798=1,_xlfn.BITXOR(E1798,33800),E1798)</f>
        <v/>
      </c>
    </row>
    <row r="1799">
      <c r="A1799" t="n">
        <v>1793</v>
      </c>
      <c r="B1799">
        <f>_DestuffedBits!C1794</f>
        <v/>
      </c>
      <c r="C1799">
        <f>G1798</f>
        <v/>
      </c>
      <c r="D1799">
        <f>_xlfn.BITAND(C1799,1)</f>
        <v/>
      </c>
      <c r="E1799">
        <f>_xlfn.BITRSHIFT(C1799,1)</f>
        <v/>
      </c>
      <c r="F1799">
        <f>_xlfn.BITXOR(D1799,B1799)</f>
        <v/>
      </c>
      <c r="G1799">
        <f>IF(F1799=1,_xlfn.BITXOR(E1799,33800),E1799)</f>
        <v/>
      </c>
    </row>
    <row r="1800">
      <c r="A1800" t="n">
        <v>1794</v>
      </c>
      <c r="B1800">
        <f>_DestuffedBits!C1795</f>
        <v/>
      </c>
      <c r="C1800">
        <f>G1799</f>
        <v/>
      </c>
      <c r="D1800">
        <f>_xlfn.BITAND(C1800,1)</f>
        <v/>
      </c>
      <c r="E1800">
        <f>_xlfn.BITRSHIFT(C1800,1)</f>
        <v/>
      </c>
      <c r="F1800">
        <f>_xlfn.BITXOR(D1800,B1800)</f>
        <v/>
      </c>
      <c r="G1800">
        <f>IF(F1800=1,_xlfn.BITXOR(E1800,33800),E1800)</f>
        <v/>
      </c>
    </row>
    <row r="1801">
      <c r="A1801" t="n">
        <v>1795</v>
      </c>
      <c r="B1801">
        <f>_DestuffedBits!C1796</f>
        <v/>
      </c>
      <c r="C1801">
        <f>G1800</f>
        <v/>
      </c>
      <c r="D1801">
        <f>_xlfn.BITAND(C1801,1)</f>
        <v/>
      </c>
      <c r="E1801">
        <f>_xlfn.BITRSHIFT(C1801,1)</f>
        <v/>
      </c>
      <c r="F1801">
        <f>_xlfn.BITXOR(D1801,B1801)</f>
        <v/>
      </c>
      <c r="G1801">
        <f>IF(F1801=1,_xlfn.BITXOR(E1801,33800),E1801)</f>
        <v/>
      </c>
    </row>
    <row r="1802">
      <c r="A1802" t="n">
        <v>1796</v>
      </c>
      <c r="B1802">
        <f>_DestuffedBits!C1797</f>
        <v/>
      </c>
      <c r="C1802">
        <f>G1801</f>
        <v/>
      </c>
      <c r="D1802">
        <f>_xlfn.BITAND(C1802,1)</f>
        <v/>
      </c>
      <c r="E1802">
        <f>_xlfn.BITRSHIFT(C1802,1)</f>
        <v/>
      </c>
      <c r="F1802">
        <f>_xlfn.BITXOR(D1802,B1802)</f>
        <v/>
      </c>
      <c r="G1802">
        <f>IF(F1802=1,_xlfn.BITXOR(E1802,33800),E1802)</f>
        <v/>
      </c>
    </row>
    <row r="1803">
      <c r="A1803" t="n">
        <v>1797</v>
      </c>
      <c r="B1803">
        <f>_DestuffedBits!C1798</f>
        <v/>
      </c>
      <c r="C1803">
        <f>G1802</f>
        <v/>
      </c>
      <c r="D1803">
        <f>_xlfn.BITAND(C1803,1)</f>
        <v/>
      </c>
      <c r="E1803">
        <f>_xlfn.BITRSHIFT(C1803,1)</f>
        <v/>
      </c>
      <c r="F1803">
        <f>_xlfn.BITXOR(D1803,B1803)</f>
        <v/>
      </c>
      <c r="G1803">
        <f>IF(F1803=1,_xlfn.BITXOR(E1803,33800),E1803)</f>
        <v/>
      </c>
    </row>
    <row r="1804">
      <c r="A1804" t="n">
        <v>1798</v>
      </c>
      <c r="B1804">
        <f>_DestuffedBits!C1799</f>
        <v/>
      </c>
      <c r="C1804">
        <f>G1803</f>
        <v/>
      </c>
      <c r="D1804">
        <f>_xlfn.BITAND(C1804,1)</f>
        <v/>
      </c>
      <c r="E1804">
        <f>_xlfn.BITRSHIFT(C1804,1)</f>
        <v/>
      </c>
      <c r="F1804">
        <f>_xlfn.BITXOR(D1804,B1804)</f>
        <v/>
      </c>
      <c r="G1804">
        <f>IF(F1804=1,_xlfn.BITXOR(E1804,33800),E1804)</f>
        <v/>
      </c>
    </row>
    <row r="1805">
      <c r="A1805" t="n">
        <v>1799</v>
      </c>
      <c r="B1805">
        <f>_DestuffedBits!C1800</f>
        <v/>
      </c>
      <c r="C1805">
        <f>G1804</f>
        <v/>
      </c>
      <c r="D1805">
        <f>_xlfn.BITAND(C1805,1)</f>
        <v/>
      </c>
      <c r="E1805">
        <f>_xlfn.BITRSHIFT(C1805,1)</f>
        <v/>
      </c>
      <c r="F1805">
        <f>_xlfn.BITXOR(D1805,B1805)</f>
        <v/>
      </c>
      <c r="G1805">
        <f>IF(F1805=1,_xlfn.BITXOR(E1805,33800),E1805)</f>
        <v/>
      </c>
    </row>
    <row r="1806">
      <c r="A1806" t="n">
        <v>1800</v>
      </c>
      <c r="B1806">
        <f>_DestuffedBits!C1801</f>
        <v/>
      </c>
      <c r="C1806">
        <f>G1805</f>
        <v/>
      </c>
      <c r="D1806">
        <f>_xlfn.BITAND(C1806,1)</f>
        <v/>
      </c>
      <c r="E1806">
        <f>_xlfn.BITRSHIFT(C1806,1)</f>
        <v/>
      </c>
      <c r="F1806">
        <f>_xlfn.BITXOR(D1806,B1806)</f>
        <v/>
      </c>
      <c r="G1806">
        <f>IF(F1806=1,_xlfn.BITXOR(E1806,33800),E1806)</f>
        <v/>
      </c>
    </row>
    <row r="1807">
      <c r="A1807" t="n">
        <v>1801</v>
      </c>
      <c r="B1807">
        <f>_DestuffedBits!C1802</f>
        <v/>
      </c>
      <c r="C1807">
        <f>G1806</f>
        <v/>
      </c>
      <c r="D1807">
        <f>_xlfn.BITAND(C1807,1)</f>
        <v/>
      </c>
      <c r="E1807">
        <f>_xlfn.BITRSHIFT(C1807,1)</f>
        <v/>
      </c>
      <c r="F1807">
        <f>_xlfn.BITXOR(D1807,B1807)</f>
        <v/>
      </c>
      <c r="G1807">
        <f>IF(F1807=1,_xlfn.BITXOR(E1807,33800),E1807)</f>
        <v/>
      </c>
    </row>
    <row r="1808">
      <c r="A1808" t="n">
        <v>1802</v>
      </c>
      <c r="B1808">
        <f>_DestuffedBits!C1803</f>
        <v/>
      </c>
      <c r="C1808">
        <f>G1807</f>
        <v/>
      </c>
      <c r="D1808">
        <f>_xlfn.BITAND(C1808,1)</f>
        <v/>
      </c>
      <c r="E1808">
        <f>_xlfn.BITRSHIFT(C1808,1)</f>
        <v/>
      </c>
      <c r="F1808">
        <f>_xlfn.BITXOR(D1808,B1808)</f>
        <v/>
      </c>
      <c r="G1808">
        <f>IF(F1808=1,_xlfn.BITXOR(E1808,33800),E1808)</f>
        <v/>
      </c>
    </row>
    <row r="1809">
      <c r="A1809" t="n">
        <v>1803</v>
      </c>
      <c r="B1809">
        <f>_DestuffedBits!C1804</f>
        <v/>
      </c>
      <c r="C1809">
        <f>G1808</f>
        <v/>
      </c>
      <c r="D1809">
        <f>_xlfn.BITAND(C1809,1)</f>
        <v/>
      </c>
      <c r="E1809">
        <f>_xlfn.BITRSHIFT(C1809,1)</f>
        <v/>
      </c>
      <c r="F1809">
        <f>_xlfn.BITXOR(D1809,B1809)</f>
        <v/>
      </c>
      <c r="G1809">
        <f>IF(F1809=1,_xlfn.BITXOR(E1809,33800),E1809)</f>
        <v/>
      </c>
    </row>
    <row r="1810">
      <c r="A1810" t="n">
        <v>1804</v>
      </c>
      <c r="B1810">
        <f>_DestuffedBits!C1805</f>
        <v/>
      </c>
      <c r="C1810">
        <f>G1809</f>
        <v/>
      </c>
      <c r="D1810">
        <f>_xlfn.BITAND(C1810,1)</f>
        <v/>
      </c>
      <c r="E1810">
        <f>_xlfn.BITRSHIFT(C1810,1)</f>
        <v/>
      </c>
      <c r="F1810">
        <f>_xlfn.BITXOR(D1810,B1810)</f>
        <v/>
      </c>
      <c r="G1810">
        <f>IF(F1810=1,_xlfn.BITXOR(E1810,33800),E1810)</f>
        <v/>
      </c>
    </row>
    <row r="1811">
      <c r="A1811" t="n">
        <v>1805</v>
      </c>
      <c r="B1811">
        <f>_DestuffedBits!C1806</f>
        <v/>
      </c>
      <c r="C1811">
        <f>G1810</f>
        <v/>
      </c>
      <c r="D1811">
        <f>_xlfn.BITAND(C1811,1)</f>
        <v/>
      </c>
      <c r="E1811">
        <f>_xlfn.BITRSHIFT(C1811,1)</f>
        <v/>
      </c>
      <c r="F1811">
        <f>_xlfn.BITXOR(D1811,B1811)</f>
        <v/>
      </c>
      <c r="G1811">
        <f>IF(F1811=1,_xlfn.BITXOR(E1811,33800),E1811)</f>
        <v/>
      </c>
    </row>
    <row r="1812">
      <c r="A1812" t="n">
        <v>1806</v>
      </c>
      <c r="B1812">
        <f>_DestuffedBits!C1807</f>
        <v/>
      </c>
      <c r="C1812">
        <f>G1811</f>
        <v/>
      </c>
      <c r="D1812">
        <f>_xlfn.BITAND(C1812,1)</f>
        <v/>
      </c>
      <c r="E1812">
        <f>_xlfn.BITRSHIFT(C1812,1)</f>
        <v/>
      </c>
      <c r="F1812">
        <f>_xlfn.BITXOR(D1812,B1812)</f>
        <v/>
      </c>
      <c r="G1812">
        <f>IF(F1812=1,_xlfn.BITXOR(E1812,33800),E1812)</f>
        <v/>
      </c>
    </row>
    <row r="1813">
      <c r="A1813" t="n">
        <v>1807</v>
      </c>
      <c r="B1813">
        <f>_DestuffedBits!C1808</f>
        <v/>
      </c>
      <c r="C1813">
        <f>G1812</f>
        <v/>
      </c>
      <c r="D1813">
        <f>_xlfn.BITAND(C1813,1)</f>
        <v/>
      </c>
      <c r="E1813">
        <f>_xlfn.BITRSHIFT(C1813,1)</f>
        <v/>
      </c>
      <c r="F1813">
        <f>_xlfn.BITXOR(D1813,B1813)</f>
        <v/>
      </c>
      <c r="G1813">
        <f>IF(F1813=1,_xlfn.BITXOR(E1813,33800),E1813)</f>
        <v/>
      </c>
    </row>
    <row r="1814">
      <c r="A1814" t="n">
        <v>1808</v>
      </c>
      <c r="B1814">
        <f>_DestuffedBits!C1809</f>
        <v/>
      </c>
      <c r="C1814">
        <f>G1813</f>
        <v/>
      </c>
      <c r="D1814">
        <f>_xlfn.BITAND(C1814,1)</f>
        <v/>
      </c>
      <c r="E1814">
        <f>_xlfn.BITRSHIFT(C1814,1)</f>
        <v/>
      </c>
      <c r="F1814">
        <f>_xlfn.BITXOR(D1814,B1814)</f>
        <v/>
      </c>
      <c r="G1814">
        <f>IF(F1814=1,_xlfn.BITXOR(E1814,33800),E1814)</f>
        <v/>
      </c>
    </row>
    <row r="1815">
      <c r="A1815" t="n">
        <v>1809</v>
      </c>
      <c r="B1815">
        <f>_DestuffedBits!C1810</f>
        <v/>
      </c>
      <c r="C1815">
        <f>G1814</f>
        <v/>
      </c>
      <c r="D1815">
        <f>_xlfn.BITAND(C1815,1)</f>
        <v/>
      </c>
      <c r="E1815">
        <f>_xlfn.BITRSHIFT(C1815,1)</f>
        <v/>
      </c>
      <c r="F1815">
        <f>_xlfn.BITXOR(D1815,B1815)</f>
        <v/>
      </c>
      <c r="G1815">
        <f>IF(F1815=1,_xlfn.BITXOR(E1815,33800),E1815)</f>
        <v/>
      </c>
    </row>
    <row r="1816">
      <c r="A1816" t="n">
        <v>1810</v>
      </c>
      <c r="B1816">
        <f>_DestuffedBits!C1811</f>
        <v/>
      </c>
      <c r="C1816">
        <f>G1815</f>
        <v/>
      </c>
      <c r="D1816">
        <f>_xlfn.BITAND(C1816,1)</f>
        <v/>
      </c>
      <c r="E1816">
        <f>_xlfn.BITRSHIFT(C1816,1)</f>
        <v/>
      </c>
      <c r="F1816">
        <f>_xlfn.BITXOR(D1816,B1816)</f>
        <v/>
      </c>
      <c r="G1816">
        <f>IF(F1816=1,_xlfn.BITXOR(E1816,33800),E1816)</f>
        <v/>
      </c>
    </row>
    <row r="1817">
      <c r="A1817" t="n">
        <v>1811</v>
      </c>
      <c r="B1817">
        <f>_DestuffedBits!C1812</f>
        <v/>
      </c>
      <c r="C1817">
        <f>G1816</f>
        <v/>
      </c>
      <c r="D1817">
        <f>_xlfn.BITAND(C1817,1)</f>
        <v/>
      </c>
      <c r="E1817">
        <f>_xlfn.BITRSHIFT(C1817,1)</f>
        <v/>
      </c>
      <c r="F1817">
        <f>_xlfn.BITXOR(D1817,B1817)</f>
        <v/>
      </c>
      <c r="G1817">
        <f>IF(F1817=1,_xlfn.BITXOR(E1817,33800),E1817)</f>
        <v/>
      </c>
    </row>
    <row r="1818">
      <c r="A1818" t="n">
        <v>1812</v>
      </c>
      <c r="B1818">
        <f>_DestuffedBits!C1813</f>
        <v/>
      </c>
      <c r="C1818">
        <f>G1817</f>
        <v/>
      </c>
      <c r="D1818">
        <f>_xlfn.BITAND(C1818,1)</f>
        <v/>
      </c>
      <c r="E1818">
        <f>_xlfn.BITRSHIFT(C1818,1)</f>
        <v/>
      </c>
      <c r="F1818">
        <f>_xlfn.BITXOR(D1818,B1818)</f>
        <v/>
      </c>
      <c r="G1818">
        <f>IF(F1818=1,_xlfn.BITXOR(E1818,33800),E1818)</f>
        <v/>
      </c>
    </row>
    <row r="1819">
      <c r="A1819" t="n">
        <v>1813</v>
      </c>
      <c r="B1819">
        <f>_DestuffedBits!C1814</f>
        <v/>
      </c>
      <c r="C1819">
        <f>G1818</f>
        <v/>
      </c>
      <c r="D1819">
        <f>_xlfn.BITAND(C1819,1)</f>
        <v/>
      </c>
      <c r="E1819">
        <f>_xlfn.BITRSHIFT(C1819,1)</f>
        <v/>
      </c>
      <c r="F1819">
        <f>_xlfn.BITXOR(D1819,B1819)</f>
        <v/>
      </c>
      <c r="G1819">
        <f>IF(F1819=1,_xlfn.BITXOR(E1819,33800),E1819)</f>
        <v/>
      </c>
    </row>
    <row r="1820">
      <c r="A1820" t="n">
        <v>1814</v>
      </c>
      <c r="B1820">
        <f>_DestuffedBits!C1815</f>
        <v/>
      </c>
      <c r="C1820">
        <f>G1819</f>
        <v/>
      </c>
      <c r="D1820">
        <f>_xlfn.BITAND(C1820,1)</f>
        <v/>
      </c>
      <c r="E1820">
        <f>_xlfn.BITRSHIFT(C1820,1)</f>
        <v/>
      </c>
      <c r="F1820">
        <f>_xlfn.BITXOR(D1820,B1820)</f>
        <v/>
      </c>
      <c r="G1820">
        <f>IF(F1820=1,_xlfn.BITXOR(E1820,33800),E1820)</f>
        <v/>
      </c>
    </row>
    <row r="1821">
      <c r="A1821" t="n">
        <v>1815</v>
      </c>
      <c r="B1821">
        <f>_DestuffedBits!C1816</f>
        <v/>
      </c>
      <c r="C1821">
        <f>G1820</f>
        <v/>
      </c>
      <c r="D1821">
        <f>_xlfn.BITAND(C1821,1)</f>
        <v/>
      </c>
      <c r="E1821">
        <f>_xlfn.BITRSHIFT(C1821,1)</f>
        <v/>
      </c>
      <c r="F1821">
        <f>_xlfn.BITXOR(D1821,B1821)</f>
        <v/>
      </c>
      <c r="G1821">
        <f>IF(F1821=1,_xlfn.BITXOR(E1821,33800),E1821)</f>
        <v/>
      </c>
    </row>
    <row r="1822">
      <c r="A1822" t="n">
        <v>1816</v>
      </c>
      <c r="B1822">
        <f>_DestuffedBits!C1817</f>
        <v/>
      </c>
      <c r="C1822">
        <f>G1821</f>
        <v/>
      </c>
      <c r="D1822">
        <f>_xlfn.BITAND(C1822,1)</f>
        <v/>
      </c>
      <c r="E1822">
        <f>_xlfn.BITRSHIFT(C1822,1)</f>
        <v/>
      </c>
      <c r="F1822">
        <f>_xlfn.BITXOR(D1822,B1822)</f>
        <v/>
      </c>
      <c r="G1822">
        <f>IF(F1822=1,_xlfn.BITXOR(E1822,33800),E1822)</f>
        <v/>
      </c>
    </row>
    <row r="1823">
      <c r="A1823" t="n">
        <v>1817</v>
      </c>
      <c r="B1823">
        <f>_DestuffedBits!C1818</f>
        <v/>
      </c>
      <c r="C1823">
        <f>G1822</f>
        <v/>
      </c>
      <c r="D1823">
        <f>_xlfn.BITAND(C1823,1)</f>
        <v/>
      </c>
      <c r="E1823">
        <f>_xlfn.BITRSHIFT(C1823,1)</f>
        <v/>
      </c>
      <c r="F1823">
        <f>_xlfn.BITXOR(D1823,B1823)</f>
        <v/>
      </c>
      <c r="G1823">
        <f>IF(F1823=1,_xlfn.BITXOR(E1823,33800),E1823)</f>
        <v/>
      </c>
    </row>
    <row r="1824">
      <c r="A1824" t="n">
        <v>1818</v>
      </c>
      <c r="B1824">
        <f>_DestuffedBits!C1819</f>
        <v/>
      </c>
      <c r="C1824">
        <f>G1823</f>
        <v/>
      </c>
      <c r="D1824">
        <f>_xlfn.BITAND(C1824,1)</f>
        <v/>
      </c>
      <c r="E1824">
        <f>_xlfn.BITRSHIFT(C1824,1)</f>
        <v/>
      </c>
      <c r="F1824">
        <f>_xlfn.BITXOR(D1824,B1824)</f>
        <v/>
      </c>
      <c r="G1824">
        <f>IF(F1824=1,_xlfn.BITXOR(E1824,33800),E1824)</f>
        <v/>
      </c>
    </row>
    <row r="1825">
      <c r="A1825" t="n">
        <v>1819</v>
      </c>
      <c r="B1825">
        <f>_DestuffedBits!C1820</f>
        <v/>
      </c>
      <c r="C1825">
        <f>G1824</f>
        <v/>
      </c>
      <c r="D1825">
        <f>_xlfn.BITAND(C1825,1)</f>
        <v/>
      </c>
      <c r="E1825">
        <f>_xlfn.BITRSHIFT(C1825,1)</f>
        <v/>
      </c>
      <c r="F1825">
        <f>_xlfn.BITXOR(D1825,B1825)</f>
        <v/>
      </c>
      <c r="G1825">
        <f>IF(F1825=1,_xlfn.BITXOR(E1825,33800),E1825)</f>
        <v/>
      </c>
    </row>
    <row r="1826">
      <c r="A1826" t="n">
        <v>1820</v>
      </c>
      <c r="B1826">
        <f>_DestuffedBits!C1821</f>
        <v/>
      </c>
      <c r="C1826">
        <f>G1825</f>
        <v/>
      </c>
      <c r="D1826">
        <f>_xlfn.BITAND(C1826,1)</f>
        <v/>
      </c>
      <c r="E1826">
        <f>_xlfn.BITRSHIFT(C1826,1)</f>
        <v/>
      </c>
      <c r="F1826">
        <f>_xlfn.BITXOR(D1826,B1826)</f>
        <v/>
      </c>
      <c r="G1826">
        <f>IF(F1826=1,_xlfn.BITXOR(E1826,33800),E1826)</f>
        <v/>
      </c>
    </row>
    <row r="1827">
      <c r="A1827" t="n">
        <v>1821</v>
      </c>
      <c r="B1827">
        <f>_DestuffedBits!C1822</f>
        <v/>
      </c>
      <c r="C1827">
        <f>G1826</f>
        <v/>
      </c>
      <c r="D1827">
        <f>_xlfn.BITAND(C1827,1)</f>
        <v/>
      </c>
      <c r="E1827">
        <f>_xlfn.BITRSHIFT(C1827,1)</f>
        <v/>
      </c>
      <c r="F1827">
        <f>_xlfn.BITXOR(D1827,B1827)</f>
        <v/>
      </c>
      <c r="G1827">
        <f>IF(F1827=1,_xlfn.BITXOR(E1827,33800),E1827)</f>
        <v/>
      </c>
    </row>
    <row r="1828">
      <c r="A1828" t="n">
        <v>1822</v>
      </c>
      <c r="B1828">
        <f>_DestuffedBits!C1823</f>
        <v/>
      </c>
      <c r="C1828">
        <f>G1827</f>
        <v/>
      </c>
      <c r="D1828">
        <f>_xlfn.BITAND(C1828,1)</f>
        <v/>
      </c>
      <c r="E1828">
        <f>_xlfn.BITRSHIFT(C1828,1)</f>
        <v/>
      </c>
      <c r="F1828">
        <f>_xlfn.BITXOR(D1828,B1828)</f>
        <v/>
      </c>
      <c r="G1828">
        <f>IF(F1828=1,_xlfn.BITXOR(E1828,33800),E1828)</f>
        <v/>
      </c>
    </row>
    <row r="1829">
      <c r="A1829" t="n">
        <v>1823</v>
      </c>
      <c r="B1829">
        <f>_DestuffedBits!C1824</f>
        <v/>
      </c>
      <c r="C1829">
        <f>G1828</f>
        <v/>
      </c>
      <c r="D1829">
        <f>_xlfn.BITAND(C1829,1)</f>
        <v/>
      </c>
      <c r="E1829">
        <f>_xlfn.BITRSHIFT(C1829,1)</f>
        <v/>
      </c>
      <c r="F1829">
        <f>_xlfn.BITXOR(D1829,B1829)</f>
        <v/>
      </c>
      <c r="G1829">
        <f>IF(F1829=1,_xlfn.BITXOR(E1829,33800),E1829)</f>
        <v/>
      </c>
    </row>
    <row r="1830">
      <c r="A1830" t="n">
        <v>1824</v>
      </c>
      <c r="B1830">
        <f>_DestuffedBits!C1825</f>
        <v/>
      </c>
      <c r="C1830">
        <f>G1829</f>
        <v/>
      </c>
      <c r="D1830">
        <f>_xlfn.BITAND(C1830,1)</f>
        <v/>
      </c>
      <c r="E1830">
        <f>_xlfn.BITRSHIFT(C1830,1)</f>
        <v/>
      </c>
      <c r="F1830">
        <f>_xlfn.BITXOR(D1830,B1830)</f>
        <v/>
      </c>
      <c r="G1830">
        <f>IF(F1830=1,_xlfn.BITXOR(E1830,33800),E1830)</f>
        <v/>
      </c>
    </row>
    <row r="1831">
      <c r="A1831" t="n">
        <v>1825</v>
      </c>
      <c r="B1831">
        <f>_DestuffedBits!C1826</f>
        <v/>
      </c>
      <c r="C1831">
        <f>G1830</f>
        <v/>
      </c>
      <c r="D1831">
        <f>_xlfn.BITAND(C1831,1)</f>
        <v/>
      </c>
      <c r="E1831">
        <f>_xlfn.BITRSHIFT(C1831,1)</f>
        <v/>
      </c>
      <c r="F1831">
        <f>_xlfn.BITXOR(D1831,B1831)</f>
        <v/>
      </c>
      <c r="G1831">
        <f>IF(F1831=1,_xlfn.BITXOR(E1831,33800),E1831)</f>
        <v/>
      </c>
    </row>
    <row r="1832">
      <c r="A1832" t="n">
        <v>1826</v>
      </c>
      <c r="B1832">
        <f>_DestuffedBits!C1827</f>
        <v/>
      </c>
      <c r="C1832">
        <f>G1831</f>
        <v/>
      </c>
      <c r="D1832">
        <f>_xlfn.BITAND(C1832,1)</f>
        <v/>
      </c>
      <c r="E1832">
        <f>_xlfn.BITRSHIFT(C1832,1)</f>
        <v/>
      </c>
      <c r="F1832">
        <f>_xlfn.BITXOR(D1832,B1832)</f>
        <v/>
      </c>
      <c r="G1832">
        <f>IF(F1832=1,_xlfn.BITXOR(E1832,33800),E1832)</f>
        <v/>
      </c>
    </row>
    <row r="1833">
      <c r="A1833" t="n">
        <v>1827</v>
      </c>
      <c r="B1833">
        <f>_DestuffedBits!C1828</f>
        <v/>
      </c>
      <c r="C1833">
        <f>G1832</f>
        <v/>
      </c>
      <c r="D1833">
        <f>_xlfn.BITAND(C1833,1)</f>
        <v/>
      </c>
      <c r="E1833">
        <f>_xlfn.BITRSHIFT(C1833,1)</f>
        <v/>
      </c>
      <c r="F1833">
        <f>_xlfn.BITXOR(D1833,B1833)</f>
        <v/>
      </c>
      <c r="G1833">
        <f>IF(F1833=1,_xlfn.BITXOR(E1833,33800),E1833)</f>
        <v/>
      </c>
    </row>
    <row r="1834">
      <c r="A1834" t="n">
        <v>1828</v>
      </c>
      <c r="B1834">
        <f>_DestuffedBits!C1829</f>
        <v/>
      </c>
      <c r="C1834">
        <f>G1833</f>
        <v/>
      </c>
      <c r="D1834">
        <f>_xlfn.BITAND(C1834,1)</f>
        <v/>
      </c>
      <c r="E1834">
        <f>_xlfn.BITRSHIFT(C1834,1)</f>
        <v/>
      </c>
      <c r="F1834">
        <f>_xlfn.BITXOR(D1834,B1834)</f>
        <v/>
      </c>
      <c r="G1834">
        <f>IF(F1834=1,_xlfn.BITXOR(E1834,33800),E1834)</f>
        <v/>
      </c>
    </row>
    <row r="1835">
      <c r="A1835" t="n">
        <v>1829</v>
      </c>
      <c r="B1835">
        <f>_DestuffedBits!C1830</f>
        <v/>
      </c>
      <c r="C1835">
        <f>G1834</f>
        <v/>
      </c>
      <c r="D1835">
        <f>_xlfn.BITAND(C1835,1)</f>
        <v/>
      </c>
      <c r="E1835">
        <f>_xlfn.BITRSHIFT(C1835,1)</f>
        <v/>
      </c>
      <c r="F1835">
        <f>_xlfn.BITXOR(D1835,B1835)</f>
        <v/>
      </c>
      <c r="G1835">
        <f>IF(F1835=1,_xlfn.BITXOR(E1835,33800),E1835)</f>
        <v/>
      </c>
    </row>
    <row r="1836">
      <c r="A1836" t="n">
        <v>1830</v>
      </c>
      <c r="B1836">
        <f>_DestuffedBits!C1831</f>
        <v/>
      </c>
      <c r="C1836">
        <f>G1835</f>
        <v/>
      </c>
      <c r="D1836">
        <f>_xlfn.BITAND(C1836,1)</f>
        <v/>
      </c>
      <c r="E1836">
        <f>_xlfn.BITRSHIFT(C1836,1)</f>
        <v/>
      </c>
      <c r="F1836">
        <f>_xlfn.BITXOR(D1836,B1836)</f>
        <v/>
      </c>
      <c r="G1836">
        <f>IF(F1836=1,_xlfn.BITXOR(E1836,33800),E1836)</f>
        <v/>
      </c>
    </row>
    <row r="1837">
      <c r="A1837" t="n">
        <v>1831</v>
      </c>
      <c r="B1837">
        <f>_DestuffedBits!C1832</f>
        <v/>
      </c>
      <c r="C1837">
        <f>G1836</f>
        <v/>
      </c>
      <c r="D1837">
        <f>_xlfn.BITAND(C1837,1)</f>
        <v/>
      </c>
      <c r="E1837">
        <f>_xlfn.BITRSHIFT(C1837,1)</f>
        <v/>
      </c>
      <c r="F1837">
        <f>_xlfn.BITXOR(D1837,B1837)</f>
        <v/>
      </c>
      <c r="G1837">
        <f>IF(F1837=1,_xlfn.BITXOR(E1837,33800),E1837)</f>
        <v/>
      </c>
    </row>
    <row r="1838">
      <c r="A1838" t="n">
        <v>1832</v>
      </c>
      <c r="B1838">
        <f>_DestuffedBits!C1833</f>
        <v/>
      </c>
      <c r="C1838">
        <f>G1837</f>
        <v/>
      </c>
      <c r="D1838">
        <f>_xlfn.BITAND(C1838,1)</f>
        <v/>
      </c>
      <c r="E1838">
        <f>_xlfn.BITRSHIFT(C1838,1)</f>
        <v/>
      </c>
      <c r="F1838">
        <f>_xlfn.BITXOR(D1838,B1838)</f>
        <v/>
      </c>
      <c r="G1838">
        <f>IF(F1838=1,_xlfn.BITXOR(E1838,33800),E1838)</f>
        <v/>
      </c>
    </row>
    <row r="1839">
      <c r="A1839" t="n">
        <v>1833</v>
      </c>
      <c r="B1839">
        <f>_DestuffedBits!C1834</f>
        <v/>
      </c>
      <c r="C1839">
        <f>G1838</f>
        <v/>
      </c>
      <c r="D1839">
        <f>_xlfn.BITAND(C1839,1)</f>
        <v/>
      </c>
      <c r="E1839">
        <f>_xlfn.BITRSHIFT(C1839,1)</f>
        <v/>
      </c>
      <c r="F1839">
        <f>_xlfn.BITXOR(D1839,B1839)</f>
        <v/>
      </c>
      <c r="G1839">
        <f>IF(F1839=1,_xlfn.BITXOR(E1839,33800),E1839)</f>
        <v/>
      </c>
    </row>
    <row r="1840">
      <c r="A1840" t="n">
        <v>1834</v>
      </c>
      <c r="B1840">
        <f>_DestuffedBits!C1835</f>
        <v/>
      </c>
      <c r="C1840">
        <f>G1839</f>
        <v/>
      </c>
      <c r="D1840">
        <f>_xlfn.BITAND(C1840,1)</f>
        <v/>
      </c>
      <c r="E1840">
        <f>_xlfn.BITRSHIFT(C1840,1)</f>
        <v/>
      </c>
      <c r="F1840">
        <f>_xlfn.BITXOR(D1840,B1840)</f>
        <v/>
      </c>
      <c r="G1840">
        <f>IF(F1840=1,_xlfn.BITXOR(E1840,33800),E1840)</f>
        <v/>
      </c>
    </row>
    <row r="1841">
      <c r="A1841" t="n">
        <v>1835</v>
      </c>
      <c r="B1841">
        <f>_DestuffedBits!C1836</f>
        <v/>
      </c>
      <c r="C1841">
        <f>G1840</f>
        <v/>
      </c>
      <c r="D1841">
        <f>_xlfn.BITAND(C1841,1)</f>
        <v/>
      </c>
      <c r="E1841">
        <f>_xlfn.BITRSHIFT(C1841,1)</f>
        <v/>
      </c>
      <c r="F1841">
        <f>_xlfn.BITXOR(D1841,B1841)</f>
        <v/>
      </c>
      <c r="G1841">
        <f>IF(F1841=1,_xlfn.BITXOR(E1841,33800),E1841)</f>
        <v/>
      </c>
    </row>
    <row r="1842">
      <c r="A1842" t="n">
        <v>1836</v>
      </c>
      <c r="B1842">
        <f>_DestuffedBits!C1837</f>
        <v/>
      </c>
      <c r="C1842">
        <f>G1841</f>
        <v/>
      </c>
      <c r="D1842">
        <f>_xlfn.BITAND(C1842,1)</f>
        <v/>
      </c>
      <c r="E1842">
        <f>_xlfn.BITRSHIFT(C1842,1)</f>
        <v/>
      </c>
      <c r="F1842">
        <f>_xlfn.BITXOR(D1842,B1842)</f>
        <v/>
      </c>
      <c r="G1842">
        <f>IF(F1842=1,_xlfn.BITXOR(E1842,33800),E1842)</f>
        <v/>
      </c>
    </row>
    <row r="1843">
      <c r="A1843" t="n">
        <v>1837</v>
      </c>
      <c r="B1843">
        <f>_DestuffedBits!C1838</f>
        <v/>
      </c>
      <c r="C1843">
        <f>G1842</f>
        <v/>
      </c>
      <c r="D1843">
        <f>_xlfn.BITAND(C1843,1)</f>
        <v/>
      </c>
      <c r="E1843">
        <f>_xlfn.BITRSHIFT(C1843,1)</f>
        <v/>
      </c>
      <c r="F1843">
        <f>_xlfn.BITXOR(D1843,B1843)</f>
        <v/>
      </c>
      <c r="G1843">
        <f>IF(F1843=1,_xlfn.BITXOR(E1843,33800),E1843)</f>
        <v/>
      </c>
    </row>
    <row r="1844">
      <c r="A1844" t="n">
        <v>1838</v>
      </c>
      <c r="B1844">
        <f>_DestuffedBits!C1839</f>
        <v/>
      </c>
      <c r="C1844">
        <f>G1843</f>
        <v/>
      </c>
      <c r="D1844">
        <f>_xlfn.BITAND(C1844,1)</f>
        <v/>
      </c>
      <c r="E1844">
        <f>_xlfn.BITRSHIFT(C1844,1)</f>
        <v/>
      </c>
      <c r="F1844">
        <f>_xlfn.BITXOR(D1844,B1844)</f>
        <v/>
      </c>
      <c r="G1844">
        <f>IF(F1844=1,_xlfn.BITXOR(E1844,33800),E1844)</f>
        <v/>
      </c>
    </row>
    <row r="1845">
      <c r="A1845" t="n">
        <v>1839</v>
      </c>
      <c r="B1845">
        <f>_DestuffedBits!C1840</f>
        <v/>
      </c>
      <c r="C1845">
        <f>G1844</f>
        <v/>
      </c>
      <c r="D1845">
        <f>_xlfn.BITAND(C1845,1)</f>
        <v/>
      </c>
      <c r="E1845">
        <f>_xlfn.BITRSHIFT(C1845,1)</f>
        <v/>
      </c>
      <c r="F1845">
        <f>_xlfn.BITXOR(D1845,B1845)</f>
        <v/>
      </c>
      <c r="G1845">
        <f>IF(F1845=1,_xlfn.BITXOR(E1845,33800),E1845)</f>
        <v/>
      </c>
    </row>
    <row r="1846">
      <c r="A1846" t="n">
        <v>1840</v>
      </c>
      <c r="B1846">
        <f>_DestuffedBits!C1841</f>
        <v/>
      </c>
      <c r="C1846">
        <f>G1845</f>
        <v/>
      </c>
      <c r="D1846">
        <f>_xlfn.BITAND(C1846,1)</f>
        <v/>
      </c>
      <c r="E1846">
        <f>_xlfn.BITRSHIFT(C1846,1)</f>
        <v/>
      </c>
      <c r="F1846">
        <f>_xlfn.BITXOR(D1846,B1846)</f>
        <v/>
      </c>
      <c r="G1846">
        <f>IF(F1846=1,_xlfn.BITXOR(E1846,33800),E1846)</f>
        <v/>
      </c>
    </row>
    <row r="1847">
      <c r="A1847" t="n">
        <v>1841</v>
      </c>
      <c r="B1847">
        <f>_DestuffedBits!C1842</f>
        <v/>
      </c>
      <c r="C1847">
        <f>G1846</f>
        <v/>
      </c>
      <c r="D1847">
        <f>_xlfn.BITAND(C1847,1)</f>
        <v/>
      </c>
      <c r="E1847">
        <f>_xlfn.BITRSHIFT(C1847,1)</f>
        <v/>
      </c>
      <c r="F1847">
        <f>_xlfn.BITXOR(D1847,B1847)</f>
        <v/>
      </c>
      <c r="G1847">
        <f>IF(F1847=1,_xlfn.BITXOR(E1847,33800),E1847)</f>
        <v/>
      </c>
    </row>
    <row r="1848">
      <c r="A1848" t="n">
        <v>1842</v>
      </c>
      <c r="B1848">
        <f>_DestuffedBits!C1843</f>
        <v/>
      </c>
      <c r="C1848">
        <f>G1847</f>
        <v/>
      </c>
      <c r="D1848">
        <f>_xlfn.BITAND(C1848,1)</f>
        <v/>
      </c>
      <c r="E1848">
        <f>_xlfn.BITRSHIFT(C1848,1)</f>
        <v/>
      </c>
      <c r="F1848">
        <f>_xlfn.BITXOR(D1848,B1848)</f>
        <v/>
      </c>
      <c r="G1848">
        <f>IF(F1848=1,_xlfn.BITXOR(E1848,33800),E1848)</f>
        <v/>
      </c>
    </row>
    <row r="1849">
      <c r="A1849" t="n">
        <v>1843</v>
      </c>
      <c r="B1849">
        <f>_DestuffedBits!C1844</f>
        <v/>
      </c>
      <c r="C1849">
        <f>G1848</f>
        <v/>
      </c>
      <c r="D1849">
        <f>_xlfn.BITAND(C1849,1)</f>
        <v/>
      </c>
      <c r="E1849">
        <f>_xlfn.BITRSHIFT(C1849,1)</f>
        <v/>
      </c>
      <c r="F1849">
        <f>_xlfn.BITXOR(D1849,B1849)</f>
        <v/>
      </c>
      <c r="G1849">
        <f>IF(F1849=1,_xlfn.BITXOR(E1849,33800),E1849)</f>
        <v/>
      </c>
    </row>
    <row r="1850">
      <c r="A1850" t="n">
        <v>1844</v>
      </c>
      <c r="B1850">
        <f>_DestuffedBits!C1845</f>
        <v/>
      </c>
      <c r="C1850">
        <f>G1849</f>
        <v/>
      </c>
      <c r="D1850">
        <f>_xlfn.BITAND(C1850,1)</f>
        <v/>
      </c>
      <c r="E1850">
        <f>_xlfn.BITRSHIFT(C1850,1)</f>
        <v/>
      </c>
      <c r="F1850">
        <f>_xlfn.BITXOR(D1850,B1850)</f>
        <v/>
      </c>
      <c r="G1850">
        <f>IF(F1850=1,_xlfn.BITXOR(E1850,33800),E1850)</f>
        <v/>
      </c>
    </row>
    <row r="1851">
      <c r="A1851" t="n">
        <v>1845</v>
      </c>
      <c r="B1851">
        <f>_DestuffedBits!C1846</f>
        <v/>
      </c>
      <c r="C1851">
        <f>G1850</f>
        <v/>
      </c>
      <c r="D1851">
        <f>_xlfn.BITAND(C1851,1)</f>
        <v/>
      </c>
      <c r="E1851">
        <f>_xlfn.BITRSHIFT(C1851,1)</f>
        <v/>
      </c>
      <c r="F1851">
        <f>_xlfn.BITXOR(D1851,B1851)</f>
        <v/>
      </c>
      <c r="G1851">
        <f>IF(F1851=1,_xlfn.BITXOR(E1851,33800),E1851)</f>
        <v/>
      </c>
    </row>
    <row r="1852">
      <c r="A1852" t="n">
        <v>1846</v>
      </c>
      <c r="B1852">
        <f>_DestuffedBits!C1847</f>
        <v/>
      </c>
      <c r="C1852">
        <f>G1851</f>
        <v/>
      </c>
      <c r="D1852">
        <f>_xlfn.BITAND(C1852,1)</f>
        <v/>
      </c>
      <c r="E1852">
        <f>_xlfn.BITRSHIFT(C1852,1)</f>
        <v/>
      </c>
      <c r="F1852">
        <f>_xlfn.BITXOR(D1852,B1852)</f>
        <v/>
      </c>
      <c r="G1852">
        <f>IF(F1852=1,_xlfn.BITXOR(E1852,33800),E1852)</f>
        <v/>
      </c>
    </row>
    <row r="1853">
      <c r="A1853" t="n">
        <v>1847</v>
      </c>
      <c r="B1853">
        <f>_DestuffedBits!C1848</f>
        <v/>
      </c>
      <c r="C1853">
        <f>G1852</f>
        <v/>
      </c>
      <c r="D1853">
        <f>_xlfn.BITAND(C1853,1)</f>
        <v/>
      </c>
      <c r="E1853">
        <f>_xlfn.BITRSHIFT(C1853,1)</f>
        <v/>
      </c>
      <c r="F1853">
        <f>_xlfn.BITXOR(D1853,B1853)</f>
        <v/>
      </c>
      <c r="G1853">
        <f>IF(F1853=1,_xlfn.BITXOR(E1853,33800),E1853)</f>
        <v/>
      </c>
    </row>
    <row r="1854">
      <c r="A1854" t="n">
        <v>1848</v>
      </c>
      <c r="B1854">
        <f>_DestuffedBits!C1849</f>
        <v/>
      </c>
      <c r="C1854">
        <f>G1853</f>
        <v/>
      </c>
      <c r="D1854">
        <f>_xlfn.BITAND(C1854,1)</f>
        <v/>
      </c>
      <c r="E1854">
        <f>_xlfn.BITRSHIFT(C1854,1)</f>
        <v/>
      </c>
      <c r="F1854">
        <f>_xlfn.BITXOR(D1854,B1854)</f>
        <v/>
      </c>
      <c r="G1854">
        <f>IF(F1854=1,_xlfn.BITXOR(E1854,33800),E1854)</f>
        <v/>
      </c>
    </row>
    <row r="1855">
      <c r="A1855" t="n">
        <v>1849</v>
      </c>
      <c r="B1855">
        <f>_DestuffedBits!C1850</f>
        <v/>
      </c>
      <c r="C1855">
        <f>G1854</f>
        <v/>
      </c>
      <c r="D1855">
        <f>_xlfn.BITAND(C1855,1)</f>
        <v/>
      </c>
      <c r="E1855">
        <f>_xlfn.BITRSHIFT(C1855,1)</f>
        <v/>
      </c>
      <c r="F1855">
        <f>_xlfn.BITXOR(D1855,B1855)</f>
        <v/>
      </c>
      <c r="G1855">
        <f>IF(F1855=1,_xlfn.BITXOR(E1855,33800),E1855)</f>
        <v/>
      </c>
    </row>
    <row r="1856">
      <c r="A1856" t="n">
        <v>1850</v>
      </c>
      <c r="B1856">
        <f>_DestuffedBits!C1851</f>
        <v/>
      </c>
      <c r="C1856">
        <f>G1855</f>
        <v/>
      </c>
      <c r="D1856">
        <f>_xlfn.BITAND(C1856,1)</f>
        <v/>
      </c>
      <c r="E1856">
        <f>_xlfn.BITRSHIFT(C1856,1)</f>
        <v/>
      </c>
      <c r="F1856">
        <f>_xlfn.BITXOR(D1856,B1856)</f>
        <v/>
      </c>
      <c r="G1856">
        <f>IF(F1856=1,_xlfn.BITXOR(E1856,33800),E1856)</f>
        <v/>
      </c>
    </row>
    <row r="1857">
      <c r="A1857" t="n">
        <v>1851</v>
      </c>
      <c r="B1857">
        <f>_DestuffedBits!C1852</f>
        <v/>
      </c>
      <c r="C1857">
        <f>G1856</f>
        <v/>
      </c>
      <c r="D1857">
        <f>_xlfn.BITAND(C1857,1)</f>
        <v/>
      </c>
      <c r="E1857">
        <f>_xlfn.BITRSHIFT(C1857,1)</f>
        <v/>
      </c>
      <c r="F1857">
        <f>_xlfn.BITXOR(D1857,B1857)</f>
        <v/>
      </c>
      <c r="G1857">
        <f>IF(F1857=1,_xlfn.BITXOR(E1857,33800),E1857)</f>
        <v/>
      </c>
    </row>
    <row r="1858">
      <c r="A1858" t="n">
        <v>1852</v>
      </c>
      <c r="B1858">
        <f>_DestuffedBits!C1853</f>
        <v/>
      </c>
      <c r="C1858">
        <f>G1857</f>
        <v/>
      </c>
      <c r="D1858">
        <f>_xlfn.BITAND(C1858,1)</f>
        <v/>
      </c>
      <c r="E1858">
        <f>_xlfn.BITRSHIFT(C1858,1)</f>
        <v/>
      </c>
      <c r="F1858">
        <f>_xlfn.BITXOR(D1858,B1858)</f>
        <v/>
      </c>
      <c r="G1858">
        <f>IF(F1858=1,_xlfn.BITXOR(E1858,33800),E1858)</f>
        <v/>
      </c>
    </row>
    <row r="1859">
      <c r="A1859" t="n">
        <v>1853</v>
      </c>
      <c r="B1859">
        <f>_DestuffedBits!C1854</f>
        <v/>
      </c>
      <c r="C1859">
        <f>G1858</f>
        <v/>
      </c>
      <c r="D1859">
        <f>_xlfn.BITAND(C1859,1)</f>
        <v/>
      </c>
      <c r="E1859">
        <f>_xlfn.BITRSHIFT(C1859,1)</f>
        <v/>
      </c>
      <c r="F1859">
        <f>_xlfn.BITXOR(D1859,B1859)</f>
        <v/>
      </c>
      <c r="G1859">
        <f>IF(F1859=1,_xlfn.BITXOR(E1859,33800),E1859)</f>
        <v/>
      </c>
    </row>
    <row r="1860">
      <c r="A1860" t="n">
        <v>1854</v>
      </c>
      <c r="B1860">
        <f>_DestuffedBits!C1855</f>
        <v/>
      </c>
      <c r="C1860">
        <f>G1859</f>
        <v/>
      </c>
      <c r="D1860">
        <f>_xlfn.BITAND(C1860,1)</f>
        <v/>
      </c>
      <c r="E1860">
        <f>_xlfn.BITRSHIFT(C1860,1)</f>
        <v/>
      </c>
      <c r="F1860">
        <f>_xlfn.BITXOR(D1860,B1860)</f>
        <v/>
      </c>
      <c r="G1860">
        <f>IF(F1860=1,_xlfn.BITXOR(E1860,33800),E1860)</f>
        <v/>
      </c>
    </row>
    <row r="1861">
      <c r="A1861" t="n">
        <v>1855</v>
      </c>
      <c r="B1861">
        <f>_DestuffedBits!C1856</f>
        <v/>
      </c>
      <c r="C1861">
        <f>G1860</f>
        <v/>
      </c>
      <c r="D1861">
        <f>_xlfn.BITAND(C1861,1)</f>
        <v/>
      </c>
      <c r="E1861">
        <f>_xlfn.BITRSHIFT(C1861,1)</f>
        <v/>
      </c>
      <c r="F1861">
        <f>_xlfn.BITXOR(D1861,B1861)</f>
        <v/>
      </c>
      <c r="G1861">
        <f>IF(F1861=1,_xlfn.BITXOR(E1861,33800),E1861)</f>
        <v/>
      </c>
    </row>
    <row r="1862">
      <c r="A1862" t="n">
        <v>1856</v>
      </c>
      <c r="B1862">
        <f>_DestuffedBits!C1857</f>
        <v/>
      </c>
      <c r="C1862">
        <f>G1861</f>
        <v/>
      </c>
      <c r="D1862">
        <f>_xlfn.BITAND(C1862,1)</f>
        <v/>
      </c>
      <c r="E1862">
        <f>_xlfn.BITRSHIFT(C1862,1)</f>
        <v/>
      </c>
      <c r="F1862">
        <f>_xlfn.BITXOR(D1862,B1862)</f>
        <v/>
      </c>
      <c r="G1862">
        <f>IF(F1862=1,_xlfn.BITXOR(E1862,33800),E1862)</f>
        <v/>
      </c>
    </row>
    <row r="1863">
      <c r="A1863" t="n">
        <v>1857</v>
      </c>
      <c r="B1863">
        <f>_DestuffedBits!C1858</f>
        <v/>
      </c>
      <c r="C1863">
        <f>G1862</f>
        <v/>
      </c>
      <c r="D1863">
        <f>_xlfn.BITAND(C1863,1)</f>
        <v/>
      </c>
      <c r="E1863">
        <f>_xlfn.BITRSHIFT(C1863,1)</f>
        <v/>
      </c>
      <c r="F1863">
        <f>_xlfn.BITXOR(D1863,B1863)</f>
        <v/>
      </c>
      <c r="G1863">
        <f>IF(F1863=1,_xlfn.BITXOR(E1863,33800),E1863)</f>
        <v/>
      </c>
    </row>
    <row r="1864">
      <c r="A1864" t="n">
        <v>1858</v>
      </c>
      <c r="B1864">
        <f>_DestuffedBits!C1859</f>
        <v/>
      </c>
      <c r="C1864">
        <f>G1863</f>
        <v/>
      </c>
      <c r="D1864">
        <f>_xlfn.BITAND(C1864,1)</f>
        <v/>
      </c>
      <c r="E1864">
        <f>_xlfn.BITRSHIFT(C1864,1)</f>
        <v/>
      </c>
      <c r="F1864">
        <f>_xlfn.BITXOR(D1864,B1864)</f>
        <v/>
      </c>
      <c r="G1864">
        <f>IF(F1864=1,_xlfn.BITXOR(E1864,33800),E1864)</f>
        <v/>
      </c>
    </row>
    <row r="1865">
      <c r="A1865" t="n">
        <v>1859</v>
      </c>
      <c r="B1865">
        <f>_DestuffedBits!C1860</f>
        <v/>
      </c>
      <c r="C1865">
        <f>G1864</f>
        <v/>
      </c>
      <c r="D1865">
        <f>_xlfn.BITAND(C1865,1)</f>
        <v/>
      </c>
      <c r="E1865">
        <f>_xlfn.BITRSHIFT(C1865,1)</f>
        <v/>
      </c>
      <c r="F1865">
        <f>_xlfn.BITXOR(D1865,B1865)</f>
        <v/>
      </c>
      <c r="G1865">
        <f>IF(F1865=1,_xlfn.BITXOR(E1865,33800),E1865)</f>
        <v/>
      </c>
    </row>
    <row r="1866">
      <c r="A1866" t="n">
        <v>1860</v>
      </c>
      <c r="B1866">
        <f>_DestuffedBits!C1861</f>
        <v/>
      </c>
      <c r="C1866">
        <f>G1865</f>
        <v/>
      </c>
      <c r="D1866">
        <f>_xlfn.BITAND(C1866,1)</f>
        <v/>
      </c>
      <c r="E1866">
        <f>_xlfn.BITRSHIFT(C1866,1)</f>
        <v/>
      </c>
      <c r="F1866">
        <f>_xlfn.BITXOR(D1866,B1866)</f>
        <v/>
      </c>
      <c r="G1866">
        <f>IF(F1866=1,_xlfn.BITXOR(E1866,33800),E1866)</f>
        <v/>
      </c>
    </row>
    <row r="1867">
      <c r="A1867" t="n">
        <v>1861</v>
      </c>
      <c r="B1867">
        <f>_DestuffedBits!C1862</f>
        <v/>
      </c>
      <c r="C1867">
        <f>G1866</f>
        <v/>
      </c>
      <c r="D1867">
        <f>_xlfn.BITAND(C1867,1)</f>
        <v/>
      </c>
      <c r="E1867">
        <f>_xlfn.BITRSHIFT(C1867,1)</f>
        <v/>
      </c>
      <c r="F1867">
        <f>_xlfn.BITXOR(D1867,B1867)</f>
        <v/>
      </c>
      <c r="G1867">
        <f>IF(F1867=1,_xlfn.BITXOR(E1867,33800),E1867)</f>
        <v/>
      </c>
    </row>
    <row r="1868">
      <c r="A1868" t="n">
        <v>1862</v>
      </c>
      <c r="B1868">
        <f>_DestuffedBits!C1863</f>
        <v/>
      </c>
      <c r="C1868">
        <f>G1867</f>
        <v/>
      </c>
      <c r="D1868">
        <f>_xlfn.BITAND(C1868,1)</f>
        <v/>
      </c>
      <c r="E1868">
        <f>_xlfn.BITRSHIFT(C1868,1)</f>
        <v/>
      </c>
      <c r="F1868">
        <f>_xlfn.BITXOR(D1868,B1868)</f>
        <v/>
      </c>
      <c r="G1868">
        <f>IF(F1868=1,_xlfn.BITXOR(E1868,33800),E1868)</f>
        <v/>
      </c>
    </row>
    <row r="1869">
      <c r="A1869" t="n">
        <v>1863</v>
      </c>
      <c r="B1869">
        <f>_DestuffedBits!C1864</f>
        <v/>
      </c>
      <c r="C1869">
        <f>G1868</f>
        <v/>
      </c>
      <c r="D1869">
        <f>_xlfn.BITAND(C1869,1)</f>
        <v/>
      </c>
      <c r="E1869">
        <f>_xlfn.BITRSHIFT(C1869,1)</f>
        <v/>
      </c>
      <c r="F1869">
        <f>_xlfn.BITXOR(D1869,B1869)</f>
        <v/>
      </c>
      <c r="G1869">
        <f>IF(F1869=1,_xlfn.BITXOR(E1869,33800),E1869)</f>
        <v/>
      </c>
    </row>
    <row r="1870">
      <c r="A1870" t="n">
        <v>1864</v>
      </c>
      <c r="B1870">
        <f>_DestuffedBits!C1865</f>
        <v/>
      </c>
      <c r="C1870">
        <f>G1869</f>
        <v/>
      </c>
      <c r="D1870">
        <f>_xlfn.BITAND(C1870,1)</f>
        <v/>
      </c>
      <c r="E1870">
        <f>_xlfn.BITRSHIFT(C1870,1)</f>
        <v/>
      </c>
      <c r="F1870">
        <f>_xlfn.BITXOR(D1870,B1870)</f>
        <v/>
      </c>
      <c r="G1870">
        <f>IF(F1870=1,_xlfn.BITXOR(E1870,33800),E1870)</f>
        <v/>
      </c>
    </row>
    <row r="1871">
      <c r="A1871" t="n">
        <v>1865</v>
      </c>
      <c r="B1871">
        <f>_DestuffedBits!C1866</f>
        <v/>
      </c>
      <c r="C1871">
        <f>G1870</f>
        <v/>
      </c>
      <c r="D1871">
        <f>_xlfn.BITAND(C1871,1)</f>
        <v/>
      </c>
      <c r="E1871">
        <f>_xlfn.BITRSHIFT(C1871,1)</f>
        <v/>
      </c>
      <c r="F1871">
        <f>_xlfn.BITXOR(D1871,B1871)</f>
        <v/>
      </c>
      <c r="G1871">
        <f>IF(F1871=1,_xlfn.BITXOR(E1871,33800),E1871)</f>
        <v/>
      </c>
    </row>
    <row r="1872">
      <c r="A1872" t="n">
        <v>1866</v>
      </c>
      <c r="B1872">
        <f>_DestuffedBits!C1867</f>
        <v/>
      </c>
      <c r="C1872">
        <f>G1871</f>
        <v/>
      </c>
      <c r="D1872">
        <f>_xlfn.BITAND(C1872,1)</f>
        <v/>
      </c>
      <c r="E1872">
        <f>_xlfn.BITRSHIFT(C1872,1)</f>
        <v/>
      </c>
      <c r="F1872">
        <f>_xlfn.BITXOR(D1872,B1872)</f>
        <v/>
      </c>
      <c r="G1872">
        <f>IF(F1872=1,_xlfn.BITXOR(E1872,33800),E1872)</f>
        <v/>
      </c>
    </row>
    <row r="1873">
      <c r="A1873" t="n">
        <v>1867</v>
      </c>
      <c r="B1873">
        <f>_DestuffedBits!C1868</f>
        <v/>
      </c>
      <c r="C1873">
        <f>G1872</f>
        <v/>
      </c>
      <c r="D1873">
        <f>_xlfn.BITAND(C1873,1)</f>
        <v/>
      </c>
      <c r="E1873">
        <f>_xlfn.BITRSHIFT(C1873,1)</f>
        <v/>
      </c>
      <c r="F1873">
        <f>_xlfn.BITXOR(D1873,B1873)</f>
        <v/>
      </c>
      <c r="G1873">
        <f>IF(F1873=1,_xlfn.BITXOR(E1873,33800),E1873)</f>
        <v/>
      </c>
    </row>
    <row r="1874">
      <c r="A1874" t="n">
        <v>1868</v>
      </c>
      <c r="B1874">
        <f>_DestuffedBits!C1869</f>
        <v/>
      </c>
      <c r="C1874">
        <f>G1873</f>
        <v/>
      </c>
      <c r="D1874">
        <f>_xlfn.BITAND(C1874,1)</f>
        <v/>
      </c>
      <c r="E1874">
        <f>_xlfn.BITRSHIFT(C1874,1)</f>
        <v/>
      </c>
      <c r="F1874">
        <f>_xlfn.BITXOR(D1874,B1874)</f>
        <v/>
      </c>
      <c r="G1874">
        <f>IF(F1874=1,_xlfn.BITXOR(E1874,33800),E1874)</f>
        <v/>
      </c>
    </row>
    <row r="1875">
      <c r="A1875" t="n">
        <v>1869</v>
      </c>
      <c r="B1875">
        <f>_DestuffedBits!C1870</f>
        <v/>
      </c>
      <c r="C1875">
        <f>G1874</f>
        <v/>
      </c>
      <c r="D1875">
        <f>_xlfn.BITAND(C1875,1)</f>
        <v/>
      </c>
      <c r="E1875">
        <f>_xlfn.BITRSHIFT(C1875,1)</f>
        <v/>
      </c>
      <c r="F1875">
        <f>_xlfn.BITXOR(D1875,B1875)</f>
        <v/>
      </c>
      <c r="G1875">
        <f>IF(F1875=1,_xlfn.BITXOR(E1875,33800),E1875)</f>
        <v/>
      </c>
    </row>
    <row r="1876">
      <c r="A1876" t="n">
        <v>1870</v>
      </c>
      <c r="B1876">
        <f>_DestuffedBits!C1871</f>
        <v/>
      </c>
      <c r="C1876">
        <f>G1875</f>
        <v/>
      </c>
      <c r="D1876">
        <f>_xlfn.BITAND(C1876,1)</f>
        <v/>
      </c>
      <c r="E1876">
        <f>_xlfn.BITRSHIFT(C1876,1)</f>
        <v/>
      </c>
      <c r="F1876">
        <f>_xlfn.BITXOR(D1876,B1876)</f>
        <v/>
      </c>
      <c r="G1876">
        <f>IF(F1876=1,_xlfn.BITXOR(E1876,33800),E1876)</f>
        <v/>
      </c>
    </row>
    <row r="1877">
      <c r="A1877" t="n">
        <v>1871</v>
      </c>
      <c r="B1877">
        <f>_DestuffedBits!C1872</f>
        <v/>
      </c>
      <c r="C1877">
        <f>G1876</f>
        <v/>
      </c>
      <c r="D1877">
        <f>_xlfn.BITAND(C1877,1)</f>
        <v/>
      </c>
      <c r="E1877">
        <f>_xlfn.BITRSHIFT(C1877,1)</f>
        <v/>
      </c>
      <c r="F1877">
        <f>_xlfn.BITXOR(D1877,B1877)</f>
        <v/>
      </c>
      <c r="G1877">
        <f>IF(F1877=1,_xlfn.BITXOR(E1877,33800),E1877)</f>
        <v/>
      </c>
    </row>
    <row r="1878">
      <c r="A1878" t="n">
        <v>1872</v>
      </c>
      <c r="B1878">
        <f>_DestuffedBits!C1873</f>
        <v/>
      </c>
      <c r="C1878">
        <f>G1877</f>
        <v/>
      </c>
      <c r="D1878">
        <f>_xlfn.BITAND(C1878,1)</f>
        <v/>
      </c>
      <c r="E1878">
        <f>_xlfn.BITRSHIFT(C1878,1)</f>
        <v/>
      </c>
      <c r="F1878">
        <f>_xlfn.BITXOR(D1878,B1878)</f>
        <v/>
      </c>
      <c r="G1878">
        <f>IF(F1878=1,_xlfn.BITXOR(E1878,33800),E1878)</f>
        <v/>
      </c>
    </row>
    <row r="1879">
      <c r="A1879" t="n">
        <v>1873</v>
      </c>
      <c r="B1879">
        <f>_DestuffedBits!C1874</f>
        <v/>
      </c>
      <c r="C1879">
        <f>G1878</f>
        <v/>
      </c>
      <c r="D1879">
        <f>_xlfn.BITAND(C1879,1)</f>
        <v/>
      </c>
      <c r="E1879">
        <f>_xlfn.BITRSHIFT(C1879,1)</f>
        <v/>
      </c>
      <c r="F1879">
        <f>_xlfn.BITXOR(D1879,B1879)</f>
        <v/>
      </c>
      <c r="G1879">
        <f>IF(F1879=1,_xlfn.BITXOR(E1879,33800),E1879)</f>
        <v/>
      </c>
    </row>
    <row r="1880">
      <c r="A1880" t="n">
        <v>1874</v>
      </c>
      <c r="B1880">
        <f>_DestuffedBits!C1875</f>
        <v/>
      </c>
      <c r="C1880">
        <f>G1879</f>
        <v/>
      </c>
      <c r="D1880">
        <f>_xlfn.BITAND(C1880,1)</f>
        <v/>
      </c>
      <c r="E1880">
        <f>_xlfn.BITRSHIFT(C1880,1)</f>
        <v/>
      </c>
      <c r="F1880">
        <f>_xlfn.BITXOR(D1880,B1880)</f>
        <v/>
      </c>
      <c r="G1880">
        <f>IF(F1880=1,_xlfn.BITXOR(E1880,33800),E1880)</f>
        <v/>
      </c>
    </row>
    <row r="1881">
      <c r="A1881" t="n">
        <v>1875</v>
      </c>
      <c r="B1881">
        <f>_DestuffedBits!C1876</f>
        <v/>
      </c>
      <c r="C1881">
        <f>G1880</f>
        <v/>
      </c>
      <c r="D1881">
        <f>_xlfn.BITAND(C1881,1)</f>
        <v/>
      </c>
      <c r="E1881">
        <f>_xlfn.BITRSHIFT(C1881,1)</f>
        <v/>
      </c>
      <c r="F1881">
        <f>_xlfn.BITXOR(D1881,B1881)</f>
        <v/>
      </c>
      <c r="G1881">
        <f>IF(F1881=1,_xlfn.BITXOR(E1881,33800),E1881)</f>
        <v/>
      </c>
    </row>
    <row r="1882">
      <c r="A1882" t="n">
        <v>1876</v>
      </c>
      <c r="B1882">
        <f>_DestuffedBits!C1877</f>
        <v/>
      </c>
      <c r="C1882">
        <f>G1881</f>
        <v/>
      </c>
      <c r="D1882">
        <f>_xlfn.BITAND(C1882,1)</f>
        <v/>
      </c>
      <c r="E1882">
        <f>_xlfn.BITRSHIFT(C1882,1)</f>
        <v/>
      </c>
      <c r="F1882">
        <f>_xlfn.BITXOR(D1882,B1882)</f>
        <v/>
      </c>
      <c r="G1882">
        <f>IF(F1882=1,_xlfn.BITXOR(E1882,33800),E1882)</f>
        <v/>
      </c>
    </row>
    <row r="1883">
      <c r="A1883" t="n">
        <v>1877</v>
      </c>
      <c r="B1883">
        <f>_DestuffedBits!C1878</f>
        <v/>
      </c>
      <c r="C1883">
        <f>G1882</f>
        <v/>
      </c>
      <c r="D1883">
        <f>_xlfn.BITAND(C1883,1)</f>
        <v/>
      </c>
      <c r="E1883">
        <f>_xlfn.BITRSHIFT(C1883,1)</f>
        <v/>
      </c>
      <c r="F1883">
        <f>_xlfn.BITXOR(D1883,B1883)</f>
        <v/>
      </c>
      <c r="G1883">
        <f>IF(F1883=1,_xlfn.BITXOR(E1883,33800),E1883)</f>
        <v/>
      </c>
    </row>
    <row r="1884">
      <c r="A1884" t="n">
        <v>1878</v>
      </c>
      <c r="B1884">
        <f>_DestuffedBits!C1879</f>
        <v/>
      </c>
      <c r="C1884">
        <f>G1883</f>
        <v/>
      </c>
      <c r="D1884">
        <f>_xlfn.BITAND(C1884,1)</f>
        <v/>
      </c>
      <c r="E1884">
        <f>_xlfn.BITRSHIFT(C1884,1)</f>
        <v/>
      </c>
      <c r="F1884">
        <f>_xlfn.BITXOR(D1884,B1884)</f>
        <v/>
      </c>
      <c r="G1884">
        <f>IF(F1884=1,_xlfn.BITXOR(E1884,33800),E1884)</f>
        <v/>
      </c>
    </row>
    <row r="1885">
      <c r="A1885" t="n">
        <v>1879</v>
      </c>
      <c r="B1885">
        <f>_DestuffedBits!C1880</f>
        <v/>
      </c>
      <c r="C1885">
        <f>G1884</f>
        <v/>
      </c>
      <c r="D1885">
        <f>_xlfn.BITAND(C1885,1)</f>
        <v/>
      </c>
      <c r="E1885">
        <f>_xlfn.BITRSHIFT(C1885,1)</f>
        <v/>
      </c>
      <c r="F1885">
        <f>_xlfn.BITXOR(D1885,B1885)</f>
        <v/>
      </c>
      <c r="G1885">
        <f>IF(F1885=1,_xlfn.BITXOR(E1885,33800),E1885)</f>
        <v/>
      </c>
    </row>
    <row r="1886">
      <c r="A1886" t="n">
        <v>1880</v>
      </c>
      <c r="B1886">
        <f>_DestuffedBits!C1881</f>
        <v/>
      </c>
      <c r="C1886">
        <f>G1885</f>
        <v/>
      </c>
      <c r="D1886">
        <f>_xlfn.BITAND(C1886,1)</f>
        <v/>
      </c>
      <c r="E1886">
        <f>_xlfn.BITRSHIFT(C1886,1)</f>
        <v/>
      </c>
      <c r="F1886">
        <f>_xlfn.BITXOR(D1886,B1886)</f>
        <v/>
      </c>
      <c r="G1886">
        <f>IF(F1886=1,_xlfn.BITXOR(E1886,33800),E1886)</f>
        <v/>
      </c>
    </row>
    <row r="1887">
      <c r="A1887" t="n">
        <v>1881</v>
      </c>
      <c r="B1887">
        <f>_DestuffedBits!C1882</f>
        <v/>
      </c>
      <c r="C1887">
        <f>G1886</f>
        <v/>
      </c>
      <c r="D1887">
        <f>_xlfn.BITAND(C1887,1)</f>
        <v/>
      </c>
      <c r="E1887">
        <f>_xlfn.BITRSHIFT(C1887,1)</f>
        <v/>
      </c>
      <c r="F1887">
        <f>_xlfn.BITXOR(D1887,B1887)</f>
        <v/>
      </c>
      <c r="G1887">
        <f>IF(F1887=1,_xlfn.BITXOR(E1887,33800),E1887)</f>
        <v/>
      </c>
    </row>
    <row r="1888">
      <c r="A1888" t="n">
        <v>1882</v>
      </c>
      <c r="B1888">
        <f>_DestuffedBits!C1883</f>
        <v/>
      </c>
      <c r="C1888">
        <f>G1887</f>
        <v/>
      </c>
      <c r="D1888">
        <f>_xlfn.BITAND(C1888,1)</f>
        <v/>
      </c>
      <c r="E1888">
        <f>_xlfn.BITRSHIFT(C1888,1)</f>
        <v/>
      </c>
      <c r="F1888">
        <f>_xlfn.BITXOR(D1888,B1888)</f>
        <v/>
      </c>
      <c r="G1888">
        <f>IF(F1888=1,_xlfn.BITXOR(E1888,33800),E1888)</f>
        <v/>
      </c>
    </row>
    <row r="1889">
      <c r="A1889" t="n">
        <v>1883</v>
      </c>
      <c r="B1889">
        <f>_DestuffedBits!C1884</f>
        <v/>
      </c>
      <c r="C1889">
        <f>G1888</f>
        <v/>
      </c>
      <c r="D1889">
        <f>_xlfn.BITAND(C1889,1)</f>
        <v/>
      </c>
      <c r="E1889">
        <f>_xlfn.BITRSHIFT(C1889,1)</f>
        <v/>
      </c>
      <c r="F1889">
        <f>_xlfn.BITXOR(D1889,B1889)</f>
        <v/>
      </c>
      <c r="G1889">
        <f>IF(F1889=1,_xlfn.BITXOR(E1889,33800),E1889)</f>
        <v/>
      </c>
    </row>
    <row r="1890">
      <c r="A1890" t="n">
        <v>1884</v>
      </c>
      <c r="B1890">
        <f>_DestuffedBits!C1885</f>
        <v/>
      </c>
      <c r="C1890">
        <f>G1889</f>
        <v/>
      </c>
      <c r="D1890">
        <f>_xlfn.BITAND(C1890,1)</f>
        <v/>
      </c>
      <c r="E1890">
        <f>_xlfn.BITRSHIFT(C1890,1)</f>
        <v/>
      </c>
      <c r="F1890">
        <f>_xlfn.BITXOR(D1890,B1890)</f>
        <v/>
      </c>
      <c r="G1890">
        <f>IF(F1890=1,_xlfn.BITXOR(E1890,33800),E1890)</f>
        <v/>
      </c>
    </row>
    <row r="1891">
      <c r="A1891" t="n">
        <v>1885</v>
      </c>
      <c r="B1891">
        <f>_DestuffedBits!C1886</f>
        <v/>
      </c>
      <c r="C1891">
        <f>G1890</f>
        <v/>
      </c>
      <c r="D1891">
        <f>_xlfn.BITAND(C1891,1)</f>
        <v/>
      </c>
      <c r="E1891">
        <f>_xlfn.BITRSHIFT(C1891,1)</f>
        <v/>
      </c>
      <c r="F1891">
        <f>_xlfn.BITXOR(D1891,B1891)</f>
        <v/>
      </c>
      <c r="G1891">
        <f>IF(F1891=1,_xlfn.BITXOR(E1891,33800),E1891)</f>
        <v/>
      </c>
    </row>
    <row r="1892">
      <c r="A1892" t="n">
        <v>1886</v>
      </c>
      <c r="B1892">
        <f>_DestuffedBits!C1887</f>
        <v/>
      </c>
      <c r="C1892">
        <f>G1891</f>
        <v/>
      </c>
      <c r="D1892">
        <f>_xlfn.BITAND(C1892,1)</f>
        <v/>
      </c>
      <c r="E1892">
        <f>_xlfn.BITRSHIFT(C1892,1)</f>
        <v/>
      </c>
      <c r="F1892">
        <f>_xlfn.BITXOR(D1892,B1892)</f>
        <v/>
      </c>
      <c r="G1892">
        <f>IF(F1892=1,_xlfn.BITXOR(E1892,33800),E1892)</f>
        <v/>
      </c>
    </row>
    <row r="1893">
      <c r="A1893" t="n">
        <v>1887</v>
      </c>
      <c r="B1893">
        <f>_DestuffedBits!C1888</f>
        <v/>
      </c>
      <c r="C1893">
        <f>G1892</f>
        <v/>
      </c>
      <c r="D1893">
        <f>_xlfn.BITAND(C1893,1)</f>
        <v/>
      </c>
      <c r="E1893">
        <f>_xlfn.BITRSHIFT(C1893,1)</f>
        <v/>
      </c>
      <c r="F1893">
        <f>_xlfn.BITXOR(D1893,B1893)</f>
        <v/>
      </c>
      <c r="G1893">
        <f>IF(F1893=1,_xlfn.BITXOR(E1893,33800),E1893)</f>
        <v/>
      </c>
    </row>
    <row r="1894">
      <c r="A1894" t="n">
        <v>1888</v>
      </c>
      <c r="B1894">
        <f>_DestuffedBits!C1889</f>
        <v/>
      </c>
      <c r="C1894">
        <f>G1893</f>
        <v/>
      </c>
      <c r="D1894">
        <f>_xlfn.BITAND(C1894,1)</f>
        <v/>
      </c>
      <c r="E1894">
        <f>_xlfn.BITRSHIFT(C1894,1)</f>
        <v/>
      </c>
      <c r="F1894">
        <f>_xlfn.BITXOR(D1894,B1894)</f>
        <v/>
      </c>
      <c r="G1894">
        <f>IF(F1894=1,_xlfn.BITXOR(E1894,33800),E1894)</f>
        <v/>
      </c>
    </row>
    <row r="1895">
      <c r="A1895" t="n">
        <v>1889</v>
      </c>
      <c r="B1895">
        <f>_DestuffedBits!C1890</f>
        <v/>
      </c>
      <c r="C1895">
        <f>G1894</f>
        <v/>
      </c>
      <c r="D1895">
        <f>_xlfn.BITAND(C1895,1)</f>
        <v/>
      </c>
      <c r="E1895">
        <f>_xlfn.BITRSHIFT(C1895,1)</f>
        <v/>
      </c>
      <c r="F1895">
        <f>_xlfn.BITXOR(D1895,B1895)</f>
        <v/>
      </c>
      <c r="G1895">
        <f>IF(F1895=1,_xlfn.BITXOR(E1895,33800),E1895)</f>
        <v/>
      </c>
    </row>
    <row r="1896">
      <c r="A1896" t="n">
        <v>1890</v>
      </c>
      <c r="B1896">
        <f>_DestuffedBits!C1891</f>
        <v/>
      </c>
      <c r="C1896">
        <f>G1895</f>
        <v/>
      </c>
      <c r="D1896">
        <f>_xlfn.BITAND(C1896,1)</f>
        <v/>
      </c>
      <c r="E1896">
        <f>_xlfn.BITRSHIFT(C1896,1)</f>
        <v/>
      </c>
      <c r="F1896">
        <f>_xlfn.BITXOR(D1896,B1896)</f>
        <v/>
      </c>
      <c r="G1896">
        <f>IF(F1896=1,_xlfn.BITXOR(E1896,33800),E1896)</f>
        <v/>
      </c>
    </row>
    <row r="1897">
      <c r="A1897" t="n">
        <v>1891</v>
      </c>
      <c r="B1897">
        <f>_DestuffedBits!C1892</f>
        <v/>
      </c>
      <c r="C1897">
        <f>G1896</f>
        <v/>
      </c>
      <c r="D1897">
        <f>_xlfn.BITAND(C1897,1)</f>
        <v/>
      </c>
      <c r="E1897">
        <f>_xlfn.BITRSHIFT(C1897,1)</f>
        <v/>
      </c>
      <c r="F1897">
        <f>_xlfn.BITXOR(D1897,B1897)</f>
        <v/>
      </c>
      <c r="G1897">
        <f>IF(F1897=1,_xlfn.BITXOR(E1897,33800),E1897)</f>
        <v/>
      </c>
    </row>
    <row r="1898">
      <c r="A1898" t="n">
        <v>1892</v>
      </c>
      <c r="B1898">
        <f>_DestuffedBits!C1893</f>
        <v/>
      </c>
      <c r="C1898">
        <f>G1897</f>
        <v/>
      </c>
      <c r="D1898">
        <f>_xlfn.BITAND(C1898,1)</f>
        <v/>
      </c>
      <c r="E1898">
        <f>_xlfn.BITRSHIFT(C1898,1)</f>
        <v/>
      </c>
      <c r="F1898">
        <f>_xlfn.BITXOR(D1898,B1898)</f>
        <v/>
      </c>
      <c r="G1898">
        <f>IF(F1898=1,_xlfn.BITXOR(E1898,33800),E1898)</f>
        <v/>
      </c>
    </row>
    <row r="1899">
      <c r="A1899" t="n">
        <v>1893</v>
      </c>
      <c r="B1899">
        <f>_DestuffedBits!C1894</f>
        <v/>
      </c>
      <c r="C1899">
        <f>G1898</f>
        <v/>
      </c>
      <c r="D1899">
        <f>_xlfn.BITAND(C1899,1)</f>
        <v/>
      </c>
      <c r="E1899">
        <f>_xlfn.BITRSHIFT(C1899,1)</f>
        <v/>
      </c>
      <c r="F1899">
        <f>_xlfn.BITXOR(D1899,B1899)</f>
        <v/>
      </c>
      <c r="G1899">
        <f>IF(F1899=1,_xlfn.BITXOR(E1899,33800),E1899)</f>
        <v/>
      </c>
    </row>
    <row r="1900">
      <c r="A1900" t="n">
        <v>1894</v>
      </c>
      <c r="B1900">
        <f>_DestuffedBits!C1895</f>
        <v/>
      </c>
      <c r="C1900">
        <f>G1899</f>
        <v/>
      </c>
      <c r="D1900">
        <f>_xlfn.BITAND(C1900,1)</f>
        <v/>
      </c>
      <c r="E1900">
        <f>_xlfn.BITRSHIFT(C1900,1)</f>
        <v/>
      </c>
      <c r="F1900">
        <f>_xlfn.BITXOR(D1900,B1900)</f>
        <v/>
      </c>
      <c r="G1900">
        <f>IF(F1900=1,_xlfn.BITXOR(E1900,33800),E1900)</f>
        <v/>
      </c>
    </row>
    <row r="1901">
      <c r="A1901" t="n">
        <v>1895</v>
      </c>
      <c r="B1901">
        <f>_DestuffedBits!C1896</f>
        <v/>
      </c>
      <c r="C1901">
        <f>G1900</f>
        <v/>
      </c>
      <c r="D1901">
        <f>_xlfn.BITAND(C1901,1)</f>
        <v/>
      </c>
      <c r="E1901">
        <f>_xlfn.BITRSHIFT(C1901,1)</f>
        <v/>
      </c>
      <c r="F1901">
        <f>_xlfn.BITXOR(D1901,B1901)</f>
        <v/>
      </c>
      <c r="G1901">
        <f>IF(F1901=1,_xlfn.BITXOR(E1901,33800),E1901)</f>
        <v/>
      </c>
    </row>
    <row r="1902">
      <c r="A1902" t="n">
        <v>1896</v>
      </c>
      <c r="B1902">
        <f>_DestuffedBits!C1897</f>
        <v/>
      </c>
      <c r="C1902">
        <f>G1901</f>
        <v/>
      </c>
      <c r="D1902">
        <f>_xlfn.BITAND(C1902,1)</f>
        <v/>
      </c>
      <c r="E1902">
        <f>_xlfn.BITRSHIFT(C1902,1)</f>
        <v/>
      </c>
      <c r="F1902">
        <f>_xlfn.BITXOR(D1902,B1902)</f>
        <v/>
      </c>
      <c r="G1902">
        <f>IF(F1902=1,_xlfn.BITXOR(E1902,33800),E1902)</f>
        <v/>
      </c>
    </row>
    <row r="1903">
      <c r="A1903" t="n">
        <v>1897</v>
      </c>
      <c r="B1903">
        <f>_DestuffedBits!C1898</f>
        <v/>
      </c>
      <c r="C1903">
        <f>G1902</f>
        <v/>
      </c>
      <c r="D1903">
        <f>_xlfn.BITAND(C1903,1)</f>
        <v/>
      </c>
      <c r="E1903">
        <f>_xlfn.BITRSHIFT(C1903,1)</f>
        <v/>
      </c>
      <c r="F1903">
        <f>_xlfn.BITXOR(D1903,B1903)</f>
        <v/>
      </c>
      <c r="G1903">
        <f>IF(F1903=1,_xlfn.BITXOR(E1903,33800),E1903)</f>
        <v/>
      </c>
    </row>
    <row r="1904">
      <c r="A1904" t="n">
        <v>1898</v>
      </c>
      <c r="B1904">
        <f>_DestuffedBits!C1899</f>
        <v/>
      </c>
      <c r="C1904">
        <f>G1903</f>
        <v/>
      </c>
      <c r="D1904">
        <f>_xlfn.BITAND(C1904,1)</f>
        <v/>
      </c>
      <c r="E1904">
        <f>_xlfn.BITRSHIFT(C1904,1)</f>
        <v/>
      </c>
      <c r="F1904">
        <f>_xlfn.BITXOR(D1904,B1904)</f>
        <v/>
      </c>
      <c r="G1904">
        <f>IF(F1904=1,_xlfn.BITXOR(E1904,33800),E1904)</f>
        <v/>
      </c>
    </row>
    <row r="1905">
      <c r="A1905" t="n">
        <v>1899</v>
      </c>
      <c r="B1905">
        <f>_DestuffedBits!C1900</f>
        <v/>
      </c>
      <c r="C1905">
        <f>G1904</f>
        <v/>
      </c>
      <c r="D1905">
        <f>_xlfn.BITAND(C1905,1)</f>
        <v/>
      </c>
      <c r="E1905">
        <f>_xlfn.BITRSHIFT(C1905,1)</f>
        <v/>
      </c>
      <c r="F1905">
        <f>_xlfn.BITXOR(D1905,B1905)</f>
        <v/>
      </c>
      <c r="G1905">
        <f>IF(F1905=1,_xlfn.BITXOR(E1905,33800),E1905)</f>
        <v/>
      </c>
    </row>
    <row r="1906">
      <c r="A1906" t="n">
        <v>1900</v>
      </c>
      <c r="B1906">
        <f>_DestuffedBits!C1901</f>
        <v/>
      </c>
      <c r="C1906">
        <f>G1905</f>
        <v/>
      </c>
      <c r="D1906">
        <f>_xlfn.BITAND(C1906,1)</f>
        <v/>
      </c>
      <c r="E1906">
        <f>_xlfn.BITRSHIFT(C1906,1)</f>
        <v/>
      </c>
      <c r="F1906">
        <f>_xlfn.BITXOR(D1906,B1906)</f>
        <v/>
      </c>
      <c r="G1906">
        <f>IF(F1906=1,_xlfn.BITXOR(E1906,33800),E1906)</f>
        <v/>
      </c>
    </row>
    <row r="1907">
      <c r="A1907" t="n">
        <v>1901</v>
      </c>
      <c r="B1907">
        <f>_DestuffedBits!C1902</f>
        <v/>
      </c>
      <c r="C1907">
        <f>G1906</f>
        <v/>
      </c>
      <c r="D1907">
        <f>_xlfn.BITAND(C1907,1)</f>
        <v/>
      </c>
      <c r="E1907">
        <f>_xlfn.BITRSHIFT(C1907,1)</f>
        <v/>
      </c>
      <c r="F1907">
        <f>_xlfn.BITXOR(D1907,B1907)</f>
        <v/>
      </c>
      <c r="G1907">
        <f>IF(F1907=1,_xlfn.BITXOR(E1907,33800),E1907)</f>
        <v/>
      </c>
    </row>
    <row r="1908">
      <c r="A1908" t="n">
        <v>1902</v>
      </c>
      <c r="B1908">
        <f>_DestuffedBits!C1903</f>
        <v/>
      </c>
      <c r="C1908">
        <f>G1907</f>
        <v/>
      </c>
      <c r="D1908">
        <f>_xlfn.BITAND(C1908,1)</f>
        <v/>
      </c>
      <c r="E1908">
        <f>_xlfn.BITRSHIFT(C1908,1)</f>
        <v/>
      </c>
      <c r="F1908">
        <f>_xlfn.BITXOR(D1908,B1908)</f>
        <v/>
      </c>
      <c r="G1908">
        <f>IF(F1908=1,_xlfn.BITXOR(E1908,33800),E1908)</f>
        <v/>
      </c>
    </row>
    <row r="1909">
      <c r="A1909" t="n">
        <v>1903</v>
      </c>
      <c r="B1909">
        <f>_DestuffedBits!C1904</f>
        <v/>
      </c>
      <c r="C1909">
        <f>G1908</f>
        <v/>
      </c>
      <c r="D1909">
        <f>_xlfn.BITAND(C1909,1)</f>
        <v/>
      </c>
      <c r="E1909">
        <f>_xlfn.BITRSHIFT(C1909,1)</f>
        <v/>
      </c>
      <c r="F1909">
        <f>_xlfn.BITXOR(D1909,B1909)</f>
        <v/>
      </c>
      <c r="G1909">
        <f>IF(F1909=1,_xlfn.BITXOR(E1909,33800),E1909)</f>
        <v/>
      </c>
    </row>
    <row r="1910">
      <c r="A1910" t="n">
        <v>1904</v>
      </c>
      <c r="B1910">
        <f>_DestuffedBits!C1905</f>
        <v/>
      </c>
      <c r="C1910">
        <f>G1909</f>
        <v/>
      </c>
      <c r="D1910">
        <f>_xlfn.BITAND(C1910,1)</f>
        <v/>
      </c>
      <c r="E1910">
        <f>_xlfn.BITRSHIFT(C1910,1)</f>
        <v/>
      </c>
      <c r="F1910">
        <f>_xlfn.BITXOR(D1910,B1910)</f>
        <v/>
      </c>
      <c r="G1910">
        <f>IF(F1910=1,_xlfn.BITXOR(E1910,33800),E1910)</f>
        <v/>
      </c>
    </row>
    <row r="1911">
      <c r="A1911" t="n">
        <v>1905</v>
      </c>
      <c r="B1911">
        <f>_DestuffedBits!C1906</f>
        <v/>
      </c>
      <c r="C1911">
        <f>G1910</f>
        <v/>
      </c>
      <c r="D1911">
        <f>_xlfn.BITAND(C1911,1)</f>
        <v/>
      </c>
      <c r="E1911">
        <f>_xlfn.BITRSHIFT(C1911,1)</f>
        <v/>
      </c>
      <c r="F1911">
        <f>_xlfn.BITXOR(D1911,B1911)</f>
        <v/>
      </c>
      <c r="G1911">
        <f>IF(F1911=1,_xlfn.BITXOR(E1911,33800),E1911)</f>
        <v/>
      </c>
    </row>
    <row r="1912">
      <c r="A1912" t="n">
        <v>1906</v>
      </c>
      <c r="B1912">
        <f>_DestuffedBits!C1907</f>
        <v/>
      </c>
      <c r="C1912">
        <f>G1911</f>
        <v/>
      </c>
      <c r="D1912">
        <f>_xlfn.BITAND(C1912,1)</f>
        <v/>
      </c>
      <c r="E1912">
        <f>_xlfn.BITRSHIFT(C1912,1)</f>
        <v/>
      </c>
      <c r="F1912">
        <f>_xlfn.BITXOR(D1912,B1912)</f>
        <v/>
      </c>
      <c r="G1912">
        <f>IF(F1912=1,_xlfn.BITXOR(E1912,33800),E1912)</f>
        <v/>
      </c>
    </row>
    <row r="1913">
      <c r="A1913" t="n">
        <v>1907</v>
      </c>
      <c r="B1913">
        <f>_DestuffedBits!C1908</f>
        <v/>
      </c>
      <c r="C1913">
        <f>G1912</f>
        <v/>
      </c>
      <c r="D1913">
        <f>_xlfn.BITAND(C1913,1)</f>
        <v/>
      </c>
      <c r="E1913">
        <f>_xlfn.BITRSHIFT(C1913,1)</f>
        <v/>
      </c>
      <c r="F1913">
        <f>_xlfn.BITXOR(D1913,B1913)</f>
        <v/>
      </c>
      <c r="G1913">
        <f>IF(F1913=1,_xlfn.BITXOR(E1913,33800),E1913)</f>
        <v/>
      </c>
    </row>
    <row r="1914">
      <c r="A1914" t="n">
        <v>1908</v>
      </c>
      <c r="B1914">
        <f>_DestuffedBits!C1909</f>
        <v/>
      </c>
      <c r="C1914">
        <f>G1913</f>
        <v/>
      </c>
      <c r="D1914">
        <f>_xlfn.BITAND(C1914,1)</f>
        <v/>
      </c>
      <c r="E1914">
        <f>_xlfn.BITRSHIFT(C1914,1)</f>
        <v/>
      </c>
      <c r="F1914">
        <f>_xlfn.BITXOR(D1914,B1914)</f>
        <v/>
      </c>
      <c r="G1914">
        <f>IF(F1914=1,_xlfn.BITXOR(E1914,33800),E1914)</f>
        <v/>
      </c>
    </row>
    <row r="1915">
      <c r="A1915" t="n">
        <v>1909</v>
      </c>
      <c r="B1915">
        <f>_DestuffedBits!C1910</f>
        <v/>
      </c>
      <c r="C1915">
        <f>G1914</f>
        <v/>
      </c>
      <c r="D1915">
        <f>_xlfn.BITAND(C1915,1)</f>
        <v/>
      </c>
      <c r="E1915">
        <f>_xlfn.BITRSHIFT(C1915,1)</f>
        <v/>
      </c>
      <c r="F1915">
        <f>_xlfn.BITXOR(D1915,B1915)</f>
        <v/>
      </c>
      <c r="G1915">
        <f>IF(F1915=1,_xlfn.BITXOR(E1915,33800),E1915)</f>
        <v/>
      </c>
    </row>
    <row r="1916">
      <c r="A1916" t="n">
        <v>1910</v>
      </c>
      <c r="B1916">
        <f>_DestuffedBits!C1911</f>
        <v/>
      </c>
      <c r="C1916">
        <f>G1915</f>
        <v/>
      </c>
      <c r="D1916">
        <f>_xlfn.BITAND(C1916,1)</f>
        <v/>
      </c>
      <c r="E1916">
        <f>_xlfn.BITRSHIFT(C1916,1)</f>
        <v/>
      </c>
      <c r="F1916">
        <f>_xlfn.BITXOR(D1916,B1916)</f>
        <v/>
      </c>
      <c r="G1916">
        <f>IF(F1916=1,_xlfn.BITXOR(E1916,33800),E1916)</f>
        <v/>
      </c>
    </row>
    <row r="1917">
      <c r="A1917" t="n">
        <v>1911</v>
      </c>
      <c r="B1917">
        <f>_DestuffedBits!C1912</f>
        <v/>
      </c>
      <c r="C1917">
        <f>G1916</f>
        <v/>
      </c>
      <c r="D1917">
        <f>_xlfn.BITAND(C1917,1)</f>
        <v/>
      </c>
      <c r="E1917">
        <f>_xlfn.BITRSHIFT(C1917,1)</f>
        <v/>
      </c>
      <c r="F1917">
        <f>_xlfn.BITXOR(D1917,B1917)</f>
        <v/>
      </c>
      <c r="G1917">
        <f>IF(F1917=1,_xlfn.BITXOR(E1917,33800),E1917)</f>
        <v/>
      </c>
    </row>
    <row r="1918">
      <c r="A1918" t="n">
        <v>1912</v>
      </c>
      <c r="B1918">
        <f>_DestuffedBits!C1913</f>
        <v/>
      </c>
      <c r="C1918">
        <f>G1917</f>
        <v/>
      </c>
      <c r="D1918">
        <f>_xlfn.BITAND(C1918,1)</f>
        <v/>
      </c>
      <c r="E1918">
        <f>_xlfn.BITRSHIFT(C1918,1)</f>
        <v/>
      </c>
      <c r="F1918">
        <f>_xlfn.BITXOR(D1918,B1918)</f>
        <v/>
      </c>
      <c r="G1918">
        <f>IF(F1918=1,_xlfn.BITXOR(E1918,33800),E1918)</f>
        <v/>
      </c>
    </row>
    <row r="1919">
      <c r="A1919" t="n">
        <v>1913</v>
      </c>
      <c r="B1919">
        <f>_DestuffedBits!C1914</f>
        <v/>
      </c>
      <c r="C1919">
        <f>G1918</f>
        <v/>
      </c>
      <c r="D1919">
        <f>_xlfn.BITAND(C1919,1)</f>
        <v/>
      </c>
      <c r="E1919">
        <f>_xlfn.BITRSHIFT(C1919,1)</f>
        <v/>
      </c>
      <c r="F1919">
        <f>_xlfn.BITXOR(D1919,B1919)</f>
        <v/>
      </c>
      <c r="G1919">
        <f>IF(F1919=1,_xlfn.BITXOR(E1919,33800),E1919)</f>
        <v/>
      </c>
    </row>
    <row r="1920">
      <c r="A1920" t="n">
        <v>1914</v>
      </c>
      <c r="B1920">
        <f>_DestuffedBits!C1915</f>
        <v/>
      </c>
      <c r="C1920">
        <f>G1919</f>
        <v/>
      </c>
      <c r="D1920">
        <f>_xlfn.BITAND(C1920,1)</f>
        <v/>
      </c>
      <c r="E1920">
        <f>_xlfn.BITRSHIFT(C1920,1)</f>
        <v/>
      </c>
      <c r="F1920">
        <f>_xlfn.BITXOR(D1920,B1920)</f>
        <v/>
      </c>
      <c r="G1920">
        <f>IF(F1920=1,_xlfn.BITXOR(E1920,33800),E1920)</f>
        <v/>
      </c>
    </row>
    <row r="1921">
      <c r="A1921" t="n">
        <v>1915</v>
      </c>
      <c r="B1921">
        <f>_DestuffedBits!C1916</f>
        <v/>
      </c>
      <c r="C1921">
        <f>G1920</f>
        <v/>
      </c>
      <c r="D1921">
        <f>_xlfn.BITAND(C1921,1)</f>
        <v/>
      </c>
      <c r="E1921">
        <f>_xlfn.BITRSHIFT(C1921,1)</f>
        <v/>
      </c>
      <c r="F1921">
        <f>_xlfn.BITXOR(D1921,B1921)</f>
        <v/>
      </c>
      <c r="G1921">
        <f>IF(F1921=1,_xlfn.BITXOR(E1921,33800),E1921)</f>
        <v/>
      </c>
    </row>
    <row r="1922">
      <c r="A1922" t="n">
        <v>1916</v>
      </c>
      <c r="B1922">
        <f>_DestuffedBits!C1917</f>
        <v/>
      </c>
      <c r="C1922">
        <f>G1921</f>
        <v/>
      </c>
      <c r="D1922">
        <f>_xlfn.BITAND(C1922,1)</f>
        <v/>
      </c>
      <c r="E1922">
        <f>_xlfn.BITRSHIFT(C1922,1)</f>
        <v/>
      </c>
      <c r="F1922">
        <f>_xlfn.BITXOR(D1922,B1922)</f>
        <v/>
      </c>
      <c r="G1922">
        <f>IF(F1922=1,_xlfn.BITXOR(E1922,33800),E1922)</f>
        <v/>
      </c>
    </row>
    <row r="1923">
      <c r="A1923" t="n">
        <v>1917</v>
      </c>
      <c r="B1923">
        <f>_DestuffedBits!C1918</f>
        <v/>
      </c>
      <c r="C1923">
        <f>G1922</f>
        <v/>
      </c>
      <c r="D1923">
        <f>_xlfn.BITAND(C1923,1)</f>
        <v/>
      </c>
      <c r="E1923">
        <f>_xlfn.BITRSHIFT(C1923,1)</f>
        <v/>
      </c>
      <c r="F1923">
        <f>_xlfn.BITXOR(D1923,B1923)</f>
        <v/>
      </c>
      <c r="G1923">
        <f>IF(F1923=1,_xlfn.BITXOR(E1923,33800),E1923)</f>
        <v/>
      </c>
    </row>
    <row r="1924">
      <c r="A1924" t="n">
        <v>1918</v>
      </c>
      <c r="B1924">
        <f>_DestuffedBits!C1919</f>
        <v/>
      </c>
      <c r="C1924">
        <f>G1923</f>
        <v/>
      </c>
      <c r="D1924">
        <f>_xlfn.BITAND(C1924,1)</f>
        <v/>
      </c>
      <c r="E1924">
        <f>_xlfn.BITRSHIFT(C1924,1)</f>
        <v/>
      </c>
      <c r="F1924">
        <f>_xlfn.BITXOR(D1924,B1924)</f>
        <v/>
      </c>
      <c r="G1924">
        <f>IF(F1924=1,_xlfn.BITXOR(E1924,33800),E1924)</f>
        <v/>
      </c>
    </row>
    <row r="1925">
      <c r="A1925" t="n">
        <v>1919</v>
      </c>
      <c r="B1925">
        <f>_DestuffedBits!C1920</f>
        <v/>
      </c>
      <c r="C1925">
        <f>G1924</f>
        <v/>
      </c>
      <c r="D1925">
        <f>_xlfn.BITAND(C1925,1)</f>
        <v/>
      </c>
      <c r="E1925">
        <f>_xlfn.BITRSHIFT(C1925,1)</f>
        <v/>
      </c>
      <c r="F1925">
        <f>_xlfn.BITXOR(D1925,B1925)</f>
        <v/>
      </c>
      <c r="G1925">
        <f>IF(F1925=1,_xlfn.BITXOR(E1925,33800),E1925)</f>
        <v/>
      </c>
    </row>
    <row r="1926">
      <c r="A1926" t="n">
        <v>1920</v>
      </c>
      <c r="B1926">
        <f>_DestuffedBits!C1921</f>
        <v/>
      </c>
      <c r="C1926">
        <f>G1925</f>
        <v/>
      </c>
      <c r="D1926">
        <f>_xlfn.BITAND(C1926,1)</f>
        <v/>
      </c>
      <c r="E1926">
        <f>_xlfn.BITRSHIFT(C1926,1)</f>
        <v/>
      </c>
      <c r="F1926">
        <f>_xlfn.BITXOR(D1926,B1926)</f>
        <v/>
      </c>
      <c r="G1926">
        <f>IF(F1926=1,_xlfn.BITXOR(E1926,33800),E1926)</f>
        <v/>
      </c>
    </row>
    <row r="1927">
      <c r="A1927" t="n">
        <v>1921</v>
      </c>
      <c r="B1927">
        <f>_DestuffedBits!C1922</f>
        <v/>
      </c>
      <c r="C1927">
        <f>G1926</f>
        <v/>
      </c>
      <c r="D1927">
        <f>_xlfn.BITAND(C1927,1)</f>
        <v/>
      </c>
      <c r="E1927">
        <f>_xlfn.BITRSHIFT(C1927,1)</f>
        <v/>
      </c>
      <c r="F1927">
        <f>_xlfn.BITXOR(D1927,B1927)</f>
        <v/>
      </c>
      <c r="G1927">
        <f>IF(F1927=1,_xlfn.BITXOR(E1927,33800),E1927)</f>
        <v/>
      </c>
    </row>
    <row r="1928">
      <c r="A1928" t="n">
        <v>1922</v>
      </c>
      <c r="B1928">
        <f>_DestuffedBits!C1923</f>
        <v/>
      </c>
      <c r="C1928">
        <f>G1927</f>
        <v/>
      </c>
      <c r="D1928">
        <f>_xlfn.BITAND(C1928,1)</f>
        <v/>
      </c>
      <c r="E1928">
        <f>_xlfn.BITRSHIFT(C1928,1)</f>
        <v/>
      </c>
      <c r="F1928">
        <f>_xlfn.BITXOR(D1928,B1928)</f>
        <v/>
      </c>
      <c r="G1928">
        <f>IF(F1928=1,_xlfn.BITXOR(E1928,33800),E1928)</f>
        <v/>
      </c>
    </row>
    <row r="1929">
      <c r="A1929" t="n">
        <v>1923</v>
      </c>
      <c r="B1929">
        <f>_DestuffedBits!C1924</f>
        <v/>
      </c>
      <c r="C1929">
        <f>G1928</f>
        <v/>
      </c>
      <c r="D1929">
        <f>_xlfn.BITAND(C1929,1)</f>
        <v/>
      </c>
      <c r="E1929">
        <f>_xlfn.BITRSHIFT(C1929,1)</f>
        <v/>
      </c>
      <c r="F1929">
        <f>_xlfn.BITXOR(D1929,B1929)</f>
        <v/>
      </c>
      <c r="G1929">
        <f>IF(F1929=1,_xlfn.BITXOR(E1929,33800),E1929)</f>
        <v/>
      </c>
    </row>
    <row r="1930">
      <c r="A1930" t="n">
        <v>1924</v>
      </c>
      <c r="B1930">
        <f>_DestuffedBits!C1925</f>
        <v/>
      </c>
      <c r="C1930">
        <f>G1929</f>
        <v/>
      </c>
      <c r="D1930">
        <f>_xlfn.BITAND(C1930,1)</f>
        <v/>
      </c>
      <c r="E1930">
        <f>_xlfn.BITRSHIFT(C1930,1)</f>
        <v/>
      </c>
      <c r="F1930">
        <f>_xlfn.BITXOR(D1930,B1930)</f>
        <v/>
      </c>
      <c r="G1930">
        <f>IF(F1930=1,_xlfn.BITXOR(E1930,33800),E1930)</f>
        <v/>
      </c>
    </row>
    <row r="1931">
      <c r="A1931" t="n">
        <v>1925</v>
      </c>
      <c r="B1931">
        <f>_DestuffedBits!C1926</f>
        <v/>
      </c>
      <c r="C1931">
        <f>G1930</f>
        <v/>
      </c>
      <c r="D1931">
        <f>_xlfn.BITAND(C1931,1)</f>
        <v/>
      </c>
      <c r="E1931">
        <f>_xlfn.BITRSHIFT(C1931,1)</f>
        <v/>
      </c>
      <c r="F1931">
        <f>_xlfn.BITXOR(D1931,B1931)</f>
        <v/>
      </c>
      <c r="G1931">
        <f>IF(F1931=1,_xlfn.BITXOR(E1931,33800),E1931)</f>
        <v/>
      </c>
    </row>
    <row r="1932">
      <c r="A1932" t="n">
        <v>1926</v>
      </c>
      <c r="B1932">
        <f>_DestuffedBits!C1927</f>
        <v/>
      </c>
      <c r="C1932">
        <f>G1931</f>
        <v/>
      </c>
      <c r="D1932">
        <f>_xlfn.BITAND(C1932,1)</f>
        <v/>
      </c>
      <c r="E1932">
        <f>_xlfn.BITRSHIFT(C1932,1)</f>
        <v/>
      </c>
      <c r="F1932">
        <f>_xlfn.BITXOR(D1932,B1932)</f>
        <v/>
      </c>
      <c r="G1932">
        <f>IF(F1932=1,_xlfn.BITXOR(E1932,33800),E1932)</f>
        <v/>
      </c>
    </row>
    <row r="1933">
      <c r="A1933" t="n">
        <v>1927</v>
      </c>
      <c r="B1933">
        <f>_DestuffedBits!C1928</f>
        <v/>
      </c>
      <c r="C1933">
        <f>G1932</f>
        <v/>
      </c>
      <c r="D1933">
        <f>_xlfn.BITAND(C1933,1)</f>
        <v/>
      </c>
      <c r="E1933">
        <f>_xlfn.BITRSHIFT(C1933,1)</f>
        <v/>
      </c>
      <c r="F1933">
        <f>_xlfn.BITXOR(D1933,B1933)</f>
        <v/>
      </c>
      <c r="G1933">
        <f>IF(F1933=1,_xlfn.BITXOR(E1933,33800),E1933)</f>
        <v/>
      </c>
    </row>
    <row r="1934">
      <c r="A1934" t="n">
        <v>1928</v>
      </c>
      <c r="B1934">
        <f>_DestuffedBits!C1929</f>
        <v/>
      </c>
      <c r="C1934">
        <f>G1933</f>
        <v/>
      </c>
      <c r="D1934">
        <f>_xlfn.BITAND(C1934,1)</f>
        <v/>
      </c>
      <c r="E1934">
        <f>_xlfn.BITRSHIFT(C1934,1)</f>
        <v/>
      </c>
      <c r="F1934">
        <f>_xlfn.BITXOR(D1934,B1934)</f>
        <v/>
      </c>
      <c r="G1934">
        <f>IF(F1934=1,_xlfn.BITXOR(E1934,33800),E1934)</f>
        <v/>
      </c>
    </row>
    <row r="1935">
      <c r="A1935" t="n">
        <v>1929</v>
      </c>
      <c r="B1935">
        <f>_DestuffedBits!C1930</f>
        <v/>
      </c>
      <c r="C1935">
        <f>G1934</f>
        <v/>
      </c>
      <c r="D1935">
        <f>_xlfn.BITAND(C1935,1)</f>
        <v/>
      </c>
      <c r="E1935">
        <f>_xlfn.BITRSHIFT(C1935,1)</f>
        <v/>
      </c>
      <c r="F1935">
        <f>_xlfn.BITXOR(D1935,B1935)</f>
        <v/>
      </c>
      <c r="G1935">
        <f>IF(F1935=1,_xlfn.BITXOR(E1935,33800),E1935)</f>
        <v/>
      </c>
    </row>
    <row r="1936">
      <c r="A1936" t="n">
        <v>1930</v>
      </c>
      <c r="B1936">
        <f>_DestuffedBits!C1931</f>
        <v/>
      </c>
      <c r="C1936">
        <f>G1935</f>
        <v/>
      </c>
      <c r="D1936">
        <f>_xlfn.BITAND(C1936,1)</f>
        <v/>
      </c>
      <c r="E1936">
        <f>_xlfn.BITRSHIFT(C1936,1)</f>
        <v/>
      </c>
      <c r="F1936">
        <f>_xlfn.BITXOR(D1936,B1936)</f>
        <v/>
      </c>
      <c r="G1936">
        <f>IF(F1936=1,_xlfn.BITXOR(E1936,33800),E1936)</f>
        <v/>
      </c>
    </row>
    <row r="1937">
      <c r="A1937" t="n">
        <v>1931</v>
      </c>
      <c r="B1937">
        <f>_DestuffedBits!C1932</f>
        <v/>
      </c>
      <c r="C1937">
        <f>G1936</f>
        <v/>
      </c>
      <c r="D1937">
        <f>_xlfn.BITAND(C1937,1)</f>
        <v/>
      </c>
      <c r="E1937">
        <f>_xlfn.BITRSHIFT(C1937,1)</f>
        <v/>
      </c>
      <c r="F1937">
        <f>_xlfn.BITXOR(D1937,B1937)</f>
        <v/>
      </c>
      <c r="G1937">
        <f>IF(F1937=1,_xlfn.BITXOR(E1937,33800),E1937)</f>
        <v/>
      </c>
    </row>
    <row r="1938">
      <c r="A1938" t="n">
        <v>1932</v>
      </c>
      <c r="B1938">
        <f>_DestuffedBits!C1933</f>
        <v/>
      </c>
      <c r="C1938">
        <f>G1937</f>
        <v/>
      </c>
      <c r="D1938">
        <f>_xlfn.BITAND(C1938,1)</f>
        <v/>
      </c>
      <c r="E1938">
        <f>_xlfn.BITRSHIFT(C1938,1)</f>
        <v/>
      </c>
      <c r="F1938">
        <f>_xlfn.BITXOR(D1938,B1938)</f>
        <v/>
      </c>
      <c r="G1938">
        <f>IF(F1938=1,_xlfn.BITXOR(E1938,33800),E1938)</f>
        <v/>
      </c>
    </row>
    <row r="1939">
      <c r="A1939" t="n">
        <v>1933</v>
      </c>
      <c r="B1939">
        <f>_DestuffedBits!C1934</f>
        <v/>
      </c>
      <c r="C1939">
        <f>G1938</f>
        <v/>
      </c>
      <c r="D1939">
        <f>_xlfn.BITAND(C1939,1)</f>
        <v/>
      </c>
      <c r="E1939">
        <f>_xlfn.BITRSHIFT(C1939,1)</f>
        <v/>
      </c>
      <c r="F1939">
        <f>_xlfn.BITXOR(D1939,B1939)</f>
        <v/>
      </c>
      <c r="G1939">
        <f>IF(F1939=1,_xlfn.BITXOR(E1939,33800),E1939)</f>
        <v/>
      </c>
    </row>
    <row r="1940">
      <c r="A1940" t="n">
        <v>1934</v>
      </c>
      <c r="B1940">
        <f>_DestuffedBits!C1935</f>
        <v/>
      </c>
      <c r="C1940">
        <f>G1939</f>
        <v/>
      </c>
      <c r="D1940">
        <f>_xlfn.BITAND(C1940,1)</f>
        <v/>
      </c>
      <c r="E1940">
        <f>_xlfn.BITRSHIFT(C1940,1)</f>
        <v/>
      </c>
      <c r="F1940">
        <f>_xlfn.BITXOR(D1940,B1940)</f>
        <v/>
      </c>
      <c r="G1940">
        <f>IF(F1940=1,_xlfn.BITXOR(E1940,33800),E1940)</f>
        <v/>
      </c>
    </row>
    <row r="1941">
      <c r="A1941" t="n">
        <v>1935</v>
      </c>
      <c r="B1941">
        <f>_DestuffedBits!C1936</f>
        <v/>
      </c>
      <c r="C1941">
        <f>G1940</f>
        <v/>
      </c>
      <c r="D1941">
        <f>_xlfn.BITAND(C1941,1)</f>
        <v/>
      </c>
      <c r="E1941">
        <f>_xlfn.BITRSHIFT(C1941,1)</f>
        <v/>
      </c>
      <c r="F1941">
        <f>_xlfn.BITXOR(D1941,B1941)</f>
        <v/>
      </c>
      <c r="G1941">
        <f>IF(F1941=1,_xlfn.BITXOR(E1941,33800),E1941)</f>
        <v/>
      </c>
    </row>
    <row r="1942">
      <c r="A1942" t="n">
        <v>1936</v>
      </c>
      <c r="B1942">
        <f>_DestuffedBits!C1937</f>
        <v/>
      </c>
      <c r="C1942">
        <f>G1941</f>
        <v/>
      </c>
      <c r="D1942">
        <f>_xlfn.BITAND(C1942,1)</f>
        <v/>
      </c>
      <c r="E1942">
        <f>_xlfn.BITRSHIFT(C1942,1)</f>
        <v/>
      </c>
      <c r="F1942">
        <f>_xlfn.BITXOR(D1942,B1942)</f>
        <v/>
      </c>
      <c r="G1942">
        <f>IF(F1942=1,_xlfn.BITXOR(E1942,33800),E1942)</f>
        <v/>
      </c>
    </row>
    <row r="1943">
      <c r="A1943" t="n">
        <v>1937</v>
      </c>
      <c r="B1943">
        <f>_DestuffedBits!C1938</f>
        <v/>
      </c>
      <c r="C1943">
        <f>G1942</f>
        <v/>
      </c>
      <c r="D1943">
        <f>_xlfn.BITAND(C1943,1)</f>
        <v/>
      </c>
      <c r="E1943">
        <f>_xlfn.BITRSHIFT(C1943,1)</f>
        <v/>
      </c>
      <c r="F1943">
        <f>_xlfn.BITXOR(D1943,B1943)</f>
        <v/>
      </c>
      <c r="G1943">
        <f>IF(F1943=1,_xlfn.BITXOR(E1943,33800),E1943)</f>
        <v/>
      </c>
    </row>
    <row r="1944">
      <c r="A1944" t="n">
        <v>1938</v>
      </c>
      <c r="B1944">
        <f>_DestuffedBits!C1939</f>
        <v/>
      </c>
      <c r="C1944">
        <f>G1943</f>
        <v/>
      </c>
      <c r="D1944">
        <f>_xlfn.BITAND(C1944,1)</f>
        <v/>
      </c>
      <c r="E1944">
        <f>_xlfn.BITRSHIFT(C1944,1)</f>
        <v/>
      </c>
      <c r="F1944">
        <f>_xlfn.BITXOR(D1944,B1944)</f>
        <v/>
      </c>
      <c r="G1944">
        <f>IF(F1944=1,_xlfn.BITXOR(E1944,33800),E1944)</f>
        <v/>
      </c>
    </row>
    <row r="1945">
      <c r="A1945" t="n">
        <v>1939</v>
      </c>
      <c r="B1945">
        <f>_DestuffedBits!C1940</f>
        <v/>
      </c>
      <c r="C1945">
        <f>G1944</f>
        <v/>
      </c>
      <c r="D1945">
        <f>_xlfn.BITAND(C1945,1)</f>
        <v/>
      </c>
      <c r="E1945">
        <f>_xlfn.BITRSHIFT(C1945,1)</f>
        <v/>
      </c>
      <c r="F1945">
        <f>_xlfn.BITXOR(D1945,B1945)</f>
        <v/>
      </c>
      <c r="G1945">
        <f>IF(F1945=1,_xlfn.BITXOR(E1945,33800),E1945)</f>
        <v/>
      </c>
    </row>
    <row r="1946">
      <c r="A1946" t="n">
        <v>1940</v>
      </c>
      <c r="B1946">
        <f>_DestuffedBits!C1941</f>
        <v/>
      </c>
      <c r="C1946">
        <f>G1945</f>
        <v/>
      </c>
      <c r="D1946">
        <f>_xlfn.BITAND(C1946,1)</f>
        <v/>
      </c>
      <c r="E1946">
        <f>_xlfn.BITRSHIFT(C1946,1)</f>
        <v/>
      </c>
      <c r="F1946">
        <f>_xlfn.BITXOR(D1946,B1946)</f>
        <v/>
      </c>
      <c r="G1946">
        <f>IF(F1946=1,_xlfn.BITXOR(E1946,33800),E1946)</f>
        <v/>
      </c>
    </row>
    <row r="1947">
      <c r="A1947" t="n">
        <v>1941</v>
      </c>
      <c r="B1947">
        <f>_DestuffedBits!C1942</f>
        <v/>
      </c>
      <c r="C1947">
        <f>G1946</f>
        <v/>
      </c>
      <c r="D1947">
        <f>_xlfn.BITAND(C1947,1)</f>
        <v/>
      </c>
      <c r="E1947">
        <f>_xlfn.BITRSHIFT(C1947,1)</f>
        <v/>
      </c>
      <c r="F1947">
        <f>_xlfn.BITXOR(D1947,B1947)</f>
        <v/>
      </c>
      <c r="G1947">
        <f>IF(F1947=1,_xlfn.BITXOR(E1947,33800),E1947)</f>
        <v/>
      </c>
    </row>
    <row r="1948">
      <c r="A1948" t="n">
        <v>1942</v>
      </c>
      <c r="B1948">
        <f>_DestuffedBits!C1943</f>
        <v/>
      </c>
      <c r="C1948">
        <f>G1947</f>
        <v/>
      </c>
      <c r="D1948">
        <f>_xlfn.BITAND(C1948,1)</f>
        <v/>
      </c>
      <c r="E1948">
        <f>_xlfn.BITRSHIFT(C1948,1)</f>
        <v/>
      </c>
      <c r="F1948">
        <f>_xlfn.BITXOR(D1948,B1948)</f>
        <v/>
      </c>
      <c r="G1948">
        <f>IF(F1948=1,_xlfn.BITXOR(E1948,33800),E1948)</f>
        <v/>
      </c>
    </row>
    <row r="1949">
      <c r="A1949" t="n">
        <v>1943</v>
      </c>
      <c r="B1949">
        <f>_DestuffedBits!C1944</f>
        <v/>
      </c>
      <c r="C1949">
        <f>G1948</f>
        <v/>
      </c>
      <c r="D1949">
        <f>_xlfn.BITAND(C1949,1)</f>
        <v/>
      </c>
      <c r="E1949">
        <f>_xlfn.BITRSHIFT(C1949,1)</f>
        <v/>
      </c>
      <c r="F1949">
        <f>_xlfn.BITXOR(D1949,B1949)</f>
        <v/>
      </c>
      <c r="G1949">
        <f>IF(F1949=1,_xlfn.BITXOR(E1949,33800),E1949)</f>
        <v/>
      </c>
    </row>
    <row r="1950">
      <c r="A1950" t="n">
        <v>1944</v>
      </c>
      <c r="B1950">
        <f>_DestuffedBits!C1945</f>
        <v/>
      </c>
      <c r="C1950">
        <f>G1949</f>
        <v/>
      </c>
      <c r="D1950">
        <f>_xlfn.BITAND(C1950,1)</f>
        <v/>
      </c>
      <c r="E1950">
        <f>_xlfn.BITRSHIFT(C1950,1)</f>
        <v/>
      </c>
      <c r="F1950">
        <f>_xlfn.BITXOR(D1950,B1950)</f>
        <v/>
      </c>
      <c r="G1950">
        <f>IF(F1950=1,_xlfn.BITXOR(E1950,33800),E1950)</f>
        <v/>
      </c>
    </row>
    <row r="1951">
      <c r="A1951" t="n">
        <v>1945</v>
      </c>
      <c r="B1951">
        <f>_DestuffedBits!C1946</f>
        <v/>
      </c>
      <c r="C1951">
        <f>G1950</f>
        <v/>
      </c>
      <c r="D1951">
        <f>_xlfn.BITAND(C1951,1)</f>
        <v/>
      </c>
      <c r="E1951">
        <f>_xlfn.BITRSHIFT(C1951,1)</f>
        <v/>
      </c>
      <c r="F1951">
        <f>_xlfn.BITXOR(D1951,B1951)</f>
        <v/>
      </c>
      <c r="G1951">
        <f>IF(F1951=1,_xlfn.BITXOR(E1951,33800),E1951)</f>
        <v/>
      </c>
    </row>
    <row r="1952">
      <c r="A1952" t="n">
        <v>1946</v>
      </c>
      <c r="B1952">
        <f>_DestuffedBits!C1947</f>
        <v/>
      </c>
      <c r="C1952">
        <f>G1951</f>
        <v/>
      </c>
      <c r="D1952">
        <f>_xlfn.BITAND(C1952,1)</f>
        <v/>
      </c>
      <c r="E1952">
        <f>_xlfn.BITRSHIFT(C1952,1)</f>
        <v/>
      </c>
      <c r="F1952">
        <f>_xlfn.BITXOR(D1952,B1952)</f>
        <v/>
      </c>
      <c r="G1952">
        <f>IF(F1952=1,_xlfn.BITXOR(E1952,33800),E1952)</f>
        <v/>
      </c>
    </row>
    <row r="1953">
      <c r="A1953" t="n">
        <v>1947</v>
      </c>
      <c r="B1953">
        <f>_DestuffedBits!C1948</f>
        <v/>
      </c>
      <c r="C1953">
        <f>G1952</f>
        <v/>
      </c>
      <c r="D1953">
        <f>_xlfn.BITAND(C1953,1)</f>
        <v/>
      </c>
      <c r="E1953">
        <f>_xlfn.BITRSHIFT(C1953,1)</f>
        <v/>
      </c>
      <c r="F1953">
        <f>_xlfn.BITXOR(D1953,B1953)</f>
        <v/>
      </c>
      <c r="G1953">
        <f>IF(F1953=1,_xlfn.BITXOR(E1953,33800),E1953)</f>
        <v/>
      </c>
    </row>
    <row r="1954">
      <c r="A1954" t="n">
        <v>1948</v>
      </c>
      <c r="B1954">
        <f>_DestuffedBits!C1949</f>
        <v/>
      </c>
      <c r="C1954">
        <f>G1953</f>
        <v/>
      </c>
      <c r="D1954">
        <f>_xlfn.BITAND(C1954,1)</f>
        <v/>
      </c>
      <c r="E1954">
        <f>_xlfn.BITRSHIFT(C1954,1)</f>
        <v/>
      </c>
      <c r="F1954">
        <f>_xlfn.BITXOR(D1954,B1954)</f>
        <v/>
      </c>
      <c r="G1954">
        <f>IF(F1954=1,_xlfn.BITXOR(E1954,33800),E1954)</f>
        <v/>
      </c>
    </row>
    <row r="1955">
      <c r="A1955" t="n">
        <v>1949</v>
      </c>
      <c r="B1955">
        <f>_DestuffedBits!C1950</f>
        <v/>
      </c>
      <c r="C1955">
        <f>G1954</f>
        <v/>
      </c>
      <c r="D1955">
        <f>_xlfn.BITAND(C1955,1)</f>
        <v/>
      </c>
      <c r="E1955">
        <f>_xlfn.BITRSHIFT(C1955,1)</f>
        <v/>
      </c>
      <c r="F1955">
        <f>_xlfn.BITXOR(D1955,B1955)</f>
        <v/>
      </c>
      <c r="G1955">
        <f>IF(F1955=1,_xlfn.BITXOR(E1955,33800),E1955)</f>
        <v/>
      </c>
    </row>
    <row r="1956">
      <c r="A1956" t="n">
        <v>1950</v>
      </c>
      <c r="B1956">
        <f>_DestuffedBits!C1951</f>
        <v/>
      </c>
      <c r="C1956">
        <f>G1955</f>
        <v/>
      </c>
      <c r="D1956">
        <f>_xlfn.BITAND(C1956,1)</f>
        <v/>
      </c>
      <c r="E1956">
        <f>_xlfn.BITRSHIFT(C1956,1)</f>
        <v/>
      </c>
      <c r="F1956">
        <f>_xlfn.BITXOR(D1956,B1956)</f>
        <v/>
      </c>
      <c r="G1956">
        <f>IF(F1956=1,_xlfn.BITXOR(E1956,33800),E1956)</f>
        <v/>
      </c>
    </row>
    <row r="1957">
      <c r="A1957" t="n">
        <v>1951</v>
      </c>
      <c r="B1957">
        <f>_DestuffedBits!C1952</f>
        <v/>
      </c>
      <c r="C1957">
        <f>G1956</f>
        <v/>
      </c>
      <c r="D1957">
        <f>_xlfn.BITAND(C1957,1)</f>
        <v/>
      </c>
      <c r="E1957">
        <f>_xlfn.BITRSHIFT(C1957,1)</f>
        <v/>
      </c>
      <c r="F1957">
        <f>_xlfn.BITXOR(D1957,B1957)</f>
        <v/>
      </c>
      <c r="G1957">
        <f>IF(F1957=1,_xlfn.BITXOR(E1957,33800),E1957)</f>
        <v/>
      </c>
    </row>
    <row r="1958">
      <c r="A1958" t="n">
        <v>1952</v>
      </c>
      <c r="B1958">
        <f>_DestuffedBits!C1953</f>
        <v/>
      </c>
      <c r="C1958">
        <f>G1957</f>
        <v/>
      </c>
      <c r="D1958">
        <f>_xlfn.BITAND(C1958,1)</f>
        <v/>
      </c>
      <c r="E1958">
        <f>_xlfn.BITRSHIFT(C1958,1)</f>
        <v/>
      </c>
      <c r="F1958">
        <f>_xlfn.BITXOR(D1958,B1958)</f>
        <v/>
      </c>
      <c r="G1958">
        <f>IF(F1958=1,_xlfn.BITXOR(E1958,33800),E1958)</f>
        <v/>
      </c>
    </row>
    <row r="1959">
      <c r="A1959" t="n">
        <v>1953</v>
      </c>
      <c r="B1959">
        <f>_DestuffedBits!C1954</f>
        <v/>
      </c>
      <c r="C1959">
        <f>G1958</f>
        <v/>
      </c>
      <c r="D1959">
        <f>_xlfn.BITAND(C1959,1)</f>
        <v/>
      </c>
      <c r="E1959">
        <f>_xlfn.BITRSHIFT(C1959,1)</f>
        <v/>
      </c>
      <c r="F1959">
        <f>_xlfn.BITXOR(D1959,B1959)</f>
        <v/>
      </c>
      <c r="G1959">
        <f>IF(F1959=1,_xlfn.BITXOR(E1959,33800),E1959)</f>
        <v/>
      </c>
    </row>
    <row r="1960">
      <c r="A1960" t="n">
        <v>1954</v>
      </c>
      <c r="B1960">
        <f>_DestuffedBits!C1955</f>
        <v/>
      </c>
      <c r="C1960">
        <f>G1959</f>
        <v/>
      </c>
      <c r="D1960">
        <f>_xlfn.BITAND(C1960,1)</f>
        <v/>
      </c>
      <c r="E1960">
        <f>_xlfn.BITRSHIFT(C1960,1)</f>
        <v/>
      </c>
      <c r="F1960">
        <f>_xlfn.BITXOR(D1960,B1960)</f>
        <v/>
      </c>
      <c r="G1960">
        <f>IF(F1960=1,_xlfn.BITXOR(E1960,33800),E1960)</f>
        <v/>
      </c>
    </row>
    <row r="1961">
      <c r="A1961" t="n">
        <v>1955</v>
      </c>
      <c r="B1961">
        <f>_DestuffedBits!C1956</f>
        <v/>
      </c>
      <c r="C1961">
        <f>G1960</f>
        <v/>
      </c>
      <c r="D1961">
        <f>_xlfn.BITAND(C1961,1)</f>
        <v/>
      </c>
      <c r="E1961">
        <f>_xlfn.BITRSHIFT(C1961,1)</f>
        <v/>
      </c>
      <c r="F1961">
        <f>_xlfn.BITXOR(D1961,B1961)</f>
        <v/>
      </c>
      <c r="G1961">
        <f>IF(F1961=1,_xlfn.BITXOR(E1961,33800),E1961)</f>
        <v/>
      </c>
    </row>
    <row r="1962">
      <c r="A1962" t="n">
        <v>1956</v>
      </c>
      <c r="B1962">
        <f>_DestuffedBits!C1957</f>
        <v/>
      </c>
      <c r="C1962">
        <f>G1961</f>
        <v/>
      </c>
      <c r="D1962">
        <f>_xlfn.BITAND(C1962,1)</f>
        <v/>
      </c>
      <c r="E1962">
        <f>_xlfn.BITRSHIFT(C1962,1)</f>
        <v/>
      </c>
      <c r="F1962">
        <f>_xlfn.BITXOR(D1962,B1962)</f>
        <v/>
      </c>
      <c r="G1962">
        <f>IF(F1962=1,_xlfn.BITXOR(E1962,33800),E1962)</f>
        <v/>
      </c>
    </row>
    <row r="1963">
      <c r="A1963" t="n">
        <v>1957</v>
      </c>
      <c r="B1963">
        <f>_DestuffedBits!C1958</f>
        <v/>
      </c>
      <c r="C1963">
        <f>G1962</f>
        <v/>
      </c>
      <c r="D1963">
        <f>_xlfn.BITAND(C1963,1)</f>
        <v/>
      </c>
      <c r="E1963">
        <f>_xlfn.BITRSHIFT(C1963,1)</f>
        <v/>
      </c>
      <c r="F1963">
        <f>_xlfn.BITXOR(D1963,B1963)</f>
        <v/>
      </c>
      <c r="G1963">
        <f>IF(F1963=1,_xlfn.BITXOR(E1963,33800),E1963)</f>
        <v/>
      </c>
    </row>
    <row r="1964">
      <c r="A1964" t="n">
        <v>1958</v>
      </c>
      <c r="B1964">
        <f>_DestuffedBits!C1959</f>
        <v/>
      </c>
      <c r="C1964">
        <f>G1963</f>
        <v/>
      </c>
      <c r="D1964">
        <f>_xlfn.BITAND(C1964,1)</f>
        <v/>
      </c>
      <c r="E1964">
        <f>_xlfn.BITRSHIFT(C1964,1)</f>
        <v/>
      </c>
      <c r="F1964">
        <f>_xlfn.BITXOR(D1964,B1964)</f>
        <v/>
      </c>
      <c r="G1964">
        <f>IF(F1964=1,_xlfn.BITXOR(E1964,33800),E1964)</f>
        <v/>
      </c>
    </row>
    <row r="1965">
      <c r="A1965" t="n">
        <v>1959</v>
      </c>
      <c r="B1965">
        <f>_DestuffedBits!C1960</f>
        <v/>
      </c>
      <c r="C1965">
        <f>G1964</f>
        <v/>
      </c>
      <c r="D1965">
        <f>_xlfn.BITAND(C1965,1)</f>
        <v/>
      </c>
      <c r="E1965">
        <f>_xlfn.BITRSHIFT(C1965,1)</f>
        <v/>
      </c>
      <c r="F1965">
        <f>_xlfn.BITXOR(D1965,B1965)</f>
        <v/>
      </c>
      <c r="G1965">
        <f>IF(F1965=1,_xlfn.BITXOR(E1965,33800),E1965)</f>
        <v/>
      </c>
    </row>
    <row r="1966">
      <c r="A1966" t="n">
        <v>1960</v>
      </c>
      <c r="B1966">
        <f>_DestuffedBits!C1961</f>
        <v/>
      </c>
      <c r="C1966">
        <f>G1965</f>
        <v/>
      </c>
      <c r="D1966">
        <f>_xlfn.BITAND(C1966,1)</f>
        <v/>
      </c>
      <c r="E1966">
        <f>_xlfn.BITRSHIFT(C1966,1)</f>
        <v/>
      </c>
      <c r="F1966">
        <f>_xlfn.BITXOR(D1966,B1966)</f>
        <v/>
      </c>
      <c r="G1966">
        <f>IF(F1966=1,_xlfn.BITXOR(E1966,33800),E1966)</f>
        <v/>
      </c>
    </row>
    <row r="1967">
      <c r="A1967" t="n">
        <v>1961</v>
      </c>
      <c r="B1967">
        <f>_DestuffedBits!C1962</f>
        <v/>
      </c>
      <c r="C1967">
        <f>G1966</f>
        <v/>
      </c>
      <c r="D1967">
        <f>_xlfn.BITAND(C1967,1)</f>
        <v/>
      </c>
      <c r="E1967">
        <f>_xlfn.BITRSHIFT(C1967,1)</f>
        <v/>
      </c>
      <c r="F1967">
        <f>_xlfn.BITXOR(D1967,B1967)</f>
        <v/>
      </c>
      <c r="G1967">
        <f>IF(F1967=1,_xlfn.BITXOR(E1967,33800),E1967)</f>
        <v/>
      </c>
    </row>
    <row r="1968">
      <c r="A1968" t="n">
        <v>1962</v>
      </c>
      <c r="B1968">
        <f>_DestuffedBits!C1963</f>
        <v/>
      </c>
      <c r="C1968">
        <f>G1967</f>
        <v/>
      </c>
      <c r="D1968">
        <f>_xlfn.BITAND(C1968,1)</f>
        <v/>
      </c>
      <c r="E1968">
        <f>_xlfn.BITRSHIFT(C1968,1)</f>
        <v/>
      </c>
      <c r="F1968">
        <f>_xlfn.BITXOR(D1968,B1968)</f>
        <v/>
      </c>
      <c r="G1968">
        <f>IF(F1968=1,_xlfn.BITXOR(E1968,33800),E1968)</f>
        <v/>
      </c>
    </row>
    <row r="1969">
      <c r="A1969" t="n">
        <v>1963</v>
      </c>
      <c r="B1969">
        <f>_DestuffedBits!C1964</f>
        <v/>
      </c>
      <c r="C1969">
        <f>G1968</f>
        <v/>
      </c>
      <c r="D1969">
        <f>_xlfn.BITAND(C1969,1)</f>
        <v/>
      </c>
      <c r="E1969">
        <f>_xlfn.BITRSHIFT(C1969,1)</f>
        <v/>
      </c>
      <c r="F1969">
        <f>_xlfn.BITXOR(D1969,B1969)</f>
        <v/>
      </c>
      <c r="G1969">
        <f>IF(F1969=1,_xlfn.BITXOR(E1969,33800),E1969)</f>
        <v/>
      </c>
    </row>
    <row r="1970">
      <c r="A1970" t="n">
        <v>1964</v>
      </c>
      <c r="B1970">
        <f>_DestuffedBits!C1965</f>
        <v/>
      </c>
      <c r="C1970">
        <f>G1969</f>
        <v/>
      </c>
      <c r="D1970">
        <f>_xlfn.BITAND(C1970,1)</f>
        <v/>
      </c>
      <c r="E1970">
        <f>_xlfn.BITRSHIFT(C1970,1)</f>
        <v/>
      </c>
      <c r="F1970">
        <f>_xlfn.BITXOR(D1970,B1970)</f>
        <v/>
      </c>
      <c r="G1970">
        <f>IF(F1970=1,_xlfn.BITXOR(E1970,33800),E1970)</f>
        <v/>
      </c>
    </row>
    <row r="1971">
      <c r="A1971" t="n">
        <v>1965</v>
      </c>
      <c r="B1971">
        <f>_DestuffedBits!C1966</f>
        <v/>
      </c>
      <c r="C1971">
        <f>G1970</f>
        <v/>
      </c>
      <c r="D1971">
        <f>_xlfn.BITAND(C1971,1)</f>
        <v/>
      </c>
      <c r="E1971">
        <f>_xlfn.BITRSHIFT(C1971,1)</f>
        <v/>
      </c>
      <c r="F1971">
        <f>_xlfn.BITXOR(D1971,B1971)</f>
        <v/>
      </c>
      <c r="G1971">
        <f>IF(F1971=1,_xlfn.BITXOR(E1971,33800),E1971)</f>
        <v/>
      </c>
    </row>
    <row r="1972">
      <c r="A1972" t="n">
        <v>1966</v>
      </c>
      <c r="B1972">
        <f>_DestuffedBits!C1967</f>
        <v/>
      </c>
      <c r="C1972">
        <f>G1971</f>
        <v/>
      </c>
      <c r="D1972">
        <f>_xlfn.BITAND(C1972,1)</f>
        <v/>
      </c>
      <c r="E1972">
        <f>_xlfn.BITRSHIFT(C1972,1)</f>
        <v/>
      </c>
      <c r="F1972">
        <f>_xlfn.BITXOR(D1972,B1972)</f>
        <v/>
      </c>
      <c r="G1972">
        <f>IF(F1972=1,_xlfn.BITXOR(E1972,33800),E1972)</f>
        <v/>
      </c>
    </row>
    <row r="1973">
      <c r="A1973" t="n">
        <v>1967</v>
      </c>
      <c r="B1973">
        <f>_DestuffedBits!C1968</f>
        <v/>
      </c>
      <c r="C1973">
        <f>G1972</f>
        <v/>
      </c>
      <c r="D1973">
        <f>_xlfn.BITAND(C1973,1)</f>
        <v/>
      </c>
      <c r="E1973">
        <f>_xlfn.BITRSHIFT(C1973,1)</f>
        <v/>
      </c>
      <c r="F1973">
        <f>_xlfn.BITXOR(D1973,B1973)</f>
        <v/>
      </c>
      <c r="G1973">
        <f>IF(F1973=1,_xlfn.BITXOR(E1973,33800),E1973)</f>
        <v/>
      </c>
    </row>
    <row r="1974">
      <c r="A1974" t="n">
        <v>1968</v>
      </c>
      <c r="B1974">
        <f>_DestuffedBits!C1969</f>
        <v/>
      </c>
      <c r="C1974">
        <f>G1973</f>
        <v/>
      </c>
      <c r="D1974">
        <f>_xlfn.BITAND(C1974,1)</f>
        <v/>
      </c>
      <c r="E1974">
        <f>_xlfn.BITRSHIFT(C1974,1)</f>
        <v/>
      </c>
      <c r="F1974">
        <f>_xlfn.BITXOR(D1974,B1974)</f>
        <v/>
      </c>
      <c r="G1974">
        <f>IF(F1974=1,_xlfn.BITXOR(E1974,33800),E1974)</f>
        <v/>
      </c>
    </row>
    <row r="1975">
      <c r="A1975" t="n">
        <v>1969</v>
      </c>
      <c r="B1975">
        <f>_DestuffedBits!C1970</f>
        <v/>
      </c>
      <c r="C1975">
        <f>G1974</f>
        <v/>
      </c>
      <c r="D1975">
        <f>_xlfn.BITAND(C1975,1)</f>
        <v/>
      </c>
      <c r="E1975">
        <f>_xlfn.BITRSHIFT(C1975,1)</f>
        <v/>
      </c>
      <c r="F1975">
        <f>_xlfn.BITXOR(D1975,B1975)</f>
        <v/>
      </c>
      <c r="G1975">
        <f>IF(F1975=1,_xlfn.BITXOR(E1975,33800),E1975)</f>
        <v/>
      </c>
    </row>
    <row r="1976">
      <c r="A1976" t="n">
        <v>1970</v>
      </c>
      <c r="B1976">
        <f>_DestuffedBits!C1971</f>
        <v/>
      </c>
      <c r="C1976">
        <f>G1975</f>
        <v/>
      </c>
      <c r="D1976">
        <f>_xlfn.BITAND(C1976,1)</f>
        <v/>
      </c>
      <c r="E1976">
        <f>_xlfn.BITRSHIFT(C1976,1)</f>
        <v/>
      </c>
      <c r="F1976">
        <f>_xlfn.BITXOR(D1976,B1976)</f>
        <v/>
      </c>
      <c r="G1976">
        <f>IF(F1976=1,_xlfn.BITXOR(E1976,33800),E1976)</f>
        <v/>
      </c>
    </row>
    <row r="1977">
      <c r="A1977" t="n">
        <v>1971</v>
      </c>
      <c r="B1977">
        <f>_DestuffedBits!C1972</f>
        <v/>
      </c>
      <c r="C1977">
        <f>G1976</f>
        <v/>
      </c>
      <c r="D1977">
        <f>_xlfn.BITAND(C1977,1)</f>
        <v/>
      </c>
      <c r="E1977">
        <f>_xlfn.BITRSHIFT(C1977,1)</f>
        <v/>
      </c>
      <c r="F1977">
        <f>_xlfn.BITXOR(D1977,B1977)</f>
        <v/>
      </c>
      <c r="G1977">
        <f>IF(F1977=1,_xlfn.BITXOR(E1977,33800),E1977)</f>
        <v/>
      </c>
    </row>
    <row r="1978">
      <c r="A1978" t="n">
        <v>1972</v>
      </c>
      <c r="B1978">
        <f>_DestuffedBits!C1973</f>
        <v/>
      </c>
      <c r="C1978">
        <f>G1977</f>
        <v/>
      </c>
      <c r="D1978">
        <f>_xlfn.BITAND(C1978,1)</f>
        <v/>
      </c>
      <c r="E1978">
        <f>_xlfn.BITRSHIFT(C1978,1)</f>
        <v/>
      </c>
      <c r="F1978">
        <f>_xlfn.BITXOR(D1978,B1978)</f>
        <v/>
      </c>
      <c r="G1978">
        <f>IF(F1978=1,_xlfn.BITXOR(E1978,33800),E1978)</f>
        <v/>
      </c>
    </row>
    <row r="1979">
      <c r="A1979" t="n">
        <v>1973</v>
      </c>
      <c r="B1979">
        <f>_DestuffedBits!C1974</f>
        <v/>
      </c>
      <c r="C1979">
        <f>G1978</f>
        <v/>
      </c>
      <c r="D1979">
        <f>_xlfn.BITAND(C1979,1)</f>
        <v/>
      </c>
      <c r="E1979">
        <f>_xlfn.BITRSHIFT(C1979,1)</f>
        <v/>
      </c>
      <c r="F1979">
        <f>_xlfn.BITXOR(D1979,B1979)</f>
        <v/>
      </c>
      <c r="G1979">
        <f>IF(F1979=1,_xlfn.BITXOR(E1979,33800),E1979)</f>
        <v/>
      </c>
    </row>
    <row r="1980">
      <c r="A1980" t="n">
        <v>1974</v>
      </c>
      <c r="B1980">
        <f>_DestuffedBits!C1975</f>
        <v/>
      </c>
      <c r="C1980">
        <f>G1979</f>
        <v/>
      </c>
      <c r="D1980">
        <f>_xlfn.BITAND(C1980,1)</f>
        <v/>
      </c>
      <c r="E1980">
        <f>_xlfn.BITRSHIFT(C1980,1)</f>
        <v/>
      </c>
      <c r="F1980">
        <f>_xlfn.BITXOR(D1980,B1980)</f>
        <v/>
      </c>
      <c r="G1980">
        <f>IF(F1980=1,_xlfn.BITXOR(E1980,33800),E1980)</f>
        <v/>
      </c>
    </row>
    <row r="1981">
      <c r="A1981" t="n">
        <v>1975</v>
      </c>
      <c r="B1981">
        <f>_DestuffedBits!C1976</f>
        <v/>
      </c>
      <c r="C1981">
        <f>G1980</f>
        <v/>
      </c>
      <c r="D1981">
        <f>_xlfn.BITAND(C1981,1)</f>
        <v/>
      </c>
      <c r="E1981">
        <f>_xlfn.BITRSHIFT(C1981,1)</f>
        <v/>
      </c>
      <c r="F1981">
        <f>_xlfn.BITXOR(D1981,B1981)</f>
        <v/>
      </c>
      <c r="G1981">
        <f>IF(F1981=1,_xlfn.BITXOR(E1981,33800),E1981)</f>
        <v/>
      </c>
    </row>
    <row r="1982">
      <c r="A1982" t="n">
        <v>1976</v>
      </c>
      <c r="B1982">
        <f>_DestuffedBits!C1977</f>
        <v/>
      </c>
      <c r="C1982">
        <f>G1981</f>
        <v/>
      </c>
      <c r="D1982">
        <f>_xlfn.BITAND(C1982,1)</f>
        <v/>
      </c>
      <c r="E1982">
        <f>_xlfn.BITRSHIFT(C1982,1)</f>
        <v/>
      </c>
      <c r="F1982">
        <f>_xlfn.BITXOR(D1982,B1982)</f>
        <v/>
      </c>
      <c r="G1982">
        <f>IF(F1982=1,_xlfn.BITXOR(E1982,33800),E1982)</f>
        <v/>
      </c>
    </row>
    <row r="1983">
      <c r="A1983" t="n">
        <v>1977</v>
      </c>
      <c r="B1983">
        <f>_DestuffedBits!C1978</f>
        <v/>
      </c>
      <c r="C1983">
        <f>G1982</f>
        <v/>
      </c>
      <c r="D1983">
        <f>_xlfn.BITAND(C1983,1)</f>
        <v/>
      </c>
      <c r="E1983">
        <f>_xlfn.BITRSHIFT(C1983,1)</f>
        <v/>
      </c>
      <c r="F1983">
        <f>_xlfn.BITXOR(D1983,B1983)</f>
        <v/>
      </c>
      <c r="G1983">
        <f>IF(F1983=1,_xlfn.BITXOR(E1983,33800),E1983)</f>
        <v/>
      </c>
    </row>
    <row r="1984">
      <c r="A1984" t="n">
        <v>1978</v>
      </c>
      <c r="B1984">
        <f>_DestuffedBits!C1979</f>
        <v/>
      </c>
      <c r="C1984">
        <f>G1983</f>
        <v/>
      </c>
      <c r="D1984">
        <f>_xlfn.BITAND(C1984,1)</f>
        <v/>
      </c>
      <c r="E1984">
        <f>_xlfn.BITRSHIFT(C1984,1)</f>
        <v/>
      </c>
      <c r="F1984">
        <f>_xlfn.BITXOR(D1984,B1984)</f>
        <v/>
      </c>
      <c r="G1984">
        <f>IF(F1984=1,_xlfn.BITXOR(E1984,33800),E1984)</f>
        <v/>
      </c>
    </row>
    <row r="1985">
      <c r="A1985" t="n">
        <v>1979</v>
      </c>
      <c r="B1985">
        <f>_DestuffedBits!C1980</f>
        <v/>
      </c>
      <c r="C1985">
        <f>G1984</f>
        <v/>
      </c>
      <c r="D1985">
        <f>_xlfn.BITAND(C1985,1)</f>
        <v/>
      </c>
      <c r="E1985">
        <f>_xlfn.BITRSHIFT(C1985,1)</f>
        <v/>
      </c>
      <c r="F1985">
        <f>_xlfn.BITXOR(D1985,B1985)</f>
        <v/>
      </c>
      <c r="G1985">
        <f>IF(F1985=1,_xlfn.BITXOR(E1985,33800),E1985)</f>
        <v/>
      </c>
    </row>
    <row r="1986">
      <c r="A1986" t="n">
        <v>1980</v>
      </c>
      <c r="B1986">
        <f>_DestuffedBits!C1981</f>
        <v/>
      </c>
      <c r="C1986">
        <f>G1985</f>
        <v/>
      </c>
      <c r="D1986">
        <f>_xlfn.BITAND(C1986,1)</f>
        <v/>
      </c>
      <c r="E1986">
        <f>_xlfn.BITRSHIFT(C1986,1)</f>
        <v/>
      </c>
      <c r="F1986">
        <f>_xlfn.BITXOR(D1986,B1986)</f>
        <v/>
      </c>
      <c r="G1986">
        <f>IF(F1986=1,_xlfn.BITXOR(E1986,33800),E1986)</f>
        <v/>
      </c>
    </row>
    <row r="1987">
      <c r="A1987" t="n">
        <v>1981</v>
      </c>
      <c r="B1987">
        <f>_DestuffedBits!C1982</f>
        <v/>
      </c>
      <c r="C1987">
        <f>G1986</f>
        <v/>
      </c>
      <c r="D1987">
        <f>_xlfn.BITAND(C1987,1)</f>
        <v/>
      </c>
      <c r="E1987">
        <f>_xlfn.BITRSHIFT(C1987,1)</f>
        <v/>
      </c>
      <c r="F1987">
        <f>_xlfn.BITXOR(D1987,B1987)</f>
        <v/>
      </c>
      <c r="G1987">
        <f>IF(F1987=1,_xlfn.BITXOR(E1987,33800),E1987)</f>
        <v/>
      </c>
    </row>
    <row r="1988">
      <c r="A1988" t="n">
        <v>1982</v>
      </c>
      <c r="B1988">
        <f>_DestuffedBits!C1983</f>
        <v/>
      </c>
      <c r="C1988">
        <f>G1987</f>
        <v/>
      </c>
      <c r="D1988">
        <f>_xlfn.BITAND(C1988,1)</f>
        <v/>
      </c>
      <c r="E1988">
        <f>_xlfn.BITRSHIFT(C1988,1)</f>
        <v/>
      </c>
      <c r="F1988">
        <f>_xlfn.BITXOR(D1988,B1988)</f>
        <v/>
      </c>
      <c r="G1988">
        <f>IF(F1988=1,_xlfn.BITXOR(E1988,33800),E1988)</f>
        <v/>
      </c>
    </row>
    <row r="1989">
      <c r="A1989" t="n">
        <v>1983</v>
      </c>
      <c r="B1989">
        <f>_DestuffedBits!C1984</f>
        <v/>
      </c>
      <c r="C1989">
        <f>G1988</f>
        <v/>
      </c>
      <c r="D1989">
        <f>_xlfn.BITAND(C1989,1)</f>
        <v/>
      </c>
      <c r="E1989">
        <f>_xlfn.BITRSHIFT(C1989,1)</f>
        <v/>
      </c>
      <c r="F1989">
        <f>_xlfn.BITXOR(D1989,B1989)</f>
        <v/>
      </c>
      <c r="G1989">
        <f>IF(F1989=1,_xlfn.BITXOR(E1989,33800),E1989)</f>
        <v/>
      </c>
    </row>
    <row r="1990">
      <c r="A1990" t="n">
        <v>1984</v>
      </c>
      <c r="B1990">
        <f>_DestuffedBits!C1985</f>
        <v/>
      </c>
      <c r="C1990">
        <f>G1989</f>
        <v/>
      </c>
      <c r="D1990">
        <f>_xlfn.BITAND(C1990,1)</f>
        <v/>
      </c>
      <c r="E1990">
        <f>_xlfn.BITRSHIFT(C1990,1)</f>
        <v/>
      </c>
      <c r="F1990">
        <f>_xlfn.BITXOR(D1990,B1990)</f>
        <v/>
      </c>
      <c r="G1990">
        <f>IF(F1990=1,_xlfn.BITXOR(E1990,33800),E1990)</f>
        <v/>
      </c>
    </row>
    <row r="1991">
      <c r="A1991" t="n">
        <v>1985</v>
      </c>
      <c r="B1991">
        <f>_DestuffedBits!C1986</f>
        <v/>
      </c>
      <c r="C1991">
        <f>G1990</f>
        <v/>
      </c>
      <c r="D1991">
        <f>_xlfn.BITAND(C1991,1)</f>
        <v/>
      </c>
      <c r="E1991">
        <f>_xlfn.BITRSHIFT(C1991,1)</f>
        <v/>
      </c>
      <c r="F1991">
        <f>_xlfn.BITXOR(D1991,B1991)</f>
        <v/>
      </c>
      <c r="G1991">
        <f>IF(F1991=1,_xlfn.BITXOR(E1991,33800),E1991)</f>
        <v/>
      </c>
    </row>
    <row r="1992">
      <c r="A1992" t="n">
        <v>1986</v>
      </c>
      <c r="B1992">
        <f>_DestuffedBits!C1987</f>
        <v/>
      </c>
      <c r="C1992">
        <f>G1991</f>
        <v/>
      </c>
      <c r="D1992">
        <f>_xlfn.BITAND(C1992,1)</f>
        <v/>
      </c>
      <c r="E1992">
        <f>_xlfn.BITRSHIFT(C1992,1)</f>
        <v/>
      </c>
      <c r="F1992">
        <f>_xlfn.BITXOR(D1992,B1992)</f>
        <v/>
      </c>
      <c r="G1992">
        <f>IF(F1992=1,_xlfn.BITXOR(E1992,33800),E1992)</f>
        <v/>
      </c>
    </row>
    <row r="1993">
      <c r="A1993" t="n">
        <v>1987</v>
      </c>
      <c r="B1993">
        <f>_DestuffedBits!C1988</f>
        <v/>
      </c>
      <c r="C1993">
        <f>G1992</f>
        <v/>
      </c>
      <c r="D1993">
        <f>_xlfn.BITAND(C1993,1)</f>
        <v/>
      </c>
      <c r="E1993">
        <f>_xlfn.BITRSHIFT(C1993,1)</f>
        <v/>
      </c>
      <c r="F1993">
        <f>_xlfn.BITXOR(D1993,B1993)</f>
        <v/>
      </c>
      <c r="G1993">
        <f>IF(F1993=1,_xlfn.BITXOR(E1993,33800),E1993)</f>
        <v/>
      </c>
    </row>
    <row r="1994">
      <c r="A1994" t="n">
        <v>1988</v>
      </c>
      <c r="B1994">
        <f>_DestuffedBits!C1989</f>
        <v/>
      </c>
      <c r="C1994">
        <f>G1993</f>
        <v/>
      </c>
      <c r="D1994">
        <f>_xlfn.BITAND(C1994,1)</f>
        <v/>
      </c>
      <c r="E1994">
        <f>_xlfn.BITRSHIFT(C1994,1)</f>
        <v/>
      </c>
      <c r="F1994">
        <f>_xlfn.BITXOR(D1994,B1994)</f>
        <v/>
      </c>
      <c r="G1994">
        <f>IF(F1994=1,_xlfn.BITXOR(E1994,33800),E1994)</f>
        <v/>
      </c>
    </row>
    <row r="1995">
      <c r="A1995" t="n">
        <v>1989</v>
      </c>
      <c r="B1995">
        <f>_DestuffedBits!C1990</f>
        <v/>
      </c>
      <c r="C1995">
        <f>G1994</f>
        <v/>
      </c>
      <c r="D1995">
        <f>_xlfn.BITAND(C1995,1)</f>
        <v/>
      </c>
      <c r="E1995">
        <f>_xlfn.BITRSHIFT(C1995,1)</f>
        <v/>
      </c>
      <c r="F1995">
        <f>_xlfn.BITXOR(D1995,B1995)</f>
        <v/>
      </c>
      <c r="G1995">
        <f>IF(F1995=1,_xlfn.BITXOR(E1995,33800),E1995)</f>
        <v/>
      </c>
    </row>
    <row r="1996">
      <c r="A1996" t="n">
        <v>1990</v>
      </c>
      <c r="B1996">
        <f>_DestuffedBits!C1991</f>
        <v/>
      </c>
      <c r="C1996">
        <f>G1995</f>
        <v/>
      </c>
      <c r="D1996">
        <f>_xlfn.BITAND(C1996,1)</f>
        <v/>
      </c>
      <c r="E1996">
        <f>_xlfn.BITRSHIFT(C1996,1)</f>
        <v/>
      </c>
      <c r="F1996">
        <f>_xlfn.BITXOR(D1996,B1996)</f>
        <v/>
      </c>
      <c r="G1996">
        <f>IF(F1996=1,_xlfn.BITXOR(E1996,33800),E1996)</f>
        <v/>
      </c>
    </row>
    <row r="1997">
      <c r="A1997" t="n">
        <v>1991</v>
      </c>
      <c r="B1997">
        <f>_DestuffedBits!C1992</f>
        <v/>
      </c>
      <c r="C1997">
        <f>G1996</f>
        <v/>
      </c>
      <c r="D1997">
        <f>_xlfn.BITAND(C1997,1)</f>
        <v/>
      </c>
      <c r="E1997">
        <f>_xlfn.BITRSHIFT(C1997,1)</f>
        <v/>
      </c>
      <c r="F1997">
        <f>_xlfn.BITXOR(D1997,B1997)</f>
        <v/>
      </c>
      <c r="G1997">
        <f>IF(F1997=1,_xlfn.BITXOR(E1997,33800),E1997)</f>
        <v/>
      </c>
    </row>
    <row r="1998">
      <c r="A1998" t="n">
        <v>1992</v>
      </c>
      <c r="B1998">
        <f>_DestuffedBits!C1993</f>
        <v/>
      </c>
      <c r="C1998">
        <f>G1997</f>
        <v/>
      </c>
      <c r="D1998">
        <f>_xlfn.BITAND(C1998,1)</f>
        <v/>
      </c>
      <c r="E1998">
        <f>_xlfn.BITRSHIFT(C1998,1)</f>
        <v/>
      </c>
      <c r="F1998">
        <f>_xlfn.BITXOR(D1998,B1998)</f>
        <v/>
      </c>
      <c r="G1998">
        <f>IF(F1998=1,_xlfn.BITXOR(E1998,33800),E1998)</f>
        <v/>
      </c>
    </row>
    <row r="1999">
      <c r="A1999" t="n">
        <v>1993</v>
      </c>
      <c r="B1999">
        <f>_DestuffedBits!C1994</f>
        <v/>
      </c>
      <c r="C1999">
        <f>G1998</f>
        <v/>
      </c>
      <c r="D1999">
        <f>_xlfn.BITAND(C1999,1)</f>
        <v/>
      </c>
      <c r="E1999">
        <f>_xlfn.BITRSHIFT(C1999,1)</f>
        <v/>
      </c>
      <c r="F1999">
        <f>_xlfn.BITXOR(D1999,B1999)</f>
        <v/>
      </c>
      <c r="G1999">
        <f>IF(F1999=1,_xlfn.BITXOR(E1999,33800),E1999)</f>
        <v/>
      </c>
    </row>
    <row r="2000">
      <c r="A2000" t="n">
        <v>1994</v>
      </c>
      <c r="B2000">
        <f>_DestuffedBits!C1995</f>
        <v/>
      </c>
      <c r="C2000">
        <f>G1999</f>
        <v/>
      </c>
      <c r="D2000">
        <f>_xlfn.BITAND(C2000,1)</f>
        <v/>
      </c>
      <c r="E2000">
        <f>_xlfn.BITRSHIFT(C2000,1)</f>
        <v/>
      </c>
      <c r="F2000">
        <f>_xlfn.BITXOR(D2000,B2000)</f>
        <v/>
      </c>
      <c r="G2000">
        <f>IF(F2000=1,_xlfn.BITXOR(E2000,33800),E2000)</f>
        <v/>
      </c>
    </row>
    <row r="2001">
      <c r="A2001" t="n">
        <v>1995</v>
      </c>
      <c r="B2001">
        <f>_DestuffedBits!C1996</f>
        <v/>
      </c>
      <c r="C2001">
        <f>G2000</f>
        <v/>
      </c>
      <c r="D2001">
        <f>_xlfn.BITAND(C2001,1)</f>
        <v/>
      </c>
      <c r="E2001">
        <f>_xlfn.BITRSHIFT(C2001,1)</f>
        <v/>
      </c>
      <c r="F2001">
        <f>_xlfn.BITXOR(D2001,B2001)</f>
        <v/>
      </c>
      <c r="G2001">
        <f>IF(F2001=1,_xlfn.BITXOR(E2001,33800),E2001)</f>
        <v/>
      </c>
    </row>
    <row r="2002">
      <c r="A2002" t="n">
        <v>1996</v>
      </c>
      <c r="B2002">
        <f>_DestuffedBits!C1997</f>
        <v/>
      </c>
      <c r="C2002">
        <f>G2001</f>
        <v/>
      </c>
      <c r="D2002">
        <f>_xlfn.BITAND(C2002,1)</f>
        <v/>
      </c>
      <c r="E2002">
        <f>_xlfn.BITRSHIFT(C2002,1)</f>
        <v/>
      </c>
      <c r="F2002">
        <f>_xlfn.BITXOR(D2002,B2002)</f>
        <v/>
      </c>
      <c r="G2002">
        <f>IF(F2002=1,_xlfn.BITXOR(E2002,33800),E2002)</f>
        <v/>
      </c>
    </row>
    <row r="2003">
      <c r="A2003" t="n">
        <v>1997</v>
      </c>
      <c r="B2003">
        <f>_DestuffedBits!C1998</f>
        <v/>
      </c>
      <c r="C2003">
        <f>G2002</f>
        <v/>
      </c>
      <c r="D2003">
        <f>_xlfn.BITAND(C2003,1)</f>
        <v/>
      </c>
      <c r="E2003">
        <f>_xlfn.BITRSHIFT(C2003,1)</f>
        <v/>
      </c>
      <c r="F2003">
        <f>_xlfn.BITXOR(D2003,B2003)</f>
        <v/>
      </c>
      <c r="G2003">
        <f>IF(F2003=1,_xlfn.BITXOR(E2003,33800),E2003)</f>
        <v/>
      </c>
    </row>
    <row r="2004">
      <c r="A2004" t="n">
        <v>1998</v>
      </c>
      <c r="B2004">
        <f>_DestuffedBits!C1999</f>
        <v/>
      </c>
      <c r="C2004">
        <f>G2003</f>
        <v/>
      </c>
      <c r="D2004">
        <f>_xlfn.BITAND(C2004,1)</f>
        <v/>
      </c>
      <c r="E2004">
        <f>_xlfn.BITRSHIFT(C2004,1)</f>
        <v/>
      </c>
      <c r="F2004">
        <f>_xlfn.BITXOR(D2004,B2004)</f>
        <v/>
      </c>
      <c r="G2004">
        <f>IF(F2004=1,_xlfn.BITXOR(E2004,33800),E2004)</f>
        <v/>
      </c>
    </row>
    <row r="2005">
      <c r="A2005" t="n">
        <v>1999</v>
      </c>
      <c r="B2005">
        <f>_DestuffedBits!C2000</f>
        <v/>
      </c>
      <c r="C2005">
        <f>G2004</f>
        <v/>
      </c>
      <c r="D2005">
        <f>_xlfn.BITAND(C2005,1)</f>
        <v/>
      </c>
      <c r="E2005">
        <f>_xlfn.BITRSHIFT(C2005,1)</f>
        <v/>
      </c>
      <c r="F2005">
        <f>_xlfn.BITXOR(D2005,B2005)</f>
        <v/>
      </c>
      <c r="G2005">
        <f>IF(F2005=1,_xlfn.BITXOR(E2005,33800),E2005)</f>
        <v/>
      </c>
    </row>
    <row r="2006">
      <c r="A2006" t="n">
        <v>2000</v>
      </c>
      <c r="B2006">
        <f>_DestuffedBits!C2001</f>
        <v/>
      </c>
      <c r="C2006">
        <f>G2005</f>
        <v/>
      </c>
      <c r="D2006">
        <f>_xlfn.BITAND(C2006,1)</f>
        <v/>
      </c>
      <c r="E2006">
        <f>_xlfn.BITRSHIFT(C2006,1)</f>
        <v/>
      </c>
      <c r="F2006">
        <f>_xlfn.BITXOR(D2006,B2006)</f>
        <v/>
      </c>
      <c r="G2006">
        <f>IF(F2006=1,_xlfn.BITXOR(E2006,33800),E2006)</f>
        <v/>
      </c>
    </row>
    <row r="2007">
      <c r="A2007" t="n">
        <v>2001</v>
      </c>
      <c r="B2007">
        <f>_DestuffedBits!C2002</f>
        <v/>
      </c>
      <c r="C2007">
        <f>G2006</f>
        <v/>
      </c>
      <c r="D2007">
        <f>_xlfn.BITAND(C2007,1)</f>
        <v/>
      </c>
      <c r="E2007">
        <f>_xlfn.BITRSHIFT(C2007,1)</f>
        <v/>
      </c>
      <c r="F2007">
        <f>_xlfn.BITXOR(D2007,B2007)</f>
        <v/>
      </c>
      <c r="G2007">
        <f>IF(F2007=1,_xlfn.BITXOR(E2007,33800),E2007)</f>
        <v/>
      </c>
    </row>
    <row r="2008">
      <c r="A2008" t="n">
        <v>2002</v>
      </c>
      <c r="B2008">
        <f>_DestuffedBits!C2003</f>
        <v/>
      </c>
      <c r="C2008">
        <f>G2007</f>
        <v/>
      </c>
      <c r="D2008">
        <f>_xlfn.BITAND(C2008,1)</f>
        <v/>
      </c>
      <c r="E2008">
        <f>_xlfn.BITRSHIFT(C2008,1)</f>
        <v/>
      </c>
      <c r="F2008">
        <f>_xlfn.BITXOR(D2008,B2008)</f>
        <v/>
      </c>
      <c r="G2008">
        <f>IF(F2008=1,_xlfn.BITXOR(E2008,33800),E2008)</f>
        <v/>
      </c>
    </row>
    <row r="2009">
      <c r="A2009" t="n">
        <v>2003</v>
      </c>
      <c r="B2009">
        <f>_DestuffedBits!C2004</f>
        <v/>
      </c>
      <c r="C2009">
        <f>G2008</f>
        <v/>
      </c>
      <c r="D2009">
        <f>_xlfn.BITAND(C2009,1)</f>
        <v/>
      </c>
      <c r="E2009">
        <f>_xlfn.BITRSHIFT(C2009,1)</f>
        <v/>
      </c>
      <c r="F2009">
        <f>_xlfn.BITXOR(D2009,B2009)</f>
        <v/>
      </c>
      <c r="G2009">
        <f>IF(F2009=1,_xlfn.BITXOR(E2009,33800),E2009)</f>
        <v/>
      </c>
    </row>
    <row r="2010">
      <c r="A2010" t="n">
        <v>2004</v>
      </c>
      <c r="B2010">
        <f>_DestuffedBits!C2005</f>
        <v/>
      </c>
      <c r="C2010">
        <f>G2009</f>
        <v/>
      </c>
      <c r="D2010">
        <f>_xlfn.BITAND(C2010,1)</f>
        <v/>
      </c>
      <c r="E2010">
        <f>_xlfn.BITRSHIFT(C2010,1)</f>
        <v/>
      </c>
      <c r="F2010">
        <f>_xlfn.BITXOR(D2010,B2010)</f>
        <v/>
      </c>
      <c r="G2010">
        <f>IF(F2010=1,_xlfn.BITXOR(E2010,33800),E2010)</f>
        <v/>
      </c>
    </row>
    <row r="2011">
      <c r="A2011" t="n">
        <v>2005</v>
      </c>
      <c r="B2011">
        <f>_DestuffedBits!C2006</f>
        <v/>
      </c>
      <c r="C2011">
        <f>G2010</f>
        <v/>
      </c>
      <c r="D2011">
        <f>_xlfn.BITAND(C2011,1)</f>
        <v/>
      </c>
      <c r="E2011">
        <f>_xlfn.BITRSHIFT(C2011,1)</f>
        <v/>
      </c>
      <c r="F2011">
        <f>_xlfn.BITXOR(D2011,B2011)</f>
        <v/>
      </c>
      <c r="G2011">
        <f>IF(F2011=1,_xlfn.BITXOR(E2011,33800),E2011)</f>
        <v/>
      </c>
    </row>
    <row r="2012">
      <c r="A2012" t="n">
        <v>2006</v>
      </c>
      <c r="B2012">
        <f>_DestuffedBits!C2007</f>
        <v/>
      </c>
      <c r="C2012">
        <f>G2011</f>
        <v/>
      </c>
      <c r="D2012">
        <f>_xlfn.BITAND(C2012,1)</f>
        <v/>
      </c>
      <c r="E2012">
        <f>_xlfn.BITRSHIFT(C2012,1)</f>
        <v/>
      </c>
      <c r="F2012">
        <f>_xlfn.BITXOR(D2012,B2012)</f>
        <v/>
      </c>
      <c r="G2012">
        <f>IF(F2012=1,_xlfn.BITXOR(E2012,33800),E2012)</f>
        <v/>
      </c>
    </row>
    <row r="2013">
      <c r="A2013" t="n">
        <v>2007</v>
      </c>
      <c r="B2013">
        <f>_DestuffedBits!C2008</f>
        <v/>
      </c>
      <c r="C2013">
        <f>G2012</f>
        <v/>
      </c>
      <c r="D2013">
        <f>_xlfn.BITAND(C2013,1)</f>
        <v/>
      </c>
      <c r="E2013">
        <f>_xlfn.BITRSHIFT(C2013,1)</f>
        <v/>
      </c>
      <c r="F2013">
        <f>_xlfn.BITXOR(D2013,B2013)</f>
        <v/>
      </c>
      <c r="G2013">
        <f>IF(F2013=1,_xlfn.BITXOR(E2013,33800),E2013)</f>
        <v/>
      </c>
    </row>
    <row r="2014">
      <c r="A2014" t="n">
        <v>2008</v>
      </c>
      <c r="B2014">
        <f>_DestuffedBits!C2009</f>
        <v/>
      </c>
      <c r="C2014">
        <f>G2013</f>
        <v/>
      </c>
      <c r="D2014">
        <f>_xlfn.BITAND(C2014,1)</f>
        <v/>
      </c>
      <c r="E2014">
        <f>_xlfn.BITRSHIFT(C2014,1)</f>
        <v/>
      </c>
      <c r="F2014">
        <f>_xlfn.BITXOR(D2014,B2014)</f>
        <v/>
      </c>
      <c r="G2014">
        <f>IF(F2014=1,_xlfn.BITXOR(E2014,33800),E2014)</f>
        <v/>
      </c>
    </row>
    <row r="2015">
      <c r="A2015" t="n">
        <v>2009</v>
      </c>
      <c r="B2015">
        <f>_DestuffedBits!C2010</f>
        <v/>
      </c>
      <c r="C2015">
        <f>G2014</f>
        <v/>
      </c>
      <c r="D2015">
        <f>_xlfn.BITAND(C2015,1)</f>
        <v/>
      </c>
      <c r="E2015">
        <f>_xlfn.BITRSHIFT(C2015,1)</f>
        <v/>
      </c>
      <c r="F2015">
        <f>_xlfn.BITXOR(D2015,B2015)</f>
        <v/>
      </c>
      <c r="G2015">
        <f>IF(F2015=1,_xlfn.BITXOR(E2015,33800),E2015)</f>
        <v/>
      </c>
    </row>
    <row r="2016">
      <c r="A2016" t="n">
        <v>2010</v>
      </c>
      <c r="B2016">
        <f>_DestuffedBits!C2011</f>
        <v/>
      </c>
      <c r="C2016">
        <f>G2015</f>
        <v/>
      </c>
      <c r="D2016">
        <f>_xlfn.BITAND(C2016,1)</f>
        <v/>
      </c>
      <c r="E2016">
        <f>_xlfn.BITRSHIFT(C2016,1)</f>
        <v/>
      </c>
      <c r="F2016">
        <f>_xlfn.BITXOR(D2016,B2016)</f>
        <v/>
      </c>
      <c r="G2016">
        <f>IF(F2016=1,_xlfn.BITXOR(E2016,33800),E2016)</f>
        <v/>
      </c>
    </row>
    <row r="2017">
      <c r="A2017" t="n">
        <v>2011</v>
      </c>
      <c r="B2017">
        <f>_DestuffedBits!C2012</f>
        <v/>
      </c>
      <c r="C2017">
        <f>G2016</f>
        <v/>
      </c>
      <c r="D2017">
        <f>_xlfn.BITAND(C2017,1)</f>
        <v/>
      </c>
      <c r="E2017">
        <f>_xlfn.BITRSHIFT(C2017,1)</f>
        <v/>
      </c>
      <c r="F2017">
        <f>_xlfn.BITXOR(D2017,B2017)</f>
        <v/>
      </c>
      <c r="G2017">
        <f>IF(F2017=1,_xlfn.BITXOR(E2017,33800),E2017)</f>
        <v/>
      </c>
    </row>
    <row r="2018">
      <c r="A2018" t="n">
        <v>2012</v>
      </c>
      <c r="B2018">
        <f>_DestuffedBits!C2013</f>
        <v/>
      </c>
      <c r="C2018">
        <f>G2017</f>
        <v/>
      </c>
      <c r="D2018">
        <f>_xlfn.BITAND(C2018,1)</f>
        <v/>
      </c>
      <c r="E2018">
        <f>_xlfn.BITRSHIFT(C2018,1)</f>
        <v/>
      </c>
      <c r="F2018">
        <f>_xlfn.BITXOR(D2018,B2018)</f>
        <v/>
      </c>
      <c r="G2018">
        <f>IF(F2018=1,_xlfn.BITXOR(E2018,33800),E2018)</f>
        <v/>
      </c>
    </row>
    <row r="2019">
      <c r="A2019" t="n">
        <v>2013</v>
      </c>
      <c r="B2019">
        <f>_DestuffedBits!C2014</f>
        <v/>
      </c>
      <c r="C2019">
        <f>G2018</f>
        <v/>
      </c>
      <c r="D2019">
        <f>_xlfn.BITAND(C2019,1)</f>
        <v/>
      </c>
      <c r="E2019">
        <f>_xlfn.BITRSHIFT(C2019,1)</f>
        <v/>
      </c>
      <c r="F2019">
        <f>_xlfn.BITXOR(D2019,B2019)</f>
        <v/>
      </c>
      <c r="G2019">
        <f>IF(F2019=1,_xlfn.BITXOR(E2019,33800),E2019)</f>
        <v/>
      </c>
    </row>
    <row r="2020">
      <c r="A2020" t="n">
        <v>2014</v>
      </c>
      <c r="B2020">
        <f>_DestuffedBits!C2015</f>
        <v/>
      </c>
      <c r="C2020">
        <f>G2019</f>
        <v/>
      </c>
      <c r="D2020">
        <f>_xlfn.BITAND(C2020,1)</f>
        <v/>
      </c>
      <c r="E2020">
        <f>_xlfn.BITRSHIFT(C2020,1)</f>
        <v/>
      </c>
      <c r="F2020">
        <f>_xlfn.BITXOR(D2020,B2020)</f>
        <v/>
      </c>
      <c r="G2020">
        <f>IF(F2020=1,_xlfn.BITXOR(E2020,33800),E2020)</f>
        <v/>
      </c>
    </row>
    <row r="2021">
      <c r="A2021" t="n">
        <v>2015</v>
      </c>
      <c r="B2021">
        <f>_DestuffedBits!C2016</f>
        <v/>
      </c>
      <c r="C2021">
        <f>G2020</f>
        <v/>
      </c>
      <c r="D2021">
        <f>_xlfn.BITAND(C2021,1)</f>
        <v/>
      </c>
      <c r="E2021">
        <f>_xlfn.BITRSHIFT(C2021,1)</f>
        <v/>
      </c>
      <c r="F2021">
        <f>_xlfn.BITXOR(D2021,B2021)</f>
        <v/>
      </c>
      <c r="G2021">
        <f>IF(F2021=1,_xlfn.BITXOR(E2021,33800),E2021)</f>
        <v/>
      </c>
    </row>
    <row r="2022">
      <c r="A2022" t="n">
        <v>2016</v>
      </c>
      <c r="B2022">
        <f>_DestuffedBits!C2017</f>
        <v/>
      </c>
      <c r="C2022">
        <f>G2021</f>
        <v/>
      </c>
      <c r="D2022">
        <f>_xlfn.BITAND(C2022,1)</f>
        <v/>
      </c>
      <c r="E2022">
        <f>_xlfn.BITRSHIFT(C2022,1)</f>
        <v/>
      </c>
      <c r="F2022">
        <f>_xlfn.BITXOR(D2022,B2022)</f>
        <v/>
      </c>
      <c r="G2022">
        <f>IF(F2022=1,_xlfn.BITXOR(E2022,33800),E2022)</f>
        <v/>
      </c>
    </row>
    <row r="2023">
      <c r="A2023" t="n">
        <v>2017</v>
      </c>
      <c r="B2023">
        <f>_DestuffedBits!C2018</f>
        <v/>
      </c>
      <c r="C2023">
        <f>G2022</f>
        <v/>
      </c>
      <c r="D2023">
        <f>_xlfn.BITAND(C2023,1)</f>
        <v/>
      </c>
      <c r="E2023">
        <f>_xlfn.BITRSHIFT(C2023,1)</f>
        <v/>
      </c>
      <c r="F2023">
        <f>_xlfn.BITXOR(D2023,B2023)</f>
        <v/>
      </c>
      <c r="G2023">
        <f>IF(F2023=1,_xlfn.BITXOR(E2023,33800),E2023)</f>
        <v/>
      </c>
    </row>
    <row r="2024">
      <c r="A2024" t="n">
        <v>2018</v>
      </c>
      <c r="B2024">
        <f>_DestuffedBits!C2019</f>
        <v/>
      </c>
      <c r="C2024">
        <f>G2023</f>
        <v/>
      </c>
      <c r="D2024">
        <f>_xlfn.BITAND(C2024,1)</f>
        <v/>
      </c>
      <c r="E2024">
        <f>_xlfn.BITRSHIFT(C2024,1)</f>
        <v/>
      </c>
      <c r="F2024">
        <f>_xlfn.BITXOR(D2024,B2024)</f>
        <v/>
      </c>
      <c r="G2024">
        <f>IF(F2024=1,_xlfn.BITXOR(E2024,33800),E2024)</f>
        <v/>
      </c>
    </row>
    <row r="2025">
      <c r="A2025" t="n">
        <v>2019</v>
      </c>
      <c r="B2025">
        <f>_DestuffedBits!C2020</f>
        <v/>
      </c>
      <c r="C2025">
        <f>G2024</f>
        <v/>
      </c>
      <c r="D2025">
        <f>_xlfn.BITAND(C2025,1)</f>
        <v/>
      </c>
      <c r="E2025">
        <f>_xlfn.BITRSHIFT(C2025,1)</f>
        <v/>
      </c>
      <c r="F2025">
        <f>_xlfn.BITXOR(D2025,B2025)</f>
        <v/>
      </c>
      <c r="G2025">
        <f>IF(F2025=1,_xlfn.BITXOR(E2025,33800),E2025)</f>
        <v/>
      </c>
    </row>
    <row r="2026">
      <c r="A2026" t="n">
        <v>2020</v>
      </c>
      <c r="B2026">
        <f>_DestuffedBits!C2021</f>
        <v/>
      </c>
      <c r="C2026">
        <f>G2025</f>
        <v/>
      </c>
      <c r="D2026">
        <f>_xlfn.BITAND(C2026,1)</f>
        <v/>
      </c>
      <c r="E2026">
        <f>_xlfn.BITRSHIFT(C2026,1)</f>
        <v/>
      </c>
      <c r="F2026">
        <f>_xlfn.BITXOR(D2026,B2026)</f>
        <v/>
      </c>
      <c r="G2026">
        <f>IF(F2026=1,_xlfn.BITXOR(E2026,33800),E2026)</f>
        <v/>
      </c>
    </row>
    <row r="2027">
      <c r="A2027" t="n">
        <v>2021</v>
      </c>
      <c r="B2027">
        <f>_DestuffedBits!C2022</f>
        <v/>
      </c>
      <c r="C2027">
        <f>G2026</f>
        <v/>
      </c>
      <c r="D2027">
        <f>_xlfn.BITAND(C2027,1)</f>
        <v/>
      </c>
      <c r="E2027">
        <f>_xlfn.BITRSHIFT(C2027,1)</f>
        <v/>
      </c>
      <c r="F2027">
        <f>_xlfn.BITXOR(D2027,B2027)</f>
        <v/>
      </c>
      <c r="G2027">
        <f>IF(F2027=1,_xlfn.BITXOR(E2027,33800),E2027)</f>
        <v/>
      </c>
    </row>
    <row r="2028">
      <c r="A2028" t="n">
        <v>2022</v>
      </c>
      <c r="B2028">
        <f>_DestuffedBits!C2023</f>
        <v/>
      </c>
      <c r="C2028">
        <f>G2027</f>
        <v/>
      </c>
      <c r="D2028">
        <f>_xlfn.BITAND(C2028,1)</f>
        <v/>
      </c>
      <c r="E2028">
        <f>_xlfn.BITRSHIFT(C2028,1)</f>
        <v/>
      </c>
      <c r="F2028">
        <f>_xlfn.BITXOR(D2028,B2028)</f>
        <v/>
      </c>
      <c r="G2028">
        <f>IF(F2028=1,_xlfn.BITXOR(E2028,33800),E2028)</f>
        <v/>
      </c>
    </row>
    <row r="2029">
      <c r="A2029" t="n">
        <v>2023</v>
      </c>
      <c r="B2029">
        <f>_DestuffedBits!C2024</f>
        <v/>
      </c>
      <c r="C2029">
        <f>G2028</f>
        <v/>
      </c>
      <c r="D2029">
        <f>_xlfn.BITAND(C2029,1)</f>
        <v/>
      </c>
      <c r="E2029">
        <f>_xlfn.BITRSHIFT(C2029,1)</f>
        <v/>
      </c>
      <c r="F2029">
        <f>_xlfn.BITXOR(D2029,B2029)</f>
        <v/>
      </c>
      <c r="G2029">
        <f>IF(F2029=1,_xlfn.BITXOR(E2029,33800),E2029)</f>
        <v/>
      </c>
    </row>
    <row r="2030">
      <c r="A2030" t="n">
        <v>2024</v>
      </c>
      <c r="B2030">
        <f>_DestuffedBits!C2025</f>
        <v/>
      </c>
      <c r="C2030">
        <f>G2029</f>
        <v/>
      </c>
      <c r="D2030">
        <f>_xlfn.BITAND(C2030,1)</f>
        <v/>
      </c>
      <c r="E2030">
        <f>_xlfn.BITRSHIFT(C2030,1)</f>
        <v/>
      </c>
      <c r="F2030">
        <f>_xlfn.BITXOR(D2030,B2030)</f>
        <v/>
      </c>
      <c r="G2030">
        <f>IF(F2030=1,_xlfn.BITXOR(E2030,33800),E2030)</f>
        <v/>
      </c>
    </row>
    <row r="2031">
      <c r="A2031" t="n">
        <v>2025</v>
      </c>
      <c r="B2031">
        <f>_DestuffedBits!C2026</f>
        <v/>
      </c>
      <c r="C2031">
        <f>G2030</f>
        <v/>
      </c>
      <c r="D2031">
        <f>_xlfn.BITAND(C2031,1)</f>
        <v/>
      </c>
      <c r="E2031">
        <f>_xlfn.BITRSHIFT(C2031,1)</f>
        <v/>
      </c>
      <c r="F2031">
        <f>_xlfn.BITXOR(D2031,B2031)</f>
        <v/>
      </c>
      <c r="G2031">
        <f>IF(F2031=1,_xlfn.BITXOR(E2031,33800),E2031)</f>
        <v/>
      </c>
    </row>
    <row r="2032">
      <c r="A2032" t="n">
        <v>2026</v>
      </c>
      <c r="B2032">
        <f>_DestuffedBits!C2027</f>
        <v/>
      </c>
      <c r="C2032">
        <f>G2031</f>
        <v/>
      </c>
      <c r="D2032">
        <f>_xlfn.BITAND(C2032,1)</f>
        <v/>
      </c>
      <c r="E2032">
        <f>_xlfn.BITRSHIFT(C2032,1)</f>
        <v/>
      </c>
      <c r="F2032">
        <f>_xlfn.BITXOR(D2032,B2032)</f>
        <v/>
      </c>
      <c r="G2032">
        <f>IF(F2032=1,_xlfn.BITXOR(E2032,33800),E2032)</f>
        <v/>
      </c>
    </row>
    <row r="2033">
      <c r="A2033" t="n">
        <v>2027</v>
      </c>
      <c r="B2033">
        <f>_DestuffedBits!C2028</f>
        <v/>
      </c>
      <c r="C2033">
        <f>G2032</f>
        <v/>
      </c>
      <c r="D2033">
        <f>_xlfn.BITAND(C2033,1)</f>
        <v/>
      </c>
      <c r="E2033">
        <f>_xlfn.BITRSHIFT(C2033,1)</f>
        <v/>
      </c>
      <c r="F2033">
        <f>_xlfn.BITXOR(D2033,B2033)</f>
        <v/>
      </c>
      <c r="G2033">
        <f>IF(F2033=1,_xlfn.BITXOR(E2033,33800),E2033)</f>
        <v/>
      </c>
    </row>
    <row r="2034">
      <c r="A2034" t="n">
        <v>2028</v>
      </c>
      <c r="B2034">
        <f>_DestuffedBits!C2029</f>
        <v/>
      </c>
      <c r="C2034">
        <f>G2033</f>
        <v/>
      </c>
      <c r="D2034">
        <f>_xlfn.BITAND(C2034,1)</f>
        <v/>
      </c>
      <c r="E2034">
        <f>_xlfn.BITRSHIFT(C2034,1)</f>
        <v/>
      </c>
      <c r="F2034">
        <f>_xlfn.BITXOR(D2034,B2034)</f>
        <v/>
      </c>
      <c r="G2034">
        <f>IF(F2034=1,_xlfn.BITXOR(E2034,33800),E2034)</f>
        <v/>
      </c>
    </row>
    <row r="2035">
      <c r="A2035" t="n">
        <v>2029</v>
      </c>
      <c r="B2035">
        <f>_DestuffedBits!C2030</f>
        <v/>
      </c>
      <c r="C2035">
        <f>G2034</f>
        <v/>
      </c>
      <c r="D2035">
        <f>_xlfn.BITAND(C2035,1)</f>
        <v/>
      </c>
      <c r="E2035">
        <f>_xlfn.BITRSHIFT(C2035,1)</f>
        <v/>
      </c>
      <c r="F2035">
        <f>_xlfn.BITXOR(D2035,B2035)</f>
        <v/>
      </c>
      <c r="G2035">
        <f>IF(F2035=1,_xlfn.BITXOR(E2035,33800),E2035)</f>
        <v/>
      </c>
    </row>
    <row r="2036">
      <c r="A2036" t="n">
        <v>2030</v>
      </c>
      <c r="B2036">
        <f>_DestuffedBits!C2031</f>
        <v/>
      </c>
      <c r="C2036">
        <f>G2035</f>
        <v/>
      </c>
      <c r="D2036">
        <f>_xlfn.BITAND(C2036,1)</f>
        <v/>
      </c>
      <c r="E2036">
        <f>_xlfn.BITRSHIFT(C2036,1)</f>
        <v/>
      </c>
      <c r="F2036">
        <f>_xlfn.BITXOR(D2036,B2036)</f>
        <v/>
      </c>
      <c r="G2036">
        <f>IF(F2036=1,_xlfn.BITXOR(E2036,33800),E2036)</f>
        <v/>
      </c>
    </row>
    <row r="2037">
      <c r="A2037" t="n">
        <v>2031</v>
      </c>
      <c r="B2037">
        <f>_DestuffedBits!C2032</f>
        <v/>
      </c>
      <c r="C2037">
        <f>G2036</f>
        <v/>
      </c>
      <c r="D2037">
        <f>_xlfn.BITAND(C2037,1)</f>
        <v/>
      </c>
      <c r="E2037">
        <f>_xlfn.BITRSHIFT(C2037,1)</f>
        <v/>
      </c>
      <c r="F2037">
        <f>_xlfn.BITXOR(D2037,B2037)</f>
        <v/>
      </c>
      <c r="G2037">
        <f>IF(F2037=1,_xlfn.BITXOR(E2037,33800),E2037)</f>
        <v/>
      </c>
    </row>
    <row r="2038">
      <c r="A2038" t="n">
        <v>2032</v>
      </c>
      <c r="B2038">
        <f>_DestuffedBits!C2033</f>
        <v/>
      </c>
      <c r="C2038">
        <f>G2037</f>
        <v/>
      </c>
      <c r="D2038">
        <f>_xlfn.BITAND(C2038,1)</f>
        <v/>
      </c>
      <c r="E2038">
        <f>_xlfn.BITRSHIFT(C2038,1)</f>
        <v/>
      </c>
      <c r="F2038">
        <f>_xlfn.BITXOR(D2038,B2038)</f>
        <v/>
      </c>
      <c r="G2038">
        <f>IF(F2038=1,_xlfn.BITXOR(E2038,33800),E2038)</f>
        <v/>
      </c>
    </row>
    <row r="2039">
      <c r="A2039" t="n">
        <v>2033</v>
      </c>
      <c r="B2039">
        <f>_DestuffedBits!C2034</f>
        <v/>
      </c>
      <c r="C2039">
        <f>G2038</f>
        <v/>
      </c>
      <c r="D2039">
        <f>_xlfn.BITAND(C2039,1)</f>
        <v/>
      </c>
      <c r="E2039">
        <f>_xlfn.BITRSHIFT(C2039,1)</f>
        <v/>
      </c>
      <c r="F2039">
        <f>_xlfn.BITXOR(D2039,B2039)</f>
        <v/>
      </c>
      <c r="G2039">
        <f>IF(F2039=1,_xlfn.BITXOR(E2039,33800),E2039)</f>
        <v/>
      </c>
    </row>
    <row r="2040">
      <c r="A2040" t="n">
        <v>2034</v>
      </c>
      <c r="B2040">
        <f>_DestuffedBits!C2035</f>
        <v/>
      </c>
      <c r="C2040">
        <f>G2039</f>
        <v/>
      </c>
      <c r="D2040">
        <f>_xlfn.BITAND(C2040,1)</f>
        <v/>
      </c>
      <c r="E2040">
        <f>_xlfn.BITRSHIFT(C2040,1)</f>
        <v/>
      </c>
      <c r="F2040">
        <f>_xlfn.BITXOR(D2040,B2040)</f>
        <v/>
      </c>
      <c r="G2040">
        <f>IF(F2040=1,_xlfn.BITXOR(E2040,33800),E2040)</f>
        <v/>
      </c>
    </row>
    <row r="2041">
      <c r="A2041" t="n">
        <v>2035</v>
      </c>
      <c r="B2041">
        <f>_DestuffedBits!C2036</f>
        <v/>
      </c>
      <c r="C2041">
        <f>G2040</f>
        <v/>
      </c>
      <c r="D2041">
        <f>_xlfn.BITAND(C2041,1)</f>
        <v/>
      </c>
      <c r="E2041">
        <f>_xlfn.BITRSHIFT(C2041,1)</f>
        <v/>
      </c>
      <c r="F2041">
        <f>_xlfn.BITXOR(D2041,B2041)</f>
        <v/>
      </c>
      <c r="G2041">
        <f>IF(F2041=1,_xlfn.BITXOR(E2041,33800),E2041)</f>
        <v/>
      </c>
    </row>
    <row r="2042">
      <c r="A2042" t="n">
        <v>2036</v>
      </c>
      <c r="B2042">
        <f>_DestuffedBits!C2037</f>
        <v/>
      </c>
      <c r="C2042">
        <f>G2041</f>
        <v/>
      </c>
      <c r="D2042">
        <f>_xlfn.BITAND(C2042,1)</f>
        <v/>
      </c>
      <c r="E2042">
        <f>_xlfn.BITRSHIFT(C2042,1)</f>
        <v/>
      </c>
      <c r="F2042">
        <f>_xlfn.BITXOR(D2042,B2042)</f>
        <v/>
      </c>
      <c r="G2042">
        <f>IF(F2042=1,_xlfn.BITXOR(E2042,33800),E2042)</f>
        <v/>
      </c>
    </row>
    <row r="2043">
      <c r="A2043" t="n">
        <v>2037</v>
      </c>
      <c r="B2043">
        <f>_DestuffedBits!C2038</f>
        <v/>
      </c>
      <c r="C2043">
        <f>G2042</f>
        <v/>
      </c>
      <c r="D2043">
        <f>_xlfn.BITAND(C2043,1)</f>
        <v/>
      </c>
      <c r="E2043">
        <f>_xlfn.BITRSHIFT(C2043,1)</f>
        <v/>
      </c>
      <c r="F2043">
        <f>_xlfn.BITXOR(D2043,B2043)</f>
        <v/>
      </c>
      <c r="G2043">
        <f>IF(F2043=1,_xlfn.BITXOR(E2043,33800),E2043)</f>
        <v/>
      </c>
    </row>
    <row r="2044">
      <c r="A2044" t="n">
        <v>2038</v>
      </c>
      <c r="B2044">
        <f>_DestuffedBits!C2039</f>
        <v/>
      </c>
      <c r="C2044">
        <f>G2043</f>
        <v/>
      </c>
      <c r="D2044">
        <f>_xlfn.BITAND(C2044,1)</f>
        <v/>
      </c>
      <c r="E2044">
        <f>_xlfn.BITRSHIFT(C2044,1)</f>
        <v/>
      </c>
      <c r="F2044">
        <f>_xlfn.BITXOR(D2044,B2044)</f>
        <v/>
      </c>
      <c r="G2044">
        <f>IF(F2044=1,_xlfn.BITXOR(E2044,33800),E2044)</f>
        <v/>
      </c>
    </row>
    <row r="2045">
      <c r="A2045" t="n">
        <v>2039</v>
      </c>
      <c r="B2045">
        <f>_DestuffedBits!C2040</f>
        <v/>
      </c>
      <c r="C2045">
        <f>G2044</f>
        <v/>
      </c>
      <c r="D2045">
        <f>_xlfn.BITAND(C2045,1)</f>
        <v/>
      </c>
      <c r="E2045">
        <f>_xlfn.BITRSHIFT(C2045,1)</f>
        <v/>
      </c>
      <c r="F2045">
        <f>_xlfn.BITXOR(D2045,B2045)</f>
        <v/>
      </c>
      <c r="G2045">
        <f>IF(F2045=1,_xlfn.BITXOR(E2045,33800),E2045)</f>
        <v/>
      </c>
    </row>
    <row r="2046">
      <c r="A2046" t="n">
        <v>2040</v>
      </c>
      <c r="B2046">
        <f>_DestuffedBits!C2041</f>
        <v/>
      </c>
      <c r="C2046">
        <f>G2045</f>
        <v/>
      </c>
      <c r="D2046">
        <f>_xlfn.BITAND(C2046,1)</f>
        <v/>
      </c>
      <c r="E2046">
        <f>_xlfn.BITRSHIFT(C2046,1)</f>
        <v/>
      </c>
      <c r="F2046">
        <f>_xlfn.BITXOR(D2046,B2046)</f>
        <v/>
      </c>
      <c r="G2046">
        <f>IF(F2046=1,_xlfn.BITXOR(E2046,33800),E2046)</f>
        <v/>
      </c>
    </row>
    <row r="2047">
      <c r="A2047" t="n">
        <v>2041</v>
      </c>
      <c r="B2047">
        <f>_DestuffedBits!C2042</f>
        <v/>
      </c>
      <c r="C2047">
        <f>G2046</f>
        <v/>
      </c>
      <c r="D2047">
        <f>_xlfn.BITAND(C2047,1)</f>
        <v/>
      </c>
      <c r="E2047">
        <f>_xlfn.BITRSHIFT(C2047,1)</f>
        <v/>
      </c>
      <c r="F2047">
        <f>_xlfn.BITXOR(D2047,B2047)</f>
        <v/>
      </c>
      <c r="G2047">
        <f>IF(F2047=1,_xlfn.BITXOR(E2047,33800),E2047)</f>
        <v/>
      </c>
    </row>
    <row r="2048">
      <c r="A2048" t="n">
        <v>2042</v>
      </c>
      <c r="B2048">
        <f>_DestuffedBits!C2043</f>
        <v/>
      </c>
      <c r="C2048">
        <f>G2047</f>
        <v/>
      </c>
      <c r="D2048">
        <f>_xlfn.BITAND(C2048,1)</f>
        <v/>
      </c>
      <c r="E2048">
        <f>_xlfn.BITRSHIFT(C2048,1)</f>
        <v/>
      </c>
      <c r="F2048">
        <f>_xlfn.BITXOR(D2048,B2048)</f>
        <v/>
      </c>
      <c r="G2048">
        <f>IF(F2048=1,_xlfn.BITXOR(E2048,33800),E2048)</f>
        <v/>
      </c>
    </row>
    <row r="2049">
      <c r="A2049" t="n">
        <v>2043</v>
      </c>
      <c r="B2049">
        <f>_DestuffedBits!C2044</f>
        <v/>
      </c>
      <c r="C2049">
        <f>G2048</f>
        <v/>
      </c>
      <c r="D2049">
        <f>_xlfn.BITAND(C2049,1)</f>
        <v/>
      </c>
      <c r="E2049">
        <f>_xlfn.BITRSHIFT(C2049,1)</f>
        <v/>
      </c>
      <c r="F2049">
        <f>_xlfn.BITXOR(D2049,B2049)</f>
        <v/>
      </c>
      <c r="G2049">
        <f>IF(F2049=1,_xlfn.BITXOR(E2049,33800),E2049)</f>
        <v/>
      </c>
    </row>
    <row r="2050">
      <c r="A2050" t="n">
        <v>2044</v>
      </c>
      <c r="B2050">
        <f>_DestuffedBits!C2045</f>
        <v/>
      </c>
      <c r="C2050">
        <f>G2049</f>
        <v/>
      </c>
      <c r="D2050">
        <f>_xlfn.BITAND(C2050,1)</f>
        <v/>
      </c>
      <c r="E2050">
        <f>_xlfn.BITRSHIFT(C2050,1)</f>
        <v/>
      </c>
      <c r="F2050">
        <f>_xlfn.BITXOR(D2050,B2050)</f>
        <v/>
      </c>
      <c r="G2050">
        <f>IF(F2050=1,_xlfn.BITXOR(E2050,33800),E2050)</f>
        <v/>
      </c>
    </row>
    <row r="2051">
      <c r="A2051" t="n">
        <v>2045</v>
      </c>
      <c r="B2051">
        <f>_DestuffedBits!C2046</f>
        <v/>
      </c>
      <c r="C2051">
        <f>G2050</f>
        <v/>
      </c>
      <c r="D2051">
        <f>_xlfn.BITAND(C2051,1)</f>
        <v/>
      </c>
      <c r="E2051">
        <f>_xlfn.BITRSHIFT(C2051,1)</f>
        <v/>
      </c>
      <c r="F2051">
        <f>_xlfn.BITXOR(D2051,B2051)</f>
        <v/>
      </c>
      <c r="G2051">
        <f>IF(F2051=1,_xlfn.BITXOR(E2051,33800),E2051)</f>
        <v/>
      </c>
    </row>
    <row r="2052">
      <c r="A2052" t="n">
        <v>2046</v>
      </c>
      <c r="B2052">
        <f>_DestuffedBits!C2047</f>
        <v/>
      </c>
      <c r="C2052">
        <f>G2051</f>
        <v/>
      </c>
      <c r="D2052">
        <f>_xlfn.BITAND(C2052,1)</f>
        <v/>
      </c>
      <c r="E2052">
        <f>_xlfn.BITRSHIFT(C2052,1)</f>
        <v/>
      </c>
      <c r="F2052">
        <f>_xlfn.BITXOR(D2052,B2052)</f>
        <v/>
      </c>
      <c r="G2052">
        <f>IF(F2052=1,_xlfn.BITXOR(E2052,33800),E2052)</f>
        <v/>
      </c>
    </row>
    <row r="2053">
      <c r="A2053" t="n">
        <v>2047</v>
      </c>
      <c r="B2053">
        <f>_DestuffedBits!C2048</f>
        <v/>
      </c>
      <c r="C2053">
        <f>G2052</f>
        <v/>
      </c>
      <c r="D2053">
        <f>_xlfn.BITAND(C2053,1)</f>
        <v/>
      </c>
      <c r="E2053">
        <f>_xlfn.BITRSHIFT(C2053,1)</f>
        <v/>
      </c>
      <c r="F2053">
        <f>_xlfn.BITXOR(D2053,B2053)</f>
        <v/>
      </c>
      <c r="G2053">
        <f>IF(F2053=1,_xlfn.BITXOR(E2053,33800),E2053)</f>
        <v/>
      </c>
    </row>
    <row r="2054">
      <c r="A2054" t="n">
        <v>2048</v>
      </c>
      <c r="B2054">
        <f>_DestuffedBits!C2049</f>
        <v/>
      </c>
      <c r="C2054">
        <f>G2053</f>
        <v/>
      </c>
      <c r="D2054">
        <f>_xlfn.BITAND(C2054,1)</f>
        <v/>
      </c>
      <c r="E2054">
        <f>_xlfn.BITRSHIFT(C2054,1)</f>
        <v/>
      </c>
      <c r="F2054">
        <f>_xlfn.BITXOR(D2054,B2054)</f>
        <v/>
      </c>
      <c r="G2054">
        <f>IF(F2054=1,_xlfn.BITXOR(E2054,33800),E2054)</f>
        <v/>
      </c>
    </row>
    <row r="2055">
      <c r="A2055" t="n">
        <v>2049</v>
      </c>
      <c r="B2055">
        <f>_DestuffedBits!C2050</f>
        <v/>
      </c>
      <c r="C2055">
        <f>G2054</f>
        <v/>
      </c>
      <c r="D2055">
        <f>_xlfn.BITAND(C2055,1)</f>
        <v/>
      </c>
      <c r="E2055">
        <f>_xlfn.BITRSHIFT(C2055,1)</f>
        <v/>
      </c>
      <c r="F2055">
        <f>_xlfn.BITXOR(D2055,B2055)</f>
        <v/>
      </c>
      <c r="G2055">
        <f>IF(F2055=1,_xlfn.BITXOR(E2055,33800),E2055)</f>
        <v/>
      </c>
    </row>
    <row r="2056">
      <c r="A2056" t="n">
        <v>2050</v>
      </c>
      <c r="B2056">
        <f>_DestuffedBits!C2051</f>
        <v/>
      </c>
      <c r="C2056">
        <f>G2055</f>
        <v/>
      </c>
      <c r="D2056">
        <f>_xlfn.BITAND(C2056,1)</f>
        <v/>
      </c>
      <c r="E2056">
        <f>_xlfn.BITRSHIFT(C2056,1)</f>
        <v/>
      </c>
      <c r="F2056">
        <f>_xlfn.BITXOR(D2056,B2056)</f>
        <v/>
      </c>
      <c r="G2056">
        <f>IF(F2056=1,_xlfn.BITXOR(E2056,33800),E2056)</f>
        <v/>
      </c>
    </row>
    <row r="2057">
      <c r="A2057" t="n">
        <v>2051</v>
      </c>
      <c r="B2057">
        <f>_DestuffedBits!C2052</f>
        <v/>
      </c>
      <c r="C2057">
        <f>G2056</f>
        <v/>
      </c>
      <c r="D2057">
        <f>_xlfn.BITAND(C2057,1)</f>
        <v/>
      </c>
      <c r="E2057">
        <f>_xlfn.BITRSHIFT(C2057,1)</f>
        <v/>
      </c>
      <c r="F2057">
        <f>_xlfn.BITXOR(D2057,B2057)</f>
        <v/>
      </c>
      <c r="G2057">
        <f>IF(F2057=1,_xlfn.BITXOR(E2057,33800),E2057)</f>
        <v/>
      </c>
    </row>
    <row r="2058">
      <c r="A2058" t="n">
        <v>2052</v>
      </c>
      <c r="B2058">
        <f>_DestuffedBits!C2053</f>
        <v/>
      </c>
      <c r="C2058">
        <f>G2057</f>
        <v/>
      </c>
      <c r="D2058">
        <f>_xlfn.BITAND(C2058,1)</f>
        <v/>
      </c>
      <c r="E2058">
        <f>_xlfn.BITRSHIFT(C2058,1)</f>
        <v/>
      </c>
      <c r="F2058">
        <f>_xlfn.BITXOR(D2058,B2058)</f>
        <v/>
      </c>
      <c r="G2058">
        <f>IF(F2058=1,_xlfn.BITXOR(E2058,33800),E2058)</f>
        <v/>
      </c>
    </row>
    <row r="2059">
      <c r="A2059" t="n">
        <v>2053</v>
      </c>
      <c r="B2059">
        <f>_DestuffedBits!C2054</f>
        <v/>
      </c>
      <c r="C2059">
        <f>G2058</f>
        <v/>
      </c>
      <c r="D2059">
        <f>_xlfn.BITAND(C2059,1)</f>
        <v/>
      </c>
      <c r="E2059">
        <f>_xlfn.BITRSHIFT(C2059,1)</f>
        <v/>
      </c>
      <c r="F2059">
        <f>_xlfn.BITXOR(D2059,B2059)</f>
        <v/>
      </c>
      <c r="G2059">
        <f>IF(F2059=1,_xlfn.BITXOR(E2059,33800),E2059)</f>
        <v/>
      </c>
    </row>
    <row r="2060">
      <c r="A2060" t="n">
        <v>2054</v>
      </c>
      <c r="B2060">
        <f>_DestuffedBits!C2055</f>
        <v/>
      </c>
      <c r="C2060">
        <f>G2059</f>
        <v/>
      </c>
      <c r="D2060">
        <f>_xlfn.BITAND(C2060,1)</f>
        <v/>
      </c>
      <c r="E2060">
        <f>_xlfn.BITRSHIFT(C2060,1)</f>
        <v/>
      </c>
      <c r="F2060">
        <f>_xlfn.BITXOR(D2060,B2060)</f>
        <v/>
      </c>
      <c r="G2060">
        <f>IF(F2060=1,_xlfn.BITXOR(E2060,33800),E2060)</f>
        <v/>
      </c>
    </row>
    <row r="2061">
      <c r="A2061" t="n">
        <v>2055</v>
      </c>
      <c r="B2061">
        <f>_DestuffedBits!C2056</f>
        <v/>
      </c>
      <c r="C2061">
        <f>G2060</f>
        <v/>
      </c>
      <c r="D2061">
        <f>_xlfn.BITAND(C2061,1)</f>
        <v/>
      </c>
      <c r="E2061">
        <f>_xlfn.BITRSHIFT(C2061,1)</f>
        <v/>
      </c>
      <c r="F2061">
        <f>_xlfn.BITXOR(D2061,B2061)</f>
        <v/>
      </c>
      <c r="G2061">
        <f>IF(F2061=1,_xlfn.BITXOR(E2061,33800),E2061)</f>
        <v/>
      </c>
    </row>
    <row r="2062">
      <c r="A2062" t="n">
        <v>2056</v>
      </c>
      <c r="B2062">
        <f>_DestuffedBits!C2057</f>
        <v/>
      </c>
      <c r="C2062">
        <f>G2061</f>
        <v/>
      </c>
      <c r="D2062">
        <f>_xlfn.BITAND(C2062,1)</f>
        <v/>
      </c>
      <c r="E2062">
        <f>_xlfn.BITRSHIFT(C2062,1)</f>
        <v/>
      </c>
      <c r="F2062">
        <f>_xlfn.BITXOR(D2062,B2062)</f>
        <v/>
      </c>
      <c r="G2062">
        <f>IF(F2062=1,_xlfn.BITXOR(E2062,33800),E2062)</f>
        <v/>
      </c>
    </row>
    <row r="2063">
      <c r="A2063" t="n">
        <v>2057</v>
      </c>
      <c r="B2063">
        <f>_DestuffedBits!C2058</f>
        <v/>
      </c>
      <c r="C2063">
        <f>G2062</f>
        <v/>
      </c>
      <c r="D2063">
        <f>_xlfn.BITAND(C2063,1)</f>
        <v/>
      </c>
      <c r="E2063">
        <f>_xlfn.BITRSHIFT(C2063,1)</f>
        <v/>
      </c>
      <c r="F2063">
        <f>_xlfn.BITXOR(D2063,B2063)</f>
        <v/>
      </c>
      <c r="G2063">
        <f>IF(F2063=1,_xlfn.BITXOR(E2063,33800),E2063)</f>
        <v/>
      </c>
    </row>
    <row r="2064">
      <c r="A2064" t="n">
        <v>2058</v>
      </c>
      <c r="B2064">
        <f>_DestuffedBits!C2059</f>
        <v/>
      </c>
      <c r="C2064">
        <f>G2063</f>
        <v/>
      </c>
      <c r="D2064">
        <f>_xlfn.BITAND(C2064,1)</f>
        <v/>
      </c>
      <c r="E2064">
        <f>_xlfn.BITRSHIFT(C2064,1)</f>
        <v/>
      </c>
      <c r="F2064">
        <f>_xlfn.BITXOR(D2064,B2064)</f>
        <v/>
      </c>
      <c r="G2064">
        <f>IF(F2064=1,_xlfn.BITXOR(E2064,33800),E2064)</f>
        <v/>
      </c>
    </row>
    <row r="2065">
      <c r="A2065" t="n">
        <v>2059</v>
      </c>
      <c r="B2065">
        <f>_DestuffedBits!C2060</f>
        <v/>
      </c>
      <c r="C2065">
        <f>G2064</f>
        <v/>
      </c>
      <c r="D2065">
        <f>_xlfn.BITAND(C2065,1)</f>
        <v/>
      </c>
      <c r="E2065">
        <f>_xlfn.BITRSHIFT(C2065,1)</f>
        <v/>
      </c>
      <c r="F2065">
        <f>_xlfn.BITXOR(D2065,B2065)</f>
        <v/>
      </c>
      <c r="G2065">
        <f>IF(F2065=1,_xlfn.BITXOR(E2065,33800),E2065)</f>
        <v/>
      </c>
    </row>
    <row r="2066">
      <c r="A2066" t="n">
        <v>2060</v>
      </c>
      <c r="B2066">
        <f>_DestuffedBits!C2061</f>
        <v/>
      </c>
      <c r="C2066">
        <f>G2065</f>
        <v/>
      </c>
      <c r="D2066">
        <f>_xlfn.BITAND(C2066,1)</f>
        <v/>
      </c>
      <c r="E2066">
        <f>_xlfn.BITRSHIFT(C2066,1)</f>
        <v/>
      </c>
      <c r="F2066">
        <f>_xlfn.BITXOR(D2066,B2066)</f>
        <v/>
      </c>
      <c r="G2066">
        <f>IF(F2066=1,_xlfn.BITXOR(E2066,33800),E2066)</f>
        <v/>
      </c>
    </row>
    <row r="2067">
      <c r="A2067" t="n">
        <v>2061</v>
      </c>
      <c r="B2067">
        <f>_DestuffedBits!C2062</f>
        <v/>
      </c>
      <c r="C2067">
        <f>G2066</f>
        <v/>
      </c>
      <c r="D2067">
        <f>_xlfn.BITAND(C2067,1)</f>
        <v/>
      </c>
      <c r="E2067">
        <f>_xlfn.BITRSHIFT(C2067,1)</f>
        <v/>
      </c>
      <c r="F2067">
        <f>_xlfn.BITXOR(D2067,B2067)</f>
        <v/>
      </c>
      <c r="G2067">
        <f>IF(F2067=1,_xlfn.BITXOR(E2067,33800),E2067)</f>
        <v/>
      </c>
    </row>
    <row r="2068">
      <c r="A2068" t="n">
        <v>2062</v>
      </c>
      <c r="B2068">
        <f>_DestuffedBits!C2063</f>
        <v/>
      </c>
      <c r="C2068">
        <f>G2067</f>
        <v/>
      </c>
      <c r="D2068">
        <f>_xlfn.BITAND(C2068,1)</f>
        <v/>
      </c>
      <c r="E2068">
        <f>_xlfn.BITRSHIFT(C2068,1)</f>
        <v/>
      </c>
      <c r="F2068">
        <f>_xlfn.BITXOR(D2068,B2068)</f>
        <v/>
      </c>
      <c r="G2068">
        <f>IF(F2068=1,_xlfn.BITXOR(E2068,33800),E2068)</f>
        <v/>
      </c>
    </row>
    <row r="2069">
      <c r="A2069" t="n">
        <v>2063</v>
      </c>
      <c r="B2069">
        <f>_DestuffedBits!C2064</f>
        <v/>
      </c>
      <c r="C2069">
        <f>G2068</f>
        <v/>
      </c>
      <c r="D2069">
        <f>_xlfn.BITAND(C2069,1)</f>
        <v/>
      </c>
      <c r="E2069">
        <f>_xlfn.BITRSHIFT(C2069,1)</f>
        <v/>
      </c>
      <c r="F2069">
        <f>_xlfn.BITXOR(D2069,B2069)</f>
        <v/>
      </c>
      <c r="G2069">
        <f>IF(F2069=1,_xlfn.BITXOR(E2069,33800),E2069)</f>
        <v/>
      </c>
    </row>
    <row r="2070">
      <c r="A2070" t="n">
        <v>2064</v>
      </c>
      <c r="B2070">
        <f>_DestuffedBits!C2065</f>
        <v/>
      </c>
      <c r="C2070">
        <f>G2069</f>
        <v/>
      </c>
      <c r="D2070">
        <f>_xlfn.BITAND(C2070,1)</f>
        <v/>
      </c>
      <c r="E2070">
        <f>_xlfn.BITRSHIFT(C2070,1)</f>
        <v/>
      </c>
      <c r="F2070">
        <f>_xlfn.BITXOR(D2070,B2070)</f>
        <v/>
      </c>
      <c r="G2070">
        <f>IF(F2070=1,_xlfn.BITXOR(E2070,33800),E2070)</f>
        <v/>
      </c>
    </row>
    <row r="2071">
      <c r="A2071" t="n">
        <v>2065</v>
      </c>
      <c r="B2071">
        <f>_DestuffedBits!C2066</f>
        <v/>
      </c>
      <c r="C2071">
        <f>G2070</f>
        <v/>
      </c>
      <c r="D2071">
        <f>_xlfn.BITAND(C2071,1)</f>
        <v/>
      </c>
      <c r="E2071">
        <f>_xlfn.BITRSHIFT(C2071,1)</f>
        <v/>
      </c>
      <c r="F2071">
        <f>_xlfn.BITXOR(D2071,B2071)</f>
        <v/>
      </c>
      <c r="G2071">
        <f>IF(F2071=1,_xlfn.BITXOR(E2071,33800),E2071)</f>
        <v/>
      </c>
    </row>
    <row r="2072">
      <c r="A2072" t="n">
        <v>2066</v>
      </c>
      <c r="B2072">
        <f>_DestuffedBits!C2067</f>
        <v/>
      </c>
      <c r="C2072">
        <f>G2071</f>
        <v/>
      </c>
      <c r="D2072">
        <f>_xlfn.BITAND(C2072,1)</f>
        <v/>
      </c>
      <c r="E2072">
        <f>_xlfn.BITRSHIFT(C2072,1)</f>
        <v/>
      </c>
      <c r="F2072">
        <f>_xlfn.BITXOR(D2072,B2072)</f>
        <v/>
      </c>
      <c r="G2072">
        <f>IF(F2072=1,_xlfn.BITXOR(E2072,33800),E2072)</f>
        <v/>
      </c>
    </row>
    <row r="2073">
      <c r="A2073" t="n">
        <v>2067</v>
      </c>
      <c r="B2073">
        <f>_DestuffedBits!C2068</f>
        <v/>
      </c>
      <c r="C2073">
        <f>G2072</f>
        <v/>
      </c>
      <c r="D2073">
        <f>_xlfn.BITAND(C2073,1)</f>
        <v/>
      </c>
      <c r="E2073">
        <f>_xlfn.BITRSHIFT(C2073,1)</f>
        <v/>
      </c>
      <c r="F2073">
        <f>_xlfn.BITXOR(D2073,B2073)</f>
        <v/>
      </c>
      <c r="G2073">
        <f>IF(F2073=1,_xlfn.BITXOR(E2073,33800),E2073)</f>
        <v/>
      </c>
    </row>
    <row r="2074">
      <c r="A2074" t="n">
        <v>2068</v>
      </c>
      <c r="B2074">
        <f>_DestuffedBits!C2069</f>
        <v/>
      </c>
      <c r="C2074">
        <f>G2073</f>
        <v/>
      </c>
      <c r="D2074">
        <f>_xlfn.BITAND(C2074,1)</f>
        <v/>
      </c>
      <c r="E2074">
        <f>_xlfn.BITRSHIFT(C2074,1)</f>
        <v/>
      </c>
      <c r="F2074">
        <f>_xlfn.BITXOR(D2074,B2074)</f>
        <v/>
      </c>
      <c r="G2074">
        <f>IF(F2074=1,_xlfn.BITXOR(E2074,33800),E2074)</f>
        <v/>
      </c>
    </row>
    <row r="2075">
      <c r="A2075" t="n">
        <v>2069</v>
      </c>
      <c r="B2075">
        <f>_DestuffedBits!C2070</f>
        <v/>
      </c>
      <c r="C2075">
        <f>G2074</f>
        <v/>
      </c>
      <c r="D2075">
        <f>_xlfn.BITAND(C2075,1)</f>
        <v/>
      </c>
      <c r="E2075">
        <f>_xlfn.BITRSHIFT(C2075,1)</f>
        <v/>
      </c>
      <c r="F2075">
        <f>_xlfn.BITXOR(D2075,B2075)</f>
        <v/>
      </c>
      <c r="G2075">
        <f>IF(F2075=1,_xlfn.BITXOR(E2075,33800),E2075)</f>
        <v/>
      </c>
    </row>
    <row r="2076">
      <c r="A2076" t="n">
        <v>2070</v>
      </c>
      <c r="B2076">
        <f>_DestuffedBits!C2071</f>
        <v/>
      </c>
      <c r="C2076">
        <f>G2075</f>
        <v/>
      </c>
      <c r="D2076">
        <f>_xlfn.BITAND(C2076,1)</f>
        <v/>
      </c>
      <c r="E2076">
        <f>_xlfn.BITRSHIFT(C2076,1)</f>
        <v/>
      </c>
      <c r="F2076">
        <f>_xlfn.BITXOR(D2076,B2076)</f>
        <v/>
      </c>
      <c r="G2076">
        <f>IF(F2076=1,_xlfn.BITXOR(E2076,33800),E2076)</f>
        <v/>
      </c>
    </row>
    <row r="2077">
      <c r="A2077" t="n">
        <v>2071</v>
      </c>
      <c r="B2077">
        <f>_DestuffedBits!C2072</f>
        <v/>
      </c>
      <c r="C2077">
        <f>G2076</f>
        <v/>
      </c>
      <c r="D2077">
        <f>_xlfn.BITAND(C2077,1)</f>
        <v/>
      </c>
      <c r="E2077">
        <f>_xlfn.BITRSHIFT(C2077,1)</f>
        <v/>
      </c>
      <c r="F2077">
        <f>_xlfn.BITXOR(D2077,B2077)</f>
        <v/>
      </c>
      <c r="G2077">
        <f>IF(F2077=1,_xlfn.BITXOR(E2077,33800),E2077)</f>
        <v/>
      </c>
    </row>
    <row r="2078">
      <c r="A2078" t="n">
        <v>2072</v>
      </c>
      <c r="B2078">
        <f>_DestuffedBits!C2073</f>
        <v/>
      </c>
      <c r="C2078">
        <f>G2077</f>
        <v/>
      </c>
      <c r="D2078">
        <f>_xlfn.BITAND(C2078,1)</f>
        <v/>
      </c>
      <c r="E2078">
        <f>_xlfn.BITRSHIFT(C2078,1)</f>
        <v/>
      </c>
      <c r="F2078">
        <f>_xlfn.BITXOR(D2078,B2078)</f>
        <v/>
      </c>
      <c r="G2078">
        <f>IF(F2078=1,_xlfn.BITXOR(E2078,33800),E2078)</f>
        <v/>
      </c>
    </row>
    <row r="2079">
      <c r="A2079" t="n">
        <v>2073</v>
      </c>
      <c r="B2079">
        <f>_DestuffedBits!C2074</f>
        <v/>
      </c>
      <c r="C2079">
        <f>G2078</f>
        <v/>
      </c>
      <c r="D2079">
        <f>_xlfn.BITAND(C2079,1)</f>
        <v/>
      </c>
      <c r="E2079">
        <f>_xlfn.BITRSHIFT(C2079,1)</f>
        <v/>
      </c>
      <c r="F2079">
        <f>_xlfn.BITXOR(D2079,B2079)</f>
        <v/>
      </c>
      <c r="G2079">
        <f>IF(F2079=1,_xlfn.BITXOR(E2079,33800),E2079)</f>
        <v/>
      </c>
    </row>
    <row r="2080">
      <c r="A2080" t="n">
        <v>2074</v>
      </c>
      <c r="B2080">
        <f>_DestuffedBits!C2075</f>
        <v/>
      </c>
      <c r="C2080">
        <f>G2079</f>
        <v/>
      </c>
      <c r="D2080">
        <f>_xlfn.BITAND(C2080,1)</f>
        <v/>
      </c>
      <c r="E2080">
        <f>_xlfn.BITRSHIFT(C2080,1)</f>
        <v/>
      </c>
      <c r="F2080">
        <f>_xlfn.BITXOR(D2080,B2080)</f>
        <v/>
      </c>
      <c r="G2080">
        <f>IF(F2080=1,_xlfn.BITXOR(E2080,33800),E2080)</f>
        <v/>
      </c>
    </row>
    <row r="2081">
      <c r="A2081" t="n">
        <v>2075</v>
      </c>
      <c r="B2081">
        <f>_DestuffedBits!C2076</f>
        <v/>
      </c>
      <c r="C2081">
        <f>G2080</f>
        <v/>
      </c>
      <c r="D2081">
        <f>_xlfn.BITAND(C2081,1)</f>
        <v/>
      </c>
      <c r="E2081">
        <f>_xlfn.BITRSHIFT(C2081,1)</f>
        <v/>
      </c>
      <c r="F2081">
        <f>_xlfn.BITXOR(D2081,B2081)</f>
        <v/>
      </c>
      <c r="G2081">
        <f>IF(F2081=1,_xlfn.BITXOR(E2081,33800),E2081)</f>
        <v/>
      </c>
    </row>
    <row r="2082">
      <c r="A2082" t="n">
        <v>2076</v>
      </c>
      <c r="B2082">
        <f>_DestuffedBits!C2077</f>
        <v/>
      </c>
      <c r="C2082">
        <f>G2081</f>
        <v/>
      </c>
      <c r="D2082">
        <f>_xlfn.BITAND(C2082,1)</f>
        <v/>
      </c>
      <c r="E2082">
        <f>_xlfn.BITRSHIFT(C2082,1)</f>
        <v/>
      </c>
      <c r="F2082">
        <f>_xlfn.BITXOR(D2082,B2082)</f>
        <v/>
      </c>
      <c r="G2082">
        <f>IF(F2082=1,_xlfn.BITXOR(E2082,33800),E2082)</f>
        <v/>
      </c>
    </row>
    <row r="2083">
      <c r="A2083" t="n">
        <v>2077</v>
      </c>
      <c r="B2083">
        <f>_DestuffedBits!C2078</f>
        <v/>
      </c>
      <c r="C2083">
        <f>G2082</f>
        <v/>
      </c>
      <c r="D2083">
        <f>_xlfn.BITAND(C2083,1)</f>
        <v/>
      </c>
      <c r="E2083">
        <f>_xlfn.BITRSHIFT(C2083,1)</f>
        <v/>
      </c>
      <c r="F2083">
        <f>_xlfn.BITXOR(D2083,B2083)</f>
        <v/>
      </c>
      <c r="G2083">
        <f>IF(F2083=1,_xlfn.BITXOR(E2083,33800),E2083)</f>
        <v/>
      </c>
    </row>
    <row r="2084">
      <c r="A2084" t="n">
        <v>2078</v>
      </c>
      <c r="B2084">
        <f>_DestuffedBits!C2079</f>
        <v/>
      </c>
      <c r="C2084">
        <f>G2083</f>
        <v/>
      </c>
      <c r="D2084">
        <f>_xlfn.BITAND(C2084,1)</f>
        <v/>
      </c>
      <c r="E2084">
        <f>_xlfn.BITRSHIFT(C2084,1)</f>
        <v/>
      </c>
      <c r="F2084">
        <f>_xlfn.BITXOR(D2084,B2084)</f>
        <v/>
      </c>
      <c r="G2084">
        <f>IF(F2084=1,_xlfn.BITXOR(E2084,33800),E2084)</f>
        <v/>
      </c>
    </row>
    <row r="2085">
      <c r="A2085" t="n">
        <v>2079</v>
      </c>
      <c r="B2085">
        <f>_DestuffedBits!C2080</f>
        <v/>
      </c>
      <c r="C2085">
        <f>G2084</f>
        <v/>
      </c>
      <c r="D2085">
        <f>_xlfn.BITAND(C2085,1)</f>
        <v/>
      </c>
      <c r="E2085">
        <f>_xlfn.BITRSHIFT(C2085,1)</f>
        <v/>
      </c>
      <c r="F2085">
        <f>_xlfn.BITXOR(D2085,B2085)</f>
        <v/>
      </c>
      <c r="G2085">
        <f>IF(F2085=1,_xlfn.BITXOR(E2085,33800),E2085)</f>
        <v/>
      </c>
    </row>
    <row r="2086">
      <c r="A2086" t="n">
        <v>2080</v>
      </c>
      <c r="B2086">
        <f>_DestuffedBits!C2081</f>
        <v/>
      </c>
      <c r="C2086">
        <f>G2085</f>
        <v/>
      </c>
      <c r="D2086">
        <f>_xlfn.BITAND(C2086,1)</f>
        <v/>
      </c>
      <c r="E2086">
        <f>_xlfn.BITRSHIFT(C2086,1)</f>
        <v/>
      </c>
      <c r="F2086">
        <f>_xlfn.BITXOR(D2086,B2086)</f>
        <v/>
      </c>
      <c r="G2086">
        <f>IF(F2086=1,_xlfn.BITXOR(E2086,33800),E2086)</f>
        <v/>
      </c>
    </row>
    <row r="2087">
      <c r="A2087" t="n">
        <v>2081</v>
      </c>
      <c r="B2087">
        <f>_DestuffedBits!C2082</f>
        <v/>
      </c>
      <c r="C2087">
        <f>G2086</f>
        <v/>
      </c>
      <c r="D2087">
        <f>_xlfn.BITAND(C2087,1)</f>
        <v/>
      </c>
      <c r="E2087">
        <f>_xlfn.BITRSHIFT(C2087,1)</f>
        <v/>
      </c>
      <c r="F2087">
        <f>_xlfn.BITXOR(D2087,B2087)</f>
        <v/>
      </c>
      <c r="G2087">
        <f>IF(F2087=1,_xlfn.BITXOR(E2087,33800),E2087)</f>
        <v/>
      </c>
    </row>
    <row r="2088">
      <c r="A2088" t="n">
        <v>2082</v>
      </c>
      <c r="B2088">
        <f>_DestuffedBits!C2083</f>
        <v/>
      </c>
      <c r="C2088">
        <f>G2087</f>
        <v/>
      </c>
      <c r="D2088">
        <f>_xlfn.BITAND(C2088,1)</f>
        <v/>
      </c>
      <c r="E2088">
        <f>_xlfn.BITRSHIFT(C2088,1)</f>
        <v/>
      </c>
      <c r="F2088">
        <f>_xlfn.BITXOR(D2088,B2088)</f>
        <v/>
      </c>
      <c r="G2088">
        <f>IF(F2088=1,_xlfn.BITXOR(E2088,33800),E2088)</f>
        <v/>
      </c>
    </row>
    <row r="2089">
      <c r="A2089" t="n">
        <v>2083</v>
      </c>
      <c r="B2089">
        <f>_DestuffedBits!C2084</f>
        <v/>
      </c>
      <c r="C2089">
        <f>G2088</f>
        <v/>
      </c>
      <c r="D2089">
        <f>_xlfn.BITAND(C2089,1)</f>
        <v/>
      </c>
      <c r="E2089">
        <f>_xlfn.BITRSHIFT(C2089,1)</f>
        <v/>
      </c>
      <c r="F2089">
        <f>_xlfn.BITXOR(D2089,B2089)</f>
        <v/>
      </c>
      <c r="G2089">
        <f>IF(F2089=1,_xlfn.BITXOR(E2089,33800),E2089)</f>
        <v/>
      </c>
    </row>
    <row r="2090">
      <c r="A2090" t="n">
        <v>2084</v>
      </c>
      <c r="B2090">
        <f>_DestuffedBits!C2085</f>
        <v/>
      </c>
      <c r="C2090">
        <f>G2089</f>
        <v/>
      </c>
      <c r="D2090">
        <f>_xlfn.BITAND(C2090,1)</f>
        <v/>
      </c>
      <c r="E2090">
        <f>_xlfn.BITRSHIFT(C2090,1)</f>
        <v/>
      </c>
      <c r="F2090">
        <f>_xlfn.BITXOR(D2090,B2090)</f>
        <v/>
      </c>
      <c r="G2090">
        <f>IF(F2090=1,_xlfn.BITXOR(E2090,33800),E2090)</f>
        <v/>
      </c>
    </row>
    <row r="2091">
      <c r="A2091" t="n">
        <v>2085</v>
      </c>
      <c r="B2091">
        <f>_DestuffedBits!C2086</f>
        <v/>
      </c>
      <c r="C2091">
        <f>G2090</f>
        <v/>
      </c>
      <c r="D2091">
        <f>_xlfn.BITAND(C2091,1)</f>
        <v/>
      </c>
      <c r="E2091">
        <f>_xlfn.BITRSHIFT(C2091,1)</f>
        <v/>
      </c>
      <c r="F2091">
        <f>_xlfn.BITXOR(D2091,B2091)</f>
        <v/>
      </c>
      <c r="G2091">
        <f>IF(F2091=1,_xlfn.BITXOR(E2091,33800),E2091)</f>
        <v/>
      </c>
    </row>
    <row r="2092">
      <c r="A2092" t="n">
        <v>2086</v>
      </c>
      <c r="B2092">
        <f>_DestuffedBits!C2087</f>
        <v/>
      </c>
      <c r="C2092">
        <f>G2091</f>
        <v/>
      </c>
      <c r="D2092">
        <f>_xlfn.BITAND(C2092,1)</f>
        <v/>
      </c>
      <c r="E2092">
        <f>_xlfn.BITRSHIFT(C2092,1)</f>
        <v/>
      </c>
      <c r="F2092">
        <f>_xlfn.BITXOR(D2092,B2092)</f>
        <v/>
      </c>
      <c r="G2092">
        <f>IF(F2092=1,_xlfn.BITXOR(E2092,33800),E2092)</f>
        <v/>
      </c>
    </row>
    <row r="2093">
      <c r="A2093" t="n">
        <v>2087</v>
      </c>
      <c r="B2093">
        <f>_DestuffedBits!C2088</f>
        <v/>
      </c>
      <c r="C2093">
        <f>G2092</f>
        <v/>
      </c>
      <c r="D2093">
        <f>_xlfn.BITAND(C2093,1)</f>
        <v/>
      </c>
      <c r="E2093">
        <f>_xlfn.BITRSHIFT(C2093,1)</f>
        <v/>
      </c>
      <c r="F2093">
        <f>_xlfn.BITXOR(D2093,B2093)</f>
        <v/>
      </c>
      <c r="G2093">
        <f>IF(F2093=1,_xlfn.BITXOR(E2093,33800),E2093)</f>
        <v/>
      </c>
    </row>
    <row r="2094">
      <c r="A2094" t="n">
        <v>2088</v>
      </c>
      <c r="B2094">
        <f>_DestuffedBits!C2089</f>
        <v/>
      </c>
      <c r="C2094">
        <f>G2093</f>
        <v/>
      </c>
      <c r="D2094">
        <f>_xlfn.BITAND(C2094,1)</f>
        <v/>
      </c>
      <c r="E2094">
        <f>_xlfn.BITRSHIFT(C2094,1)</f>
        <v/>
      </c>
      <c r="F2094">
        <f>_xlfn.BITXOR(D2094,B2094)</f>
        <v/>
      </c>
      <c r="G2094">
        <f>IF(F2094=1,_xlfn.BITXOR(E2094,33800),E2094)</f>
        <v/>
      </c>
    </row>
    <row r="2095">
      <c r="A2095" t="n">
        <v>2089</v>
      </c>
      <c r="B2095">
        <f>_DestuffedBits!C2090</f>
        <v/>
      </c>
      <c r="C2095">
        <f>G2094</f>
        <v/>
      </c>
      <c r="D2095">
        <f>_xlfn.BITAND(C2095,1)</f>
        <v/>
      </c>
      <c r="E2095">
        <f>_xlfn.BITRSHIFT(C2095,1)</f>
        <v/>
      </c>
      <c r="F2095">
        <f>_xlfn.BITXOR(D2095,B2095)</f>
        <v/>
      </c>
      <c r="G2095">
        <f>IF(F2095=1,_xlfn.BITXOR(E2095,33800),E2095)</f>
        <v/>
      </c>
    </row>
    <row r="2096">
      <c r="A2096" t="n">
        <v>2090</v>
      </c>
      <c r="B2096">
        <f>_DestuffedBits!C2091</f>
        <v/>
      </c>
      <c r="C2096">
        <f>G2095</f>
        <v/>
      </c>
      <c r="D2096">
        <f>_xlfn.BITAND(C2096,1)</f>
        <v/>
      </c>
      <c r="E2096">
        <f>_xlfn.BITRSHIFT(C2096,1)</f>
        <v/>
      </c>
      <c r="F2096">
        <f>_xlfn.BITXOR(D2096,B2096)</f>
        <v/>
      </c>
      <c r="G2096">
        <f>IF(F2096=1,_xlfn.BITXOR(E2096,33800),E2096)</f>
        <v/>
      </c>
    </row>
    <row r="2097">
      <c r="A2097" t="n">
        <v>2091</v>
      </c>
      <c r="B2097">
        <f>_DestuffedBits!C2092</f>
        <v/>
      </c>
      <c r="C2097">
        <f>G2096</f>
        <v/>
      </c>
      <c r="D2097">
        <f>_xlfn.BITAND(C2097,1)</f>
        <v/>
      </c>
      <c r="E2097">
        <f>_xlfn.BITRSHIFT(C2097,1)</f>
        <v/>
      </c>
      <c r="F2097">
        <f>_xlfn.BITXOR(D2097,B2097)</f>
        <v/>
      </c>
      <c r="G2097">
        <f>IF(F2097=1,_xlfn.BITXOR(E2097,33800),E2097)</f>
        <v/>
      </c>
    </row>
    <row r="2098">
      <c r="A2098" t="n">
        <v>2092</v>
      </c>
      <c r="B2098">
        <f>_DestuffedBits!C2093</f>
        <v/>
      </c>
      <c r="C2098">
        <f>G2097</f>
        <v/>
      </c>
      <c r="D2098">
        <f>_xlfn.BITAND(C2098,1)</f>
        <v/>
      </c>
      <c r="E2098">
        <f>_xlfn.BITRSHIFT(C2098,1)</f>
        <v/>
      </c>
      <c r="F2098">
        <f>_xlfn.BITXOR(D2098,B2098)</f>
        <v/>
      </c>
      <c r="G2098">
        <f>IF(F2098=1,_xlfn.BITXOR(E2098,33800),E2098)</f>
        <v/>
      </c>
    </row>
    <row r="2099">
      <c r="A2099" t="n">
        <v>2093</v>
      </c>
      <c r="B2099">
        <f>_DestuffedBits!C2094</f>
        <v/>
      </c>
      <c r="C2099">
        <f>G2098</f>
        <v/>
      </c>
      <c r="D2099">
        <f>_xlfn.BITAND(C2099,1)</f>
        <v/>
      </c>
      <c r="E2099">
        <f>_xlfn.BITRSHIFT(C2099,1)</f>
        <v/>
      </c>
      <c r="F2099">
        <f>_xlfn.BITXOR(D2099,B2099)</f>
        <v/>
      </c>
      <c r="G2099">
        <f>IF(F2099=1,_xlfn.BITXOR(E2099,33800),E2099)</f>
        <v/>
      </c>
    </row>
    <row r="2100">
      <c r="A2100" t="n">
        <v>2094</v>
      </c>
      <c r="B2100">
        <f>_DestuffedBits!C2095</f>
        <v/>
      </c>
      <c r="C2100">
        <f>G2099</f>
        <v/>
      </c>
      <c r="D2100">
        <f>_xlfn.BITAND(C2100,1)</f>
        <v/>
      </c>
      <c r="E2100">
        <f>_xlfn.BITRSHIFT(C2100,1)</f>
        <v/>
      </c>
      <c r="F2100">
        <f>_xlfn.BITXOR(D2100,B2100)</f>
        <v/>
      </c>
      <c r="G2100">
        <f>IF(F2100=1,_xlfn.BITXOR(E2100,33800),E2100)</f>
        <v/>
      </c>
    </row>
    <row r="2101">
      <c r="A2101" t="n">
        <v>2095</v>
      </c>
      <c r="B2101">
        <f>_DestuffedBits!C2096</f>
        <v/>
      </c>
      <c r="C2101">
        <f>G2100</f>
        <v/>
      </c>
      <c r="D2101">
        <f>_xlfn.BITAND(C2101,1)</f>
        <v/>
      </c>
      <c r="E2101">
        <f>_xlfn.BITRSHIFT(C2101,1)</f>
        <v/>
      </c>
      <c r="F2101">
        <f>_xlfn.BITXOR(D2101,B2101)</f>
        <v/>
      </c>
      <c r="G2101">
        <f>IF(F2101=1,_xlfn.BITXOR(E2101,33800),E2101)</f>
        <v/>
      </c>
    </row>
    <row r="2102">
      <c r="A2102" t="n">
        <v>2096</v>
      </c>
      <c r="B2102">
        <f>_DestuffedBits!C2097</f>
        <v/>
      </c>
      <c r="C2102">
        <f>G2101</f>
        <v/>
      </c>
      <c r="D2102">
        <f>_xlfn.BITAND(C2102,1)</f>
        <v/>
      </c>
      <c r="E2102">
        <f>_xlfn.BITRSHIFT(C2102,1)</f>
        <v/>
      </c>
      <c r="F2102">
        <f>_xlfn.BITXOR(D2102,B2102)</f>
        <v/>
      </c>
      <c r="G2102">
        <f>IF(F2102=1,_xlfn.BITXOR(E2102,33800),E2102)</f>
        <v/>
      </c>
    </row>
    <row r="2103">
      <c r="A2103" t="n">
        <v>2097</v>
      </c>
      <c r="B2103">
        <f>_DestuffedBits!C2098</f>
        <v/>
      </c>
      <c r="C2103">
        <f>G2102</f>
        <v/>
      </c>
      <c r="D2103">
        <f>_xlfn.BITAND(C2103,1)</f>
        <v/>
      </c>
      <c r="E2103">
        <f>_xlfn.BITRSHIFT(C2103,1)</f>
        <v/>
      </c>
      <c r="F2103">
        <f>_xlfn.BITXOR(D2103,B2103)</f>
        <v/>
      </c>
      <c r="G2103">
        <f>IF(F2103=1,_xlfn.BITXOR(E2103,33800),E2103)</f>
        <v/>
      </c>
    </row>
    <row r="2104">
      <c r="A2104" t="n">
        <v>2098</v>
      </c>
      <c r="B2104">
        <f>_DestuffedBits!C2099</f>
        <v/>
      </c>
      <c r="C2104">
        <f>G2103</f>
        <v/>
      </c>
      <c r="D2104">
        <f>_xlfn.BITAND(C2104,1)</f>
        <v/>
      </c>
      <c r="E2104">
        <f>_xlfn.BITRSHIFT(C2104,1)</f>
        <v/>
      </c>
      <c r="F2104">
        <f>_xlfn.BITXOR(D2104,B2104)</f>
        <v/>
      </c>
      <c r="G2104">
        <f>IF(F2104=1,_xlfn.BITXOR(E2104,33800),E2104)</f>
        <v/>
      </c>
    </row>
    <row r="2105">
      <c r="A2105" t="n">
        <v>2099</v>
      </c>
      <c r="B2105">
        <f>_DestuffedBits!C2100</f>
        <v/>
      </c>
      <c r="C2105">
        <f>G2104</f>
        <v/>
      </c>
      <c r="D2105">
        <f>_xlfn.BITAND(C2105,1)</f>
        <v/>
      </c>
      <c r="E2105">
        <f>_xlfn.BITRSHIFT(C2105,1)</f>
        <v/>
      </c>
      <c r="F2105">
        <f>_xlfn.BITXOR(D2105,B2105)</f>
        <v/>
      </c>
      <c r="G2105">
        <f>IF(F2105=1,_xlfn.BITXOR(E2105,33800),E2105)</f>
        <v/>
      </c>
    </row>
    <row r="2106">
      <c r="A2106" t="n">
        <v>2100</v>
      </c>
      <c r="B2106">
        <f>_DestuffedBits!C2101</f>
        <v/>
      </c>
      <c r="C2106">
        <f>G2105</f>
        <v/>
      </c>
      <c r="D2106">
        <f>_xlfn.BITAND(C2106,1)</f>
        <v/>
      </c>
      <c r="E2106">
        <f>_xlfn.BITRSHIFT(C2106,1)</f>
        <v/>
      </c>
      <c r="F2106">
        <f>_xlfn.BITXOR(D2106,B2106)</f>
        <v/>
      </c>
      <c r="G2106">
        <f>IF(F2106=1,_xlfn.BITXOR(E2106,33800),E2106)</f>
        <v/>
      </c>
    </row>
    <row r="2107">
      <c r="A2107" t="n">
        <v>2101</v>
      </c>
      <c r="B2107">
        <f>_DestuffedBits!C2102</f>
        <v/>
      </c>
      <c r="C2107">
        <f>G2106</f>
        <v/>
      </c>
      <c r="D2107">
        <f>_xlfn.BITAND(C2107,1)</f>
        <v/>
      </c>
      <c r="E2107">
        <f>_xlfn.BITRSHIFT(C2107,1)</f>
        <v/>
      </c>
      <c r="F2107">
        <f>_xlfn.BITXOR(D2107,B2107)</f>
        <v/>
      </c>
      <c r="G2107">
        <f>IF(F2107=1,_xlfn.BITXOR(E2107,33800),E2107)</f>
        <v/>
      </c>
    </row>
    <row r="2108">
      <c r="A2108" t="n">
        <v>2102</v>
      </c>
      <c r="B2108">
        <f>_DestuffedBits!C2103</f>
        <v/>
      </c>
      <c r="C2108">
        <f>G2107</f>
        <v/>
      </c>
      <c r="D2108">
        <f>_xlfn.BITAND(C2108,1)</f>
        <v/>
      </c>
      <c r="E2108">
        <f>_xlfn.BITRSHIFT(C2108,1)</f>
        <v/>
      </c>
      <c r="F2108">
        <f>_xlfn.BITXOR(D2108,B2108)</f>
        <v/>
      </c>
      <c r="G2108">
        <f>IF(F2108=1,_xlfn.BITXOR(E2108,33800),E2108)</f>
        <v/>
      </c>
    </row>
    <row r="2109">
      <c r="A2109" t="n">
        <v>2103</v>
      </c>
      <c r="B2109">
        <f>_DestuffedBits!C2104</f>
        <v/>
      </c>
      <c r="C2109">
        <f>G2108</f>
        <v/>
      </c>
      <c r="D2109">
        <f>_xlfn.BITAND(C2109,1)</f>
        <v/>
      </c>
      <c r="E2109">
        <f>_xlfn.BITRSHIFT(C2109,1)</f>
        <v/>
      </c>
      <c r="F2109">
        <f>_xlfn.BITXOR(D2109,B2109)</f>
        <v/>
      </c>
      <c r="G2109">
        <f>IF(F2109=1,_xlfn.BITXOR(E2109,33800),E2109)</f>
        <v/>
      </c>
    </row>
    <row r="2110">
      <c r="A2110" t="n">
        <v>2104</v>
      </c>
      <c r="B2110">
        <f>_DestuffedBits!C2105</f>
        <v/>
      </c>
      <c r="C2110">
        <f>G2109</f>
        <v/>
      </c>
      <c r="D2110">
        <f>_xlfn.BITAND(C2110,1)</f>
        <v/>
      </c>
      <c r="E2110">
        <f>_xlfn.BITRSHIFT(C2110,1)</f>
        <v/>
      </c>
      <c r="F2110">
        <f>_xlfn.BITXOR(D2110,B2110)</f>
        <v/>
      </c>
      <c r="G2110">
        <f>IF(F2110=1,_xlfn.BITXOR(E2110,33800),E2110)</f>
        <v/>
      </c>
    </row>
    <row r="2111">
      <c r="A2111" t="n">
        <v>2105</v>
      </c>
      <c r="B2111">
        <f>_DestuffedBits!C2106</f>
        <v/>
      </c>
      <c r="C2111">
        <f>G2110</f>
        <v/>
      </c>
      <c r="D2111">
        <f>_xlfn.BITAND(C2111,1)</f>
        <v/>
      </c>
      <c r="E2111">
        <f>_xlfn.BITRSHIFT(C2111,1)</f>
        <v/>
      </c>
      <c r="F2111">
        <f>_xlfn.BITXOR(D2111,B2111)</f>
        <v/>
      </c>
      <c r="G2111">
        <f>IF(F2111=1,_xlfn.BITXOR(E2111,33800),E2111)</f>
        <v/>
      </c>
    </row>
    <row r="2112">
      <c r="A2112" t="n">
        <v>2106</v>
      </c>
      <c r="B2112">
        <f>_DestuffedBits!C2107</f>
        <v/>
      </c>
      <c r="C2112">
        <f>G2111</f>
        <v/>
      </c>
      <c r="D2112">
        <f>_xlfn.BITAND(C2112,1)</f>
        <v/>
      </c>
      <c r="E2112">
        <f>_xlfn.BITRSHIFT(C2112,1)</f>
        <v/>
      </c>
      <c r="F2112">
        <f>_xlfn.BITXOR(D2112,B2112)</f>
        <v/>
      </c>
      <c r="G2112">
        <f>IF(F2112=1,_xlfn.BITXOR(E2112,33800),E2112)</f>
        <v/>
      </c>
    </row>
    <row r="2113">
      <c r="A2113" t="n">
        <v>2107</v>
      </c>
      <c r="B2113">
        <f>_DestuffedBits!C2108</f>
        <v/>
      </c>
      <c r="C2113">
        <f>G2112</f>
        <v/>
      </c>
      <c r="D2113">
        <f>_xlfn.BITAND(C2113,1)</f>
        <v/>
      </c>
      <c r="E2113">
        <f>_xlfn.BITRSHIFT(C2113,1)</f>
        <v/>
      </c>
      <c r="F2113">
        <f>_xlfn.BITXOR(D2113,B2113)</f>
        <v/>
      </c>
      <c r="G2113">
        <f>IF(F2113=1,_xlfn.BITXOR(E2113,33800),E2113)</f>
        <v/>
      </c>
    </row>
    <row r="2114">
      <c r="A2114" t="n">
        <v>2108</v>
      </c>
      <c r="B2114">
        <f>_DestuffedBits!C2109</f>
        <v/>
      </c>
      <c r="C2114">
        <f>G2113</f>
        <v/>
      </c>
      <c r="D2114">
        <f>_xlfn.BITAND(C2114,1)</f>
        <v/>
      </c>
      <c r="E2114">
        <f>_xlfn.BITRSHIFT(C2114,1)</f>
        <v/>
      </c>
      <c r="F2114">
        <f>_xlfn.BITXOR(D2114,B2114)</f>
        <v/>
      </c>
      <c r="G2114">
        <f>IF(F2114=1,_xlfn.BITXOR(E2114,33800),E2114)</f>
        <v/>
      </c>
    </row>
    <row r="2115">
      <c r="A2115" t="n">
        <v>2109</v>
      </c>
      <c r="B2115">
        <f>_DestuffedBits!C2110</f>
        <v/>
      </c>
      <c r="C2115">
        <f>G2114</f>
        <v/>
      </c>
      <c r="D2115">
        <f>_xlfn.BITAND(C2115,1)</f>
        <v/>
      </c>
      <c r="E2115">
        <f>_xlfn.BITRSHIFT(C2115,1)</f>
        <v/>
      </c>
      <c r="F2115">
        <f>_xlfn.BITXOR(D2115,B2115)</f>
        <v/>
      </c>
      <c r="G2115">
        <f>IF(F2115=1,_xlfn.BITXOR(E2115,33800),E2115)</f>
        <v/>
      </c>
    </row>
    <row r="2116">
      <c r="A2116" t="n">
        <v>2110</v>
      </c>
      <c r="B2116">
        <f>_DestuffedBits!C2111</f>
        <v/>
      </c>
      <c r="C2116">
        <f>G2115</f>
        <v/>
      </c>
      <c r="D2116">
        <f>_xlfn.BITAND(C2116,1)</f>
        <v/>
      </c>
      <c r="E2116">
        <f>_xlfn.BITRSHIFT(C2116,1)</f>
        <v/>
      </c>
      <c r="F2116">
        <f>_xlfn.BITXOR(D2116,B2116)</f>
        <v/>
      </c>
      <c r="G2116">
        <f>IF(F2116=1,_xlfn.BITXOR(E2116,33800),E2116)</f>
        <v/>
      </c>
    </row>
    <row r="2117">
      <c r="A2117" t="n">
        <v>2111</v>
      </c>
      <c r="B2117">
        <f>_DestuffedBits!C2112</f>
        <v/>
      </c>
      <c r="C2117">
        <f>G2116</f>
        <v/>
      </c>
      <c r="D2117">
        <f>_xlfn.BITAND(C2117,1)</f>
        <v/>
      </c>
      <c r="E2117">
        <f>_xlfn.BITRSHIFT(C2117,1)</f>
        <v/>
      </c>
      <c r="F2117">
        <f>_xlfn.BITXOR(D2117,B2117)</f>
        <v/>
      </c>
      <c r="G2117">
        <f>IF(F2117=1,_xlfn.BITXOR(E2117,33800),E2117)</f>
        <v/>
      </c>
    </row>
    <row r="2118">
      <c r="A2118" t="n">
        <v>2112</v>
      </c>
      <c r="B2118">
        <f>_DestuffedBits!C2113</f>
        <v/>
      </c>
      <c r="C2118">
        <f>G2117</f>
        <v/>
      </c>
      <c r="D2118">
        <f>_xlfn.BITAND(C2118,1)</f>
        <v/>
      </c>
      <c r="E2118">
        <f>_xlfn.BITRSHIFT(C2118,1)</f>
        <v/>
      </c>
      <c r="F2118">
        <f>_xlfn.BITXOR(D2118,B2118)</f>
        <v/>
      </c>
      <c r="G2118">
        <f>IF(F2118=1,_xlfn.BITXOR(E2118,33800),E2118)</f>
        <v/>
      </c>
    </row>
    <row r="2119">
      <c r="A2119" t="n">
        <v>2113</v>
      </c>
      <c r="B2119">
        <f>_DestuffedBits!C2114</f>
        <v/>
      </c>
      <c r="C2119">
        <f>G2118</f>
        <v/>
      </c>
      <c r="D2119">
        <f>_xlfn.BITAND(C2119,1)</f>
        <v/>
      </c>
      <c r="E2119">
        <f>_xlfn.BITRSHIFT(C2119,1)</f>
        <v/>
      </c>
      <c r="F2119">
        <f>_xlfn.BITXOR(D2119,B2119)</f>
        <v/>
      </c>
      <c r="G2119">
        <f>IF(F2119=1,_xlfn.BITXOR(E2119,33800),E2119)</f>
        <v/>
      </c>
    </row>
    <row r="2120">
      <c r="A2120" t="n">
        <v>2114</v>
      </c>
      <c r="B2120">
        <f>_DestuffedBits!C2115</f>
        <v/>
      </c>
      <c r="C2120">
        <f>G2119</f>
        <v/>
      </c>
      <c r="D2120">
        <f>_xlfn.BITAND(C2120,1)</f>
        <v/>
      </c>
      <c r="E2120">
        <f>_xlfn.BITRSHIFT(C2120,1)</f>
        <v/>
      </c>
      <c r="F2120">
        <f>_xlfn.BITXOR(D2120,B2120)</f>
        <v/>
      </c>
      <c r="G2120">
        <f>IF(F2120=1,_xlfn.BITXOR(E2120,33800),E2120)</f>
        <v/>
      </c>
    </row>
    <row r="2121">
      <c r="A2121" t="n">
        <v>2115</v>
      </c>
      <c r="B2121">
        <f>_DestuffedBits!C2116</f>
        <v/>
      </c>
      <c r="C2121">
        <f>G2120</f>
        <v/>
      </c>
      <c r="D2121">
        <f>_xlfn.BITAND(C2121,1)</f>
        <v/>
      </c>
      <c r="E2121">
        <f>_xlfn.BITRSHIFT(C2121,1)</f>
        <v/>
      </c>
      <c r="F2121">
        <f>_xlfn.BITXOR(D2121,B2121)</f>
        <v/>
      </c>
      <c r="G2121">
        <f>IF(F2121=1,_xlfn.BITXOR(E2121,33800),E2121)</f>
        <v/>
      </c>
    </row>
    <row r="2122">
      <c r="A2122" t="n">
        <v>2116</v>
      </c>
      <c r="B2122">
        <f>_DestuffedBits!C2117</f>
        <v/>
      </c>
      <c r="C2122">
        <f>G2121</f>
        <v/>
      </c>
      <c r="D2122">
        <f>_xlfn.BITAND(C2122,1)</f>
        <v/>
      </c>
      <c r="E2122">
        <f>_xlfn.BITRSHIFT(C2122,1)</f>
        <v/>
      </c>
      <c r="F2122">
        <f>_xlfn.BITXOR(D2122,B2122)</f>
        <v/>
      </c>
      <c r="G2122">
        <f>IF(F2122=1,_xlfn.BITXOR(E2122,33800),E2122)</f>
        <v/>
      </c>
    </row>
    <row r="2123">
      <c r="A2123" t="n">
        <v>2117</v>
      </c>
      <c r="B2123">
        <f>_DestuffedBits!C2118</f>
        <v/>
      </c>
      <c r="C2123">
        <f>G2122</f>
        <v/>
      </c>
      <c r="D2123">
        <f>_xlfn.BITAND(C2123,1)</f>
        <v/>
      </c>
      <c r="E2123">
        <f>_xlfn.BITRSHIFT(C2123,1)</f>
        <v/>
      </c>
      <c r="F2123">
        <f>_xlfn.BITXOR(D2123,B2123)</f>
        <v/>
      </c>
      <c r="G2123">
        <f>IF(F2123=1,_xlfn.BITXOR(E2123,33800),E2123)</f>
        <v/>
      </c>
    </row>
    <row r="2124">
      <c r="A2124" t="n">
        <v>2118</v>
      </c>
      <c r="B2124">
        <f>_DestuffedBits!C2119</f>
        <v/>
      </c>
      <c r="C2124">
        <f>G2123</f>
        <v/>
      </c>
      <c r="D2124">
        <f>_xlfn.BITAND(C2124,1)</f>
        <v/>
      </c>
      <c r="E2124">
        <f>_xlfn.BITRSHIFT(C2124,1)</f>
        <v/>
      </c>
      <c r="F2124">
        <f>_xlfn.BITXOR(D2124,B2124)</f>
        <v/>
      </c>
      <c r="G2124">
        <f>IF(F2124=1,_xlfn.BITXOR(E2124,33800),E2124)</f>
        <v/>
      </c>
    </row>
    <row r="2125">
      <c r="A2125" t="n">
        <v>2119</v>
      </c>
      <c r="B2125">
        <f>_DestuffedBits!C2120</f>
        <v/>
      </c>
      <c r="C2125">
        <f>G2124</f>
        <v/>
      </c>
      <c r="D2125">
        <f>_xlfn.BITAND(C2125,1)</f>
        <v/>
      </c>
      <c r="E2125">
        <f>_xlfn.BITRSHIFT(C2125,1)</f>
        <v/>
      </c>
      <c r="F2125">
        <f>_xlfn.BITXOR(D2125,B2125)</f>
        <v/>
      </c>
      <c r="G2125">
        <f>IF(F2125=1,_xlfn.BITXOR(E2125,33800),E2125)</f>
        <v/>
      </c>
    </row>
    <row r="2126">
      <c r="A2126" t="n">
        <v>2120</v>
      </c>
      <c r="B2126">
        <f>_DestuffedBits!C2121</f>
        <v/>
      </c>
      <c r="C2126">
        <f>G2125</f>
        <v/>
      </c>
      <c r="D2126">
        <f>_xlfn.BITAND(C2126,1)</f>
        <v/>
      </c>
      <c r="E2126">
        <f>_xlfn.BITRSHIFT(C2126,1)</f>
        <v/>
      </c>
      <c r="F2126">
        <f>_xlfn.BITXOR(D2126,B2126)</f>
        <v/>
      </c>
      <c r="G2126">
        <f>IF(F2126=1,_xlfn.BITXOR(E2126,33800),E2126)</f>
        <v/>
      </c>
    </row>
    <row r="2127">
      <c r="A2127" t="n">
        <v>2121</v>
      </c>
      <c r="B2127">
        <f>_DestuffedBits!C2122</f>
        <v/>
      </c>
      <c r="C2127">
        <f>G2126</f>
        <v/>
      </c>
      <c r="D2127">
        <f>_xlfn.BITAND(C2127,1)</f>
        <v/>
      </c>
      <c r="E2127">
        <f>_xlfn.BITRSHIFT(C2127,1)</f>
        <v/>
      </c>
      <c r="F2127">
        <f>_xlfn.BITXOR(D2127,B2127)</f>
        <v/>
      </c>
      <c r="G2127">
        <f>IF(F2127=1,_xlfn.BITXOR(E2127,33800),E2127)</f>
        <v/>
      </c>
    </row>
    <row r="2128">
      <c r="A2128" t="n">
        <v>2122</v>
      </c>
      <c r="B2128">
        <f>_DestuffedBits!C2123</f>
        <v/>
      </c>
      <c r="C2128">
        <f>G2127</f>
        <v/>
      </c>
      <c r="D2128">
        <f>_xlfn.BITAND(C2128,1)</f>
        <v/>
      </c>
      <c r="E2128">
        <f>_xlfn.BITRSHIFT(C2128,1)</f>
        <v/>
      </c>
      <c r="F2128">
        <f>_xlfn.BITXOR(D2128,B2128)</f>
        <v/>
      </c>
      <c r="G2128">
        <f>IF(F2128=1,_xlfn.BITXOR(E2128,33800),E2128)</f>
        <v/>
      </c>
    </row>
    <row r="2129">
      <c r="A2129" t="n">
        <v>2123</v>
      </c>
      <c r="B2129">
        <f>_DestuffedBits!C2124</f>
        <v/>
      </c>
      <c r="C2129">
        <f>G2128</f>
        <v/>
      </c>
      <c r="D2129">
        <f>_xlfn.BITAND(C2129,1)</f>
        <v/>
      </c>
      <c r="E2129">
        <f>_xlfn.BITRSHIFT(C2129,1)</f>
        <v/>
      </c>
      <c r="F2129">
        <f>_xlfn.BITXOR(D2129,B2129)</f>
        <v/>
      </c>
      <c r="G2129">
        <f>IF(F2129=1,_xlfn.BITXOR(E2129,33800),E2129)</f>
        <v/>
      </c>
    </row>
    <row r="2130">
      <c r="A2130" t="n">
        <v>2124</v>
      </c>
      <c r="B2130">
        <f>_DestuffedBits!C2125</f>
        <v/>
      </c>
      <c r="C2130">
        <f>G2129</f>
        <v/>
      </c>
      <c r="D2130">
        <f>_xlfn.BITAND(C2130,1)</f>
        <v/>
      </c>
      <c r="E2130">
        <f>_xlfn.BITRSHIFT(C2130,1)</f>
        <v/>
      </c>
      <c r="F2130">
        <f>_xlfn.BITXOR(D2130,B2130)</f>
        <v/>
      </c>
      <c r="G2130">
        <f>IF(F2130=1,_xlfn.BITXOR(E2130,33800),E2130)</f>
        <v/>
      </c>
    </row>
    <row r="2131">
      <c r="A2131" t="n">
        <v>2125</v>
      </c>
      <c r="B2131">
        <f>_DestuffedBits!C2126</f>
        <v/>
      </c>
      <c r="C2131">
        <f>G2130</f>
        <v/>
      </c>
      <c r="D2131">
        <f>_xlfn.BITAND(C2131,1)</f>
        <v/>
      </c>
      <c r="E2131">
        <f>_xlfn.BITRSHIFT(C2131,1)</f>
        <v/>
      </c>
      <c r="F2131">
        <f>_xlfn.BITXOR(D2131,B2131)</f>
        <v/>
      </c>
      <c r="G2131">
        <f>IF(F2131=1,_xlfn.BITXOR(E2131,33800),E2131)</f>
        <v/>
      </c>
    </row>
    <row r="2132">
      <c r="A2132" t="n">
        <v>2126</v>
      </c>
      <c r="B2132">
        <f>_DestuffedBits!C2127</f>
        <v/>
      </c>
      <c r="C2132">
        <f>G2131</f>
        <v/>
      </c>
      <c r="D2132">
        <f>_xlfn.BITAND(C2132,1)</f>
        <v/>
      </c>
      <c r="E2132">
        <f>_xlfn.BITRSHIFT(C2132,1)</f>
        <v/>
      </c>
      <c r="F2132">
        <f>_xlfn.BITXOR(D2132,B2132)</f>
        <v/>
      </c>
      <c r="G2132">
        <f>IF(F2132=1,_xlfn.BITXOR(E2132,33800),E2132)</f>
        <v/>
      </c>
    </row>
    <row r="2133">
      <c r="A2133" t="n">
        <v>2127</v>
      </c>
      <c r="B2133">
        <f>_DestuffedBits!C2128</f>
        <v/>
      </c>
      <c r="C2133">
        <f>G2132</f>
        <v/>
      </c>
      <c r="D2133">
        <f>_xlfn.BITAND(C2133,1)</f>
        <v/>
      </c>
      <c r="E2133">
        <f>_xlfn.BITRSHIFT(C2133,1)</f>
        <v/>
      </c>
      <c r="F2133">
        <f>_xlfn.BITXOR(D2133,B2133)</f>
        <v/>
      </c>
      <c r="G2133">
        <f>IF(F2133=1,_xlfn.BITXOR(E2133,33800),E2133)</f>
        <v/>
      </c>
    </row>
    <row r="2134">
      <c r="A2134" t="n">
        <v>2128</v>
      </c>
      <c r="B2134">
        <f>_DestuffedBits!C2129</f>
        <v/>
      </c>
      <c r="C2134">
        <f>G2133</f>
        <v/>
      </c>
      <c r="D2134">
        <f>_xlfn.BITAND(C2134,1)</f>
        <v/>
      </c>
      <c r="E2134">
        <f>_xlfn.BITRSHIFT(C2134,1)</f>
        <v/>
      </c>
      <c r="F2134">
        <f>_xlfn.BITXOR(D2134,B2134)</f>
        <v/>
      </c>
      <c r="G2134">
        <f>IF(F2134=1,_xlfn.BITXOR(E2134,33800),E2134)</f>
        <v/>
      </c>
    </row>
    <row r="2135">
      <c r="A2135" t="n">
        <v>2129</v>
      </c>
      <c r="B2135">
        <f>_DestuffedBits!C2130</f>
        <v/>
      </c>
      <c r="C2135">
        <f>G2134</f>
        <v/>
      </c>
      <c r="D2135">
        <f>_xlfn.BITAND(C2135,1)</f>
        <v/>
      </c>
      <c r="E2135">
        <f>_xlfn.BITRSHIFT(C2135,1)</f>
        <v/>
      </c>
      <c r="F2135">
        <f>_xlfn.BITXOR(D2135,B2135)</f>
        <v/>
      </c>
      <c r="G2135">
        <f>IF(F2135=1,_xlfn.BITXOR(E2135,33800),E2135)</f>
        <v/>
      </c>
    </row>
    <row r="2136">
      <c r="A2136" t="n">
        <v>2130</v>
      </c>
      <c r="B2136">
        <f>_DestuffedBits!C2131</f>
        <v/>
      </c>
      <c r="C2136">
        <f>G2135</f>
        <v/>
      </c>
      <c r="D2136">
        <f>_xlfn.BITAND(C2136,1)</f>
        <v/>
      </c>
      <c r="E2136">
        <f>_xlfn.BITRSHIFT(C2136,1)</f>
        <v/>
      </c>
      <c r="F2136">
        <f>_xlfn.BITXOR(D2136,B2136)</f>
        <v/>
      </c>
      <c r="G2136">
        <f>IF(F2136=1,_xlfn.BITXOR(E2136,33800),E2136)</f>
        <v/>
      </c>
    </row>
    <row r="2137">
      <c r="A2137" t="n">
        <v>2131</v>
      </c>
      <c r="B2137">
        <f>_DestuffedBits!C2132</f>
        <v/>
      </c>
      <c r="C2137">
        <f>G2136</f>
        <v/>
      </c>
      <c r="D2137">
        <f>_xlfn.BITAND(C2137,1)</f>
        <v/>
      </c>
      <c r="E2137">
        <f>_xlfn.BITRSHIFT(C2137,1)</f>
        <v/>
      </c>
      <c r="F2137">
        <f>_xlfn.BITXOR(D2137,B2137)</f>
        <v/>
      </c>
      <c r="G2137">
        <f>IF(F2137=1,_xlfn.BITXOR(E2137,33800),E2137)</f>
        <v/>
      </c>
    </row>
    <row r="2138">
      <c r="A2138" t="n">
        <v>2132</v>
      </c>
      <c r="B2138">
        <f>_DestuffedBits!C2133</f>
        <v/>
      </c>
      <c r="C2138">
        <f>G2137</f>
        <v/>
      </c>
      <c r="D2138">
        <f>_xlfn.BITAND(C2138,1)</f>
        <v/>
      </c>
      <c r="E2138">
        <f>_xlfn.BITRSHIFT(C2138,1)</f>
        <v/>
      </c>
      <c r="F2138">
        <f>_xlfn.BITXOR(D2138,B2138)</f>
        <v/>
      </c>
      <c r="G2138">
        <f>IF(F2138=1,_xlfn.BITXOR(E2138,33800),E2138)</f>
        <v/>
      </c>
    </row>
    <row r="2139">
      <c r="A2139" t="n">
        <v>2133</v>
      </c>
      <c r="B2139">
        <f>_DestuffedBits!C2134</f>
        <v/>
      </c>
      <c r="C2139">
        <f>G2138</f>
        <v/>
      </c>
      <c r="D2139">
        <f>_xlfn.BITAND(C2139,1)</f>
        <v/>
      </c>
      <c r="E2139">
        <f>_xlfn.BITRSHIFT(C2139,1)</f>
        <v/>
      </c>
      <c r="F2139">
        <f>_xlfn.BITXOR(D2139,B2139)</f>
        <v/>
      </c>
      <c r="G2139">
        <f>IF(F2139=1,_xlfn.BITXOR(E2139,33800),E2139)</f>
        <v/>
      </c>
    </row>
    <row r="2140">
      <c r="A2140" t="n">
        <v>2134</v>
      </c>
      <c r="B2140">
        <f>_DestuffedBits!C2135</f>
        <v/>
      </c>
      <c r="C2140">
        <f>G2139</f>
        <v/>
      </c>
      <c r="D2140">
        <f>_xlfn.BITAND(C2140,1)</f>
        <v/>
      </c>
      <c r="E2140">
        <f>_xlfn.BITRSHIFT(C2140,1)</f>
        <v/>
      </c>
      <c r="F2140">
        <f>_xlfn.BITXOR(D2140,B2140)</f>
        <v/>
      </c>
      <c r="G2140">
        <f>IF(F2140=1,_xlfn.BITXOR(E2140,33800),E2140)</f>
        <v/>
      </c>
    </row>
    <row r="2141">
      <c r="A2141" t="n">
        <v>2135</v>
      </c>
      <c r="B2141">
        <f>_DestuffedBits!C2136</f>
        <v/>
      </c>
      <c r="C2141">
        <f>G2140</f>
        <v/>
      </c>
      <c r="D2141">
        <f>_xlfn.BITAND(C2141,1)</f>
        <v/>
      </c>
      <c r="E2141">
        <f>_xlfn.BITRSHIFT(C2141,1)</f>
        <v/>
      </c>
      <c r="F2141">
        <f>_xlfn.BITXOR(D2141,B2141)</f>
        <v/>
      </c>
      <c r="G2141">
        <f>IF(F2141=1,_xlfn.BITXOR(E2141,33800),E2141)</f>
        <v/>
      </c>
    </row>
    <row r="2142">
      <c r="A2142" t="n">
        <v>2136</v>
      </c>
      <c r="B2142">
        <f>_DestuffedBits!C2137</f>
        <v/>
      </c>
      <c r="C2142">
        <f>G2141</f>
        <v/>
      </c>
      <c r="D2142">
        <f>_xlfn.BITAND(C2142,1)</f>
        <v/>
      </c>
      <c r="E2142">
        <f>_xlfn.BITRSHIFT(C2142,1)</f>
        <v/>
      </c>
      <c r="F2142">
        <f>_xlfn.BITXOR(D2142,B2142)</f>
        <v/>
      </c>
      <c r="G2142">
        <f>IF(F2142=1,_xlfn.BITXOR(E2142,33800),E2142)</f>
        <v/>
      </c>
    </row>
    <row r="2143">
      <c r="A2143" t="n">
        <v>2137</v>
      </c>
      <c r="B2143">
        <f>_DestuffedBits!C2138</f>
        <v/>
      </c>
      <c r="C2143">
        <f>G2142</f>
        <v/>
      </c>
      <c r="D2143">
        <f>_xlfn.BITAND(C2143,1)</f>
        <v/>
      </c>
      <c r="E2143">
        <f>_xlfn.BITRSHIFT(C2143,1)</f>
        <v/>
      </c>
      <c r="F2143">
        <f>_xlfn.BITXOR(D2143,B2143)</f>
        <v/>
      </c>
      <c r="G2143">
        <f>IF(F2143=1,_xlfn.BITXOR(E2143,33800),E2143)</f>
        <v/>
      </c>
    </row>
    <row r="2144">
      <c r="A2144" t="n">
        <v>2138</v>
      </c>
      <c r="B2144">
        <f>_DestuffedBits!C2139</f>
        <v/>
      </c>
      <c r="C2144">
        <f>G2143</f>
        <v/>
      </c>
      <c r="D2144">
        <f>_xlfn.BITAND(C2144,1)</f>
        <v/>
      </c>
      <c r="E2144">
        <f>_xlfn.BITRSHIFT(C2144,1)</f>
        <v/>
      </c>
      <c r="F2144">
        <f>_xlfn.BITXOR(D2144,B2144)</f>
        <v/>
      </c>
      <c r="G2144">
        <f>IF(F2144=1,_xlfn.BITXOR(E2144,33800),E2144)</f>
        <v/>
      </c>
    </row>
    <row r="2145">
      <c r="A2145" t="n">
        <v>2139</v>
      </c>
      <c r="B2145">
        <f>_DestuffedBits!C2140</f>
        <v/>
      </c>
      <c r="C2145">
        <f>G2144</f>
        <v/>
      </c>
      <c r="D2145">
        <f>_xlfn.BITAND(C2145,1)</f>
        <v/>
      </c>
      <c r="E2145">
        <f>_xlfn.BITRSHIFT(C2145,1)</f>
        <v/>
      </c>
      <c r="F2145">
        <f>_xlfn.BITXOR(D2145,B2145)</f>
        <v/>
      </c>
      <c r="G2145">
        <f>IF(F2145=1,_xlfn.BITXOR(E2145,33800),E2145)</f>
        <v/>
      </c>
    </row>
    <row r="2146">
      <c r="A2146" t="n">
        <v>2140</v>
      </c>
      <c r="B2146">
        <f>_DestuffedBits!C2141</f>
        <v/>
      </c>
      <c r="C2146">
        <f>G2145</f>
        <v/>
      </c>
      <c r="D2146">
        <f>_xlfn.BITAND(C2146,1)</f>
        <v/>
      </c>
      <c r="E2146">
        <f>_xlfn.BITRSHIFT(C2146,1)</f>
        <v/>
      </c>
      <c r="F2146">
        <f>_xlfn.BITXOR(D2146,B2146)</f>
        <v/>
      </c>
      <c r="G2146">
        <f>IF(F2146=1,_xlfn.BITXOR(E2146,33800),E2146)</f>
        <v/>
      </c>
    </row>
    <row r="2147">
      <c r="A2147" t="n">
        <v>2141</v>
      </c>
      <c r="B2147">
        <f>_DestuffedBits!C2142</f>
        <v/>
      </c>
      <c r="C2147">
        <f>G2146</f>
        <v/>
      </c>
      <c r="D2147">
        <f>_xlfn.BITAND(C2147,1)</f>
        <v/>
      </c>
      <c r="E2147">
        <f>_xlfn.BITRSHIFT(C2147,1)</f>
        <v/>
      </c>
      <c r="F2147">
        <f>_xlfn.BITXOR(D2147,B2147)</f>
        <v/>
      </c>
      <c r="G2147">
        <f>IF(F2147=1,_xlfn.BITXOR(E2147,33800),E2147)</f>
        <v/>
      </c>
    </row>
    <row r="2148">
      <c r="A2148" t="n">
        <v>2142</v>
      </c>
      <c r="B2148">
        <f>_DestuffedBits!C2143</f>
        <v/>
      </c>
      <c r="C2148">
        <f>G2147</f>
        <v/>
      </c>
      <c r="D2148">
        <f>_xlfn.BITAND(C2148,1)</f>
        <v/>
      </c>
      <c r="E2148">
        <f>_xlfn.BITRSHIFT(C2148,1)</f>
        <v/>
      </c>
      <c r="F2148">
        <f>_xlfn.BITXOR(D2148,B2148)</f>
        <v/>
      </c>
      <c r="G2148">
        <f>IF(F2148=1,_xlfn.BITXOR(E2148,33800),E2148)</f>
        <v/>
      </c>
    </row>
    <row r="2149">
      <c r="A2149" t="n">
        <v>2143</v>
      </c>
      <c r="B2149">
        <f>_DestuffedBits!C2144</f>
        <v/>
      </c>
      <c r="C2149">
        <f>G2148</f>
        <v/>
      </c>
      <c r="D2149">
        <f>_xlfn.BITAND(C2149,1)</f>
        <v/>
      </c>
      <c r="E2149">
        <f>_xlfn.BITRSHIFT(C2149,1)</f>
        <v/>
      </c>
      <c r="F2149">
        <f>_xlfn.BITXOR(D2149,B2149)</f>
        <v/>
      </c>
      <c r="G2149">
        <f>IF(F2149=1,_xlfn.BITXOR(E2149,33800),E2149)</f>
        <v/>
      </c>
    </row>
    <row r="2150">
      <c r="A2150" t="n">
        <v>2144</v>
      </c>
      <c r="B2150">
        <f>_DestuffedBits!C2145</f>
        <v/>
      </c>
      <c r="C2150">
        <f>G2149</f>
        <v/>
      </c>
      <c r="D2150">
        <f>_xlfn.BITAND(C2150,1)</f>
        <v/>
      </c>
      <c r="E2150">
        <f>_xlfn.BITRSHIFT(C2150,1)</f>
        <v/>
      </c>
      <c r="F2150">
        <f>_xlfn.BITXOR(D2150,B2150)</f>
        <v/>
      </c>
      <c r="G2150">
        <f>IF(F2150=1,_xlfn.BITXOR(E2150,33800),E2150)</f>
        <v/>
      </c>
    </row>
    <row r="2151">
      <c r="A2151" t="n">
        <v>2145</v>
      </c>
      <c r="B2151">
        <f>_DestuffedBits!C2146</f>
        <v/>
      </c>
      <c r="C2151">
        <f>G2150</f>
        <v/>
      </c>
      <c r="D2151">
        <f>_xlfn.BITAND(C2151,1)</f>
        <v/>
      </c>
      <c r="E2151">
        <f>_xlfn.BITRSHIFT(C2151,1)</f>
        <v/>
      </c>
      <c r="F2151">
        <f>_xlfn.BITXOR(D2151,B2151)</f>
        <v/>
      </c>
      <c r="G2151">
        <f>IF(F2151=1,_xlfn.BITXOR(E2151,33800),E2151)</f>
        <v/>
      </c>
    </row>
    <row r="2152">
      <c r="A2152" t="n">
        <v>2146</v>
      </c>
      <c r="B2152">
        <f>_DestuffedBits!C2147</f>
        <v/>
      </c>
      <c r="C2152">
        <f>G2151</f>
        <v/>
      </c>
      <c r="D2152">
        <f>_xlfn.BITAND(C2152,1)</f>
        <v/>
      </c>
      <c r="E2152">
        <f>_xlfn.BITRSHIFT(C2152,1)</f>
        <v/>
      </c>
      <c r="F2152">
        <f>_xlfn.BITXOR(D2152,B2152)</f>
        <v/>
      </c>
      <c r="G2152">
        <f>IF(F2152=1,_xlfn.BITXOR(E2152,33800),E2152)</f>
        <v/>
      </c>
    </row>
    <row r="2153">
      <c r="A2153" t="n">
        <v>2147</v>
      </c>
      <c r="B2153">
        <f>_DestuffedBits!C2148</f>
        <v/>
      </c>
      <c r="C2153">
        <f>G2152</f>
        <v/>
      </c>
      <c r="D2153">
        <f>_xlfn.BITAND(C2153,1)</f>
        <v/>
      </c>
      <c r="E2153">
        <f>_xlfn.BITRSHIFT(C2153,1)</f>
        <v/>
      </c>
      <c r="F2153">
        <f>_xlfn.BITXOR(D2153,B2153)</f>
        <v/>
      </c>
      <c r="G2153">
        <f>IF(F2153=1,_xlfn.BITXOR(E2153,33800),E2153)</f>
        <v/>
      </c>
    </row>
    <row r="2154">
      <c r="A2154" t="n">
        <v>2148</v>
      </c>
      <c r="B2154">
        <f>_DestuffedBits!C2149</f>
        <v/>
      </c>
      <c r="C2154">
        <f>G2153</f>
        <v/>
      </c>
      <c r="D2154">
        <f>_xlfn.BITAND(C2154,1)</f>
        <v/>
      </c>
      <c r="E2154">
        <f>_xlfn.BITRSHIFT(C2154,1)</f>
        <v/>
      </c>
      <c r="F2154">
        <f>_xlfn.BITXOR(D2154,B2154)</f>
        <v/>
      </c>
      <c r="G2154">
        <f>IF(F2154=1,_xlfn.BITXOR(E2154,33800),E2154)</f>
        <v/>
      </c>
    </row>
    <row r="2155">
      <c r="A2155" t="n">
        <v>2149</v>
      </c>
      <c r="B2155">
        <f>_DestuffedBits!C2150</f>
        <v/>
      </c>
      <c r="C2155">
        <f>G2154</f>
        <v/>
      </c>
      <c r="D2155">
        <f>_xlfn.BITAND(C2155,1)</f>
        <v/>
      </c>
      <c r="E2155">
        <f>_xlfn.BITRSHIFT(C2155,1)</f>
        <v/>
      </c>
      <c r="F2155">
        <f>_xlfn.BITXOR(D2155,B2155)</f>
        <v/>
      </c>
      <c r="G2155">
        <f>IF(F2155=1,_xlfn.BITXOR(E2155,33800),E2155)</f>
        <v/>
      </c>
    </row>
    <row r="2156">
      <c r="A2156" t="n">
        <v>2150</v>
      </c>
      <c r="B2156">
        <f>_DestuffedBits!C2151</f>
        <v/>
      </c>
      <c r="C2156">
        <f>G2155</f>
        <v/>
      </c>
      <c r="D2156">
        <f>_xlfn.BITAND(C2156,1)</f>
        <v/>
      </c>
      <c r="E2156">
        <f>_xlfn.BITRSHIFT(C2156,1)</f>
        <v/>
      </c>
      <c r="F2156">
        <f>_xlfn.BITXOR(D2156,B2156)</f>
        <v/>
      </c>
      <c r="G2156">
        <f>IF(F2156=1,_xlfn.BITXOR(E2156,33800),E2156)</f>
        <v/>
      </c>
    </row>
    <row r="2157">
      <c r="A2157" t="n">
        <v>2151</v>
      </c>
      <c r="B2157">
        <f>_DestuffedBits!C2152</f>
        <v/>
      </c>
      <c r="C2157">
        <f>G2156</f>
        <v/>
      </c>
      <c r="D2157">
        <f>_xlfn.BITAND(C2157,1)</f>
        <v/>
      </c>
      <c r="E2157">
        <f>_xlfn.BITRSHIFT(C2157,1)</f>
        <v/>
      </c>
      <c r="F2157">
        <f>_xlfn.BITXOR(D2157,B2157)</f>
        <v/>
      </c>
      <c r="G2157">
        <f>IF(F2157=1,_xlfn.BITXOR(E2157,33800),E2157)</f>
        <v/>
      </c>
    </row>
    <row r="2158">
      <c r="A2158" t="n">
        <v>2152</v>
      </c>
      <c r="B2158">
        <f>_DestuffedBits!C2153</f>
        <v/>
      </c>
      <c r="C2158">
        <f>G2157</f>
        <v/>
      </c>
      <c r="D2158">
        <f>_xlfn.BITAND(C2158,1)</f>
        <v/>
      </c>
      <c r="E2158">
        <f>_xlfn.BITRSHIFT(C2158,1)</f>
        <v/>
      </c>
      <c r="F2158">
        <f>_xlfn.BITXOR(D2158,B2158)</f>
        <v/>
      </c>
      <c r="G2158">
        <f>IF(F2158=1,_xlfn.BITXOR(E2158,33800),E2158)</f>
        <v/>
      </c>
    </row>
    <row r="2159">
      <c r="A2159" t="n">
        <v>2153</v>
      </c>
      <c r="B2159">
        <f>_DestuffedBits!C2154</f>
        <v/>
      </c>
      <c r="C2159">
        <f>G2158</f>
        <v/>
      </c>
      <c r="D2159">
        <f>_xlfn.BITAND(C2159,1)</f>
        <v/>
      </c>
      <c r="E2159">
        <f>_xlfn.BITRSHIFT(C2159,1)</f>
        <v/>
      </c>
      <c r="F2159">
        <f>_xlfn.BITXOR(D2159,B2159)</f>
        <v/>
      </c>
      <c r="G2159">
        <f>IF(F2159=1,_xlfn.BITXOR(E2159,33800),E2159)</f>
        <v/>
      </c>
    </row>
    <row r="2160">
      <c r="A2160" t="n">
        <v>2154</v>
      </c>
      <c r="B2160">
        <f>_DestuffedBits!C2155</f>
        <v/>
      </c>
      <c r="C2160">
        <f>G2159</f>
        <v/>
      </c>
      <c r="D2160">
        <f>_xlfn.BITAND(C2160,1)</f>
        <v/>
      </c>
      <c r="E2160">
        <f>_xlfn.BITRSHIFT(C2160,1)</f>
        <v/>
      </c>
      <c r="F2160">
        <f>_xlfn.BITXOR(D2160,B2160)</f>
        <v/>
      </c>
      <c r="G2160">
        <f>IF(F2160=1,_xlfn.BITXOR(E2160,33800),E2160)</f>
        <v/>
      </c>
    </row>
    <row r="2161">
      <c r="A2161" t="n">
        <v>2155</v>
      </c>
      <c r="B2161">
        <f>_DestuffedBits!C2156</f>
        <v/>
      </c>
      <c r="C2161">
        <f>G2160</f>
        <v/>
      </c>
      <c r="D2161">
        <f>_xlfn.BITAND(C2161,1)</f>
        <v/>
      </c>
      <c r="E2161">
        <f>_xlfn.BITRSHIFT(C2161,1)</f>
        <v/>
      </c>
      <c r="F2161">
        <f>_xlfn.BITXOR(D2161,B2161)</f>
        <v/>
      </c>
      <c r="G2161">
        <f>IF(F2161=1,_xlfn.BITXOR(E2161,33800),E2161)</f>
        <v/>
      </c>
    </row>
    <row r="2162">
      <c r="A2162" t="n">
        <v>2156</v>
      </c>
      <c r="B2162">
        <f>_DestuffedBits!C2157</f>
        <v/>
      </c>
      <c r="C2162">
        <f>G2161</f>
        <v/>
      </c>
      <c r="D2162">
        <f>_xlfn.BITAND(C2162,1)</f>
        <v/>
      </c>
      <c r="E2162">
        <f>_xlfn.BITRSHIFT(C2162,1)</f>
        <v/>
      </c>
      <c r="F2162">
        <f>_xlfn.BITXOR(D2162,B2162)</f>
        <v/>
      </c>
      <c r="G2162">
        <f>IF(F2162=1,_xlfn.BITXOR(E2162,33800),E2162)</f>
        <v/>
      </c>
    </row>
    <row r="2163">
      <c r="A2163" t="n">
        <v>2157</v>
      </c>
      <c r="B2163">
        <f>_DestuffedBits!C2158</f>
        <v/>
      </c>
      <c r="C2163">
        <f>G2162</f>
        <v/>
      </c>
      <c r="D2163">
        <f>_xlfn.BITAND(C2163,1)</f>
        <v/>
      </c>
      <c r="E2163">
        <f>_xlfn.BITRSHIFT(C2163,1)</f>
        <v/>
      </c>
      <c r="F2163">
        <f>_xlfn.BITXOR(D2163,B2163)</f>
        <v/>
      </c>
      <c r="G2163">
        <f>IF(F2163=1,_xlfn.BITXOR(E2163,33800),E2163)</f>
        <v/>
      </c>
    </row>
    <row r="2164">
      <c r="A2164" t="n">
        <v>2158</v>
      </c>
      <c r="B2164">
        <f>_DestuffedBits!C2159</f>
        <v/>
      </c>
      <c r="C2164">
        <f>G2163</f>
        <v/>
      </c>
      <c r="D2164">
        <f>_xlfn.BITAND(C2164,1)</f>
        <v/>
      </c>
      <c r="E2164">
        <f>_xlfn.BITRSHIFT(C2164,1)</f>
        <v/>
      </c>
      <c r="F2164">
        <f>_xlfn.BITXOR(D2164,B2164)</f>
        <v/>
      </c>
      <c r="G2164">
        <f>IF(F2164=1,_xlfn.BITXOR(E2164,33800),E2164)</f>
        <v/>
      </c>
    </row>
    <row r="2165">
      <c r="A2165" t="n">
        <v>2159</v>
      </c>
      <c r="B2165">
        <f>_DestuffedBits!C2160</f>
        <v/>
      </c>
      <c r="C2165">
        <f>G2164</f>
        <v/>
      </c>
      <c r="D2165">
        <f>_xlfn.BITAND(C2165,1)</f>
        <v/>
      </c>
      <c r="E2165">
        <f>_xlfn.BITRSHIFT(C2165,1)</f>
        <v/>
      </c>
      <c r="F2165">
        <f>_xlfn.BITXOR(D2165,B2165)</f>
        <v/>
      </c>
      <c r="G2165">
        <f>IF(F2165=1,_xlfn.BITXOR(E2165,33800),E2165)</f>
        <v/>
      </c>
    </row>
    <row r="2166">
      <c r="A2166" t="n">
        <v>2160</v>
      </c>
      <c r="B2166">
        <f>_DestuffedBits!C2161</f>
        <v/>
      </c>
      <c r="C2166">
        <f>G2165</f>
        <v/>
      </c>
      <c r="D2166">
        <f>_xlfn.BITAND(C2166,1)</f>
        <v/>
      </c>
      <c r="E2166">
        <f>_xlfn.BITRSHIFT(C2166,1)</f>
        <v/>
      </c>
      <c r="F2166">
        <f>_xlfn.BITXOR(D2166,B2166)</f>
        <v/>
      </c>
      <c r="G2166">
        <f>IF(F2166=1,_xlfn.BITXOR(E2166,33800),E2166)</f>
        <v/>
      </c>
    </row>
    <row r="2167">
      <c r="A2167" t="n">
        <v>2161</v>
      </c>
      <c r="B2167">
        <f>_DestuffedBits!C2162</f>
        <v/>
      </c>
      <c r="C2167">
        <f>G2166</f>
        <v/>
      </c>
      <c r="D2167">
        <f>_xlfn.BITAND(C2167,1)</f>
        <v/>
      </c>
      <c r="E2167">
        <f>_xlfn.BITRSHIFT(C2167,1)</f>
        <v/>
      </c>
      <c r="F2167">
        <f>_xlfn.BITXOR(D2167,B2167)</f>
        <v/>
      </c>
      <c r="G2167">
        <f>IF(F2167=1,_xlfn.BITXOR(E2167,33800),E2167)</f>
        <v/>
      </c>
    </row>
    <row r="2168">
      <c r="A2168" t="n">
        <v>2162</v>
      </c>
      <c r="B2168">
        <f>_DestuffedBits!C2163</f>
        <v/>
      </c>
      <c r="C2168">
        <f>G2167</f>
        <v/>
      </c>
      <c r="D2168">
        <f>_xlfn.BITAND(C2168,1)</f>
        <v/>
      </c>
      <c r="E2168">
        <f>_xlfn.BITRSHIFT(C2168,1)</f>
        <v/>
      </c>
      <c r="F2168">
        <f>_xlfn.BITXOR(D2168,B2168)</f>
        <v/>
      </c>
      <c r="G2168">
        <f>IF(F2168=1,_xlfn.BITXOR(E2168,33800),E2168)</f>
        <v/>
      </c>
    </row>
    <row r="2169">
      <c r="A2169" t="n">
        <v>2163</v>
      </c>
      <c r="B2169">
        <f>_DestuffedBits!C2164</f>
        <v/>
      </c>
      <c r="C2169">
        <f>G2168</f>
        <v/>
      </c>
      <c r="D2169">
        <f>_xlfn.BITAND(C2169,1)</f>
        <v/>
      </c>
      <c r="E2169">
        <f>_xlfn.BITRSHIFT(C2169,1)</f>
        <v/>
      </c>
      <c r="F2169">
        <f>_xlfn.BITXOR(D2169,B2169)</f>
        <v/>
      </c>
      <c r="G2169">
        <f>IF(F2169=1,_xlfn.BITXOR(E2169,33800),E2169)</f>
        <v/>
      </c>
    </row>
    <row r="2170">
      <c r="A2170" t="n">
        <v>2164</v>
      </c>
      <c r="B2170">
        <f>_DestuffedBits!C2165</f>
        <v/>
      </c>
      <c r="C2170">
        <f>G2169</f>
        <v/>
      </c>
      <c r="D2170">
        <f>_xlfn.BITAND(C2170,1)</f>
        <v/>
      </c>
      <c r="E2170">
        <f>_xlfn.BITRSHIFT(C2170,1)</f>
        <v/>
      </c>
      <c r="F2170">
        <f>_xlfn.BITXOR(D2170,B2170)</f>
        <v/>
      </c>
      <c r="G2170">
        <f>IF(F2170=1,_xlfn.BITXOR(E2170,33800),E2170)</f>
        <v/>
      </c>
    </row>
    <row r="2171">
      <c r="A2171" t="n">
        <v>2165</v>
      </c>
      <c r="B2171">
        <f>_DestuffedBits!C2166</f>
        <v/>
      </c>
      <c r="C2171">
        <f>G2170</f>
        <v/>
      </c>
      <c r="D2171">
        <f>_xlfn.BITAND(C2171,1)</f>
        <v/>
      </c>
      <c r="E2171">
        <f>_xlfn.BITRSHIFT(C2171,1)</f>
        <v/>
      </c>
      <c r="F2171">
        <f>_xlfn.BITXOR(D2171,B2171)</f>
        <v/>
      </c>
      <c r="G2171">
        <f>IF(F2171=1,_xlfn.BITXOR(E2171,33800),E2171)</f>
        <v/>
      </c>
    </row>
    <row r="2172">
      <c r="A2172" t="n">
        <v>2166</v>
      </c>
      <c r="B2172">
        <f>_DestuffedBits!C2167</f>
        <v/>
      </c>
      <c r="C2172">
        <f>G2171</f>
        <v/>
      </c>
      <c r="D2172">
        <f>_xlfn.BITAND(C2172,1)</f>
        <v/>
      </c>
      <c r="E2172">
        <f>_xlfn.BITRSHIFT(C2172,1)</f>
        <v/>
      </c>
      <c r="F2172">
        <f>_xlfn.BITXOR(D2172,B2172)</f>
        <v/>
      </c>
      <c r="G2172">
        <f>IF(F2172=1,_xlfn.BITXOR(E2172,33800),E2172)</f>
        <v/>
      </c>
    </row>
    <row r="2173">
      <c r="A2173" t="n">
        <v>2167</v>
      </c>
      <c r="B2173">
        <f>_DestuffedBits!C2168</f>
        <v/>
      </c>
      <c r="C2173">
        <f>G2172</f>
        <v/>
      </c>
      <c r="D2173">
        <f>_xlfn.BITAND(C2173,1)</f>
        <v/>
      </c>
      <c r="E2173">
        <f>_xlfn.BITRSHIFT(C2173,1)</f>
        <v/>
      </c>
      <c r="F2173">
        <f>_xlfn.BITXOR(D2173,B2173)</f>
        <v/>
      </c>
      <c r="G2173">
        <f>IF(F2173=1,_xlfn.BITXOR(E2173,33800),E2173)</f>
        <v/>
      </c>
    </row>
    <row r="2174">
      <c r="A2174" t="n">
        <v>2168</v>
      </c>
      <c r="B2174">
        <f>_DestuffedBits!C2169</f>
        <v/>
      </c>
      <c r="C2174">
        <f>G2173</f>
        <v/>
      </c>
      <c r="D2174">
        <f>_xlfn.BITAND(C2174,1)</f>
        <v/>
      </c>
      <c r="E2174">
        <f>_xlfn.BITRSHIFT(C2174,1)</f>
        <v/>
      </c>
      <c r="F2174">
        <f>_xlfn.BITXOR(D2174,B2174)</f>
        <v/>
      </c>
      <c r="G2174">
        <f>IF(F2174=1,_xlfn.BITXOR(E2174,33800),E2174)</f>
        <v/>
      </c>
    </row>
    <row r="2175">
      <c r="A2175" t="n">
        <v>2169</v>
      </c>
      <c r="B2175">
        <f>_DestuffedBits!C2170</f>
        <v/>
      </c>
      <c r="C2175">
        <f>G2174</f>
        <v/>
      </c>
      <c r="D2175">
        <f>_xlfn.BITAND(C2175,1)</f>
        <v/>
      </c>
      <c r="E2175">
        <f>_xlfn.BITRSHIFT(C2175,1)</f>
        <v/>
      </c>
      <c r="F2175">
        <f>_xlfn.BITXOR(D2175,B2175)</f>
        <v/>
      </c>
      <c r="G2175">
        <f>IF(F2175=1,_xlfn.BITXOR(E2175,33800),E2175)</f>
        <v/>
      </c>
    </row>
    <row r="2176">
      <c r="A2176" t="n">
        <v>2170</v>
      </c>
      <c r="B2176">
        <f>_DestuffedBits!C2171</f>
        <v/>
      </c>
      <c r="C2176">
        <f>G2175</f>
        <v/>
      </c>
      <c r="D2176">
        <f>_xlfn.BITAND(C2176,1)</f>
        <v/>
      </c>
      <c r="E2176">
        <f>_xlfn.BITRSHIFT(C2176,1)</f>
        <v/>
      </c>
      <c r="F2176">
        <f>_xlfn.BITXOR(D2176,B2176)</f>
        <v/>
      </c>
      <c r="G2176">
        <f>IF(F2176=1,_xlfn.BITXOR(E2176,33800),E2176)</f>
        <v/>
      </c>
    </row>
    <row r="2177">
      <c r="A2177" t="n">
        <v>2171</v>
      </c>
      <c r="B2177">
        <f>_DestuffedBits!C2172</f>
        <v/>
      </c>
      <c r="C2177">
        <f>G2176</f>
        <v/>
      </c>
      <c r="D2177">
        <f>_xlfn.BITAND(C2177,1)</f>
        <v/>
      </c>
      <c r="E2177">
        <f>_xlfn.BITRSHIFT(C2177,1)</f>
        <v/>
      </c>
      <c r="F2177">
        <f>_xlfn.BITXOR(D2177,B2177)</f>
        <v/>
      </c>
      <c r="G2177">
        <f>IF(F2177=1,_xlfn.BITXOR(E2177,33800),E2177)</f>
        <v/>
      </c>
    </row>
    <row r="2178">
      <c r="A2178" t="n">
        <v>2172</v>
      </c>
      <c r="B2178">
        <f>_DestuffedBits!C2173</f>
        <v/>
      </c>
      <c r="C2178">
        <f>G2177</f>
        <v/>
      </c>
      <c r="D2178">
        <f>_xlfn.BITAND(C2178,1)</f>
        <v/>
      </c>
      <c r="E2178">
        <f>_xlfn.BITRSHIFT(C2178,1)</f>
        <v/>
      </c>
      <c r="F2178">
        <f>_xlfn.BITXOR(D2178,B2178)</f>
        <v/>
      </c>
      <c r="G2178">
        <f>IF(F2178=1,_xlfn.BITXOR(E2178,33800),E2178)</f>
        <v/>
      </c>
    </row>
    <row r="2179">
      <c r="A2179" t="n">
        <v>2173</v>
      </c>
      <c r="B2179">
        <f>_DestuffedBits!C2174</f>
        <v/>
      </c>
      <c r="C2179">
        <f>G2178</f>
        <v/>
      </c>
      <c r="D2179">
        <f>_xlfn.BITAND(C2179,1)</f>
        <v/>
      </c>
      <c r="E2179">
        <f>_xlfn.BITRSHIFT(C2179,1)</f>
        <v/>
      </c>
      <c r="F2179">
        <f>_xlfn.BITXOR(D2179,B2179)</f>
        <v/>
      </c>
      <c r="G2179">
        <f>IF(F2179=1,_xlfn.BITXOR(E2179,33800),E2179)</f>
        <v/>
      </c>
    </row>
    <row r="2180">
      <c r="A2180" t="n">
        <v>2174</v>
      </c>
      <c r="B2180">
        <f>_DestuffedBits!C2175</f>
        <v/>
      </c>
      <c r="C2180">
        <f>G2179</f>
        <v/>
      </c>
      <c r="D2180">
        <f>_xlfn.BITAND(C2180,1)</f>
        <v/>
      </c>
      <c r="E2180">
        <f>_xlfn.BITRSHIFT(C2180,1)</f>
        <v/>
      </c>
      <c r="F2180">
        <f>_xlfn.BITXOR(D2180,B2180)</f>
        <v/>
      </c>
      <c r="G2180">
        <f>IF(F2180=1,_xlfn.BITXOR(E2180,33800),E2180)</f>
        <v/>
      </c>
    </row>
    <row r="2181">
      <c r="A2181" t="n">
        <v>2175</v>
      </c>
      <c r="B2181">
        <f>_DestuffedBits!C2176</f>
        <v/>
      </c>
      <c r="C2181">
        <f>G2180</f>
        <v/>
      </c>
      <c r="D2181">
        <f>_xlfn.BITAND(C2181,1)</f>
        <v/>
      </c>
      <c r="E2181">
        <f>_xlfn.BITRSHIFT(C2181,1)</f>
        <v/>
      </c>
      <c r="F2181">
        <f>_xlfn.BITXOR(D2181,B2181)</f>
        <v/>
      </c>
      <c r="G2181">
        <f>IF(F2181=1,_xlfn.BITXOR(E2181,33800),E2181)</f>
        <v/>
      </c>
    </row>
    <row r="2182">
      <c r="A2182" t="n">
        <v>2176</v>
      </c>
      <c r="B2182">
        <f>_DestuffedBits!C2177</f>
        <v/>
      </c>
      <c r="C2182">
        <f>G2181</f>
        <v/>
      </c>
      <c r="D2182">
        <f>_xlfn.BITAND(C2182,1)</f>
        <v/>
      </c>
      <c r="E2182">
        <f>_xlfn.BITRSHIFT(C2182,1)</f>
        <v/>
      </c>
      <c r="F2182">
        <f>_xlfn.BITXOR(D2182,B2182)</f>
        <v/>
      </c>
      <c r="G2182">
        <f>IF(F2182=1,_xlfn.BITXOR(E2182,33800),E2182)</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2" customWidth="1" min="3" max="3"/>
    <col width="15" customWidth="1" min="4" max="4"/>
    <col width="8" customWidth="1" min="5" max="5"/>
    <col width="8" customWidth="1" min="6" max="6"/>
    <col width="10" customWidth="1" min="7" max="7"/>
    <col width="14" customWidth="1" min="8" max="8"/>
    <col width="16" customWidth="1" min="9" max="9"/>
    <col width="26" customWidth="1" min="10" max="10"/>
    <col width="46" customWidth="1" min="11" max="11"/>
  </cols>
  <sheetData>
    <row r="1">
      <c r="A1" s="3" t="inlineStr">
        <is>
          <t>FieldIndex</t>
        </is>
      </c>
      <c r="B1" s="3" t="inlineStr">
        <is>
          <t>Subsystem</t>
        </is>
      </c>
      <c r="C1" s="3" t="inlineStr">
        <is>
          <t>ItemName</t>
        </is>
      </c>
      <c r="D1" s="3" t="inlineStr">
        <is>
          <t>OffsetBit(Info)</t>
        </is>
      </c>
      <c r="E1" s="3" t="inlineStr">
        <is>
          <t>BitLen</t>
        </is>
      </c>
      <c r="F1" s="3" t="inlineStr">
        <is>
          <t>Endian</t>
        </is>
      </c>
      <c r="G1" s="3" t="inlineStr">
        <is>
          <t>DType</t>
        </is>
      </c>
      <c r="H1" s="3" t="inlineStr">
        <is>
          <t>RawUnsigned</t>
        </is>
      </c>
      <c r="I1" s="3" t="inlineStr">
        <is>
          <t>Value(signed/float)</t>
        </is>
      </c>
      <c r="J1" s="3" t="inlineStr">
        <is>
          <t>ReadableValue</t>
        </is>
      </c>
      <c r="K1" s="3" t="inlineStr">
        <is>
          <t>LookupTable</t>
        </is>
      </c>
    </row>
    <row r="2">
      <c r="A2" t="n">
        <v>0</v>
      </c>
      <c r="B2" t="inlineStr">
        <is>
          <t>FSW</t>
        </is>
      </c>
      <c r="C2" t="inlineStr">
        <is>
          <t>APID</t>
        </is>
      </c>
      <c r="D2" t="n">
        <v>0</v>
      </c>
      <c r="E2" t="n">
        <v>8</v>
      </c>
      <c r="F2" t="inlineStr">
        <is>
          <t>BE</t>
        </is>
      </c>
      <c r="G2" t="inlineStr">
        <is>
          <t>uint8_t</t>
        </is>
      </c>
      <c r="H2">
        <f>_DestuffedBits!C130*128+_DestuffedBits!C131*64+_DestuffedBits!C132*32+_DestuffedBits!C133*16+_DestuffedBits!C134*8+_DestuffedBits!C135*4+_DestuffedBits!C136*2+_DestuffedBits!C137*1</f>
        <v/>
      </c>
      <c r="I2">
        <f>H2</f>
        <v/>
      </c>
      <c r="J2">
        <f>I2</f>
        <v/>
      </c>
      <c r="K2" s="2" t="inlineStr">
        <is>
          <t>-</t>
        </is>
      </c>
    </row>
    <row r="3">
      <c r="A3" t="n">
        <v>1</v>
      </c>
      <c r="B3" t="inlineStr">
        <is>
          <t>FSW</t>
        </is>
      </c>
      <c r="C3" t="inlineStr">
        <is>
          <t>First boot</t>
        </is>
      </c>
      <c r="D3" t="n">
        <v>8</v>
      </c>
      <c r="E3" t="n">
        <v>1</v>
      </c>
      <c r="F3" t="inlineStr">
        <is>
          <t>BE</t>
        </is>
      </c>
      <c r="G3" t="inlineStr">
        <is>
          <t>uint8_t</t>
        </is>
      </c>
      <c r="H3">
        <f>_DestuffedBits!C138*1</f>
        <v/>
      </c>
      <c r="I3">
        <f>H3</f>
        <v/>
      </c>
      <c r="J3">
        <f>IF(H3=0,"OFF",IF(H3=1,"ON",H3&amp;" (unlisted)"))</f>
        <v/>
      </c>
      <c r="K3" s="2" t="inlineStr">
        <is>
          <t>(assumed 0=OFF/1=ON, no field-specific description)</t>
        </is>
      </c>
    </row>
    <row r="4">
      <c r="A4" t="n">
        <v>2</v>
      </c>
      <c r="B4" t="inlineStr">
        <is>
          <t>FSW</t>
        </is>
      </c>
      <c r="C4" t="inlineStr">
        <is>
          <t>Going to ADCS commission</t>
        </is>
      </c>
      <c r="D4" t="n">
        <v>9</v>
      </c>
      <c r="E4" t="n">
        <v>1</v>
      </c>
      <c r="F4" t="inlineStr">
        <is>
          <t>BE</t>
        </is>
      </c>
      <c r="G4" t="inlineStr">
        <is>
          <t>uint8_t</t>
        </is>
      </c>
      <c r="H4">
        <f>_DestuffedBits!C139*1</f>
        <v/>
      </c>
      <c r="I4">
        <f>H4</f>
        <v/>
      </c>
      <c r="J4">
        <f>IF(H4=0,"OFF",IF(H4=1,"ON",H4&amp;" (unlisted)"))</f>
        <v/>
      </c>
      <c r="K4" s="2" t="inlineStr">
        <is>
          <t>(assumed 0=OFF/1=ON, no field-specific description)</t>
        </is>
      </c>
    </row>
    <row r="5">
      <c r="A5" t="n">
        <v>3</v>
      </c>
      <c r="B5" t="inlineStr">
        <is>
          <t>FSW</t>
        </is>
      </c>
      <c r="C5" t="inlineStr">
        <is>
          <t>adcs_commissioned</t>
        </is>
      </c>
      <c r="D5" t="n">
        <v>10</v>
      </c>
      <c r="E5" t="n">
        <v>1</v>
      </c>
      <c r="F5" t="inlineStr">
        <is>
          <t>BE</t>
        </is>
      </c>
      <c r="G5" t="inlineStr">
        <is>
          <t>uint8_t</t>
        </is>
      </c>
      <c r="H5">
        <f>_DestuffedBits!C140*1</f>
        <v/>
      </c>
      <c r="I5">
        <f>H5</f>
        <v/>
      </c>
      <c r="J5">
        <f>IF(H5=0,"OFF",IF(H5=1,"ON",H5&amp;" (unlisted)"))</f>
        <v/>
      </c>
      <c r="K5" s="2" t="inlineStr">
        <is>
          <t>(assumed 0=OFF/1=ON, no field-specific description)</t>
        </is>
      </c>
    </row>
    <row r="6">
      <c r="A6" t="n">
        <v>4</v>
      </c>
      <c r="B6" t="inlineStr">
        <is>
          <t>FSW</t>
        </is>
      </c>
      <c r="C6" t="inlineStr">
        <is>
          <t>MAG</t>
        </is>
      </c>
      <c r="D6" t="n">
        <v>11</v>
      </c>
      <c r="E6" t="n">
        <v>1</v>
      </c>
      <c r="F6" t="inlineStr">
        <is>
          <t>BE</t>
        </is>
      </c>
      <c r="G6" t="inlineStr">
        <is>
          <t>uint8_t</t>
        </is>
      </c>
      <c r="H6">
        <f>_DestuffedBits!C141*1</f>
        <v/>
      </c>
      <c r="I6">
        <f>H6</f>
        <v/>
      </c>
      <c r="J6">
        <f>IF(H6=0,"OFF",IF(H6=1,"ON",H6&amp;" (unlisted)"))</f>
        <v/>
      </c>
      <c r="K6" s="2" t="inlineStr">
        <is>
          <t>(assumed 0=OFF/1=ON, no field-specific description)</t>
        </is>
      </c>
    </row>
    <row r="7">
      <c r="A7" t="n">
        <v>5</v>
      </c>
      <c r="B7" t="inlineStr">
        <is>
          <t>FSW</t>
        </is>
      </c>
      <c r="C7" t="inlineStr">
        <is>
          <t>SP1</t>
        </is>
      </c>
      <c r="D7" t="n">
        <v>12</v>
      </c>
      <c r="E7" t="n">
        <v>1</v>
      </c>
      <c r="F7" t="inlineStr">
        <is>
          <t>BE</t>
        </is>
      </c>
      <c r="G7" t="inlineStr">
        <is>
          <t>uint8_t</t>
        </is>
      </c>
      <c r="H7">
        <f>_DestuffedBits!C142*1</f>
        <v/>
      </c>
      <c r="I7">
        <f>H7</f>
        <v/>
      </c>
      <c r="J7">
        <f>IF(H7=0,"OFF",IF(H7=1,"ON",H7&amp;" (unlisted)"))</f>
        <v/>
      </c>
      <c r="K7" s="2" t="inlineStr">
        <is>
          <t>(assumed 0=OFF/1=ON, no field-specific description)</t>
        </is>
      </c>
    </row>
    <row r="8">
      <c r="A8" t="n">
        <v>6</v>
      </c>
      <c r="B8" t="inlineStr">
        <is>
          <t>FSW</t>
        </is>
      </c>
      <c r="C8" t="inlineStr">
        <is>
          <t>SP2</t>
        </is>
      </c>
      <c r="D8" t="n">
        <v>13</v>
      </c>
      <c r="E8" t="n">
        <v>1</v>
      </c>
      <c r="F8" t="inlineStr">
        <is>
          <t>BE</t>
        </is>
      </c>
      <c r="G8" t="inlineStr">
        <is>
          <t>uint8_t</t>
        </is>
      </c>
      <c r="H8">
        <f>_DestuffedBits!C143*1</f>
        <v/>
      </c>
      <c r="I8">
        <f>H8</f>
        <v/>
      </c>
      <c r="J8">
        <f>IF(H8=0,"OFF",IF(H8=1,"ON",H8&amp;" (unlisted)"))</f>
        <v/>
      </c>
      <c r="K8" s="2" t="inlineStr">
        <is>
          <t>(assumed 0=OFF/1=ON, no field-specific description)</t>
        </is>
      </c>
    </row>
    <row r="9">
      <c r="A9" t="n">
        <v>7</v>
      </c>
      <c r="B9" t="inlineStr">
        <is>
          <t>FSW</t>
        </is>
      </c>
      <c r="C9" t="inlineStr">
        <is>
          <t>VHF</t>
        </is>
      </c>
      <c r="D9" t="n">
        <v>14</v>
      </c>
      <c r="E9" t="n">
        <v>1</v>
      </c>
      <c r="F9" t="inlineStr">
        <is>
          <t>BE</t>
        </is>
      </c>
      <c r="G9" t="inlineStr">
        <is>
          <t>uint8_t</t>
        </is>
      </c>
      <c r="H9">
        <f>_DestuffedBits!C144*1</f>
        <v/>
      </c>
      <c r="I9">
        <f>H9</f>
        <v/>
      </c>
      <c r="J9">
        <f>IF(H9=0,"OFF",IF(H9=1,"ON",H9&amp;" (unlisted)"))</f>
        <v/>
      </c>
      <c r="K9" s="2" t="inlineStr">
        <is>
          <t>(assumed 0=OFF/1=ON, no field-specific description)</t>
        </is>
      </c>
    </row>
    <row r="10">
      <c r="A10" t="n">
        <v>8</v>
      </c>
      <c r="B10" t="inlineStr">
        <is>
          <t>FSW</t>
        </is>
      </c>
      <c r="C10" t="inlineStr">
        <is>
          <t>UHF</t>
        </is>
      </c>
      <c r="D10" t="n">
        <v>15</v>
      </c>
      <c r="E10" t="n">
        <v>1</v>
      </c>
      <c r="F10" t="inlineStr">
        <is>
          <t>BE</t>
        </is>
      </c>
      <c r="G10" t="inlineStr">
        <is>
          <t>uint8_t</t>
        </is>
      </c>
      <c r="H10">
        <f>_DestuffedBits!C145*1</f>
        <v/>
      </c>
      <c r="I10">
        <f>H10</f>
        <v/>
      </c>
      <c r="J10">
        <f>IF(H10=0,"OFF",IF(H10=1,"ON",H10&amp;" (unlisted)"))</f>
        <v/>
      </c>
      <c r="K10" s="2" t="inlineStr">
        <is>
          <t>(assumed 0=OFF/1=ON, no field-specific description)</t>
        </is>
      </c>
    </row>
    <row r="11">
      <c r="A11" t="n">
        <v>9</v>
      </c>
      <c r="B11" t="inlineStr">
        <is>
          <t>FSW</t>
        </is>
      </c>
      <c r="C11" t="inlineStr">
        <is>
          <t>sys_state - factory reset</t>
        </is>
      </c>
      <c r="D11" t="n">
        <v>16</v>
      </c>
      <c r="E11" t="n">
        <v>1</v>
      </c>
      <c r="F11" t="inlineStr">
        <is>
          <t>BE</t>
        </is>
      </c>
      <c r="G11" t="inlineStr">
        <is>
          <t>uint8_t</t>
        </is>
      </c>
      <c r="H11">
        <f>_DestuffedBits!C146*1</f>
        <v/>
      </c>
      <c r="I11">
        <f>H11</f>
        <v/>
      </c>
      <c r="J11">
        <f>IF(H11=0,"OFF",IF(H11=1,"ON",H11&amp;" (unlisted)"))</f>
        <v/>
      </c>
      <c r="K11" s="2" t="inlineStr">
        <is>
          <t>(assumed 0=OFF/1=ON, no field-specific description)</t>
        </is>
      </c>
    </row>
    <row r="12">
      <c r="A12" t="n">
        <v>10</v>
      </c>
      <c r="B12" t="inlineStr">
        <is>
          <t>FSW</t>
        </is>
      </c>
      <c r="C12" t="inlineStr">
        <is>
          <t>sys_state - reset</t>
        </is>
      </c>
      <c r="D12" t="n">
        <v>17</v>
      </c>
      <c r="E12" t="n">
        <v>1</v>
      </c>
      <c r="F12" t="inlineStr">
        <is>
          <t>BE</t>
        </is>
      </c>
      <c r="G12" t="inlineStr">
        <is>
          <t>uint8_t</t>
        </is>
      </c>
      <c r="H12">
        <f>_DestuffedBits!C147*1</f>
        <v/>
      </c>
      <c r="I12">
        <f>H12</f>
        <v/>
      </c>
      <c r="J12">
        <f>IF(H12=0,"OFF",IF(H12=1,"ON",H12&amp;" (unlisted)"))</f>
        <v/>
      </c>
      <c r="K12" s="2" t="inlineStr">
        <is>
          <t>(assumed 0=OFF/1=ON, no field-specific description)</t>
        </is>
      </c>
    </row>
    <row r="13">
      <c r="A13" t="n">
        <v>11</v>
      </c>
      <c r="B13" t="inlineStr">
        <is>
          <t>FSW</t>
        </is>
      </c>
      <c r="C13" t="inlineStr">
        <is>
          <t>Main SD select</t>
        </is>
      </c>
      <c r="D13" t="n">
        <v>18</v>
      </c>
      <c r="E13" t="n">
        <v>1</v>
      </c>
      <c r="F13" t="inlineStr">
        <is>
          <t>BE</t>
        </is>
      </c>
      <c r="G13" t="inlineStr">
        <is>
          <t>uint8_t</t>
        </is>
      </c>
      <c r="H13">
        <f>_DestuffedBits!C148*1</f>
        <v/>
      </c>
      <c r="I13">
        <f>H13</f>
        <v/>
      </c>
      <c r="J13">
        <f>IF(H13=0,"OFF",IF(H13=1,"ON",H13&amp;" (unlisted)"))</f>
        <v/>
      </c>
      <c r="K13" s="2" t="inlineStr">
        <is>
          <t>(assumed 0=OFF/1=ON, no field-specific description)</t>
        </is>
      </c>
    </row>
    <row r="14">
      <c r="A14" t="n">
        <v>12</v>
      </c>
      <c r="B14" t="inlineStr">
        <is>
          <t>FSW</t>
        </is>
      </c>
      <c r="C14" t="inlineStr">
        <is>
          <t>Nominal</t>
        </is>
      </c>
      <c r="D14" t="n">
        <v>19</v>
      </c>
      <c r="E14" t="n">
        <v>1</v>
      </c>
      <c r="F14" t="inlineStr">
        <is>
          <t>BE</t>
        </is>
      </c>
      <c r="G14" t="inlineStr">
        <is>
          <t>uint8_t</t>
        </is>
      </c>
      <c r="H14">
        <f>_DestuffedBits!C149*1</f>
        <v/>
      </c>
      <c r="I14">
        <f>H14</f>
        <v/>
      </c>
      <c r="J14">
        <f>IF(H14=0,"containgency state(safe, phoneix)",IF(H14=1,"nominal state(charging, COMM, SCI)",H14&amp;" (unlisted)"))</f>
        <v/>
      </c>
      <c r="K14" s="2" t="inlineStr">
        <is>
          <t>1: nominal state(charging, COMM, SCI), 0: containgency state(safe, phoneix)</t>
        </is>
      </c>
    </row>
    <row r="15">
      <c r="A15" t="n">
        <v>13</v>
      </c>
      <c r="B15" t="inlineStr">
        <is>
          <t>FSW</t>
        </is>
      </c>
      <c r="C15" t="inlineStr">
        <is>
          <t>(reserved)</t>
        </is>
      </c>
      <c r="D15" t="n">
        <v>20</v>
      </c>
      <c r="E15" t="n">
        <v>4</v>
      </c>
      <c r="F15" t="inlineStr">
        <is>
          <t>BE</t>
        </is>
      </c>
      <c r="G15" t="inlineStr">
        <is>
          <t>uint8_t</t>
        </is>
      </c>
      <c r="H15">
        <f>_DestuffedBits!C150*8+_DestuffedBits!C151*4+_DestuffedBits!C152*2+_DestuffedBits!C153*1</f>
        <v/>
      </c>
      <c r="I15">
        <f>H15</f>
        <v/>
      </c>
      <c r="J15">
        <f>I15</f>
        <v/>
      </c>
      <c r="K15" s="2" t="inlineStr">
        <is>
          <t>-</t>
        </is>
      </c>
    </row>
    <row r="16">
      <c r="A16" t="n">
        <v>14</v>
      </c>
      <c r="B16" t="inlineStr">
        <is>
          <t>FSW</t>
        </is>
      </c>
      <c r="C16" t="inlineStr">
        <is>
          <t>OBC Time</t>
        </is>
      </c>
      <c r="D16" t="n">
        <v>24</v>
      </c>
      <c r="E16" t="n">
        <v>32</v>
      </c>
      <c r="F16" t="inlineStr">
        <is>
          <t>LE</t>
        </is>
      </c>
      <c r="G16" t="inlineStr">
        <is>
          <t>uint32_t</t>
        </is>
      </c>
      <c r="H16">
        <f>_DestuffedBits!C154*128+_DestuffedBits!C155*64+_DestuffedBits!C156*32+_DestuffedBits!C157*16+_DestuffedBits!C158*8+_DestuffedBits!C159*4+_DestuffedBits!C160*2+_DestuffedBits!C161*1+_DestuffedBits!C162*32768+_DestuffedBits!C163*16384+_DestuffedBits!C164*8192+_DestuffedBits!C165*4096+_DestuffedBits!C166*2048+_DestuffedBits!C167*1024+_DestuffedBits!C168*512+_DestuffedBits!C169*256+_DestuffedBits!C170*8388608+_DestuffedBits!C171*4194304+_DestuffedBits!C172*2097152+_DestuffedBits!C173*1048576+_DestuffedBits!C174*524288+_DestuffedBits!C175*262144+_DestuffedBits!C176*131072+_DestuffedBits!C177*65536+_DestuffedBits!C178*2147483648+_DestuffedBits!C179*1073741824+_DestuffedBits!C180*536870912+_DestuffedBits!C181*268435456+_DestuffedBits!C182*134217728+_DestuffedBits!C183*67108864+_DestuffedBits!C184*33554432+_DestuffedBits!C185*16777216</f>
        <v/>
      </c>
      <c r="I16">
        <f>H16</f>
        <v/>
      </c>
      <c r="J16">
        <f>I16&amp;" s"</f>
        <v/>
      </c>
      <c r="K16" s="2" t="inlineStr">
        <is>
          <t>transform:obc_time {'unit': 's', 'display_format': 'YYYY-MM-DD HH:mm:ss', 'timezone': 'Asia/Taipei', 'offset_hours': 8}</t>
        </is>
      </c>
    </row>
    <row r="17">
      <c r="A17" t="n">
        <v>15</v>
      </c>
      <c r="B17" t="inlineStr">
        <is>
          <t>FSW</t>
        </is>
      </c>
      <c r="C17" t="inlineStr">
        <is>
          <t>Current Mode</t>
        </is>
      </c>
      <c r="D17" t="n">
        <v>56</v>
      </c>
      <c r="E17" t="n">
        <v>8</v>
      </c>
      <c r="F17" t="inlineStr">
        <is>
          <t>BE</t>
        </is>
      </c>
      <c r="G17" t="inlineStr">
        <is>
          <t>uint8_t</t>
        </is>
      </c>
      <c r="H17">
        <f>_DestuffedBits!C186*128+_DestuffedBits!C187*64+_DestuffedBits!C188*32+_DestuffedBits!C189*16+_DestuffedBits!C190*8+_DestuffedBits!C191*4+_DestuffedBits!C192*2+_DestuffedBits!C193*1</f>
        <v/>
      </c>
      <c r="I17">
        <f>H17</f>
        <v/>
      </c>
      <c r="J17">
        <f>IF(H17=0,"Phoenix Mode",IF(H17=1,"Safe Mode",IF(H17=2,"Charging Mode",IF(H17=3,"Communication Xband Mode",IF(H17=10,"Science HyperSCAN Mode",IF(H17=11,"Science CIP Mode",IF(H17=255,"Reentry Mode",H17&amp;" (unlisted)")))))))</f>
        <v/>
      </c>
      <c r="K17" s="2" t="inlineStr">
        <is>
          <t>Operation Mode Defined (hex. value): / 0 - Phoenix Mode / 1 - Safe Mode / 2 - Charging Mode / 3 - Communication Xband Mode / A - Science HyperSCAN Mode / B - Science CIP Mode / FF - Reentry Mode</t>
        </is>
      </c>
    </row>
    <row r="18">
      <c r="A18" t="n">
        <v>16</v>
      </c>
      <c r="B18" t="inlineStr">
        <is>
          <t>FSW</t>
        </is>
      </c>
      <c r="C18" t="inlineStr">
        <is>
          <t>EPS onoff state</t>
        </is>
      </c>
      <c r="D18" t="n">
        <v>64</v>
      </c>
      <c r="E18" t="n">
        <v>1</v>
      </c>
      <c r="F18" t="inlineStr">
        <is>
          <t>BE</t>
        </is>
      </c>
      <c r="G18" t="inlineStr">
        <is>
          <t>uint8_t</t>
        </is>
      </c>
      <c r="H18">
        <f>_DestuffedBits!C194*1</f>
        <v/>
      </c>
      <c r="I18">
        <f>H18</f>
        <v/>
      </c>
      <c r="J18">
        <f>IF(H18=0,"off",IF(H18=1,"on",H18&amp;" (unlisted)"))</f>
        <v/>
      </c>
      <c r="K18" s="2" t="inlineStr">
        <is>
          <t>0:off/1:on</t>
        </is>
      </c>
    </row>
    <row r="19">
      <c r="A19" t="n">
        <v>17</v>
      </c>
      <c r="B19" t="inlineStr">
        <is>
          <t>FSW</t>
        </is>
      </c>
      <c r="C19" t="inlineStr">
        <is>
          <t>ADCS onoff state</t>
        </is>
      </c>
      <c r="D19" t="n">
        <v>65</v>
      </c>
      <c r="E19" t="n">
        <v>1</v>
      </c>
      <c r="F19" t="inlineStr">
        <is>
          <t>BE</t>
        </is>
      </c>
      <c r="G19" t="inlineStr">
        <is>
          <t>uint8_t</t>
        </is>
      </c>
      <c r="H19">
        <f>_DestuffedBits!C195*1</f>
        <v/>
      </c>
      <c r="I19">
        <f>H19</f>
        <v/>
      </c>
      <c r="J19">
        <f>IF(H19=0,"off",IF(H19=1,"on",H19&amp;" (unlisted)"))</f>
        <v/>
      </c>
      <c r="K19" s="2" t="inlineStr">
        <is>
          <t>0:off/1:on</t>
        </is>
      </c>
    </row>
    <row r="20">
      <c r="A20" t="n">
        <v>18</v>
      </c>
      <c r="B20" t="inlineStr">
        <is>
          <t>FSW</t>
        </is>
      </c>
      <c r="C20" t="inlineStr">
        <is>
          <t>UHF onoff state</t>
        </is>
      </c>
      <c r="D20" t="n">
        <v>66</v>
      </c>
      <c r="E20" t="n">
        <v>1</v>
      </c>
      <c r="F20" t="inlineStr">
        <is>
          <t>BE</t>
        </is>
      </c>
      <c r="G20" t="inlineStr">
        <is>
          <t>uint8_t</t>
        </is>
      </c>
      <c r="H20">
        <f>_DestuffedBits!C196*1</f>
        <v/>
      </c>
      <c r="I20">
        <f>H20</f>
        <v/>
      </c>
      <c r="J20">
        <f>IF(H20=0,"off",IF(H20=1,"on",H20&amp;" (unlisted)"))</f>
        <v/>
      </c>
      <c r="K20" s="2" t="inlineStr">
        <is>
          <t>0:off/1:on</t>
        </is>
      </c>
    </row>
    <row r="21">
      <c r="A21" t="n">
        <v>19</v>
      </c>
      <c r="B21" t="inlineStr">
        <is>
          <t>FSW</t>
        </is>
      </c>
      <c r="C21" t="inlineStr">
        <is>
          <t>Xband onoff state</t>
        </is>
      </c>
      <c r="D21" t="n">
        <v>67</v>
      </c>
      <c r="E21" t="n">
        <v>1</v>
      </c>
      <c r="F21" t="inlineStr">
        <is>
          <t>BE</t>
        </is>
      </c>
      <c r="G21" t="inlineStr">
        <is>
          <t>uint8_t</t>
        </is>
      </c>
      <c r="H21">
        <f>_DestuffedBits!C197*1</f>
        <v/>
      </c>
      <c r="I21">
        <f>H21</f>
        <v/>
      </c>
      <c r="J21">
        <f>IF(H21=0,"off",IF(H21=1,"on",H21&amp;" (unlisted)"))</f>
        <v/>
      </c>
      <c r="K21" s="2" t="inlineStr">
        <is>
          <t>0:off/1:on</t>
        </is>
      </c>
    </row>
    <row r="22">
      <c r="A22" t="n">
        <v>20</v>
      </c>
      <c r="B22" t="inlineStr">
        <is>
          <t>FSW</t>
        </is>
      </c>
      <c r="C22" t="inlineStr">
        <is>
          <t>CIP onoff state</t>
        </is>
      </c>
      <c r="D22" t="n">
        <v>68</v>
      </c>
      <c r="E22" t="n">
        <v>1</v>
      </c>
      <c r="F22" t="inlineStr">
        <is>
          <t>BE</t>
        </is>
      </c>
      <c r="G22" t="inlineStr">
        <is>
          <t>uint8_t</t>
        </is>
      </c>
      <c r="H22">
        <f>_DestuffedBits!C198*1</f>
        <v/>
      </c>
      <c r="I22">
        <f>H22</f>
        <v/>
      </c>
      <c r="J22">
        <f>IF(H22=0,"off",IF(H22=1,"on",H22&amp;" (unlisted)"))</f>
        <v/>
      </c>
      <c r="K22" s="2" t="inlineStr">
        <is>
          <t>0:off/1:on</t>
        </is>
      </c>
    </row>
    <row r="23">
      <c r="A23" t="n">
        <v>21</v>
      </c>
      <c r="B23" t="inlineStr">
        <is>
          <t>FSW</t>
        </is>
      </c>
      <c r="C23" t="inlineStr">
        <is>
          <t>HyperSCAN onoff state</t>
        </is>
      </c>
      <c r="D23" t="n">
        <v>69</v>
      </c>
      <c r="E23" t="n">
        <v>1</v>
      </c>
      <c r="F23" t="inlineStr">
        <is>
          <t>BE</t>
        </is>
      </c>
      <c r="G23" t="inlineStr">
        <is>
          <t>uint8_t</t>
        </is>
      </c>
      <c r="H23">
        <f>_DestuffedBits!C199*1</f>
        <v/>
      </c>
      <c r="I23">
        <f>H23</f>
        <v/>
      </c>
      <c r="J23">
        <f>IF(H23=0,"off",IF(H23=1,"on",H23&amp;" (unlisted)"))</f>
        <v/>
      </c>
      <c r="K23" s="2" t="inlineStr">
        <is>
          <t>0:off/1:on</t>
        </is>
      </c>
    </row>
    <row r="24">
      <c r="A24" t="n">
        <v>22</v>
      </c>
      <c r="B24" t="inlineStr">
        <is>
          <t>FSW</t>
        </is>
      </c>
      <c r="C24" t="inlineStr">
        <is>
          <t>SEUV onoff state</t>
        </is>
      </c>
      <c r="D24" t="n">
        <v>70</v>
      </c>
      <c r="E24" t="n">
        <v>1</v>
      </c>
      <c r="F24" t="inlineStr">
        <is>
          <t>BE</t>
        </is>
      </c>
      <c r="G24" t="inlineStr">
        <is>
          <t>uint8_t</t>
        </is>
      </c>
      <c r="H24">
        <f>_DestuffedBits!C200*1</f>
        <v/>
      </c>
      <c r="I24">
        <f>H24</f>
        <v/>
      </c>
      <c r="J24">
        <f>IF(H24=0,"off",IF(H24=1,"on",H24&amp;" (unlisted)"))</f>
        <v/>
      </c>
      <c r="K24" s="2" t="inlineStr">
        <is>
          <t>0:off/1:on</t>
        </is>
      </c>
    </row>
    <row r="25">
      <c r="A25" t="n">
        <v>23</v>
      </c>
      <c r="B25" t="inlineStr">
        <is>
          <t>FSW</t>
        </is>
      </c>
      <c r="C25" t="inlineStr">
        <is>
          <t>APRS onoff state</t>
        </is>
      </c>
      <c r="D25" t="n">
        <v>71</v>
      </c>
      <c r="E25" t="n">
        <v>1</v>
      </c>
      <c r="F25" t="inlineStr">
        <is>
          <t>BE</t>
        </is>
      </c>
      <c r="G25" t="inlineStr">
        <is>
          <t>uint8_t</t>
        </is>
      </c>
      <c r="H25">
        <f>_DestuffedBits!C201*1</f>
        <v/>
      </c>
      <c r="I25">
        <f>H25</f>
        <v/>
      </c>
      <c r="J25">
        <f>IF(H25=0,"off",IF(H25=1,"on",H25&amp;" (unlisted)"))</f>
        <v/>
      </c>
      <c r="K25" s="2" t="inlineStr">
        <is>
          <t>0:off/1:on</t>
        </is>
      </c>
    </row>
    <row r="26">
      <c r="A26" t="n">
        <v>24</v>
      </c>
      <c r="B26" t="inlineStr">
        <is>
          <t>FSW</t>
        </is>
      </c>
      <c r="C26" t="inlineStr">
        <is>
          <t>FSW Reboot Count</t>
        </is>
      </c>
      <c r="D26" t="n">
        <v>72</v>
      </c>
      <c r="E26" t="n">
        <v>16</v>
      </c>
      <c r="F26" t="inlineStr">
        <is>
          <t>LE</t>
        </is>
      </c>
      <c r="G26" t="inlineStr">
        <is>
          <t>uint16_t</t>
        </is>
      </c>
      <c r="H26">
        <f>_DestuffedBits!C202*128+_DestuffedBits!C203*64+_DestuffedBits!C204*32+_DestuffedBits!C205*16+_DestuffedBits!C206*8+_DestuffedBits!C207*4+_DestuffedBits!C208*2+_DestuffedBits!C209*1+_DestuffedBits!C210*32768+_DestuffedBits!C211*16384+_DestuffedBits!C212*8192+_DestuffedBits!C213*4096+_DestuffedBits!C214*2048+_DestuffedBits!C215*1024+_DestuffedBits!C216*512+_DestuffedBits!C217*256</f>
        <v/>
      </c>
      <c r="I26">
        <f>H26</f>
        <v/>
      </c>
      <c r="J26">
        <f>I26</f>
        <v/>
      </c>
      <c r="K26" s="2" t="inlineStr">
        <is>
          <t>-</t>
        </is>
      </c>
    </row>
    <row r="27">
      <c r="A27" t="n">
        <v>25</v>
      </c>
      <c r="B27" t="inlineStr">
        <is>
          <t>FSW</t>
        </is>
      </c>
      <c r="C27" t="inlineStr">
        <is>
          <t>CMD Accept Count</t>
        </is>
      </c>
      <c r="D27" t="n">
        <v>88</v>
      </c>
      <c r="E27" t="n">
        <v>16</v>
      </c>
      <c r="F27" t="inlineStr">
        <is>
          <t>LE</t>
        </is>
      </c>
      <c r="G27" t="inlineStr">
        <is>
          <t>uint16_t</t>
        </is>
      </c>
      <c r="H27">
        <f>_DestuffedBits!C218*128+_DestuffedBits!C219*64+_DestuffedBits!C220*32+_DestuffedBits!C221*16+_DestuffedBits!C222*8+_DestuffedBits!C223*4+_DestuffedBits!C224*2+_DestuffedBits!C225*1+_DestuffedBits!C226*32768+_DestuffedBits!C227*16384+_DestuffedBits!C228*8192+_DestuffedBits!C229*4096+_DestuffedBits!C230*2048+_DestuffedBits!C231*1024+_DestuffedBits!C232*512+_DestuffedBits!C233*256</f>
        <v/>
      </c>
      <c r="I27">
        <f>H27</f>
        <v/>
      </c>
      <c r="J27">
        <f>I27</f>
        <v/>
      </c>
      <c r="K27" s="2" t="inlineStr">
        <is>
          <t>-</t>
        </is>
      </c>
    </row>
    <row r="28">
      <c r="A28" t="n">
        <v>26</v>
      </c>
      <c r="B28" t="inlineStr">
        <is>
          <t>FSW</t>
        </is>
      </c>
      <c r="C28" t="inlineStr">
        <is>
          <t>CMD Reject Count</t>
        </is>
      </c>
      <c r="D28" t="n">
        <v>104</v>
      </c>
      <c r="E28" t="n">
        <v>16</v>
      </c>
      <c r="F28" t="inlineStr">
        <is>
          <t>LE</t>
        </is>
      </c>
      <c r="G28" t="inlineStr">
        <is>
          <t>uint16_t</t>
        </is>
      </c>
      <c r="H28">
        <f>_DestuffedBits!C234*128+_DestuffedBits!C235*64+_DestuffedBits!C236*32+_DestuffedBits!C237*16+_DestuffedBits!C238*8+_DestuffedBits!C239*4+_DestuffedBits!C240*2+_DestuffedBits!C241*1+_DestuffedBits!C242*32768+_DestuffedBits!C243*16384+_DestuffedBits!C244*8192+_DestuffedBits!C245*4096+_DestuffedBits!C246*2048+_DestuffedBits!C247*1024+_DestuffedBits!C248*512+_DestuffedBits!C249*256</f>
        <v/>
      </c>
      <c r="I28">
        <f>H28</f>
        <v/>
      </c>
      <c r="J28">
        <f>I28</f>
        <v/>
      </c>
      <c r="K28" s="2" t="inlineStr">
        <is>
          <t>-</t>
        </is>
      </c>
    </row>
    <row r="29">
      <c r="A29" t="n">
        <v>27</v>
      </c>
      <c r="B29" t="inlineStr">
        <is>
          <t>FSW</t>
        </is>
      </c>
      <c r="C29" t="inlineStr">
        <is>
          <t>Last packet send</t>
        </is>
      </c>
      <c r="D29" t="n">
        <v>120</v>
      </c>
      <c r="E29" t="n">
        <v>32</v>
      </c>
      <c r="F29" t="inlineStr">
        <is>
          <t>LE</t>
        </is>
      </c>
      <c r="G29" t="inlineStr">
        <is>
          <t>uint32_t</t>
        </is>
      </c>
      <c r="H29">
        <f>_DestuffedBits!C250*128+_DestuffedBits!C251*64+_DestuffedBits!C252*32+_DestuffedBits!C253*16+_DestuffedBits!C254*8+_DestuffedBits!C255*4+_DestuffedBits!C256*2+_DestuffedBits!C257*1+_DestuffedBits!C258*32768+_DestuffedBits!C259*16384+_DestuffedBits!C260*8192+_DestuffedBits!C261*4096+_DestuffedBits!C262*2048+_DestuffedBits!C263*1024+_DestuffedBits!C264*512+_DestuffedBits!C265*256+_DestuffedBits!C266*8388608+_DestuffedBits!C267*4194304+_DestuffedBits!C268*2097152+_DestuffedBits!C269*1048576+_DestuffedBits!C270*524288+_DestuffedBits!C271*262144+_DestuffedBits!C272*131072+_DestuffedBits!C273*65536+_DestuffedBits!C274*2147483648+_DestuffedBits!C275*1073741824+_DestuffedBits!C276*536870912+_DestuffedBits!C277*268435456+_DestuffedBits!C278*134217728+_DestuffedBits!C279*67108864+_DestuffedBits!C280*33554432+_DestuffedBits!C281*16777216</f>
        <v/>
      </c>
      <c r="I29">
        <f>H29</f>
        <v/>
      </c>
      <c r="J29">
        <f>I29</f>
        <v/>
      </c>
      <c r="K29" s="2" t="inlineStr">
        <is>
          <t>-</t>
        </is>
      </c>
    </row>
    <row r="30">
      <c r="A30" t="n">
        <v>28</v>
      </c>
      <c r="B30" t="inlineStr">
        <is>
          <t>FSW</t>
        </is>
      </c>
      <c r="C30" t="inlineStr">
        <is>
          <t>Last packet send time</t>
        </is>
      </c>
      <c r="D30" t="n">
        <v>152</v>
      </c>
      <c r="E30" t="n">
        <v>32</v>
      </c>
      <c r="F30" t="inlineStr">
        <is>
          <t>LE</t>
        </is>
      </c>
      <c r="G30" t="inlineStr">
        <is>
          <t>uint32_t</t>
        </is>
      </c>
      <c r="H30">
        <f>_DestuffedBits!C282*128+_DestuffedBits!C283*64+_DestuffedBits!C284*32+_DestuffedBits!C285*16+_DestuffedBits!C286*8+_DestuffedBits!C287*4+_DestuffedBits!C288*2+_DestuffedBits!C289*1+_DestuffedBits!C290*32768+_DestuffedBits!C291*16384+_DestuffedBits!C292*8192+_DestuffedBits!C293*4096+_DestuffedBits!C294*2048+_DestuffedBits!C295*1024+_DestuffedBits!C296*512+_DestuffedBits!C297*256+_DestuffedBits!C298*8388608+_DestuffedBits!C299*4194304+_DestuffedBits!C300*2097152+_DestuffedBits!C301*1048576+_DestuffedBits!C302*524288+_DestuffedBits!C303*262144+_DestuffedBits!C304*131072+_DestuffedBits!C305*65536+_DestuffedBits!C306*2147483648+_DestuffedBits!C307*1073741824+_DestuffedBits!C308*536870912+_DestuffedBits!C309*268435456+_DestuffedBits!C310*134217728+_DestuffedBits!C311*67108864+_DestuffedBits!C312*33554432+_DestuffedBits!C313*16777216</f>
        <v/>
      </c>
      <c r="I30">
        <f>H30</f>
        <v/>
      </c>
      <c r="J30">
        <f>I30</f>
        <v/>
      </c>
      <c r="K30" s="2" t="inlineStr">
        <is>
          <t>-</t>
        </is>
      </c>
    </row>
    <row r="31">
      <c r="A31" t="n">
        <v>29</v>
      </c>
      <c r="B31" t="inlineStr">
        <is>
          <t>FSW</t>
        </is>
      </c>
      <c r="C31" t="inlineStr">
        <is>
          <t>Last Accept CMD Time</t>
        </is>
      </c>
      <c r="D31" t="n">
        <v>184</v>
      </c>
      <c r="E31" t="n">
        <v>32</v>
      </c>
      <c r="F31" t="inlineStr">
        <is>
          <t>LE</t>
        </is>
      </c>
      <c r="G31" t="inlineStr">
        <is>
          <t>uint32_t</t>
        </is>
      </c>
      <c r="H31">
        <f>_DestuffedBits!C314*128+_DestuffedBits!C315*64+_DestuffedBits!C316*32+_DestuffedBits!C317*16+_DestuffedBits!C318*8+_DestuffedBits!C319*4+_DestuffedBits!C320*2+_DestuffedBits!C321*1+_DestuffedBits!C322*32768+_DestuffedBits!C323*16384+_DestuffedBits!C324*8192+_DestuffedBits!C325*4096+_DestuffedBits!C326*2048+_DestuffedBits!C327*1024+_DestuffedBits!C328*512+_DestuffedBits!C329*256+_DestuffedBits!C330*8388608+_DestuffedBits!C331*4194304+_DestuffedBits!C332*2097152+_DestuffedBits!C333*1048576+_DestuffedBits!C334*524288+_DestuffedBits!C335*262144+_DestuffedBits!C336*131072+_DestuffedBits!C337*65536+_DestuffedBits!C338*2147483648+_DestuffedBits!C339*1073741824+_DestuffedBits!C340*536870912+_DestuffedBits!C341*268435456+_DestuffedBits!C342*134217728+_DestuffedBits!C343*67108864+_DestuffedBits!C344*33554432+_DestuffedBits!C345*16777216</f>
        <v/>
      </c>
      <c r="I31">
        <f>H31</f>
        <v/>
      </c>
      <c r="J31">
        <f>I31</f>
        <v/>
      </c>
      <c r="K31" s="2" t="inlineStr">
        <is>
          <t>-</t>
        </is>
      </c>
    </row>
    <row r="32">
      <c r="A32" t="n">
        <v>30</v>
      </c>
      <c r="B32" t="inlineStr">
        <is>
          <t>FSW</t>
        </is>
      </c>
      <c r="C32" t="inlineStr">
        <is>
          <t>Last Accept CMD Type OPCODE</t>
        </is>
      </c>
      <c r="D32" t="n">
        <v>216</v>
      </c>
      <c r="E32" t="n">
        <v>4</v>
      </c>
      <c r="F32" t="inlineStr">
        <is>
          <t>LE</t>
        </is>
      </c>
      <c r="G32" t="inlineStr">
        <is>
          <t>uint8_t</t>
        </is>
      </c>
      <c r="H32">
        <f>_DestuffedBits!C346*8+_DestuffedBits!C347*4+_DestuffedBits!C348*2+_DestuffedBits!C349*1</f>
        <v/>
      </c>
      <c r="I32">
        <f>H32</f>
        <v/>
      </c>
      <c r="J32">
        <f>I32</f>
        <v/>
      </c>
      <c r="K32" s="2" t="inlineStr">
        <is>
          <t>-</t>
        </is>
      </c>
    </row>
    <row r="33">
      <c r="A33" t="n">
        <v>31</v>
      </c>
      <c r="B33" t="inlineStr">
        <is>
          <t>FSW</t>
        </is>
      </c>
      <c r="C33" t="inlineStr">
        <is>
          <t>Last Accept CMD Type APID</t>
        </is>
      </c>
      <c r="D33" t="n">
        <v>220</v>
      </c>
      <c r="E33" t="n">
        <v>4</v>
      </c>
      <c r="F33" t="inlineStr">
        <is>
          <t>LE</t>
        </is>
      </c>
      <c r="G33" t="inlineStr">
        <is>
          <t>uint8_t</t>
        </is>
      </c>
      <c r="H33">
        <f>_DestuffedBits!C350*8+_DestuffedBits!C351*4+_DestuffedBits!C352*2+_DestuffedBits!C353*1</f>
        <v/>
      </c>
      <c r="I33">
        <f>H33</f>
        <v/>
      </c>
      <c r="J33">
        <f>I33</f>
        <v/>
      </c>
      <c r="K33" s="2" t="inlineStr">
        <is>
          <t>-</t>
        </is>
      </c>
    </row>
    <row r="34">
      <c r="A34" t="n">
        <v>32</v>
      </c>
      <c r="B34" t="inlineStr">
        <is>
          <t>FSW</t>
        </is>
      </c>
      <c r="C34" t="inlineStr">
        <is>
          <t>FSW static data addr</t>
        </is>
      </c>
      <c r="D34" t="n">
        <v>224</v>
      </c>
      <c r="E34" t="n">
        <v>32</v>
      </c>
      <c r="F34" t="inlineStr">
        <is>
          <t>LE</t>
        </is>
      </c>
      <c r="G34" t="inlineStr">
        <is>
          <t>uint32_t</t>
        </is>
      </c>
      <c r="H34">
        <f>_DestuffedBits!C354*128+_DestuffedBits!C355*64+_DestuffedBits!C356*32+_DestuffedBits!C357*16+_DestuffedBits!C358*8+_DestuffedBits!C359*4+_DestuffedBits!C360*2+_DestuffedBits!C361*1+_DestuffedBits!C362*32768+_DestuffedBits!C363*16384+_DestuffedBits!C364*8192+_DestuffedBits!C365*4096+_DestuffedBits!C366*2048+_DestuffedBits!C367*1024+_DestuffedBits!C368*512+_DestuffedBits!C369*256+_DestuffedBits!C370*8388608+_DestuffedBits!C371*4194304+_DestuffedBits!C372*2097152+_DestuffedBits!C373*1048576+_DestuffedBits!C374*524288+_DestuffedBits!C375*262144+_DestuffedBits!C376*131072+_DestuffedBits!C377*65536+_DestuffedBits!C378*2147483648+_DestuffedBits!C379*1073741824+_DestuffedBits!C380*536870912+_DestuffedBits!C381*268435456+_DestuffedBits!C382*134217728+_DestuffedBits!C383*67108864+_DestuffedBits!C384*33554432+_DestuffedBits!C385*16777216</f>
        <v/>
      </c>
      <c r="I34">
        <f>H34</f>
        <v/>
      </c>
      <c r="J34">
        <f>I34</f>
        <v/>
      </c>
      <c r="K34" s="2" t="inlineStr">
        <is>
          <t>-</t>
        </is>
      </c>
    </row>
    <row r="35">
      <c r="A35" t="n">
        <v>33</v>
      </c>
      <c r="B35" t="inlineStr">
        <is>
          <t>FSW</t>
        </is>
      </c>
      <c r="C35" t="inlineStr">
        <is>
          <t>FSW dynamic data addr</t>
        </is>
      </c>
      <c r="D35" t="n">
        <v>256</v>
      </c>
      <c r="E35" t="n">
        <v>32</v>
      </c>
      <c r="F35" t="inlineStr">
        <is>
          <t>LE</t>
        </is>
      </c>
      <c r="G35" t="inlineStr">
        <is>
          <t>uint32_t</t>
        </is>
      </c>
      <c r="H35">
        <f>_DestuffedBits!C386*128+_DestuffedBits!C387*64+_DestuffedBits!C388*32+_DestuffedBits!C389*16+_DestuffedBits!C390*8+_DestuffedBits!C391*4+_DestuffedBits!C392*2+_DestuffedBits!C393*1+_DestuffedBits!C394*32768+_DestuffedBits!C395*16384+_DestuffedBits!C396*8192+_DestuffedBits!C397*4096+_DestuffedBits!C398*2048+_DestuffedBits!C399*1024+_DestuffedBits!C400*512+_DestuffedBits!C401*256+_DestuffedBits!C402*8388608+_DestuffedBits!C403*4194304+_DestuffedBits!C404*2097152+_DestuffedBits!C405*1048576+_DestuffedBits!C406*524288+_DestuffedBits!C407*262144+_DestuffedBits!C408*131072+_DestuffedBits!C409*65536+_DestuffedBits!C410*2147483648+_DestuffedBits!C411*1073741824+_DestuffedBits!C412*536870912+_DestuffedBits!C413*268435456+_DestuffedBits!C414*134217728+_DestuffedBits!C415*67108864+_DestuffedBits!C416*33554432+_DestuffedBits!C417*16777216</f>
        <v/>
      </c>
      <c r="I35">
        <f>H35</f>
        <v/>
      </c>
      <c r="J35">
        <f>I35</f>
        <v/>
      </c>
      <c r="K35" s="2" t="inlineStr">
        <is>
          <t>-</t>
        </is>
      </c>
    </row>
    <row r="36">
      <c r="A36" t="n">
        <v>34</v>
      </c>
      <c r="B36" t="inlineStr">
        <is>
          <t>FSW</t>
        </is>
      </c>
      <c r="C36" t="inlineStr">
        <is>
          <t>SD Write Pointer Beacon</t>
        </is>
      </c>
      <c r="D36" t="n">
        <v>288</v>
      </c>
      <c r="E36" t="n">
        <v>32</v>
      </c>
      <c r="F36" t="inlineStr">
        <is>
          <t>LE</t>
        </is>
      </c>
      <c r="G36" t="inlineStr">
        <is>
          <t>uint32_t</t>
        </is>
      </c>
      <c r="H36">
        <f>_DestuffedBits!C418*128+_DestuffedBits!C419*64+_DestuffedBits!C420*32+_DestuffedBits!C421*16+_DestuffedBits!C422*8+_DestuffedBits!C423*4+_DestuffedBits!C424*2+_DestuffedBits!C425*1+_DestuffedBits!C426*32768+_DestuffedBits!C427*16384+_DestuffedBits!C428*8192+_DestuffedBits!C429*4096+_DestuffedBits!C430*2048+_DestuffedBits!C431*1024+_DestuffedBits!C432*512+_DestuffedBits!C433*256+_DestuffedBits!C434*8388608+_DestuffedBits!C435*4194304+_DestuffedBits!C436*2097152+_DestuffedBits!C437*1048576+_DestuffedBits!C438*524288+_DestuffedBits!C439*262144+_DestuffedBits!C440*131072+_DestuffedBits!C441*65536+_DestuffedBits!C442*2147483648+_DestuffedBits!C443*1073741824+_DestuffedBits!C444*536870912+_DestuffedBits!C445*268435456+_DestuffedBits!C446*134217728+_DestuffedBits!C447*67108864+_DestuffedBits!C448*33554432+_DestuffedBits!C449*16777216</f>
        <v/>
      </c>
      <c r="I36">
        <f>H36</f>
        <v/>
      </c>
      <c r="J36">
        <f>I36</f>
        <v/>
      </c>
      <c r="K36" s="2" t="inlineStr">
        <is>
          <t>-</t>
        </is>
      </c>
    </row>
    <row r="37">
      <c r="A37" t="n">
        <v>35</v>
      </c>
      <c r="B37" t="inlineStr">
        <is>
          <t>FSW</t>
        </is>
      </c>
      <c r="C37" t="inlineStr">
        <is>
          <t>SD Write Pointer plCip</t>
        </is>
      </c>
      <c r="D37" t="n">
        <v>320</v>
      </c>
      <c r="E37" t="n">
        <v>32</v>
      </c>
      <c r="F37" t="inlineStr">
        <is>
          <t>LE</t>
        </is>
      </c>
      <c r="G37" t="inlineStr">
        <is>
          <t>uint32_t</t>
        </is>
      </c>
      <c r="H37">
        <f>_DestuffedBits!C450*128+_DestuffedBits!C451*64+_DestuffedBits!C452*32+_DestuffedBits!C453*16+_DestuffedBits!C454*8+_DestuffedBits!C455*4+_DestuffedBits!C456*2+_DestuffedBits!C457*1+_DestuffedBits!C458*32768+_DestuffedBits!C459*16384+_DestuffedBits!C460*8192+_DestuffedBits!C461*4096+_DestuffedBits!C462*2048+_DestuffedBits!C463*1024+_DestuffedBits!C464*512+_DestuffedBits!C465*256+_DestuffedBits!C466*8388608+_DestuffedBits!C467*4194304+_DestuffedBits!C468*2097152+_DestuffedBits!C469*1048576+_DestuffedBits!C470*524288+_DestuffedBits!C471*262144+_DestuffedBits!C472*131072+_DestuffedBits!C473*65536+_DestuffedBits!C474*2147483648+_DestuffedBits!C475*1073741824+_DestuffedBits!C476*536870912+_DestuffedBits!C477*268435456+_DestuffedBits!C478*134217728+_DestuffedBits!C479*67108864+_DestuffedBits!C480*33554432+_DestuffedBits!C481*16777216</f>
        <v/>
      </c>
      <c r="I37">
        <f>H37</f>
        <v/>
      </c>
      <c r="J37">
        <f>I37</f>
        <v/>
      </c>
      <c r="K37" s="2" t="inlineStr">
        <is>
          <t>-</t>
        </is>
      </c>
    </row>
    <row r="38">
      <c r="A38" t="n">
        <v>36</v>
      </c>
      <c r="B38" t="inlineStr">
        <is>
          <t>FSW</t>
        </is>
      </c>
      <c r="C38" t="inlineStr">
        <is>
          <t>SD Write Pointer plSeuv</t>
        </is>
      </c>
      <c r="D38" t="n">
        <v>352</v>
      </c>
      <c r="E38" t="n">
        <v>32</v>
      </c>
      <c r="F38" t="inlineStr">
        <is>
          <t>LE</t>
        </is>
      </c>
      <c r="G38" t="inlineStr">
        <is>
          <t>uint32_t</t>
        </is>
      </c>
      <c r="H38">
        <f>_DestuffedBits!C482*128+_DestuffedBits!C483*64+_DestuffedBits!C484*32+_DestuffedBits!C485*16+_DestuffedBits!C486*8+_DestuffedBits!C487*4+_DestuffedBits!C488*2+_DestuffedBits!C489*1+_DestuffedBits!C490*32768+_DestuffedBits!C491*16384+_DestuffedBits!C492*8192+_DestuffedBits!C493*4096+_DestuffedBits!C494*2048+_DestuffedBits!C495*1024+_DestuffedBits!C496*512+_DestuffedBits!C497*256+_DestuffedBits!C498*8388608+_DestuffedBits!C499*4194304+_DestuffedBits!C500*2097152+_DestuffedBits!C501*1048576+_DestuffedBits!C502*524288+_DestuffedBits!C503*262144+_DestuffedBits!C504*131072+_DestuffedBits!C505*65536+_DestuffedBits!C506*2147483648+_DestuffedBits!C507*1073741824+_DestuffedBits!C508*536870912+_DestuffedBits!C509*268435456+_DestuffedBits!C510*134217728+_DestuffedBits!C511*67108864+_DestuffedBits!C512*33554432+_DestuffedBits!C513*16777216</f>
        <v/>
      </c>
      <c r="I38">
        <f>H38</f>
        <v/>
      </c>
      <c r="J38">
        <f>I38</f>
        <v/>
      </c>
      <c r="K38" s="2" t="inlineStr">
        <is>
          <t>-</t>
        </is>
      </c>
    </row>
    <row r="39">
      <c r="A39" t="n">
        <v>37</v>
      </c>
      <c r="B39" t="inlineStr">
        <is>
          <t>FSW</t>
        </is>
      </c>
      <c r="C39" t="inlineStr">
        <is>
          <t>SD Write Pointer plHyperscan</t>
        </is>
      </c>
      <c r="D39" t="n">
        <v>384</v>
      </c>
      <c r="E39" t="n">
        <v>32</v>
      </c>
      <c r="F39" t="inlineStr">
        <is>
          <t>LE</t>
        </is>
      </c>
      <c r="G39" t="inlineStr">
        <is>
          <t>uint32_t</t>
        </is>
      </c>
      <c r="H39">
        <f>_DestuffedBits!C514*128+_DestuffedBits!C515*64+_DestuffedBits!C516*32+_DestuffedBits!C517*16+_DestuffedBits!C518*8+_DestuffedBits!C519*4+_DestuffedBits!C520*2+_DestuffedBits!C521*1+_DestuffedBits!C522*32768+_DestuffedBits!C523*16384+_DestuffedBits!C524*8192+_DestuffedBits!C525*4096+_DestuffedBits!C526*2048+_DestuffedBits!C527*1024+_DestuffedBits!C528*512+_DestuffedBits!C529*256+_DestuffedBits!C530*8388608+_DestuffedBits!C531*4194304+_DestuffedBits!C532*2097152+_DestuffedBits!C533*1048576+_DestuffedBits!C534*524288+_DestuffedBits!C535*262144+_DestuffedBits!C536*131072+_DestuffedBits!C537*65536+_DestuffedBits!C538*2147483648+_DestuffedBits!C539*1073741824+_DestuffedBits!C540*536870912+_DestuffedBits!C541*268435456+_DestuffedBits!C542*134217728+_DestuffedBits!C543*67108864+_DestuffedBits!C544*33554432+_DestuffedBits!C545*16777216</f>
        <v/>
      </c>
      <c r="I39">
        <f>H39</f>
        <v/>
      </c>
      <c r="J39">
        <f>I39</f>
        <v/>
      </c>
      <c r="K39" s="2" t="inlineStr">
        <is>
          <t>-</t>
        </is>
      </c>
    </row>
    <row r="40">
      <c r="A40" t="n">
        <v>38</v>
      </c>
      <c r="B40" t="inlineStr">
        <is>
          <t>FSW</t>
        </is>
      </c>
      <c r="C40" t="inlineStr">
        <is>
          <t>SD Write Pointer AdcsDetailData</t>
        </is>
      </c>
      <c r="D40" t="n">
        <v>416</v>
      </c>
      <c r="E40" t="n">
        <v>32</v>
      </c>
      <c r="F40" t="inlineStr">
        <is>
          <t>LE</t>
        </is>
      </c>
      <c r="G40" t="inlineStr">
        <is>
          <t>uint32_t</t>
        </is>
      </c>
      <c r="H40">
        <f>_DestuffedBits!C546*128+_DestuffedBits!C547*64+_DestuffedBits!C548*32+_DestuffedBits!C549*16+_DestuffedBits!C550*8+_DestuffedBits!C551*4+_DestuffedBits!C552*2+_DestuffedBits!C553*1+_DestuffedBits!C554*32768+_DestuffedBits!C555*16384+_DestuffedBits!C556*8192+_DestuffedBits!C557*4096+_DestuffedBits!C558*2048+_DestuffedBits!C559*1024+_DestuffedBits!C560*512+_DestuffedBits!C561*256+_DestuffedBits!C562*8388608+_DestuffedBits!C563*4194304+_DestuffedBits!C564*2097152+_DestuffedBits!C565*1048576+_DestuffedBits!C566*524288+_DestuffedBits!C567*262144+_DestuffedBits!C568*131072+_DestuffedBits!C569*65536+_DestuffedBits!C570*2147483648+_DestuffedBits!C571*1073741824+_DestuffedBits!C572*536870912+_DestuffedBits!C573*268435456+_DestuffedBits!C574*134217728+_DestuffedBits!C575*67108864+_DestuffedBits!C576*33554432+_DestuffedBits!C577*16777216</f>
        <v/>
      </c>
      <c r="I40">
        <f>H40</f>
        <v/>
      </c>
      <c r="J40">
        <f>I40</f>
        <v/>
      </c>
      <c r="K40" s="2" t="inlineStr">
        <is>
          <t>-</t>
        </is>
      </c>
    </row>
    <row r="41">
      <c r="A41" t="n">
        <v>39</v>
      </c>
      <c r="B41" t="inlineStr">
        <is>
          <t>FSW</t>
        </is>
      </c>
      <c r="C41" t="inlineStr">
        <is>
          <t>CMD Loss Timer</t>
        </is>
      </c>
      <c r="D41" t="n">
        <v>448</v>
      </c>
      <c r="E41" t="n">
        <v>32</v>
      </c>
      <c r="F41" t="inlineStr">
        <is>
          <t>LE</t>
        </is>
      </c>
      <c r="G41" t="inlineStr">
        <is>
          <t>uint32_t</t>
        </is>
      </c>
      <c r="H41">
        <f>_DestuffedBits!C578*128+_DestuffedBits!C579*64+_DestuffedBits!C580*32+_DestuffedBits!C581*16+_DestuffedBits!C582*8+_DestuffedBits!C583*4+_DestuffedBits!C584*2+_DestuffedBits!C585*1+_DestuffedBits!C586*32768+_DestuffedBits!C587*16384+_DestuffedBits!C588*8192+_DestuffedBits!C589*4096+_DestuffedBits!C590*2048+_DestuffedBits!C591*1024+_DestuffedBits!C592*512+_DestuffedBits!C593*256+_DestuffedBits!C594*8388608+_DestuffedBits!C595*4194304+_DestuffedBits!C596*2097152+_DestuffedBits!C597*1048576+_DestuffedBits!C598*524288+_DestuffedBits!C599*262144+_DestuffedBits!C600*131072+_DestuffedBits!C601*65536+_DestuffedBits!C602*2147483648+_DestuffedBits!C603*1073741824+_DestuffedBits!C604*536870912+_DestuffedBits!C605*268435456+_DestuffedBits!C606*134217728+_DestuffedBits!C607*67108864+_DestuffedBits!C608*33554432+_DestuffedBits!C609*16777216</f>
        <v/>
      </c>
      <c r="I41">
        <f>H41</f>
        <v/>
      </c>
      <c r="J41">
        <f>I41&amp;" "</f>
        <v/>
      </c>
      <c r="K41" s="2" t="inlineStr">
        <is>
          <t>transform:CMD_Loss_Timer {'unit': '', 'display_format': 'hh:mm:ss', 'comment': 'Convert raw seconds to HH:mm:ss string'}</t>
        </is>
      </c>
    </row>
    <row r="42">
      <c r="A42" t="n">
        <v>40</v>
      </c>
      <c r="B42" t="inlineStr">
        <is>
          <t>FSW</t>
        </is>
      </c>
      <c r="C42" t="inlineStr">
        <is>
          <t>HyperScan xband write file number</t>
        </is>
      </c>
      <c r="D42" t="n">
        <v>480</v>
      </c>
      <c r="E42" t="n">
        <v>16</v>
      </c>
      <c r="F42" t="inlineStr">
        <is>
          <t>LE</t>
        </is>
      </c>
      <c r="G42" t="inlineStr">
        <is>
          <t>uint16_t</t>
        </is>
      </c>
      <c r="H42">
        <f>_DestuffedBits!C610*128+_DestuffedBits!C611*64+_DestuffedBits!C612*32+_DestuffedBits!C613*16+_DestuffedBits!C614*8+_DestuffedBits!C615*4+_DestuffedBits!C616*2+_DestuffedBits!C617*1+_DestuffedBits!C618*32768+_DestuffedBits!C619*16384+_DestuffedBits!C620*8192+_DestuffedBits!C621*4096+_DestuffedBits!C622*2048+_DestuffedBits!C623*1024+_DestuffedBits!C624*512+_DestuffedBits!C625*256</f>
        <v/>
      </c>
      <c r="I42">
        <f>H42</f>
        <v/>
      </c>
      <c r="J42">
        <f>I42</f>
        <v/>
      </c>
      <c r="K42" s="2" t="inlineStr">
        <is>
          <t>-</t>
        </is>
      </c>
    </row>
    <row r="43">
      <c r="A43" t="n">
        <v>41</v>
      </c>
      <c r="B43" t="inlineStr">
        <is>
          <t>FSW</t>
        </is>
      </c>
      <c r="C43" t="inlineStr">
        <is>
          <t>SEUV xband write file number</t>
        </is>
      </c>
      <c r="D43" t="n">
        <v>496</v>
      </c>
      <c r="E43" t="n">
        <v>16</v>
      </c>
      <c r="F43" t="inlineStr">
        <is>
          <t>LE</t>
        </is>
      </c>
      <c r="G43" t="inlineStr">
        <is>
          <t>uint16_t</t>
        </is>
      </c>
      <c r="H43">
        <f>_DestuffedBits!C626*128+_DestuffedBits!C627*64+_DestuffedBits!C628*32+_DestuffedBits!C629*16+_DestuffedBits!C630*8+_DestuffedBits!C631*4+_DestuffedBits!C632*2+_DestuffedBits!C633*1+_DestuffedBits!C634*32768+_DestuffedBits!C635*16384+_DestuffedBits!C636*8192+_DestuffedBits!C637*4096+_DestuffedBits!C638*2048+_DestuffedBits!C639*1024+_DestuffedBits!C640*512+_DestuffedBits!C641*256</f>
        <v/>
      </c>
      <c r="I43">
        <f>H43</f>
        <v/>
      </c>
      <c r="J43">
        <f>I43</f>
        <v/>
      </c>
      <c r="K43" s="2" t="inlineStr">
        <is>
          <t>-</t>
        </is>
      </c>
    </row>
    <row r="44">
      <c r="A44" t="n">
        <v>42</v>
      </c>
      <c r="B44" t="inlineStr">
        <is>
          <t>FSW</t>
        </is>
      </c>
      <c r="C44" t="inlineStr">
        <is>
          <t>Cip xband write file number</t>
        </is>
      </c>
      <c r="D44" t="n">
        <v>512</v>
      </c>
      <c r="E44" t="n">
        <v>16</v>
      </c>
      <c r="F44" t="inlineStr">
        <is>
          <t>LE</t>
        </is>
      </c>
      <c r="G44" t="inlineStr">
        <is>
          <t>uint16_t</t>
        </is>
      </c>
      <c r="H44">
        <f>_DestuffedBits!C642*128+_DestuffedBits!C643*64+_DestuffedBits!C644*32+_DestuffedBits!C645*16+_DestuffedBits!C646*8+_DestuffedBits!C647*4+_DestuffedBits!C648*2+_DestuffedBits!C649*1+_DestuffedBits!C650*32768+_DestuffedBits!C651*16384+_DestuffedBits!C652*8192+_DestuffedBits!C653*4096+_DestuffedBits!C654*2048+_DestuffedBits!C655*1024+_DestuffedBits!C656*512+_DestuffedBits!C657*256</f>
        <v/>
      </c>
      <c r="I44">
        <f>H44</f>
        <v/>
      </c>
      <c r="J44">
        <f>I44</f>
        <v/>
      </c>
      <c r="K44" s="2" t="inlineStr">
        <is>
          <t>-</t>
        </is>
      </c>
    </row>
    <row r="45">
      <c r="A45" t="n">
        <v>43</v>
      </c>
      <c r="B45" t="inlineStr">
        <is>
          <t>ADCS</t>
        </is>
      </c>
      <c r="C45" t="inlineStr">
        <is>
          <t>ADCS Time</t>
        </is>
      </c>
      <c r="D45" t="n">
        <v>528</v>
      </c>
      <c r="E45" t="n">
        <v>32</v>
      </c>
      <c r="F45" t="inlineStr">
        <is>
          <t>LE</t>
        </is>
      </c>
      <c r="G45" t="inlineStr">
        <is>
          <t>uint32_t</t>
        </is>
      </c>
      <c r="H45">
        <f>_DestuffedBits!C658*128+_DestuffedBits!C659*64+_DestuffedBits!C660*32+_DestuffedBits!C661*16+_DestuffedBits!C662*8+_DestuffedBits!C663*4+_DestuffedBits!C664*2+_DestuffedBits!C665*1+_DestuffedBits!C666*32768+_DestuffedBits!C667*16384+_DestuffedBits!C668*8192+_DestuffedBits!C669*4096+_DestuffedBits!C670*2048+_DestuffedBits!C671*1024+_DestuffedBits!C672*512+_DestuffedBits!C673*256+_DestuffedBits!C674*8388608+_DestuffedBits!C675*4194304+_DestuffedBits!C676*2097152+_DestuffedBits!C677*1048576+_DestuffedBits!C678*524288+_DestuffedBits!C679*262144+_DestuffedBits!C680*131072+_DestuffedBits!C681*65536+_DestuffedBits!C682*2147483648+_DestuffedBits!C683*1073741824+_DestuffedBits!C684*536870912+_DestuffedBits!C685*268435456+_DestuffedBits!C686*134217728+_DestuffedBits!C687*67108864+_DestuffedBits!C688*33554432+_DestuffedBits!C689*16777216</f>
        <v/>
      </c>
      <c r="I45">
        <f>H45</f>
        <v/>
      </c>
      <c r="J45">
        <f>I45&amp;" s"</f>
        <v/>
      </c>
      <c r="K45" s="2" t="inlineStr">
        <is>
          <t>transform:ADCS_Time {'unit': 's', 'display_format': 'YYYY-MM-DD HH:mm:ss', 'timezone': 'Asia/Taipei', 'offset_hours': 8}</t>
        </is>
      </c>
    </row>
    <row r="46">
      <c r="A46" t="n">
        <v>44</v>
      </c>
      <c r="B46" t="inlineStr">
        <is>
          <t>ADCS</t>
        </is>
      </c>
      <c r="C46" t="inlineStr">
        <is>
          <t>ADCS Time Milliseconds</t>
        </is>
      </c>
      <c r="D46" t="n">
        <v>560</v>
      </c>
      <c r="E46" t="n">
        <v>16</v>
      </c>
      <c r="F46" t="inlineStr">
        <is>
          <t>LE</t>
        </is>
      </c>
      <c r="G46" t="inlineStr">
        <is>
          <t>uint16_t</t>
        </is>
      </c>
      <c r="H46">
        <f>_DestuffedBits!C690*128+_DestuffedBits!C691*64+_DestuffedBits!C692*32+_DestuffedBits!C693*16+_DestuffedBits!C694*8+_DestuffedBits!C695*4+_DestuffedBits!C696*2+_DestuffedBits!C697*1+_DestuffedBits!C698*32768+_DestuffedBits!C699*16384+_DestuffedBits!C700*8192+_DestuffedBits!C701*4096+_DestuffedBits!C702*2048+_DestuffedBits!C703*1024+_DestuffedBits!C704*512+_DestuffedBits!C705*256</f>
        <v/>
      </c>
      <c r="I46">
        <f>H46</f>
        <v/>
      </c>
      <c r="J46">
        <f>I46</f>
        <v/>
      </c>
      <c r="K46" s="2" t="inlineStr">
        <is>
          <t>-</t>
        </is>
      </c>
    </row>
    <row r="47">
      <c r="A47" t="n">
        <v>45</v>
      </c>
      <c r="B47" t="inlineStr">
        <is>
          <t>ADCS</t>
        </is>
      </c>
      <c r="C47" t="inlineStr">
        <is>
          <t>ADCS 3V3 Current</t>
        </is>
      </c>
      <c r="D47" t="n">
        <v>576</v>
      </c>
      <c r="E47" t="n">
        <v>16</v>
      </c>
      <c r="F47" t="inlineStr">
        <is>
          <t>LE</t>
        </is>
      </c>
      <c r="G47" t="inlineStr">
        <is>
          <t>uint16_t</t>
        </is>
      </c>
      <c r="H47">
        <f>_DestuffedBits!C706*128+_DestuffedBits!C707*64+_DestuffedBits!C708*32+_DestuffedBits!C709*16+_DestuffedBits!C710*8+_DestuffedBits!C711*4+_DestuffedBits!C712*2+_DestuffedBits!C713*1+_DestuffedBits!C714*32768+_DestuffedBits!C715*16384+_DestuffedBits!C716*8192+_DestuffedBits!C717*4096+_DestuffedBits!C718*2048+_DestuffedBits!C719*1024+_DestuffedBits!C720*512+_DestuffedBits!C721*256</f>
        <v/>
      </c>
      <c r="I47">
        <f>H47</f>
        <v/>
      </c>
      <c r="J47">
        <f>I47</f>
        <v/>
      </c>
      <c r="K47" s="2" t="inlineStr">
        <is>
          <t>-</t>
        </is>
      </c>
    </row>
    <row r="48">
      <c r="A48" t="n">
        <v>46</v>
      </c>
      <c r="B48" t="inlineStr">
        <is>
          <t>ADCS</t>
        </is>
      </c>
      <c r="C48" t="inlineStr">
        <is>
          <t>ADCS 5V Current</t>
        </is>
      </c>
      <c r="D48" t="n">
        <v>592</v>
      </c>
      <c r="E48" t="n">
        <v>16</v>
      </c>
      <c r="F48" t="inlineStr">
        <is>
          <t>LE</t>
        </is>
      </c>
      <c r="G48" t="inlineStr">
        <is>
          <t>uint16_t</t>
        </is>
      </c>
      <c r="H48">
        <f>_DestuffedBits!C722*128+_DestuffedBits!C723*64+_DestuffedBits!C724*32+_DestuffedBits!C725*16+_DestuffedBits!C726*8+_DestuffedBits!C727*4+_DestuffedBits!C728*2+_DestuffedBits!C729*1+_DestuffedBits!C730*32768+_DestuffedBits!C731*16384+_DestuffedBits!C732*8192+_DestuffedBits!C733*4096+_DestuffedBits!C734*2048+_DestuffedBits!C735*1024+_DestuffedBits!C736*512+_DestuffedBits!C737*256</f>
        <v/>
      </c>
      <c r="I48">
        <f>H48</f>
        <v/>
      </c>
      <c r="J48">
        <f>I48</f>
        <v/>
      </c>
      <c r="K48" s="2" t="inlineStr">
        <is>
          <t>-</t>
        </is>
      </c>
    </row>
    <row r="49">
      <c r="A49" t="n">
        <v>47</v>
      </c>
      <c r="B49" t="inlineStr">
        <is>
          <t>ADCS</t>
        </is>
      </c>
      <c r="C49" t="inlineStr">
        <is>
          <t>ADCS Vbat Current</t>
        </is>
      </c>
      <c r="D49" t="n">
        <v>608</v>
      </c>
      <c r="E49" t="n">
        <v>16</v>
      </c>
      <c r="F49" t="inlineStr">
        <is>
          <t>LE</t>
        </is>
      </c>
      <c r="G49" t="inlineStr">
        <is>
          <t>uint16_t</t>
        </is>
      </c>
      <c r="H49">
        <f>_DestuffedBits!C738*128+_DestuffedBits!C739*64+_DestuffedBits!C740*32+_DestuffedBits!C741*16+_DestuffedBits!C742*8+_DestuffedBits!C743*4+_DestuffedBits!C744*2+_DestuffedBits!C745*1+_DestuffedBits!C746*32768+_DestuffedBits!C747*16384+_DestuffedBits!C748*8192+_DestuffedBits!C749*4096+_DestuffedBits!C750*2048+_DestuffedBits!C751*1024+_DestuffedBits!C752*512+_DestuffedBits!C753*256</f>
        <v/>
      </c>
      <c r="I49">
        <f>H49</f>
        <v/>
      </c>
      <c r="J49">
        <f>I49</f>
        <v/>
      </c>
      <c r="K49" s="2" t="inlineStr">
        <is>
          <t>-</t>
        </is>
      </c>
    </row>
    <row r="50">
      <c r="A50" t="n">
        <v>48</v>
      </c>
      <c r="B50" t="inlineStr">
        <is>
          <t>ADCS</t>
        </is>
      </c>
      <c r="C50" t="inlineStr">
        <is>
          <t>ADCS MCU Temperature</t>
        </is>
      </c>
      <c r="D50" t="n">
        <v>624</v>
      </c>
      <c r="E50" t="n">
        <v>16</v>
      </c>
      <c r="F50" t="inlineStr">
        <is>
          <t>LE</t>
        </is>
      </c>
      <c r="G50" t="inlineStr">
        <is>
          <t>uint16_t</t>
        </is>
      </c>
      <c r="H50">
        <f>_DestuffedBits!C754*128+_DestuffedBits!C755*64+_DestuffedBits!C756*32+_DestuffedBits!C757*16+_DestuffedBits!C758*8+_DestuffedBits!C759*4+_DestuffedBits!C760*2+_DestuffedBits!C761*1+_DestuffedBits!C762*32768+_DestuffedBits!C763*16384+_DestuffedBits!C764*8192+_DestuffedBits!C765*4096+_DestuffedBits!C766*2048+_DestuffedBits!C767*1024+_DestuffedBits!C768*512+_DestuffedBits!C769*256</f>
        <v/>
      </c>
      <c r="I50">
        <f>H50</f>
        <v/>
      </c>
      <c r="J50">
        <f>I50</f>
        <v/>
      </c>
      <c r="K50" s="2" t="inlineStr">
        <is>
          <t>-</t>
        </is>
      </c>
    </row>
    <row r="51">
      <c r="A51" t="n">
        <v>49</v>
      </c>
      <c r="B51" t="inlineStr">
        <is>
          <t>ADCS</t>
        </is>
      </c>
      <c r="C51" t="inlineStr">
        <is>
          <t>ADCS MAG Temperature</t>
        </is>
      </c>
      <c r="D51" t="n">
        <v>640</v>
      </c>
      <c r="E51" t="n">
        <v>16</v>
      </c>
      <c r="F51" t="inlineStr">
        <is>
          <t>LE</t>
        </is>
      </c>
      <c r="G51" t="inlineStr">
        <is>
          <t>uint16_t</t>
        </is>
      </c>
      <c r="H51">
        <f>_DestuffedBits!C770*128+_DestuffedBits!C771*64+_DestuffedBits!C772*32+_DestuffedBits!C773*16+_DestuffedBits!C774*8+_DestuffedBits!C775*4+_DestuffedBits!C776*2+_DestuffedBits!C777*1+_DestuffedBits!C778*32768+_DestuffedBits!C779*16384+_DestuffedBits!C780*8192+_DestuffedBits!C781*4096+_DestuffedBits!C782*2048+_DestuffedBits!C783*1024+_DestuffedBits!C784*512+_DestuffedBits!C785*256</f>
        <v/>
      </c>
      <c r="I51">
        <f>H51</f>
        <v/>
      </c>
      <c r="J51">
        <f>I51</f>
        <v/>
      </c>
      <c r="K51" s="2" t="inlineStr">
        <is>
          <t>-</t>
        </is>
      </c>
    </row>
    <row r="52">
      <c r="A52" t="n">
        <v>50</v>
      </c>
      <c r="B52" t="inlineStr">
        <is>
          <t>ADCS</t>
        </is>
      </c>
      <c r="C52" t="inlineStr">
        <is>
          <t>ADCS Attitude Estimation Mode</t>
        </is>
      </c>
      <c r="D52" t="n">
        <v>656</v>
      </c>
      <c r="E52" t="n">
        <v>4</v>
      </c>
      <c r="F52" t="inlineStr">
        <is>
          <t>LE</t>
        </is>
      </c>
      <c r="G52" t="inlineStr">
        <is>
          <t>uint8_t</t>
        </is>
      </c>
      <c r="H52">
        <f>_DestuffedBits!C786*8+_DestuffedBits!C787*4+_DestuffedBits!C788*2+_DestuffedBits!C789*1</f>
        <v/>
      </c>
      <c r="I52">
        <f>H52</f>
        <v/>
      </c>
      <c r="J52">
        <f>IF(H52=0,"No attitude estimation",IF(H52=1,"MEMS rate sensing",IF(H52=10,"Magnetometer rate filter",IF(H52=11,"Magnetometer rate filter with pitch estimation",IF(H52=100,"Magnetometer and Fine-sun TRIAD algorithm",IF(H52=101,"Full-state EKF",IF(H52=110,"MEMS gyro EKF",IF(H52=111,"User Coded Estimation Mode",H52&amp;" (unlisted)"))))))))</f>
        <v/>
      </c>
      <c r="K52" s="2" t="inlineStr">
        <is>
          <t>0000: No attitude estimation / 0001: MEMS rate sensing / 0010: Magnetometer rate filter / 0011: Magnetometer rate filter with pitch estimation / 0100: Magnetometer and Fine-sun TRIAD algorithm / 0101: Full-state EKF / 0110: MEMS gyro EKF / 0111: User Coded Estimation Mode</t>
        </is>
      </c>
    </row>
    <row r="53">
      <c r="A53" t="n">
        <v>51</v>
      </c>
      <c r="B53" t="inlineStr">
        <is>
          <t>ADCS</t>
        </is>
      </c>
      <c r="C53" t="inlineStr">
        <is>
          <t>ADCS Control Mode</t>
        </is>
      </c>
      <c r="D53" t="n">
        <v>660</v>
      </c>
      <c r="E53" t="n">
        <v>4</v>
      </c>
      <c r="F53" t="inlineStr">
        <is>
          <t>LE</t>
        </is>
      </c>
      <c r="G53" t="inlineStr">
        <is>
          <t>uint8_t</t>
        </is>
      </c>
      <c r="H53">
        <f>_DestuffedBits!C790*8+_DestuffedBits!C791*4+_DestuffedBits!C792*2+_DestuffedBits!C793*1</f>
        <v/>
      </c>
      <c r="I53">
        <f>H53</f>
        <v/>
      </c>
      <c r="J53">
        <f>IF(H53=0,"No control",IF(H53=1,"Detumbling control",IF(H53=10,"Y-Thomson spin",IF(H53=11,"Y-Wheel momentum stabilized – Initial Pitch Acquisition",IF(H53=100,"Y-Wheel momentum stabilized – Steady State",IF(H53=101,"XYZ-Wheel control",IF(H53=110,"Rwheel sun tracking control",IF(H53=111,"Rwheel target tracking control",IF(H53=1000,"Very Fast-spin Detumbling control",IF(H53=1001,"Fast-spin Detumbling control",IF(H53=1010,"User Specific Control Mode 1",IF(H53=1011,"User Specific Control Mode 2",IF(H53=1100,"Stop R-wheels",IF(H53=1101,"User Coded Control Mode",IF(H53=1110,"Yaw-only or roll-only sun tracking mode",IF(H53=1111,"Target-tracking yaw-only wheel control Mode",H53&amp;" (unlisted)"))))))))))))))))</f>
        <v/>
      </c>
      <c r="K53" s="2" t="inlineStr">
        <is>
          <t>0000: No control / 0001: Detumbling control / 0010: Y-Thomson spin / 0011: Y-Wheel momentum stabilized – Initial Pitch Acquisition / 0100: Y-Wheel momentum stabilized – Steady State / 0101: XYZ-Wheel control / 0110: Rwheel sun tracking control / 0111: Rwheel target tracking control / 1000: Very Fast-spin Detumbling control / 1001: Fast-spin Detumbling control / 1010: User Specific Control Mode 1 / 1011: User Specific Control Mode 2 / 1100: Stop R-wheels / 1101: User Coded Control Mode / 1110: Yaw-only or roll-only sun tracking mode / 1111: Target-tracking yaw-only wheel control Mode</t>
        </is>
      </c>
    </row>
    <row r="54">
      <c r="A54" t="n">
        <v>52</v>
      </c>
      <c r="B54" t="inlineStr">
        <is>
          <t>ADCS</t>
        </is>
      </c>
      <c r="C54" t="inlineStr">
        <is>
          <t>ADCS Run Mode</t>
        </is>
      </c>
      <c r="D54" t="n">
        <v>664</v>
      </c>
      <c r="E54" t="n">
        <v>2</v>
      </c>
      <c r="F54" t="inlineStr">
        <is>
          <t>LE</t>
        </is>
      </c>
      <c r="G54" t="inlineStr">
        <is>
          <t>uint8_t</t>
        </is>
      </c>
      <c r="H54">
        <f>_DestuffedBits!C794*2+_DestuffedBits!C795*1</f>
        <v/>
      </c>
      <c r="I54">
        <f>H54</f>
        <v/>
      </c>
      <c r="J54">
        <f>IF(H54=0,"Off",IF(H54=1,"Enabled",IF(H54=10,"Triggered",IF(H54=11,"Simulation",H54&amp;" (unlisted)"))))</f>
        <v/>
      </c>
      <c r="K54" s="2" t="inlineStr">
        <is>
          <t>00: Off / 01: Enabled / 10: Triggered / 11: Simulation</t>
        </is>
      </c>
    </row>
    <row r="55">
      <c r="A55" t="n">
        <v>53</v>
      </c>
      <c r="B55" t="inlineStr">
        <is>
          <t>ADCS</t>
        </is>
      </c>
      <c r="C55" t="inlineStr">
        <is>
          <t>(reserved)</t>
        </is>
      </c>
      <c r="D55" t="n">
        <v>666</v>
      </c>
      <c r="E55" t="n">
        <v>6</v>
      </c>
      <c r="F55" t="inlineStr">
        <is>
          <t>LE</t>
        </is>
      </c>
      <c r="G55" t="inlineStr">
        <is>
          <t>uint8_t</t>
        </is>
      </c>
      <c r="H55">
        <f>_DestuffedBits!C796*32+_DestuffedBits!C797*16+_DestuffedBits!C798*8+_DestuffedBits!C799*4+_DestuffedBits!C800*2+_DestuffedBits!C801*1</f>
        <v/>
      </c>
      <c r="I55">
        <f>H55</f>
        <v/>
      </c>
      <c r="J55">
        <f>I55</f>
        <v/>
      </c>
      <c r="K55" s="2" t="inlineStr">
        <is>
          <t>-</t>
        </is>
      </c>
    </row>
    <row r="56">
      <c r="A56" t="n">
        <v>54</v>
      </c>
      <c r="B56" t="inlineStr">
        <is>
          <t>ADCS</t>
        </is>
      </c>
      <c r="C56" t="inlineStr">
        <is>
          <t>ADCS CubeControl Signal</t>
        </is>
      </c>
      <c r="D56" t="n">
        <v>672</v>
      </c>
      <c r="E56" t="n">
        <v>1</v>
      </c>
      <c r="F56" t="inlineStr">
        <is>
          <t>LE</t>
        </is>
      </c>
      <c r="G56" t="inlineStr">
        <is>
          <t>uint8_t</t>
        </is>
      </c>
      <c r="H56">
        <f>_DestuffedBits!C802*1</f>
        <v/>
      </c>
      <c r="I56">
        <f>H56</f>
        <v/>
      </c>
      <c r="J56">
        <f>IF(H56=0,"off ; 1: enable",H56&amp;" (unlisted)")</f>
        <v/>
      </c>
      <c r="K56" s="2" t="inlineStr">
        <is>
          <t>0: off ; 1: enable</t>
        </is>
      </c>
    </row>
    <row r="57">
      <c r="A57" t="n">
        <v>55</v>
      </c>
      <c r="B57" t="inlineStr">
        <is>
          <t>ADCS</t>
        </is>
      </c>
      <c r="C57" t="inlineStr">
        <is>
          <t>ADCS CubeControl Motor</t>
        </is>
      </c>
      <c r="D57" t="n">
        <v>673</v>
      </c>
      <c r="E57" t="n">
        <v>1</v>
      </c>
      <c r="F57" t="inlineStr">
        <is>
          <t>LE</t>
        </is>
      </c>
      <c r="G57" t="inlineStr">
        <is>
          <t>uint8_t</t>
        </is>
      </c>
      <c r="H57">
        <f>_DestuffedBits!C803*1</f>
        <v/>
      </c>
      <c r="I57">
        <f>H57</f>
        <v/>
      </c>
      <c r="J57">
        <f>IF(H57=0,"off ; 1: enable",H57&amp;" (unlisted)")</f>
        <v/>
      </c>
      <c r="K57" s="2" t="inlineStr">
        <is>
          <t>0: off ; 1: enable</t>
        </is>
      </c>
    </row>
    <row r="58">
      <c r="A58" t="n">
        <v>56</v>
      </c>
      <c r="B58" t="inlineStr">
        <is>
          <t>ADCS</t>
        </is>
      </c>
      <c r="C58" t="inlineStr">
        <is>
          <t>ADCS CubeSense1</t>
        </is>
      </c>
      <c r="D58" t="n">
        <v>674</v>
      </c>
      <c r="E58" t="n">
        <v>1</v>
      </c>
      <c r="F58" t="inlineStr">
        <is>
          <t>LE</t>
        </is>
      </c>
      <c r="G58" t="inlineStr">
        <is>
          <t>uint8_t</t>
        </is>
      </c>
      <c r="H58">
        <f>_DestuffedBits!C804*1</f>
        <v/>
      </c>
      <c r="I58">
        <f>H58</f>
        <v/>
      </c>
      <c r="J58">
        <f>IF(H58=0,"off ; 1: enable",H58&amp;" (unlisted)")</f>
        <v/>
      </c>
      <c r="K58" s="2" t="inlineStr">
        <is>
          <t>0: off ; 1: enable</t>
        </is>
      </c>
    </row>
    <row r="59">
      <c r="A59" t="n">
        <v>57</v>
      </c>
      <c r="B59" t="inlineStr">
        <is>
          <t>ADCS</t>
        </is>
      </c>
      <c r="C59" t="inlineStr">
        <is>
          <t>ADCS CubeSense2</t>
        </is>
      </c>
      <c r="D59" t="n">
        <v>675</v>
      </c>
      <c r="E59" t="n">
        <v>1</v>
      </c>
      <c r="F59" t="inlineStr">
        <is>
          <t>LE</t>
        </is>
      </c>
      <c r="G59" t="inlineStr">
        <is>
          <t>uint8_t</t>
        </is>
      </c>
      <c r="H59">
        <f>_DestuffedBits!C805*1</f>
        <v/>
      </c>
      <c r="I59">
        <f>H59</f>
        <v/>
      </c>
      <c r="J59">
        <f>IF(H59=0,"off ; 1: enable",H59&amp;" (unlisted)")</f>
        <v/>
      </c>
      <c r="K59" s="2" t="inlineStr">
        <is>
          <t>0: off ; 1: enable</t>
        </is>
      </c>
    </row>
    <row r="60">
      <c r="A60" t="n">
        <v>58</v>
      </c>
      <c r="B60" t="inlineStr">
        <is>
          <t>ADCS</t>
        </is>
      </c>
      <c r="C60" t="inlineStr">
        <is>
          <t>ADCS CubeWheel1</t>
        </is>
      </c>
      <c r="D60" t="n">
        <v>676</v>
      </c>
      <c r="E60" t="n">
        <v>1</v>
      </c>
      <c r="F60" t="inlineStr">
        <is>
          <t>LE</t>
        </is>
      </c>
      <c r="G60" t="inlineStr">
        <is>
          <t>uint8_t</t>
        </is>
      </c>
      <c r="H60">
        <f>_DestuffedBits!C806*1</f>
        <v/>
      </c>
      <c r="I60">
        <f>H60</f>
        <v/>
      </c>
      <c r="J60">
        <f>IF(H60=0,"off ; 1: enable",H60&amp;" (unlisted)")</f>
        <v/>
      </c>
      <c r="K60" s="2" t="inlineStr">
        <is>
          <t>0: off ; 1: enable</t>
        </is>
      </c>
    </row>
    <row r="61">
      <c r="A61" t="n">
        <v>59</v>
      </c>
      <c r="B61" t="inlineStr">
        <is>
          <t>ADCS</t>
        </is>
      </c>
      <c r="C61" t="inlineStr">
        <is>
          <t>ADCS CubeWheel2</t>
        </is>
      </c>
      <c r="D61" t="n">
        <v>677</v>
      </c>
      <c r="E61" t="n">
        <v>1</v>
      </c>
      <c r="F61" t="inlineStr">
        <is>
          <t>LE</t>
        </is>
      </c>
      <c r="G61" t="inlineStr">
        <is>
          <t>uint8_t</t>
        </is>
      </c>
      <c r="H61">
        <f>_DestuffedBits!C807*1</f>
        <v/>
      </c>
      <c r="I61">
        <f>H61</f>
        <v/>
      </c>
      <c r="J61">
        <f>IF(H61=0,"off ; 1: enable",H61&amp;" (unlisted)")</f>
        <v/>
      </c>
      <c r="K61" s="2" t="inlineStr">
        <is>
          <t>0: off ; 1: enable</t>
        </is>
      </c>
    </row>
    <row r="62">
      <c r="A62" t="n">
        <v>60</v>
      </c>
      <c r="B62" t="inlineStr">
        <is>
          <t>ADCS</t>
        </is>
      </c>
      <c r="C62" t="inlineStr">
        <is>
          <t>ADCS CubeWheel3</t>
        </is>
      </c>
      <c r="D62" t="n">
        <v>678</v>
      </c>
      <c r="E62" t="n">
        <v>1</v>
      </c>
      <c r="F62" t="inlineStr">
        <is>
          <t>LE</t>
        </is>
      </c>
      <c r="G62" t="inlineStr">
        <is>
          <t>uint8_t</t>
        </is>
      </c>
      <c r="H62">
        <f>_DestuffedBits!C808*1</f>
        <v/>
      </c>
      <c r="I62">
        <f>H62</f>
        <v/>
      </c>
      <c r="J62">
        <f>IF(H62=0,"off ; 1: enable",H62&amp;" (unlisted)")</f>
        <v/>
      </c>
      <c r="K62" s="2" t="inlineStr">
        <is>
          <t>0: off ; 1: enable</t>
        </is>
      </c>
    </row>
    <row r="63">
      <c r="A63" t="n">
        <v>61</v>
      </c>
      <c r="B63" t="inlineStr">
        <is>
          <t>ADCS</t>
        </is>
      </c>
      <c r="C63" t="inlineStr">
        <is>
          <t>ADCS CubeStar</t>
        </is>
      </c>
      <c r="D63" t="n">
        <v>679</v>
      </c>
      <c r="E63" t="n">
        <v>1</v>
      </c>
      <c r="F63" t="inlineStr">
        <is>
          <t>LE</t>
        </is>
      </c>
      <c r="G63" t="inlineStr">
        <is>
          <t>uint8_t</t>
        </is>
      </c>
      <c r="H63">
        <f>_DestuffedBits!C809*1</f>
        <v/>
      </c>
      <c r="I63">
        <f>H63</f>
        <v/>
      </c>
      <c r="J63">
        <f>IF(H63=0,"off ; 1: enable",H63&amp;" (unlisted)")</f>
        <v/>
      </c>
      <c r="K63" s="2" t="inlineStr">
        <is>
          <t>0: off ; 1: enable</t>
        </is>
      </c>
    </row>
    <row r="64">
      <c r="A64" t="n">
        <v>62</v>
      </c>
      <c r="B64" t="inlineStr">
        <is>
          <t>ADCS</t>
        </is>
      </c>
      <c r="C64" t="inlineStr">
        <is>
          <t>ADCS CubeSense1 Communications</t>
        </is>
      </c>
      <c r="D64" t="n">
        <v>680</v>
      </c>
      <c r="E64" t="n">
        <v>1</v>
      </c>
      <c r="F64" t="inlineStr">
        <is>
          <t>LE</t>
        </is>
      </c>
      <c r="G64" t="inlineStr">
        <is>
          <t>uint8_t</t>
        </is>
      </c>
      <c r="H64">
        <f>_DestuffedBits!C810*1</f>
        <v/>
      </c>
      <c r="I64">
        <f>H64</f>
        <v/>
      </c>
      <c r="J64">
        <f>IF(H64=0,"no error ; 1: error",H64&amp;" (unlisted)")</f>
        <v/>
      </c>
      <c r="K64" s="2" t="inlineStr">
        <is>
          <t>0: no error ; 1: error</t>
        </is>
      </c>
    </row>
    <row r="65">
      <c r="A65" t="n">
        <v>63</v>
      </c>
      <c r="B65" t="inlineStr">
        <is>
          <t>ADCS</t>
        </is>
      </c>
      <c r="C65" t="inlineStr">
        <is>
          <t>ADCS CubeSense2 Communications</t>
        </is>
      </c>
      <c r="D65" t="n">
        <v>681</v>
      </c>
      <c r="E65" t="n">
        <v>1</v>
      </c>
      <c r="F65" t="inlineStr">
        <is>
          <t>LE</t>
        </is>
      </c>
      <c r="G65" t="inlineStr">
        <is>
          <t>uint8_t</t>
        </is>
      </c>
      <c r="H65">
        <f>_DestuffedBits!C811*1</f>
        <v/>
      </c>
      <c r="I65">
        <f>H65</f>
        <v/>
      </c>
      <c r="J65">
        <f>IF(H65=0,"no error ; 1: error",H65&amp;" (unlisted)")</f>
        <v/>
      </c>
      <c r="K65" s="2" t="inlineStr">
        <is>
          <t>0: no error ; 1: error</t>
        </is>
      </c>
    </row>
    <row r="66">
      <c r="A66" t="n">
        <v>64</v>
      </c>
      <c r="B66" t="inlineStr">
        <is>
          <t>ADCS</t>
        </is>
      </c>
      <c r="C66" t="inlineStr">
        <is>
          <t>ADCS CubeControl Signal Communications</t>
        </is>
      </c>
      <c r="D66" t="n">
        <v>682</v>
      </c>
      <c r="E66" t="n">
        <v>1</v>
      </c>
      <c r="F66" t="inlineStr">
        <is>
          <t>LE</t>
        </is>
      </c>
      <c r="G66" t="inlineStr">
        <is>
          <t>uint8_t</t>
        </is>
      </c>
      <c r="H66">
        <f>_DestuffedBits!C812*1</f>
        <v/>
      </c>
      <c r="I66">
        <f>H66</f>
        <v/>
      </c>
      <c r="J66">
        <f>IF(H66=0,"no error ; 1: error",H66&amp;" (unlisted)")</f>
        <v/>
      </c>
      <c r="K66" s="2" t="inlineStr">
        <is>
          <t>0: no error ; 1: error</t>
        </is>
      </c>
    </row>
    <row r="67">
      <c r="A67" t="n">
        <v>65</v>
      </c>
      <c r="B67" t="inlineStr">
        <is>
          <t>ADCS</t>
        </is>
      </c>
      <c r="C67" t="inlineStr">
        <is>
          <t>ADCS CubeControl Motor Communications</t>
        </is>
      </c>
      <c r="D67" t="n">
        <v>683</v>
      </c>
      <c r="E67" t="n">
        <v>1</v>
      </c>
      <c r="F67" t="inlineStr">
        <is>
          <t>LE</t>
        </is>
      </c>
      <c r="G67" t="inlineStr">
        <is>
          <t>uint8_t</t>
        </is>
      </c>
      <c r="H67">
        <f>_DestuffedBits!C813*1</f>
        <v/>
      </c>
      <c r="I67">
        <f>H67</f>
        <v/>
      </c>
      <c r="J67">
        <f>IF(H67=0,"no error ; 1: error",H67&amp;" (unlisted)")</f>
        <v/>
      </c>
      <c r="K67" s="2" t="inlineStr">
        <is>
          <t>0: no error ; 1: error</t>
        </is>
      </c>
    </row>
    <row r="68">
      <c r="A68" t="n">
        <v>66</v>
      </c>
      <c r="B68" t="inlineStr">
        <is>
          <t>ADCS</t>
        </is>
      </c>
      <c r="C68" t="inlineStr">
        <is>
          <t>ADCS CubeWheel1 Communications</t>
        </is>
      </c>
      <c r="D68" t="n">
        <v>684</v>
      </c>
      <c r="E68" t="n">
        <v>1</v>
      </c>
      <c r="F68" t="inlineStr">
        <is>
          <t>LE</t>
        </is>
      </c>
      <c r="G68" t="inlineStr">
        <is>
          <t>uint8_t</t>
        </is>
      </c>
      <c r="H68">
        <f>_DestuffedBits!C814*1</f>
        <v/>
      </c>
      <c r="I68">
        <f>H68</f>
        <v/>
      </c>
      <c r="J68">
        <f>IF(H68=0,"no error ; 1: error",H68&amp;" (unlisted)")</f>
        <v/>
      </c>
      <c r="K68" s="2" t="inlineStr">
        <is>
          <t>0: no error ; 1: error</t>
        </is>
      </c>
    </row>
    <row r="69">
      <c r="A69" t="n">
        <v>67</v>
      </c>
      <c r="B69" t="inlineStr">
        <is>
          <t>ADCS</t>
        </is>
      </c>
      <c r="C69" t="inlineStr">
        <is>
          <t>ADCS CubeWheel2 Communications</t>
        </is>
      </c>
      <c r="D69" t="n">
        <v>685</v>
      </c>
      <c r="E69" t="n">
        <v>1</v>
      </c>
      <c r="F69" t="inlineStr">
        <is>
          <t>LE</t>
        </is>
      </c>
      <c r="G69" t="inlineStr">
        <is>
          <t>uint8_t</t>
        </is>
      </c>
      <c r="H69">
        <f>_DestuffedBits!C815*1</f>
        <v/>
      </c>
      <c r="I69">
        <f>H69</f>
        <v/>
      </c>
      <c r="J69">
        <f>IF(H69=0,"no error ; 1: error",H69&amp;" (unlisted)")</f>
        <v/>
      </c>
      <c r="K69" s="2" t="inlineStr">
        <is>
          <t>0: no error ; 1: error</t>
        </is>
      </c>
    </row>
    <row r="70">
      <c r="A70" t="n">
        <v>68</v>
      </c>
      <c r="B70" t="inlineStr">
        <is>
          <t>ADCS</t>
        </is>
      </c>
      <c r="C70" t="inlineStr">
        <is>
          <t>ADCS CubeWheel3 Communications</t>
        </is>
      </c>
      <c r="D70" t="n">
        <v>686</v>
      </c>
      <c r="E70" t="n">
        <v>1</v>
      </c>
      <c r="F70" t="inlineStr">
        <is>
          <t>LE</t>
        </is>
      </c>
      <c r="G70" t="inlineStr">
        <is>
          <t>uint8_t</t>
        </is>
      </c>
      <c r="H70">
        <f>_DestuffedBits!C816*1</f>
        <v/>
      </c>
      <c r="I70">
        <f>H70</f>
        <v/>
      </c>
      <c r="J70">
        <f>IF(H70=0,"no error ; 1: error",H70&amp;" (unlisted)")</f>
        <v/>
      </c>
      <c r="K70" s="2" t="inlineStr">
        <is>
          <t>0: no error ; 1: error</t>
        </is>
      </c>
    </row>
    <row r="71">
      <c r="A71" t="n">
        <v>69</v>
      </c>
      <c r="B71" t="inlineStr">
        <is>
          <t>ADCS</t>
        </is>
      </c>
      <c r="C71" t="inlineStr">
        <is>
          <t>ADCS CubeStar Communications</t>
        </is>
      </c>
      <c r="D71" t="n">
        <v>687</v>
      </c>
      <c r="E71" t="n">
        <v>1</v>
      </c>
      <c r="F71" t="inlineStr">
        <is>
          <t>LE</t>
        </is>
      </c>
      <c r="G71" t="inlineStr">
        <is>
          <t>uint8_t</t>
        </is>
      </c>
      <c r="H71">
        <f>_DestuffedBits!C817*1</f>
        <v/>
      </c>
      <c r="I71">
        <f>H71</f>
        <v/>
      </c>
      <c r="J71">
        <f>IF(H71=0,"no error ; 1: error",H71&amp;" (unlisted)")</f>
        <v/>
      </c>
      <c r="K71" s="2" t="inlineStr">
        <is>
          <t>0: no error ; 1: error</t>
        </is>
      </c>
    </row>
    <row r="72">
      <c r="A72" t="n">
        <v>70</v>
      </c>
      <c r="B72" t="inlineStr">
        <is>
          <t>ADCS</t>
        </is>
      </c>
      <c r="C72" t="inlineStr">
        <is>
          <t>ADCS Cam1 SRAM Overcurrent Detected</t>
        </is>
      </c>
      <c r="D72" t="n">
        <v>688</v>
      </c>
      <c r="E72" t="n">
        <v>1</v>
      </c>
      <c r="F72" t="inlineStr">
        <is>
          <t>LE</t>
        </is>
      </c>
      <c r="G72" t="inlineStr">
        <is>
          <t>uint8_t</t>
        </is>
      </c>
      <c r="H72">
        <f>_DestuffedBits!C818*1</f>
        <v/>
      </c>
      <c r="I72">
        <f>H72</f>
        <v/>
      </c>
      <c r="J72">
        <f>IF(H72=0,"no error ; 1: error",H72&amp;" (unlisted)")</f>
        <v/>
      </c>
      <c r="K72" s="2" t="inlineStr">
        <is>
          <t>0: no error ; 1: error</t>
        </is>
      </c>
    </row>
    <row r="73">
      <c r="A73" t="n">
        <v>71</v>
      </c>
      <c r="B73" t="inlineStr">
        <is>
          <t>ADCS</t>
        </is>
      </c>
      <c r="C73" t="inlineStr">
        <is>
          <t>ADCS Cam1 3V3 Overcurrent Detected</t>
        </is>
      </c>
      <c r="D73" t="n">
        <v>689</v>
      </c>
      <c r="E73" t="n">
        <v>1</v>
      </c>
      <c r="F73" t="inlineStr">
        <is>
          <t>LE</t>
        </is>
      </c>
      <c r="G73" t="inlineStr">
        <is>
          <t>uint8_t</t>
        </is>
      </c>
      <c r="H73">
        <f>_DestuffedBits!C819*1</f>
        <v/>
      </c>
      <c r="I73">
        <f>H73</f>
        <v/>
      </c>
      <c r="J73">
        <f>IF(H73=0,"no error ; 1: error",H73&amp;" (unlisted)")</f>
        <v/>
      </c>
      <c r="K73" s="2" t="inlineStr">
        <is>
          <t>0: no error ; 1: error</t>
        </is>
      </c>
    </row>
    <row r="74">
      <c r="A74" t="n">
        <v>72</v>
      </c>
      <c r="B74" t="inlineStr">
        <is>
          <t>ADCS</t>
        </is>
      </c>
      <c r="C74" t="inlineStr">
        <is>
          <t>ADCS Cam1 Sensor Busy</t>
        </is>
      </c>
      <c r="D74" t="n">
        <v>690</v>
      </c>
      <c r="E74" t="n">
        <v>1</v>
      </c>
      <c r="F74" t="inlineStr">
        <is>
          <t>LE</t>
        </is>
      </c>
      <c r="G74" t="inlineStr">
        <is>
          <t>uint8_t</t>
        </is>
      </c>
      <c r="H74">
        <f>_DestuffedBits!C820*1</f>
        <v/>
      </c>
      <c r="I74">
        <f>H74</f>
        <v/>
      </c>
      <c r="J74">
        <f>IF(H74=0,"no error ; 1: error",H74&amp;" (unlisted)")</f>
        <v/>
      </c>
      <c r="K74" s="2" t="inlineStr">
        <is>
          <t>0: no error ; 1: error</t>
        </is>
      </c>
    </row>
    <row r="75">
      <c r="A75" t="n">
        <v>73</v>
      </c>
      <c r="B75" t="inlineStr">
        <is>
          <t>ADCS</t>
        </is>
      </c>
      <c r="C75" t="inlineStr">
        <is>
          <t>ADCS Cam1 Sensor Detection</t>
        </is>
      </c>
      <c r="D75" t="n">
        <v>691</v>
      </c>
      <c r="E75" t="n">
        <v>1</v>
      </c>
      <c r="F75" t="inlineStr">
        <is>
          <t>LE</t>
        </is>
      </c>
      <c r="G75" t="inlineStr">
        <is>
          <t>uint8_t</t>
        </is>
      </c>
      <c r="H75">
        <f>_DestuffedBits!C821*1</f>
        <v/>
      </c>
      <c r="I75">
        <f>H75</f>
        <v/>
      </c>
      <c r="J75">
        <f>IF(H75=0,"no error ; 1: error",H75&amp;" (unlisted)")</f>
        <v/>
      </c>
      <c r="K75" s="2" t="inlineStr">
        <is>
          <t>0: no error ; 1: error</t>
        </is>
      </c>
    </row>
    <row r="76">
      <c r="A76" t="n">
        <v>74</v>
      </c>
      <c r="B76" t="inlineStr">
        <is>
          <t>ADCS</t>
        </is>
      </c>
      <c r="C76" t="inlineStr">
        <is>
          <t>ADCS Cam2 SRAM Overcurrent Detected</t>
        </is>
      </c>
      <c r="D76" t="n">
        <v>692</v>
      </c>
      <c r="E76" t="n">
        <v>1</v>
      </c>
      <c r="F76" t="inlineStr">
        <is>
          <t>LE</t>
        </is>
      </c>
      <c r="G76" t="inlineStr">
        <is>
          <t>uint8_t</t>
        </is>
      </c>
      <c r="H76">
        <f>_DestuffedBits!C822*1</f>
        <v/>
      </c>
      <c r="I76">
        <f>H76</f>
        <v/>
      </c>
      <c r="J76">
        <f>IF(H76=0,"no error ; 1: error",H76&amp;" (unlisted)")</f>
        <v/>
      </c>
      <c r="K76" s="2" t="inlineStr">
        <is>
          <t>0: no error ; 1: error</t>
        </is>
      </c>
    </row>
    <row r="77">
      <c r="A77" t="n">
        <v>75</v>
      </c>
      <c r="B77" t="inlineStr">
        <is>
          <t>ADCS</t>
        </is>
      </c>
      <c r="C77" t="inlineStr">
        <is>
          <t>ADCS Cam2 3V3 Overcurrent Detected</t>
        </is>
      </c>
      <c r="D77" t="n">
        <v>693</v>
      </c>
      <c r="E77" t="n">
        <v>1</v>
      </c>
      <c r="F77" t="inlineStr">
        <is>
          <t>LE</t>
        </is>
      </c>
      <c r="G77" t="inlineStr">
        <is>
          <t>uint8_t</t>
        </is>
      </c>
      <c r="H77">
        <f>_DestuffedBits!C823*1</f>
        <v/>
      </c>
      <c r="I77">
        <f>H77</f>
        <v/>
      </c>
      <c r="J77">
        <f>IF(H77=0,"no error ; 1: error",H77&amp;" (unlisted)")</f>
        <v/>
      </c>
      <c r="K77" s="2" t="inlineStr">
        <is>
          <t>0: no error ; 1: error</t>
        </is>
      </c>
    </row>
    <row r="78">
      <c r="A78" t="n">
        <v>76</v>
      </c>
      <c r="B78" t="inlineStr">
        <is>
          <t>ADCS</t>
        </is>
      </c>
      <c r="C78" t="inlineStr">
        <is>
          <t>ADCS Cam2 Sensor Busy</t>
        </is>
      </c>
      <c r="D78" t="n">
        <v>694</v>
      </c>
      <c r="E78" t="n">
        <v>1</v>
      </c>
      <c r="F78" t="inlineStr">
        <is>
          <t>LE</t>
        </is>
      </c>
      <c r="G78" t="inlineStr">
        <is>
          <t>uint8_t</t>
        </is>
      </c>
      <c r="H78">
        <f>_DestuffedBits!C824*1</f>
        <v/>
      </c>
      <c r="I78">
        <f>H78</f>
        <v/>
      </c>
      <c r="J78">
        <f>IF(H78=0,"no error ; 1: error",H78&amp;" (unlisted)")</f>
        <v/>
      </c>
      <c r="K78" s="2" t="inlineStr">
        <is>
          <t>0: no error ; 1: error</t>
        </is>
      </c>
    </row>
    <row r="79">
      <c r="A79" t="n">
        <v>77</v>
      </c>
      <c r="B79" t="inlineStr">
        <is>
          <t>ADCS</t>
        </is>
      </c>
      <c r="C79" t="inlineStr">
        <is>
          <t>ADCS Cam2 Sensor Detection</t>
        </is>
      </c>
      <c r="D79" t="n">
        <v>695</v>
      </c>
      <c r="E79" t="n">
        <v>1</v>
      </c>
      <c r="F79" t="inlineStr">
        <is>
          <t>LE</t>
        </is>
      </c>
      <c r="G79" t="inlineStr">
        <is>
          <t>uint8_t</t>
        </is>
      </c>
      <c r="H79">
        <f>_DestuffedBits!C825*1</f>
        <v/>
      </c>
      <c r="I79">
        <f>H79</f>
        <v/>
      </c>
      <c r="J79">
        <f>IF(H79=0,"no error ; 1: error",H79&amp;" (unlisted)")</f>
        <v/>
      </c>
      <c r="K79" s="2" t="inlineStr">
        <is>
          <t>0: no error ; 1: error</t>
        </is>
      </c>
    </row>
    <row r="80">
      <c r="A80" t="n">
        <v>78</v>
      </c>
      <c r="B80" t="inlineStr">
        <is>
          <t>ADCS</t>
        </is>
      </c>
      <c r="C80" t="inlineStr">
        <is>
          <t>ADCS Magnetometer Range</t>
        </is>
      </c>
      <c r="D80" t="n">
        <v>696</v>
      </c>
      <c r="E80" t="n">
        <v>1</v>
      </c>
      <c r="F80" t="inlineStr">
        <is>
          <t>LE</t>
        </is>
      </c>
      <c r="G80" t="inlineStr">
        <is>
          <t>uint8_t</t>
        </is>
      </c>
      <c r="H80">
        <f>_DestuffedBits!C826*1</f>
        <v/>
      </c>
      <c r="I80">
        <f>H80</f>
        <v/>
      </c>
      <c r="J80">
        <f>IF(H80=0,"no error ; 1: error",H80&amp;" (unlisted)")</f>
        <v/>
      </c>
      <c r="K80" s="2" t="inlineStr">
        <is>
          <t>0: no error ; 1: error</t>
        </is>
      </c>
    </row>
    <row r="81">
      <c r="A81" t="n">
        <v>79</v>
      </c>
      <c r="B81" t="inlineStr">
        <is>
          <t>ADCS</t>
        </is>
      </c>
      <c r="C81" t="inlineStr">
        <is>
          <t>ADCS Sun Sensor Range</t>
        </is>
      </c>
      <c r="D81" t="n">
        <v>697</v>
      </c>
      <c r="E81" t="n">
        <v>1</v>
      </c>
      <c r="F81" t="inlineStr">
        <is>
          <t>LE</t>
        </is>
      </c>
      <c r="G81" t="inlineStr">
        <is>
          <t>uint8_t</t>
        </is>
      </c>
      <c r="H81">
        <f>_DestuffedBits!C827*1</f>
        <v/>
      </c>
      <c r="I81">
        <f>H81</f>
        <v/>
      </c>
      <c r="J81">
        <f>IF(H81=0,"no error ; 1: error",H81&amp;" (unlisted)")</f>
        <v/>
      </c>
      <c r="K81" s="2" t="inlineStr">
        <is>
          <t>0: no error ; 1: error</t>
        </is>
      </c>
    </row>
    <row r="82">
      <c r="A82" t="n">
        <v>80</v>
      </c>
      <c r="B82" t="inlineStr">
        <is>
          <t>ADCS</t>
        </is>
      </c>
      <c r="C82" t="inlineStr">
        <is>
          <t>ADCS Nadir Sensor Range</t>
        </is>
      </c>
      <c r="D82" t="n">
        <v>698</v>
      </c>
      <c r="E82" t="n">
        <v>1</v>
      </c>
      <c r="F82" t="inlineStr">
        <is>
          <t>LE</t>
        </is>
      </c>
      <c r="G82" t="inlineStr">
        <is>
          <t>uint8_t</t>
        </is>
      </c>
      <c r="H82">
        <f>_DestuffedBits!C828*1</f>
        <v/>
      </c>
      <c r="I82">
        <f>H82</f>
        <v/>
      </c>
      <c r="J82">
        <f>IF(H82=0,"no error ; 1: error",H82&amp;" (unlisted)")</f>
        <v/>
      </c>
      <c r="K82" s="2" t="inlineStr">
        <is>
          <t>0: no error ; 1: error</t>
        </is>
      </c>
    </row>
    <row r="83">
      <c r="A83" t="n">
        <v>81</v>
      </c>
      <c r="B83" t="inlineStr">
        <is>
          <t>ADCS</t>
        </is>
      </c>
      <c r="C83" t="inlineStr">
        <is>
          <t>ADCS Rate Sensor Range</t>
        </is>
      </c>
      <c r="D83" t="n">
        <v>699</v>
      </c>
      <c r="E83" t="n">
        <v>1</v>
      </c>
      <c r="F83" t="inlineStr">
        <is>
          <t>LE</t>
        </is>
      </c>
      <c r="G83" t="inlineStr">
        <is>
          <t>uint8_t</t>
        </is>
      </c>
      <c r="H83">
        <f>_DestuffedBits!C829*1</f>
        <v/>
      </c>
      <c r="I83">
        <f>H83</f>
        <v/>
      </c>
      <c r="J83">
        <f>IF(H83=0,"no error ; 1: error",H83&amp;" (unlisted)")</f>
        <v/>
      </c>
      <c r="K83" s="2" t="inlineStr">
        <is>
          <t>0: no error ; 1: error</t>
        </is>
      </c>
    </row>
    <row r="84">
      <c r="A84" t="n">
        <v>82</v>
      </c>
      <c r="B84" t="inlineStr">
        <is>
          <t>ADCS</t>
        </is>
      </c>
      <c r="C84" t="inlineStr">
        <is>
          <t>ADCS Wheel Speed Range</t>
        </is>
      </c>
      <c r="D84" t="n">
        <v>700</v>
      </c>
      <c r="E84" t="n">
        <v>1</v>
      </c>
      <c r="F84" t="inlineStr">
        <is>
          <t>LE</t>
        </is>
      </c>
      <c r="G84" t="inlineStr">
        <is>
          <t>uint8_t</t>
        </is>
      </c>
      <c r="H84">
        <f>_DestuffedBits!C830*1</f>
        <v/>
      </c>
      <c r="I84">
        <f>H84</f>
        <v/>
      </c>
      <c r="J84">
        <f>IF(H84=0,"no error ; 1: error",H84&amp;" (unlisted)")</f>
        <v/>
      </c>
      <c r="K84" s="2" t="inlineStr">
        <is>
          <t>0: no error ; 1: error</t>
        </is>
      </c>
    </row>
    <row r="85">
      <c r="A85" t="n">
        <v>83</v>
      </c>
      <c r="B85" t="inlineStr">
        <is>
          <t>ADCS</t>
        </is>
      </c>
      <c r="C85" t="inlineStr">
        <is>
          <t>ADCS Coarse Sun Sensor</t>
        </is>
      </c>
      <c r="D85" t="n">
        <v>701</v>
      </c>
      <c r="E85" t="n">
        <v>1</v>
      </c>
      <c r="F85" t="inlineStr">
        <is>
          <t>LE</t>
        </is>
      </c>
      <c r="G85" t="inlineStr">
        <is>
          <t>uint8_t</t>
        </is>
      </c>
      <c r="H85">
        <f>_DestuffedBits!C831*1</f>
        <v/>
      </c>
      <c r="I85">
        <f>H85</f>
        <v/>
      </c>
      <c r="J85">
        <f>IF(H85=0,"no error ; 1: error",H85&amp;" (unlisted)")</f>
        <v/>
      </c>
      <c r="K85" s="2" t="inlineStr">
        <is>
          <t>0: no error ; 1: error</t>
        </is>
      </c>
    </row>
    <row r="86">
      <c r="A86" t="n">
        <v>84</v>
      </c>
      <c r="B86" t="inlineStr">
        <is>
          <t>ADCS</t>
        </is>
      </c>
      <c r="C86" t="inlineStr">
        <is>
          <t>ADCS StarTracker Match</t>
        </is>
      </c>
      <c r="D86" t="n">
        <v>702</v>
      </c>
      <c r="E86" t="n">
        <v>1</v>
      </c>
      <c r="F86" t="inlineStr">
        <is>
          <t>LE</t>
        </is>
      </c>
      <c r="G86" t="inlineStr">
        <is>
          <t>uint8_t</t>
        </is>
      </c>
      <c r="H86">
        <f>_DestuffedBits!C832*1</f>
        <v/>
      </c>
      <c r="I86">
        <f>H86</f>
        <v/>
      </c>
      <c r="J86">
        <f>IF(H86=0,"no error ; 1: error",H86&amp;" (unlisted)")</f>
        <v/>
      </c>
      <c r="K86" s="2" t="inlineStr">
        <is>
          <t>0: no error ; 1: error</t>
        </is>
      </c>
    </row>
    <row r="87">
      <c r="A87" t="n">
        <v>85</v>
      </c>
      <c r="B87" t="inlineStr">
        <is>
          <t>ADCS</t>
        </is>
      </c>
      <c r="C87" t="inlineStr">
        <is>
          <t>ADCS Star Tracker Overcurrent Detected</t>
        </is>
      </c>
      <c r="D87" t="n">
        <v>703</v>
      </c>
      <c r="E87" t="n">
        <v>1</v>
      </c>
      <c r="F87" t="inlineStr">
        <is>
          <t>LE</t>
        </is>
      </c>
      <c r="G87" t="inlineStr">
        <is>
          <t>uint8_t</t>
        </is>
      </c>
      <c r="H87">
        <f>_DestuffedBits!C833*1</f>
        <v/>
      </c>
      <c r="I87">
        <f>H87</f>
        <v/>
      </c>
      <c r="J87">
        <f>IF(H87=0,"no error ; 1: error",H87&amp;" (unlisted)")</f>
        <v/>
      </c>
      <c r="K87" s="2" t="inlineStr">
        <is>
          <t>0: no error ; 1: error</t>
        </is>
      </c>
    </row>
    <row r="88">
      <c r="A88" t="n">
        <v>86</v>
      </c>
      <c r="B88" t="inlineStr">
        <is>
          <t>ADCS</t>
        </is>
      </c>
      <c r="C88" t="inlineStr">
        <is>
          <t>ADCS ECI referenced X coordinate</t>
        </is>
      </c>
      <c r="D88" t="n">
        <v>704</v>
      </c>
      <c r="E88" t="n">
        <v>16</v>
      </c>
      <c r="F88" t="inlineStr">
        <is>
          <t>LE</t>
        </is>
      </c>
      <c r="G88" t="inlineStr">
        <is>
          <t>int16_t</t>
        </is>
      </c>
      <c r="H88">
        <f>_DestuffedBits!C834*128+_DestuffedBits!C835*64+_DestuffedBits!C836*32+_DestuffedBits!C837*16+_DestuffedBits!C838*8+_DestuffedBits!C839*4+_DestuffedBits!C840*2+_DestuffedBits!C841*1+_DestuffedBits!C842*32768+_DestuffedBits!C843*16384+_DestuffedBits!C844*8192+_DestuffedBits!C845*4096+_DestuffedBits!C846*2048+_DestuffedBits!C847*1024+_DestuffedBits!C848*512+_DestuffedBits!C849*256</f>
        <v/>
      </c>
      <c r="I88">
        <f>IF(H88&gt;=32768,H88-65536,H88)</f>
        <v/>
      </c>
      <c r="J88">
        <f>I88</f>
        <v/>
      </c>
      <c r="K88" s="2" t="inlineStr">
        <is>
          <t>-</t>
        </is>
      </c>
    </row>
    <row r="89">
      <c r="A89" t="n">
        <v>87</v>
      </c>
      <c r="B89" t="inlineStr">
        <is>
          <t>ADCS</t>
        </is>
      </c>
      <c r="C89" t="inlineStr">
        <is>
          <t>ADCS ECI referenced Y coordinate</t>
        </is>
      </c>
      <c r="D89" t="n">
        <v>720</v>
      </c>
      <c r="E89" t="n">
        <v>16</v>
      </c>
      <c r="F89" t="inlineStr">
        <is>
          <t>LE</t>
        </is>
      </c>
      <c r="G89" t="inlineStr">
        <is>
          <t>int16_t</t>
        </is>
      </c>
      <c r="H89">
        <f>_DestuffedBits!C850*128+_DestuffedBits!C851*64+_DestuffedBits!C852*32+_DestuffedBits!C853*16+_DestuffedBits!C854*8+_DestuffedBits!C855*4+_DestuffedBits!C856*2+_DestuffedBits!C857*1+_DestuffedBits!C858*32768+_DestuffedBits!C859*16384+_DestuffedBits!C860*8192+_DestuffedBits!C861*4096+_DestuffedBits!C862*2048+_DestuffedBits!C863*1024+_DestuffedBits!C864*512+_DestuffedBits!C865*256</f>
        <v/>
      </c>
      <c r="I89">
        <f>IF(H89&gt;=32768,H89-65536,H89)</f>
        <v/>
      </c>
      <c r="J89">
        <f>I89</f>
        <v/>
      </c>
      <c r="K89" s="2" t="inlineStr">
        <is>
          <t>-</t>
        </is>
      </c>
    </row>
    <row r="90">
      <c r="A90" t="n">
        <v>88</v>
      </c>
      <c r="B90" t="inlineStr">
        <is>
          <t>ADCS</t>
        </is>
      </c>
      <c r="C90" t="inlineStr">
        <is>
          <t>ADCS ECI referenced Z coordinate</t>
        </is>
      </c>
      <c r="D90" t="n">
        <v>736</v>
      </c>
      <c r="E90" t="n">
        <v>16</v>
      </c>
      <c r="F90" t="inlineStr">
        <is>
          <t>LE</t>
        </is>
      </c>
      <c r="G90" t="inlineStr">
        <is>
          <t>int16_t</t>
        </is>
      </c>
      <c r="H90">
        <f>_DestuffedBits!C866*128+_DestuffedBits!C867*64+_DestuffedBits!C868*32+_DestuffedBits!C869*16+_DestuffedBits!C870*8+_DestuffedBits!C871*4+_DestuffedBits!C872*2+_DestuffedBits!C873*1+_DestuffedBits!C874*32768+_DestuffedBits!C875*16384+_DestuffedBits!C876*8192+_DestuffedBits!C877*4096+_DestuffedBits!C878*2048+_DestuffedBits!C879*1024+_DestuffedBits!C880*512+_DestuffedBits!C881*256</f>
        <v/>
      </c>
      <c r="I90">
        <f>IF(H90&gt;=32768,H90-65536,H90)</f>
        <v/>
      </c>
      <c r="J90">
        <f>I90</f>
        <v/>
      </c>
      <c r="K90" s="2" t="inlineStr">
        <is>
          <t>-</t>
        </is>
      </c>
    </row>
    <row r="91">
      <c r="A91" t="n">
        <v>89</v>
      </c>
      <c r="B91" t="inlineStr">
        <is>
          <t>ADCS</t>
        </is>
      </c>
      <c r="C91" t="inlineStr">
        <is>
          <t>ADCS X Angular Rate</t>
        </is>
      </c>
      <c r="D91" t="n">
        <v>752</v>
      </c>
      <c r="E91" t="n">
        <v>16</v>
      </c>
      <c r="F91" t="inlineStr">
        <is>
          <t>LE</t>
        </is>
      </c>
      <c r="G91" t="inlineStr">
        <is>
          <t>int16_t</t>
        </is>
      </c>
      <c r="H91">
        <f>_DestuffedBits!C882*128+_DestuffedBits!C883*64+_DestuffedBits!C884*32+_DestuffedBits!C885*16+_DestuffedBits!C886*8+_DestuffedBits!C887*4+_DestuffedBits!C888*2+_DestuffedBits!C889*1+_DestuffedBits!C890*32768+_DestuffedBits!C891*16384+_DestuffedBits!C892*8192+_DestuffedBits!C893*4096+_DestuffedBits!C894*2048+_DestuffedBits!C895*1024+_DestuffedBits!C896*512+_DestuffedBits!C897*256</f>
        <v/>
      </c>
      <c r="I91">
        <f>IF(H91&gt;=32768,H91-65536,H91)</f>
        <v/>
      </c>
      <c r="J91">
        <f>ROUND(I91*0.01,4)&amp;" deg/s"</f>
        <v/>
      </c>
      <c r="K91" s="2" t="inlineStr">
        <is>
          <t>transform:ADCS Rate Sensor Rates {'scale': 0.01, 'unit': 'deg/s'}</t>
        </is>
      </c>
    </row>
    <row r="92">
      <c r="A92" t="n">
        <v>90</v>
      </c>
      <c r="B92" t="inlineStr">
        <is>
          <t>ADCS</t>
        </is>
      </c>
      <c r="C92" t="inlineStr">
        <is>
          <t>ADCS Y Angular Rate</t>
        </is>
      </c>
      <c r="D92" t="n">
        <v>768</v>
      </c>
      <c r="E92" t="n">
        <v>16</v>
      </c>
      <c r="F92" t="inlineStr">
        <is>
          <t>LE</t>
        </is>
      </c>
      <c r="G92" t="inlineStr">
        <is>
          <t>int16_t</t>
        </is>
      </c>
      <c r="H92">
        <f>_DestuffedBits!C898*128+_DestuffedBits!C899*64+_DestuffedBits!C900*32+_DestuffedBits!C901*16+_DestuffedBits!C902*8+_DestuffedBits!C903*4+_DestuffedBits!C904*2+_DestuffedBits!C905*1+_DestuffedBits!C906*32768+_DestuffedBits!C907*16384+_DestuffedBits!C908*8192+_DestuffedBits!C909*4096+_DestuffedBits!C910*2048+_DestuffedBits!C911*1024+_DestuffedBits!C912*512+_DestuffedBits!C913*256</f>
        <v/>
      </c>
      <c r="I92">
        <f>IF(H92&gt;=32768,H92-65536,H92)</f>
        <v/>
      </c>
      <c r="J92">
        <f>ROUND(I92*0.01,4)&amp;" deg/s"</f>
        <v/>
      </c>
      <c r="K92" s="2" t="inlineStr">
        <is>
          <t>transform:ADCS Rate Sensor Rates {'scale': 0.01, 'unit': 'deg/s'}</t>
        </is>
      </c>
    </row>
    <row r="93">
      <c r="A93" t="n">
        <v>91</v>
      </c>
      <c r="B93" t="inlineStr">
        <is>
          <t>ADCS</t>
        </is>
      </c>
      <c r="C93" t="inlineStr">
        <is>
          <t>ADCS Z Angular Rate</t>
        </is>
      </c>
      <c r="D93" t="n">
        <v>784</v>
      </c>
      <c r="E93" t="n">
        <v>16</v>
      </c>
      <c r="F93" t="inlineStr">
        <is>
          <t>LE</t>
        </is>
      </c>
      <c r="G93" t="inlineStr">
        <is>
          <t>int16_t</t>
        </is>
      </c>
      <c r="H93">
        <f>_DestuffedBits!C914*128+_DestuffedBits!C915*64+_DestuffedBits!C916*32+_DestuffedBits!C917*16+_DestuffedBits!C918*8+_DestuffedBits!C919*4+_DestuffedBits!C920*2+_DestuffedBits!C921*1+_DestuffedBits!C922*32768+_DestuffedBits!C923*16384+_DestuffedBits!C924*8192+_DestuffedBits!C925*4096+_DestuffedBits!C926*2048+_DestuffedBits!C927*1024+_DestuffedBits!C928*512+_DestuffedBits!C929*256</f>
        <v/>
      </c>
      <c r="I93">
        <f>IF(H93&gt;=32768,H93-65536,H93)</f>
        <v/>
      </c>
      <c r="J93">
        <f>ROUND(I93*0.01,4)&amp;" deg/s"</f>
        <v/>
      </c>
      <c r="K93" s="2" t="inlineStr">
        <is>
          <t>transform:ADCS Rate Sensor Rates {'scale': 0.01, 'unit': 'deg/s'}</t>
        </is>
      </c>
    </row>
    <row r="94">
      <c r="A94" t="n">
        <v>92</v>
      </c>
      <c r="B94" t="inlineStr">
        <is>
          <t>ADCS</t>
        </is>
      </c>
      <c r="C94" t="inlineStr">
        <is>
          <t>ADCS Estimated X angular rate</t>
        </is>
      </c>
      <c r="D94" t="n">
        <v>800</v>
      </c>
      <c r="E94" t="n">
        <v>16</v>
      </c>
      <c r="F94" t="inlineStr">
        <is>
          <t>LE</t>
        </is>
      </c>
      <c r="G94" t="inlineStr">
        <is>
          <t>int16_t</t>
        </is>
      </c>
      <c r="H94">
        <f>_DestuffedBits!C930*128+_DestuffedBits!C931*64+_DestuffedBits!C932*32+_DestuffedBits!C933*16+_DestuffedBits!C934*8+_DestuffedBits!C935*4+_DestuffedBits!C936*2+_DestuffedBits!C937*1+_DestuffedBits!C938*32768+_DestuffedBits!C939*16384+_DestuffedBits!C940*8192+_DestuffedBits!C941*4096+_DestuffedBits!C942*2048+_DestuffedBits!C943*1024+_DestuffedBits!C944*512+_DestuffedBits!C945*256</f>
        <v/>
      </c>
      <c r="I94">
        <f>IF(H94&gt;=32768,H94-65536,H94)</f>
        <v/>
      </c>
      <c r="J94">
        <f>I94</f>
        <v/>
      </c>
      <c r="K94" s="2" t="inlineStr">
        <is>
          <t>-</t>
        </is>
      </c>
    </row>
    <row r="95">
      <c r="A95" t="n">
        <v>93</v>
      </c>
      <c r="B95" t="inlineStr">
        <is>
          <t>ADCS</t>
        </is>
      </c>
      <c r="C95" t="inlineStr">
        <is>
          <t>ADCS Estimated Y angular rate</t>
        </is>
      </c>
      <c r="D95" t="n">
        <v>816</v>
      </c>
      <c r="E95" t="n">
        <v>16</v>
      </c>
      <c r="F95" t="inlineStr">
        <is>
          <t>LE</t>
        </is>
      </c>
      <c r="G95" t="inlineStr">
        <is>
          <t>int16_t</t>
        </is>
      </c>
      <c r="H95">
        <f>_DestuffedBits!C946*128+_DestuffedBits!C947*64+_DestuffedBits!C948*32+_DestuffedBits!C949*16+_DestuffedBits!C950*8+_DestuffedBits!C951*4+_DestuffedBits!C952*2+_DestuffedBits!C953*1+_DestuffedBits!C954*32768+_DestuffedBits!C955*16384+_DestuffedBits!C956*8192+_DestuffedBits!C957*4096+_DestuffedBits!C958*2048+_DestuffedBits!C959*1024+_DestuffedBits!C960*512+_DestuffedBits!C961*256</f>
        <v/>
      </c>
      <c r="I95">
        <f>IF(H95&gt;=32768,H95-65536,H95)</f>
        <v/>
      </c>
      <c r="J95">
        <f>I95</f>
        <v/>
      </c>
      <c r="K95" s="2" t="inlineStr">
        <is>
          <t>-</t>
        </is>
      </c>
    </row>
    <row r="96">
      <c r="A96" t="n">
        <v>94</v>
      </c>
      <c r="B96" t="inlineStr">
        <is>
          <t>ADCS</t>
        </is>
      </c>
      <c r="C96" t="inlineStr">
        <is>
          <t>ADCS Estimated Z angular rate</t>
        </is>
      </c>
      <c r="D96" t="n">
        <v>832</v>
      </c>
      <c r="E96" t="n">
        <v>16</v>
      </c>
      <c r="F96" t="inlineStr">
        <is>
          <t>LE</t>
        </is>
      </c>
      <c r="G96" t="inlineStr">
        <is>
          <t>int16_t</t>
        </is>
      </c>
      <c r="H96">
        <f>_DestuffedBits!C962*128+_DestuffedBits!C963*64+_DestuffedBits!C964*32+_DestuffedBits!C965*16+_DestuffedBits!C966*8+_DestuffedBits!C967*4+_DestuffedBits!C968*2+_DestuffedBits!C969*1+_DestuffedBits!C970*32768+_DestuffedBits!C971*16384+_DestuffedBits!C972*8192+_DestuffedBits!C973*4096+_DestuffedBits!C974*2048+_DestuffedBits!C975*1024+_DestuffedBits!C976*512+_DestuffedBits!C977*256</f>
        <v/>
      </c>
      <c r="I96">
        <f>IF(H96&gt;=32768,H96-65536,H96)</f>
        <v/>
      </c>
      <c r="J96">
        <f>I96</f>
        <v/>
      </c>
      <c r="K96" s="2" t="inlineStr">
        <is>
          <t>-</t>
        </is>
      </c>
    </row>
    <row r="97">
      <c r="A97" t="n">
        <v>95</v>
      </c>
      <c r="B97" t="inlineStr">
        <is>
          <t>ADCS</t>
        </is>
      </c>
      <c r="C97" t="inlineStr">
        <is>
          <t>ADCS Current steps</t>
        </is>
      </c>
      <c r="D97" t="n">
        <v>848</v>
      </c>
      <c r="E97" t="n">
        <v>4</v>
      </c>
      <c r="F97" t="inlineStr">
        <is>
          <t>LE</t>
        </is>
      </c>
      <c r="G97" t="inlineStr">
        <is>
          <t>uint8_t</t>
        </is>
      </c>
      <c r="H97">
        <f>_DestuffedBits!C978*8+_DestuffedBits!C979*4+_DestuffedBits!C980*2+_DestuffedBits!C981*1</f>
        <v/>
      </c>
      <c r="I97">
        <f>H97</f>
        <v/>
      </c>
      <c r="J97">
        <f>IF(H97=0,"Initial Angular Rate Estimation",IF(H97=1,"Detumbling",IF(H97=10,"Magnetometer Deployment",IF(H97=11,"Magnetometer Calibration",IF(H97=100,"XYZ reaction wheel control",IF(H97=101,"Sun/Nadir Sensor Commissioning",IF(H97=110,"CubeStar Commissioning",IF(H97=111,"Sun Tracking 3-Axis Control",IF(H97=1000,"Ground Target Tracking Controller",IF(H97=1001,"None, all finished",H97&amp;" (unlisted)"))))))))))</f>
        <v/>
      </c>
      <c r="K97" s="2" t="inlineStr">
        <is>
          <t>0000: Initial Angular Rate Estimation / 0001: Detumbling / 0010: Magnetometer Deployment / 0011: Magnetometer Calibration / 0100: XYZ reaction wheel control / 0101: Sun/Nadir Sensor Commissioning / 0110: CubeStar Commissioning / 0111: Sun Tracking 3-Axis Control / 1000: Ground Target Tracking Controller / 1001: None, all finished</t>
        </is>
      </c>
    </row>
    <row r="98">
      <c r="A98" t="n">
        <v>96</v>
      </c>
      <c r="B98" t="inlineStr">
        <is>
          <t>ADCS</t>
        </is>
      </c>
      <c r="C98" t="inlineStr">
        <is>
          <t>(reserved)</t>
        </is>
      </c>
      <c r="D98" t="n">
        <v>852</v>
      </c>
      <c r="E98" t="n">
        <v>4</v>
      </c>
      <c r="F98" t="inlineStr">
        <is>
          <t>LE</t>
        </is>
      </c>
      <c r="G98" t="inlineStr">
        <is>
          <t>uint8_t</t>
        </is>
      </c>
      <c r="H98">
        <f>_DestuffedBits!C982*8+_DestuffedBits!C983*4+_DestuffedBits!C984*2+_DestuffedBits!C985*1</f>
        <v/>
      </c>
      <c r="I98">
        <f>H98</f>
        <v/>
      </c>
      <c r="J98">
        <f>I98</f>
        <v/>
      </c>
      <c r="K98" s="2" t="inlineStr">
        <is>
          <t>-</t>
        </is>
      </c>
    </row>
    <row r="99">
      <c r="A99" t="n">
        <v>97</v>
      </c>
      <c r="B99" t="inlineStr">
        <is>
          <t>ADCS</t>
        </is>
      </c>
      <c r="C99" t="inlineStr">
        <is>
          <t>ADCS Sun Vector X</t>
        </is>
      </c>
      <c r="D99" t="n">
        <v>856</v>
      </c>
      <c r="E99" t="n">
        <v>16</v>
      </c>
      <c r="F99" t="inlineStr">
        <is>
          <t>LE</t>
        </is>
      </c>
      <c r="G99" t="inlineStr">
        <is>
          <t>int16_t</t>
        </is>
      </c>
      <c r="H99">
        <f>_DestuffedBits!C986*128+_DestuffedBits!C987*64+_DestuffedBits!C988*32+_DestuffedBits!C989*16+_DestuffedBits!C990*8+_DestuffedBits!C991*4+_DestuffedBits!C992*2+_DestuffedBits!C993*1+_DestuffedBits!C994*32768+_DestuffedBits!C995*16384+_DestuffedBits!C996*8192+_DestuffedBits!C997*4096+_DestuffedBits!C998*2048+_DestuffedBits!C999*1024+_DestuffedBits!C1000*512+_DestuffedBits!C1001*256</f>
        <v/>
      </c>
      <c r="I99">
        <f>IF(H99&gt;=32768,H99-65536,H99)</f>
        <v/>
      </c>
      <c r="J99">
        <f>I99</f>
        <v/>
      </c>
      <c r="K99" s="2" t="inlineStr">
        <is>
          <t>-</t>
        </is>
      </c>
    </row>
    <row r="100">
      <c r="A100" t="n">
        <v>98</v>
      </c>
      <c r="B100" t="inlineStr">
        <is>
          <t>ADCS</t>
        </is>
      </c>
      <c r="C100" t="inlineStr">
        <is>
          <t>ADCS Sun Vector Y</t>
        </is>
      </c>
      <c r="D100" t="n">
        <v>872</v>
      </c>
      <c r="E100" t="n">
        <v>16</v>
      </c>
      <c r="F100" t="inlineStr">
        <is>
          <t>LE</t>
        </is>
      </c>
      <c r="G100" t="inlineStr">
        <is>
          <t>int16_t</t>
        </is>
      </c>
      <c r="H100">
        <f>_DestuffedBits!C1002*128+_DestuffedBits!C1003*64+_DestuffedBits!C1004*32+_DestuffedBits!C1005*16+_DestuffedBits!C1006*8+_DestuffedBits!C1007*4+_DestuffedBits!C1008*2+_DestuffedBits!C1009*1+_DestuffedBits!C1010*32768+_DestuffedBits!C1011*16384+_DestuffedBits!C1012*8192+_DestuffedBits!C1013*4096+_DestuffedBits!C1014*2048+_DestuffedBits!C1015*1024+_DestuffedBits!C1016*512+_DestuffedBits!C1017*256</f>
        <v/>
      </c>
      <c r="I100">
        <f>IF(H100&gt;=32768,H100-65536,H100)</f>
        <v/>
      </c>
      <c r="J100">
        <f>I100</f>
        <v/>
      </c>
      <c r="K100" s="2" t="inlineStr">
        <is>
          <t>-</t>
        </is>
      </c>
    </row>
    <row r="101">
      <c r="A101" t="n">
        <v>99</v>
      </c>
      <c r="B101" t="inlineStr">
        <is>
          <t>ADCS</t>
        </is>
      </c>
      <c r="C101" t="inlineStr">
        <is>
          <t>ADCS Sun Vector Z</t>
        </is>
      </c>
      <c r="D101" t="n">
        <v>888</v>
      </c>
      <c r="E101" t="n">
        <v>16</v>
      </c>
      <c r="F101" t="inlineStr">
        <is>
          <t>LE</t>
        </is>
      </c>
      <c r="G101" t="inlineStr">
        <is>
          <t>int16_t</t>
        </is>
      </c>
      <c r="H101">
        <f>_DestuffedBits!C1018*128+_DestuffedBits!C1019*64+_DestuffedBits!C1020*32+_DestuffedBits!C1021*16+_DestuffedBits!C1022*8+_DestuffedBits!C1023*4+_DestuffedBits!C1024*2+_DestuffedBits!C1025*1+_DestuffedBits!C1026*32768+_DestuffedBits!C1027*16384+_DestuffedBits!C1028*8192+_DestuffedBits!C1029*4096+_DestuffedBits!C1030*2048+_DestuffedBits!C1031*1024+_DestuffedBits!C1032*512+_DestuffedBits!C1033*256</f>
        <v/>
      </c>
      <c r="I101">
        <f>IF(H101&gt;=32768,H101-65536,H101)</f>
        <v/>
      </c>
      <c r="J101">
        <f>I101</f>
        <v/>
      </c>
      <c r="K101" s="2" t="inlineStr">
        <is>
          <t>-</t>
        </is>
      </c>
    </row>
    <row r="102">
      <c r="A102" t="n">
        <v>100</v>
      </c>
      <c r="B102" t="inlineStr">
        <is>
          <t>ADCS</t>
        </is>
      </c>
      <c r="C102" t="inlineStr">
        <is>
          <t>ADCS Telecommand counter</t>
        </is>
      </c>
      <c r="D102" t="n">
        <v>904</v>
      </c>
      <c r="E102" t="n">
        <v>16</v>
      </c>
      <c r="F102" t="inlineStr">
        <is>
          <t>LE</t>
        </is>
      </c>
      <c r="G102" t="inlineStr">
        <is>
          <t>uint16_t</t>
        </is>
      </c>
      <c r="H102">
        <f>_DestuffedBits!C1034*128+_DestuffedBits!C1035*64+_DestuffedBits!C1036*32+_DestuffedBits!C1037*16+_DestuffedBits!C1038*8+_DestuffedBits!C1039*4+_DestuffedBits!C1040*2+_DestuffedBits!C1041*1+_DestuffedBits!C1042*32768+_DestuffedBits!C1043*16384+_DestuffedBits!C1044*8192+_DestuffedBits!C1045*4096+_DestuffedBits!C1046*2048+_DestuffedBits!C1047*1024+_DestuffedBits!C1048*512+_DestuffedBits!C1049*256</f>
        <v/>
      </c>
      <c r="I102">
        <f>H102</f>
        <v/>
      </c>
      <c r="J102">
        <f>I102</f>
        <v/>
      </c>
      <c r="K102" s="2" t="inlineStr">
        <is>
          <t>-</t>
        </is>
      </c>
    </row>
    <row r="103">
      <c r="A103" t="n">
        <v>101</v>
      </c>
      <c r="B103" t="inlineStr">
        <is>
          <t>ADCS</t>
        </is>
      </c>
      <c r="C103" t="inlineStr">
        <is>
          <t>ADCS Telemetry request counter</t>
        </is>
      </c>
      <c r="D103" t="n">
        <v>920</v>
      </c>
      <c r="E103" t="n">
        <v>16</v>
      </c>
      <c r="F103" t="inlineStr">
        <is>
          <t>LE</t>
        </is>
      </c>
      <c r="G103" t="inlineStr">
        <is>
          <t>uint16_t</t>
        </is>
      </c>
      <c r="H103">
        <f>_DestuffedBits!C1050*128+_DestuffedBits!C1051*64+_DestuffedBits!C1052*32+_DestuffedBits!C1053*16+_DestuffedBits!C1054*8+_DestuffedBits!C1055*4+_DestuffedBits!C1056*2+_DestuffedBits!C1057*1+_DestuffedBits!C1058*32768+_DestuffedBits!C1059*16384+_DestuffedBits!C1060*8192+_DestuffedBits!C1061*4096+_DestuffedBits!C1062*2048+_DestuffedBits!C1063*1024+_DestuffedBits!C1064*512+_DestuffedBits!C1065*256</f>
        <v/>
      </c>
      <c r="I103">
        <f>H103</f>
        <v/>
      </c>
      <c r="J103">
        <f>I103</f>
        <v/>
      </c>
      <c r="K103" s="2" t="inlineStr">
        <is>
          <t>-</t>
        </is>
      </c>
    </row>
    <row r="104">
      <c r="A104" t="n">
        <v>102</v>
      </c>
      <c r="B104" t="inlineStr">
        <is>
          <t>ADCS</t>
        </is>
      </c>
      <c r="C104" t="inlineStr">
        <is>
          <t>ADCS Last TC ID</t>
        </is>
      </c>
      <c r="D104" t="n">
        <v>936</v>
      </c>
      <c r="E104" t="n">
        <v>8</v>
      </c>
      <c r="F104" t="inlineStr">
        <is>
          <t>LE</t>
        </is>
      </c>
      <c r="G104" t="inlineStr">
        <is>
          <t>uint8_t</t>
        </is>
      </c>
      <c r="H104">
        <f>_DestuffedBits!C1066*128+_DestuffedBits!C1067*64+_DestuffedBits!C1068*32+_DestuffedBits!C1069*16+_DestuffedBits!C1070*8+_DestuffedBits!C1071*4+_DestuffedBits!C1072*2+_DestuffedBits!C1073*1</f>
        <v/>
      </c>
      <c r="I104">
        <f>H104</f>
        <v/>
      </c>
      <c r="J104">
        <f>I104</f>
        <v/>
      </c>
      <c r="K104" s="2" t="inlineStr">
        <is>
          <t>-</t>
        </is>
      </c>
    </row>
    <row r="105">
      <c r="A105" t="n">
        <v>103</v>
      </c>
      <c r="B105" t="inlineStr">
        <is>
          <t>ADCS</t>
        </is>
      </c>
      <c r="C105" t="inlineStr">
        <is>
          <t>ADCS Processed flag</t>
        </is>
      </c>
      <c r="D105" t="n">
        <v>944</v>
      </c>
      <c r="E105" t="n">
        <v>1</v>
      </c>
      <c r="F105" t="inlineStr">
        <is>
          <t>LE</t>
        </is>
      </c>
      <c r="G105" t="inlineStr">
        <is>
          <t>uint8_t</t>
        </is>
      </c>
      <c r="H105">
        <f>_DestuffedBits!C1074*1</f>
        <v/>
      </c>
      <c r="I105">
        <f>H105</f>
        <v/>
      </c>
      <c r="J105">
        <f>IF(H105=1,"has been processed  0 :  has NOT been processed",H105&amp;" (unlisted)")</f>
        <v/>
      </c>
      <c r="K105" s="2" t="inlineStr">
        <is>
          <t>1 :  has been processed  0 :  has NOT been processed</t>
        </is>
      </c>
    </row>
    <row r="106">
      <c r="A106" t="n">
        <v>104</v>
      </c>
      <c r="B106" t="inlineStr">
        <is>
          <t>ADCS</t>
        </is>
      </c>
      <c r="C106" t="inlineStr">
        <is>
          <t>ADCS TC error status</t>
        </is>
      </c>
      <c r="D106" t="n">
        <v>945</v>
      </c>
      <c r="E106" t="n">
        <v>4</v>
      </c>
      <c r="F106" t="inlineStr">
        <is>
          <t>LE</t>
        </is>
      </c>
      <c r="G106" t="inlineStr">
        <is>
          <t>uint8_t</t>
        </is>
      </c>
      <c r="H106">
        <f>_DestuffedBits!C1075*8+_DestuffedBits!C1076*4+_DestuffedBits!C1077*2+_DestuffedBits!C1078*1</f>
        <v/>
      </c>
      <c r="I106">
        <f>H106</f>
        <v/>
      </c>
      <c r="J106">
        <f>IF(H106=0,"No Error",IF(H106=1,"Invaild telecommand ID",IF(H106=2,"Incorrect TC parameter length",IF(H106=3,"Incorrect TC parameter value",IF(H106=4,"CRC check failed",H106&amp;" (unlisted)")))))</f>
        <v/>
      </c>
      <c r="K106" s="2" t="inlineStr">
        <is>
          <t>0:No Error / 1:Invaild telecommand ID / 2:Incorrect TC parameter length / 3:Incorrect TC parameter value / 4:CRC check failed /  (Table 39: Telecommand Acknowledge Telemetry Format)</t>
        </is>
      </c>
    </row>
    <row r="107">
      <c r="A107" t="n">
        <v>105</v>
      </c>
      <c r="B107" t="inlineStr">
        <is>
          <t>ADCS</t>
        </is>
      </c>
      <c r="C107" t="inlineStr">
        <is>
          <t>(reserved)</t>
        </is>
      </c>
      <c r="D107" t="n">
        <v>949</v>
      </c>
      <c r="E107" t="n">
        <v>3</v>
      </c>
      <c r="F107" t="inlineStr">
        <is>
          <t>BE</t>
        </is>
      </c>
      <c r="G107" t="inlineStr">
        <is>
          <t>uint8_t</t>
        </is>
      </c>
      <c r="H107">
        <f>_DestuffedBits!C1079*4+_DestuffedBits!C1080*2+_DestuffedBits!C1081*1</f>
        <v/>
      </c>
      <c r="I107">
        <f>H107</f>
        <v/>
      </c>
      <c r="J107">
        <f>I107</f>
        <v/>
      </c>
      <c r="K107" s="2" t="inlineStr">
        <is>
          <t>-</t>
        </is>
      </c>
    </row>
    <row r="108">
      <c r="A108" t="n">
        <v>106</v>
      </c>
      <c r="B108" t="inlineStr">
        <is>
          <t>ADCS</t>
        </is>
      </c>
      <c r="C108" t="inlineStr">
        <is>
          <t>ADCS TC parameter error index</t>
        </is>
      </c>
      <c r="D108" t="n">
        <v>952</v>
      </c>
      <c r="E108" t="n">
        <v>8</v>
      </c>
      <c r="F108" t="inlineStr">
        <is>
          <t>LE</t>
        </is>
      </c>
      <c r="G108" t="inlineStr">
        <is>
          <t>uint8_t</t>
        </is>
      </c>
      <c r="H108">
        <f>_DestuffedBits!C1082*128+_DestuffedBits!C1083*64+_DestuffedBits!C1084*32+_DestuffedBits!C1085*16+_DestuffedBits!C1086*8+_DestuffedBits!C1087*4+_DestuffedBits!C1088*2+_DestuffedBits!C1089*1</f>
        <v/>
      </c>
      <c r="I108">
        <f>H108</f>
        <v/>
      </c>
      <c r="J108">
        <f>I108</f>
        <v/>
      </c>
      <c r="K108" s="2" t="inlineStr">
        <is>
          <t>-</t>
        </is>
      </c>
    </row>
    <row r="109">
      <c r="A109" t="n">
        <v>107</v>
      </c>
      <c r="B109" t="inlineStr">
        <is>
          <t>ADCS</t>
        </is>
      </c>
      <c r="C109" t="inlineStr">
        <is>
          <t>ADCS  X Wheel Speed</t>
        </is>
      </c>
      <c r="D109" t="n">
        <v>960</v>
      </c>
      <c r="E109" t="n">
        <v>16</v>
      </c>
      <c r="F109" t="inlineStr">
        <is>
          <t>LE</t>
        </is>
      </c>
      <c r="G109" t="inlineStr">
        <is>
          <t>int16_t</t>
        </is>
      </c>
      <c r="H109">
        <f>_DestuffedBits!C1090*128+_DestuffedBits!C1091*64+_DestuffedBits!C1092*32+_DestuffedBits!C1093*16+_DestuffedBits!C1094*8+_DestuffedBits!C1095*4+_DestuffedBits!C1096*2+_DestuffedBits!C1097*1+_DestuffedBits!C1098*32768+_DestuffedBits!C1099*16384+_DestuffedBits!C1100*8192+_DestuffedBits!C1101*4096+_DestuffedBits!C1102*2048+_DestuffedBits!C1103*1024+_DestuffedBits!C1104*512+_DestuffedBits!C1105*256</f>
        <v/>
      </c>
      <c r="I109">
        <f>IF(H109&gt;=32768,H109-65536,H109)</f>
        <v/>
      </c>
      <c r="J109">
        <f>I109</f>
        <v/>
      </c>
      <c r="K109" s="2" t="inlineStr">
        <is>
          <t>-</t>
        </is>
      </c>
    </row>
    <row r="110">
      <c r="A110" t="n">
        <v>108</v>
      </c>
      <c r="B110" t="inlineStr">
        <is>
          <t>ADCS</t>
        </is>
      </c>
      <c r="C110" t="inlineStr">
        <is>
          <t>ADCS Y Wheel Speed</t>
        </is>
      </c>
      <c r="D110" t="n">
        <v>976</v>
      </c>
      <c r="E110" t="n">
        <v>16</v>
      </c>
      <c r="F110" t="inlineStr">
        <is>
          <t>LE</t>
        </is>
      </c>
      <c r="G110" t="inlineStr">
        <is>
          <t>int16_t</t>
        </is>
      </c>
      <c r="H110">
        <f>_DestuffedBits!C1106*128+_DestuffedBits!C1107*64+_DestuffedBits!C1108*32+_DestuffedBits!C1109*16+_DestuffedBits!C1110*8+_DestuffedBits!C1111*4+_DestuffedBits!C1112*2+_DestuffedBits!C1113*1+_DestuffedBits!C1114*32768+_DestuffedBits!C1115*16384+_DestuffedBits!C1116*8192+_DestuffedBits!C1117*4096+_DestuffedBits!C1118*2048+_DestuffedBits!C1119*1024+_DestuffedBits!C1120*512+_DestuffedBits!C1121*256</f>
        <v/>
      </c>
      <c r="I110">
        <f>IF(H110&gt;=32768,H110-65536,H110)</f>
        <v/>
      </c>
      <c r="J110">
        <f>I110</f>
        <v/>
      </c>
      <c r="K110" s="2" t="inlineStr">
        <is>
          <t>-</t>
        </is>
      </c>
    </row>
    <row r="111">
      <c r="A111" t="n">
        <v>109</v>
      </c>
      <c r="B111" t="inlineStr">
        <is>
          <t>ADCS</t>
        </is>
      </c>
      <c r="C111" t="inlineStr">
        <is>
          <t>ADCS  Z Wheel Speed</t>
        </is>
      </c>
      <c r="D111" t="n">
        <v>992</v>
      </c>
      <c r="E111" t="n">
        <v>16</v>
      </c>
      <c r="F111" t="inlineStr">
        <is>
          <t>LE</t>
        </is>
      </c>
      <c r="G111" t="inlineStr">
        <is>
          <t>int16_t</t>
        </is>
      </c>
      <c r="H111">
        <f>_DestuffedBits!C1122*128+_DestuffedBits!C1123*64+_DestuffedBits!C1124*32+_DestuffedBits!C1125*16+_DestuffedBits!C1126*8+_DestuffedBits!C1127*4+_DestuffedBits!C1128*2+_DestuffedBits!C1129*1+_DestuffedBits!C1130*32768+_DestuffedBits!C1131*16384+_DestuffedBits!C1132*8192+_DestuffedBits!C1133*4096+_DestuffedBits!C1134*2048+_DestuffedBits!C1135*1024+_DestuffedBits!C1136*512+_DestuffedBits!C1137*256</f>
        <v/>
      </c>
      <c r="I111">
        <f>IF(H111&gt;=32768,H111-65536,H111)</f>
        <v/>
      </c>
      <c r="J111">
        <f>I111</f>
        <v/>
      </c>
      <c r="K111" s="2" t="inlineStr">
        <is>
          <t>-</t>
        </is>
      </c>
    </row>
    <row r="112">
      <c r="A112" t="n">
        <v>110</v>
      </c>
      <c r="B112" t="inlineStr">
        <is>
          <t>ADCS</t>
        </is>
      </c>
      <c r="C112" t="inlineStr">
        <is>
          <t>ADCS eclipse Sun is Above Local Horizon</t>
        </is>
      </c>
      <c r="D112" t="n">
        <v>1008</v>
      </c>
      <c r="E112" t="n">
        <v>1</v>
      </c>
      <c r="F112" t="inlineStr">
        <is>
          <t>LE</t>
        </is>
      </c>
      <c r="G112" t="inlineStr">
        <is>
          <t>uint8_t</t>
        </is>
      </c>
      <c r="H112">
        <f>_DestuffedBits!C1138*1</f>
        <v/>
      </c>
      <c r="I112">
        <f>H112</f>
        <v/>
      </c>
      <c r="J112">
        <f>IF(H112=0,"OFF",IF(H112=1,"ON",H112&amp;" (unlisted)"))</f>
        <v/>
      </c>
      <c r="K112" s="2" t="inlineStr">
        <is>
          <t>(assumed 0=OFF/1=ON, no field-specific description)</t>
        </is>
      </c>
    </row>
    <row r="113">
      <c r="A113" t="n">
        <v>111</v>
      </c>
      <c r="B113" t="inlineStr">
        <is>
          <t>ADCS</t>
        </is>
      </c>
      <c r="C113" t="inlineStr">
        <is>
          <t>(reserved)</t>
        </is>
      </c>
      <c r="D113" t="n">
        <v>1009</v>
      </c>
      <c r="E113" t="n">
        <v>7</v>
      </c>
      <c r="F113" t="inlineStr">
        <is>
          <t>LE</t>
        </is>
      </c>
      <c r="G113" t="inlineStr">
        <is>
          <t>uint8_t</t>
        </is>
      </c>
      <c r="H113">
        <f>_DestuffedBits!C1139*64+_DestuffedBits!C1140*32+_DestuffedBits!C1141*16+_DestuffedBits!C1142*8+_DestuffedBits!C1143*4+_DestuffedBits!C1144*2+_DestuffedBits!C1145*1</f>
        <v/>
      </c>
      <c r="I113">
        <f>H113</f>
        <v/>
      </c>
      <c r="J113">
        <f>I113</f>
        <v/>
      </c>
      <c r="K113" s="2" t="inlineStr">
        <is>
          <t>-</t>
        </is>
      </c>
    </row>
    <row r="114">
      <c r="A114" t="n">
        <v>112</v>
      </c>
      <c r="B114" t="inlineStr">
        <is>
          <t>COMM</t>
        </is>
      </c>
      <c r="C114" t="inlineStr">
        <is>
          <t>UHF Temperature</t>
        </is>
      </c>
      <c r="D114" t="n">
        <v>1016</v>
      </c>
      <c r="E114" t="n">
        <v>8</v>
      </c>
      <c r="F114" t="inlineStr">
        <is>
          <t>BE</t>
        </is>
      </c>
      <c r="G114" t="inlineStr">
        <is>
          <t>int8_t</t>
        </is>
      </c>
      <c r="H114">
        <f>_DestuffedBits!C1146*128+_DestuffedBits!C1147*64+_DestuffedBits!C1148*32+_DestuffedBits!C1149*16+_DestuffedBits!C1150*8+_DestuffedBits!C1151*4+_DestuffedBits!C1152*2+_DestuffedBits!C1153*1</f>
        <v/>
      </c>
      <c r="I114">
        <f>IF(H114&gt;=128,H114-256,H114)</f>
        <v/>
      </c>
      <c r="J114">
        <f>I114&amp;" °C"</f>
        <v/>
      </c>
      <c r="K114" s="2" t="inlineStr">
        <is>
          <t>transform:Temperature {'unit': '°C'}</t>
        </is>
      </c>
    </row>
    <row r="115">
      <c r="A115" t="n">
        <v>113</v>
      </c>
      <c r="B115" t="inlineStr">
        <is>
          <t>COMM</t>
        </is>
      </c>
      <c r="C115" t="inlineStr">
        <is>
          <t>UHF SWD Function</t>
        </is>
      </c>
      <c r="D115" t="n">
        <v>1024</v>
      </c>
      <c r="E115" t="n">
        <v>1</v>
      </c>
      <c r="F115" t="inlineStr">
        <is>
          <t>BE</t>
        </is>
      </c>
      <c r="G115" t="inlineStr">
        <is>
          <t>uint8_t</t>
        </is>
      </c>
      <c r="H115">
        <f>_DestuffedBits!C1154*1</f>
        <v/>
      </c>
      <c r="I115">
        <f>H115</f>
        <v/>
      </c>
      <c r="J115">
        <f>IF(H115=0,"ON",IF(H115=1,"OFF",H115&amp;" (unlisted)"))</f>
        <v/>
      </c>
      <c r="K115" s="2" t="inlineStr">
        <is>
          <t>0=ON, 1=OFF</t>
        </is>
      </c>
    </row>
    <row r="116">
      <c r="A116" t="n">
        <v>114</v>
      </c>
      <c r="B116" t="inlineStr">
        <is>
          <t>COMM</t>
        </is>
      </c>
      <c r="C116" t="inlineStr">
        <is>
          <t>UHF Echo Mode</t>
        </is>
      </c>
      <c r="D116" t="n">
        <v>1025</v>
      </c>
      <c r="E116" t="n">
        <v>1</v>
      </c>
      <c r="F116" t="inlineStr">
        <is>
          <t>BE</t>
        </is>
      </c>
      <c r="G116" t="inlineStr">
        <is>
          <t>uint8_t</t>
        </is>
      </c>
      <c r="H116">
        <f>_DestuffedBits!C1155*1</f>
        <v/>
      </c>
      <c r="I116">
        <f>H116</f>
        <v/>
      </c>
      <c r="J116">
        <f>IF(H116=0,"OFF",IF(H116=1,"ON",H116&amp;" (unlisted)"))</f>
        <v/>
      </c>
      <c r="K116" s="2" t="inlineStr">
        <is>
          <t>(assumed 0=OFF/1=ON, no field-specific description)</t>
        </is>
      </c>
    </row>
    <row r="117">
      <c r="A117" t="n">
        <v>115</v>
      </c>
      <c r="B117" t="inlineStr">
        <is>
          <t>COMM</t>
        </is>
      </c>
      <c r="C117" t="inlineStr">
        <is>
          <t>UHF AFC</t>
        </is>
      </c>
      <c r="D117" t="n">
        <v>1026</v>
      </c>
      <c r="E117" t="n">
        <v>1</v>
      </c>
      <c r="F117" t="inlineStr">
        <is>
          <t>BE</t>
        </is>
      </c>
      <c r="G117" t="inlineStr">
        <is>
          <t>uint8_t</t>
        </is>
      </c>
      <c r="H117">
        <f>_DestuffedBits!C1156*1</f>
        <v/>
      </c>
      <c r="I117">
        <f>H117</f>
        <v/>
      </c>
      <c r="J117">
        <f>IF(H117=0,"OFF",IF(H117=1,"ON",H117&amp;" (unlisted)"))</f>
        <v/>
      </c>
      <c r="K117" s="2" t="inlineStr">
        <is>
          <t>(assumed 0=OFF/1=ON, no field-specific description)</t>
        </is>
      </c>
    </row>
    <row r="118">
      <c r="A118" t="n">
        <v>116</v>
      </c>
      <c r="B118" t="inlineStr">
        <is>
          <t>COMM</t>
        </is>
      </c>
      <c r="C118" t="inlineStr">
        <is>
          <t>UHF SWD Announciate</t>
        </is>
      </c>
      <c r="D118" t="n">
        <v>1027</v>
      </c>
      <c r="E118" t="n">
        <v>1</v>
      </c>
      <c r="F118" t="inlineStr">
        <is>
          <t>BE</t>
        </is>
      </c>
      <c r="G118" t="inlineStr">
        <is>
          <t>uint8_t</t>
        </is>
      </c>
      <c r="H118">
        <f>_DestuffedBits!C1157*1</f>
        <v/>
      </c>
      <c r="I118">
        <f>H118</f>
        <v/>
      </c>
      <c r="J118">
        <f>IF(H118=0,"OFF",IF(H118=1,"ON",H118&amp;" (unlisted)"))</f>
        <v/>
      </c>
      <c r="K118" s="2" t="inlineStr">
        <is>
          <t>(assumed 0=OFF/1=ON, no field-specific description)</t>
        </is>
      </c>
    </row>
    <row r="119">
      <c r="A119" t="n">
        <v>117</v>
      </c>
      <c r="B119" t="inlineStr">
        <is>
          <t>COMM</t>
        </is>
      </c>
      <c r="C119" t="inlineStr">
        <is>
          <t>UHF Readback Mode</t>
        </is>
      </c>
      <c r="D119" t="n">
        <v>1028</v>
      </c>
      <c r="E119" t="n">
        <v>2</v>
      </c>
      <c r="F119" t="inlineStr">
        <is>
          <t>BE</t>
        </is>
      </c>
      <c r="G119" t="inlineStr">
        <is>
          <t>uint8_t</t>
        </is>
      </c>
      <c r="H119">
        <f>_DestuffedBits!C1158*2+_DestuffedBits!C1159*1</f>
        <v/>
      </c>
      <c r="I119">
        <f>H119</f>
        <v/>
      </c>
      <c r="J119">
        <f>IF(H119=0,"Decimal",IF(H119=1,"Binary",IF(H119=10,"Hex",H119&amp;" (unlisted)")))</f>
        <v/>
      </c>
      <c r="K119" s="2" t="inlineStr">
        <is>
          <t>00: Decimal / 01: Binary / 10: Hex</t>
        </is>
      </c>
    </row>
    <row r="120">
      <c r="A120" t="n">
        <v>118</v>
      </c>
      <c r="B120" t="inlineStr">
        <is>
          <t>COMM</t>
        </is>
      </c>
      <c r="C120" t="inlineStr">
        <is>
          <t>UHF Channel</t>
        </is>
      </c>
      <c r="D120" t="n">
        <v>1030</v>
      </c>
      <c r="E120" t="n">
        <v>2</v>
      </c>
      <c r="F120" t="inlineStr">
        <is>
          <t>BE</t>
        </is>
      </c>
      <c r="G120" t="inlineStr">
        <is>
          <t>uint8_t</t>
        </is>
      </c>
      <c r="H120">
        <f>_DestuffedBits!C1160*2+_DestuffedBits!C1161*1</f>
        <v/>
      </c>
      <c r="I120">
        <f>H120</f>
        <v/>
      </c>
      <c r="J120">
        <f>IF(H120=0,"437.5 MHz",IF(H120=1,"437.345 MHz",IF(H120=10,"436.5 MHz",IF(H120=11,"435.5 MHz",H120&amp;" (unlisted)"))))</f>
        <v/>
      </c>
      <c r="K120" s="2" t="inlineStr">
        <is>
          <t>00: 437.5 MHz / 01: 437.345 MHz / 10: 436.5 MHz / 11: 435.5 MHz</t>
        </is>
      </c>
    </row>
    <row r="121">
      <c r="A121" t="n">
        <v>119</v>
      </c>
      <c r="B121" t="inlineStr">
        <is>
          <t>COMM</t>
        </is>
      </c>
      <c r="C121" t="inlineStr">
        <is>
          <t>Xband Symbol Rate</t>
        </is>
      </c>
      <c r="D121" t="n">
        <v>1032</v>
      </c>
      <c r="E121" t="n">
        <v>8</v>
      </c>
      <c r="F121" t="inlineStr">
        <is>
          <t>BE</t>
        </is>
      </c>
      <c r="G121" t="inlineStr">
        <is>
          <t>uint8_t</t>
        </is>
      </c>
      <c r="H121">
        <f>_DestuffedBits!C1162*128+_DestuffedBits!C1163*64+_DestuffedBits!C1164*32+_DestuffedBits!C1165*16+_DestuffedBits!C1166*8+_DestuffedBits!C1167*4+_DestuffedBits!C1168*2+_DestuffedBits!C1169*1</f>
        <v/>
      </c>
      <c r="I121">
        <f>H121</f>
        <v/>
      </c>
      <c r="J121">
        <f>I121&amp;" Msp/s"</f>
        <v/>
      </c>
      <c r="K121" s="2" t="inlineStr">
        <is>
          <t>transform:Xband_Symbol_Rate {'unit': 'Msp/s'}</t>
        </is>
      </c>
    </row>
    <row r="122">
      <c r="A122" t="n">
        <v>120</v>
      </c>
      <c r="B122" t="inlineStr">
        <is>
          <t>COMM</t>
        </is>
      </c>
      <c r="C122" t="inlineStr">
        <is>
          <t>Xband Transmit Power</t>
        </is>
      </c>
      <c r="D122" t="n">
        <v>1040</v>
      </c>
      <c r="E122" t="n">
        <v>8</v>
      </c>
      <c r="F122" t="inlineStr">
        <is>
          <t>LE</t>
        </is>
      </c>
      <c r="G122" t="inlineStr">
        <is>
          <t>uint8_t</t>
        </is>
      </c>
      <c r="H122">
        <f>_DestuffedBits!C1170*128+_DestuffedBits!C1171*64+_DestuffedBits!C1172*32+_DestuffedBits!C1173*16+_DestuffedBits!C1174*8+_DestuffedBits!C1175*4+_DestuffedBits!C1176*2+_DestuffedBits!C1177*1</f>
        <v/>
      </c>
      <c r="I122">
        <f>H122</f>
        <v/>
      </c>
      <c r="J122">
        <f>I122&amp;" dBm"</f>
        <v/>
      </c>
      <c r="K122" s="2" t="inlineStr">
        <is>
          <t>transform:Xband_Transmit_Power {'unit': 'dBm'}</t>
        </is>
      </c>
    </row>
    <row r="123">
      <c r="A123" t="n">
        <v>121</v>
      </c>
      <c r="B123" t="inlineStr">
        <is>
          <t>COMM</t>
        </is>
      </c>
      <c r="C123" t="inlineStr">
        <is>
          <t>Xband MODCOD</t>
        </is>
      </c>
      <c r="D123" t="n">
        <v>1048</v>
      </c>
      <c r="E123" t="n">
        <v>8</v>
      </c>
      <c r="F123" t="inlineStr">
        <is>
          <t>BE</t>
        </is>
      </c>
      <c r="G123" t="inlineStr">
        <is>
          <t>uint8_t</t>
        </is>
      </c>
      <c r="H123">
        <f>_DestuffedBits!C1178*128+_DestuffedBits!C1179*64+_DestuffedBits!C1180*32+_DestuffedBits!C1181*16+_DestuffedBits!C1182*8+_DestuffedBits!C1183*4+_DestuffedBits!C1184*2+_DestuffedBits!C1185*1</f>
        <v/>
      </c>
      <c r="I123">
        <f>H123</f>
        <v/>
      </c>
      <c r="J123">
        <f>IF(H123=1,"1/4 QPSK",IF(H123=2,"1/3 QPSK",IF(H123=3,"2/5 QPSK",IF(H123=4,"1/2 QPSK",IF(H123=5,"3/5 QPSK",IF(H123=6,"2/3 QPSK",IF(H123=7,"3/4 QPSK",IF(H123=8,"4/5 QPSK",IF(H123=9,"5/6 QPSK",IF(H123=10,"8/9 QPSK",IF(H123=11,"9/10 QPSK",IF(H123=12,"3/5 8PSK",IF(H123=13,"2/3 8PSK",IF(H123=14,"3/4 8PSK",IF(H123=15,"5/6 8PSK",IF(H123=16,"8/9 8PSK",IF(H123=17,"9/10 8PSK",IF(H123=18,"2/3 16APSK",IF(H123=19,"3/4 16APSK",IF(H123=20,"4/5 16APSK",IF(H123=21,"5/6 16APSK",IF(H123=22,"8/9 16APSK",IF(H123=23,"9/10 16APSK",IF(H123=24,"3/4 32APSK",IF(H123=25,"4/5 32APSK",IF(H123=26,"5/6 32APSK",IF(H123=27,"8/9 32APSK",IF(H123=28,"9/10 32APSK",H123&amp;" (unlisted)"))))))))))))))))))))))))))))</f>
        <v/>
      </c>
      <c r="K123" s="2" t="inlineStr">
        <is>
          <t>1=1/4 QPSK, 2=1/3 QPSK, 3=2/5 QPSK, 4=1/2 QPSK, 5=3/5 QPSK, 6=2/3 QPSK, 7=3/4 QPSK, 8=4/5 QPSK, 9=5/6 QPSK, 10=8/9 QPSK, 11=9/10 QPSK, 12=3/5 8PSK, 13=2/3 8PSK, 14=3/4 8PSK, 15=5/6 8PSK, 16=8/9 8PSK, 17=9/10 8PSK, 18=2/3 16APSK, 19=3/4 16APSK, 20=4/5 16APSK, 21=5/6 16APSK, 22=8/9 16APSK, 23=9/10 16APSK, 24=3/4 32APSK, 25=4/5 32APSK, 26=5/6 32APSK, 27=8/9 32APSK, 28=9/10 32APSK</t>
        </is>
      </c>
    </row>
    <row r="124">
      <c r="A124" t="n">
        <v>122</v>
      </c>
      <c r="B124" t="inlineStr">
        <is>
          <t>COMM</t>
        </is>
      </c>
      <c r="C124" t="inlineStr">
        <is>
          <t>Xband Roll-off</t>
        </is>
      </c>
      <c r="D124" t="n">
        <v>1056</v>
      </c>
      <c r="E124" t="n">
        <v>2</v>
      </c>
      <c r="F124" t="inlineStr">
        <is>
          <t>BE</t>
        </is>
      </c>
      <c r="G124" t="inlineStr">
        <is>
          <t>uint8_t</t>
        </is>
      </c>
      <c r="H124">
        <f>_DestuffedBits!C1186*2+_DestuffedBits!C1187*1</f>
        <v/>
      </c>
      <c r="I124">
        <f>H124</f>
        <v/>
      </c>
      <c r="J124">
        <f>I124</f>
        <v/>
      </c>
      <c r="K124" s="2" t="inlineStr">
        <is>
          <t>-</t>
        </is>
      </c>
    </row>
    <row r="125">
      <c r="A125" t="n">
        <v>123</v>
      </c>
      <c r="B125" t="inlineStr">
        <is>
          <t>COMM</t>
        </is>
      </c>
      <c r="C125" t="inlineStr">
        <is>
          <t>Xband Pilot Signal</t>
        </is>
      </c>
      <c r="D125" t="n">
        <v>1058</v>
      </c>
      <c r="E125" t="n">
        <v>1</v>
      </c>
      <c r="F125" t="inlineStr">
        <is>
          <t>BE</t>
        </is>
      </c>
      <c r="G125" t="inlineStr">
        <is>
          <t>uint8_t</t>
        </is>
      </c>
      <c r="H125">
        <f>_DestuffedBits!C1188*1</f>
        <v/>
      </c>
      <c r="I125">
        <f>H125</f>
        <v/>
      </c>
      <c r="J125">
        <f>IF(H125=0,"OFF",IF(H125=1,"ON",H125&amp;" (unlisted)"))</f>
        <v/>
      </c>
      <c r="K125" s="2" t="inlineStr">
        <is>
          <t>(assumed 0=OFF/1=ON, no field-specific description)</t>
        </is>
      </c>
    </row>
    <row r="126">
      <c r="A126" t="n">
        <v>124</v>
      </c>
      <c r="B126" t="inlineStr">
        <is>
          <t>COMM</t>
        </is>
      </c>
      <c r="C126" t="inlineStr">
        <is>
          <t>Xband FEC Frame Size</t>
        </is>
      </c>
      <c r="D126" t="n">
        <v>1059</v>
      </c>
      <c r="E126" t="n">
        <v>1</v>
      </c>
      <c r="F126" t="inlineStr">
        <is>
          <t>BE</t>
        </is>
      </c>
      <c r="G126" t="inlineStr">
        <is>
          <t>uint8_t</t>
        </is>
      </c>
      <c r="H126">
        <f>_DestuffedBits!C1189*1</f>
        <v/>
      </c>
      <c r="I126">
        <f>H126</f>
        <v/>
      </c>
      <c r="J126">
        <f>IF(H126=0,"OFF",IF(H126=1,"ON",H126&amp;" (unlisted)"))</f>
        <v/>
      </c>
      <c r="K126" s="2" t="inlineStr">
        <is>
          <t>(assumed 0=OFF/1=ON, no field-specific description)</t>
        </is>
      </c>
    </row>
    <row r="127">
      <c r="A127" t="n">
        <v>125</v>
      </c>
      <c r="B127" t="inlineStr">
        <is>
          <t>COMM</t>
        </is>
      </c>
      <c r="C127" t="inlineStr">
        <is>
          <t>Xband System State</t>
        </is>
      </c>
      <c r="D127" t="n">
        <v>1060</v>
      </c>
      <c r="E127" t="n">
        <v>2</v>
      </c>
      <c r="F127" t="inlineStr">
        <is>
          <t>BE</t>
        </is>
      </c>
      <c r="G127" t="inlineStr">
        <is>
          <t>uint8_t</t>
        </is>
      </c>
      <c r="H127">
        <f>_DestuffedBits!C1190*2+_DestuffedBits!C1191*1</f>
        <v/>
      </c>
      <c r="I127">
        <f>H127</f>
        <v/>
      </c>
      <c r="J127">
        <f>I127</f>
        <v/>
      </c>
      <c r="K127" s="2" t="inlineStr">
        <is>
          <t>-</t>
        </is>
      </c>
    </row>
    <row r="128">
      <c r="A128" t="n">
        <v>126</v>
      </c>
      <c r="B128" t="inlineStr">
        <is>
          <t>COMM</t>
        </is>
      </c>
      <c r="C128" t="inlineStr">
        <is>
          <t>(reserved)</t>
        </is>
      </c>
      <c r="D128" t="n">
        <v>1062</v>
      </c>
      <c r="E128" t="n">
        <v>2</v>
      </c>
      <c r="F128" t="inlineStr">
        <is>
          <t>BE</t>
        </is>
      </c>
      <c r="G128" t="inlineStr">
        <is>
          <t>uint8_t</t>
        </is>
      </c>
      <c r="H128">
        <f>_DestuffedBits!C1192*2+_DestuffedBits!C1193*1</f>
        <v/>
      </c>
      <c r="I128">
        <f>H128</f>
        <v/>
      </c>
      <c r="J128">
        <f>I128</f>
        <v/>
      </c>
      <c r="K128" s="2" t="inlineStr">
        <is>
          <t>-</t>
        </is>
      </c>
    </row>
    <row r="129">
      <c r="A129" t="n">
        <v>127</v>
      </c>
      <c r="B129" t="inlineStr">
        <is>
          <t>COMM</t>
        </is>
      </c>
      <c r="C129" t="inlineStr">
        <is>
          <t>Xband Central Frequency</t>
        </is>
      </c>
      <c r="D129" t="n">
        <v>1064</v>
      </c>
      <c r="E129" t="n">
        <v>32</v>
      </c>
      <c r="F129" t="inlineStr">
        <is>
          <t>LE</t>
        </is>
      </c>
      <c r="G129" t="inlineStr">
        <is>
          <t>float</t>
        </is>
      </c>
      <c r="H129">
        <f>_DestuffedBits!C1194*128+_DestuffedBits!C1195*64+_DestuffedBits!C1196*32+_DestuffedBits!C1197*16+_DestuffedBits!C1198*8+_DestuffedBits!C1199*4+_DestuffedBits!C1200*2+_DestuffedBits!C1201*1+_DestuffedBits!C1202*32768+_DestuffedBits!C1203*16384+_DestuffedBits!C1204*8192+_DestuffedBits!C1205*4096+_DestuffedBits!C1206*2048+_DestuffedBits!C1207*1024+_DestuffedBits!C1208*512+_DestuffedBits!C1209*256+_DestuffedBits!C1210*8388608+_DestuffedBits!C1211*4194304+_DestuffedBits!C1212*2097152+_DestuffedBits!C1213*1048576+_DestuffedBits!C1214*524288+_DestuffedBits!C1215*262144+_DestuffedBits!C1216*131072+_DestuffedBits!C1217*65536+_DestuffedBits!C1218*2147483648+_DestuffedBits!C1219*1073741824+_DestuffedBits!C1220*536870912+_DestuffedBits!C1221*268435456+_DestuffedBits!C1222*134217728+_DestuffedBits!C1223*67108864+_DestuffedBits!C1224*33554432+_DestuffedBits!C1225*16777216</f>
        <v/>
      </c>
      <c r="I129">
        <f>IF(_xlfn.BITAND(H129,2147483648)=0,1,-1)*IF(_xlfn.BITAND(_xlfn.BITRSHIFT(H129,23),255)=0,(_xlfn.BITAND(H129,8388607)/8388608)*POWER(2,-126),(1+_xlfn.BITAND(H129,8388607)/8388608)*POWER(2,_xlfn.BITAND(_xlfn.BITRSHIFT(H129,23),255)-127))</f>
        <v/>
      </c>
      <c r="J129">
        <f>ROUND(I129,6)</f>
        <v/>
      </c>
      <c r="K129" s="2" t="inlineStr">
        <is>
          <t>-</t>
        </is>
      </c>
    </row>
    <row r="130">
      <c r="A130" t="n">
        <v>128</v>
      </c>
      <c r="B130" t="inlineStr">
        <is>
          <t>COMM</t>
        </is>
      </c>
      <c r="C130" t="inlineStr">
        <is>
          <t>Xband BUC PLL Lock Unlock</t>
        </is>
      </c>
      <c r="D130" t="n">
        <v>1096</v>
      </c>
      <c r="E130" t="n">
        <v>1</v>
      </c>
      <c r="F130" t="inlineStr">
        <is>
          <t>BE</t>
        </is>
      </c>
      <c r="G130" t="inlineStr">
        <is>
          <t>uint8_t</t>
        </is>
      </c>
      <c r="H130">
        <f>_DestuffedBits!C1226*1</f>
        <v/>
      </c>
      <c r="I130">
        <f>H130</f>
        <v/>
      </c>
      <c r="J130">
        <f>IF(H130=0,"OFF",IF(H130=1,"ON",H130&amp;" (unlisted)"))</f>
        <v/>
      </c>
      <c r="K130" s="2" t="inlineStr">
        <is>
          <t>(assumed 0=OFF/1=ON, no field-specific description)</t>
        </is>
      </c>
    </row>
    <row r="131">
      <c r="A131" t="n">
        <v>129</v>
      </c>
      <c r="B131" t="inlineStr">
        <is>
          <t>COMM</t>
        </is>
      </c>
      <c r="C131" t="inlineStr">
        <is>
          <t>Xband BUC Over Temperature</t>
        </is>
      </c>
      <c r="D131" t="n">
        <v>1097</v>
      </c>
      <c r="E131" t="n">
        <v>1</v>
      </c>
      <c r="F131" t="inlineStr">
        <is>
          <t>BE</t>
        </is>
      </c>
      <c r="G131" t="inlineStr">
        <is>
          <t>uint8_t</t>
        </is>
      </c>
      <c r="H131">
        <f>_DestuffedBits!C1227*1</f>
        <v/>
      </c>
      <c r="I131">
        <f>H131</f>
        <v/>
      </c>
      <c r="J131">
        <f>IF(H131=0,"OFF",IF(H131=1,"ON",H131&amp;" (unlisted)"))</f>
        <v/>
      </c>
      <c r="K131" s="2" t="inlineStr">
        <is>
          <t>(assumed 0=OFF/1=ON, no field-specific description)</t>
        </is>
      </c>
    </row>
    <row r="132">
      <c r="A132" t="n">
        <v>130</v>
      </c>
      <c r="B132" t="inlineStr">
        <is>
          <t>COMM</t>
        </is>
      </c>
      <c r="C132" t="inlineStr">
        <is>
          <t>Xband SDR Not Initialized</t>
        </is>
      </c>
      <c r="D132" t="n">
        <v>1098</v>
      </c>
      <c r="E132" t="n">
        <v>1</v>
      </c>
      <c r="F132" t="inlineStr">
        <is>
          <t>BE</t>
        </is>
      </c>
      <c r="G132" t="inlineStr">
        <is>
          <t>uint8_t</t>
        </is>
      </c>
      <c r="H132">
        <f>_DestuffedBits!C1228*1</f>
        <v/>
      </c>
      <c r="I132">
        <f>H132</f>
        <v/>
      </c>
      <c r="J132">
        <f>IF(H132=0,"OFF",IF(H132=1,"ON",H132&amp;" (unlisted)"))</f>
        <v/>
      </c>
      <c r="K132" s="2" t="inlineStr">
        <is>
          <t>(assumed 0=OFF/1=ON, no field-specific description)</t>
        </is>
      </c>
    </row>
    <row r="133">
      <c r="A133" t="n">
        <v>131</v>
      </c>
      <c r="B133" t="inlineStr">
        <is>
          <t>COMM</t>
        </is>
      </c>
      <c r="C133" t="inlineStr">
        <is>
          <t>Xband BUC Communication Error</t>
        </is>
      </c>
      <c r="D133" t="n">
        <v>1099</v>
      </c>
      <c r="E133" t="n">
        <v>1</v>
      </c>
      <c r="F133" t="inlineStr">
        <is>
          <t>BE</t>
        </is>
      </c>
      <c r="G133" t="inlineStr">
        <is>
          <t>uint8_t</t>
        </is>
      </c>
      <c r="H133">
        <f>_DestuffedBits!C1229*1</f>
        <v/>
      </c>
      <c r="I133">
        <f>H133</f>
        <v/>
      </c>
      <c r="J133">
        <f>IF(H133=0,"OFF",IF(H133=1,"ON",H133&amp;" (unlisted)"))</f>
        <v/>
      </c>
      <c r="K133" s="2" t="inlineStr">
        <is>
          <t>(assumed 0=OFF/1=ON, no field-specific description)</t>
        </is>
      </c>
    </row>
    <row r="134">
      <c r="A134" t="n">
        <v>132</v>
      </c>
      <c r="B134" t="inlineStr">
        <is>
          <t>COMM</t>
        </is>
      </c>
      <c r="C134" t="inlineStr">
        <is>
          <t>Xband System Over Temperature Stop</t>
        </is>
      </c>
      <c r="D134" t="n">
        <v>1100</v>
      </c>
      <c r="E134" t="n">
        <v>1</v>
      </c>
      <c r="F134" t="inlineStr">
        <is>
          <t>BE</t>
        </is>
      </c>
      <c r="G134" t="inlineStr">
        <is>
          <t>uint8_t</t>
        </is>
      </c>
      <c r="H134">
        <f>_DestuffedBits!C1230*1</f>
        <v/>
      </c>
      <c r="I134">
        <f>H134</f>
        <v/>
      </c>
      <c r="J134">
        <f>IF(H134=0,"OFF",IF(H134=1,"ON",H134&amp;" (unlisted)"))</f>
        <v/>
      </c>
      <c r="K134" s="2" t="inlineStr">
        <is>
          <t>(assumed 0=OFF/1=ON, no field-specific description)</t>
        </is>
      </c>
    </row>
    <row r="135">
      <c r="A135" t="n">
        <v>133</v>
      </c>
      <c r="B135" t="inlineStr">
        <is>
          <t>COMM</t>
        </is>
      </c>
      <c r="C135" t="inlineStr">
        <is>
          <t>Xband Warning Predistortion Not OK</t>
        </is>
      </c>
      <c r="D135" t="n">
        <v>1101</v>
      </c>
      <c r="E135" t="n">
        <v>1</v>
      </c>
      <c r="F135" t="inlineStr">
        <is>
          <t>BE</t>
        </is>
      </c>
      <c r="G135" t="inlineStr">
        <is>
          <t>uint8_t</t>
        </is>
      </c>
      <c r="H135">
        <f>_DestuffedBits!C1231*1</f>
        <v/>
      </c>
      <c r="I135">
        <f>H135</f>
        <v/>
      </c>
      <c r="J135">
        <f>IF(H135=0,"OFF",IF(H135=1,"ON",H135&amp;" (unlisted)"))</f>
        <v/>
      </c>
      <c r="K135" s="2" t="inlineStr">
        <is>
          <t>(assumed 0=OFF/1=ON, no field-specific description)</t>
        </is>
      </c>
    </row>
    <row r="136">
      <c r="A136" t="n">
        <v>134</v>
      </c>
      <c r="B136" t="inlineStr">
        <is>
          <t>COMM</t>
        </is>
      </c>
      <c r="C136" t="inlineStr">
        <is>
          <t>(reserved)</t>
        </is>
      </c>
      <c r="D136" t="n">
        <v>1102</v>
      </c>
      <c r="E136" t="n">
        <v>2</v>
      </c>
      <c r="F136" t="inlineStr">
        <is>
          <t>BE</t>
        </is>
      </c>
      <c r="G136" t="inlineStr">
        <is>
          <t>uint8_t</t>
        </is>
      </c>
      <c r="H136">
        <f>_DestuffedBits!C1232*2+_DestuffedBits!C1233*1</f>
        <v/>
      </c>
      <c r="I136">
        <f>H136</f>
        <v/>
      </c>
      <c r="J136">
        <f>I136</f>
        <v/>
      </c>
      <c r="K136" s="2" t="inlineStr">
        <is>
          <t>-</t>
        </is>
      </c>
    </row>
    <row r="137">
      <c r="A137" t="n">
        <v>135</v>
      </c>
      <c r="B137" t="inlineStr">
        <is>
          <t>COMM</t>
        </is>
      </c>
      <c r="C137" t="inlineStr">
        <is>
          <t>Xband PA Temperature</t>
        </is>
      </c>
      <c r="D137" t="n">
        <v>1104</v>
      </c>
      <c r="E137" t="n">
        <v>16</v>
      </c>
      <c r="F137" t="inlineStr">
        <is>
          <t>LE</t>
        </is>
      </c>
      <c r="G137" t="inlineStr">
        <is>
          <t>int16_t</t>
        </is>
      </c>
      <c r="H137">
        <f>_DestuffedBits!C1234*128+_DestuffedBits!C1235*64+_DestuffedBits!C1236*32+_DestuffedBits!C1237*16+_DestuffedBits!C1238*8+_DestuffedBits!C1239*4+_DestuffedBits!C1240*2+_DestuffedBits!C1241*1+_DestuffedBits!C1242*32768+_DestuffedBits!C1243*16384+_DestuffedBits!C1244*8192+_DestuffedBits!C1245*4096+_DestuffedBits!C1246*2048+_DestuffedBits!C1247*1024+_DestuffedBits!C1248*512+_DestuffedBits!C1249*256</f>
        <v/>
      </c>
      <c r="I137">
        <f>IF(H137&gt;=32768,H137-65536,H137)</f>
        <v/>
      </c>
      <c r="J137">
        <f>I137</f>
        <v/>
      </c>
      <c r="K137" s="2" t="inlineStr">
        <is>
          <t>-</t>
        </is>
      </c>
    </row>
    <row r="138">
      <c r="A138" t="n">
        <v>136</v>
      </c>
      <c r="B138" t="inlineStr">
        <is>
          <t>COMM</t>
        </is>
      </c>
      <c r="C138" t="inlineStr">
        <is>
          <t>Xband Measured Tx Power</t>
        </is>
      </c>
      <c r="D138" t="n">
        <v>1120</v>
      </c>
      <c r="E138" t="n">
        <v>16</v>
      </c>
      <c r="F138" t="inlineStr">
        <is>
          <t>LE</t>
        </is>
      </c>
      <c r="G138" t="inlineStr">
        <is>
          <t>uint16_t</t>
        </is>
      </c>
      <c r="H138">
        <f>_DestuffedBits!C1250*128+_DestuffedBits!C1251*64+_DestuffedBits!C1252*32+_DestuffedBits!C1253*16+_DestuffedBits!C1254*8+_DestuffedBits!C1255*4+_DestuffedBits!C1256*2+_DestuffedBits!C1257*1+_DestuffedBits!C1258*32768+_DestuffedBits!C1259*16384+_DestuffedBits!C1260*8192+_DestuffedBits!C1261*4096+_DestuffedBits!C1262*2048+_DestuffedBits!C1263*1024+_DestuffedBits!C1264*512+_DestuffedBits!C1265*256</f>
        <v/>
      </c>
      <c r="I138">
        <f>H138</f>
        <v/>
      </c>
      <c r="J138">
        <f>I138</f>
        <v/>
      </c>
      <c r="K138" s="2" t="inlineStr">
        <is>
          <t>-</t>
        </is>
      </c>
    </row>
    <row r="139">
      <c r="A139" t="n">
        <v>137</v>
      </c>
      <c r="B139" t="inlineStr">
        <is>
          <t>EPS</t>
        </is>
      </c>
      <c r="C139" t="inlineStr">
        <is>
          <t>EPS SP0 Voltage</t>
        </is>
      </c>
      <c r="D139" t="n">
        <v>1136</v>
      </c>
      <c r="E139" t="n">
        <v>16</v>
      </c>
      <c r="F139" t="inlineStr">
        <is>
          <t>LE</t>
        </is>
      </c>
      <c r="G139" t="inlineStr">
        <is>
          <t>uint16_t</t>
        </is>
      </c>
      <c r="H139">
        <f>_DestuffedBits!C1266*128+_DestuffedBits!C1267*64+_DestuffedBits!C1268*32+_DestuffedBits!C1269*16+_DestuffedBits!C1270*8+_DestuffedBits!C1271*4+_DestuffedBits!C1272*2+_DestuffedBits!C1273*1+_DestuffedBits!C1274*32768+_DestuffedBits!C1275*16384+_DestuffedBits!C1276*8192+_DestuffedBits!C1277*4096+_DestuffedBits!C1278*2048+_DestuffedBits!C1279*1024+_DestuffedBits!C1280*512+_DestuffedBits!C1281*256</f>
        <v/>
      </c>
      <c r="I139">
        <f>H139</f>
        <v/>
      </c>
      <c r="J139">
        <f>I139</f>
        <v/>
      </c>
      <c r="K139" s="2" t="inlineStr">
        <is>
          <t>-</t>
        </is>
      </c>
    </row>
    <row r="140">
      <c r="A140" t="n">
        <v>138</v>
      </c>
      <c r="B140" t="inlineStr">
        <is>
          <t>EPS</t>
        </is>
      </c>
      <c r="C140" t="inlineStr">
        <is>
          <t>EPS SP1 Voltage</t>
        </is>
      </c>
      <c r="D140" t="n">
        <v>1152</v>
      </c>
      <c r="E140" t="n">
        <v>16</v>
      </c>
      <c r="F140" t="inlineStr">
        <is>
          <t>LE</t>
        </is>
      </c>
      <c r="G140" t="inlineStr">
        <is>
          <t>uint16_t</t>
        </is>
      </c>
      <c r="H140">
        <f>_DestuffedBits!C1282*128+_DestuffedBits!C1283*64+_DestuffedBits!C1284*32+_DestuffedBits!C1285*16+_DestuffedBits!C1286*8+_DestuffedBits!C1287*4+_DestuffedBits!C1288*2+_DestuffedBits!C1289*1+_DestuffedBits!C1290*32768+_DestuffedBits!C1291*16384+_DestuffedBits!C1292*8192+_DestuffedBits!C1293*4096+_DestuffedBits!C1294*2048+_DestuffedBits!C1295*1024+_DestuffedBits!C1296*512+_DestuffedBits!C1297*256</f>
        <v/>
      </c>
      <c r="I140">
        <f>H140</f>
        <v/>
      </c>
      <c r="J140">
        <f>I140</f>
        <v/>
      </c>
      <c r="K140" s="2" t="inlineStr">
        <is>
          <t>-</t>
        </is>
      </c>
    </row>
    <row r="141">
      <c r="A141" t="n">
        <v>139</v>
      </c>
      <c r="B141" t="inlineStr">
        <is>
          <t>EPS</t>
        </is>
      </c>
      <c r="C141" t="inlineStr">
        <is>
          <t>EPS SP2 Voltage</t>
        </is>
      </c>
      <c r="D141" t="n">
        <v>1168</v>
      </c>
      <c r="E141" t="n">
        <v>16</v>
      </c>
      <c r="F141" t="inlineStr">
        <is>
          <t>LE</t>
        </is>
      </c>
      <c r="G141" t="inlineStr">
        <is>
          <t>uint16_t</t>
        </is>
      </c>
      <c r="H141">
        <f>_DestuffedBits!C1298*128+_DestuffedBits!C1299*64+_DestuffedBits!C1300*32+_DestuffedBits!C1301*16+_DestuffedBits!C1302*8+_DestuffedBits!C1303*4+_DestuffedBits!C1304*2+_DestuffedBits!C1305*1+_DestuffedBits!C1306*32768+_DestuffedBits!C1307*16384+_DestuffedBits!C1308*8192+_DestuffedBits!C1309*4096+_DestuffedBits!C1310*2048+_DestuffedBits!C1311*1024+_DestuffedBits!C1312*512+_DestuffedBits!C1313*256</f>
        <v/>
      </c>
      <c r="I141">
        <f>H141</f>
        <v/>
      </c>
      <c r="J141">
        <f>I141</f>
        <v/>
      </c>
      <c r="K141" s="2" t="inlineStr">
        <is>
          <t>-</t>
        </is>
      </c>
    </row>
    <row r="142">
      <c r="A142" t="n">
        <v>140</v>
      </c>
      <c r="B142" t="inlineStr">
        <is>
          <t>EPS</t>
        </is>
      </c>
      <c r="C142" t="inlineStr">
        <is>
          <t>EPS SP3 Voltage</t>
        </is>
      </c>
      <c r="D142" t="n">
        <v>1184</v>
      </c>
      <c r="E142" t="n">
        <v>16</v>
      </c>
      <c r="F142" t="inlineStr">
        <is>
          <t>LE</t>
        </is>
      </c>
      <c r="G142" t="inlineStr">
        <is>
          <t>uint16_t</t>
        </is>
      </c>
      <c r="H142">
        <f>_DestuffedBits!C1314*128+_DestuffedBits!C1315*64+_DestuffedBits!C1316*32+_DestuffedBits!C1317*16+_DestuffedBits!C1318*8+_DestuffedBits!C1319*4+_DestuffedBits!C1320*2+_DestuffedBits!C1321*1+_DestuffedBits!C1322*32768+_DestuffedBits!C1323*16384+_DestuffedBits!C1324*8192+_DestuffedBits!C1325*4096+_DestuffedBits!C1326*2048+_DestuffedBits!C1327*1024+_DestuffedBits!C1328*512+_DestuffedBits!C1329*256</f>
        <v/>
      </c>
      <c r="I142">
        <f>H142</f>
        <v/>
      </c>
      <c r="J142">
        <f>I142</f>
        <v/>
      </c>
      <c r="K142" s="2" t="inlineStr">
        <is>
          <t>-</t>
        </is>
      </c>
    </row>
    <row r="143">
      <c r="A143" t="n">
        <v>141</v>
      </c>
      <c r="B143" t="inlineStr">
        <is>
          <t>EPS</t>
        </is>
      </c>
      <c r="C143" t="inlineStr">
        <is>
          <t>EPS SP4 Voltage</t>
        </is>
      </c>
      <c r="D143" t="n">
        <v>1200</v>
      </c>
      <c r="E143" t="n">
        <v>16</v>
      </c>
      <c r="F143" t="inlineStr">
        <is>
          <t>LE</t>
        </is>
      </c>
      <c r="G143" t="inlineStr">
        <is>
          <t>uint16_t</t>
        </is>
      </c>
      <c r="H143">
        <f>_DestuffedBits!C1330*128+_DestuffedBits!C1331*64+_DestuffedBits!C1332*32+_DestuffedBits!C1333*16+_DestuffedBits!C1334*8+_DestuffedBits!C1335*4+_DestuffedBits!C1336*2+_DestuffedBits!C1337*1+_DestuffedBits!C1338*32768+_DestuffedBits!C1339*16384+_DestuffedBits!C1340*8192+_DestuffedBits!C1341*4096+_DestuffedBits!C1342*2048+_DestuffedBits!C1343*1024+_DestuffedBits!C1344*512+_DestuffedBits!C1345*256</f>
        <v/>
      </c>
      <c r="I143">
        <f>H143</f>
        <v/>
      </c>
      <c r="J143">
        <f>I143</f>
        <v/>
      </c>
      <c r="K143" s="2" t="inlineStr">
        <is>
          <t>-</t>
        </is>
      </c>
    </row>
    <row r="144">
      <c r="A144" t="n">
        <v>142</v>
      </c>
      <c r="B144" t="inlineStr">
        <is>
          <t>EPS</t>
        </is>
      </c>
      <c r="C144" t="inlineStr">
        <is>
          <t>EPS SP0 Current</t>
        </is>
      </c>
      <c r="D144" t="n">
        <v>1216</v>
      </c>
      <c r="E144" t="n">
        <v>16</v>
      </c>
      <c r="F144" t="inlineStr">
        <is>
          <t>LE</t>
        </is>
      </c>
      <c r="G144" t="inlineStr">
        <is>
          <t>uint16_t</t>
        </is>
      </c>
      <c r="H144">
        <f>_DestuffedBits!C1346*128+_DestuffedBits!C1347*64+_DestuffedBits!C1348*32+_DestuffedBits!C1349*16+_DestuffedBits!C1350*8+_DestuffedBits!C1351*4+_DestuffedBits!C1352*2+_DestuffedBits!C1353*1+_DestuffedBits!C1354*32768+_DestuffedBits!C1355*16384+_DestuffedBits!C1356*8192+_DestuffedBits!C1357*4096+_DestuffedBits!C1358*2048+_DestuffedBits!C1359*1024+_DestuffedBits!C1360*512+_DestuffedBits!C1361*256</f>
        <v/>
      </c>
      <c r="I144">
        <f>H144</f>
        <v/>
      </c>
      <c r="J144">
        <f>I144</f>
        <v/>
      </c>
      <c r="K144" s="2" t="inlineStr">
        <is>
          <t>-</t>
        </is>
      </c>
    </row>
    <row r="145">
      <c r="A145" t="n">
        <v>143</v>
      </c>
      <c r="B145" t="inlineStr">
        <is>
          <t>EPS</t>
        </is>
      </c>
      <c r="C145" t="inlineStr">
        <is>
          <t>EPS SP1 Current</t>
        </is>
      </c>
      <c r="D145" t="n">
        <v>1232</v>
      </c>
      <c r="E145" t="n">
        <v>16</v>
      </c>
      <c r="F145" t="inlineStr">
        <is>
          <t>LE</t>
        </is>
      </c>
      <c r="G145" t="inlineStr">
        <is>
          <t>uint16_t</t>
        </is>
      </c>
      <c r="H145">
        <f>_DestuffedBits!C1362*128+_DestuffedBits!C1363*64+_DestuffedBits!C1364*32+_DestuffedBits!C1365*16+_DestuffedBits!C1366*8+_DestuffedBits!C1367*4+_DestuffedBits!C1368*2+_DestuffedBits!C1369*1+_DestuffedBits!C1370*32768+_DestuffedBits!C1371*16384+_DestuffedBits!C1372*8192+_DestuffedBits!C1373*4096+_DestuffedBits!C1374*2048+_DestuffedBits!C1375*1024+_DestuffedBits!C1376*512+_DestuffedBits!C1377*256</f>
        <v/>
      </c>
      <c r="I145">
        <f>H145</f>
        <v/>
      </c>
      <c r="J145">
        <f>I145</f>
        <v/>
      </c>
      <c r="K145" s="2" t="inlineStr">
        <is>
          <t>-</t>
        </is>
      </c>
    </row>
    <row r="146">
      <c r="A146" t="n">
        <v>144</v>
      </c>
      <c r="B146" t="inlineStr">
        <is>
          <t>EPS</t>
        </is>
      </c>
      <c r="C146" t="inlineStr">
        <is>
          <t>EPS SP2 Current</t>
        </is>
      </c>
      <c r="D146" t="n">
        <v>1248</v>
      </c>
      <c r="E146" t="n">
        <v>16</v>
      </c>
      <c r="F146" t="inlineStr">
        <is>
          <t>LE</t>
        </is>
      </c>
      <c r="G146" t="inlineStr">
        <is>
          <t>uint16_t</t>
        </is>
      </c>
      <c r="H146">
        <f>_DestuffedBits!C1378*128+_DestuffedBits!C1379*64+_DestuffedBits!C1380*32+_DestuffedBits!C1381*16+_DestuffedBits!C1382*8+_DestuffedBits!C1383*4+_DestuffedBits!C1384*2+_DestuffedBits!C1385*1+_DestuffedBits!C1386*32768+_DestuffedBits!C1387*16384+_DestuffedBits!C1388*8192+_DestuffedBits!C1389*4096+_DestuffedBits!C1390*2048+_DestuffedBits!C1391*1024+_DestuffedBits!C1392*512+_DestuffedBits!C1393*256</f>
        <v/>
      </c>
      <c r="I146">
        <f>H146</f>
        <v/>
      </c>
      <c r="J146">
        <f>I146</f>
        <v/>
      </c>
      <c r="K146" s="2" t="inlineStr">
        <is>
          <t>-</t>
        </is>
      </c>
    </row>
    <row r="147">
      <c r="A147" t="n">
        <v>145</v>
      </c>
      <c r="B147" t="inlineStr">
        <is>
          <t>EPS</t>
        </is>
      </c>
      <c r="C147" t="inlineStr">
        <is>
          <t>EPS SP3 Current</t>
        </is>
      </c>
      <c r="D147" t="n">
        <v>1264</v>
      </c>
      <c r="E147" t="n">
        <v>16</v>
      </c>
      <c r="F147" t="inlineStr">
        <is>
          <t>LE</t>
        </is>
      </c>
      <c r="G147" t="inlineStr">
        <is>
          <t>uint16_t</t>
        </is>
      </c>
      <c r="H147">
        <f>_DestuffedBits!C1394*128+_DestuffedBits!C1395*64+_DestuffedBits!C1396*32+_DestuffedBits!C1397*16+_DestuffedBits!C1398*8+_DestuffedBits!C1399*4+_DestuffedBits!C1400*2+_DestuffedBits!C1401*1+_DestuffedBits!C1402*32768+_DestuffedBits!C1403*16384+_DestuffedBits!C1404*8192+_DestuffedBits!C1405*4096+_DestuffedBits!C1406*2048+_DestuffedBits!C1407*1024+_DestuffedBits!C1408*512+_DestuffedBits!C1409*256</f>
        <v/>
      </c>
      <c r="I147">
        <f>H147</f>
        <v/>
      </c>
      <c r="J147">
        <f>I147</f>
        <v/>
      </c>
      <c r="K147" s="2" t="inlineStr">
        <is>
          <t>-</t>
        </is>
      </c>
    </row>
    <row r="148">
      <c r="A148" t="n">
        <v>146</v>
      </c>
      <c r="B148" t="inlineStr">
        <is>
          <t>EPS</t>
        </is>
      </c>
      <c r="C148" t="inlineStr">
        <is>
          <t>EPS SP4 Current</t>
        </is>
      </c>
      <c r="D148" t="n">
        <v>1280</v>
      </c>
      <c r="E148" t="n">
        <v>16</v>
      </c>
      <c r="F148" t="inlineStr">
        <is>
          <t>LE</t>
        </is>
      </c>
      <c r="G148" t="inlineStr">
        <is>
          <t>uint16_t</t>
        </is>
      </c>
      <c r="H148">
        <f>_DestuffedBits!C1410*128+_DestuffedBits!C1411*64+_DestuffedBits!C1412*32+_DestuffedBits!C1413*16+_DestuffedBits!C1414*8+_DestuffedBits!C1415*4+_DestuffedBits!C1416*2+_DestuffedBits!C1417*1+_DestuffedBits!C1418*32768+_DestuffedBits!C1419*16384+_DestuffedBits!C1420*8192+_DestuffedBits!C1421*4096+_DestuffedBits!C1422*2048+_DestuffedBits!C1423*1024+_DestuffedBits!C1424*512+_DestuffedBits!C1425*256</f>
        <v/>
      </c>
      <c r="I148">
        <f>H148</f>
        <v/>
      </c>
      <c r="J148">
        <f>I148</f>
        <v/>
      </c>
      <c r="K148" s="2" t="inlineStr">
        <is>
          <t>-</t>
        </is>
      </c>
    </row>
    <row r="149">
      <c r="A149" t="n">
        <v>147</v>
      </c>
      <c r="B149" t="inlineStr">
        <is>
          <t>EPS</t>
        </is>
      </c>
      <c r="C149" t="inlineStr">
        <is>
          <t>EPS Battery Voltage</t>
        </is>
      </c>
      <c r="D149" t="n">
        <v>1296</v>
      </c>
      <c r="E149" t="n">
        <v>16</v>
      </c>
      <c r="F149" t="inlineStr">
        <is>
          <t>LE</t>
        </is>
      </c>
      <c r="G149" t="inlineStr">
        <is>
          <t>uint16_t</t>
        </is>
      </c>
      <c r="H149">
        <f>_DestuffedBits!C1426*128+_DestuffedBits!C1427*64+_DestuffedBits!C1428*32+_DestuffedBits!C1429*16+_DestuffedBits!C1430*8+_DestuffedBits!C1431*4+_DestuffedBits!C1432*2+_DestuffedBits!C1433*1+_DestuffedBits!C1434*32768+_DestuffedBits!C1435*16384+_DestuffedBits!C1436*8192+_DestuffedBits!C1437*4096+_DestuffedBits!C1438*2048+_DestuffedBits!C1439*1024+_DestuffedBits!C1440*512+_DestuffedBits!C1441*256</f>
        <v/>
      </c>
      <c r="I149">
        <f>H149</f>
        <v/>
      </c>
      <c r="J149">
        <f>I149</f>
        <v/>
      </c>
      <c r="K149" s="2" t="inlineStr">
        <is>
          <t>-</t>
        </is>
      </c>
    </row>
    <row r="150">
      <c r="A150" t="n">
        <v>148</v>
      </c>
      <c r="B150" t="inlineStr">
        <is>
          <t>EPS</t>
        </is>
      </c>
      <c r="C150" t="inlineStr">
        <is>
          <t>EPS Battery Current</t>
        </is>
      </c>
      <c r="D150" t="n">
        <v>1312</v>
      </c>
      <c r="E150" t="n">
        <v>16</v>
      </c>
      <c r="F150" t="inlineStr">
        <is>
          <t>LE</t>
        </is>
      </c>
      <c r="G150" t="inlineStr">
        <is>
          <t>int16_t</t>
        </is>
      </c>
      <c r="H150">
        <f>_DestuffedBits!C1442*128+_DestuffedBits!C1443*64+_DestuffedBits!C1444*32+_DestuffedBits!C1445*16+_DestuffedBits!C1446*8+_DestuffedBits!C1447*4+_DestuffedBits!C1448*2+_DestuffedBits!C1449*1+_DestuffedBits!C1450*32768+_DestuffedBits!C1451*16384+_DestuffedBits!C1452*8192+_DestuffedBits!C1453*4096+_DestuffedBits!C1454*2048+_DestuffedBits!C1455*1024+_DestuffedBits!C1456*512+_DestuffedBits!C1457*256</f>
        <v/>
      </c>
      <c r="I150">
        <f>IF(H150&gt;=32768,H150-65536,H150)</f>
        <v/>
      </c>
      <c r="J150">
        <f>I150</f>
        <v/>
      </c>
      <c r="K150" s="2" t="inlineStr">
        <is>
          <t>-</t>
        </is>
      </c>
    </row>
    <row r="151">
      <c r="A151" t="n">
        <v>149</v>
      </c>
      <c r="B151" t="inlineStr">
        <is>
          <t>EPS</t>
        </is>
      </c>
      <c r="C151" t="inlineStr">
        <is>
          <t>EPS main Battery Voltage</t>
        </is>
      </c>
      <c r="D151" t="n">
        <v>1328</v>
      </c>
      <c r="E151" t="n">
        <v>16</v>
      </c>
      <c r="F151" t="inlineStr">
        <is>
          <t>LE</t>
        </is>
      </c>
      <c r="G151" t="inlineStr">
        <is>
          <t>uint16_t</t>
        </is>
      </c>
      <c r="H151">
        <f>_DestuffedBits!C1458*128+_DestuffedBits!C1459*64+_DestuffedBits!C1460*32+_DestuffedBits!C1461*16+_DestuffedBits!C1462*8+_DestuffedBits!C1463*4+_DestuffedBits!C1464*2+_DestuffedBits!C1465*1+_DestuffedBits!C1466*32768+_DestuffedBits!C1467*16384+_DestuffedBits!C1468*8192+_DestuffedBits!C1469*4096+_DestuffedBits!C1470*2048+_DestuffedBits!C1471*1024+_DestuffedBits!C1472*512+_DestuffedBits!C1473*256</f>
        <v/>
      </c>
      <c r="I151">
        <f>H151</f>
        <v/>
      </c>
      <c r="J151">
        <f>I151</f>
        <v/>
      </c>
      <c r="K151" s="2" t="inlineStr">
        <is>
          <t>-</t>
        </is>
      </c>
    </row>
    <row r="152">
      <c r="A152" t="n">
        <v>150</v>
      </c>
      <c r="B152" t="inlineStr">
        <is>
          <t>EPS</t>
        </is>
      </c>
      <c r="C152" t="inlineStr">
        <is>
          <t>EPS main Battery Current</t>
        </is>
      </c>
      <c r="D152" t="n">
        <v>1344</v>
      </c>
      <c r="E152" t="n">
        <v>16</v>
      </c>
      <c r="F152" t="inlineStr">
        <is>
          <t>LE</t>
        </is>
      </c>
      <c r="G152" t="inlineStr">
        <is>
          <t>int16_t</t>
        </is>
      </c>
      <c r="H152">
        <f>_DestuffedBits!C1474*128+_DestuffedBits!C1475*64+_DestuffedBits!C1476*32+_DestuffedBits!C1477*16+_DestuffedBits!C1478*8+_DestuffedBits!C1479*4+_DestuffedBits!C1480*2+_DestuffedBits!C1481*1+_DestuffedBits!C1482*32768+_DestuffedBits!C1483*16384+_DestuffedBits!C1484*8192+_DestuffedBits!C1485*4096+_DestuffedBits!C1486*2048+_DestuffedBits!C1487*1024+_DestuffedBits!C1488*512+_DestuffedBits!C1489*256</f>
        <v/>
      </c>
      <c r="I152">
        <f>IF(H152&gt;=32768,H152-65536,H152)</f>
        <v/>
      </c>
      <c r="J152">
        <f>I152</f>
        <v/>
      </c>
      <c r="K152" s="2" t="inlineStr">
        <is>
          <t>-</t>
        </is>
      </c>
    </row>
    <row r="153">
      <c r="A153" t="n">
        <v>151</v>
      </c>
      <c r="B153" t="inlineStr">
        <is>
          <t>EPS</t>
        </is>
      </c>
      <c r="C153" t="inlineStr">
        <is>
          <t>EPS main SOC</t>
        </is>
      </c>
      <c r="D153" t="n">
        <v>1360</v>
      </c>
      <c r="E153" t="n">
        <v>16</v>
      </c>
      <c r="F153" t="inlineStr">
        <is>
          <t>LE</t>
        </is>
      </c>
      <c r="G153" t="inlineStr">
        <is>
          <t>uint16_t</t>
        </is>
      </c>
      <c r="H153">
        <f>_DestuffedBits!C1490*128+_DestuffedBits!C1491*64+_DestuffedBits!C1492*32+_DestuffedBits!C1493*16+_DestuffedBits!C1494*8+_DestuffedBits!C1495*4+_DestuffedBits!C1496*2+_DestuffedBits!C1497*1+_DestuffedBits!C1498*32768+_DestuffedBits!C1499*16384+_DestuffedBits!C1500*8192+_DestuffedBits!C1501*4096+_DestuffedBits!C1502*2048+_DestuffedBits!C1503*1024+_DestuffedBits!C1504*512+_DestuffedBits!C1505*256</f>
        <v/>
      </c>
      <c r="I153">
        <f>H153</f>
        <v/>
      </c>
      <c r="J153">
        <f>ROUND(I153*0.01,4)&amp;" %"</f>
        <v/>
      </c>
      <c r="K153" s="2" t="inlineStr">
        <is>
          <t>transform:EPS_main_SOC {'scale': 0.01, 'unit': '%'}</t>
        </is>
      </c>
    </row>
    <row r="154">
      <c r="A154" t="n">
        <v>152</v>
      </c>
      <c r="B154" t="inlineStr">
        <is>
          <t>EPS</t>
        </is>
      </c>
      <c r="C154" t="inlineStr">
        <is>
          <t>EPS Battery Temperature 1</t>
        </is>
      </c>
      <c r="D154" t="n">
        <v>1376</v>
      </c>
      <c r="E154" t="n">
        <v>8</v>
      </c>
      <c r="F154" t="inlineStr">
        <is>
          <t>BE</t>
        </is>
      </c>
      <c r="G154" t="inlineStr">
        <is>
          <t>int8_t</t>
        </is>
      </c>
      <c r="H154">
        <f>_DestuffedBits!C1506*128+_DestuffedBits!C1507*64+_DestuffedBits!C1508*32+_DestuffedBits!C1509*16+_DestuffedBits!C1510*8+_DestuffedBits!C1511*4+_DestuffedBits!C1512*2+_DestuffedBits!C1513*1</f>
        <v/>
      </c>
      <c r="I154">
        <f>IF(H154&gt;=128,H154-256,H154)</f>
        <v/>
      </c>
      <c r="J154">
        <f>I154</f>
        <v/>
      </c>
      <c r="K154" s="2" t="inlineStr">
        <is>
          <t>-</t>
        </is>
      </c>
    </row>
    <row r="155">
      <c r="A155" t="n">
        <v>153</v>
      </c>
      <c r="B155" t="inlineStr">
        <is>
          <t>EPS</t>
        </is>
      </c>
      <c r="C155" t="inlineStr">
        <is>
          <t>EPS Battery Temperature 2</t>
        </is>
      </c>
      <c r="D155" t="n">
        <v>1384</v>
      </c>
      <c r="E155" t="n">
        <v>8</v>
      </c>
      <c r="F155" t="inlineStr">
        <is>
          <t>BE</t>
        </is>
      </c>
      <c r="G155" t="inlineStr">
        <is>
          <t>int8_t</t>
        </is>
      </c>
      <c r="H155">
        <f>_DestuffedBits!C1514*128+_DestuffedBits!C1515*64+_DestuffedBits!C1516*32+_DestuffedBits!C1517*16+_DestuffedBits!C1518*8+_DestuffedBits!C1519*4+_DestuffedBits!C1520*2+_DestuffedBits!C1521*1</f>
        <v/>
      </c>
      <c r="I155">
        <f>IF(H155&gt;=128,H155-256,H155)</f>
        <v/>
      </c>
      <c r="J155">
        <f>I155</f>
        <v/>
      </c>
      <c r="K155" s="2" t="inlineStr">
        <is>
          <t>-</t>
        </is>
      </c>
    </row>
    <row r="156">
      <c r="A156" t="n">
        <v>154</v>
      </c>
      <c r="B156" t="inlineStr">
        <is>
          <t>EPS</t>
        </is>
      </c>
      <c r="C156" t="inlineStr">
        <is>
          <t>EPS Battery Temperature 3</t>
        </is>
      </c>
      <c r="D156" t="n">
        <v>1392</v>
      </c>
      <c r="E156" t="n">
        <v>8</v>
      </c>
      <c r="F156" t="inlineStr">
        <is>
          <t>BE</t>
        </is>
      </c>
      <c r="G156" t="inlineStr">
        <is>
          <t>int8_t</t>
        </is>
      </c>
      <c r="H156">
        <f>_DestuffedBits!C1522*128+_DestuffedBits!C1523*64+_DestuffedBits!C1524*32+_DestuffedBits!C1525*16+_DestuffedBits!C1526*8+_DestuffedBits!C1527*4+_DestuffedBits!C1528*2+_DestuffedBits!C1529*1</f>
        <v/>
      </c>
      <c r="I156">
        <f>IF(H156&gt;=128,H156-256,H156)</f>
        <v/>
      </c>
      <c r="J156">
        <f>I156</f>
        <v/>
      </c>
      <c r="K156" s="2" t="inlineStr">
        <is>
          <t>-</t>
        </is>
      </c>
    </row>
    <row r="157">
      <c r="A157" t="n">
        <v>155</v>
      </c>
      <c r="B157" t="inlineStr">
        <is>
          <t>EPS</t>
        </is>
      </c>
      <c r="C157" t="inlineStr">
        <is>
          <t>EPS SP0 Temperature</t>
        </is>
      </c>
      <c r="D157" t="n">
        <v>1400</v>
      </c>
      <c r="E157" t="n">
        <v>8</v>
      </c>
      <c r="F157" t="inlineStr">
        <is>
          <t>BE</t>
        </is>
      </c>
      <c r="G157" t="inlineStr">
        <is>
          <t>int8_t</t>
        </is>
      </c>
      <c r="H157">
        <f>_DestuffedBits!C1530*128+_DestuffedBits!C1531*64+_DestuffedBits!C1532*32+_DestuffedBits!C1533*16+_DestuffedBits!C1534*8+_DestuffedBits!C1535*4+_DestuffedBits!C1536*2+_DestuffedBits!C1537*1</f>
        <v/>
      </c>
      <c r="I157">
        <f>IF(H157&gt;=128,H157-256,H157)</f>
        <v/>
      </c>
      <c r="J157">
        <f>I157</f>
        <v/>
      </c>
      <c r="K157" s="2" t="inlineStr">
        <is>
          <t>-</t>
        </is>
      </c>
    </row>
    <row r="158">
      <c r="A158" t="n">
        <v>156</v>
      </c>
      <c r="B158" t="inlineStr">
        <is>
          <t>EPS</t>
        </is>
      </c>
      <c r="C158" t="inlineStr">
        <is>
          <t>EPS SP1 Temperature</t>
        </is>
      </c>
      <c r="D158" t="n">
        <v>1408</v>
      </c>
      <c r="E158" t="n">
        <v>8</v>
      </c>
      <c r="F158" t="inlineStr">
        <is>
          <t>BE</t>
        </is>
      </c>
      <c r="G158" t="inlineStr">
        <is>
          <t>int8_t</t>
        </is>
      </c>
      <c r="H158">
        <f>_DestuffedBits!C1538*128+_DestuffedBits!C1539*64+_DestuffedBits!C1540*32+_DestuffedBits!C1541*16+_DestuffedBits!C1542*8+_DestuffedBits!C1543*4+_DestuffedBits!C1544*2+_DestuffedBits!C1545*1</f>
        <v/>
      </c>
      <c r="I158">
        <f>IF(H158&gt;=128,H158-256,H158)</f>
        <v/>
      </c>
      <c r="J158">
        <f>I158</f>
        <v/>
      </c>
      <c r="K158" s="2" t="inlineStr">
        <is>
          <t>-</t>
        </is>
      </c>
    </row>
    <row r="159">
      <c r="A159" t="n">
        <v>157</v>
      </c>
      <c r="B159" t="inlineStr">
        <is>
          <t>EPS</t>
        </is>
      </c>
      <c r="C159" t="inlineStr">
        <is>
          <t>EPS SP2 Temperature</t>
        </is>
      </c>
      <c r="D159" t="n">
        <v>1416</v>
      </c>
      <c r="E159" t="n">
        <v>8</v>
      </c>
      <c r="F159" t="inlineStr">
        <is>
          <t>BE</t>
        </is>
      </c>
      <c r="G159" t="inlineStr">
        <is>
          <t>int8_t</t>
        </is>
      </c>
      <c r="H159">
        <f>_DestuffedBits!C1546*128+_DestuffedBits!C1547*64+_DestuffedBits!C1548*32+_DestuffedBits!C1549*16+_DestuffedBits!C1550*8+_DestuffedBits!C1551*4+_DestuffedBits!C1552*2+_DestuffedBits!C1553*1</f>
        <v/>
      </c>
      <c r="I159">
        <f>IF(H159&gt;=128,H159-256,H159)</f>
        <v/>
      </c>
      <c r="J159">
        <f>I159</f>
        <v/>
      </c>
      <c r="K159" s="2" t="inlineStr">
        <is>
          <t>-</t>
        </is>
      </c>
    </row>
    <row r="160">
      <c r="A160" t="n">
        <v>158</v>
      </c>
      <c r="B160" t="inlineStr">
        <is>
          <t>EPS</t>
        </is>
      </c>
      <c r="C160" t="inlineStr">
        <is>
          <t>EPS SP3 Temperature</t>
        </is>
      </c>
      <c r="D160" t="n">
        <v>1424</v>
      </c>
      <c r="E160" t="n">
        <v>8</v>
      </c>
      <c r="F160" t="inlineStr">
        <is>
          <t>BE</t>
        </is>
      </c>
      <c r="G160" t="inlineStr">
        <is>
          <t>int8_t</t>
        </is>
      </c>
      <c r="H160">
        <f>_DestuffedBits!C1554*128+_DestuffedBits!C1555*64+_DestuffedBits!C1556*32+_DestuffedBits!C1557*16+_DestuffedBits!C1558*8+_DestuffedBits!C1559*4+_DestuffedBits!C1560*2+_DestuffedBits!C1561*1</f>
        <v/>
      </c>
      <c r="I160">
        <f>IF(H160&gt;=128,H160-256,H160)</f>
        <v/>
      </c>
      <c r="J160">
        <f>I160</f>
        <v/>
      </c>
      <c r="K160" s="2" t="inlineStr">
        <is>
          <t>-</t>
        </is>
      </c>
    </row>
    <row r="161">
      <c r="A161" t="n">
        <v>159</v>
      </c>
      <c r="B161" t="inlineStr">
        <is>
          <t>EPS</t>
        </is>
      </c>
      <c r="C161" t="inlineStr">
        <is>
          <t>EPS SP4 Temperature</t>
        </is>
      </c>
      <c r="D161" t="n">
        <v>1432</v>
      </c>
      <c r="E161" t="n">
        <v>8</v>
      </c>
      <c r="F161" t="inlineStr">
        <is>
          <t>BE</t>
        </is>
      </c>
      <c r="G161" t="inlineStr">
        <is>
          <t>int8_t</t>
        </is>
      </c>
      <c r="H161">
        <f>_DestuffedBits!C1562*128+_DestuffedBits!C1563*64+_DestuffedBits!C1564*32+_DestuffedBits!C1565*16+_DestuffedBits!C1566*8+_DestuffedBits!C1567*4+_DestuffedBits!C1568*2+_DestuffedBits!C1569*1</f>
        <v/>
      </c>
      <c r="I161">
        <f>IF(H161&gt;=128,H161-256,H161)</f>
        <v/>
      </c>
      <c r="J161">
        <f>I161</f>
        <v/>
      </c>
      <c r="K161" s="2" t="inlineStr">
        <is>
          <t>-</t>
        </is>
      </c>
    </row>
    <row r="162">
      <c r="A162" t="n">
        <v>160</v>
      </c>
      <c r="B162" t="inlineStr">
        <is>
          <t>EPS</t>
        </is>
      </c>
      <c r="C162" t="inlineStr">
        <is>
          <t>EPS main Board Temperature</t>
        </is>
      </c>
      <c r="D162" t="n">
        <v>1440</v>
      </c>
      <c r="E162" t="n">
        <v>8</v>
      </c>
      <c r="F162" t="inlineStr">
        <is>
          <t>BE</t>
        </is>
      </c>
      <c r="G162" t="inlineStr">
        <is>
          <t>int8_t</t>
        </is>
      </c>
      <c r="H162">
        <f>_DestuffedBits!C1570*128+_DestuffedBits!C1571*64+_DestuffedBits!C1572*32+_DestuffedBits!C1573*16+_DestuffedBits!C1574*8+_DestuffedBits!C1575*4+_DestuffedBits!C1576*2+_DestuffedBits!C1577*1</f>
        <v/>
      </c>
      <c r="I162">
        <f>IF(H162&gt;=128,H162-256,H162)</f>
        <v/>
      </c>
      <c r="J162">
        <f>I162</f>
        <v/>
      </c>
      <c r="K162" s="2" t="inlineStr">
        <is>
          <t>-</t>
        </is>
      </c>
    </row>
    <row r="163">
      <c r="A163" t="n">
        <v>161</v>
      </c>
      <c r="B163" t="inlineStr">
        <is>
          <t>EPS</t>
        </is>
      </c>
      <c r="C163" t="inlineStr">
        <is>
          <t>EPS Distribution Board Temperature</t>
        </is>
      </c>
      <c r="D163" t="n">
        <v>1448</v>
      </c>
      <c r="E163" t="n">
        <v>8</v>
      </c>
      <c r="F163" t="inlineStr">
        <is>
          <t>BE</t>
        </is>
      </c>
      <c r="G163" t="inlineStr">
        <is>
          <t>int8_t</t>
        </is>
      </c>
      <c r="H163">
        <f>_DestuffedBits!C1578*128+_DestuffedBits!C1579*64+_DestuffedBits!C1580*32+_DestuffedBits!C1581*16+_DestuffedBits!C1582*8+_DestuffedBits!C1583*4+_DestuffedBits!C1584*2+_DestuffedBits!C1585*1</f>
        <v/>
      </c>
      <c r="I163">
        <f>IF(H163&gt;=128,H163-256,H163)</f>
        <v/>
      </c>
      <c r="J163">
        <f>I163</f>
        <v/>
      </c>
      <c r="K163" s="2" t="inlineStr">
        <is>
          <t>-</t>
        </is>
      </c>
    </row>
    <row r="164">
      <c r="A164" t="n">
        <v>162</v>
      </c>
      <c r="B164" t="inlineStr">
        <is>
          <t>EPS</t>
        </is>
      </c>
      <c r="C164" t="inlineStr">
        <is>
          <t>EPS CDH3V3 Temperature</t>
        </is>
      </c>
      <c r="D164" t="n">
        <v>1456</v>
      </c>
      <c r="E164" t="n">
        <v>8</v>
      </c>
      <c r="F164" t="inlineStr">
        <is>
          <t>BE</t>
        </is>
      </c>
      <c r="G164" t="inlineStr">
        <is>
          <t>int8_t</t>
        </is>
      </c>
      <c r="H164">
        <f>_DestuffedBits!C1586*128+_DestuffedBits!C1587*64+_DestuffedBits!C1588*32+_DestuffedBits!C1589*16+_DestuffedBits!C1590*8+_DestuffedBits!C1591*4+_DestuffedBits!C1592*2+_DestuffedBits!C1593*1</f>
        <v/>
      </c>
      <c r="I164">
        <f>IF(H164&gt;=128,H164-256,H164)</f>
        <v/>
      </c>
      <c r="J164">
        <f>I164</f>
        <v/>
      </c>
      <c r="K164" s="2" t="inlineStr">
        <is>
          <t>-</t>
        </is>
      </c>
    </row>
    <row r="165">
      <c r="A165" t="n">
        <v>163</v>
      </c>
      <c r="B165" t="inlineStr">
        <is>
          <t>EPS</t>
        </is>
      </c>
      <c r="C165" t="inlineStr">
        <is>
          <t>EPS CDH3V3 Voltage</t>
        </is>
      </c>
      <c r="D165" t="n">
        <v>1464</v>
      </c>
      <c r="E165" t="n">
        <v>16</v>
      </c>
      <c r="F165" t="inlineStr">
        <is>
          <t>LE</t>
        </is>
      </c>
      <c r="G165" t="inlineStr">
        <is>
          <t>uint16_t</t>
        </is>
      </c>
      <c r="H165">
        <f>_DestuffedBits!C1594*128+_DestuffedBits!C1595*64+_DestuffedBits!C1596*32+_DestuffedBits!C1597*16+_DestuffedBits!C1598*8+_DestuffedBits!C1599*4+_DestuffedBits!C1600*2+_DestuffedBits!C1601*1+_DestuffedBits!C1602*32768+_DestuffedBits!C1603*16384+_DestuffedBits!C1604*8192+_DestuffedBits!C1605*4096+_DestuffedBits!C1606*2048+_DestuffedBits!C1607*1024+_DestuffedBits!C1608*512+_DestuffedBits!C1609*256</f>
        <v/>
      </c>
      <c r="I165">
        <f>H165</f>
        <v/>
      </c>
      <c r="J165">
        <f>I165</f>
        <v/>
      </c>
      <c r="K165" s="2" t="inlineStr">
        <is>
          <t>-</t>
        </is>
      </c>
    </row>
    <row r="166">
      <c r="A166" t="n">
        <v>164</v>
      </c>
      <c r="B166" t="inlineStr">
        <is>
          <t>EPS</t>
        </is>
      </c>
      <c r="C166" t="inlineStr">
        <is>
          <t>EPS CDH3V3 Current</t>
        </is>
      </c>
      <c r="D166" t="n">
        <v>1480</v>
      </c>
      <c r="E166" t="n">
        <v>16</v>
      </c>
      <c r="F166" t="inlineStr">
        <is>
          <t>LE</t>
        </is>
      </c>
      <c r="G166" t="inlineStr">
        <is>
          <t>uint16_t</t>
        </is>
      </c>
      <c r="H166">
        <f>_DestuffedBits!C1610*128+_DestuffedBits!C1611*64+_DestuffedBits!C1612*32+_DestuffedBits!C1613*16+_DestuffedBits!C1614*8+_DestuffedBits!C1615*4+_DestuffedBits!C1616*2+_DestuffedBits!C1617*1+_DestuffedBits!C1618*32768+_DestuffedBits!C1619*16384+_DestuffedBits!C1620*8192+_DestuffedBits!C1621*4096+_DestuffedBits!C1622*2048+_DestuffedBits!C1623*1024+_DestuffedBits!C1624*512+_DestuffedBits!C1625*256</f>
        <v/>
      </c>
      <c r="I166">
        <f>H166</f>
        <v/>
      </c>
      <c r="J166">
        <f>I166</f>
        <v/>
      </c>
      <c r="K166" s="2" t="inlineStr">
        <is>
          <t>-</t>
        </is>
      </c>
    </row>
    <row r="167">
      <c r="A167" t="n">
        <v>165</v>
      </c>
      <c r="B167" t="inlineStr">
        <is>
          <t>EPS</t>
        </is>
      </c>
      <c r="C167" t="inlineStr">
        <is>
          <t>EPS UHF7V Voltage</t>
        </is>
      </c>
      <c r="D167" t="n">
        <v>1496</v>
      </c>
      <c r="E167" t="n">
        <v>16</v>
      </c>
      <c r="F167" t="inlineStr">
        <is>
          <t>LE</t>
        </is>
      </c>
      <c r="G167" t="inlineStr">
        <is>
          <t>uint16_t</t>
        </is>
      </c>
      <c r="H167">
        <f>_DestuffedBits!C1626*128+_DestuffedBits!C1627*64+_DestuffedBits!C1628*32+_DestuffedBits!C1629*16+_DestuffedBits!C1630*8+_DestuffedBits!C1631*4+_DestuffedBits!C1632*2+_DestuffedBits!C1633*1+_DestuffedBits!C1634*32768+_DestuffedBits!C1635*16384+_DestuffedBits!C1636*8192+_DestuffedBits!C1637*4096+_DestuffedBits!C1638*2048+_DestuffedBits!C1639*1024+_DestuffedBits!C1640*512+_DestuffedBits!C1641*256</f>
        <v/>
      </c>
      <c r="I167">
        <f>H167</f>
        <v/>
      </c>
      <c r="J167">
        <f>I167</f>
        <v/>
      </c>
      <c r="K167" s="2" t="inlineStr">
        <is>
          <t>-</t>
        </is>
      </c>
    </row>
    <row r="168">
      <c r="A168" t="n">
        <v>166</v>
      </c>
      <c r="B168" t="inlineStr">
        <is>
          <t>EPS</t>
        </is>
      </c>
      <c r="C168" t="inlineStr">
        <is>
          <t>EPS UHF7V Current</t>
        </is>
      </c>
      <c r="D168" t="n">
        <v>1512</v>
      </c>
      <c r="E168" t="n">
        <v>16</v>
      </c>
      <c r="F168" t="inlineStr">
        <is>
          <t>LE</t>
        </is>
      </c>
      <c r="G168" t="inlineStr">
        <is>
          <t>uint16_t</t>
        </is>
      </c>
      <c r="H168">
        <f>_DestuffedBits!C1642*128+_DestuffedBits!C1643*64+_DestuffedBits!C1644*32+_DestuffedBits!C1645*16+_DestuffedBits!C1646*8+_DestuffedBits!C1647*4+_DestuffedBits!C1648*2+_DestuffedBits!C1649*1+_DestuffedBits!C1650*32768+_DestuffedBits!C1651*16384+_DestuffedBits!C1652*8192+_DestuffedBits!C1653*4096+_DestuffedBits!C1654*2048+_DestuffedBits!C1655*1024+_DestuffedBits!C1656*512+_DestuffedBits!C1657*256</f>
        <v/>
      </c>
      <c r="I168">
        <f>H168</f>
        <v/>
      </c>
      <c r="J168">
        <f>I168</f>
        <v/>
      </c>
      <c r="K168" s="2" t="inlineStr">
        <is>
          <t>-</t>
        </is>
      </c>
    </row>
    <row r="169">
      <c r="A169" t="n">
        <v>167</v>
      </c>
      <c r="B169" t="inlineStr">
        <is>
          <t>EPS</t>
        </is>
      </c>
      <c r="C169" t="inlineStr">
        <is>
          <t>EPS H-SCAN5V Voltage</t>
        </is>
      </c>
      <c r="D169" t="n">
        <v>1528</v>
      </c>
      <c r="E169" t="n">
        <v>16</v>
      </c>
      <c r="F169" t="inlineStr">
        <is>
          <t>LE</t>
        </is>
      </c>
      <c r="G169" t="inlineStr">
        <is>
          <t>uint16_t</t>
        </is>
      </c>
      <c r="H169">
        <f>_DestuffedBits!C1658*128+_DestuffedBits!C1659*64+_DestuffedBits!C1660*32+_DestuffedBits!C1661*16+_DestuffedBits!C1662*8+_DestuffedBits!C1663*4+_DestuffedBits!C1664*2+_DestuffedBits!C1665*1+_DestuffedBits!C1666*32768+_DestuffedBits!C1667*16384+_DestuffedBits!C1668*8192+_DestuffedBits!C1669*4096+_DestuffedBits!C1670*2048+_DestuffedBits!C1671*1024+_DestuffedBits!C1672*512+_DestuffedBits!C1673*256</f>
        <v/>
      </c>
      <c r="I169">
        <f>H169</f>
        <v/>
      </c>
      <c r="J169">
        <f>I169</f>
        <v/>
      </c>
      <c r="K169" s="2" t="inlineStr">
        <is>
          <t>-</t>
        </is>
      </c>
    </row>
    <row r="170">
      <c r="A170" t="n">
        <v>168</v>
      </c>
      <c r="B170" t="inlineStr">
        <is>
          <t>EPS</t>
        </is>
      </c>
      <c r="C170" t="inlineStr">
        <is>
          <t>EPS H-SCAN5V Current</t>
        </is>
      </c>
      <c r="D170" t="n">
        <v>1544</v>
      </c>
      <c r="E170" t="n">
        <v>16</v>
      </c>
      <c r="F170" t="inlineStr">
        <is>
          <t>LE</t>
        </is>
      </c>
      <c r="G170" t="inlineStr">
        <is>
          <t>uint16_t</t>
        </is>
      </c>
      <c r="H170">
        <f>_DestuffedBits!C1674*128+_DestuffedBits!C1675*64+_DestuffedBits!C1676*32+_DestuffedBits!C1677*16+_DestuffedBits!C1678*8+_DestuffedBits!C1679*4+_DestuffedBits!C1680*2+_DestuffedBits!C1681*1+_DestuffedBits!C1682*32768+_DestuffedBits!C1683*16384+_DestuffedBits!C1684*8192+_DestuffedBits!C1685*4096+_DestuffedBits!C1686*2048+_DestuffedBits!C1687*1024+_DestuffedBits!C1688*512+_DestuffedBits!C1689*256</f>
        <v/>
      </c>
      <c r="I170">
        <f>H170</f>
        <v/>
      </c>
      <c r="J170">
        <f>I170</f>
        <v/>
      </c>
      <c r="K170" s="2" t="inlineStr">
        <is>
          <t>-</t>
        </is>
      </c>
    </row>
    <row r="171">
      <c r="A171" t="n">
        <v>169</v>
      </c>
      <c r="B171" t="inlineStr">
        <is>
          <t>EPS</t>
        </is>
      </c>
      <c r="C171" t="inlineStr">
        <is>
          <t>EPS ADCS5V Voltage</t>
        </is>
      </c>
      <c r="D171" t="n">
        <v>1560</v>
      </c>
      <c r="E171" t="n">
        <v>16</v>
      </c>
      <c r="F171" t="inlineStr">
        <is>
          <t>LE</t>
        </is>
      </c>
      <c r="G171" t="inlineStr">
        <is>
          <t>uint16_t</t>
        </is>
      </c>
      <c r="H171">
        <f>_DestuffedBits!C1690*128+_DestuffedBits!C1691*64+_DestuffedBits!C1692*32+_DestuffedBits!C1693*16+_DestuffedBits!C1694*8+_DestuffedBits!C1695*4+_DestuffedBits!C1696*2+_DestuffedBits!C1697*1+_DestuffedBits!C1698*32768+_DestuffedBits!C1699*16384+_DestuffedBits!C1700*8192+_DestuffedBits!C1701*4096+_DestuffedBits!C1702*2048+_DestuffedBits!C1703*1024+_DestuffedBits!C1704*512+_DestuffedBits!C1705*256</f>
        <v/>
      </c>
      <c r="I171">
        <f>H171</f>
        <v/>
      </c>
      <c r="J171">
        <f>I171</f>
        <v/>
      </c>
      <c r="K171" s="2" t="inlineStr">
        <is>
          <t>-</t>
        </is>
      </c>
    </row>
    <row r="172">
      <c r="A172" t="n">
        <v>170</v>
      </c>
      <c r="B172" t="inlineStr">
        <is>
          <t>EPS</t>
        </is>
      </c>
      <c r="C172" t="inlineStr">
        <is>
          <t>EPS ADCS5V Current</t>
        </is>
      </c>
      <c r="D172" t="n">
        <v>1576</v>
      </c>
      <c r="E172" t="n">
        <v>16</v>
      </c>
      <c r="F172" t="inlineStr">
        <is>
          <t>LE</t>
        </is>
      </c>
      <c r="G172" t="inlineStr">
        <is>
          <t>uint16_t</t>
        </is>
      </c>
      <c r="H172">
        <f>_DestuffedBits!C1706*128+_DestuffedBits!C1707*64+_DestuffedBits!C1708*32+_DestuffedBits!C1709*16+_DestuffedBits!C1710*8+_DestuffedBits!C1711*4+_DestuffedBits!C1712*2+_DestuffedBits!C1713*1+_DestuffedBits!C1714*32768+_DestuffedBits!C1715*16384+_DestuffedBits!C1716*8192+_DestuffedBits!C1717*4096+_DestuffedBits!C1718*2048+_DestuffedBits!C1719*1024+_DestuffedBits!C1720*512+_DestuffedBits!C1721*256</f>
        <v/>
      </c>
      <c r="I172">
        <f>H172</f>
        <v/>
      </c>
      <c r="J172">
        <f>I172</f>
        <v/>
      </c>
      <c r="K172" s="2" t="inlineStr">
        <is>
          <t>-</t>
        </is>
      </c>
    </row>
    <row r="173">
      <c r="A173" t="n">
        <v>171</v>
      </c>
      <c r="B173" t="inlineStr">
        <is>
          <t>EPS</t>
        </is>
      </c>
      <c r="C173" t="inlineStr">
        <is>
          <t>EPS ADCS12V Voltage</t>
        </is>
      </c>
      <c r="D173" t="n">
        <v>1592</v>
      </c>
      <c r="E173" t="n">
        <v>16</v>
      </c>
      <c r="F173" t="inlineStr">
        <is>
          <t>LE</t>
        </is>
      </c>
      <c r="G173" t="inlineStr">
        <is>
          <t>uint16_t</t>
        </is>
      </c>
      <c r="H173">
        <f>_DestuffedBits!C1722*128+_DestuffedBits!C1723*64+_DestuffedBits!C1724*32+_DestuffedBits!C1725*16+_DestuffedBits!C1726*8+_DestuffedBits!C1727*4+_DestuffedBits!C1728*2+_DestuffedBits!C1729*1+_DestuffedBits!C1730*32768+_DestuffedBits!C1731*16384+_DestuffedBits!C1732*8192+_DestuffedBits!C1733*4096+_DestuffedBits!C1734*2048+_DestuffedBits!C1735*1024+_DestuffedBits!C1736*512+_DestuffedBits!C1737*256</f>
        <v/>
      </c>
      <c r="I173">
        <f>H173</f>
        <v/>
      </c>
      <c r="J173">
        <f>I173</f>
        <v/>
      </c>
      <c r="K173" s="2" t="inlineStr">
        <is>
          <t>-</t>
        </is>
      </c>
    </row>
    <row r="174">
      <c r="A174" t="n">
        <v>172</v>
      </c>
      <c r="B174" t="inlineStr">
        <is>
          <t>EPS</t>
        </is>
      </c>
      <c r="C174" t="inlineStr">
        <is>
          <t>EPS ADCS12V Current</t>
        </is>
      </c>
      <c r="D174" t="n">
        <v>1608</v>
      </c>
      <c r="E174" t="n">
        <v>16</v>
      </c>
      <c r="F174" t="inlineStr">
        <is>
          <t>LE</t>
        </is>
      </c>
      <c r="G174" t="inlineStr">
        <is>
          <t>uint16_t</t>
        </is>
      </c>
      <c r="H174">
        <f>_DestuffedBits!C1738*128+_DestuffedBits!C1739*64+_DestuffedBits!C1740*32+_DestuffedBits!C1741*16+_DestuffedBits!C1742*8+_DestuffedBits!C1743*4+_DestuffedBits!C1744*2+_DestuffedBits!C1745*1+_DestuffedBits!C1746*32768+_DestuffedBits!C1747*16384+_DestuffedBits!C1748*8192+_DestuffedBits!C1749*4096+_DestuffedBits!C1750*2048+_DestuffedBits!C1751*1024+_DestuffedBits!C1752*512+_DestuffedBits!C1753*256</f>
        <v/>
      </c>
      <c r="I174">
        <f>H174</f>
        <v/>
      </c>
      <c r="J174">
        <f>I174</f>
        <v/>
      </c>
      <c r="K174" s="2" t="inlineStr">
        <is>
          <t>-</t>
        </is>
      </c>
    </row>
    <row r="175">
      <c r="A175" t="n">
        <v>173</v>
      </c>
      <c r="B175" t="inlineStr">
        <is>
          <t>EPS</t>
        </is>
      </c>
      <c r="C175" t="inlineStr">
        <is>
          <t>EPS ADCS3V3 Voltage</t>
        </is>
      </c>
      <c r="D175" t="n">
        <v>1624</v>
      </c>
      <c r="E175" t="n">
        <v>16</v>
      </c>
      <c r="F175" t="inlineStr">
        <is>
          <t>LE</t>
        </is>
      </c>
      <c r="G175" t="inlineStr">
        <is>
          <t>uint16_t</t>
        </is>
      </c>
      <c r="H175">
        <f>_DestuffedBits!C1754*128+_DestuffedBits!C1755*64+_DestuffedBits!C1756*32+_DestuffedBits!C1757*16+_DestuffedBits!C1758*8+_DestuffedBits!C1759*4+_DestuffedBits!C1760*2+_DestuffedBits!C1761*1+_DestuffedBits!C1762*32768+_DestuffedBits!C1763*16384+_DestuffedBits!C1764*8192+_DestuffedBits!C1765*4096+_DestuffedBits!C1766*2048+_DestuffedBits!C1767*1024+_DestuffedBits!C1768*512+_DestuffedBits!C1769*256</f>
        <v/>
      </c>
      <c r="I175">
        <f>H175</f>
        <v/>
      </c>
      <c r="J175">
        <f>I175</f>
        <v/>
      </c>
      <c r="K175" s="2" t="inlineStr">
        <is>
          <t>-</t>
        </is>
      </c>
    </row>
    <row r="176">
      <c r="A176" t="n">
        <v>174</v>
      </c>
      <c r="B176" t="inlineStr">
        <is>
          <t>EPS</t>
        </is>
      </c>
      <c r="C176" t="inlineStr">
        <is>
          <t>EPS ADCS3V3 Current</t>
        </is>
      </c>
      <c r="D176" t="n">
        <v>1640</v>
      </c>
      <c r="E176" t="n">
        <v>16</v>
      </c>
      <c r="F176" t="inlineStr">
        <is>
          <t>LE</t>
        </is>
      </c>
      <c r="G176" t="inlineStr">
        <is>
          <t>uint16_t</t>
        </is>
      </c>
      <c r="H176">
        <f>_DestuffedBits!C1770*128+_DestuffedBits!C1771*64+_DestuffedBits!C1772*32+_DestuffedBits!C1773*16+_DestuffedBits!C1774*8+_DestuffedBits!C1775*4+_DestuffedBits!C1776*2+_DestuffedBits!C1777*1+_DestuffedBits!C1778*32768+_DestuffedBits!C1779*16384+_DestuffedBits!C1780*8192+_DestuffedBits!C1781*4096+_DestuffedBits!C1782*2048+_DestuffedBits!C1783*1024+_DestuffedBits!C1784*512+_DestuffedBits!C1785*256</f>
        <v/>
      </c>
      <c r="I176">
        <f>H176</f>
        <v/>
      </c>
      <c r="J176">
        <f>I176</f>
        <v/>
      </c>
      <c r="K176" s="2" t="inlineStr">
        <is>
          <t>-</t>
        </is>
      </c>
    </row>
    <row r="177">
      <c r="A177" t="n">
        <v>175</v>
      </c>
      <c r="B177" t="inlineStr">
        <is>
          <t>EPS</t>
        </is>
      </c>
      <c r="C177" t="inlineStr">
        <is>
          <t>EPS CIP12V Voltage</t>
        </is>
      </c>
      <c r="D177" t="n">
        <v>1656</v>
      </c>
      <c r="E177" t="n">
        <v>16</v>
      </c>
      <c r="F177" t="inlineStr">
        <is>
          <t>LE</t>
        </is>
      </c>
      <c r="G177" t="inlineStr">
        <is>
          <t>uint16_t</t>
        </is>
      </c>
      <c r="H177">
        <f>_DestuffedBits!C1786*128+_DestuffedBits!C1787*64+_DestuffedBits!C1788*32+_DestuffedBits!C1789*16+_DestuffedBits!C1790*8+_DestuffedBits!C1791*4+_DestuffedBits!C1792*2+_DestuffedBits!C1793*1+_DestuffedBits!C1794*32768+_DestuffedBits!C1795*16384+_DestuffedBits!C1796*8192+_DestuffedBits!C1797*4096+_DestuffedBits!C1798*2048+_DestuffedBits!C1799*1024+_DestuffedBits!C1800*512+_DestuffedBits!C1801*256</f>
        <v/>
      </c>
      <c r="I177">
        <f>H177</f>
        <v/>
      </c>
      <c r="J177">
        <f>I177</f>
        <v/>
      </c>
      <c r="K177" s="2" t="inlineStr">
        <is>
          <t>-</t>
        </is>
      </c>
    </row>
    <row r="178">
      <c r="A178" t="n">
        <v>176</v>
      </c>
      <c r="B178" t="inlineStr">
        <is>
          <t>EPS</t>
        </is>
      </c>
      <c r="C178" t="inlineStr">
        <is>
          <t>EPS CIP12V Current</t>
        </is>
      </c>
      <c r="D178" t="n">
        <v>1672</v>
      </c>
      <c r="E178" t="n">
        <v>16</v>
      </c>
      <c r="F178" t="inlineStr">
        <is>
          <t>LE</t>
        </is>
      </c>
      <c r="G178" t="inlineStr">
        <is>
          <t>uint16_t</t>
        </is>
      </c>
      <c r="H178">
        <f>_DestuffedBits!C1802*128+_DestuffedBits!C1803*64+_DestuffedBits!C1804*32+_DestuffedBits!C1805*16+_DestuffedBits!C1806*8+_DestuffedBits!C1807*4+_DestuffedBits!C1808*2+_DestuffedBits!C1809*1+_DestuffedBits!C1810*32768+_DestuffedBits!C1811*16384+_DestuffedBits!C1812*8192+_DestuffedBits!C1813*4096+_DestuffedBits!C1814*2048+_DestuffedBits!C1815*1024+_DestuffedBits!C1816*512+_DestuffedBits!C1817*256</f>
        <v/>
      </c>
      <c r="I178">
        <f>H178</f>
        <v/>
      </c>
      <c r="J178">
        <f>I178</f>
        <v/>
      </c>
      <c r="K178" s="2" t="inlineStr">
        <is>
          <t>-</t>
        </is>
      </c>
    </row>
    <row r="179">
      <c r="A179" t="n">
        <v>177</v>
      </c>
      <c r="B179" t="inlineStr">
        <is>
          <t>EPS</t>
        </is>
      </c>
      <c r="C179" t="inlineStr">
        <is>
          <t>EPS Xband12V Voltage</t>
        </is>
      </c>
      <c r="D179" t="n">
        <v>1688</v>
      </c>
      <c r="E179" t="n">
        <v>16</v>
      </c>
      <c r="F179" t="inlineStr">
        <is>
          <t>LE</t>
        </is>
      </c>
      <c r="G179" t="inlineStr">
        <is>
          <t>uint16_t</t>
        </is>
      </c>
      <c r="H179">
        <f>_DestuffedBits!C1818*128+_DestuffedBits!C1819*64+_DestuffedBits!C1820*32+_DestuffedBits!C1821*16+_DestuffedBits!C1822*8+_DestuffedBits!C1823*4+_DestuffedBits!C1824*2+_DestuffedBits!C1825*1+_DestuffedBits!C1826*32768+_DestuffedBits!C1827*16384+_DestuffedBits!C1828*8192+_DestuffedBits!C1829*4096+_DestuffedBits!C1830*2048+_DestuffedBits!C1831*1024+_DestuffedBits!C1832*512+_DestuffedBits!C1833*256</f>
        <v/>
      </c>
      <c r="I179">
        <f>H179</f>
        <v/>
      </c>
      <c r="J179">
        <f>I179</f>
        <v/>
      </c>
      <c r="K179" s="2" t="inlineStr">
        <is>
          <t>-</t>
        </is>
      </c>
    </row>
    <row r="180">
      <c r="A180" t="n">
        <v>178</v>
      </c>
      <c r="B180" t="inlineStr">
        <is>
          <t>EPS</t>
        </is>
      </c>
      <c r="C180" t="inlineStr">
        <is>
          <t>EPS Xband12V Current</t>
        </is>
      </c>
      <c r="D180" t="n">
        <v>1704</v>
      </c>
      <c r="E180" t="n">
        <v>16</v>
      </c>
      <c r="F180" t="inlineStr">
        <is>
          <t>LE</t>
        </is>
      </c>
      <c r="G180" t="inlineStr">
        <is>
          <t>uint16_t</t>
        </is>
      </c>
      <c r="H180">
        <f>_DestuffedBits!C1834*128+_DestuffedBits!C1835*64+_DestuffedBits!C1836*32+_DestuffedBits!C1837*16+_DestuffedBits!C1838*8+_DestuffedBits!C1839*4+_DestuffedBits!C1840*2+_DestuffedBits!C1841*1+_DestuffedBits!C1842*32768+_DestuffedBits!C1843*16384+_DestuffedBits!C1844*8192+_DestuffedBits!C1845*4096+_DestuffedBits!C1846*2048+_DestuffedBits!C1847*1024+_DestuffedBits!C1848*512+_DestuffedBits!C1849*256</f>
        <v/>
      </c>
      <c r="I180">
        <f>H180</f>
        <v/>
      </c>
      <c r="J180">
        <f>I180</f>
        <v/>
      </c>
      <c r="K180" s="2" t="inlineStr">
        <is>
          <t>-</t>
        </is>
      </c>
    </row>
    <row r="181">
      <c r="A181" t="n">
        <v>179</v>
      </c>
      <c r="B181" t="inlineStr">
        <is>
          <t>EPS</t>
        </is>
      </c>
      <c r="C181" t="inlineStr">
        <is>
          <t>EPS SEUV5V Voltage</t>
        </is>
      </c>
      <c r="D181" t="n">
        <v>1720</v>
      </c>
      <c r="E181" t="n">
        <v>16</v>
      </c>
      <c r="F181" t="inlineStr">
        <is>
          <t>LE</t>
        </is>
      </c>
      <c r="G181" t="inlineStr">
        <is>
          <t>uint16_t</t>
        </is>
      </c>
      <c r="H181">
        <f>_DestuffedBits!C1850*128+_DestuffedBits!C1851*64+_DestuffedBits!C1852*32+_DestuffedBits!C1853*16+_DestuffedBits!C1854*8+_DestuffedBits!C1855*4+_DestuffedBits!C1856*2+_DestuffedBits!C1857*1+_DestuffedBits!C1858*32768+_DestuffedBits!C1859*16384+_DestuffedBits!C1860*8192+_DestuffedBits!C1861*4096+_DestuffedBits!C1862*2048+_DestuffedBits!C1863*1024+_DestuffedBits!C1864*512+_DestuffedBits!C1865*256</f>
        <v/>
      </c>
      <c r="I181">
        <f>H181</f>
        <v/>
      </c>
      <c r="J181">
        <f>I181</f>
        <v/>
      </c>
      <c r="K181" s="2" t="inlineStr">
        <is>
          <t>-</t>
        </is>
      </c>
    </row>
    <row r="182">
      <c r="A182" t="n">
        <v>180</v>
      </c>
      <c r="B182" t="inlineStr">
        <is>
          <t>EPS</t>
        </is>
      </c>
      <c r="C182" t="inlineStr">
        <is>
          <t>EPS SEUV5V Current</t>
        </is>
      </c>
      <c r="D182" t="n">
        <v>1736</v>
      </c>
      <c r="E182" t="n">
        <v>16</v>
      </c>
      <c r="F182" t="inlineStr">
        <is>
          <t>LE</t>
        </is>
      </c>
      <c r="G182" t="inlineStr">
        <is>
          <t>uint16_t</t>
        </is>
      </c>
      <c r="H182">
        <f>_DestuffedBits!C1866*128+_DestuffedBits!C1867*64+_DestuffedBits!C1868*32+_DestuffedBits!C1869*16+_DestuffedBits!C1870*8+_DestuffedBits!C1871*4+_DestuffedBits!C1872*2+_DestuffedBits!C1873*1+_DestuffedBits!C1874*32768+_DestuffedBits!C1875*16384+_DestuffedBits!C1876*8192+_DestuffedBits!C1877*4096+_DestuffedBits!C1878*2048+_DestuffedBits!C1879*1024+_DestuffedBits!C1880*512+_DestuffedBits!C1881*256</f>
        <v/>
      </c>
      <c r="I182">
        <f>H182</f>
        <v/>
      </c>
      <c r="J182">
        <f>I182</f>
        <v/>
      </c>
      <c r="K182" s="2" t="inlineStr">
        <is>
          <t>-</t>
        </is>
      </c>
    </row>
    <row r="183">
      <c r="A183" t="n">
        <v>181</v>
      </c>
      <c r="B183" t="inlineStr">
        <is>
          <t>EPS</t>
        </is>
      </c>
      <c r="C183" t="inlineStr">
        <is>
          <t>EPS SEUV3V3 Voltage</t>
        </is>
      </c>
      <c r="D183" t="n">
        <v>1752</v>
      </c>
      <c r="E183" t="n">
        <v>16</v>
      </c>
      <c r="F183" t="inlineStr">
        <is>
          <t>LE</t>
        </is>
      </c>
      <c r="G183" t="inlineStr">
        <is>
          <t>uint16_t</t>
        </is>
      </c>
      <c r="H183">
        <f>_DestuffedBits!C1882*128+_DestuffedBits!C1883*64+_DestuffedBits!C1884*32+_DestuffedBits!C1885*16+_DestuffedBits!C1886*8+_DestuffedBits!C1887*4+_DestuffedBits!C1888*2+_DestuffedBits!C1889*1+_DestuffedBits!C1890*32768+_DestuffedBits!C1891*16384+_DestuffedBits!C1892*8192+_DestuffedBits!C1893*4096+_DestuffedBits!C1894*2048+_DestuffedBits!C1895*1024+_DestuffedBits!C1896*512+_DestuffedBits!C1897*256</f>
        <v/>
      </c>
      <c r="I183">
        <f>H183</f>
        <v/>
      </c>
      <c r="J183">
        <f>I183</f>
        <v/>
      </c>
      <c r="K183" s="2" t="inlineStr">
        <is>
          <t>-</t>
        </is>
      </c>
    </row>
    <row r="184">
      <c r="A184" t="n">
        <v>182</v>
      </c>
      <c r="B184" t="inlineStr">
        <is>
          <t>EPS</t>
        </is>
      </c>
      <c r="C184" t="inlineStr">
        <is>
          <t>EPS SEUV3V3 Current</t>
        </is>
      </c>
      <c r="D184" t="n">
        <v>1768</v>
      </c>
      <c r="E184" t="n">
        <v>16</v>
      </c>
      <c r="F184" t="inlineStr">
        <is>
          <t>LE</t>
        </is>
      </c>
      <c r="G184" t="inlineStr">
        <is>
          <t>uint16_t</t>
        </is>
      </c>
      <c r="H184">
        <f>_DestuffedBits!C1898*128+_DestuffedBits!C1899*64+_DestuffedBits!C1900*32+_DestuffedBits!C1901*16+_DestuffedBits!C1902*8+_DestuffedBits!C1903*4+_DestuffedBits!C1904*2+_DestuffedBits!C1905*1+_DestuffedBits!C1906*32768+_DestuffedBits!C1907*16384+_DestuffedBits!C1908*8192+_DestuffedBits!C1909*4096+_DestuffedBits!C1910*2048+_DestuffedBits!C1911*1024+_DestuffedBits!C1912*512+_DestuffedBits!C1913*256</f>
        <v/>
      </c>
      <c r="I184">
        <f>H184</f>
        <v/>
      </c>
      <c r="J184">
        <f>I184</f>
        <v/>
      </c>
      <c r="K184" s="2" t="inlineStr">
        <is>
          <t>-</t>
        </is>
      </c>
    </row>
    <row r="185">
      <c r="A185" t="n">
        <v>183</v>
      </c>
      <c r="B185" t="inlineStr">
        <is>
          <t>EPS</t>
        </is>
      </c>
      <c r="C185" t="inlineStr">
        <is>
          <t>EPS APRS5V Voltage</t>
        </is>
      </c>
      <c r="D185" t="n">
        <v>1784</v>
      </c>
      <c r="E185" t="n">
        <v>16</v>
      </c>
      <c r="F185" t="inlineStr">
        <is>
          <t>LE</t>
        </is>
      </c>
      <c r="G185" t="inlineStr">
        <is>
          <t>uint16_t</t>
        </is>
      </c>
      <c r="H185">
        <f>_DestuffedBits!C1914*128+_DestuffedBits!C1915*64+_DestuffedBits!C1916*32+_DestuffedBits!C1917*16+_DestuffedBits!C1918*8+_DestuffedBits!C1919*4+_DestuffedBits!C1920*2+_DestuffedBits!C1921*1+_DestuffedBits!C1922*32768+_DestuffedBits!C1923*16384+_DestuffedBits!C1924*8192+_DestuffedBits!C1925*4096+_DestuffedBits!C1926*2048+_DestuffedBits!C1927*1024+_DestuffedBits!C1928*512+_DestuffedBits!C1929*256</f>
        <v/>
      </c>
      <c r="I185">
        <f>H185</f>
        <v/>
      </c>
      <c r="J185">
        <f>I185</f>
        <v/>
      </c>
      <c r="K185" s="2" t="inlineStr">
        <is>
          <t>-</t>
        </is>
      </c>
    </row>
    <row r="186">
      <c r="A186" t="n">
        <v>184</v>
      </c>
      <c r="B186" t="inlineStr">
        <is>
          <t>EPS</t>
        </is>
      </c>
      <c r="C186" t="inlineStr">
        <is>
          <t>EPS APRS5V Current</t>
        </is>
      </c>
      <c r="D186" t="n">
        <v>1800</v>
      </c>
      <c r="E186" t="n">
        <v>16</v>
      </c>
      <c r="F186" t="inlineStr">
        <is>
          <t>LE</t>
        </is>
      </c>
      <c r="G186" t="inlineStr">
        <is>
          <t>uint16_t</t>
        </is>
      </c>
      <c r="H186">
        <f>_DestuffedBits!C1930*128+_DestuffedBits!C1931*64+_DestuffedBits!C1932*32+_DestuffedBits!C1933*16+_DestuffedBits!C1934*8+_DestuffedBits!C1935*4+_DestuffedBits!C1936*2+_DestuffedBits!C1937*1+_DestuffedBits!C1938*32768+_DestuffedBits!C1939*16384+_DestuffedBits!C1940*8192+_DestuffedBits!C1941*4096+_DestuffedBits!C1942*2048+_DestuffedBits!C1943*1024+_DestuffedBits!C1944*512+_DestuffedBits!C1945*256</f>
        <v/>
      </c>
      <c r="I186">
        <f>H186</f>
        <v/>
      </c>
      <c r="J186">
        <f>I186</f>
        <v/>
      </c>
      <c r="K186" s="2" t="inlineStr">
        <is>
          <t>-</t>
        </is>
      </c>
    </row>
    <row r="187">
      <c r="A187" t="n">
        <v>185</v>
      </c>
      <c r="B187" t="inlineStr">
        <is>
          <t>Payloads</t>
        </is>
      </c>
      <c r="C187" t="inlineStr">
        <is>
          <t>CIP Mode</t>
        </is>
      </c>
      <c r="D187" t="n">
        <v>1816</v>
      </c>
      <c r="E187" t="n">
        <v>2</v>
      </c>
      <c r="F187" t="inlineStr">
        <is>
          <t>LE</t>
        </is>
      </c>
      <c r="G187" t="inlineStr">
        <is>
          <t>uint8_t</t>
        </is>
      </c>
      <c r="H187">
        <f>_DestuffedBits!C1946*2+_DestuffedBits!C1947*1</f>
        <v/>
      </c>
      <c r="I187">
        <f>H187</f>
        <v/>
      </c>
      <c r="J187">
        <f>IF(H187=7,"CIP Idle Mode",IF(H187=8,"CIP Normal Mode",IF(H187=9,"CIP Fast Mode",H187&amp;" (unlisted)")))</f>
        <v/>
      </c>
      <c r="K187" s="2" t="inlineStr">
        <is>
          <t>7=CIP Idle Mode, 8=CIP Normal Mode, 9=CIP Fast Mode</t>
        </is>
      </c>
    </row>
    <row r="188">
      <c r="A188" t="n">
        <v>186</v>
      </c>
      <c r="B188" t="inlineStr">
        <is>
          <t>Payloads</t>
        </is>
      </c>
      <c r="C188" t="inlineStr">
        <is>
          <t>(reserved)</t>
        </is>
      </c>
      <c r="D188" t="n">
        <v>1818</v>
      </c>
      <c r="E188" t="n">
        <v>6</v>
      </c>
      <c r="F188" t="inlineStr">
        <is>
          <t>LE</t>
        </is>
      </c>
      <c r="G188" t="inlineStr">
        <is>
          <t>uint8_t</t>
        </is>
      </c>
      <c r="H188">
        <f>_DestuffedBits!C1948*32+_DestuffedBits!C1949*16+_DestuffedBits!C1950*8+_DestuffedBits!C1951*4+_DestuffedBits!C1952*2+_DestuffedBits!C1953*1</f>
        <v/>
      </c>
      <c r="I188">
        <f>H188</f>
        <v/>
      </c>
      <c r="J188">
        <f>I188</f>
        <v/>
      </c>
      <c r="K188" s="2" t="inlineStr">
        <is>
          <t>-</t>
        </is>
      </c>
    </row>
    <row r="189">
      <c r="A189" t="n">
        <v>187</v>
      </c>
      <c r="B189" t="inlineStr">
        <is>
          <t>Payloads</t>
        </is>
      </c>
      <c r="C189" t="inlineStr">
        <is>
          <t>CIP Temperature 0</t>
        </is>
      </c>
      <c r="D189" t="n">
        <v>1824</v>
      </c>
      <c r="E189" t="n">
        <v>16</v>
      </c>
      <c r="F189" t="inlineStr">
        <is>
          <t>LE</t>
        </is>
      </c>
      <c r="G189" t="inlineStr">
        <is>
          <t>uint8_t</t>
        </is>
      </c>
      <c r="H189">
        <f>_DestuffedBits!C1954*128+_DestuffedBits!C1955*64+_DestuffedBits!C1956*32+_DestuffedBits!C1957*16+_DestuffedBits!C1958*8+_DestuffedBits!C1959*4+_DestuffedBits!C1960*2+_DestuffedBits!C1961*1+_DestuffedBits!C1962*32768+_DestuffedBits!C1963*16384+_DestuffedBits!C1964*8192+_DestuffedBits!C1965*4096+_DestuffedBits!C1966*2048+_DestuffedBits!C1967*1024+_DestuffedBits!C1968*512+_DestuffedBits!C1969*256</f>
        <v/>
      </c>
      <c r="I189">
        <f>H189</f>
        <v/>
      </c>
      <c r="J189">
        <f>I189</f>
        <v/>
      </c>
      <c r="K189" s="2" t="inlineStr">
        <is>
          <t>-</t>
        </is>
      </c>
    </row>
    <row r="190">
      <c r="A190" t="n">
        <v>188</v>
      </c>
      <c r="B190" t="inlineStr">
        <is>
          <t>Payloads</t>
        </is>
      </c>
      <c r="C190" t="inlineStr">
        <is>
          <t>CIP Temperature 1</t>
        </is>
      </c>
      <c r="D190" t="n">
        <v>1840</v>
      </c>
      <c r="E190" t="n">
        <v>16</v>
      </c>
      <c r="F190" t="inlineStr">
        <is>
          <t>LE</t>
        </is>
      </c>
      <c r="G190" t="inlineStr">
        <is>
          <t>uint8_t</t>
        </is>
      </c>
      <c r="H190">
        <f>_DestuffedBits!C1970*128+_DestuffedBits!C1971*64+_DestuffedBits!C1972*32+_DestuffedBits!C1973*16+_DestuffedBits!C1974*8+_DestuffedBits!C1975*4+_DestuffedBits!C1976*2+_DestuffedBits!C1977*1+_DestuffedBits!C1978*32768+_DestuffedBits!C1979*16384+_DestuffedBits!C1980*8192+_DestuffedBits!C1981*4096+_DestuffedBits!C1982*2048+_DestuffedBits!C1983*1024+_DestuffedBits!C1984*512+_DestuffedBits!C1985*256</f>
        <v/>
      </c>
      <c r="I190">
        <f>H190</f>
        <v/>
      </c>
      <c r="J190">
        <f>I190</f>
        <v/>
      </c>
      <c r="K190" s="2" t="inlineStr">
        <is>
          <t>-</t>
        </is>
      </c>
    </row>
    <row r="191">
      <c r="A191" t="n">
        <v>189</v>
      </c>
      <c r="B191" t="inlineStr">
        <is>
          <t>Payloads</t>
        </is>
      </c>
      <c r="C191" t="inlineStr">
        <is>
          <t>CIP Temperature 2</t>
        </is>
      </c>
      <c r="D191" t="n">
        <v>1856</v>
      </c>
      <c r="E191" t="n">
        <v>16</v>
      </c>
      <c r="F191" t="inlineStr">
        <is>
          <t>LE</t>
        </is>
      </c>
      <c r="G191" t="inlineStr">
        <is>
          <t>uint8_t</t>
        </is>
      </c>
      <c r="H191">
        <f>_DestuffedBits!C1986*128+_DestuffedBits!C1987*64+_DestuffedBits!C1988*32+_DestuffedBits!C1989*16+_DestuffedBits!C1990*8+_DestuffedBits!C1991*4+_DestuffedBits!C1992*2+_DestuffedBits!C1993*1+_DestuffedBits!C1994*32768+_DestuffedBits!C1995*16384+_DestuffedBits!C1996*8192+_DestuffedBits!C1997*4096+_DestuffedBits!C1998*2048+_DestuffedBits!C1999*1024+_DestuffedBits!C2000*512+_DestuffedBits!C2001*256</f>
        <v/>
      </c>
      <c r="I191">
        <f>H191</f>
        <v/>
      </c>
      <c r="J191">
        <f>I191</f>
        <v/>
      </c>
      <c r="K191" s="2" t="inlineStr">
        <is>
          <t>-</t>
        </is>
      </c>
    </row>
    <row r="192">
      <c r="A192" t="n">
        <v>190</v>
      </c>
      <c r="B192" t="inlineStr">
        <is>
          <t>Payloads</t>
        </is>
      </c>
      <c r="C192" t="inlineStr">
        <is>
          <t>HyperSCAN Smartfusion2 Current</t>
        </is>
      </c>
      <c r="D192" t="n">
        <v>1872</v>
      </c>
      <c r="E192" t="n">
        <v>16</v>
      </c>
      <c r="F192" t="inlineStr">
        <is>
          <t>LE</t>
        </is>
      </c>
      <c r="G192" t="inlineStr">
        <is>
          <t>uint16_t</t>
        </is>
      </c>
      <c r="H192">
        <f>_DestuffedBits!C2002*128+_DestuffedBits!C2003*64+_DestuffedBits!C2004*32+_DestuffedBits!C2005*16+_DestuffedBits!C2006*8+_DestuffedBits!C2007*4+_DestuffedBits!C2008*2+_DestuffedBits!C2009*1+_DestuffedBits!C2010*32768+_DestuffedBits!C2011*16384+_DestuffedBits!C2012*8192+_DestuffedBits!C2013*4096+_DestuffedBits!C2014*2048+_DestuffedBits!C2015*1024+_DestuffedBits!C2016*512+_DestuffedBits!C2017*256</f>
        <v/>
      </c>
      <c r="I192">
        <f>H192</f>
        <v/>
      </c>
      <c r="J192">
        <f>I192</f>
        <v/>
      </c>
      <c r="K192" s="2" t="inlineStr">
        <is>
          <t>-</t>
        </is>
      </c>
    </row>
    <row r="193">
      <c r="A193" t="n">
        <v>191</v>
      </c>
      <c r="B193" t="inlineStr">
        <is>
          <t>Payloads</t>
        </is>
      </c>
      <c r="C193" t="inlineStr">
        <is>
          <t>HyperSCAN Smartfusion2 Temperature 1</t>
        </is>
      </c>
      <c r="D193" t="n">
        <v>1888</v>
      </c>
      <c r="E193" t="n">
        <v>16</v>
      </c>
      <c r="F193" t="inlineStr">
        <is>
          <t>LE</t>
        </is>
      </c>
      <c r="G193" t="inlineStr">
        <is>
          <t>uint16_t</t>
        </is>
      </c>
      <c r="H193">
        <f>_DestuffedBits!C2018*128+_DestuffedBits!C2019*64+_DestuffedBits!C2020*32+_DestuffedBits!C2021*16+_DestuffedBits!C2022*8+_DestuffedBits!C2023*4+_DestuffedBits!C2024*2+_DestuffedBits!C2025*1+_DestuffedBits!C2026*32768+_DestuffedBits!C2027*16384+_DestuffedBits!C2028*8192+_DestuffedBits!C2029*4096+_DestuffedBits!C2030*2048+_DestuffedBits!C2031*1024+_DestuffedBits!C2032*512+_DestuffedBits!C2033*256</f>
        <v/>
      </c>
      <c r="I193">
        <f>H193</f>
        <v/>
      </c>
      <c r="J193">
        <f>I193</f>
        <v/>
      </c>
      <c r="K193" s="2" t="inlineStr">
        <is>
          <t>-</t>
        </is>
      </c>
    </row>
    <row r="194">
      <c r="A194" t="n">
        <v>192</v>
      </c>
      <c r="B194" t="inlineStr">
        <is>
          <t>Payloads</t>
        </is>
      </c>
      <c r="C194" t="inlineStr">
        <is>
          <t>HyperSCAN CMOS Voltage 1</t>
        </is>
      </c>
      <c r="D194" t="n">
        <v>1904</v>
      </c>
      <c r="E194" t="n">
        <v>16</v>
      </c>
      <c r="F194" t="inlineStr">
        <is>
          <t>LE</t>
        </is>
      </c>
      <c r="G194" t="inlineStr">
        <is>
          <t>uint16_t</t>
        </is>
      </c>
      <c r="H194">
        <f>_DestuffedBits!C2034*128+_DestuffedBits!C2035*64+_DestuffedBits!C2036*32+_DestuffedBits!C2037*16+_DestuffedBits!C2038*8+_DestuffedBits!C2039*4+_DestuffedBits!C2040*2+_DestuffedBits!C2041*1+_DestuffedBits!C2042*32768+_DestuffedBits!C2043*16384+_DestuffedBits!C2044*8192+_DestuffedBits!C2045*4096+_DestuffedBits!C2046*2048+_DestuffedBits!C2047*1024+_DestuffedBits!C2048*512+_DestuffedBits!C2049*256</f>
        <v/>
      </c>
      <c r="I194">
        <f>H194</f>
        <v/>
      </c>
      <c r="J194">
        <f>I194</f>
        <v/>
      </c>
      <c r="K194" s="2" t="inlineStr">
        <is>
          <t>-</t>
        </is>
      </c>
    </row>
    <row r="195">
      <c r="A195" t="n">
        <v>193</v>
      </c>
      <c r="B195" t="inlineStr">
        <is>
          <t>Payloads</t>
        </is>
      </c>
      <c r="C195" t="inlineStr">
        <is>
          <t>HyperSCAN CMOS Voltage 2</t>
        </is>
      </c>
      <c r="D195" t="n">
        <v>1920</v>
      </c>
      <c r="E195" t="n">
        <v>16</v>
      </c>
      <c r="F195" t="inlineStr">
        <is>
          <t>LE</t>
        </is>
      </c>
      <c r="G195" t="inlineStr">
        <is>
          <t>uint16_t</t>
        </is>
      </c>
      <c r="H195">
        <f>_DestuffedBits!C2050*128+_DestuffedBits!C2051*64+_DestuffedBits!C2052*32+_DestuffedBits!C2053*16+_DestuffedBits!C2054*8+_DestuffedBits!C2055*4+_DestuffedBits!C2056*2+_DestuffedBits!C2057*1+_DestuffedBits!C2058*32768+_DestuffedBits!C2059*16384+_DestuffedBits!C2060*8192+_DestuffedBits!C2061*4096+_DestuffedBits!C2062*2048+_DestuffedBits!C2063*1024+_DestuffedBits!C2064*512+_DestuffedBits!C2065*256</f>
        <v/>
      </c>
      <c r="I195">
        <f>H195</f>
        <v/>
      </c>
      <c r="J195">
        <f>I195</f>
        <v/>
      </c>
      <c r="K195" s="2" t="inlineStr">
        <is>
          <t>-</t>
        </is>
      </c>
    </row>
    <row r="196">
      <c r="A196" t="n">
        <v>194</v>
      </c>
      <c r="B196" t="inlineStr">
        <is>
          <t>Payloads</t>
        </is>
      </c>
      <c r="C196" t="inlineStr">
        <is>
          <t>HyperSCAN CMOS Voltage 3</t>
        </is>
      </c>
      <c r="D196" t="n">
        <v>1936</v>
      </c>
      <c r="E196" t="n">
        <v>16</v>
      </c>
      <c r="F196" t="inlineStr">
        <is>
          <t>LE</t>
        </is>
      </c>
      <c r="G196" t="inlineStr">
        <is>
          <t>uint16_t</t>
        </is>
      </c>
      <c r="H196">
        <f>_DestuffedBits!C2066*128+_DestuffedBits!C2067*64+_DestuffedBits!C2068*32+_DestuffedBits!C2069*16+_DestuffedBits!C2070*8+_DestuffedBits!C2071*4+_DestuffedBits!C2072*2+_DestuffedBits!C2073*1+_DestuffedBits!C2074*32768+_DestuffedBits!C2075*16384+_DestuffedBits!C2076*8192+_DestuffedBits!C2077*4096+_DestuffedBits!C2078*2048+_DestuffedBits!C2079*1024+_DestuffedBits!C2080*512+_DestuffedBits!C2081*256</f>
        <v/>
      </c>
      <c r="I196">
        <f>H196</f>
        <v/>
      </c>
      <c r="J196">
        <f>I196</f>
        <v/>
      </c>
      <c r="K196" s="2" t="inlineStr">
        <is>
          <t>-</t>
        </is>
      </c>
    </row>
    <row r="197">
      <c r="A197" t="n">
        <v>195</v>
      </c>
      <c r="B197" t="inlineStr">
        <is>
          <t>Payloads</t>
        </is>
      </c>
      <c r="C197" t="inlineStr">
        <is>
          <t>HyperSCAN CMOS Voltage 4</t>
        </is>
      </c>
      <c r="D197" t="n">
        <v>1952</v>
      </c>
      <c r="E197" t="n">
        <v>16</v>
      </c>
      <c r="F197" t="inlineStr">
        <is>
          <t>LE</t>
        </is>
      </c>
      <c r="G197" t="inlineStr">
        <is>
          <t>uint16_t</t>
        </is>
      </c>
      <c r="H197">
        <f>_DestuffedBits!C2082*128+_DestuffedBits!C2083*64+_DestuffedBits!C2084*32+_DestuffedBits!C2085*16+_DestuffedBits!C2086*8+_DestuffedBits!C2087*4+_DestuffedBits!C2088*2+_DestuffedBits!C2089*1+_DestuffedBits!C2090*32768+_DestuffedBits!C2091*16384+_DestuffedBits!C2092*8192+_DestuffedBits!C2093*4096+_DestuffedBits!C2094*2048+_DestuffedBits!C2095*1024+_DestuffedBits!C2096*512+_DestuffedBits!C2097*256</f>
        <v/>
      </c>
      <c r="I197">
        <f>H197</f>
        <v/>
      </c>
      <c r="J197">
        <f>I197</f>
        <v/>
      </c>
      <c r="K197" s="2" t="inlineStr">
        <is>
          <t>-</t>
        </is>
      </c>
    </row>
    <row r="198">
      <c r="A198" t="n">
        <v>196</v>
      </c>
      <c r="B198" t="inlineStr">
        <is>
          <t>Payloads</t>
        </is>
      </c>
      <c r="C198" t="inlineStr">
        <is>
          <t>HyperSCAN CMOS Current</t>
        </is>
      </c>
      <c r="D198" t="n">
        <v>1968</v>
      </c>
      <c r="E198" t="n">
        <v>16</v>
      </c>
      <c r="F198" t="inlineStr">
        <is>
          <t>LE</t>
        </is>
      </c>
      <c r="G198" t="inlineStr">
        <is>
          <t>uint16_t</t>
        </is>
      </c>
      <c r="H198">
        <f>_DestuffedBits!C2098*128+_DestuffedBits!C2099*64+_DestuffedBits!C2100*32+_DestuffedBits!C2101*16+_DestuffedBits!C2102*8+_DestuffedBits!C2103*4+_DestuffedBits!C2104*2+_DestuffedBits!C2105*1+_DestuffedBits!C2106*32768+_DestuffedBits!C2107*16384+_DestuffedBits!C2108*8192+_DestuffedBits!C2109*4096+_DestuffedBits!C2110*2048+_DestuffedBits!C2111*1024+_DestuffedBits!C2112*512+_DestuffedBits!C2113*256</f>
        <v/>
      </c>
      <c r="I198">
        <f>H198</f>
        <v/>
      </c>
      <c r="J198">
        <f>I198</f>
        <v/>
      </c>
      <c r="K198" s="2" t="inlineStr">
        <is>
          <t>-</t>
        </is>
      </c>
    </row>
    <row r="199">
      <c r="A199" t="n">
        <v>197</v>
      </c>
      <c r="B199" t="inlineStr">
        <is>
          <t>Payloads</t>
        </is>
      </c>
      <c r="C199" t="inlineStr">
        <is>
          <t>HyperSCAN CMOS Temperature 1</t>
        </is>
      </c>
      <c r="D199" t="n">
        <v>1984</v>
      </c>
      <c r="E199" t="n">
        <v>16</v>
      </c>
      <c r="F199" t="inlineStr">
        <is>
          <t>LE</t>
        </is>
      </c>
      <c r="G199" t="inlineStr">
        <is>
          <t>uint16_t</t>
        </is>
      </c>
      <c r="H199">
        <f>_DestuffedBits!C2114*128+_DestuffedBits!C2115*64+_DestuffedBits!C2116*32+_DestuffedBits!C2117*16+_DestuffedBits!C2118*8+_DestuffedBits!C2119*4+_DestuffedBits!C2120*2+_DestuffedBits!C2121*1+_DestuffedBits!C2122*32768+_DestuffedBits!C2123*16384+_DestuffedBits!C2124*8192+_DestuffedBits!C2125*4096+_DestuffedBits!C2126*2048+_DestuffedBits!C2127*1024+_DestuffedBits!C2128*512+_DestuffedBits!C2129*256</f>
        <v/>
      </c>
      <c r="I199">
        <f>H199</f>
        <v/>
      </c>
      <c r="J199">
        <f>I199</f>
        <v/>
      </c>
      <c r="K199" s="2" t="inlineStr">
        <is>
          <t>-</t>
        </is>
      </c>
    </row>
    <row r="200">
      <c r="A200" t="n">
        <v>198</v>
      </c>
      <c r="B200" t="inlineStr">
        <is>
          <t>Payloads</t>
        </is>
      </c>
      <c r="C200" t="inlineStr">
        <is>
          <t>(reserved)</t>
        </is>
      </c>
      <c r="D200" t="n">
        <v>2000</v>
      </c>
      <c r="E200" t="n">
        <v>8</v>
      </c>
      <c r="F200" t="inlineStr">
        <is>
          <t>LE</t>
        </is>
      </c>
      <c r="G200" t="inlineStr">
        <is>
          <t>uint8_t</t>
        </is>
      </c>
      <c r="H200">
        <f>_DestuffedBits!C2130*128+_DestuffedBits!C2131*64+_DestuffedBits!C2132*32+_DestuffedBits!C2133*16+_DestuffedBits!C2134*8+_DestuffedBits!C2135*4+_DestuffedBits!C2136*2+_DestuffedBits!C2137*1</f>
        <v/>
      </c>
      <c r="I200">
        <f>H200</f>
        <v/>
      </c>
      <c r="J200">
        <f>I200</f>
        <v/>
      </c>
      <c r="K200" s="2" t="inlineStr">
        <is>
          <t>-</t>
        </is>
      </c>
    </row>
    <row r="201">
      <c r="A201" t="n">
        <v>199</v>
      </c>
      <c r="B201" t="inlineStr">
        <is>
          <t>Payloads</t>
        </is>
      </c>
      <c r="C201" t="inlineStr">
        <is>
          <t>APRS RX Voltage</t>
        </is>
      </c>
      <c r="D201" t="n">
        <v>2008</v>
      </c>
      <c r="E201" t="n">
        <v>8</v>
      </c>
      <c r="F201" t="inlineStr">
        <is>
          <t>BE</t>
        </is>
      </c>
      <c r="G201" t="inlineStr">
        <is>
          <t>uint8_t</t>
        </is>
      </c>
      <c r="H201">
        <f>_DestuffedBits!C2138*128+_DestuffedBits!C2139*64+_DestuffedBits!C2140*32+_DestuffedBits!C2141*16+_DestuffedBits!C2142*8+_DestuffedBits!C2143*4+_DestuffedBits!C2144*2+_DestuffedBits!C2145*1</f>
        <v/>
      </c>
      <c r="I201">
        <f>H201</f>
        <v/>
      </c>
      <c r="J201">
        <f>I201</f>
        <v/>
      </c>
      <c r="K201" s="2" t="inlineStr">
        <is>
          <t>-</t>
        </is>
      </c>
    </row>
    <row r="202">
      <c r="A202" t="n">
        <v>200</v>
      </c>
      <c r="B202" t="inlineStr">
        <is>
          <t>Payloads</t>
        </is>
      </c>
      <c r="C202" t="inlineStr">
        <is>
          <t>APRS TX Voltage</t>
        </is>
      </c>
      <c r="D202" t="n">
        <v>2016</v>
      </c>
      <c r="E202" t="n">
        <v>8</v>
      </c>
      <c r="F202" t="inlineStr">
        <is>
          <t>BE</t>
        </is>
      </c>
      <c r="G202" t="inlineStr">
        <is>
          <t>uint8_t</t>
        </is>
      </c>
      <c r="H202">
        <f>_DestuffedBits!C2146*128+_DestuffedBits!C2147*64+_DestuffedBits!C2148*32+_DestuffedBits!C2149*16+_DestuffedBits!C2150*8+_DestuffedBits!C2151*4+_DestuffedBits!C2152*2+_DestuffedBits!C2153*1</f>
        <v/>
      </c>
      <c r="I202">
        <f>H202</f>
        <v/>
      </c>
      <c r="J202">
        <f>I202</f>
        <v/>
      </c>
      <c r="K202" s="2" t="inlineStr">
        <is>
          <t>-</t>
        </is>
      </c>
    </row>
    <row r="203">
      <c r="A203" t="n">
        <v>201</v>
      </c>
      <c r="B203" t="inlineStr">
        <is>
          <t>Payloads</t>
        </is>
      </c>
      <c r="C203" t="inlineStr">
        <is>
          <t>APRS Radio on/off</t>
        </is>
      </c>
      <c r="D203" t="n">
        <v>2024</v>
      </c>
      <c r="E203" t="n">
        <v>2</v>
      </c>
      <c r="F203" t="inlineStr">
        <is>
          <t>BE</t>
        </is>
      </c>
      <c r="G203" t="inlineStr">
        <is>
          <t>uint8_t</t>
        </is>
      </c>
      <c r="H203">
        <f>_DestuffedBits!C2154*2+_DestuffedBits!C2155*1</f>
        <v/>
      </c>
      <c r="I203">
        <f>H203</f>
        <v/>
      </c>
      <c r="J203">
        <f>IF(H203=0,"APRS Radio Module sleep",IF(H203=1,"APRS Radio Module active",H203&amp;" (unlisted)"))</f>
        <v/>
      </c>
      <c r="K203" s="2" t="inlineStr">
        <is>
          <t>00: APRS Radio Module sleep / 01: APRS Radio Module active</t>
        </is>
      </c>
    </row>
    <row r="204">
      <c r="A204" t="n">
        <v>202</v>
      </c>
      <c r="B204" t="inlineStr">
        <is>
          <t>Payloads</t>
        </is>
      </c>
      <c r="C204" t="inlineStr">
        <is>
          <t>APRS Digipeater on/off</t>
        </is>
      </c>
      <c r="D204" t="n">
        <v>2026</v>
      </c>
      <c r="E204" t="n">
        <v>2</v>
      </c>
      <c r="F204" t="inlineStr">
        <is>
          <t>BE</t>
        </is>
      </c>
      <c r="G204" t="inlineStr">
        <is>
          <t>uint8_t</t>
        </is>
      </c>
      <c r="H204">
        <f>_DestuffedBits!C2156*2+_DestuffedBits!C2157*1</f>
        <v/>
      </c>
      <c r="I204">
        <f>H204</f>
        <v/>
      </c>
      <c r="J204">
        <f>IF(H204=10,"Digipeater function Enable",IF(H204=11,"Digipeater function Disable",H204&amp;" (unlisted)"))</f>
        <v/>
      </c>
      <c r="K204" s="2" t="inlineStr">
        <is>
          <t>10: Digipeater function Enable  / 11: Digipeater function Disable</t>
        </is>
      </c>
    </row>
    <row r="205">
      <c r="A205" t="n">
        <v>203</v>
      </c>
      <c r="B205" t="inlineStr">
        <is>
          <t>Payloads</t>
        </is>
      </c>
      <c r="C205" t="inlineStr">
        <is>
          <t>(reserved)</t>
        </is>
      </c>
      <c r="D205" t="n">
        <v>2028</v>
      </c>
      <c r="E205" t="n">
        <v>4</v>
      </c>
      <c r="F205" t="inlineStr">
        <is>
          <t>BE</t>
        </is>
      </c>
      <c r="G205" t="inlineStr">
        <is>
          <t>uint8_t</t>
        </is>
      </c>
      <c r="H205">
        <f>_DestuffedBits!C2158*8+_DestuffedBits!C2159*4+_DestuffedBits!C2160*2+_DestuffedBits!C2161*1</f>
        <v/>
      </c>
      <c r="I205">
        <f>H205</f>
        <v/>
      </c>
      <c r="J205">
        <f>I205</f>
        <v/>
      </c>
      <c r="K205" s="2" t="inlineStr">
        <is>
          <t>-</t>
        </is>
      </c>
    </row>
    <row r="206">
      <c r="A206" t="n">
        <v>204</v>
      </c>
      <c r="B206" t="inlineStr">
        <is>
          <t>Payloads</t>
        </is>
      </c>
      <c r="C206" t="inlineStr">
        <is>
          <t>APRS Temperature</t>
        </is>
      </c>
      <c r="D206" t="n">
        <v>2032</v>
      </c>
      <c r="E206" t="n">
        <v>16</v>
      </c>
      <c r="F206" t="inlineStr">
        <is>
          <t>BE</t>
        </is>
      </c>
      <c r="G206" t="inlineStr">
        <is>
          <t>uint16_t</t>
        </is>
      </c>
      <c r="H206">
        <f>_DestuffedBits!C2162*32768+_DestuffedBits!C2163*16384+_DestuffedBits!C2164*8192+_DestuffedBits!C2165*4096+_DestuffedBits!C2166*2048+_DestuffedBits!C2167*1024+_DestuffedBits!C2168*512+_DestuffedBits!C2169*256+_DestuffedBits!C2170*128+_DestuffedBits!C2171*64+_DestuffedBits!C2172*32+_DestuffedBits!C2173*16+_DestuffedBits!C2174*8+_DestuffedBits!C2175*4+_DestuffedBits!C2176*2+_DestuffedBits!C2177*1</f>
        <v/>
      </c>
      <c r="I206">
        <f>H206</f>
        <v/>
      </c>
      <c r="J206">
        <f>I206</f>
        <v/>
      </c>
      <c r="K206"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2026-08-04T01:35:22Z</dcterms:created>
  <dcterms:modified xsi:type="dcterms:W3CDTF">2026-08-04T01:35:25Z</dcterms:modified>
</cp:coreProperties>
</file>